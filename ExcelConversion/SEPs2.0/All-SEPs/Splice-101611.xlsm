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12264" windowHeight="5604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X12" i="17"/>
  <c r="Y12" i="17"/>
  <c r="Z12" i="17"/>
  <c r="AA12" i="17"/>
  <c r="AB12" i="17" s="1"/>
  <c r="C13" i="17"/>
  <c r="H13" i="17"/>
  <c r="M13" i="17"/>
  <c r="X13" i="17"/>
  <c r="Y13" i="17"/>
  <c r="Z13" i="17"/>
  <c r="AA13" i="17"/>
  <c r="AB13" i="17" s="1"/>
  <c r="C14" i="17"/>
  <c r="H14" i="17"/>
  <c r="M14" i="17"/>
  <c r="X14" i="17"/>
  <c r="Y14" i="17"/>
  <c r="Z14" i="17"/>
  <c r="AA14" i="17"/>
  <c r="AB14" i="17" s="1"/>
  <c r="C15" i="17"/>
  <c r="H15" i="17"/>
  <c r="M15" i="17"/>
  <c r="X15" i="17"/>
  <c r="Y15" i="17"/>
  <c r="Z15" i="17"/>
  <c r="AA15" i="17"/>
  <c r="AB15" i="17" s="1"/>
  <c r="C16" i="17"/>
  <c r="H16" i="17"/>
  <c r="M16" i="17"/>
  <c r="X16" i="17"/>
  <c r="Y16" i="17"/>
  <c r="Z16" i="17"/>
  <c r="AA16" i="17"/>
  <c r="AB16" i="17" s="1"/>
  <c r="C17" i="17"/>
  <c r="H17" i="17"/>
  <c r="M17" i="17"/>
  <c r="X17" i="17"/>
  <c r="Y17" i="17"/>
  <c r="Z17" i="17"/>
  <c r="AA17" i="17"/>
  <c r="AB17" i="17" s="1"/>
  <c r="C18" i="17"/>
  <c r="H18" i="17"/>
  <c r="M18" i="17"/>
  <c r="X18" i="17"/>
  <c r="Y18" i="17"/>
  <c r="Z18" i="17"/>
  <c r="AA18" i="17"/>
  <c r="AB18" i="17" s="1"/>
  <c r="C19" i="17"/>
  <c r="H19" i="17"/>
  <c r="M19" i="17"/>
  <c r="X19" i="17"/>
  <c r="Y19" i="17"/>
  <c r="Z19" i="17"/>
  <c r="AA19" i="17"/>
  <c r="AB19" i="17" s="1"/>
  <c r="C20" i="17"/>
  <c r="H20" i="17"/>
  <c r="M20" i="17"/>
  <c r="X20" i="17"/>
  <c r="Y20" i="17"/>
  <c r="Z20" i="17"/>
  <c r="AA20" i="17"/>
  <c r="AB20" i="17" s="1"/>
  <c r="C21" i="17"/>
  <c r="H21" i="17"/>
  <c r="M21" i="17"/>
  <c r="X21" i="17"/>
  <c r="Y21" i="17"/>
  <c r="Z21" i="17"/>
  <c r="AA21" i="17"/>
  <c r="AB21" i="17" s="1"/>
  <c r="C22" i="17"/>
  <c r="H22" i="17"/>
  <c r="M22" i="17"/>
  <c r="X22" i="17"/>
  <c r="Y22" i="17"/>
  <c r="Z22" i="17"/>
  <c r="AA22" i="17"/>
  <c r="AB22" i="17" s="1"/>
  <c r="C23" i="17"/>
  <c r="H23" i="17"/>
  <c r="M23" i="17"/>
  <c r="X23" i="17"/>
  <c r="Y23" i="17"/>
  <c r="Z23" i="17"/>
  <c r="AA23" i="17"/>
  <c r="AB23" i="17" s="1"/>
  <c r="C24" i="17"/>
  <c r="H24" i="17"/>
  <c r="M24" i="17"/>
  <c r="X24" i="17"/>
  <c r="Y24" i="17"/>
  <c r="Z24" i="17"/>
  <c r="AA24" i="17"/>
  <c r="AB24" i="17" s="1"/>
  <c r="C25" i="17"/>
  <c r="H25" i="17"/>
  <c r="M25" i="17"/>
  <c r="X25" i="17"/>
  <c r="Y25" i="17"/>
  <c r="Z25" i="17"/>
  <c r="AA25" i="17"/>
  <c r="AB25" i="17" s="1"/>
  <c r="C26" i="17"/>
  <c r="H26" i="17"/>
  <c r="M26" i="17"/>
  <c r="X26" i="17"/>
  <c r="Y26" i="17"/>
  <c r="Z26" i="17"/>
  <c r="AA26" i="17"/>
  <c r="AB26" i="17" s="1"/>
  <c r="C27" i="17"/>
  <c r="H27" i="17"/>
  <c r="M27" i="17"/>
  <c r="Y27" i="17"/>
  <c r="Z27" i="17"/>
  <c r="AA27" i="17"/>
  <c r="AB27" i="17"/>
  <c r="C28" i="17"/>
  <c r="H28" i="17"/>
  <c r="M28" i="17"/>
  <c r="Y28" i="17"/>
  <c r="Z28" i="17"/>
  <c r="AA28" i="17"/>
  <c r="AB28" i="17" s="1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E3" i="14" l="1"/>
  <c r="B3" i="14"/>
  <c r="U3" i="17" l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Z11" i="17"/>
  <c r="Y11" i="17"/>
  <c r="X11" i="17"/>
  <c r="H11" i="17"/>
  <c r="AA10" i="17"/>
  <c r="Z10" i="17"/>
  <c r="Y10" i="17"/>
  <c r="Y9" i="17" s="1"/>
  <c r="D6" i="17" s="1"/>
  <c r="X10" i="17"/>
  <c r="H10" i="17"/>
  <c r="D53" i="16"/>
  <c r="E50" i="16"/>
  <c r="A44" i="16"/>
  <c r="M3" i="16"/>
  <c r="M2" i="16"/>
  <c r="M1" i="16"/>
  <c r="AB10" i="17" l="1"/>
  <c r="AB11" i="17"/>
  <c r="X27" i="17"/>
  <c r="X28" i="17"/>
  <c r="AB9" i="17"/>
  <c r="G5" i="17" s="1"/>
  <c r="Z9" i="17"/>
  <c r="I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U837" i="14"/>
  <c r="T837" i="14"/>
  <c r="S837" i="14"/>
  <c r="R837" i="14"/>
  <c r="Q837" i="14"/>
  <c r="P837" i="14"/>
  <c r="O837" i="14"/>
  <c r="N837" i="14"/>
  <c r="M837" i="14"/>
  <c r="L837" i="14"/>
  <c r="W836" i="14"/>
  <c r="V836" i="14"/>
  <c r="U836" i="14"/>
  <c r="T836" i="14"/>
  <c r="S836" i="14"/>
  <c r="R836" i="14"/>
  <c r="Q836" i="14"/>
  <c r="P836" i="14"/>
  <c r="O836" i="14"/>
  <c r="N836" i="14"/>
  <c r="M836" i="14"/>
  <c r="L836" i="14"/>
  <c r="W835" i="14"/>
  <c r="V835" i="14"/>
  <c r="U835" i="14"/>
  <c r="T835" i="14"/>
  <c r="S835" i="14"/>
  <c r="R835" i="14"/>
  <c r="Q835" i="14"/>
  <c r="P835" i="14"/>
  <c r="O835" i="14"/>
  <c r="N835" i="14"/>
  <c r="M835" i="14"/>
  <c r="L835" i="14"/>
  <c r="W834" i="14"/>
  <c r="V834" i="14"/>
  <c r="U834" i="14"/>
  <c r="T834" i="14"/>
  <c r="S834" i="14"/>
  <c r="R834" i="14"/>
  <c r="Q834" i="14"/>
  <c r="P834" i="14"/>
  <c r="O834" i="14"/>
  <c r="N834" i="14"/>
  <c r="M834" i="14"/>
  <c r="L834" i="14"/>
  <c r="W833" i="14"/>
  <c r="V833" i="14"/>
  <c r="U833" i="14"/>
  <c r="T833" i="14"/>
  <c r="S833" i="14"/>
  <c r="R833" i="14"/>
  <c r="Q833" i="14"/>
  <c r="P833" i="14"/>
  <c r="O833" i="14"/>
  <c r="N833" i="14"/>
  <c r="M833" i="14"/>
  <c r="L833" i="14"/>
  <c r="W832" i="14"/>
  <c r="V832" i="14"/>
  <c r="U832" i="14"/>
  <c r="T832" i="14"/>
  <c r="S832" i="14"/>
  <c r="R832" i="14"/>
  <c r="Q832" i="14"/>
  <c r="P832" i="14"/>
  <c r="O832" i="14"/>
  <c r="N832" i="14"/>
  <c r="M832" i="14"/>
  <c r="L832" i="14"/>
  <c r="W831" i="14"/>
  <c r="V831" i="14"/>
  <c r="U831" i="14"/>
  <c r="T831" i="14"/>
  <c r="S831" i="14"/>
  <c r="R831" i="14"/>
  <c r="Q831" i="14"/>
  <c r="P831" i="14"/>
  <c r="O831" i="14"/>
  <c r="N831" i="14"/>
  <c r="M831" i="14"/>
  <c r="L831" i="14"/>
  <c r="W830" i="14"/>
  <c r="V830" i="14"/>
  <c r="U830" i="14"/>
  <c r="T830" i="14"/>
  <c r="S830" i="14"/>
  <c r="R830" i="14"/>
  <c r="Q830" i="14"/>
  <c r="P830" i="14"/>
  <c r="O830" i="14"/>
  <c r="N830" i="14"/>
  <c r="M830" i="14"/>
  <c r="L830" i="14"/>
  <c r="W829" i="14"/>
  <c r="V829" i="14"/>
  <c r="U829" i="14"/>
  <c r="T829" i="14"/>
  <c r="S829" i="14"/>
  <c r="R829" i="14"/>
  <c r="Q829" i="14"/>
  <c r="P829" i="14"/>
  <c r="O829" i="14"/>
  <c r="N829" i="14"/>
  <c r="M829" i="14"/>
  <c r="L829" i="14"/>
  <c r="W828" i="14"/>
  <c r="V828" i="14"/>
  <c r="U828" i="14"/>
  <c r="T828" i="14"/>
  <c r="S828" i="14"/>
  <c r="R828" i="14"/>
  <c r="Q828" i="14"/>
  <c r="P828" i="14"/>
  <c r="O828" i="14"/>
  <c r="N828" i="14"/>
  <c r="M828" i="14"/>
  <c r="L828" i="14"/>
  <c r="W827" i="14"/>
  <c r="V827" i="14"/>
  <c r="U827" i="14"/>
  <c r="T827" i="14"/>
  <c r="S827" i="14"/>
  <c r="R827" i="14"/>
  <c r="Q827" i="14"/>
  <c r="P827" i="14"/>
  <c r="O827" i="14"/>
  <c r="N827" i="14"/>
  <c r="M827" i="14"/>
  <c r="L827" i="14"/>
  <c r="W826" i="14"/>
  <c r="V826" i="14"/>
  <c r="U826" i="14"/>
  <c r="T826" i="14"/>
  <c r="S826" i="14"/>
  <c r="R826" i="14"/>
  <c r="Q826" i="14"/>
  <c r="P826" i="14"/>
  <c r="O826" i="14"/>
  <c r="N826" i="14"/>
  <c r="M826" i="14"/>
  <c r="L826" i="14"/>
  <c r="W825" i="14"/>
  <c r="V825" i="14"/>
  <c r="U825" i="14"/>
  <c r="T825" i="14"/>
  <c r="S825" i="14"/>
  <c r="R825" i="14"/>
  <c r="Q825" i="14"/>
  <c r="P825" i="14"/>
  <c r="O825" i="14"/>
  <c r="N825" i="14"/>
  <c r="M825" i="14"/>
  <c r="L825" i="14"/>
  <c r="W824" i="14"/>
  <c r="V824" i="14"/>
  <c r="U824" i="14"/>
  <c r="T824" i="14"/>
  <c r="S824" i="14"/>
  <c r="R824" i="14"/>
  <c r="Q824" i="14"/>
  <c r="P824" i="14"/>
  <c r="O824" i="14"/>
  <c r="N824" i="14"/>
  <c r="M824" i="14"/>
  <c r="L824" i="14"/>
  <c r="W823" i="14"/>
  <c r="V823" i="14"/>
  <c r="U823" i="14"/>
  <c r="T823" i="14"/>
  <c r="S823" i="14"/>
  <c r="R823" i="14"/>
  <c r="Q823" i="14"/>
  <c r="P823" i="14"/>
  <c r="O823" i="14"/>
  <c r="N823" i="14"/>
  <c r="M823" i="14"/>
  <c r="L823" i="14"/>
  <c r="W822" i="14"/>
  <c r="V822" i="14"/>
  <c r="U822" i="14"/>
  <c r="T822" i="14"/>
  <c r="S822" i="14"/>
  <c r="R822" i="14"/>
  <c r="Q822" i="14"/>
  <c r="P822" i="14"/>
  <c r="O822" i="14"/>
  <c r="N822" i="14"/>
  <c r="M822" i="14"/>
  <c r="L822" i="14"/>
  <c r="W821" i="14"/>
  <c r="V821" i="14"/>
  <c r="U821" i="14"/>
  <c r="T821" i="14"/>
  <c r="S821" i="14"/>
  <c r="R821" i="14"/>
  <c r="Q821" i="14"/>
  <c r="P821" i="14"/>
  <c r="O821" i="14"/>
  <c r="N821" i="14"/>
  <c r="M821" i="14"/>
  <c r="L821" i="14"/>
  <c r="W820" i="14"/>
  <c r="V820" i="14"/>
  <c r="U820" i="14"/>
  <c r="T820" i="14"/>
  <c r="S820" i="14"/>
  <c r="R820" i="14"/>
  <c r="Q820" i="14"/>
  <c r="P820" i="14"/>
  <c r="O820" i="14"/>
  <c r="N820" i="14"/>
  <c r="M820" i="14"/>
  <c r="L820" i="14"/>
  <c r="W819" i="14"/>
  <c r="V819" i="14"/>
  <c r="U819" i="14"/>
  <c r="T819" i="14"/>
  <c r="S819" i="14"/>
  <c r="R819" i="14"/>
  <c r="Q819" i="14"/>
  <c r="P819" i="14"/>
  <c r="O819" i="14"/>
  <c r="N819" i="14"/>
  <c r="M819" i="14"/>
  <c r="L819" i="14"/>
  <c r="W818" i="14"/>
  <c r="V818" i="14"/>
  <c r="U818" i="14"/>
  <c r="T818" i="14"/>
  <c r="S818" i="14"/>
  <c r="R818" i="14"/>
  <c r="Q818" i="14"/>
  <c r="P818" i="14"/>
  <c r="O818" i="14"/>
  <c r="N818" i="14"/>
  <c r="M818" i="14"/>
  <c r="L818" i="14"/>
  <c r="W817" i="14"/>
  <c r="V817" i="14"/>
  <c r="U817" i="14"/>
  <c r="T817" i="14"/>
  <c r="S817" i="14"/>
  <c r="R817" i="14"/>
  <c r="Q817" i="14"/>
  <c r="P817" i="14"/>
  <c r="O817" i="14"/>
  <c r="N817" i="14"/>
  <c r="M817" i="14"/>
  <c r="L817" i="14"/>
  <c r="W816" i="14"/>
  <c r="V816" i="14"/>
  <c r="U816" i="14"/>
  <c r="T816" i="14"/>
  <c r="S816" i="14"/>
  <c r="R816" i="14"/>
  <c r="Q816" i="14"/>
  <c r="P816" i="14"/>
  <c r="O816" i="14"/>
  <c r="N816" i="14"/>
  <c r="M816" i="14"/>
  <c r="L816" i="14"/>
  <c r="W815" i="14"/>
  <c r="V815" i="14"/>
  <c r="U815" i="14"/>
  <c r="T815" i="14"/>
  <c r="S815" i="14"/>
  <c r="R815" i="14"/>
  <c r="Q815" i="14"/>
  <c r="P815" i="14"/>
  <c r="O815" i="14"/>
  <c r="N815" i="14"/>
  <c r="M815" i="14"/>
  <c r="L815" i="14"/>
  <c r="W814" i="14"/>
  <c r="V814" i="14"/>
  <c r="U814" i="14"/>
  <c r="T814" i="14"/>
  <c r="S814" i="14"/>
  <c r="R814" i="14"/>
  <c r="Q814" i="14"/>
  <c r="P814" i="14"/>
  <c r="O814" i="14"/>
  <c r="N814" i="14"/>
  <c r="M814" i="14"/>
  <c r="L814" i="14"/>
  <c r="W813" i="14"/>
  <c r="V813" i="14"/>
  <c r="U813" i="14"/>
  <c r="T813" i="14"/>
  <c r="S813" i="14"/>
  <c r="R813" i="14"/>
  <c r="Q813" i="14"/>
  <c r="P813" i="14"/>
  <c r="O813" i="14"/>
  <c r="N813" i="14"/>
  <c r="M813" i="14"/>
  <c r="L813" i="14"/>
  <c r="W812" i="14"/>
  <c r="V812" i="14"/>
  <c r="U812" i="14"/>
  <c r="T812" i="14"/>
  <c r="S812" i="14"/>
  <c r="R812" i="14"/>
  <c r="Q812" i="14"/>
  <c r="P812" i="14"/>
  <c r="O812" i="14"/>
  <c r="N812" i="14"/>
  <c r="M812" i="14"/>
  <c r="L812" i="14"/>
  <c r="W811" i="14"/>
  <c r="V811" i="14"/>
  <c r="U811" i="14"/>
  <c r="T811" i="14"/>
  <c r="S811" i="14"/>
  <c r="R811" i="14"/>
  <c r="Q811" i="14"/>
  <c r="P811" i="14"/>
  <c r="O811" i="14"/>
  <c r="N811" i="14"/>
  <c r="M811" i="14"/>
  <c r="L811" i="14"/>
  <c r="W810" i="14"/>
  <c r="V810" i="14"/>
  <c r="U810" i="14"/>
  <c r="T810" i="14"/>
  <c r="S810" i="14"/>
  <c r="R810" i="14"/>
  <c r="Q810" i="14"/>
  <c r="P810" i="14"/>
  <c r="O810" i="14"/>
  <c r="N810" i="14"/>
  <c r="M810" i="14"/>
  <c r="L810" i="14"/>
  <c r="W809" i="14"/>
  <c r="V809" i="14"/>
  <c r="U809" i="14"/>
  <c r="T809" i="14"/>
  <c r="S809" i="14"/>
  <c r="R809" i="14"/>
  <c r="Q809" i="14"/>
  <c r="P809" i="14"/>
  <c r="O809" i="14"/>
  <c r="N809" i="14"/>
  <c r="M809" i="14"/>
  <c r="L809" i="14"/>
  <c r="W808" i="14"/>
  <c r="V808" i="14"/>
  <c r="U808" i="14"/>
  <c r="T808" i="14"/>
  <c r="S808" i="14"/>
  <c r="R808" i="14"/>
  <c r="Q808" i="14"/>
  <c r="P808" i="14"/>
  <c r="O808" i="14"/>
  <c r="N808" i="14"/>
  <c r="M808" i="14"/>
  <c r="L808" i="14"/>
  <c r="W807" i="14"/>
  <c r="V807" i="14"/>
  <c r="U807" i="14"/>
  <c r="T807" i="14"/>
  <c r="S807" i="14"/>
  <c r="R807" i="14"/>
  <c r="Q807" i="14"/>
  <c r="P807" i="14"/>
  <c r="O807" i="14"/>
  <c r="N807" i="14"/>
  <c r="M807" i="14"/>
  <c r="L807" i="14"/>
  <c r="W806" i="14"/>
  <c r="V806" i="14"/>
  <c r="U806" i="14"/>
  <c r="T806" i="14"/>
  <c r="S806" i="14"/>
  <c r="R806" i="14"/>
  <c r="Q806" i="14"/>
  <c r="P806" i="14"/>
  <c r="O806" i="14"/>
  <c r="N806" i="14"/>
  <c r="M806" i="14"/>
  <c r="L806" i="14"/>
  <c r="W805" i="14"/>
  <c r="V805" i="14"/>
  <c r="U805" i="14"/>
  <c r="T805" i="14"/>
  <c r="S805" i="14"/>
  <c r="R805" i="14"/>
  <c r="Q805" i="14"/>
  <c r="P805" i="14"/>
  <c r="O805" i="14"/>
  <c r="N805" i="14"/>
  <c r="M805" i="14"/>
  <c r="L805" i="14"/>
  <c r="W804" i="14"/>
  <c r="V804" i="14"/>
  <c r="U804" i="14"/>
  <c r="T804" i="14"/>
  <c r="S804" i="14"/>
  <c r="R804" i="14"/>
  <c r="Q804" i="14"/>
  <c r="P804" i="14"/>
  <c r="O804" i="14"/>
  <c r="N804" i="14"/>
  <c r="M804" i="14"/>
  <c r="L804" i="14"/>
  <c r="W803" i="14"/>
  <c r="V803" i="14"/>
  <c r="U803" i="14"/>
  <c r="T803" i="14"/>
  <c r="S803" i="14"/>
  <c r="R803" i="14"/>
  <c r="Q803" i="14"/>
  <c r="P803" i="14"/>
  <c r="O803" i="14"/>
  <c r="N803" i="14"/>
  <c r="M803" i="14"/>
  <c r="L803" i="14"/>
  <c r="W802" i="14"/>
  <c r="V802" i="14"/>
  <c r="U802" i="14"/>
  <c r="T802" i="14"/>
  <c r="S802" i="14"/>
  <c r="R802" i="14"/>
  <c r="Q802" i="14"/>
  <c r="P802" i="14"/>
  <c r="O802" i="14"/>
  <c r="N802" i="14"/>
  <c r="M802" i="14"/>
  <c r="L802" i="14"/>
  <c r="W801" i="14"/>
  <c r="V801" i="14"/>
  <c r="U801" i="14"/>
  <c r="T801" i="14"/>
  <c r="S801" i="14"/>
  <c r="R801" i="14"/>
  <c r="Q801" i="14"/>
  <c r="P801" i="14"/>
  <c r="O801" i="14"/>
  <c r="N801" i="14"/>
  <c r="M801" i="14"/>
  <c r="L801" i="14"/>
  <c r="W800" i="14"/>
  <c r="V800" i="14"/>
  <c r="U800" i="14"/>
  <c r="T800" i="14"/>
  <c r="S800" i="14"/>
  <c r="R800" i="14"/>
  <c r="Q800" i="14"/>
  <c r="P800" i="14"/>
  <c r="O800" i="14"/>
  <c r="N800" i="14"/>
  <c r="M800" i="14"/>
  <c r="L800" i="14"/>
  <c r="W799" i="14"/>
  <c r="V799" i="14"/>
  <c r="U799" i="14"/>
  <c r="T799" i="14"/>
  <c r="S799" i="14"/>
  <c r="R799" i="14"/>
  <c r="Q799" i="14"/>
  <c r="P799" i="14"/>
  <c r="O799" i="14"/>
  <c r="N799" i="14"/>
  <c r="M799" i="14"/>
  <c r="L799" i="14"/>
  <c r="W798" i="14"/>
  <c r="V798" i="14"/>
  <c r="U798" i="14"/>
  <c r="T798" i="14"/>
  <c r="S798" i="14"/>
  <c r="R798" i="14"/>
  <c r="Q798" i="14"/>
  <c r="P798" i="14"/>
  <c r="O798" i="14"/>
  <c r="N798" i="14"/>
  <c r="M798" i="14"/>
  <c r="L798" i="14"/>
  <c r="W797" i="14"/>
  <c r="V797" i="14"/>
  <c r="U797" i="14"/>
  <c r="T797" i="14"/>
  <c r="S797" i="14"/>
  <c r="R797" i="14"/>
  <c r="Q797" i="14"/>
  <c r="P797" i="14"/>
  <c r="O797" i="14"/>
  <c r="N797" i="14"/>
  <c r="M797" i="14"/>
  <c r="L797" i="14"/>
  <c r="W796" i="14"/>
  <c r="V796" i="14"/>
  <c r="U796" i="14"/>
  <c r="T796" i="14"/>
  <c r="S796" i="14"/>
  <c r="R796" i="14"/>
  <c r="Q796" i="14"/>
  <c r="P796" i="14"/>
  <c r="O796" i="14"/>
  <c r="N796" i="14"/>
  <c r="M796" i="14"/>
  <c r="L796" i="14"/>
  <c r="W795" i="14"/>
  <c r="V795" i="14"/>
  <c r="U795" i="14"/>
  <c r="T795" i="14"/>
  <c r="S795" i="14"/>
  <c r="R795" i="14"/>
  <c r="Q795" i="14"/>
  <c r="P795" i="14"/>
  <c r="O795" i="14"/>
  <c r="N795" i="14"/>
  <c r="M795" i="14"/>
  <c r="L795" i="14"/>
  <c r="W794" i="14"/>
  <c r="V794" i="14"/>
  <c r="U794" i="14"/>
  <c r="T794" i="14"/>
  <c r="S794" i="14"/>
  <c r="R794" i="14"/>
  <c r="Q794" i="14"/>
  <c r="P794" i="14"/>
  <c r="O794" i="14"/>
  <c r="N794" i="14"/>
  <c r="M794" i="14"/>
  <c r="L794" i="14"/>
  <c r="W793" i="14"/>
  <c r="V793" i="14"/>
  <c r="U793" i="14"/>
  <c r="T793" i="14"/>
  <c r="S793" i="14"/>
  <c r="R793" i="14"/>
  <c r="Q793" i="14"/>
  <c r="P793" i="14"/>
  <c r="O793" i="14"/>
  <c r="N793" i="14"/>
  <c r="M793" i="14"/>
  <c r="L793" i="14"/>
  <c r="W792" i="14"/>
  <c r="V792" i="14"/>
  <c r="U792" i="14"/>
  <c r="T792" i="14"/>
  <c r="S792" i="14"/>
  <c r="R792" i="14"/>
  <c r="Q792" i="14"/>
  <c r="P792" i="14"/>
  <c r="O792" i="14"/>
  <c r="N792" i="14"/>
  <c r="M792" i="14"/>
  <c r="L792" i="14"/>
  <c r="W791" i="14"/>
  <c r="V791" i="14"/>
  <c r="U791" i="14"/>
  <c r="T791" i="14"/>
  <c r="S791" i="14"/>
  <c r="R791" i="14"/>
  <c r="Q791" i="14"/>
  <c r="P791" i="14"/>
  <c r="O791" i="14"/>
  <c r="N791" i="14"/>
  <c r="M791" i="14"/>
  <c r="L791" i="14"/>
  <c r="W790" i="14"/>
  <c r="V790" i="14"/>
  <c r="U790" i="14"/>
  <c r="T790" i="14"/>
  <c r="S790" i="14"/>
  <c r="R790" i="14"/>
  <c r="Q790" i="14"/>
  <c r="P790" i="14"/>
  <c r="O790" i="14"/>
  <c r="N790" i="14"/>
  <c r="M790" i="14"/>
  <c r="L790" i="14"/>
  <c r="W789" i="14"/>
  <c r="V789" i="14"/>
  <c r="U789" i="14"/>
  <c r="T789" i="14"/>
  <c r="S789" i="14"/>
  <c r="R789" i="14"/>
  <c r="Q789" i="14"/>
  <c r="P789" i="14"/>
  <c r="O789" i="14"/>
  <c r="N789" i="14"/>
  <c r="M789" i="14"/>
  <c r="L789" i="14"/>
  <c r="W788" i="14"/>
  <c r="V788" i="14"/>
  <c r="U788" i="14"/>
  <c r="T788" i="14"/>
  <c r="S788" i="14"/>
  <c r="R788" i="14"/>
  <c r="Q788" i="14"/>
  <c r="P788" i="14"/>
  <c r="O788" i="14"/>
  <c r="N788" i="14"/>
  <c r="M788" i="14"/>
  <c r="L788" i="14"/>
  <c r="W787" i="14"/>
  <c r="V787" i="14"/>
  <c r="U787" i="14"/>
  <c r="T787" i="14"/>
  <c r="S787" i="14"/>
  <c r="R787" i="14"/>
  <c r="Q787" i="14"/>
  <c r="P787" i="14"/>
  <c r="O787" i="14"/>
  <c r="N787" i="14"/>
  <c r="M787" i="14"/>
  <c r="L787" i="14"/>
  <c r="W786" i="14"/>
  <c r="V786" i="14"/>
  <c r="U786" i="14"/>
  <c r="T786" i="14"/>
  <c r="S786" i="14"/>
  <c r="R786" i="14"/>
  <c r="Q786" i="14"/>
  <c r="P786" i="14"/>
  <c r="O786" i="14"/>
  <c r="N786" i="14"/>
  <c r="M786" i="14"/>
  <c r="L786" i="14"/>
  <c r="W785" i="14"/>
  <c r="V785" i="14"/>
  <c r="U785" i="14"/>
  <c r="T785" i="14"/>
  <c r="S785" i="14"/>
  <c r="R785" i="14"/>
  <c r="Q785" i="14"/>
  <c r="P785" i="14"/>
  <c r="O785" i="14"/>
  <c r="N785" i="14"/>
  <c r="M785" i="14"/>
  <c r="L785" i="14"/>
  <c r="W784" i="14"/>
  <c r="V784" i="14"/>
  <c r="U784" i="14"/>
  <c r="T784" i="14"/>
  <c r="S784" i="14"/>
  <c r="R784" i="14"/>
  <c r="Q784" i="14"/>
  <c r="P784" i="14"/>
  <c r="O784" i="14"/>
  <c r="N784" i="14"/>
  <c r="M784" i="14"/>
  <c r="L784" i="14"/>
  <c r="W783" i="14"/>
  <c r="V783" i="14"/>
  <c r="U783" i="14"/>
  <c r="T783" i="14"/>
  <c r="S783" i="14"/>
  <c r="R783" i="14"/>
  <c r="Q783" i="14"/>
  <c r="P783" i="14"/>
  <c r="O783" i="14"/>
  <c r="N783" i="14"/>
  <c r="M783" i="14"/>
  <c r="L783" i="14"/>
  <c r="W782" i="14"/>
  <c r="V782" i="14"/>
  <c r="U782" i="14"/>
  <c r="T782" i="14"/>
  <c r="S782" i="14"/>
  <c r="R782" i="14"/>
  <c r="Q782" i="14"/>
  <c r="P782" i="14"/>
  <c r="O782" i="14"/>
  <c r="N782" i="14"/>
  <c r="M782" i="14"/>
  <c r="L782" i="14"/>
  <c r="W781" i="14"/>
  <c r="V781" i="14"/>
  <c r="U781" i="14"/>
  <c r="T781" i="14"/>
  <c r="S781" i="14"/>
  <c r="R781" i="14"/>
  <c r="Q781" i="14"/>
  <c r="P781" i="14"/>
  <c r="O781" i="14"/>
  <c r="N781" i="14"/>
  <c r="M781" i="14"/>
  <c r="L781" i="14"/>
  <c r="W780" i="14"/>
  <c r="V780" i="14"/>
  <c r="U780" i="14"/>
  <c r="T780" i="14"/>
  <c r="S780" i="14"/>
  <c r="R780" i="14"/>
  <c r="Q780" i="14"/>
  <c r="P780" i="14"/>
  <c r="O780" i="14"/>
  <c r="N780" i="14"/>
  <c r="M780" i="14"/>
  <c r="L780" i="14"/>
  <c r="W779" i="14"/>
  <c r="V779" i="14"/>
  <c r="U779" i="14"/>
  <c r="T779" i="14"/>
  <c r="S779" i="14"/>
  <c r="R779" i="14"/>
  <c r="Q779" i="14"/>
  <c r="P779" i="14"/>
  <c r="O779" i="14"/>
  <c r="N779" i="14"/>
  <c r="M779" i="14"/>
  <c r="L779" i="14"/>
  <c r="W778" i="14"/>
  <c r="V778" i="14"/>
  <c r="U778" i="14"/>
  <c r="T778" i="14"/>
  <c r="S778" i="14"/>
  <c r="R778" i="14"/>
  <c r="Q778" i="14"/>
  <c r="P778" i="14"/>
  <c r="O778" i="14"/>
  <c r="N778" i="14"/>
  <c r="M778" i="14"/>
  <c r="L778" i="14"/>
  <c r="W777" i="14"/>
  <c r="V777" i="14"/>
  <c r="U777" i="14"/>
  <c r="T777" i="14"/>
  <c r="S777" i="14"/>
  <c r="R777" i="14"/>
  <c r="Q777" i="14"/>
  <c r="P777" i="14"/>
  <c r="O777" i="14"/>
  <c r="N777" i="14"/>
  <c r="M777" i="14"/>
  <c r="L777" i="14"/>
  <c r="W776" i="14"/>
  <c r="V776" i="14"/>
  <c r="U776" i="14"/>
  <c r="T776" i="14"/>
  <c r="S776" i="14"/>
  <c r="R776" i="14"/>
  <c r="Q776" i="14"/>
  <c r="P776" i="14"/>
  <c r="O776" i="14"/>
  <c r="N776" i="14"/>
  <c r="M776" i="14"/>
  <c r="L776" i="14"/>
  <c r="W775" i="14"/>
  <c r="V775" i="14"/>
  <c r="U775" i="14"/>
  <c r="T775" i="14"/>
  <c r="S775" i="14"/>
  <c r="R775" i="14"/>
  <c r="Q775" i="14"/>
  <c r="P775" i="14"/>
  <c r="O775" i="14"/>
  <c r="N775" i="14"/>
  <c r="M775" i="14"/>
  <c r="L775" i="14"/>
  <c r="W774" i="14"/>
  <c r="V774" i="14"/>
  <c r="U774" i="14"/>
  <c r="T774" i="14"/>
  <c r="S774" i="14"/>
  <c r="R774" i="14"/>
  <c r="Q774" i="14"/>
  <c r="P774" i="14"/>
  <c r="O774" i="14"/>
  <c r="N774" i="14"/>
  <c r="M774" i="14"/>
  <c r="L774" i="14"/>
  <c r="W773" i="14"/>
  <c r="V773" i="14"/>
  <c r="U773" i="14"/>
  <c r="T773" i="14"/>
  <c r="S773" i="14"/>
  <c r="R773" i="14"/>
  <c r="Q773" i="14"/>
  <c r="P773" i="14"/>
  <c r="O773" i="14"/>
  <c r="N773" i="14"/>
  <c r="M773" i="14"/>
  <c r="L773" i="14"/>
  <c r="W772" i="14"/>
  <c r="V772" i="14"/>
  <c r="U772" i="14"/>
  <c r="T772" i="14"/>
  <c r="S772" i="14"/>
  <c r="R772" i="14"/>
  <c r="Q772" i="14"/>
  <c r="P772" i="14"/>
  <c r="O772" i="14"/>
  <c r="N772" i="14"/>
  <c r="M772" i="14"/>
  <c r="L772" i="14"/>
  <c r="W771" i="14"/>
  <c r="V771" i="14"/>
  <c r="U771" i="14"/>
  <c r="T771" i="14"/>
  <c r="S771" i="14"/>
  <c r="R771" i="14"/>
  <c r="Q771" i="14"/>
  <c r="P771" i="14"/>
  <c r="O771" i="14"/>
  <c r="N771" i="14"/>
  <c r="M771" i="14"/>
  <c r="L771" i="14"/>
  <c r="W770" i="14"/>
  <c r="V770" i="14"/>
  <c r="U770" i="14"/>
  <c r="T770" i="14"/>
  <c r="S770" i="14"/>
  <c r="R770" i="14"/>
  <c r="Q770" i="14"/>
  <c r="P770" i="14"/>
  <c r="O770" i="14"/>
  <c r="N770" i="14"/>
  <c r="M770" i="14"/>
  <c r="L770" i="14"/>
  <c r="W769" i="14"/>
  <c r="V769" i="14"/>
  <c r="U769" i="14"/>
  <c r="T769" i="14"/>
  <c r="S769" i="14"/>
  <c r="R769" i="14"/>
  <c r="Q769" i="14"/>
  <c r="P769" i="14"/>
  <c r="O769" i="14"/>
  <c r="N769" i="14"/>
  <c r="M769" i="14"/>
  <c r="L769" i="14"/>
  <c r="W768" i="14"/>
  <c r="V768" i="14"/>
  <c r="U768" i="14"/>
  <c r="T768" i="14"/>
  <c r="S768" i="14"/>
  <c r="R768" i="14"/>
  <c r="Q768" i="14"/>
  <c r="P768" i="14"/>
  <c r="O768" i="14"/>
  <c r="N768" i="14"/>
  <c r="M768" i="14"/>
  <c r="L768" i="14"/>
  <c r="W767" i="14"/>
  <c r="V767" i="14"/>
  <c r="U767" i="14"/>
  <c r="T767" i="14"/>
  <c r="S767" i="14"/>
  <c r="R767" i="14"/>
  <c r="Q767" i="14"/>
  <c r="P767" i="14"/>
  <c r="O767" i="14"/>
  <c r="N767" i="14"/>
  <c r="M767" i="14"/>
  <c r="L767" i="14"/>
  <c r="W766" i="14"/>
  <c r="V766" i="14"/>
  <c r="U766" i="14"/>
  <c r="T766" i="14"/>
  <c r="S766" i="14"/>
  <c r="R766" i="14"/>
  <c r="Q766" i="14"/>
  <c r="P766" i="14"/>
  <c r="O766" i="14"/>
  <c r="N766" i="14"/>
  <c r="M766" i="14"/>
  <c r="L766" i="14"/>
  <c r="W765" i="14"/>
  <c r="V765" i="14"/>
  <c r="U765" i="14"/>
  <c r="T765" i="14"/>
  <c r="S765" i="14"/>
  <c r="R765" i="14"/>
  <c r="Q765" i="14"/>
  <c r="P765" i="14"/>
  <c r="O765" i="14"/>
  <c r="N765" i="14"/>
  <c r="M765" i="14"/>
  <c r="L765" i="14"/>
  <c r="W764" i="14"/>
  <c r="V764" i="14"/>
  <c r="U764" i="14"/>
  <c r="T764" i="14"/>
  <c r="S764" i="14"/>
  <c r="R764" i="14"/>
  <c r="Q764" i="14"/>
  <c r="P764" i="14"/>
  <c r="O764" i="14"/>
  <c r="N764" i="14"/>
  <c r="M764" i="14"/>
  <c r="L764" i="14"/>
  <c r="W763" i="14"/>
  <c r="V763" i="14"/>
  <c r="U763" i="14"/>
  <c r="T763" i="14"/>
  <c r="S763" i="14"/>
  <c r="R763" i="14"/>
  <c r="Q763" i="14"/>
  <c r="P763" i="14"/>
  <c r="O763" i="14"/>
  <c r="N763" i="14"/>
  <c r="M763" i="14"/>
  <c r="L763" i="14"/>
  <c r="W762" i="14"/>
  <c r="V762" i="14"/>
  <c r="U762" i="14"/>
  <c r="T762" i="14"/>
  <c r="S762" i="14"/>
  <c r="R762" i="14"/>
  <c r="Q762" i="14"/>
  <c r="P762" i="14"/>
  <c r="O762" i="14"/>
  <c r="N762" i="14"/>
  <c r="M762" i="14"/>
  <c r="L762" i="14"/>
  <c r="W761" i="14"/>
  <c r="V761" i="14"/>
  <c r="U761" i="14"/>
  <c r="T761" i="14"/>
  <c r="S761" i="14"/>
  <c r="R761" i="14"/>
  <c r="Q761" i="14"/>
  <c r="P761" i="14"/>
  <c r="O761" i="14"/>
  <c r="N761" i="14"/>
  <c r="M761" i="14"/>
  <c r="L761" i="14"/>
  <c r="W760" i="14"/>
  <c r="V760" i="14"/>
  <c r="U760" i="14"/>
  <c r="T760" i="14"/>
  <c r="S760" i="14"/>
  <c r="R760" i="14"/>
  <c r="Q760" i="14"/>
  <c r="P760" i="14"/>
  <c r="O760" i="14"/>
  <c r="N760" i="14"/>
  <c r="M760" i="14"/>
  <c r="L760" i="14"/>
  <c r="W759" i="14"/>
  <c r="V759" i="14"/>
  <c r="U759" i="14"/>
  <c r="T759" i="14"/>
  <c r="S759" i="14"/>
  <c r="R759" i="14"/>
  <c r="Q759" i="14"/>
  <c r="P759" i="14"/>
  <c r="O759" i="14"/>
  <c r="N759" i="14"/>
  <c r="M759" i="14"/>
  <c r="L759" i="14"/>
  <c r="W758" i="14"/>
  <c r="V758" i="14"/>
  <c r="U758" i="14"/>
  <c r="T758" i="14"/>
  <c r="S758" i="14"/>
  <c r="R758" i="14"/>
  <c r="Q758" i="14"/>
  <c r="P758" i="14"/>
  <c r="O758" i="14"/>
  <c r="N758" i="14"/>
  <c r="M758" i="14"/>
  <c r="L758" i="14"/>
  <c r="W757" i="14"/>
  <c r="V757" i="14"/>
  <c r="U757" i="14"/>
  <c r="T757" i="14"/>
  <c r="S757" i="14"/>
  <c r="R757" i="14"/>
  <c r="Q757" i="14"/>
  <c r="P757" i="14"/>
  <c r="O757" i="14"/>
  <c r="N757" i="14"/>
  <c r="M757" i="14"/>
  <c r="L757" i="14"/>
  <c r="W756" i="14"/>
  <c r="V756" i="14"/>
  <c r="U756" i="14"/>
  <c r="T756" i="14"/>
  <c r="S756" i="14"/>
  <c r="R756" i="14"/>
  <c r="Q756" i="14"/>
  <c r="P756" i="14"/>
  <c r="O756" i="14"/>
  <c r="N756" i="14"/>
  <c r="M756" i="14"/>
  <c r="L756" i="14"/>
  <c r="W755" i="14"/>
  <c r="V755" i="14"/>
  <c r="U755" i="14"/>
  <c r="T755" i="14"/>
  <c r="S755" i="14"/>
  <c r="R755" i="14"/>
  <c r="Q755" i="14"/>
  <c r="P755" i="14"/>
  <c r="O755" i="14"/>
  <c r="N755" i="14"/>
  <c r="M755" i="14"/>
  <c r="L755" i="14"/>
  <c r="W754" i="14"/>
  <c r="V754" i="14"/>
  <c r="U754" i="14"/>
  <c r="T754" i="14"/>
  <c r="S754" i="14"/>
  <c r="R754" i="14"/>
  <c r="Q754" i="14"/>
  <c r="P754" i="14"/>
  <c r="O754" i="14"/>
  <c r="N754" i="14"/>
  <c r="M754" i="14"/>
  <c r="L754" i="14"/>
  <c r="W753" i="14"/>
  <c r="V753" i="14"/>
  <c r="U753" i="14"/>
  <c r="T753" i="14"/>
  <c r="S753" i="14"/>
  <c r="R753" i="14"/>
  <c r="Q753" i="14"/>
  <c r="P753" i="14"/>
  <c r="O753" i="14"/>
  <c r="N753" i="14"/>
  <c r="M753" i="14"/>
  <c r="L753" i="14"/>
  <c r="W752" i="14"/>
  <c r="V752" i="14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R734" i="14"/>
  <c r="S734" i="14" s="1"/>
  <c r="P734" i="14"/>
  <c r="Q734" i="14" s="1"/>
  <c r="O734" i="14"/>
  <c r="N734" i="14"/>
  <c r="L734" i="14"/>
  <c r="M734" i="14" s="1"/>
  <c r="V733" i="14"/>
  <c r="W733" i="14" s="1"/>
  <c r="T733" i="14"/>
  <c r="U733" i="14" s="1"/>
  <c r="S733" i="14"/>
  <c r="R733" i="14"/>
  <c r="P733" i="14"/>
  <c r="Q733" i="14" s="1"/>
  <c r="N733" i="14"/>
  <c r="O733" i="14" s="1"/>
  <c r="L733" i="14"/>
  <c r="M733" i="14" s="1"/>
  <c r="W732" i="14"/>
  <c r="V732" i="14"/>
  <c r="T732" i="14"/>
  <c r="U732" i="14" s="1"/>
  <c r="R732" i="14"/>
  <c r="S732" i="14" s="1"/>
  <c r="P732" i="14"/>
  <c r="Q732" i="14" s="1"/>
  <c r="O732" i="14"/>
  <c r="N732" i="14"/>
  <c r="L732" i="14"/>
  <c r="M732" i="14" s="1"/>
  <c r="V731" i="14"/>
  <c r="W731" i="14" s="1"/>
  <c r="T731" i="14"/>
  <c r="U731" i="14" s="1"/>
  <c r="S731" i="14"/>
  <c r="R731" i="14"/>
  <c r="P731" i="14"/>
  <c r="Q731" i="14" s="1"/>
  <c r="N731" i="14"/>
  <c r="O731" i="14" s="1"/>
  <c r="L731" i="14"/>
  <c r="M731" i="14" s="1"/>
  <c r="W730" i="14"/>
  <c r="V730" i="14"/>
  <c r="T730" i="14"/>
  <c r="U730" i="14" s="1"/>
  <c r="R730" i="14"/>
  <c r="S730" i="14" s="1"/>
  <c r="P730" i="14"/>
  <c r="Q730" i="14" s="1"/>
  <c r="O730" i="14"/>
  <c r="N730" i="14"/>
  <c r="L730" i="14"/>
  <c r="M730" i="14" s="1"/>
  <c r="V729" i="14"/>
  <c r="W729" i="14" s="1"/>
  <c r="T729" i="14"/>
  <c r="U729" i="14" s="1"/>
  <c r="S729" i="14"/>
  <c r="R729" i="14"/>
  <c r="P729" i="14"/>
  <c r="Q729" i="14" s="1"/>
  <c r="N729" i="14"/>
  <c r="O729" i="14" s="1"/>
  <c r="L729" i="14"/>
  <c r="M729" i="14" s="1"/>
  <c r="W728" i="14"/>
  <c r="V728" i="14"/>
  <c r="T728" i="14"/>
  <c r="U728" i="14" s="1"/>
  <c r="R728" i="14"/>
  <c r="S728" i="14" s="1"/>
  <c r="P728" i="14"/>
  <c r="Q728" i="14" s="1"/>
  <c r="O728" i="14"/>
  <c r="N728" i="14"/>
  <c r="L728" i="14"/>
  <c r="M728" i="14" s="1"/>
  <c r="V727" i="14"/>
  <c r="W727" i="14" s="1"/>
  <c r="T727" i="14"/>
  <c r="U727" i="14" s="1"/>
  <c r="S727" i="14"/>
  <c r="R727" i="14"/>
  <c r="P727" i="14"/>
  <c r="Q727" i="14" s="1"/>
  <c r="N727" i="14"/>
  <c r="O727" i="14" s="1"/>
  <c r="L727" i="14"/>
  <c r="M727" i="14" s="1"/>
  <c r="W726" i="14"/>
  <c r="V726" i="14"/>
  <c r="T726" i="14"/>
  <c r="U726" i="14" s="1"/>
  <c r="R726" i="14"/>
  <c r="S726" i="14" s="1"/>
  <c r="P726" i="14"/>
  <c r="Q726" i="14" s="1"/>
  <c r="O726" i="14"/>
  <c r="N726" i="14"/>
  <c r="L726" i="14"/>
  <c r="M726" i="14" s="1"/>
  <c r="V725" i="14"/>
  <c r="W725" i="14" s="1"/>
  <c r="T725" i="14"/>
  <c r="U725" i="14" s="1"/>
  <c r="S725" i="14"/>
  <c r="R725" i="14"/>
  <c r="P725" i="14"/>
  <c r="Q725" i="14" s="1"/>
  <c r="N725" i="14"/>
  <c r="O725" i="14" s="1"/>
  <c r="L725" i="14"/>
  <c r="M725" i="14" s="1"/>
  <c r="W724" i="14"/>
  <c r="V724" i="14"/>
  <c r="T724" i="14"/>
  <c r="U724" i="14" s="1"/>
  <c r="R724" i="14"/>
  <c r="S724" i="14" s="1"/>
  <c r="P724" i="14"/>
  <c r="Q724" i="14" s="1"/>
  <c r="O724" i="14"/>
  <c r="N724" i="14"/>
  <c r="L724" i="14"/>
  <c r="M724" i="14" s="1"/>
  <c r="V723" i="14"/>
  <c r="W723" i="14" s="1"/>
  <c r="T723" i="14"/>
  <c r="U723" i="14" s="1"/>
  <c r="S723" i="14"/>
  <c r="R723" i="14"/>
  <c r="P723" i="14"/>
  <c r="Q723" i="14" s="1"/>
  <c r="N723" i="14"/>
  <c r="O723" i="14" s="1"/>
  <c r="L723" i="14"/>
  <c r="M723" i="14" s="1"/>
  <c r="W722" i="14"/>
  <c r="V722" i="14"/>
  <c r="T722" i="14"/>
  <c r="U722" i="14" s="1"/>
  <c r="R722" i="14"/>
  <c r="S722" i="14" s="1"/>
  <c r="P722" i="14"/>
  <c r="Q722" i="14" s="1"/>
  <c r="O722" i="14"/>
  <c r="N722" i="14"/>
  <c r="L722" i="14"/>
  <c r="M722" i="14" s="1"/>
  <c r="V721" i="14"/>
  <c r="W721" i="14" s="1"/>
  <c r="T721" i="14"/>
  <c r="U721" i="14" s="1"/>
  <c r="S721" i="14"/>
  <c r="R721" i="14"/>
  <c r="P721" i="14"/>
  <c r="Q721" i="14" s="1"/>
  <c r="N721" i="14"/>
  <c r="O721" i="14" s="1"/>
  <c r="L721" i="14"/>
  <c r="M721" i="14" s="1"/>
  <c r="W720" i="14"/>
  <c r="V720" i="14"/>
  <c r="T720" i="14"/>
  <c r="U720" i="14" s="1"/>
  <c r="R720" i="14"/>
  <c r="S720" i="14" s="1"/>
  <c r="P720" i="14"/>
  <c r="Q720" i="14" s="1"/>
  <c r="O720" i="14"/>
  <c r="N720" i="14"/>
  <c r="L720" i="14"/>
  <c r="M720" i="14" s="1"/>
  <c r="V719" i="14"/>
  <c r="W719" i="14" s="1"/>
  <c r="T719" i="14"/>
  <c r="U719" i="14" s="1"/>
  <c r="S719" i="14"/>
  <c r="R719" i="14"/>
  <c r="P719" i="14"/>
  <c r="Q719" i="14" s="1"/>
  <c r="N719" i="14"/>
  <c r="O719" i="14" s="1"/>
  <c r="L719" i="14"/>
  <c r="M719" i="14" s="1"/>
  <c r="W718" i="14"/>
  <c r="V718" i="14"/>
  <c r="T718" i="14"/>
  <c r="U718" i="14" s="1"/>
  <c r="R718" i="14"/>
  <c r="S718" i="14" s="1"/>
  <c r="P718" i="14"/>
  <c r="Q718" i="14" s="1"/>
  <c r="O718" i="14"/>
  <c r="N718" i="14"/>
  <c r="L718" i="14"/>
  <c r="M718" i="14" s="1"/>
  <c r="V717" i="14"/>
  <c r="W717" i="14" s="1"/>
  <c r="T717" i="14"/>
  <c r="U717" i="14" s="1"/>
  <c r="S717" i="14"/>
  <c r="R717" i="14"/>
  <c r="P717" i="14"/>
  <c r="Q717" i="14" s="1"/>
  <c r="N717" i="14"/>
  <c r="O717" i="14" s="1"/>
  <c r="L717" i="14"/>
  <c r="M717" i="14" s="1"/>
  <c r="W716" i="14"/>
  <c r="V716" i="14"/>
  <c r="T716" i="14"/>
  <c r="U716" i="14" s="1"/>
  <c r="R716" i="14"/>
  <c r="S716" i="14" s="1"/>
  <c r="P716" i="14"/>
  <c r="Q716" i="14" s="1"/>
  <c r="O716" i="14"/>
  <c r="N716" i="14"/>
  <c r="L716" i="14"/>
  <c r="M716" i="14" s="1"/>
  <c r="V715" i="14"/>
  <c r="W715" i="14" s="1"/>
  <c r="T715" i="14"/>
  <c r="U715" i="14" s="1"/>
  <c r="S715" i="14"/>
  <c r="R715" i="14"/>
  <c r="P715" i="14"/>
  <c r="Q715" i="14" s="1"/>
  <c r="N715" i="14"/>
  <c r="O715" i="14" s="1"/>
  <c r="L715" i="14"/>
  <c r="M715" i="14" s="1"/>
  <c r="W714" i="14"/>
  <c r="V714" i="14"/>
  <c r="T714" i="14"/>
  <c r="U714" i="14" s="1"/>
  <c r="R714" i="14"/>
  <c r="S714" i="14" s="1"/>
  <c r="P714" i="14"/>
  <c r="Q714" i="14" s="1"/>
  <c r="O714" i="14"/>
  <c r="N714" i="14"/>
  <c r="L714" i="14"/>
  <c r="M714" i="14" s="1"/>
  <c r="V713" i="14"/>
  <c r="W713" i="14" s="1"/>
  <c r="T713" i="14"/>
  <c r="U713" i="14" s="1"/>
  <c r="S713" i="14"/>
  <c r="R713" i="14"/>
  <c r="P713" i="14"/>
  <c r="Q713" i="14" s="1"/>
  <c r="N713" i="14"/>
  <c r="O713" i="14" s="1"/>
  <c r="L713" i="14"/>
  <c r="M713" i="14" s="1"/>
  <c r="W712" i="14"/>
  <c r="V712" i="14"/>
  <c r="T712" i="14"/>
  <c r="U712" i="14" s="1"/>
  <c r="R712" i="14"/>
  <c r="S712" i="14" s="1"/>
  <c r="P712" i="14"/>
  <c r="Q712" i="14" s="1"/>
  <c r="O712" i="14"/>
  <c r="N712" i="14"/>
  <c r="L712" i="14"/>
  <c r="M712" i="14" s="1"/>
  <c r="V711" i="14"/>
  <c r="W711" i="14" s="1"/>
  <c r="T711" i="14"/>
  <c r="U711" i="14" s="1"/>
  <c r="S711" i="14"/>
  <c r="R711" i="14"/>
  <c r="P711" i="14"/>
  <c r="Q711" i="14" s="1"/>
  <c r="N711" i="14"/>
  <c r="O711" i="14" s="1"/>
  <c r="L711" i="14"/>
  <c r="M711" i="14" s="1"/>
  <c r="W710" i="14"/>
  <c r="V710" i="14"/>
  <c r="T710" i="14"/>
  <c r="U710" i="14" s="1"/>
  <c r="R710" i="14"/>
  <c r="S710" i="14" s="1"/>
  <c r="P710" i="14"/>
  <c r="Q710" i="14" s="1"/>
  <c r="O710" i="14"/>
  <c r="N710" i="14"/>
  <c r="L710" i="14"/>
  <c r="M710" i="14" s="1"/>
  <c r="V709" i="14"/>
  <c r="W709" i="14" s="1"/>
  <c r="T709" i="14"/>
  <c r="U709" i="14" s="1"/>
  <c r="S709" i="14"/>
  <c r="R709" i="14"/>
  <c r="P709" i="14"/>
  <c r="Q709" i="14" s="1"/>
  <c r="N709" i="14"/>
  <c r="O709" i="14" s="1"/>
  <c r="L709" i="14"/>
  <c r="M709" i="14" s="1"/>
  <c r="W708" i="14"/>
  <c r="V708" i="14"/>
  <c r="T708" i="14"/>
  <c r="U708" i="14" s="1"/>
  <c r="R708" i="14"/>
  <c r="S708" i="14" s="1"/>
  <c r="P708" i="14"/>
  <c r="Q708" i="14" s="1"/>
  <c r="O708" i="14"/>
  <c r="N708" i="14"/>
  <c r="L708" i="14"/>
  <c r="M708" i="14" s="1"/>
  <c r="V707" i="14"/>
  <c r="W707" i="14" s="1"/>
  <c r="T707" i="14"/>
  <c r="U707" i="14" s="1"/>
  <c r="S707" i="14"/>
  <c r="R707" i="14"/>
  <c r="P707" i="14"/>
  <c r="Q707" i="14" s="1"/>
  <c r="N707" i="14"/>
  <c r="O707" i="14" s="1"/>
  <c r="L707" i="14"/>
  <c r="M707" i="14" s="1"/>
  <c r="W706" i="14"/>
  <c r="V706" i="14"/>
  <c r="T706" i="14"/>
  <c r="U706" i="14" s="1"/>
  <c r="R706" i="14"/>
  <c r="S706" i="14" s="1"/>
  <c r="P706" i="14"/>
  <c r="Q706" i="14" s="1"/>
  <c r="O706" i="14"/>
  <c r="N706" i="14"/>
  <c r="L706" i="14"/>
  <c r="M706" i="14" s="1"/>
  <c r="V705" i="14"/>
  <c r="W705" i="14" s="1"/>
  <c r="T705" i="14"/>
  <c r="U705" i="14" s="1"/>
  <c r="S705" i="14"/>
  <c r="R705" i="14"/>
  <c r="P705" i="14"/>
  <c r="Q705" i="14" s="1"/>
  <c r="N705" i="14"/>
  <c r="O705" i="14" s="1"/>
  <c r="L705" i="14"/>
  <c r="M705" i="14" s="1"/>
  <c r="W704" i="14"/>
  <c r="V704" i="14"/>
  <c r="T704" i="14"/>
  <c r="U704" i="14" s="1"/>
  <c r="R704" i="14"/>
  <c r="S704" i="14" s="1"/>
  <c r="P704" i="14"/>
  <c r="Q704" i="14" s="1"/>
  <c r="O704" i="14"/>
  <c r="N704" i="14"/>
  <c r="L704" i="14"/>
  <c r="M704" i="14" s="1"/>
  <c r="V703" i="14"/>
  <c r="W703" i="14" s="1"/>
  <c r="T703" i="14"/>
  <c r="U703" i="14" s="1"/>
  <c r="S703" i="14"/>
  <c r="R703" i="14"/>
  <c r="P703" i="14"/>
  <c r="Q703" i="14" s="1"/>
  <c r="N703" i="14"/>
  <c r="O703" i="14" s="1"/>
  <c r="L703" i="14"/>
  <c r="M703" i="14" s="1"/>
  <c r="W702" i="14"/>
  <c r="V702" i="14"/>
  <c r="T702" i="14"/>
  <c r="U702" i="14" s="1"/>
  <c r="R702" i="14"/>
  <c r="S702" i="14" s="1"/>
  <c r="P702" i="14"/>
  <c r="Q702" i="14" s="1"/>
  <c r="O702" i="14"/>
  <c r="N702" i="14"/>
  <c r="L702" i="14"/>
  <c r="M702" i="14" s="1"/>
  <c r="V701" i="14"/>
  <c r="W701" i="14" s="1"/>
  <c r="T701" i="14"/>
  <c r="U701" i="14" s="1"/>
  <c r="S701" i="14"/>
  <c r="R701" i="14"/>
  <c r="P701" i="14"/>
  <c r="Q701" i="14" s="1"/>
  <c r="N701" i="14"/>
  <c r="O701" i="14" s="1"/>
  <c r="L701" i="14"/>
  <c r="M701" i="14" s="1"/>
  <c r="W700" i="14"/>
  <c r="V700" i="14"/>
  <c r="T700" i="14"/>
  <c r="U700" i="14" s="1"/>
  <c r="R700" i="14"/>
  <c r="S700" i="14" s="1"/>
  <c r="P700" i="14"/>
  <c r="Q700" i="14" s="1"/>
  <c r="O700" i="14"/>
  <c r="N700" i="14"/>
  <c r="L700" i="14"/>
  <c r="M700" i="14" s="1"/>
  <c r="V699" i="14"/>
  <c r="W699" i="14" s="1"/>
  <c r="T699" i="14"/>
  <c r="U699" i="14" s="1"/>
  <c r="S699" i="14"/>
  <c r="R699" i="14"/>
  <c r="P699" i="14"/>
  <c r="Q699" i="14" s="1"/>
  <c r="N699" i="14"/>
  <c r="O699" i="14" s="1"/>
  <c r="L699" i="14"/>
  <c r="M699" i="14" s="1"/>
  <c r="W698" i="14"/>
  <c r="V698" i="14"/>
  <c r="T698" i="14"/>
  <c r="U698" i="14" s="1"/>
  <c r="R698" i="14"/>
  <c r="S698" i="14" s="1"/>
  <c r="P698" i="14"/>
  <c r="Q698" i="14" s="1"/>
  <c r="O698" i="14"/>
  <c r="N698" i="14"/>
  <c r="L698" i="14"/>
  <c r="M698" i="14" s="1"/>
  <c r="V697" i="14"/>
  <c r="W697" i="14" s="1"/>
  <c r="T697" i="14"/>
  <c r="U697" i="14" s="1"/>
  <c r="S697" i="14"/>
  <c r="R697" i="14"/>
  <c r="P697" i="14"/>
  <c r="Q697" i="14" s="1"/>
  <c r="N697" i="14"/>
  <c r="O697" i="14" s="1"/>
  <c r="L697" i="14"/>
  <c r="M697" i="14" s="1"/>
  <c r="W696" i="14"/>
  <c r="V696" i="14"/>
  <c r="T696" i="14"/>
  <c r="U696" i="14" s="1"/>
  <c r="R696" i="14"/>
  <c r="S696" i="14" s="1"/>
  <c r="P696" i="14"/>
  <c r="Q696" i="14" s="1"/>
  <c r="O696" i="14"/>
  <c r="N696" i="14"/>
  <c r="L696" i="14"/>
  <c r="M696" i="14" s="1"/>
  <c r="V695" i="14"/>
  <c r="W695" i="14" s="1"/>
  <c r="T695" i="14"/>
  <c r="U695" i="14" s="1"/>
  <c r="S695" i="14"/>
  <c r="R695" i="14"/>
  <c r="P695" i="14"/>
  <c r="Q695" i="14" s="1"/>
  <c r="N695" i="14"/>
  <c r="O695" i="14" s="1"/>
  <c r="L695" i="14"/>
  <c r="M695" i="14" s="1"/>
  <c r="W694" i="14"/>
  <c r="V694" i="14"/>
  <c r="T694" i="14"/>
  <c r="U694" i="14" s="1"/>
  <c r="R694" i="14"/>
  <c r="S694" i="14" s="1"/>
  <c r="P694" i="14"/>
  <c r="Q694" i="14" s="1"/>
  <c r="O694" i="14"/>
  <c r="N694" i="14"/>
  <c r="L694" i="14"/>
  <c r="M694" i="14" s="1"/>
  <c r="V693" i="14"/>
  <c r="W693" i="14" s="1"/>
  <c r="T693" i="14"/>
  <c r="U693" i="14" s="1"/>
  <c r="S693" i="14"/>
  <c r="R693" i="14"/>
  <c r="P693" i="14"/>
  <c r="Q693" i="14" s="1"/>
  <c r="N693" i="14"/>
  <c r="O693" i="14" s="1"/>
  <c r="L693" i="14"/>
  <c r="M693" i="14" s="1"/>
  <c r="W692" i="14"/>
  <c r="V692" i="14"/>
  <c r="T692" i="14"/>
  <c r="U692" i="14" s="1"/>
  <c r="R692" i="14"/>
  <c r="S692" i="14" s="1"/>
  <c r="P692" i="14"/>
  <c r="Q692" i="14" s="1"/>
  <c r="O692" i="14"/>
  <c r="N692" i="14"/>
  <c r="L692" i="14"/>
  <c r="M692" i="14" s="1"/>
  <c r="V691" i="14"/>
  <c r="W691" i="14" s="1"/>
  <c r="T691" i="14"/>
  <c r="U691" i="14" s="1"/>
  <c r="S691" i="14"/>
  <c r="R691" i="14"/>
  <c r="P691" i="14"/>
  <c r="Q691" i="14" s="1"/>
  <c r="N691" i="14"/>
  <c r="O691" i="14" s="1"/>
  <c r="L691" i="14"/>
  <c r="M691" i="14" s="1"/>
  <c r="W690" i="14"/>
  <c r="V690" i="14"/>
  <c r="T690" i="14"/>
  <c r="U690" i="14" s="1"/>
  <c r="R690" i="14"/>
  <c r="S690" i="14" s="1"/>
  <c r="P690" i="14"/>
  <c r="Q690" i="14" s="1"/>
  <c r="O690" i="14"/>
  <c r="N690" i="14"/>
  <c r="L690" i="14"/>
  <c r="M690" i="14" s="1"/>
  <c r="V689" i="14"/>
  <c r="W689" i="14" s="1"/>
  <c r="T689" i="14"/>
  <c r="U689" i="14" s="1"/>
  <c r="S689" i="14"/>
  <c r="R689" i="14"/>
  <c r="P689" i="14"/>
  <c r="Q689" i="14" s="1"/>
  <c r="N689" i="14"/>
  <c r="O689" i="14" s="1"/>
  <c r="L689" i="14"/>
  <c r="M689" i="14" s="1"/>
  <c r="W688" i="14"/>
  <c r="V688" i="14"/>
  <c r="T688" i="14"/>
  <c r="U688" i="14" s="1"/>
  <c r="R688" i="14"/>
  <c r="S688" i="14" s="1"/>
  <c r="P688" i="14"/>
  <c r="Q688" i="14" s="1"/>
  <c r="O688" i="14"/>
  <c r="N688" i="14"/>
  <c r="L688" i="14"/>
  <c r="M688" i="14" s="1"/>
  <c r="V687" i="14"/>
  <c r="W687" i="14" s="1"/>
  <c r="T687" i="14"/>
  <c r="U687" i="14" s="1"/>
  <c r="S687" i="14"/>
  <c r="R687" i="14"/>
  <c r="P687" i="14"/>
  <c r="Q687" i="14" s="1"/>
  <c r="N687" i="14"/>
  <c r="O687" i="14" s="1"/>
  <c r="L687" i="14"/>
  <c r="M687" i="14" s="1"/>
  <c r="W686" i="14"/>
  <c r="V686" i="14"/>
  <c r="T686" i="14"/>
  <c r="U686" i="14" s="1"/>
  <c r="R686" i="14"/>
  <c r="S686" i="14" s="1"/>
  <c r="P686" i="14"/>
  <c r="Q686" i="14" s="1"/>
  <c r="O686" i="14"/>
  <c r="N686" i="14"/>
  <c r="L686" i="14"/>
  <c r="M686" i="14" s="1"/>
  <c r="V685" i="14"/>
  <c r="W685" i="14" s="1"/>
  <c r="T685" i="14"/>
  <c r="U685" i="14" s="1"/>
  <c r="S685" i="14"/>
  <c r="R685" i="14"/>
  <c r="P685" i="14"/>
  <c r="Q685" i="14" s="1"/>
  <c r="N685" i="14"/>
  <c r="O685" i="14" s="1"/>
  <c r="L685" i="14"/>
  <c r="M685" i="14" s="1"/>
  <c r="W684" i="14"/>
  <c r="V684" i="14"/>
  <c r="T684" i="14"/>
  <c r="U684" i="14" s="1"/>
  <c r="R684" i="14"/>
  <c r="S684" i="14" s="1"/>
  <c r="P684" i="14"/>
  <c r="Q684" i="14" s="1"/>
  <c r="O684" i="14"/>
  <c r="N684" i="14"/>
  <c r="L684" i="14"/>
  <c r="M684" i="14" s="1"/>
  <c r="V683" i="14"/>
  <c r="W683" i="14" s="1"/>
  <c r="T683" i="14"/>
  <c r="U683" i="14" s="1"/>
  <c r="S683" i="14"/>
  <c r="R683" i="14"/>
  <c r="P683" i="14"/>
  <c r="Q683" i="14" s="1"/>
  <c r="N683" i="14"/>
  <c r="O683" i="14" s="1"/>
  <c r="L683" i="14"/>
  <c r="M683" i="14" s="1"/>
  <c r="W682" i="14"/>
  <c r="V682" i="14"/>
  <c r="T682" i="14"/>
  <c r="U682" i="14" s="1"/>
  <c r="R682" i="14"/>
  <c r="S682" i="14" s="1"/>
  <c r="P682" i="14"/>
  <c r="Q682" i="14" s="1"/>
  <c r="O682" i="14"/>
  <c r="N682" i="14"/>
  <c r="L682" i="14"/>
  <c r="M682" i="14" s="1"/>
  <c r="V681" i="14"/>
  <c r="W681" i="14" s="1"/>
  <c r="T681" i="14"/>
  <c r="U681" i="14" s="1"/>
  <c r="S681" i="14"/>
  <c r="R681" i="14"/>
  <c r="P681" i="14"/>
  <c r="Q681" i="14" s="1"/>
  <c r="N681" i="14"/>
  <c r="O681" i="14" s="1"/>
  <c r="L681" i="14"/>
  <c r="M681" i="14" s="1"/>
  <c r="W680" i="14"/>
  <c r="V680" i="14"/>
  <c r="T680" i="14"/>
  <c r="U680" i="14" s="1"/>
  <c r="R680" i="14"/>
  <c r="S680" i="14" s="1"/>
  <c r="P680" i="14"/>
  <c r="Q680" i="14" s="1"/>
  <c r="O680" i="14"/>
  <c r="N680" i="14"/>
  <c r="L680" i="14"/>
  <c r="M680" i="14" s="1"/>
  <c r="V679" i="14"/>
  <c r="W679" i="14" s="1"/>
  <c r="T679" i="14"/>
  <c r="U679" i="14" s="1"/>
  <c r="S679" i="14"/>
  <c r="R679" i="14"/>
  <c r="P679" i="14"/>
  <c r="Q679" i="14" s="1"/>
  <c r="N679" i="14"/>
  <c r="O679" i="14" s="1"/>
  <c r="L679" i="14"/>
  <c r="M679" i="14" s="1"/>
  <c r="W678" i="14"/>
  <c r="V678" i="14"/>
  <c r="T678" i="14"/>
  <c r="U678" i="14" s="1"/>
  <c r="R678" i="14"/>
  <c r="S678" i="14" s="1"/>
  <c r="P678" i="14"/>
  <c r="Q678" i="14" s="1"/>
  <c r="O678" i="14"/>
  <c r="N678" i="14"/>
  <c r="L678" i="14"/>
  <c r="M678" i="14" s="1"/>
  <c r="V677" i="14"/>
  <c r="W677" i="14" s="1"/>
  <c r="T677" i="14"/>
  <c r="U677" i="14" s="1"/>
  <c r="S677" i="14"/>
  <c r="R677" i="14"/>
  <c r="P677" i="14"/>
  <c r="Q677" i="14" s="1"/>
  <c r="N677" i="14"/>
  <c r="O677" i="14" s="1"/>
  <c r="L677" i="14"/>
  <c r="M677" i="14" s="1"/>
  <c r="W676" i="14"/>
  <c r="V676" i="14"/>
  <c r="T676" i="14"/>
  <c r="U676" i="14" s="1"/>
  <c r="R676" i="14"/>
  <c r="S676" i="14" s="1"/>
  <c r="P676" i="14"/>
  <c r="Q676" i="14" s="1"/>
  <c r="O676" i="14"/>
  <c r="N676" i="14"/>
  <c r="L676" i="14"/>
  <c r="M676" i="14" s="1"/>
  <c r="V675" i="14"/>
  <c r="W675" i="14" s="1"/>
  <c r="T675" i="14"/>
  <c r="U675" i="14" s="1"/>
  <c r="S675" i="14"/>
  <c r="R675" i="14"/>
  <c r="P675" i="14"/>
  <c r="Q675" i="14" s="1"/>
  <c r="N675" i="14"/>
  <c r="O675" i="14" s="1"/>
  <c r="L675" i="14"/>
  <c r="M675" i="14" s="1"/>
  <c r="W674" i="14"/>
  <c r="V674" i="14"/>
  <c r="T674" i="14"/>
  <c r="U674" i="14" s="1"/>
  <c r="R674" i="14"/>
  <c r="S674" i="14" s="1"/>
  <c r="P674" i="14"/>
  <c r="Q674" i="14" s="1"/>
  <c r="O674" i="14"/>
  <c r="N674" i="14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O672" i="14"/>
  <c r="N672" i="14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W670" i="14"/>
  <c r="V670" i="14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O669" i="14"/>
  <c r="N669" i="14"/>
  <c r="L669" i="14"/>
  <c r="M669" i="14" s="1"/>
  <c r="V668" i="14"/>
  <c r="W668" i="14" s="1"/>
  <c r="T668" i="14"/>
  <c r="U668" i="14" s="1"/>
  <c r="R668" i="14"/>
  <c r="S668" i="14" s="1"/>
  <c r="P668" i="14"/>
  <c r="Q668" i="14" s="1"/>
  <c r="N668" i="14"/>
  <c r="O668" i="14" s="1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W666" i="14"/>
  <c r="V666" i="14"/>
  <c r="T666" i="14"/>
  <c r="U666" i="14" s="1"/>
  <c r="R666" i="14"/>
  <c r="S666" i="14" s="1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N664" i="14"/>
  <c r="O664" i="14" s="1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S661" i="14"/>
  <c r="R661" i="14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O660" i="14"/>
  <c r="N660" i="14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S658" i="14"/>
  <c r="R658" i="14"/>
  <c r="P658" i="14"/>
  <c r="Q658" i="14" s="1"/>
  <c r="N658" i="14"/>
  <c r="O658" i="14" s="1"/>
  <c r="L658" i="14"/>
  <c r="M658" i="14" s="1"/>
  <c r="V657" i="14"/>
  <c r="W657" i="14" s="1"/>
  <c r="T657" i="14"/>
  <c r="U657" i="14" s="1"/>
  <c r="R657" i="14"/>
  <c r="S657" i="14" s="1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O656" i="14"/>
  <c r="N656" i="14"/>
  <c r="L656" i="14"/>
  <c r="M656" i="14" s="1"/>
  <c r="V655" i="14"/>
  <c r="W655" i="14" s="1"/>
  <c r="T655" i="14"/>
  <c r="U655" i="14" s="1"/>
  <c r="R655" i="14"/>
  <c r="S655" i="14" s="1"/>
  <c r="P655" i="14"/>
  <c r="Q655" i="14" s="1"/>
  <c r="N655" i="14"/>
  <c r="O655" i="14" s="1"/>
  <c r="L655" i="14"/>
  <c r="M655" i="14" s="1"/>
  <c r="W654" i="14"/>
  <c r="V654" i="14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R653" i="14"/>
  <c r="S653" i="14" s="1"/>
  <c r="P653" i="14"/>
  <c r="Q653" i="14" s="1"/>
  <c r="O653" i="14"/>
  <c r="N653" i="14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W650" i="14"/>
  <c r="V650" i="14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L649" i="14"/>
  <c r="M649" i="14" s="1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U647" i="14"/>
  <c r="T647" i="14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M645" i="14"/>
  <c r="L645" i="14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T643" i="14"/>
  <c r="U643" i="14" s="1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Q642" i="14"/>
  <c r="P642" i="14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T639" i="14"/>
  <c r="U639" i="14" s="1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Q638" i="14"/>
  <c r="P638" i="14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M637" i="14"/>
  <c r="L637" i="14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Q634" i="14"/>
  <c r="P634" i="14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L633" i="14"/>
  <c r="M633" i="14" s="1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U631" i="14"/>
  <c r="T631" i="14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L629" i="14"/>
  <c r="M629" i="14" s="1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U627" i="14"/>
  <c r="T627" i="14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Q626" i="14"/>
  <c r="P626" i="14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U623" i="14"/>
  <c r="T623" i="14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P622" i="14"/>
  <c r="Q622" i="14" s="1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M621" i="14"/>
  <c r="L621" i="14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P618" i="14"/>
  <c r="Q618" i="14" s="1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M617" i="14"/>
  <c r="L617" i="14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U615" i="14"/>
  <c r="T615" i="14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M613" i="14"/>
  <c r="L613" i="14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T611" i="14"/>
  <c r="U611" i="14" s="1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Q610" i="14"/>
  <c r="P610" i="14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T607" i="14"/>
  <c r="U607" i="14" s="1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Q606" i="14"/>
  <c r="P606" i="14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M605" i="14"/>
  <c r="L605" i="14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Q602" i="14"/>
  <c r="P602" i="14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L601" i="14"/>
  <c r="M601" i="14" s="1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U599" i="14"/>
  <c r="T599" i="14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L597" i="14"/>
  <c r="M597" i="14" s="1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U595" i="14"/>
  <c r="T595" i="14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Q594" i="14"/>
  <c r="P594" i="14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U591" i="14"/>
  <c r="T591" i="14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P590" i="14"/>
  <c r="Q590" i="14" s="1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M589" i="14"/>
  <c r="L589" i="14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P586" i="14"/>
  <c r="Q586" i="14" s="1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M585" i="14"/>
  <c r="L585" i="14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U583" i="14"/>
  <c r="T583" i="14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M581" i="14"/>
  <c r="L581" i="14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T579" i="14"/>
  <c r="U579" i="14" s="1"/>
  <c r="R579" i="14"/>
  <c r="S579" i="14" s="1"/>
  <c r="Q579" i="14"/>
  <c r="P579" i="14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L577" i="14"/>
  <c r="M577" i="14" s="1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U575" i="14"/>
  <c r="T575" i="14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M574" i="14"/>
  <c r="L574" i="14"/>
  <c r="V573" i="14"/>
  <c r="W573" i="14" s="1"/>
  <c r="T573" i="14"/>
  <c r="U573" i="14" s="1"/>
  <c r="R573" i="14"/>
  <c r="S573" i="14" s="1"/>
  <c r="P573" i="14"/>
  <c r="Q573" i="14" s="1"/>
  <c r="N573" i="14"/>
  <c r="O573" i="14" s="1"/>
  <c r="M573" i="14"/>
  <c r="L573" i="14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U571" i="14"/>
  <c r="T571" i="14"/>
  <c r="R571" i="14"/>
  <c r="S571" i="14" s="1"/>
  <c r="Q571" i="14"/>
  <c r="P571" i="14"/>
  <c r="N571" i="14"/>
  <c r="O571" i="14" s="1"/>
  <c r="L571" i="14"/>
  <c r="M571" i="14" s="1"/>
  <c r="V570" i="14"/>
  <c r="W570" i="14" s="1"/>
  <c r="T570" i="14"/>
  <c r="U570" i="14" s="1"/>
  <c r="R570" i="14"/>
  <c r="S570" i="14" s="1"/>
  <c r="P570" i="14"/>
  <c r="Q570" i="14" s="1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M569" i="14"/>
  <c r="L569" i="14"/>
  <c r="V568" i="14"/>
  <c r="W568" i="14" s="1"/>
  <c r="T568" i="14"/>
  <c r="U568" i="14" s="1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Q566" i="14"/>
  <c r="P566" i="14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M565" i="14"/>
  <c r="L565" i="14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Q563" i="14"/>
  <c r="P563" i="14"/>
  <c r="N563" i="14"/>
  <c r="O563" i="14" s="1"/>
  <c r="L563" i="14"/>
  <c r="M563" i="14" s="1"/>
  <c r="V562" i="14"/>
  <c r="W562" i="14" s="1"/>
  <c r="T562" i="14"/>
  <c r="U562" i="14" s="1"/>
  <c r="R562" i="14"/>
  <c r="S562" i="14" s="1"/>
  <c r="P562" i="14"/>
  <c r="Q562" i="14" s="1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M561" i="14"/>
  <c r="L561" i="14"/>
  <c r="V560" i="14"/>
  <c r="W560" i="14" s="1"/>
  <c r="T560" i="14"/>
  <c r="U560" i="14" s="1"/>
  <c r="R560" i="14"/>
  <c r="S560" i="14" s="1"/>
  <c r="P560" i="14"/>
  <c r="Q560" i="14" s="1"/>
  <c r="N560" i="14"/>
  <c r="O560" i="14" s="1"/>
  <c r="L560" i="14"/>
  <c r="M560" i="14" s="1"/>
  <c r="V559" i="14"/>
  <c r="W559" i="14" s="1"/>
  <c r="U559" i="14"/>
  <c r="T559" i="14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P558" i="14"/>
  <c r="Q558" i="14" s="1"/>
  <c r="N558" i="14"/>
  <c r="O558" i="14" s="1"/>
  <c r="M558" i="14"/>
  <c r="L558" i="14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T555" i="14"/>
  <c r="U555" i="14" s="1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Q554" i="14"/>
  <c r="P554" i="14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U552" i="14"/>
  <c r="T552" i="14"/>
  <c r="R552" i="14"/>
  <c r="S552" i="14" s="1"/>
  <c r="P552" i="14"/>
  <c r="Q552" i="14" s="1"/>
  <c r="N552" i="14"/>
  <c r="O552" i="14" s="1"/>
  <c r="L552" i="14"/>
  <c r="M552" i="14" s="1"/>
  <c r="V551" i="14"/>
  <c r="W551" i="14" s="1"/>
  <c r="U551" i="14"/>
  <c r="T551" i="14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Q550" i="14"/>
  <c r="P550" i="14"/>
  <c r="N550" i="14"/>
  <c r="O550" i="14" s="1"/>
  <c r="M550" i="14"/>
  <c r="L550" i="14"/>
  <c r="V549" i="14"/>
  <c r="W549" i="14" s="1"/>
  <c r="T549" i="14"/>
  <c r="U549" i="14" s="1"/>
  <c r="R549" i="14"/>
  <c r="S549" i="14" s="1"/>
  <c r="P549" i="14"/>
  <c r="Q549" i="14" s="1"/>
  <c r="N549" i="14"/>
  <c r="O549" i="14" s="1"/>
  <c r="L549" i="14"/>
  <c r="M549" i="14" s="1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U547" i="14"/>
  <c r="T547" i="14"/>
  <c r="R547" i="14"/>
  <c r="S547" i="14" s="1"/>
  <c r="P547" i="14"/>
  <c r="Q547" i="14" s="1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M545" i="14"/>
  <c r="L545" i="14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U543" i="14"/>
  <c r="T543" i="14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M542" i="14"/>
  <c r="L542" i="14"/>
  <c r="V541" i="14"/>
  <c r="W541" i="14" s="1"/>
  <c r="T541" i="14"/>
  <c r="U541" i="14" s="1"/>
  <c r="R541" i="14"/>
  <c r="S541" i="14" s="1"/>
  <c r="Q541" i="14"/>
  <c r="P541" i="14"/>
  <c r="N541" i="14"/>
  <c r="O541" i="14" s="1"/>
  <c r="L541" i="14"/>
  <c r="M541" i="14" s="1"/>
  <c r="V540" i="14"/>
  <c r="W540" i="14" s="1"/>
  <c r="U540" i="14"/>
  <c r="T540" i="14"/>
  <c r="R540" i="14"/>
  <c r="S540" i="14" s="1"/>
  <c r="Q540" i="14"/>
  <c r="P540" i="14"/>
  <c r="N540" i="14"/>
  <c r="O540" i="14" s="1"/>
  <c r="L540" i="14"/>
  <c r="M540" i="14" s="1"/>
  <c r="V539" i="14"/>
  <c r="W539" i="14" s="1"/>
  <c r="T539" i="14"/>
  <c r="U539" i="14" s="1"/>
  <c r="R539" i="14"/>
  <c r="S539" i="14" s="1"/>
  <c r="Q539" i="14"/>
  <c r="P539" i="14"/>
  <c r="N539" i="14"/>
  <c r="O539" i="14" s="1"/>
  <c r="L539" i="14"/>
  <c r="M539" i="14" s="1"/>
  <c r="V538" i="14"/>
  <c r="W538" i="14" s="1"/>
  <c r="U538" i="14"/>
  <c r="T538" i="14"/>
  <c r="R538" i="14"/>
  <c r="S538" i="14" s="1"/>
  <c r="P538" i="14"/>
  <c r="Q538" i="14" s="1"/>
  <c r="N538" i="14"/>
  <c r="O538" i="14" s="1"/>
  <c r="M538" i="14"/>
  <c r="L538" i="14"/>
  <c r="V537" i="14"/>
  <c r="W537" i="14" s="1"/>
  <c r="U537" i="14"/>
  <c r="T537" i="14"/>
  <c r="R537" i="14"/>
  <c r="S537" i="14" s="1"/>
  <c r="P537" i="14"/>
  <c r="Q537" i="14" s="1"/>
  <c r="N537" i="14"/>
  <c r="O537" i="14" s="1"/>
  <c r="L537" i="14"/>
  <c r="M537" i="14" s="1"/>
  <c r="V536" i="14"/>
  <c r="W536" i="14" s="1"/>
  <c r="U536" i="14"/>
  <c r="T536" i="14"/>
  <c r="R536" i="14"/>
  <c r="S536" i="14" s="1"/>
  <c r="P536" i="14"/>
  <c r="Q536" i="14" s="1"/>
  <c r="N536" i="14"/>
  <c r="O536" i="14" s="1"/>
  <c r="M536" i="14"/>
  <c r="L536" i="14"/>
  <c r="V535" i="14"/>
  <c r="W535" i="14" s="1"/>
  <c r="T535" i="14"/>
  <c r="U535" i="14" s="1"/>
  <c r="R535" i="14"/>
  <c r="S535" i="14" s="1"/>
  <c r="Q535" i="14"/>
  <c r="P535" i="14"/>
  <c r="N535" i="14"/>
  <c r="O535" i="14" s="1"/>
  <c r="M535" i="14"/>
  <c r="L535" i="14"/>
  <c r="V534" i="14"/>
  <c r="W534" i="14" s="1"/>
  <c r="T534" i="14"/>
  <c r="U534" i="14" s="1"/>
  <c r="R534" i="14"/>
  <c r="S534" i="14" s="1"/>
  <c r="P534" i="14"/>
  <c r="Q534" i="14" s="1"/>
  <c r="N534" i="14"/>
  <c r="O534" i="14" s="1"/>
  <c r="M534" i="14"/>
  <c r="L534" i="14"/>
  <c r="V533" i="14"/>
  <c r="W533" i="14" s="1"/>
  <c r="T533" i="14"/>
  <c r="U533" i="14" s="1"/>
  <c r="R533" i="14"/>
  <c r="S533" i="14" s="1"/>
  <c r="Q533" i="14"/>
  <c r="P533" i="14"/>
  <c r="N533" i="14"/>
  <c r="O533" i="14" s="1"/>
  <c r="L533" i="14"/>
  <c r="M533" i="14" s="1"/>
  <c r="V532" i="14"/>
  <c r="W532" i="14" s="1"/>
  <c r="U532" i="14"/>
  <c r="T532" i="14"/>
  <c r="R532" i="14"/>
  <c r="S532" i="14" s="1"/>
  <c r="P532" i="14"/>
  <c r="Q532" i="14" s="1"/>
  <c r="N532" i="14"/>
  <c r="O532" i="14" s="1"/>
  <c r="M532" i="14"/>
  <c r="L532" i="14"/>
  <c r="V531" i="14"/>
  <c r="W531" i="14" s="1"/>
  <c r="T531" i="14"/>
  <c r="U531" i="14" s="1"/>
  <c r="R531" i="14"/>
  <c r="S531" i="14" s="1"/>
  <c r="Q531" i="14"/>
  <c r="P531" i="14"/>
  <c r="N531" i="14"/>
  <c r="O531" i="14" s="1"/>
  <c r="L531" i="14"/>
  <c r="M531" i="14" s="1"/>
  <c r="V530" i="14"/>
  <c r="W530" i="14" s="1"/>
  <c r="U530" i="14"/>
  <c r="T530" i="14"/>
  <c r="R530" i="14"/>
  <c r="S530" i="14" s="1"/>
  <c r="P530" i="14"/>
  <c r="Q530" i="14" s="1"/>
  <c r="N530" i="14"/>
  <c r="O530" i="14" s="1"/>
  <c r="M530" i="14"/>
  <c r="L530" i="14"/>
  <c r="V529" i="14"/>
  <c r="W529" i="14" s="1"/>
  <c r="T529" i="14"/>
  <c r="U529" i="14" s="1"/>
  <c r="R529" i="14"/>
  <c r="S529" i="14" s="1"/>
  <c r="Q529" i="14"/>
  <c r="P529" i="14"/>
  <c r="N529" i="14"/>
  <c r="O529" i="14" s="1"/>
  <c r="L529" i="14"/>
  <c r="M529" i="14" s="1"/>
  <c r="V528" i="14"/>
  <c r="W528" i="14" s="1"/>
  <c r="U528" i="14"/>
  <c r="T528" i="14"/>
  <c r="R528" i="14"/>
  <c r="S528" i="14" s="1"/>
  <c r="P528" i="14"/>
  <c r="Q528" i="14" s="1"/>
  <c r="N528" i="14"/>
  <c r="O528" i="14" s="1"/>
  <c r="M528" i="14"/>
  <c r="L528" i="14"/>
  <c r="V527" i="14"/>
  <c r="W527" i="14" s="1"/>
  <c r="T527" i="14"/>
  <c r="U527" i="14" s="1"/>
  <c r="R527" i="14"/>
  <c r="S527" i="14" s="1"/>
  <c r="Q527" i="14"/>
  <c r="P527" i="14"/>
  <c r="N527" i="14"/>
  <c r="O527" i="14" s="1"/>
  <c r="L527" i="14"/>
  <c r="M527" i="14" s="1"/>
  <c r="V526" i="14"/>
  <c r="W526" i="14" s="1"/>
  <c r="U526" i="14"/>
  <c r="T526" i="14"/>
  <c r="R526" i="14"/>
  <c r="S526" i="14" s="1"/>
  <c r="P526" i="14"/>
  <c r="Q526" i="14" s="1"/>
  <c r="N526" i="14"/>
  <c r="O526" i="14" s="1"/>
  <c r="M526" i="14"/>
  <c r="L526" i="14"/>
  <c r="V525" i="14"/>
  <c r="W525" i="14" s="1"/>
  <c r="T525" i="14"/>
  <c r="U525" i="14" s="1"/>
  <c r="R525" i="14"/>
  <c r="S525" i="14" s="1"/>
  <c r="Q525" i="14"/>
  <c r="P525" i="14"/>
  <c r="N525" i="14"/>
  <c r="O525" i="14" s="1"/>
  <c r="L525" i="14"/>
  <c r="M525" i="14" s="1"/>
  <c r="V524" i="14"/>
  <c r="W524" i="14" s="1"/>
  <c r="U524" i="14"/>
  <c r="T524" i="14"/>
  <c r="R524" i="14"/>
  <c r="S524" i="14" s="1"/>
  <c r="P524" i="14"/>
  <c r="Q524" i="14" s="1"/>
  <c r="N524" i="14"/>
  <c r="O524" i="14" s="1"/>
  <c r="M524" i="14"/>
  <c r="L524" i="14"/>
  <c r="V523" i="14"/>
  <c r="W523" i="14" s="1"/>
  <c r="T523" i="14"/>
  <c r="U523" i="14" s="1"/>
  <c r="R523" i="14"/>
  <c r="S523" i="14" s="1"/>
  <c r="Q523" i="14"/>
  <c r="P523" i="14"/>
  <c r="N523" i="14"/>
  <c r="O523" i="14" s="1"/>
  <c r="L523" i="14"/>
  <c r="M523" i="14" s="1"/>
  <c r="V522" i="14"/>
  <c r="W522" i="14" s="1"/>
  <c r="U522" i="14"/>
  <c r="T522" i="14"/>
  <c r="R522" i="14"/>
  <c r="S522" i="14" s="1"/>
  <c r="P522" i="14"/>
  <c r="Q522" i="14" s="1"/>
  <c r="N522" i="14"/>
  <c r="O522" i="14" s="1"/>
  <c r="M522" i="14"/>
  <c r="L522" i="14"/>
  <c r="V521" i="14"/>
  <c r="W521" i="14" s="1"/>
  <c r="T521" i="14"/>
  <c r="U521" i="14" s="1"/>
  <c r="R521" i="14"/>
  <c r="S521" i="14" s="1"/>
  <c r="Q521" i="14"/>
  <c r="P521" i="14"/>
  <c r="N521" i="14"/>
  <c r="O521" i="14" s="1"/>
  <c r="L521" i="14"/>
  <c r="M521" i="14" s="1"/>
  <c r="V520" i="14"/>
  <c r="W520" i="14" s="1"/>
  <c r="U520" i="14"/>
  <c r="T520" i="14"/>
  <c r="R520" i="14"/>
  <c r="S520" i="14" s="1"/>
  <c r="P520" i="14"/>
  <c r="Q520" i="14" s="1"/>
  <c r="N520" i="14"/>
  <c r="O520" i="14" s="1"/>
  <c r="M520" i="14"/>
  <c r="L520" i="14"/>
  <c r="V519" i="14"/>
  <c r="W519" i="14" s="1"/>
  <c r="T519" i="14"/>
  <c r="U519" i="14" s="1"/>
  <c r="R519" i="14"/>
  <c r="S519" i="14" s="1"/>
  <c r="Q519" i="14"/>
  <c r="P519" i="14"/>
  <c r="N519" i="14"/>
  <c r="O519" i="14" s="1"/>
  <c r="L519" i="14"/>
  <c r="M519" i="14" s="1"/>
  <c r="V518" i="14"/>
  <c r="W518" i="14" s="1"/>
  <c r="U518" i="14"/>
  <c r="T518" i="14"/>
  <c r="R518" i="14"/>
  <c r="S518" i="14" s="1"/>
  <c r="P518" i="14"/>
  <c r="Q518" i="14" s="1"/>
  <c r="N518" i="14"/>
  <c r="O518" i="14" s="1"/>
  <c r="M518" i="14"/>
  <c r="L518" i="14"/>
  <c r="V517" i="14"/>
  <c r="W517" i="14" s="1"/>
  <c r="T517" i="14"/>
  <c r="U517" i="14" s="1"/>
  <c r="R517" i="14"/>
  <c r="S517" i="14" s="1"/>
  <c r="Q517" i="14"/>
  <c r="P517" i="14"/>
  <c r="N517" i="14"/>
  <c r="O517" i="14" s="1"/>
  <c r="L517" i="14"/>
  <c r="M517" i="14" s="1"/>
  <c r="V516" i="14"/>
  <c r="W516" i="14" s="1"/>
  <c r="U516" i="14"/>
  <c r="T516" i="14"/>
  <c r="R516" i="14"/>
  <c r="S516" i="14" s="1"/>
  <c r="P516" i="14"/>
  <c r="Q516" i="14" s="1"/>
  <c r="N516" i="14"/>
  <c r="O516" i="14" s="1"/>
  <c r="M516" i="14"/>
  <c r="L516" i="14"/>
  <c r="V515" i="14"/>
  <c r="W515" i="14" s="1"/>
  <c r="T515" i="14"/>
  <c r="U515" i="14" s="1"/>
  <c r="R515" i="14"/>
  <c r="S515" i="14" s="1"/>
  <c r="Q515" i="14"/>
  <c r="P515" i="14"/>
  <c r="N515" i="14"/>
  <c r="O515" i="14" s="1"/>
  <c r="L515" i="14"/>
  <c r="M515" i="14" s="1"/>
  <c r="V514" i="14"/>
  <c r="W514" i="14" s="1"/>
  <c r="U514" i="14"/>
  <c r="T514" i="14"/>
  <c r="R514" i="14"/>
  <c r="S514" i="14" s="1"/>
  <c r="P514" i="14"/>
  <c r="Q514" i="14" s="1"/>
  <c r="N514" i="14"/>
  <c r="O514" i="14" s="1"/>
  <c r="M514" i="14"/>
  <c r="L514" i="14"/>
  <c r="V513" i="14"/>
  <c r="W513" i="14" s="1"/>
  <c r="T513" i="14"/>
  <c r="U513" i="14" s="1"/>
  <c r="R513" i="14"/>
  <c r="S513" i="14" s="1"/>
  <c r="Q513" i="14"/>
  <c r="P513" i="14"/>
  <c r="N513" i="14"/>
  <c r="O513" i="14" s="1"/>
  <c r="L513" i="14"/>
  <c r="M513" i="14" s="1"/>
  <c r="V512" i="14"/>
  <c r="W512" i="14" s="1"/>
  <c r="U512" i="14"/>
  <c r="T512" i="14"/>
  <c r="R512" i="14"/>
  <c r="S512" i="14" s="1"/>
  <c r="P512" i="14"/>
  <c r="Q512" i="14" s="1"/>
  <c r="N512" i="14"/>
  <c r="O512" i="14" s="1"/>
  <c r="M512" i="14"/>
  <c r="L512" i="14"/>
  <c r="V511" i="14"/>
  <c r="W511" i="14" s="1"/>
  <c r="T511" i="14"/>
  <c r="U511" i="14" s="1"/>
  <c r="R511" i="14"/>
  <c r="S511" i="14" s="1"/>
  <c r="Q511" i="14"/>
  <c r="P511" i="14"/>
  <c r="N511" i="14"/>
  <c r="O511" i="14" s="1"/>
  <c r="L511" i="14"/>
  <c r="M511" i="14" s="1"/>
  <c r="V510" i="14"/>
  <c r="W510" i="14" s="1"/>
  <c r="U510" i="14"/>
  <c r="T510" i="14"/>
  <c r="R510" i="14"/>
  <c r="S510" i="14" s="1"/>
  <c r="P510" i="14"/>
  <c r="Q510" i="14" s="1"/>
  <c r="N510" i="14"/>
  <c r="O510" i="14" s="1"/>
  <c r="M510" i="14"/>
  <c r="L510" i="14"/>
  <c r="V509" i="14"/>
  <c r="W509" i="14" s="1"/>
  <c r="T509" i="14"/>
  <c r="U509" i="14" s="1"/>
  <c r="R509" i="14"/>
  <c r="S509" i="14" s="1"/>
  <c r="Q509" i="14"/>
  <c r="P509" i="14"/>
  <c r="N509" i="14"/>
  <c r="O509" i="14" s="1"/>
  <c r="L509" i="14"/>
  <c r="M509" i="14" s="1"/>
  <c r="V508" i="14"/>
  <c r="W508" i="14" s="1"/>
  <c r="U508" i="14"/>
  <c r="T508" i="14"/>
  <c r="R508" i="14"/>
  <c r="S508" i="14" s="1"/>
  <c r="P508" i="14"/>
  <c r="Q508" i="14" s="1"/>
  <c r="N508" i="14"/>
  <c r="O508" i="14" s="1"/>
  <c r="M508" i="14"/>
  <c r="L508" i="14"/>
  <c r="V507" i="14"/>
  <c r="W507" i="14" s="1"/>
  <c r="T507" i="14"/>
  <c r="U507" i="14" s="1"/>
  <c r="R507" i="14"/>
  <c r="S507" i="14" s="1"/>
  <c r="Q507" i="14"/>
  <c r="P507" i="14"/>
  <c r="N507" i="14"/>
  <c r="O507" i="14" s="1"/>
  <c r="L507" i="14"/>
  <c r="M507" i="14" s="1"/>
  <c r="V506" i="14"/>
  <c r="W506" i="14" s="1"/>
  <c r="U506" i="14"/>
  <c r="T506" i="14"/>
  <c r="R506" i="14"/>
  <c r="S506" i="14" s="1"/>
  <c r="P506" i="14"/>
  <c r="Q506" i="14" s="1"/>
  <c r="N506" i="14"/>
  <c r="O506" i="14" s="1"/>
  <c r="M506" i="14"/>
  <c r="L506" i="14"/>
  <c r="V505" i="14"/>
  <c r="W505" i="14" s="1"/>
  <c r="T505" i="14"/>
  <c r="U505" i="14" s="1"/>
  <c r="R505" i="14"/>
  <c r="S505" i="14" s="1"/>
  <c r="Q505" i="14"/>
  <c r="P505" i="14"/>
  <c r="N505" i="14"/>
  <c r="O505" i="14" s="1"/>
  <c r="L505" i="14"/>
  <c r="M505" i="14" s="1"/>
  <c r="V504" i="14"/>
  <c r="W504" i="14" s="1"/>
  <c r="U504" i="14"/>
  <c r="T504" i="14"/>
  <c r="R504" i="14"/>
  <c r="S504" i="14" s="1"/>
  <c r="P504" i="14"/>
  <c r="Q504" i="14" s="1"/>
  <c r="N504" i="14"/>
  <c r="O504" i="14" s="1"/>
  <c r="M504" i="14"/>
  <c r="L504" i="14"/>
  <c r="V503" i="14"/>
  <c r="W503" i="14" s="1"/>
  <c r="T503" i="14"/>
  <c r="U503" i="14" s="1"/>
  <c r="R503" i="14"/>
  <c r="S503" i="14" s="1"/>
  <c r="Q503" i="14"/>
  <c r="P503" i="14"/>
  <c r="N503" i="14"/>
  <c r="O503" i="14" s="1"/>
  <c r="L503" i="14"/>
  <c r="M503" i="14" s="1"/>
  <c r="V502" i="14"/>
  <c r="W502" i="14" s="1"/>
  <c r="U502" i="14"/>
  <c r="T502" i="14"/>
  <c r="R502" i="14"/>
  <c r="S502" i="14" s="1"/>
  <c r="P502" i="14"/>
  <c r="Q502" i="14" s="1"/>
  <c r="N502" i="14"/>
  <c r="O502" i="14" s="1"/>
  <c r="M502" i="14"/>
  <c r="L502" i="14"/>
  <c r="V501" i="14"/>
  <c r="W501" i="14" s="1"/>
  <c r="T501" i="14"/>
  <c r="U501" i="14" s="1"/>
  <c r="R501" i="14"/>
  <c r="S501" i="14" s="1"/>
  <c r="Q501" i="14"/>
  <c r="P501" i="14"/>
  <c r="N501" i="14"/>
  <c r="O501" i="14" s="1"/>
  <c r="L501" i="14"/>
  <c r="M501" i="14" s="1"/>
  <c r="V500" i="14"/>
  <c r="W500" i="14" s="1"/>
  <c r="U500" i="14"/>
  <c r="T500" i="14"/>
  <c r="R500" i="14"/>
  <c r="S500" i="14" s="1"/>
  <c r="P500" i="14"/>
  <c r="Q500" i="14" s="1"/>
  <c r="N500" i="14"/>
  <c r="O500" i="14" s="1"/>
  <c r="M500" i="14"/>
  <c r="L500" i="14"/>
  <c r="V499" i="14"/>
  <c r="W499" i="14" s="1"/>
  <c r="T499" i="14"/>
  <c r="U499" i="14" s="1"/>
  <c r="R499" i="14"/>
  <c r="S499" i="14" s="1"/>
  <c r="Q499" i="14"/>
  <c r="P499" i="14"/>
  <c r="N499" i="14"/>
  <c r="O499" i="14" s="1"/>
  <c r="L499" i="14"/>
  <c r="M499" i="14" s="1"/>
  <c r="V498" i="14"/>
  <c r="W498" i="14" s="1"/>
  <c r="U498" i="14"/>
  <c r="T498" i="14"/>
  <c r="R498" i="14"/>
  <c r="S498" i="14" s="1"/>
  <c r="P498" i="14"/>
  <c r="Q498" i="14" s="1"/>
  <c r="N498" i="14"/>
  <c r="O498" i="14" s="1"/>
  <c r="M498" i="14"/>
  <c r="L498" i="14"/>
  <c r="V497" i="14"/>
  <c r="W497" i="14" s="1"/>
  <c r="T497" i="14"/>
  <c r="U497" i="14" s="1"/>
  <c r="R497" i="14"/>
  <c r="S497" i="14" s="1"/>
  <c r="Q497" i="14"/>
  <c r="P497" i="14"/>
  <c r="N497" i="14"/>
  <c r="O497" i="14" s="1"/>
  <c r="L497" i="14"/>
  <c r="M497" i="14" s="1"/>
  <c r="V496" i="14"/>
  <c r="W496" i="14" s="1"/>
  <c r="U496" i="14"/>
  <c r="T496" i="14"/>
  <c r="R496" i="14"/>
  <c r="S496" i="14" s="1"/>
  <c r="P496" i="14"/>
  <c r="Q496" i="14" s="1"/>
  <c r="N496" i="14"/>
  <c r="O496" i="14" s="1"/>
  <c r="M496" i="14"/>
  <c r="L496" i="14"/>
  <c r="V495" i="14"/>
  <c r="W495" i="14" s="1"/>
  <c r="T495" i="14"/>
  <c r="U495" i="14" s="1"/>
  <c r="R495" i="14"/>
  <c r="S495" i="14" s="1"/>
  <c r="Q495" i="14"/>
  <c r="P495" i="14"/>
  <c r="N495" i="14"/>
  <c r="O495" i="14" s="1"/>
  <c r="L495" i="14"/>
  <c r="M495" i="14" s="1"/>
  <c r="V494" i="14"/>
  <c r="W494" i="14" s="1"/>
  <c r="U494" i="14"/>
  <c r="T494" i="14"/>
  <c r="R494" i="14"/>
  <c r="S494" i="14" s="1"/>
  <c r="P494" i="14"/>
  <c r="Q494" i="14" s="1"/>
  <c r="N494" i="14"/>
  <c r="O494" i="14" s="1"/>
  <c r="M494" i="14"/>
  <c r="L494" i="14"/>
  <c r="V493" i="14"/>
  <c r="W493" i="14" s="1"/>
  <c r="T493" i="14"/>
  <c r="U493" i="14" s="1"/>
  <c r="R493" i="14"/>
  <c r="S493" i="14" s="1"/>
  <c r="Q493" i="14"/>
  <c r="P493" i="14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O487" i="14"/>
  <c r="N487" i="14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W485" i="14"/>
  <c r="V485" i="14"/>
  <c r="T485" i="14"/>
  <c r="U485" i="14" s="1"/>
  <c r="R485" i="14"/>
  <c r="S485" i="14" s="1"/>
  <c r="P485" i="14"/>
  <c r="Q485" i="14" s="1"/>
  <c r="N485" i="14"/>
  <c r="O485" i="14" s="1"/>
  <c r="L485" i="14"/>
  <c r="M485" i="14" s="1"/>
  <c r="V484" i="14"/>
  <c r="W484" i="14" s="1"/>
  <c r="T484" i="14"/>
  <c r="U484" i="14" s="1"/>
  <c r="S484" i="14"/>
  <c r="R484" i="14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O483" i="14"/>
  <c r="N483" i="14"/>
  <c r="L483" i="14"/>
  <c r="M483" i="14" s="1"/>
  <c r="V482" i="14"/>
  <c r="W482" i="14" s="1"/>
  <c r="T482" i="14"/>
  <c r="U482" i="14" s="1"/>
  <c r="R482" i="14"/>
  <c r="S482" i="14" s="1"/>
  <c r="P482" i="14"/>
  <c r="Q482" i="14" s="1"/>
  <c r="N482" i="14"/>
  <c r="O482" i="14" s="1"/>
  <c r="L482" i="14"/>
  <c r="M482" i="14" s="1"/>
  <c r="W481" i="14"/>
  <c r="V481" i="14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S480" i="14"/>
  <c r="R480" i="14"/>
  <c r="P480" i="14"/>
  <c r="Q480" i="14" s="1"/>
  <c r="N480" i="14"/>
  <c r="O480" i="14" s="1"/>
  <c r="L480" i="14"/>
  <c r="M480" i="14" s="1"/>
  <c r="V479" i="14"/>
  <c r="W479" i="14" s="1"/>
  <c r="T479" i="14"/>
  <c r="U479" i="14" s="1"/>
  <c r="R479" i="14"/>
  <c r="S479" i="14" s="1"/>
  <c r="P479" i="14"/>
  <c r="Q479" i="14" s="1"/>
  <c r="O479" i="14"/>
  <c r="N479" i="14"/>
  <c r="L479" i="14"/>
  <c r="M479" i="14" s="1"/>
  <c r="V478" i="14"/>
  <c r="W478" i="14" s="1"/>
  <c r="T478" i="14"/>
  <c r="U478" i="14" s="1"/>
  <c r="R478" i="14"/>
  <c r="S478" i="14" s="1"/>
  <c r="P478" i="14"/>
  <c r="Q478" i="14" s="1"/>
  <c r="N478" i="14"/>
  <c r="O478" i="14" s="1"/>
  <c r="L478" i="14"/>
  <c r="M478" i="14" s="1"/>
  <c r="W477" i="14"/>
  <c r="V477" i="14"/>
  <c r="T477" i="14"/>
  <c r="U477" i="14" s="1"/>
  <c r="R477" i="14"/>
  <c r="S477" i="14" s="1"/>
  <c r="P477" i="14"/>
  <c r="Q477" i="14" s="1"/>
  <c r="N477" i="14"/>
  <c r="O477" i="14" s="1"/>
  <c r="L477" i="14"/>
  <c r="M477" i="14" s="1"/>
  <c r="V476" i="14"/>
  <c r="W476" i="14" s="1"/>
  <c r="T476" i="14"/>
  <c r="U476" i="14" s="1"/>
  <c r="S476" i="14"/>
  <c r="R476" i="14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O475" i="14"/>
  <c r="N475" i="14"/>
  <c r="L475" i="14"/>
  <c r="M475" i="14" s="1"/>
  <c r="V474" i="14"/>
  <c r="W474" i="14" s="1"/>
  <c r="T474" i="14"/>
  <c r="U474" i="14" s="1"/>
  <c r="R474" i="14"/>
  <c r="S474" i="14" s="1"/>
  <c r="P474" i="14"/>
  <c r="Q474" i="14" s="1"/>
  <c r="N474" i="14"/>
  <c r="O474" i="14" s="1"/>
  <c r="L474" i="14"/>
  <c r="M474" i="14" s="1"/>
  <c r="W473" i="14"/>
  <c r="V473" i="14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S472" i="14"/>
  <c r="R472" i="14"/>
  <c r="P472" i="14"/>
  <c r="Q472" i="14" s="1"/>
  <c r="N472" i="14"/>
  <c r="O472" i="14" s="1"/>
  <c r="L472" i="14"/>
  <c r="M472" i="14" s="1"/>
  <c r="V471" i="14"/>
  <c r="W471" i="14" s="1"/>
  <c r="T471" i="14"/>
  <c r="U471" i="14" s="1"/>
  <c r="R471" i="14"/>
  <c r="S471" i="14" s="1"/>
  <c r="P471" i="14"/>
  <c r="Q471" i="14" s="1"/>
  <c r="O471" i="14"/>
  <c r="N471" i="14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W469" i="14"/>
  <c r="V469" i="14"/>
  <c r="T469" i="14"/>
  <c r="U469" i="14" s="1"/>
  <c r="R469" i="14"/>
  <c r="S469" i="14" s="1"/>
  <c r="P469" i="14"/>
  <c r="Q469" i="14" s="1"/>
  <c r="N469" i="14"/>
  <c r="O469" i="14" s="1"/>
  <c r="L469" i="14"/>
  <c r="M469" i="14" s="1"/>
  <c r="V468" i="14"/>
  <c r="W468" i="14" s="1"/>
  <c r="T468" i="14"/>
  <c r="U468" i="14" s="1"/>
  <c r="S468" i="14"/>
  <c r="R468" i="14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O467" i="14"/>
  <c r="N467" i="14"/>
  <c r="L467" i="14"/>
  <c r="M467" i="14" s="1"/>
  <c r="V466" i="14"/>
  <c r="W466" i="14" s="1"/>
  <c r="T466" i="14"/>
  <c r="U466" i="14" s="1"/>
  <c r="R466" i="14"/>
  <c r="S466" i="14" s="1"/>
  <c r="P466" i="14"/>
  <c r="Q466" i="14" s="1"/>
  <c r="N466" i="14"/>
  <c r="O466" i="14" s="1"/>
  <c r="L466" i="14"/>
  <c r="M466" i="14" s="1"/>
  <c r="W465" i="14"/>
  <c r="V465" i="14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S464" i="14"/>
  <c r="R464" i="14"/>
  <c r="P464" i="14"/>
  <c r="Q464" i="14" s="1"/>
  <c r="N464" i="14"/>
  <c r="O464" i="14" s="1"/>
  <c r="L464" i="14"/>
  <c r="M464" i="14" s="1"/>
  <c r="V463" i="14"/>
  <c r="W463" i="14" s="1"/>
  <c r="T463" i="14"/>
  <c r="U463" i="14" s="1"/>
  <c r="R463" i="14"/>
  <c r="S463" i="14" s="1"/>
  <c r="P463" i="14"/>
  <c r="Q463" i="14" s="1"/>
  <c r="O463" i="14"/>
  <c r="N463" i="14"/>
  <c r="L463" i="14"/>
  <c r="M463" i="14" s="1"/>
  <c r="V462" i="14"/>
  <c r="W462" i="14" s="1"/>
  <c r="T462" i="14"/>
  <c r="U462" i="14" s="1"/>
  <c r="R462" i="14"/>
  <c r="S462" i="14" s="1"/>
  <c r="P462" i="14"/>
  <c r="Q462" i="14" s="1"/>
  <c r="N462" i="14"/>
  <c r="O462" i="14" s="1"/>
  <c r="L462" i="14"/>
  <c r="M462" i="14" s="1"/>
  <c r="W461" i="14"/>
  <c r="V461" i="14"/>
  <c r="T461" i="14"/>
  <c r="U461" i="14" s="1"/>
  <c r="R461" i="14"/>
  <c r="S461" i="14" s="1"/>
  <c r="P461" i="14"/>
  <c r="Q461" i="14" s="1"/>
  <c r="N461" i="14"/>
  <c r="O461" i="14" s="1"/>
  <c r="L461" i="14"/>
  <c r="M461" i="14" s="1"/>
  <c r="V460" i="14"/>
  <c r="W460" i="14" s="1"/>
  <c r="T460" i="14"/>
  <c r="U460" i="14" s="1"/>
  <c r="S460" i="14"/>
  <c r="R460" i="14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O459" i="14"/>
  <c r="N459" i="14"/>
  <c r="L459" i="14"/>
  <c r="M459" i="14" s="1"/>
  <c r="V458" i="14"/>
  <c r="W458" i="14" s="1"/>
  <c r="T458" i="14"/>
  <c r="U458" i="14" s="1"/>
  <c r="R458" i="14"/>
  <c r="S458" i="14" s="1"/>
  <c r="P458" i="14"/>
  <c r="Q458" i="14" s="1"/>
  <c r="N458" i="14"/>
  <c r="O458" i="14" s="1"/>
  <c r="L458" i="14"/>
  <c r="M458" i="14" s="1"/>
  <c r="W457" i="14"/>
  <c r="V457" i="14"/>
  <c r="T457" i="14"/>
  <c r="U457" i="14" s="1"/>
  <c r="R457" i="14"/>
  <c r="S457" i="14" s="1"/>
  <c r="P457" i="14"/>
  <c r="Q457" i="14" s="1"/>
  <c r="N457" i="14"/>
  <c r="O457" i="14" s="1"/>
  <c r="L457" i="14"/>
  <c r="M457" i="14" s="1"/>
  <c r="V456" i="14"/>
  <c r="W456" i="14" s="1"/>
  <c r="T456" i="14"/>
  <c r="U456" i="14" s="1"/>
  <c r="S456" i="14"/>
  <c r="R456" i="14"/>
  <c r="P456" i="14"/>
  <c r="Q456" i="14" s="1"/>
  <c r="N456" i="14"/>
  <c r="O456" i="14" s="1"/>
  <c r="L456" i="14"/>
  <c r="M456" i="14" s="1"/>
  <c r="V455" i="14"/>
  <c r="W455" i="14" s="1"/>
  <c r="T455" i="14"/>
  <c r="U455" i="14" s="1"/>
  <c r="R455" i="14"/>
  <c r="S455" i="14" s="1"/>
  <c r="P455" i="14"/>
  <c r="Q455" i="14" s="1"/>
  <c r="O455" i="14"/>
  <c r="N455" i="14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W453" i="14"/>
  <c r="V453" i="14"/>
  <c r="T453" i="14"/>
  <c r="U453" i="14" s="1"/>
  <c r="R453" i="14"/>
  <c r="S453" i="14" s="1"/>
  <c r="P453" i="14"/>
  <c r="Q453" i="14" s="1"/>
  <c r="N453" i="14"/>
  <c r="O453" i="14" s="1"/>
  <c r="L453" i="14"/>
  <c r="M453" i="14" s="1"/>
  <c r="V452" i="14"/>
  <c r="W452" i="14" s="1"/>
  <c r="T452" i="14"/>
  <c r="U452" i="14" s="1"/>
  <c r="S452" i="14"/>
  <c r="R452" i="14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O451" i="14"/>
  <c r="N451" i="14"/>
  <c r="L451" i="14"/>
  <c r="M451" i="14" s="1"/>
  <c r="V450" i="14"/>
  <c r="W450" i="14" s="1"/>
  <c r="T450" i="14"/>
  <c r="U450" i="14" s="1"/>
  <c r="R450" i="14"/>
  <c r="S450" i="14" s="1"/>
  <c r="P450" i="14"/>
  <c r="Q450" i="14" s="1"/>
  <c r="N450" i="14"/>
  <c r="O450" i="14" s="1"/>
  <c r="L450" i="14"/>
  <c r="M450" i="14" s="1"/>
  <c r="W449" i="14"/>
  <c r="V449" i="14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S448" i="14"/>
  <c r="R448" i="14"/>
  <c r="P448" i="14"/>
  <c r="Q448" i="14" s="1"/>
  <c r="N448" i="14"/>
  <c r="O448" i="14" s="1"/>
  <c r="L448" i="14"/>
  <c r="M448" i="14" s="1"/>
  <c r="V447" i="14"/>
  <c r="W447" i="14" s="1"/>
  <c r="T447" i="14"/>
  <c r="U447" i="14" s="1"/>
  <c r="R447" i="14"/>
  <c r="S447" i="14" s="1"/>
  <c r="P447" i="14"/>
  <c r="Q447" i="14" s="1"/>
  <c r="O447" i="14"/>
  <c r="N447" i="14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W445" i="14"/>
  <c r="V445" i="14"/>
  <c r="T445" i="14"/>
  <c r="U445" i="14" s="1"/>
  <c r="R445" i="14"/>
  <c r="S445" i="14" s="1"/>
  <c r="P445" i="14"/>
  <c r="Q445" i="14" s="1"/>
  <c r="N445" i="14"/>
  <c r="O445" i="14" s="1"/>
  <c r="L445" i="14"/>
  <c r="M445" i="14" s="1"/>
  <c r="V444" i="14"/>
  <c r="W444" i="14" s="1"/>
  <c r="T444" i="14"/>
  <c r="U444" i="14" s="1"/>
  <c r="S444" i="14"/>
  <c r="R444" i="14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O443" i="14"/>
  <c r="N443" i="14"/>
  <c r="L443" i="14"/>
  <c r="M443" i="14" s="1"/>
  <c r="V442" i="14"/>
  <c r="W442" i="14" s="1"/>
  <c r="T442" i="14"/>
  <c r="U442" i="14" s="1"/>
  <c r="R442" i="14"/>
  <c r="S442" i="14" s="1"/>
  <c r="P442" i="14"/>
  <c r="Q442" i="14" s="1"/>
  <c r="N442" i="14"/>
  <c r="O442" i="14" s="1"/>
  <c r="L442" i="14"/>
  <c r="M442" i="14" s="1"/>
  <c r="W441" i="14"/>
  <c r="V441" i="14"/>
  <c r="T441" i="14"/>
  <c r="U441" i="14" s="1"/>
  <c r="R441" i="14"/>
  <c r="S441" i="14" s="1"/>
  <c r="P441" i="14"/>
  <c r="Q441" i="14" s="1"/>
  <c r="N441" i="14"/>
  <c r="O441" i="14" s="1"/>
  <c r="L441" i="14"/>
  <c r="M441" i="14" s="1"/>
  <c r="V440" i="14"/>
  <c r="W440" i="14" s="1"/>
  <c r="T440" i="14"/>
  <c r="U440" i="14" s="1"/>
  <c r="S440" i="14"/>
  <c r="R440" i="14"/>
  <c r="P440" i="14"/>
  <c r="Q440" i="14" s="1"/>
  <c r="N440" i="14"/>
  <c r="O440" i="14" s="1"/>
  <c r="L440" i="14"/>
  <c r="M440" i="14" s="1"/>
  <c r="V439" i="14"/>
  <c r="W439" i="14" s="1"/>
  <c r="T439" i="14"/>
  <c r="U439" i="14" s="1"/>
  <c r="R439" i="14"/>
  <c r="S439" i="14" s="1"/>
  <c r="P439" i="14"/>
  <c r="Q439" i="14" s="1"/>
  <c r="O439" i="14"/>
  <c r="N439" i="14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W437" i="14"/>
  <c r="V437" i="14"/>
  <c r="T437" i="14"/>
  <c r="U437" i="14" s="1"/>
  <c r="R437" i="14"/>
  <c r="S437" i="14" s="1"/>
  <c r="P437" i="14"/>
  <c r="Q437" i="14" s="1"/>
  <c r="N437" i="14"/>
  <c r="O437" i="14" s="1"/>
  <c r="L437" i="14"/>
  <c r="M437" i="14" s="1"/>
  <c r="V436" i="14"/>
  <c r="W436" i="14" s="1"/>
  <c r="T436" i="14"/>
  <c r="U436" i="14" s="1"/>
  <c r="S436" i="14"/>
  <c r="R436" i="14"/>
  <c r="P436" i="14"/>
  <c r="Q436" i="14" s="1"/>
  <c r="N436" i="14"/>
  <c r="O436" i="14" s="1"/>
  <c r="L436" i="14"/>
  <c r="M436" i="14" s="1"/>
  <c r="V435" i="14"/>
  <c r="W435" i="14" s="1"/>
  <c r="T435" i="14"/>
  <c r="U435" i="14" s="1"/>
  <c r="R435" i="14"/>
  <c r="S435" i="14" s="1"/>
  <c r="P435" i="14"/>
  <c r="Q435" i="14" s="1"/>
  <c r="O435" i="14"/>
  <c r="N435" i="14"/>
  <c r="L435" i="14"/>
  <c r="M435" i="14" s="1"/>
  <c r="V434" i="14"/>
  <c r="W434" i="14" s="1"/>
  <c r="T434" i="14"/>
  <c r="U434" i="14" s="1"/>
  <c r="R434" i="14"/>
  <c r="S434" i="14" s="1"/>
  <c r="P434" i="14"/>
  <c r="Q434" i="14" s="1"/>
  <c r="N434" i="14"/>
  <c r="O434" i="14" s="1"/>
  <c r="L434" i="14"/>
  <c r="M434" i="14" s="1"/>
  <c r="W433" i="14"/>
  <c r="V433" i="14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S432" i="14"/>
  <c r="R432" i="14"/>
  <c r="P432" i="14"/>
  <c r="Q432" i="14" s="1"/>
  <c r="N432" i="14"/>
  <c r="O432" i="14" s="1"/>
  <c r="L432" i="14"/>
  <c r="M432" i="14" s="1"/>
  <c r="V431" i="14"/>
  <c r="W431" i="14" s="1"/>
  <c r="T431" i="14"/>
  <c r="U431" i="14" s="1"/>
  <c r="R431" i="14"/>
  <c r="S431" i="14" s="1"/>
  <c r="P431" i="14"/>
  <c r="Q431" i="14" s="1"/>
  <c r="O431" i="14"/>
  <c r="N431" i="14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M388" i="14"/>
  <c r="L388" i="14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U386" i="14"/>
  <c r="T386" i="14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P385" i="14"/>
  <c r="Q385" i="14" s="1"/>
  <c r="N385" i="14"/>
  <c r="O385" i="14" s="1"/>
  <c r="L385" i="14"/>
  <c r="M385" i="14" s="1"/>
  <c r="V384" i="14"/>
  <c r="W384" i="14" s="1"/>
  <c r="U384" i="14"/>
  <c r="T384" i="14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L380" i="14"/>
  <c r="M380" i="14" s="1"/>
  <c r="V379" i="14"/>
  <c r="W379" i="14" s="1"/>
  <c r="T379" i="14"/>
  <c r="U379" i="14" s="1"/>
  <c r="R379" i="14"/>
  <c r="S379" i="14" s="1"/>
  <c r="Q379" i="14"/>
  <c r="P379" i="14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T374" i="14"/>
  <c r="U374" i="14" s="1"/>
  <c r="R374" i="14"/>
  <c r="S374" i="14" s="1"/>
  <c r="P374" i="14"/>
  <c r="Q374" i="14" s="1"/>
  <c r="N374" i="14"/>
  <c r="O374" i="14" s="1"/>
  <c r="M374" i="14"/>
  <c r="L374" i="14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P369" i="14"/>
  <c r="Q369" i="14" s="1"/>
  <c r="N369" i="14"/>
  <c r="O369" i="14" s="1"/>
  <c r="L369" i="14"/>
  <c r="M369" i="14" s="1"/>
  <c r="V368" i="14"/>
  <c r="W368" i="14" s="1"/>
  <c r="U368" i="14"/>
  <c r="T368" i="14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L364" i="14"/>
  <c r="M364" i="14" s="1"/>
  <c r="V363" i="14"/>
  <c r="W363" i="14" s="1"/>
  <c r="T363" i="14"/>
  <c r="U363" i="14" s="1"/>
  <c r="R363" i="14"/>
  <c r="S363" i="14" s="1"/>
  <c r="Q363" i="14"/>
  <c r="P363" i="14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T358" i="14"/>
  <c r="U358" i="14" s="1"/>
  <c r="R358" i="14"/>
  <c r="S358" i="14" s="1"/>
  <c r="P358" i="14"/>
  <c r="Q358" i="14" s="1"/>
  <c r="N358" i="14"/>
  <c r="O358" i="14" s="1"/>
  <c r="M358" i="14"/>
  <c r="L358" i="14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P353" i="14"/>
  <c r="Q353" i="14" s="1"/>
  <c r="N353" i="14"/>
  <c r="O353" i="14" s="1"/>
  <c r="L353" i="14"/>
  <c r="M353" i="14" s="1"/>
  <c r="V352" i="14"/>
  <c r="W352" i="14" s="1"/>
  <c r="U352" i="14"/>
  <c r="T352" i="14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V242" i="14"/>
  <c r="W242" i="14" s="1"/>
  <c r="T242" i="14"/>
  <c r="U242" i="14" s="1"/>
  <c r="R242" i="14"/>
  <c r="S242" i="14" s="1"/>
  <c r="P242" i="14"/>
  <c r="Q242" i="14" s="1"/>
  <c r="O242" i="14"/>
  <c r="N242" i="14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R237" i="14"/>
  <c r="S237" i="14" s="1"/>
  <c r="P237" i="14"/>
  <c r="Q237" i="14" s="1"/>
  <c r="N237" i="14"/>
  <c r="O237" i="14" s="1"/>
  <c r="L237" i="14"/>
  <c r="M237" i="14" s="1"/>
  <c r="W236" i="14"/>
  <c r="V236" i="14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N232" i="14"/>
  <c r="O232" i="14" s="1"/>
  <c r="L232" i="14"/>
  <c r="M232" i="14" s="1"/>
  <c r="V231" i="14"/>
  <c r="W231" i="14" s="1"/>
  <c r="T231" i="14"/>
  <c r="U231" i="14" s="1"/>
  <c r="S231" i="14"/>
  <c r="R231" i="14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V226" i="14"/>
  <c r="W226" i="14" s="1"/>
  <c r="T226" i="14"/>
  <c r="U226" i="14" s="1"/>
  <c r="R226" i="14"/>
  <c r="S226" i="14" s="1"/>
  <c r="P226" i="14"/>
  <c r="Q226" i="14" s="1"/>
  <c r="O226" i="14"/>
  <c r="N226" i="14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R221" i="14"/>
  <c r="S221" i="14" s="1"/>
  <c r="P221" i="14"/>
  <c r="Q221" i="14" s="1"/>
  <c r="N221" i="14"/>
  <c r="O221" i="14" s="1"/>
  <c r="L221" i="14"/>
  <c r="M221" i="14" s="1"/>
  <c r="W220" i="14"/>
  <c r="V220" i="14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N216" i="14"/>
  <c r="O216" i="14" s="1"/>
  <c r="L216" i="14"/>
  <c r="M216" i="14" s="1"/>
  <c r="V215" i="14"/>
  <c r="W215" i="14" s="1"/>
  <c r="T215" i="14"/>
  <c r="U215" i="14" s="1"/>
  <c r="S215" i="14"/>
  <c r="R215" i="14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V210" i="14"/>
  <c r="W210" i="14" s="1"/>
  <c r="T210" i="14"/>
  <c r="U210" i="14" s="1"/>
  <c r="R210" i="14"/>
  <c r="S210" i="14" s="1"/>
  <c r="P210" i="14"/>
  <c r="Q210" i="14" s="1"/>
  <c r="O210" i="14"/>
  <c r="N210" i="14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R205" i="14"/>
  <c r="S205" i="14" s="1"/>
  <c r="P205" i="14"/>
  <c r="Q205" i="14" s="1"/>
  <c r="N205" i="14"/>
  <c r="O205" i="14" s="1"/>
  <c r="L205" i="14"/>
  <c r="M205" i="14" s="1"/>
  <c r="W204" i="14"/>
  <c r="V204" i="14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N200" i="14"/>
  <c r="O200" i="14" s="1"/>
  <c r="L200" i="14"/>
  <c r="M200" i="14" s="1"/>
  <c r="V199" i="14"/>
  <c r="W199" i="14" s="1"/>
  <c r="T199" i="14"/>
  <c r="U199" i="14" s="1"/>
  <c r="S199" i="14"/>
  <c r="R199" i="14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V196" i="14"/>
  <c r="W196" i="14" s="1"/>
  <c r="T196" i="14"/>
  <c r="U196" i="14" s="1"/>
  <c r="S196" i="14"/>
  <c r="R196" i="14"/>
  <c r="P196" i="14"/>
  <c r="Q196" i="14" s="1"/>
  <c r="N196" i="14"/>
  <c r="O196" i="14" s="1"/>
  <c r="L196" i="14"/>
  <c r="M196" i="14" s="1"/>
  <c r="W195" i="14"/>
  <c r="V195" i="14"/>
  <c r="T195" i="14"/>
  <c r="U195" i="14" s="1"/>
  <c r="R195" i="14"/>
  <c r="S195" i="14" s="1"/>
  <c r="P195" i="14"/>
  <c r="Q195" i="14" s="1"/>
  <c r="O195" i="14"/>
  <c r="N195" i="14"/>
  <c r="L195" i="14"/>
  <c r="M195" i="14" s="1"/>
  <c r="V194" i="14"/>
  <c r="W194" i="14" s="1"/>
  <c r="T194" i="14"/>
  <c r="U194" i="14" s="1"/>
  <c r="S194" i="14"/>
  <c r="R194" i="14"/>
  <c r="P194" i="14"/>
  <c r="Q194" i="14" s="1"/>
  <c r="N194" i="14"/>
  <c r="O194" i="14" s="1"/>
  <c r="L194" i="14"/>
  <c r="M194" i="14" s="1"/>
  <c r="W193" i="14"/>
  <c r="V193" i="14"/>
  <c r="T193" i="14"/>
  <c r="U193" i="14" s="1"/>
  <c r="R193" i="14"/>
  <c r="S193" i="14" s="1"/>
  <c r="P193" i="14"/>
  <c r="Q193" i="14" s="1"/>
  <c r="O193" i="14"/>
  <c r="N193" i="14"/>
  <c r="L193" i="14"/>
  <c r="M193" i="14" s="1"/>
  <c r="V192" i="14"/>
  <c r="W192" i="14" s="1"/>
  <c r="T192" i="14"/>
  <c r="U192" i="14" s="1"/>
  <c r="S192" i="14"/>
  <c r="R192" i="14"/>
  <c r="P192" i="14"/>
  <c r="Q192" i="14" s="1"/>
  <c r="N192" i="14"/>
  <c r="O192" i="14" s="1"/>
  <c r="L192" i="14"/>
  <c r="M192" i="14" s="1"/>
  <c r="W191" i="14"/>
  <c r="V191" i="14"/>
  <c r="T191" i="14"/>
  <c r="U191" i="14" s="1"/>
  <c r="R191" i="14"/>
  <c r="S191" i="14" s="1"/>
  <c r="P191" i="14"/>
  <c r="Q191" i="14" s="1"/>
  <c r="O191" i="14"/>
  <c r="N191" i="14"/>
  <c r="L191" i="14"/>
  <c r="M191" i="14" s="1"/>
  <c r="V190" i="14"/>
  <c r="W190" i="14" s="1"/>
  <c r="T190" i="14"/>
  <c r="U190" i="14" s="1"/>
  <c r="S190" i="14"/>
  <c r="R190" i="14"/>
  <c r="P190" i="14"/>
  <c r="Q190" i="14" s="1"/>
  <c r="N190" i="14"/>
  <c r="O190" i="14" s="1"/>
  <c r="L190" i="14"/>
  <c r="M190" i="14" s="1"/>
  <c r="W189" i="14"/>
  <c r="V189" i="14"/>
  <c r="T189" i="14"/>
  <c r="U189" i="14" s="1"/>
  <c r="R189" i="14"/>
  <c r="S189" i="14" s="1"/>
  <c r="P189" i="14"/>
  <c r="Q189" i="14" s="1"/>
  <c r="O189" i="14"/>
  <c r="N189" i="14"/>
  <c r="L189" i="14"/>
  <c r="M189" i="14" s="1"/>
  <c r="V188" i="14"/>
  <c r="W188" i="14" s="1"/>
  <c r="T188" i="14"/>
  <c r="U188" i="14" s="1"/>
  <c r="S188" i="14"/>
  <c r="R188" i="14"/>
  <c r="P188" i="14"/>
  <c r="Q188" i="14" s="1"/>
  <c r="N188" i="14"/>
  <c r="O188" i="14" s="1"/>
  <c r="L188" i="14"/>
  <c r="M188" i="14" s="1"/>
  <c r="W187" i="14"/>
  <c r="V187" i="14"/>
  <c r="T187" i="14"/>
  <c r="U187" i="14" s="1"/>
  <c r="R187" i="14"/>
  <c r="S187" i="14" s="1"/>
  <c r="P187" i="14"/>
  <c r="Q187" i="14" s="1"/>
  <c r="O187" i="14"/>
  <c r="N187" i="14"/>
  <c r="L187" i="14"/>
  <c r="M187" i="14" s="1"/>
  <c r="V186" i="14"/>
  <c r="W186" i="14" s="1"/>
  <c r="T186" i="14"/>
  <c r="U186" i="14" s="1"/>
  <c r="S186" i="14"/>
  <c r="R186" i="14"/>
  <c r="P186" i="14"/>
  <c r="Q186" i="14" s="1"/>
  <c r="N186" i="14"/>
  <c r="O186" i="14" s="1"/>
  <c r="L186" i="14"/>
  <c r="M186" i="14" s="1"/>
  <c r="W185" i="14"/>
  <c r="V185" i="14"/>
  <c r="T185" i="14"/>
  <c r="U185" i="14" s="1"/>
  <c r="R185" i="14"/>
  <c r="S185" i="14" s="1"/>
  <c r="P185" i="14"/>
  <c r="Q185" i="14" s="1"/>
  <c r="O185" i="14"/>
  <c r="N185" i="14"/>
  <c r="L185" i="14"/>
  <c r="M185" i="14" s="1"/>
  <c r="V184" i="14"/>
  <c r="W184" i="14" s="1"/>
  <c r="T184" i="14"/>
  <c r="U184" i="14" s="1"/>
  <c r="S184" i="14"/>
  <c r="R184" i="14"/>
  <c r="P184" i="14"/>
  <c r="Q184" i="14" s="1"/>
  <c r="N184" i="14"/>
  <c r="O184" i="14" s="1"/>
  <c r="L184" i="14"/>
  <c r="M184" i="14" s="1"/>
  <c r="W183" i="14"/>
  <c r="V183" i="14"/>
  <c r="T183" i="14"/>
  <c r="U183" i="14" s="1"/>
  <c r="R183" i="14"/>
  <c r="S183" i="14" s="1"/>
  <c r="P183" i="14"/>
  <c r="Q183" i="14" s="1"/>
  <c r="O183" i="14"/>
  <c r="N183" i="14"/>
  <c r="L183" i="14"/>
  <c r="M183" i="14" s="1"/>
  <c r="V182" i="14"/>
  <c r="W182" i="14" s="1"/>
  <c r="T182" i="14"/>
  <c r="U182" i="14" s="1"/>
  <c r="S182" i="14"/>
  <c r="R182" i="14"/>
  <c r="P182" i="14"/>
  <c r="Q182" i="14" s="1"/>
  <c r="N182" i="14"/>
  <c r="O182" i="14" s="1"/>
  <c r="L182" i="14"/>
  <c r="M182" i="14" s="1"/>
  <c r="W181" i="14"/>
  <c r="V181" i="14"/>
  <c r="T181" i="14"/>
  <c r="U181" i="14" s="1"/>
  <c r="R181" i="14"/>
  <c r="S181" i="14" s="1"/>
  <c r="P181" i="14"/>
  <c r="Q181" i="14" s="1"/>
  <c r="O181" i="14"/>
  <c r="N181" i="14"/>
  <c r="L181" i="14"/>
  <c r="M181" i="14" s="1"/>
  <c r="V180" i="14"/>
  <c r="W180" i="14" s="1"/>
  <c r="T180" i="14"/>
  <c r="U180" i="14" s="1"/>
  <c r="S180" i="14"/>
  <c r="R180" i="14"/>
  <c r="P180" i="14"/>
  <c r="Q180" i="14" s="1"/>
  <c r="N180" i="14"/>
  <c r="O180" i="14" s="1"/>
  <c r="L180" i="14"/>
  <c r="M180" i="14" s="1"/>
  <c r="W179" i="14"/>
  <c r="V179" i="14"/>
  <c r="T179" i="14"/>
  <c r="U179" i="14" s="1"/>
  <c r="R179" i="14"/>
  <c r="S179" i="14" s="1"/>
  <c r="P179" i="14"/>
  <c r="Q179" i="14" s="1"/>
  <c r="O179" i="14"/>
  <c r="N179" i="14"/>
  <c r="L179" i="14"/>
  <c r="M179" i="14" s="1"/>
  <c r="V178" i="14"/>
  <c r="W178" i="14" s="1"/>
  <c r="T178" i="14"/>
  <c r="U178" i="14" s="1"/>
  <c r="S178" i="14"/>
  <c r="R178" i="14"/>
  <c r="P178" i="14"/>
  <c r="Q178" i="14" s="1"/>
  <c r="N178" i="14"/>
  <c r="O178" i="14" s="1"/>
  <c r="L178" i="14"/>
  <c r="M178" i="14" s="1"/>
  <c r="W177" i="14"/>
  <c r="V177" i="14"/>
  <c r="T177" i="14"/>
  <c r="U177" i="14" s="1"/>
  <c r="R177" i="14"/>
  <c r="S177" i="14" s="1"/>
  <c r="P177" i="14"/>
  <c r="Q177" i="14" s="1"/>
  <c r="O177" i="14"/>
  <c r="N177" i="14"/>
  <c r="L177" i="14"/>
  <c r="M177" i="14" s="1"/>
  <c r="V176" i="14"/>
  <c r="W176" i="14" s="1"/>
  <c r="T176" i="14"/>
  <c r="U176" i="14" s="1"/>
  <c r="S176" i="14"/>
  <c r="R176" i="14"/>
  <c r="P176" i="14"/>
  <c r="Q176" i="14" s="1"/>
  <c r="N176" i="14"/>
  <c r="O176" i="14" s="1"/>
  <c r="L176" i="14"/>
  <c r="M176" i="14" s="1"/>
  <c r="W175" i="14"/>
  <c r="V175" i="14"/>
  <c r="T175" i="14"/>
  <c r="U175" i="14" s="1"/>
  <c r="R175" i="14"/>
  <c r="S175" i="14" s="1"/>
  <c r="P175" i="14"/>
  <c r="Q175" i="14" s="1"/>
  <c r="O175" i="14"/>
  <c r="N175" i="14"/>
  <c r="L175" i="14"/>
  <c r="M175" i="14" s="1"/>
  <c r="V174" i="14"/>
  <c r="W174" i="14" s="1"/>
  <c r="T174" i="14"/>
  <c r="U174" i="14" s="1"/>
  <c r="S174" i="14"/>
  <c r="R174" i="14"/>
  <c r="P174" i="14"/>
  <c r="Q174" i="14" s="1"/>
  <c r="N174" i="14"/>
  <c r="O174" i="14" s="1"/>
  <c r="L174" i="14"/>
  <c r="M174" i="14" s="1"/>
  <c r="W173" i="14"/>
  <c r="V173" i="14"/>
  <c r="T173" i="14"/>
  <c r="U173" i="14" s="1"/>
  <c r="R173" i="14"/>
  <c r="S173" i="14" s="1"/>
  <c r="P173" i="14"/>
  <c r="Q173" i="14" s="1"/>
  <c r="O173" i="14"/>
  <c r="N173" i="14"/>
  <c r="M173" i="14"/>
  <c r="L173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L25" i="14"/>
  <c r="M25" i="14" s="1"/>
  <c r="V24" i="14"/>
  <c r="W24" i="14" s="1"/>
  <c r="U24" i="14"/>
  <c r="T24" i="14"/>
  <c r="R24" i="14"/>
  <c r="S24" i="14" s="1"/>
  <c r="P24" i="14"/>
  <c r="Q24" i="14" s="1"/>
  <c r="N24" i="14"/>
  <c r="O24" i="14" s="1"/>
  <c r="M24" i="14"/>
  <c r="L24" i="14"/>
  <c r="V23" i="14"/>
  <c r="W23" i="14" s="1"/>
  <c r="T23" i="14"/>
  <c r="U23" i="14" s="1"/>
  <c r="R23" i="14"/>
  <c r="S23" i="14" s="1"/>
  <c r="Q23" i="14"/>
  <c r="P23" i="14"/>
  <c r="N23" i="14"/>
  <c r="O23" i="14" s="1"/>
  <c r="L23" i="14"/>
  <c r="M23" i="14" s="1"/>
  <c r="V22" i="14"/>
  <c r="W22" i="14" s="1"/>
  <c r="U22" i="14"/>
  <c r="T22" i="14"/>
  <c r="R22" i="14"/>
  <c r="S22" i="14" s="1"/>
  <c r="P22" i="14"/>
  <c r="Q22" i="14" s="1"/>
  <c r="N22" i="14"/>
  <c r="O22" i="14" s="1"/>
  <c r="M22" i="14"/>
  <c r="L22" i="14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R14" i="14"/>
  <c r="S14" i="14" s="1"/>
  <c r="P14" i="14"/>
  <c r="Q14" i="14" s="1"/>
  <c r="O14" i="14"/>
  <c r="N14" i="14"/>
  <c r="L14" i="14"/>
  <c r="M14" i="14" s="1"/>
  <c r="V13" i="14"/>
  <c r="W13" i="14" s="1"/>
  <c r="T13" i="14"/>
  <c r="U13" i="14" s="1"/>
  <c r="S13" i="14"/>
  <c r="R13" i="14"/>
  <c r="P13" i="14"/>
  <c r="Q13" i="14" s="1"/>
  <c r="N13" i="14"/>
  <c r="O13" i="14" s="1"/>
  <c r="L13" i="14"/>
  <c r="M13" i="14" s="1"/>
  <c r="W12" i="14"/>
  <c r="V12" i="14"/>
  <c r="T12" i="14"/>
  <c r="U12" i="14" s="1"/>
  <c r="R12" i="14"/>
  <c r="S12" i="14" s="1"/>
  <c r="P12" i="14"/>
  <c r="Q12" i="14" s="1"/>
  <c r="O12" i="14"/>
  <c r="N12" i="14"/>
  <c r="L12" i="14"/>
  <c r="M12" i="14" s="1"/>
  <c r="V11" i="14"/>
  <c r="W11" i="14" s="1"/>
  <c r="T11" i="14"/>
  <c r="U11" i="14" s="1"/>
  <c r="S11" i="14"/>
  <c r="R11" i="14"/>
  <c r="P11" i="14"/>
  <c r="Q11" i="14" s="1"/>
  <c r="N11" i="14"/>
  <c r="O11" i="14" s="1"/>
  <c r="L11" i="14"/>
  <c r="M11" i="14" s="1"/>
  <c r="W10" i="14"/>
  <c r="V10" i="14"/>
  <c r="T10" i="14"/>
  <c r="U10" i="14" s="1"/>
  <c r="R10" i="14"/>
  <c r="S10" i="14" s="1"/>
  <c r="P10" i="14"/>
  <c r="Q10" i="14" s="1"/>
  <c r="O10" i="14"/>
  <c r="N10" i="14"/>
  <c r="L10" i="14"/>
  <c r="M10" i="14" s="1"/>
  <c r="V9" i="14"/>
  <c r="W9" i="14" s="1"/>
  <c r="T9" i="14"/>
  <c r="U9" i="14" s="1"/>
  <c r="S9" i="14"/>
  <c r="R9" i="14"/>
  <c r="P9" i="14"/>
  <c r="Q9" i="14" s="1"/>
  <c r="N9" i="14"/>
  <c r="O9" i="14" s="1"/>
  <c r="L9" i="14"/>
  <c r="M9" i="14" s="1"/>
  <c r="W8" i="14"/>
  <c r="V8" i="14"/>
  <c r="T8" i="14"/>
  <c r="U8" i="14" s="1"/>
  <c r="R8" i="14"/>
  <c r="S8" i="14" s="1"/>
  <c r="P8" i="14"/>
  <c r="Q8" i="14" s="1"/>
  <c r="O8" i="14"/>
  <c r="N8" i="14"/>
  <c r="L8" i="14"/>
  <c r="M8" i="14" s="1"/>
  <c r="V7" i="14"/>
  <c r="W7" i="14" s="1"/>
  <c r="T7" i="14"/>
  <c r="U7" i="14" s="1"/>
  <c r="S7" i="14"/>
  <c r="R7" i="14"/>
  <c r="P7" i="14"/>
  <c r="Q7" i="14" s="1"/>
  <c r="N7" i="14"/>
  <c r="O7" i="14" s="1"/>
  <c r="L7" i="14"/>
  <c r="M7" i="14" s="1"/>
  <c r="W6" i="14"/>
  <c r="V6" i="14"/>
  <c r="T6" i="14"/>
  <c r="U6" i="14" s="1"/>
  <c r="R6" i="14"/>
  <c r="S6" i="14" s="1"/>
  <c r="P6" i="14"/>
  <c r="Q6" i="14" s="1"/>
  <c r="O6" i="14"/>
  <c r="N6" i="14"/>
  <c r="L6" i="14"/>
  <c r="M6" i="14" s="1"/>
  <c r="V5" i="14"/>
  <c r="W5" i="14" s="1"/>
  <c r="T5" i="14"/>
  <c r="U5" i="14" s="1"/>
  <c r="S5" i="14"/>
  <c r="R5" i="14"/>
  <c r="P5" i="14"/>
  <c r="Q5" i="14" s="1"/>
  <c r="N5" i="14"/>
  <c r="O5" i="14" s="1"/>
  <c r="L5" i="14"/>
  <c r="M5" i="14" s="1"/>
  <c r="W4" i="14"/>
  <c r="V4" i="14"/>
  <c r="T4" i="14"/>
  <c r="U4" i="14" s="1"/>
  <c r="R4" i="14"/>
  <c r="S4" i="14" s="1"/>
  <c r="P4" i="14"/>
  <c r="Q4" i="14" s="1"/>
  <c r="O4" i="14"/>
  <c r="N4" i="14"/>
  <c r="L4" i="14"/>
  <c r="M4" i="14" s="1"/>
  <c r="V3" i="14"/>
  <c r="W3" i="14" s="1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Q2" i="14"/>
  <c r="P2" i="14"/>
  <c r="N2" i="14"/>
  <c r="O2" i="14" s="1"/>
  <c r="L2" i="14"/>
  <c r="M2" i="14" s="1"/>
  <c r="T822" i="5" l="1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P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P779" i="5"/>
  <c r="V778" i="5"/>
  <c r="V777" i="5"/>
  <c r="V776" i="5"/>
  <c r="P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P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P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P403" i="5"/>
  <c r="L403" i="5"/>
  <c r="V402" i="5"/>
  <c r="V401" i="5"/>
  <c r="P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P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P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P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P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P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P239" i="5"/>
  <c r="V238" i="5"/>
  <c r="L238" i="5"/>
  <c r="V237" i="5"/>
  <c r="V236" i="5"/>
  <c r="P236" i="5"/>
  <c r="N236" i="5"/>
  <c r="L236" i="5"/>
  <c r="V235" i="5"/>
  <c r="P235" i="5"/>
  <c r="N235" i="5"/>
  <c r="L235" i="5"/>
  <c r="V234" i="5"/>
  <c r="P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P223" i="5"/>
  <c r="L223" i="5"/>
  <c r="V222" i="5"/>
  <c r="P222" i="5"/>
  <c r="L222" i="5"/>
  <c r="V221" i="5"/>
  <c r="V220" i="5"/>
  <c r="P220" i="5"/>
  <c r="N220" i="5"/>
  <c r="V219" i="5"/>
  <c r="P219" i="5"/>
  <c r="V218" i="5"/>
  <c r="V217" i="5"/>
  <c r="V216" i="5"/>
  <c r="P216" i="5"/>
  <c r="L216" i="5"/>
  <c r="V215" i="5"/>
  <c r="V214" i="5"/>
  <c r="V213" i="5"/>
  <c r="P213" i="5"/>
  <c r="L213" i="5"/>
  <c r="V212" i="5"/>
  <c r="V211" i="5"/>
  <c r="P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P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P190" i="5"/>
  <c r="V189" i="5"/>
  <c r="N189" i="5"/>
  <c r="L189" i="5"/>
  <c r="V188" i="5"/>
  <c r="V187" i="5"/>
  <c r="P187" i="5"/>
  <c r="V186" i="5"/>
  <c r="L186" i="5"/>
  <c r="V185" i="5"/>
  <c r="V184" i="5"/>
  <c r="N184" i="5"/>
  <c r="V183" i="5"/>
  <c r="P183" i="5"/>
  <c r="V182" i="5"/>
  <c r="P182" i="5"/>
  <c r="N182" i="5"/>
  <c r="V181" i="5"/>
  <c r="L181" i="5"/>
  <c r="V180" i="5"/>
  <c r="P180" i="5"/>
  <c r="L180" i="5"/>
  <c r="V179" i="5"/>
  <c r="L179" i="5"/>
  <c r="V178" i="5"/>
  <c r="P178" i="5"/>
  <c r="V177" i="5"/>
  <c r="T177" i="5"/>
  <c r="P177" i="5"/>
  <c r="V176" i="5"/>
  <c r="V175" i="5"/>
  <c r="P175" i="5"/>
  <c r="L175" i="5"/>
  <c r="V174" i="5"/>
  <c r="T174" i="5"/>
  <c r="P174" i="5"/>
  <c r="L174" i="5"/>
  <c r="V173" i="5"/>
  <c r="L173" i="5"/>
  <c r="V172" i="5"/>
  <c r="V171" i="5"/>
  <c r="P171" i="5"/>
  <c r="N171" i="5"/>
  <c r="V170" i="5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P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P149" i="5"/>
  <c r="V148" i="5"/>
  <c r="P148" i="5"/>
  <c r="V147" i="5"/>
  <c r="T147" i="5"/>
  <c r="V146" i="5"/>
  <c r="V145" i="5"/>
  <c r="P145" i="5"/>
  <c r="V144" i="5"/>
  <c r="T144" i="5"/>
  <c r="P144" i="5"/>
  <c r="V143" i="5"/>
  <c r="P143" i="5"/>
  <c r="V142" i="5"/>
  <c r="N142" i="5"/>
  <c r="V141" i="5"/>
  <c r="V140" i="5"/>
  <c r="V139" i="5"/>
  <c r="W139" i="5" s="1"/>
  <c r="T139" i="5"/>
  <c r="P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P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P100" i="5"/>
  <c r="V99" i="5"/>
  <c r="P99" i="5"/>
  <c r="V98" i="5"/>
  <c r="P98" i="5"/>
  <c r="V97" i="5"/>
  <c r="V96" i="5"/>
  <c r="N96" i="5"/>
  <c r="L96" i="5"/>
  <c r="V95" i="5"/>
  <c r="V94" i="5"/>
  <c r="P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P88" i="5"/>
  <c r="V87" i="5"/>
  <c r="P87" i="5"/>
  <c r="V86" i="5"/>
  <c r="P86" i="5"/>
  <c r="V85" i="5"/>
  <c r="P85" i="5"/>
  <c r="N85" i="5"/>
  <c r="V84" i="5"/>
  <c r="P84" i="5"/>
  <c r="V83" i="5"/>
  <c r="P83" i="5"/>
  <c r="V82" i="5"/>
  <c r="V81" i="5"/>
  <c r="P81" i="5"/>
  <c r="V80" i="5"/>
  <c r="P80" i="5"/>
  <c r="L80" i="5"/>
  <c r="V79" i="5"/>
  <c r="P79" i="5"/>
  <c r="V78" i="5"/>
  <c r="P78" i="5"/>
  <c r="V77" i="5"/>
  <c r="P77" i="5"/>
  <c r="V76" i="5"/>
  <c r="P76" i="5"/>
  <c r="N76" i="5"/>
  <c r="V75" i="5"/>
  <c r="P75" i="5"/>
  <c r="V74" i="5"/>
  <c r="T74" i="5"/>
  <c r="P74" i="5"/>
  <c r="N74" i="5"/>
  <c r="V73" i="5"/>
  <c r="V72" i="5"/>
  <c r="P72" i="5"/>
  <c r="N72" i="5"/>
  <c r="V71" i="5"/>
  <c r="P71" i="5"/>
  <c r="V70" i="5"/>
  <c r="P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P64" i="5"/>
  <c r="L64" i="5"/>
  <c r="V63" i="5"/>
  <c r="V62" i="5"/>
  <c r="P62" i="5"/>
  <c r="V61" i="5"/>
  <c r="P61" i="5"/>
  <c r="V60" i="5"/>
  <c r="P60" i="5"/>
  <c r="N60" i="5"/>
  <c r="V59" i="5"/>
  <c r="P59" i="5"/>
  <c r="V58" i="5"/>
  <c r="P58" i="5"/>
  <c r="N58" i="5"/>
  <c r="V57" i="5"/>
  <c r="L57" i="5"/>
  <c r="V56" i="5"/>
  <c r="P56" i="5"/>
  <c r="V55" i="5"/>
  <c r="P55" i="5"/>
  <c r="V54" i="5"/>
  <c r="P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P41" i="5"/>
  <c r="L41" i="5"/>
  <c r="V40" i="5"/>
  <c r="N40" i="5"/>
  <c r="L40" i="5"/>
  <c r="V39" i="5"/>
  <c r="T39" i="5"/>
  <c r="P39" i="5"/>
  <c r="V38" i="5"/>
  <c r="P38" i="5"/>
  <c r="N38" i="5"/>
  <c r="V37" i="5"/>
  <c r="P37" i="5"/>
  <c r="L37" i="5"/>
  <c r="V36" i="5"/>
  <c r="V35" i="5"/>
  <c r="P35" i="5"/>
  <c r="V34" i="5"/>
  <c r="P34" i="5"/>
  <c r="N34" i="5"/>
  <c r="V33" i="5"/>
  <c r="P33" i="5"/>
  <c r="N33" i="5"/>
  <c r="V32" i="5"/>
  <c r="P32" i="5"/>
  <c r="L32" i="5"/>
  <c r="V31" i="5"/>
  <c r="P31" i="5"/>
  <c r="L31" i="5"/>
  <c r="V30" i="5"/>
  <c r="P30" i="5"/>
  <c r="V29" i="5"/>
  <c r="P29" i="5"/>
  <c r="F29" i="5"/>
  <c r="V28" i="5"/>
  <c r="P28" i="5"/>
  <c r="V27" i="5"/>
  <c r="P27" i="5"/>
  <c r="L27" i="5"/>
  <c r="V26" i="5"/>
  <c r="P26" i="5"/>
  <c r="N26" i="5"/>
  <c r="L26" i="5"/>
  <c r="V25" i="5"/>
  <c r="V24" i="5"/>
  <c r="P24" i="5"/>
  <c r="V23" i="5"/>
  <c r="T23" i="5"/>
  <c r="P23" i="5"/>
  <c r="V22" i="5"/>
  <c r="P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P14" i="5"/>
  <c r="V13" i="5"/>
  <c r="V12" i="5"/>
  <c r="P12" i="5"/>
  <c r="L12" i="5"/>
  <c r="V11" i="5"/>
  <c r="P11" i="5"/>
  <c r="L11" i="5"/>
  <c r="V10" i="5"/>
  <c r="P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P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P3" i="5"/>
  <c r="V2" i="5"/>
  <c r="BI2" i="17" s="1"/>
  <c r="BL2" i="17" s="1"/>
  <c r="P2" i="5"/>
  <c r="W399" i="5" l="1"/>
  <c r="W537" i="5"/>
  <c r="W548" i="5"/>
  <c r="M579" i="5"/>
  <c r="AJ879" i="17"/>
  <c r="AM879" i="17" s="1"/>
  <c r="M585" i="5"/>
  <c r="AJ885" i="17"/>
  <c r="AM885" i="17" s="1"/>
  <c r="W587" i="5"/>
  <c r="BI887" i="17"/>
  <c r="BL887" i="17" s="1"/>
  <c r="W593" i="5"/>
  <c r="BI893" i="17"/>
  <c r="BL893" i="17" s="1"/>
  <c r="U599" i="5"/>
  <c r="BD899" i="17"/>
  <c r="BG899" i="17" s="1"/>
  <c r="O602" i="5"/>
  <c r="AO902" i="17"/>
  <c r="AR902" i="17" s="1"/>
  <c r="W606" i="5"/>
  <c r="BI906" i="17"/>
  <c r="BL906" i="17" s="1"/>
  <c r="O612" i="5"/>
  <c r="AO912" i="17"/>
  <c r="AR912" i="17" s="1"/>
  <c r="W614" i="5"/>
  <c r="BI914" i="17"/>
  <c r="BL914" i="17" s="1"/>
  <c r="W619" i="5"/>
  <c r="BI919" i="17"/>
  <c r="BL919" i="17" s="1"/>
  <c r="W624" i="5"/>
  <c r="BI924" i="17"/>
  <c r="BL924" i="17" s="1"/>
  <c r="W630" i="5"/>
  <c r="BI930" i="17"/>
  <c r="BL930" i="17" s="1"/>
  <c r="W635" i="5"/>
  <c r="BI935" i="17"/>
  <c r="BL935" i="17" s="1"/>
  <c r="W641" i="5"/>
  <c r="BI941" i="17"/>
  <c r="BL941" i="17" s="1"/>
  <c r="W646" i="5"/>
  <c r="BI946" i="17"/>
  <c r="BL946" i="17" s="1"/>
  <c r="W650" i="5"/>
  <c r="BI950" i="17"/>
  <c r="BL950" i="17" s="1"/>
  <c r="M657" i="5"/>
  <c r="AJ957" i="17"/>
  <c r="AM957" i="17" s="1"/>
  <c r="M663" i="5"/>
  <c r="AJ963" i="17"/>
  <c r="AM963" i="17" s="1"/>
  <c r="W667" i="5"/>
  <c r="BI967" i="17"/>
  <c r="BL967" i="17" s="1"/>
  <c r="W673" i="5"/>
  <c r="BI973" i="17"/>
  <c r="BL973" i="17" s="1"/>
  <c r="W679" i="5"/>
  <c r="BI979" i="17"/>
  <c r="BL979" i="17" s="1"/>
  <c r="W687" i="5"/>
  <c r="BI987" i="17"/>
  <c r="BL987" i="17" s="1"/>
  <c r="W693" i="5"/>
  <c r="BI993" i="17"/>
  <c r="BL993" i="17" s="1"/>
  <c r="M699" i="5"/>
  <c r="AJ999" i="17"/>
  <c r="AM999" i="17" s="1"/>
  <c r="M708" i="5"/>
  <c r="AJ1008" i="17"/>
  <c r="AM1008" i="17" s="1"/>
  <c r="W713" i="5"/>
  <c r="BI1013" i="17"/>
  <c r="BL1013" i="17" s="1"/>
  <c r="O720" i="5"/>
  <c r="AO1020" i="17"/>
  <c r="AR1020" i="17" s="1"/>
  <c r="M726" i="5"/>
  <c r="AJ1026" i="17"/>
  <c r="AM1026" i="17" s="1"/>
  <c r="W728" i="5"/>
  <c r="BI1028" i="17"/>
  <c r="BL1028" i="17" s="1"/>
  <c r="W731" i="5"/>
  <c r="BI1031" i="17"/>
  <c r="BL1031" i="17" s="1"/>
  <c r="W737" i="5"/>
  <c r="BI1037" i="17"/>
  <c r="BL1037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4" i="5"/>
  <c r="BI1064" i="17"/>
  <c r="BL1064" i="17" s="1"/>
  <c r="W771" i="5"/>
  <c r="BI1071" i="17"/>
  <c r="BL1071" i="17" s="1"/>
  <c r="W778" i="5"/>
  <c r="BI1078" i="17"/>
  <c r="BL1078" i="17" s="1"/>
  <c r="W785" i="5"/>
  <c r="BI1085" i="17"/>
  <c r="BL1085" i="17" s="1"/>
  <c r="W793" i="5"/>
  <c r="BI1093" i="17"/>
  <c r="BL1093" i="17" s="1"/>
  <c r="W800" i="5"/>
  <c r="BI1100" i="17"/>
  <c r="BL1100" i="17" s="1"/>
  <c r="W808" i="5"/>
  <c r="BI1108" i="17"/>
  <c r="BL1108" i="17" s="1"/>
  <c r="Q816" i="5"/>
  <c r="AT1116" i="17"/>
  <c r="AW1116" i="17" s="1"/>
  <c r="W823" i="5"/>
  <c r="BI1123" i="17"/>
  <c r="BL1123" i="17" s="1"/>
  <c r="W831" i="5"/>
  <c r="BI1131" i="17"/>
  <c r="BL1131" i="17" s="1"/>
  <c r="W838" i="5"/>
  <c r="BI1138" i="17"/>
  <c r="BL1138" i="17" s="1"/>
  <c r="W844" i="5"/>
  <c r="BI1144" i="17"/>
  <c r="BL1144" i="17" s="1"/>
  <c r="W850" i="5"/>
  <c r="BI1150" i="17"/>
  <c r="BL1150" i="17" s="1"/>
  <c r="W857" i="5"/>
  <c r="BI1157" i="17"/>
  <c r="BL1157" i="17" s="1"/>
  <c r="Q318" i="5"/>
  <c r="AT319" i="17"/>
  <c r="AW319" i="17" s="1"/>
  <c r="AT618" i="17"/>
  <c r="AW618" i="17" s="1"/>
  <c r="Q5" i="5"/>
  <c r="AT5" i="17"/>
  <c r="AW5" i="17" s="1"/>
  <c r="Q8" i="5"/>
  <c r="AT8" i="17"/>
  <c r="AW8" i="17" s="1"/>
  <c r="M12" i="5"/>
  <c r="AJ13" i="17" s="1"/>
  <c r="AM13" i="17" s="1"/>
  <c r="O16" i="5"/>
  <c r="AO17" i="17" s="1"/>
  <c r="AR17" i="17" s="1"/>
  <c r="M20" i="5"/>
  <c r="AJ21" i="17" s="1"/>
  <c r="AM21" i="17" s="1"/>
  <c r="W22" i="5"/>
  <c r="BI23" i="17"/>
  <c r="BL23" i="17" s="1"/>
  <c r="O26" i="5"/>
  <c r="AO27" i="17" s="1"/>
  <c r="AR27" i="17" s="1"/>
  <c r="M32" i="5"/>
  <c r="AJ33" i="17" s="1"/>
  <c r="AM33" i="17" s="1"/>
  <c r="Q33" i="5"/>
  <c r="AT34" i="17"/>
  <c r="AW34" i="17" s="1"/>
  <c r="M37" i="5"/>
  <c r="AJ38" i="17" s="1"/>
  <c r="AM38" i="17" s="1"/>
  <c r="W39" i="5"/>
  <c r="BI40" i="17"/>
  <c r="BL40" i="17" s="1"/>
  <c r="U44" i="5"/>
  <c r="BD45" i="17"/>
  <c r="BG45" i="17" s="1"/>
  <c r="O48" i="5"/>
  <c r="AO49" i="17" s="1"/>
  <c r="AR49" i="17" s="1"/>
  <c r="W51" i="5"/>
  <c r="BI52" i="17"/>
  <c r="BL52" i="17" s="1"/>
  <c r="W54" i="5"/>
  <c r="BI55" i="17"/>
  <c r="BL55" i="17" s="1"/>
  <c r="Q58" i="5"/>
  <c r="AT59" i="17"/>
  <c r="AW59" i="17" s="1"/>
  <c r="O60" i="5"/>
  <c r="AO61" i="17" s="1"/>
  <c r="AR61" i="17" s="1"/>
  <c r="M64" i="5"/>
  <c r="AJ65" i="17" s="1"/>
  <c r="AM65" i="17" s="1"/>
  <c r="Q67" i="5"/>
  <c r="AT68" i="17"/>
  <c r="AW68" i="17" s="1"/>
  <c r="W70" i="5"/>
  <c r="BI71" i="17"/>
  <c r="BL71" i="17" s="1"/>
  <c r="Q74" i="5"/>
  <c r="AT75" i="17"/>
  <c r="AW75" i="17" s="1"/>
  <c r="Q77" i="5"/>
  <c r="AT78" i="17"/>
  <c r="AW78" i="17" s="1"/>
  <c r="W80" i="5"/>
  <c r="BI81" i="17"/>
  <c r="BL81" i="17" s="1"/>
  <c r="O85" i="5"/>
  <c r="AO385" i="17" s="1"/>
  <c r="AR385" i="17" s="1"/>
  <c r="W88" i="5"/>
  <c r="BI89" i="17"/>
  <c r="BL89" i="17" s="1"/>
  <c r="BI388" i="17"/>
  <c r="BL388" i="17" s="1"/>
  <c r="M91" i="5"/>
  <c r="AJ391" i="17" s="1"/>
  <c r="AM391" i="17" s="1"/>
  <c r="AJ92" i="17"/>
  <c r="AM92" i="17" s="1"/>
  <c r="Q94" i="5"/>
  <c r="AT95" i="17"/>
  <c r="AW95" i="17" s="1"/>
  <c r="AT394" i="17"/>
  <c r="AW394" i="17" s="1"/>
  <c r="W98" i="5"/>
  <c r="BI99" i="17"/>
  <c r="BL99" i="17" s="1"/>
  <c r="BI398" i="17"/>
  <c r="BL398" i="17" s="1"/>
  <c r="W103" i="5"/>
  <c r="BI104" i="17"/>
  <c r="BL104" i="17" s="1"/>
  <c r="BI403" i="17"/>
  <c r="BL403" i="17" s="1"/>
  <c r="Q108" i="5"/>
  <c r="AT109" i="17"/>
  <c r="AW109" i="17" s="1"/>
  <c r="AT408" i="17"/>
  <c r="AW408" i="17" s="1"/>
  <c r="U110" i="5"/>
  <c r="BD111" i="17"/>
  <c r="BG111" i="17" s="1"/>
  <c r="BD410" i="17"/>
  <c r="BG410" i="17" s="1"/>
  <c r="M115" i="5"/>
  <c r="AJ415" i="17" s="1"/>
  <c r="AM415" i="17" s="1"/>
  <c r="AJ116" i="17"/>
  <c r="AM116" i="17" s="1"/>
  <c r="M119" i="5"/>
  <c r="AJ120" i="17" s="1"/>
  <c r="AM120" i="17" s="1"/>
  <c r="W123" i="5"/>
  <c r="BI124" i="17"/>
  <c r="BL124" i="17" s="1"/>
  <c r="BI423" i="17"/>
  <c r="BL423" i="17" s="1"/>
  <c r="M128" i="5"/>
  <c r="AJ129" i="17" s="1"/>
  <c r="AM129" i="17" s="1"/>
  <c r="Q131" i="5"/>
  <c r="AT132" i="17"/>
  <c r="AW132" i="17" s="1"/>
  <c r="AT431" i="17"/>
  <c r="AW431" i="17" s="1"/>
  <c r="W135" i="5"/>
  <c r="BI136" i="17"/>
  <c r="BL136" i="17" s="1"/>
  <c r="BI435" i="17"/>
  <c r="BL435" i="17" s="1"/>
  <c r="U139" i="5"/>
  <c r="BD140" i="17"/>
  <c r="BG140" i="17" s="1"/>
  <c r="BD439" i="17"/>
  <c r="BG439" i="17" s="1"/>
  <c r="W143" i="5"/>
  <c r="BI144" i="17"/>
  <c r="BL144" i="17" s="1"/>
  <c r="BI443" i="17"/>
  <c r="BL443" i="17" s="1"/>
  <c r="W147" i="5"/>
  <c r="BI148" i="17"/>
  <c r="BL148" i="17" s="1"/>
  <c r="BI447" i="17"/>
  <c r="BL447" i="17" s="1"/>
  <c r="U152" i="5"/>
  <c r="BD153" i="17"/>
  <c r="BG153" i="17" s="1"/>
  <c r="BD452" i="17"/>
  <c r="BG452" i="17" s="1"/>
  <c r="W156" i="5"/>
  <c r="BI157" i="17"/>
  <c r="BL157" i="17" s="1"/>
  <c r="BI456" i="17"/>
  <c r="BL456" i="17" s="1"/>
  <c r="W161" i="5"/>
  <c r="BI162" i="17"/>
  <c r="BL162" i="17" s="1"/>
  <c r="BI461" i="17"/>
  <c r="BL461" i="17" s="1"/>
  <c r="O166" i="5"/>
  <c r="AO466" i="17" s="1"/>
  <c r="AR466" i="17" s="1"/>
  <c r="O171" i="5"/>
  <c r="AO172" i="17" s="1"/>
  <c r="AR172" i="17" s="1"/>
  <c r="U174" i="5"/>
  <c r="BD175" i="17"/>
  <c r="BG175" i="17" s="1"/>
  <c r="BD474" i="17"/>
  <c r="BG474" i="17" s="1"/>
  <c r="W177" i="5"/>
  <c r="BI178" i="17"/>
  <c r="BL178" i="17" s="1"/>
  <c r="BI477" i="17"/>
  <c r="BL477" i="17" s="1"/>
  <c r="BI181" i="17"/>
  <c r="BL181" i="17" s="1"/>
  <c r="BI480" i="17"/>
  <c r="BL480" i="17" s="1"/>
  <c r="BI184" i="17"/>
  <c r="BL184" i="17" s="1"/>
  <c r="BI483" i="17"/>
  <c r="BL483" i="17" s="1"/>
  <c r="W187" i="5"/>
  <c r="BI188" i="17"/>
  <c r="BL188" i="17" s="1"/>
  <c r="BI487" i="17"/>
  <c r="BL487" i="17" s="1"/>
  <c r="Q191" i="5"/>
  <c r="AT192" i="17"/>
  <c r="AW192" i="17" s="1"/>
  <c r="AT491" i="17"/>
  <c r="AW491" i="17" s="1"/>
  <c r="O196" i="5"/>
  <c r="AO496" i="17" s="1"/>
  <c r="AR496" i="17" s="1"/>
  <c r="O200" i="5"/>
  <c r="AO201" i="17" s="1"/>
  <c r="AR201" i="17" s="1"/>
  <c r="W203" i="5"/>
  <c r="BI204" i="17"/>
  <c r="BL204" i="17" s="1"/>
  <c r="BI503" i="17"/>
  <c r="BL503" i="17" s="1"/>
  <c r="W208" i="5"/>
  <c r="BI209" i="17"/>
  <c r="BL209" i="17" s="1"/>
  <c r="BI508" i="17"/>
  <c r="BL508" i="17" s="1"/>
  <c r="Q213" i="5"/>
  <c r="AT214" i="17"/>
  <c r="AW214" i="17" s="1"/>
  <c r="AT513" i="17"/>
  <c r="AW513" i="17" s="1"/>
  <c r="W218" i="5"/>
  <c r="BI219" i="17"/>
  <c r="BL219" i="17" s="1"/>
  <c r="BI518" i="17"/>
  <c r="BL518" i="17" s="1"/>
  <c r="Q222" i="5"/>
  <c r="AT223" i="17"/>
  <c r="AW223" i="17" s="1"/>
  <c r="AT522" i="17"/>
  <c r="AW522" i="17" s="1"/>
  <c r="W223" i="5"/>
  <c r="BI224" i="17"/>
  <c r="BL224" i="17" s="1"/>
  <c r="BI523" i="17"/>
  <c r="BL523" i="17" s="1"/>
  <c r="W229" i="5"/>
  <c r="BI230" i="17"/>
  <c r="BL230" i="17" s="1"/>
  <c r="BI529" i="17"/>
  <c r="BL529" i="17" s="1"/>
  <c r="W234" i="5"/>
  <c r="BI235" i="17"/>
  <c r="BL235" i="17" s="1"/>
  <c r="BI534" i="17"/>
  <c r="BL534" i="17" s="1"/>
  <c r="W236" i="5"/>
  <c r="BI237" i="17"/>
  <c r="BL237" i="17" s="1"/>
  <c r="BI536" i="17"/>
  <c r="BL536" i="17" s="1"/>
  <c r="O241" i="5"/>
  <c r="AO242" i="17" s="1"/>
  <c r="AR242" i="17" s="1"/>
  <c r="W244" i="5"/>
  <c r="BI245" i="17"/>
  <c r="BL245" i="17" s="1"/>
  <c r="BI544" i="17"/>
  <c r="BL544" i="17" s="1"/>
  <c r="Q247" i="5"/>
  <c r="AT248" i="17"/>
  <c r="AW248" i="17" s="1"/>
  <c r="AT547" i="17"/>
  <c r="AW547" i="17" s="1"/>
  <c r="O251" i="5"/>
  <c r="AO551" i="17" s="1"/>
  <c r="AR551" i="17" s="1"/>
  <c r="U255" i="5"/>
  <c r="BD256" i="17"/>
  <c r="BG256" i="17" s="1"/>
  <c r="BD555" i="17"/>
  <c r="BG555" i="17" s="1"/>
  <c r="U258" i="5"/>
  <c r="BD259" i="17"/>
  <c r="BG259" i="17" s="1"/>
  <c r="BD558" i="17"/>
  <c r="BG558" i="17" s="1"/>
  <c r="M263" i="5"/>
  <c r="AJ264" i="17"/>
  <c r="AM264" i="17" s="1"/>
  <c r="AJ563" i="17"/>
  <c r="AM563" i="17" s="1"/>
  <c r="M268" i="5"/>
  <c r="AJ269" i="17"/>
  <c r="AM269" i="17" s="1"/>
  <c r="AJ568" i="17"/>
  <c r="AM568" i="17" s="1"/>
  <c r="M271" i="5"/>
  <c r="AJ272" i="17"/>
  <c r="AM272" i="17" s="1"/>
  <c r="AJ571" i="17"/>
  <c r="AM571" i="17" s="1"/>
  <c r="O276" i="5"/>
  <c r="AO277" i="17" s="1"/>
  <c r="AR277" i="17" s="1"/>
  <c r="W282" i="5"/>
  <c r="BI283" i="17"/>
  <c r="BL283" i="17" s="1"/>
  <c r="BI582" i="17"/>
  <c r="BL582" i="17" s="1"/>
  <c r="W286" i="5"/>
  <c r="BI287" i="17"/>
  <c r="BL287" i="17" s="1"/>
  <c r="BI586" i="17"/>
  <c r="BL586" i="17" s="1"/>
  <c r="M289" i="5"/>
  <c r="AJ290" i="17"/>
  <c r="AM290" i="17" s="1"/>
  <c r="AJ589" i="17"/>
  <c r="AM589" i="17" s="1"/>
  <c r="W291" i="5"/>
  <c r="BI292" i="17"/>
  <c r="BL292" i="17" s="1"/>
  <c r="BI591" i="17"/>
  <c r="BL591" i="17" s="1"/>
  <c r="W295" i="5"/>
  <c r="BI296" i="17"/>
  <c r="BL296" i="17" s="1"/>
  <c r="BI595" i="17"/>
  <c r="BL595" i="17" s="1"/>
  <c r="W300" i="5"/>
  <c r="BI301" i="17"/>
  <c r="BL301" i="17" s="1"/>
  <c r="BI600" i="17"/>
  <c r="BL600" i="17" s="1"/>
  <c r="W311" i="5"/>
  <c r="BI312" i="17"/>
  <c r="BL312" i="17" s="1"/>
  <c r="BI611" i="17"/>
  <c r="BL611" i="17" s="1"/>
  <c r="W316" i="5"/>
  <c r="BI317" i="17"/>
  <c r="BL317" i="17" s="1"/>
  <c r="BI616" i="17"/>
  <c r="BL616" i="17" s="1"/>
  <c r="W321" i="5"/>
  <c r="BI322" i="17"/>
  <c r="BL322" i="17" s="1"/>
  <c r="BI621" i="17"/>
  <c r="BL621" i="17" s="1"/>
  <c r="Q323" i="5"/>
  <c r="AT324" i="17"/>
  <c r="AW324" i="17" s="1"/>
  <c r="AT623" i="17"/>
  <c r="AW623" i="17" s="1"/>
  <c r="W327" i="5"/>
  <c r="BI328" i="17"/>
  <c r="BL328" i="17" s="1"/>
  <c r="BI627" i="17"/>
  <c r="BL627" i="17" s="1"/>
  <c r="W332" i="5"/>
  <c r="BI333" i="17"/>
  <c r="BL333" i="17" s="1"/>
  <c r="BI632" i="17"/>
  <c r="BL632" i="17" s="1"/>
  <c r="W338" i="5"/>
  <c r="BI339" i="17"/>
  <c r="BL339" i="17" s="1"/>
  <c r="BI638" i="17"/>
  <c r="BL638" i="17" s="1"/>
  <c r="W343" i="5"/>
  <c r="BI344" i="17"/>
  <c r="BL344" i="17" s="1"/>
  <c r="BI643" i="17"/>
  <c r="BL643" i="17" s="1"/>
  <c r="W348" i="5"/>
  <c r="BI349" i="17"/>
  <c r="BL349" i="17" s="1"/>
  <c r="BI648" i="17"/>
  <c r="BL648" i="17" s="1"/>
  <c r="M354" i="5"/>
  <c r="AJ355" i="17"/>
  <c r="AM355" i="17" s="1"/>
  <c r="AJ654" i="17"/>
  <c r="AM654" i="17" s="1"/>
  <c r="W355" i="5"/>
  <c r="BI356" i="17"/>
  <c r="BL356" i="17" s="1"/>
  <c r="BI655" i="17"/>
  <c r="BL655" i="17" s="1"/>
  <c r="O360" i="5"/>
  <c r="AO660" i="17" s="1"/>
  <c r="AR660" i="17" s="1"/>
  <c r="AO361" i="17"/>
  <c r="AR361" i="17" s="1"/>
  <c r="U365" i="5"/>
  <c r="BD366" i="17"/>
  <c r="BG366" i="17" s="1"/>
  <c r="BD665" i="17"/>
  <c r="BG665" i="17" s="1"/>
  <c r="Q369" i="5"/>
  <c r="AT370" i="17"/>
  <c r="AW370" i="17" s="1"/>
  <c r="AT669" i="17"/>
  <c r="AW669" i="17" s="1"/>
  <c r="W372" i="5"/>
  <c r="BI373" i="17"/>
  <c r="BL373" i="17" s="1"/>
  <c r="BI672" i="17"/>
  <c r="BL672" i="17" s="1"/>
  <c r="W377" i="5"/>
  <c r="BI378" i="17"/>
  <c r="BL378" i="17" s="1"/>
  <c r="BI677" i="17"/>
  <c r="BL677" i="17" s="1"/>
  <c r="W382" i="5"/>
  <c r="BI383" i="17"/>
  <c r="BL383" i="17" s="1"/>
  <c r="BI682" i="17"/>
  <c r="BL682" i="17" s="1"/>
  <c r="W387" i="5"/>
  <c r="BI687" i="17"/>
  <c r="BL687" i="17" s="1"/>
  <c r="W393" i="5"/>
  <c r="BI693" i="17"/>
  <c r="BL693" i="17" s="1"/>
  <c r="W396" i="5"/>
  <c r="BI696" i="17"/>
  <c r="BL696" i="17" s="1"/>
  <c r="W401" i="5"/>
  <c r="BI701" i="17"/>
  <c r="BL701" i="17" s="1"/>
  <c r="W406" i="5"/>
  <c r="BI706" i="17"/>
  <c r="BL706" i="17" s="1"/>
  <c r="W412" i="5"/>
  <c r="BI712" i="17"/>
  <c r="BL712" i="17" s="1"/>
  <c r="O418" i="5"/>
  <c r="AO718" i="17" s="1"/>
  <c r="AR718" i="17" s="1"/>
  <c r="W436" i="5"/>
  <c r="BI736" i="17"/>
  <c r="BL736" i="17" s="1"/>
  <c r="O441" i="5"/>
  <c r="AO741" i="17"/>
  <c r="AR741" i="17" s="1"/>
  <c r="W445" i="5"/>
  <c r="BI745" i="17"/>
  <c r="BL745" i="17" s="1"/>
  <c r="W449" i="5"/>
  <c r="BI749" i="17"/>
  <c r="BL749" i="17" s="1"/>
  <c r="M454" i="5"/>
  <c r="AJ754" i="17"/>
  <c r="AM754" i="17" s="1"/>
  <c r="M459" i="5"/>
  <c r="AJ759" i="17"/>
  <c r="AM759" i="17" s="1"/>
  <c r="W466" i="5"/>
  <c r="BI766" i="17"/>
  <c r="BL766" i="17" s="1"/>
  <c r="W469" i="5"/>
  <c r="BI769" i="17"/>
  <c r="BL769" i="17" s="1"/>
  <c r="W475" i="5"/>
  <c r="BI775" i="17"/>
  <c r="BL775" i="17" s="1"/>
  <c r="W481" i="5"/>
  <c r="BI781" i="17"/>
  <c r="BL781" i="17" s="1"/>
  <c r="W486" i="5"/>
  <c r="BI786" i="17"/>
  <c r="BL786" i="17" s="1"/>
  <c r="W491" i="5"/>
  <c r="BI791" i="17"/>
  <c r="BL791" i="17" s="1"/>
  <c r="W495" i="5"/>
  <c r="BI795" i="17"/>
  <c r="BL795" i="17" s="1"/>
  <c r="W499" i="5"/>
  <c r="BI799" i="17"/>
  <c r="BL799" i="17" s="1"/>
  <c r="W504" i="5"/>
  <c r="BI804" i="17"/>
  <c r="BL804" i="17" s="1"/>
  <c r="W507" i="5"/>
  <c r="BI807" i="17"/>
  <c r="BL807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30" i="5"/>
  <c r="BI830" i="17"/>
  <c r="BL830" i="17" s="1"/>
  <c r="W534" i="5"/>
  <c r="BI834" i="17"/>
  <c r="BL834" i="17" s="1"/>
  <c r="O539" i="5"/>
  <c r="AO839" i="17"/>
  <c r="AR839" i="17" s="1"/>
  <c r="W545" i="5"/>
  <c r="BI845" i="17"/>
  <c r="BL845" i="17" s="1"/>
  <c r="W550" i="5"/>
  <c r="BI850" i="17"/>
  <c r="BL850" i="17" s="1"/>
  <c r="W567" i="5"/>
  <c r="BI867" i="17"/>
  <c r="BL867" i="17" s="1"/>
  <c r="W572" i="5"/>
  <c r="BI872" i="17"/>
  <c r="BL872" i="17" s="1"/>
  <c r="O578" i="5"/>
  <c r="AO878" i="17"/>
  <c r="AR878" i="17" s="1"/>
  <c r="W583" i="5"/>
  <c r="BI883" i="17"/>
  <c r="BL883" i="17" s="1"/>
  <c r="W589" i="5"/>
  <c r="BI889" i="17"/>
  <c r="BL889" i="17" s="1"/>
  <c r="O595" i="5"/>
  <c r="AO895" i="17"/>
  <c r="AR895" i="17" s="1"/>
  <c r="W600" i="5"/>
  <c r="BI900" i="17"/>
  <c r="BL900" i="17" s="1"/>
  <c r="W602" i="5"/>
  <c r="BI902" i="17"/>
  <c r="BL902" i="17" s="1"/>
  <c r="W608" i="5"/>
  <c r="BI908" i="17"/>
  <c r="BL908" i="17" s="1"/>
  <c r="O613" i="5"/>
  <c r="AO913" i="17"/>
  <c r="AR913" i="17" s="1"/>
  <c r="W618" i="5"/>
  <c r="BI918" i="17"/>
  <c r="BL918" i="17" s="1"/>
  <c r="W622" i="5"/>
  <c r="BI922" i="17"/>
  <c r="BL922" i="17" s="1"/>
  <c r="W629" i="5"/>
  <c r="BI929" i="17"/>
  <c r="BL929" i="17" s="1"/>
  <c r="W634" i="5"/>
  <c r="BI934" i="17"/>
  <c r="BL934" i="17" s="1"/>
  <c r="M640" i="5"/>
  <c r="AJ940" i="17"/>
  <c r="AM940" i="17" s="1"/>
  <c r="O645" i="5"/>
  <c r="AO945" i="17"/>
  <c r="AR945" i="17" s="1"/>
  <c r="W649" i="5"/>
  <c r="BI949" i="17"/>
  <c r="BL949" i="17" s="1"/>
  <c r="W655" i="5"/>
  <c r="BI955" i="17"/>
  <c r="BL955" i="17" s="1"/>
  <c r="W661" i="5"/>
  <c r="BI961" i="17"/>
  <c r="BL961" i="17" s="1"/>
  <c r="M666" i="5"/>
  <c r="AJ966" i="17"/>
  <c r="AM966" i="17" s="1"/>
  <c r="M672" i="5"/>
  <c r="AJ972" i="17"/>
  <c r="AM972" i="17" s="1"/>
  <c r="W680" i="5"/>
  <c r="BI980" i="17"/>
  <c r="BL980" i="17" s="1"/>
  <c r="M686" i="5"/>
  <c r="AJ986" i="17"/>
  <c r="AM986" i="17" s="1"/>
  <c r="W692" i="5"/>
  <c r="BI992" i="17"/>
  <c r="BL992" i="17" s="1"/>
  <c r="W697" i="5"/>
  <c r="BI997" i="17"/>
  <c r="BL997" i="17" s="1"/>
  <c r="W703" i="5"/>
  <c r="BI1003" i="17"/>
  <c r="BL1003" i="17" s="1"/>
  <c r="W709" i="5"/>
  <c r="BI1009" i="17"/>
  <c r="BL1009" i="17" s="1"/>
  <c r="W715" i="5"/>
  <c r="BI1015" i="17"/>
  <c r="BL1015" i="17" s="1"/>
  <c r="W721" i="5"/>
  <c r="BI1021" i="17"/>
  <c r="BL1021" i="17" s="1"/>
  <c r="M727" i="5"/>
  <c r="AJ1027" i="17"/>
  <c r="AM1027" i="17" s="1"/>
  <c r="W745" i="5"/>
  <c r="BI1045" i="17"/>
  <c r="BL1045" i="17" s="1"/>
  <c r="W751" i="5"/>
  <c r="BI1051" i="17"/>
  <c r="BL1051" i="17" s="1"/>
  <c r="U757" i="5"/>
  <c r="BD1057" i="17"/>
  <c r="BG1057" i="17" s="1"/>
  <c r="M763" i="5"/>
  <c r="AJ1063" i="17"/>
  <c r="AM1063" i="17" s="1"/>
  <c r="W769" i="5"/>
  <c r="BI1069" i="17"/>
  <c r="BL1069" i="17" s="1"/>
  <c r="W776" i="5"/>
  <c r="BI1076" i="17"/>
  <c r="BL1076" i="17" s="1"/>
  <c r="W783" i="5"/>
  <c r="BI1083" i="17"/>
  <c r="BL1083" i="17" s="1"/>
  <c r="W791" i="5"/>
  <c r="BI1091" i="17"/>
  <c r="BL1091" i="17" s="1"/>
  <c r="W802" i="5"/>
  <c r="BI1102" i="17"/>
  <c r="BL1102" i="17" s="1"/>
  <c r="W810" i="5"/>
  <c r="BI1110" i="17"/>
  <c r="BL1110" i="17" s="1"/>
  <c r="W817" i="5"/>
  <c r="BI1117" i="17"/>
  <c r="BL1117" i="17" s="1"/>
  <c r="W825" i="5"/>
  <c r="BI1125" i="17"/>
  <c r="BL1125" i="17" s="1"/>
  <c r="W833" i="5"/>
  <c r="BI1133" i="17"/>
  <c r="BL1133" i="17" s="1"/>
  <c r="W839" i="5"/>
  <c r="BI1139" i="17"/>
  <c r="BL1139" i="17" s="1"/>
  <c r="W846" i="5"/>
  <c r="BI1146" i="17"/>
  <c r="BL1146" i="17" s="1"/>
  <c r="W852" i="5"/>
  <c r="BI1152" i="17"/>
  <c r="BL1152" i="17" s="1"/>
  <c r="M863" i="5"/>
  <c r="AJ1163" i="17"/>
  <c r="AM1163" i="17" s="1"/>
  <c r="Q4" i="5"/>
  <c r="AT4" i="17"/>
  <c r="AW4" i="17" s="1"/>
  <c r="O6" i="5"/>
  <c r="AO6" i="17" s="1"/>
  <c r="AR6" i="17" s="1"/>
  <c r="Q7" i="5"/>
  <c r="AT7" i="17"/>
  <c r="AW7" i="17" s="1"/>
  <c r="Q11" i="5"/>
  <c r="AT12" i="17"/>
  <c r="AW12" i="17" s="1"/>
  <c r="W12" i="5"/>
  <c r="BI13" i="17"/>
  <c r="BL13" i="17" s="1"/>
  <c r="O15" i="5"/>
  <c r="AO16" i="17" s="1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 s="1"/>
  <c r="AR23" i="17" s="1"/>
  <c r="U23" i="5"/>
  <c r="BD24" i="17"/>
  <c r="BG24" i="17" s="1"/>
  <c r="W25" i="5"/>
  <c r="BI26" i="17"/>
  <c r="BL26" i="17" s="1"/>
  <c r="W26" i="5"/>
  <c r="BI27" i="17"/>
  <c r="BL27" i="17" s="1"/>
  <c r="Q28" i="5"/>
  <c r="AT29" i="17"/>
  <c r="AW29" i="17" s="1"/>
  <c r="W29" i="5"/>
  <c r="BI30" i="17"/>
  <c r="BL30" i="17" s="1"/>
  <c r="Q31" i="5"/>
  <c r="AT32" i="17"/>
  <c r="AW32" i="17" s="1"/>
  <c r="W32" i="5"/>
  <c r="BI33" i="17"/>
  <c r="BL33" i="17" s="1"/>
  <c r="O34" i="5"/>
  <c r="AO35" i="17" s="1"/>
  <c r="AR35" i="17" s="1"/>
  <c r="W35" i="5"/>
  <c r="BI36" i="17"/>
  <c r="BL36" i="17" s="1"/>
  <c r="W37" i="5"/>
  <c r="BI38" i="17"/>
  <c r="BL38" i="17" s="1"/>
  <c r="Q39" i="5"/>
  <c r="AT40" i="17"/>
  <c r="AW40" i="17" s="1"/>
  <c r="O40" i="5"/>
  <c r="AO41" i="17" s="1"/>
  <c r="AR41" i="17" s="1"/>
  <c r="W41" i="5"/>
  <c r="BI42" i="17"/>
  <c r="BL42" i="17" s="1"/>
  <c r="Q43" i="5"/>
  <c r="AT44" i="17"/>
  <c r="AW44" i="17" s="1"/>
  <c r="Q45" i="5"/>
  <c r="AT46" i="17"/>
  <c r="AW46" i="17" s="1"/>
  <c r="Q47" i="5"/>
  <c r="AT48" i="17"/>
  <c r="AW48" i="17" s="1"/>
  <c r="Q49" i="5"/>
  <c r="AT50" i="17"/>
  <c r="AW50" i="17" s="1"/>
  <c r="Q50" i="5"/>
  <c r="AT51" i="17"/>
  <c r="AW51" i="17" s="1"/>
  <c r="Q52" i="5"/>
  <c r="AT53" i="17"/>
  <c r="AW53" i="17" s="1"/>
  <c r="O54" i="5"/>
  <c r="AO55" i="17" s="1"/>
  <c r="AR55" i="17" s="1"/>
  <c r="W55" i="5"/>
  <c r="BI56" i="17"/>
  <c r="BL56" i="17" s="1"/>
  <c r="W57" i="5"/>
  <c r="BI58" i="17"/>
  <c r="BL58" i="17" s="1"/>
  <c r="Q59" i="5"/>
  <c r="AT60" i="17"/>
  <c r="AW60" i="17" s="1"/>
  <c r="W60" i="5"/>
  <c r="BI61" i="17"/>
  <c r="BL61" i="17" s="1"/>
  <c r="W62" i="5"/>
  <c r="BI63" i="17"/>
  <c r="BL63" i="17" s="1"/>
  <c r="W64" i="5"/>
  <c r="BI65" i="17"/>
  <c r="BL65" i="17" s="1"/>
  <c r="Q66" i="5"/>
  <c r="AT67" i="17"/>
  <c r="AW67" i="17" s="1"/>
  <c r="M68" i="5"/>
  <c r="AJ69" i="17"/>
  <c r="AM69" i="17" s="1"/>
  <c r="O70" i="5"/>
  <c r="AO71" i="17" s="1"/>
  <c r="AR71" i="17" s="1"/>
  <c r="W71" i="5"/>
  <c r="BI72" i="17"/>
  <c r="BL72" i="17" s="1"/>
  <c r="W73" i="5"/>
  <c r="BI74" i="17"/>
  <c r="BL74" i="17" s="1"/>
  <c r="W74" i="5"/>
  <c r="BI75" i="17"/>
  <c r="BL75" i="17" s="1"/>
  <c r="Q76" i="5"/>
  <c r="AT77" i="17"/>
  <c r="AW77" i="17" s="1"/>
  <c r="Q78" i="5"/>
  <c r="AT79" i="17"/>
  <c r="AW79" i="17" s="1"/>
  <c r="M80" i="5"/>
  <c r="AJ81" i="17" s="1"/>
  <c r="AM81" i="17" s="1"/>
  <c r="W81" i="5"/>
  <c r="BI82" i="17"/>
  <c r="BL82" i="17" s="1"/>
  <c r="Q84" i="5"/>
  <c r="AT85" i="17"/>
  <c r="AW85" i="17" s="1"/>
  <c r="AT384" i="17"/>
  <c r="AW384" i="17" s="1"/>
  <c r="W85" i="5"/>
  <c r="BI86" i="17"/>
  <c r="BL86" i="17" s="1"/>
  <c r="BI385" i="17"/>
  <c r="BL385" i="17" s="1"/>
  <c r="W87" i="5"/>
  <c r="BI88" i="17"/>
  <c r="BL88" i="17" s="1"/>
  <c r="BI387" i="17"/>
  <c r="BL387" i="17" s="1"/>
  <c r="Q89" i="5"/>
  <c r="AT90" i="17"/>
  <c r="AW90" i="17" s="1"/>
  <c r="AT389" i="17"/>
  <c r="AW389" i="17" s="1"/>
  <c r="Q90" i="5"/>
  <c r="AT91" i="17"/>
  <c r="AW91" i="17" s="1"/>
  <c r="AT390" i="17"/>
  <c r="AW390" i="17" s="1"/>
  <c r="Q92" i="5"/>
  <c r="AT93" i="17"/>
  <c r="AW93" i="17" s="1"/>
  <c r="AT392" i="17"/>
  <c r="AW392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99" i="5"/>
  <c r="BI100" i="17"/>
  <c r="BL100" i="17" s="1"/>
  <c r="BI399" i="17"/>
  <c r="BL399" i="17" s="1"/>
  <c r="M102" i="5"/>
  <c r="AJ402" i="17" s="1"/>
  <c r="AM402" i="17" s="1"/>
  <c r="AJ103" i="17"/>
  <c r="AM103" i="17" s="1"/>
  <c r="M105" i="5"/>
  <c r="AJ106" i="17" s="1"/>
  <c r="AM106" i="17" s="1"/>
  <c r="W106" i="5"/>
  <c r="BI107" i="17"/>
  <c r="BL107" i="17" s="1"/>
  <c r="BI406" i="17"/>
  <c r="BL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O118" i="5"/>
  <c r="AO119" i="17" s="1"/>
  <c r="AR119" i="17" s="1"/>
  <c r="O120" i="5"/>
  <c r="AO420" i="17" s="1"/>
  <c r="AR420" i="17" s="1"/>
  <c r="W122" i="5"/>
  <c r="BI123" i="17"/>
  <c r="BL123" i="17" s="1"/>
  <c r="BI422" i="17"/>
  <c r="BL422" i="17" s="1"/>
  <c r="M125" i="5"/>
  <c r="AJ126" i="17" s="1"/>
  <c r="AM126" i="17" s="1"/>
  <c r="Q127" i="5"/>
  <c r="AT128" i="17"/>
  <c r="AW128" i="17" s="1"/>
  <c r="AT427" i="17"/>
  <c r="AW427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O132" i="5"/>
  <c r="AO432" i="17" s="1"/>
  <c r="AR432" i="17" s="1"/>
  <c r="AO133" i="17"/>
  <c r="AR133" i="17" s="1"/>
  <c r="Q134" i="5"/>
  <c r="AT135" i="17"/>
  <c r="AW135" i="17" s="1"/>
  <c r="AT434" i="17"/>
  <c r="AW434" i="17" s="1"/>
  <c r="Q136" i="5"/>
  <c r="AT137" i="17"/>
  <c r="AW137" i="17" s="1"/>
  <c r="AT436" i="17"/>
  <c r="AW436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U144" i="5"/>
  <c r="BD145" i="17"/>
  <c r="BG145" i="17" s="1"/>
  <c r="BD444" i="17"/>
  <c r="BG444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50" i="5"/>
  <c r="BI151" i="17"/>
  <c r="BL151" i="17" s="1"/>
  <c r="BI450" i="17"/>
  <c r="BL450" i="17" s="1"/>
  <c r="O153" i="5"/>
  <c r="AO154" i="17" s="1"/>
  <c r="AR154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60" i="5"/>
  <c r="AT161" i="17"/>
  <c r="AW161" i="17" s="1"/>
  <c r="AT460" i="17"/>
  <c r="AW460" i="17" s="1"/>
  <c r="W163" i="5"/>
  <c r="BI164" i="17"/>
  <c r="BL164" i="17" s="1"/>
  <c r="BI463" i="17"/>
  <c r="BL463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1" i="5"/>
  <c r="BI172" i="17"/>
  <c r="BL172" i="17" s="1"/>
  <c r="BI471" i="17"/>
  <c r="BL471" i="17" s="1"/>
  <c r="M174" i="5"/>
  <c r="AJ175" i="17"/>
  <c r="AM175" i="17" s="1"/>
  <c r="AJ474" i="17"/>
  <c r="AM474" i="17" s="1"/>
  <c r="M175" i="5"/>
  <c r="AJ176" i="17"/>
  <c r="AM176" i="17" s="1"/>
  <c r="AJ475" i="17"/>
  <c r="AM475" i="17" s="1"/>
  <c r="Q177" i="5"/>
  <c r="AT178" i="17"/>
  <c r="AW178" i="17" s="1"/>
  <c r="AT477" i="17"/>
  <c r="AW477" i="17" s="1"/>
  <c r="W178" i="5"/>
  <c r="BI179" i="17"/>
  <c r="BL179" i="17" s="1"/>
  <c r="BI478" i="17"/>
  <c r="BL478" i="17" s="1"/>
  <c r="M180" i="5"/>
  <c r="AJ181" i="17"/>
  <c r="AM181" i="17" s="1"/>
  <c r="AJ480" i="17"/>
  <c r="AM480" i="17" s="1"/>
  <c r="M181" i="5"/>
  <c r="AJ182" i="17"/>
  <c r="AM182" i="17" s="1"/>
  <c r="AJ481" i="17"/>
  <c r="AM481" i="17" s="1"/>
  <c r="W182" i="5"/>
  <c r="BI183" i="17"/>
  <c r="BL183" i="17" s="1"/>
  <c r="BI482" i="17"/>
  <c r="BL482" i="17" s="1"/>
  <c r="O184" i="5"/>
  <c r="AO484" i="17" s="1"/>
  <c r="AR484" i="17" s="1"/>
  <c r="W186" i="5"/>
  <c r="BI187" i="17"/>
  <c r="BL187" i="17" s="1"/>
  <c r="BI486" i="17"/>
  <c r="BL486" i="17" s="1"/>
  <c r="M189" i="5"/>
  <c r="AJ190" i="17"/>
  <c r="AM190" i="17" s="1"/>
  <c r="AJ489" i="17"/>
  <c r="AM489" i="17" s="1"/>
  <c r="W190" i="5"/>
  <c r="BI191" i="17"/>
  <c r="BL191" i="17" s="1"/>
  <c r="BI490" i="17"/>
  <c r="BL490" i="17" s="1"/>
  <c r="W192" i="5"/>
  <c r="BI193" i="17"/>
  <c r="BL193" i="17" s="1"/>
  <c r="BI492" i="17"/>
  <c r="BL492" i="17" s="1"/>
  <c r="W195" i="5"/>
  <c r="BI196" i="17"/>
  <c r="BL196" i="17" s="1"/>
  <c r="BI495" i="17"/>
  <c r="BL495" i="17" s="1"/>
  <c r="Q197" i="5"/>
  <c r="AT198" i="17"/>
  <c r="AW198" i="17" s="1"/>
  <c r="AT497" i="17"/>
  <c r="AW497" i="17" s="1"/>
  <c r="M199" i="5"/>
  <c r="AJ200" i="17"/>
  <c r="AM200" i="17" s="1"/>
  <c r="AJ499" i="17"/>
  <c r="AM499" i="17" s="1"/>
  <c r="W201" i="5"/>
  <c r="BI202" i="17"/>
  <c r="BL202" i="17" s="1"/>
  <c r="BI501" i="17"/>
  <c r="BL501" i="17" s="1"/>
  <c r="M203" i="5"/>
  <c r="AJ204" i="17"/>
  <c r="AM204" i="17" s="1"/>
  <c r="AJ503" i="17"/>
  <c r="AM503" i="17" s="1"/>
  <c r="Q205" i="5"/>
  <c r="AT206" i="17"/>
  <c r="AW206" i="17" s="1"/>
  <c r="AT505" i="17"/>
  <c r="AW505" i="17" s="1"/>
  <c r="M207" i="5"/>
  <c r="AJ208" i="17"/>
  <c r="AM208" i="17" s="1"/>
  <c r="AJ507" i="17"/>
  <c r="AM507" i="17" s="1"/>
  <c r="W209" i="5"/>
  <c r="BI210" i="17"/>
  <c r="BL210" i="17" s="1"/>
  <c r="BI509" i="17"/>
  <c r="BL509" i="17" s="1"/>
  <c r="W212" i="5"/>
  <c r="BI213" i="17"/>
  <c r="BL213" i="17" s="1"/>
  <c r="BI512" i="17"/>
  <c r="BL512" i="17" s="1"/>
  <c r="W214" i="5"/>
  <c r="BI215" i="17"/>
  <c r="BL215" i="17" s="1"/>
  <c r="BI514" i="17"/>
  <c r="BL514" i="17" s="1"/>
  <c r="W216" i="5"/>
  <c r="BI217" i="17"/>
  <c r="BL217" i="17" s="1"/>
  <c r="BI516" i="17"/>
  <c r="BL516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M223" i="5"/>
  <c r="AJ224" i="17"/>
  <c r="AM224" i="17" s="1"/>
  <c r="AJ523" i="17"/>
  <c r="AM523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O235" i="5"/>
  <c r="AO236" i="17" s="1"/>
  <c r="AR236" i="17" s="1"/>
  <c r="O236" i="5"/>
  <c r="AO536" i="17" s="1"/>
  <c r="AR536" i="17" s="1"/>
  <c r="M238" i="5"/>
  <c r="AJ239" i="17"/>
  <c r="AM239" i="17" s="1"/>
  <c r="AJ538" i="17"/>
  <c r="AM538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245" i="17"/>
  <c r="AM245" i="17" s="1"/>
  <c r="AJ544" i="17"/>
  <c r="AM544" i="17" s="1"/>
  <c r="W245" i="5"/>
  <c r="BI246" i="17"/>
  <c r="BL246" i="17" s="1"/>
  <c r="BI545" i="17"/>
  <c r="BL545" i="17" s="1"/>
  <c r="O248" i="5"/>
  <c r="AO548" i="17" s="1"/>
  <c r="AR548" i="17" s="1"/>
  <c r="AO249" i="17"/>
  <c r="AR249" i="17" s="1"/>
  <c r="Q250" i="5"/>
  <c r="AT251" i="17"/>
  <c r="AW251" i="17" s="1"/>
  <c r="AT550" i="17"/>
  <c r="AW550" i="17" s="1"/>
  <c r="W252" i="5"/>
  <c r="BI253" i="17"/>
  <c r="BL253" i="17" s="1"/>
  <c r="BI552" i="17"/>
  <c r="BL552" i="17" s="1"/>
  <c r="M255" i="5"/>
  <c r="AJ256" i="17"/>
  <c r="AM256" i="17" s="1"/>
  <c r="AJ555" i="17"/>
  <c r="AM555" i="17" s="1"/>
  <c r="M256" i="5"/>
  <c r="AJ257" i="17"/>
  <c r="AM257" i="17" s="1"/>
  <c r="AJ556" i="17"/>
  <c r="AM556" i="17" s="1"/>
  <c r="U257" i="5"/>
  <c r="BD258" i="17"/>
  <c r="BG258" i="17" s="1"/>
  <c r="BD557" i="17"/>
  <c r="BG557" i="17" s="1"/>
  <c r="O259" i="5"/>
  <c r="AO559" i="17" s="1"/>
  <c r="AR559" i="17" s="1"/>
  <c r="AO260" i="17"/>
  <c r="AR260" i="17" s="1"/>
  <c r="W261" i="5"/>
  <c r="BI262" i="17"/>
  <c r="BL262" i="17" s="1"/>
  <c r="BI561" i="17"/>
  <c r="BL561" i="17" s="1"/>
  <c r="O264" i="5"/>
  <c r="AO564" i="17" s="1"/>
  <c r="AR564" i="17" s="1"/>
  <c r="W266" i="5"/>
  <c r="BI267" i="17"/>
  <c r="BL267" i="17" s="1"/>
  <c r="BI566" i="17"/>
  <c r="BL566" i="17" s="1"/>
  <c r="Q268" i="5"/>
  <c r="AT269" i="17"/>
  <c r="AW269" i="17" s="1"/>
  <c r="AT568" i="17"/>
  <c r="AW568" i="17" s="1"/>
  <c r="U270" i="5"/>
  <c r="BD271" i="17"/>
  <c r="BG271" i="17" s="1"/>
  <c r="BD570" i="17"/>
  <c r="BG570" i="17" s="1"/>
  <c r="W271" i="5"/>
  <c r="BI272" i="17"/>
  <c r="BL272" i="17" s="1"/>
  <c r="BI571" i="17"/>
  <c r="BL571" i="17" s="1"/>
  <c r="W275" i="5"/>
  <c r="BI276" i="17"/>
  <c r="BL276" i="17" s="1"/>
  <c r="BI575" i="17"/>
  <c r="BL575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Q287" i="5"/>
  <c r="AT288" i="17"/>
  <c r="AW288" i="17" s="1"/>
  <c r="AT587" i="17"/>
  <c r="AW587" i="17" s="1"/>
  <c r="U288" i="5"/>
  <c r="BD289" i="17"/>
  <c r="BG289" i="17" s="1"/>
  <c r="BD588" i="17"/>
  <c r="BG588" i="17" s="1"/>
  <c r="Q289" i="5"/>
  <c r="AT290" i="17"/>
  <c r="AW290" i="17" s="1"/>
  <c r="AT589" i="17"/>
  <c r="AW589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2" i="5"/>
  <c r="BI313" i="17"/>
  <c r="BL313" i="17" s="1"/>
  <c r="BI612" i="17"/>
  <c r="BL612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W320" i="5"/>
  <c r="BI321" i="17"/>
  <c r="BL321" i="17" s="1"/>
  <c r="BI620" i="17"/>
  <c r="BL620" i="17" s="1"/>
  <c r="M323" i="5"/>
  <c r="AJ324" i="17"/>
  <c r="AM324" i="17" s="1"/>
  <c r="AJ623" i="17"/>
  <c r="AM623" i="17" s="1"/>
  <c r="M324" i="5"/>
  <c r="AJ325" i="17"/>
  <c r="AM325" i="17" s="1"/>
  <c r="AJ624" i="17"/>
  <c r="AM624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/>
  <c r="AM333" i="17" s="1"/>
  <c r="AJ632" i="17"/>
  <c r="AM632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W341" i="5"/>
  <c r="BI342" i="17"/>
  <c r="BL342" i="17" s="1"/>
  <c r="BI641" i="17"/>
  <c r="BL641" i="17" s="1"/>
  <c r="O344" i="5"/>
  <c r="AO644" i="17" s="1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358" i="17"/>
  <c r="AM358" i="17" s="1"/>
  <c r="AJ657" i="17"/>
  <c r="AM657" i="17" s="1"/>
  <c r="Q359" i="5"/>
  <c r="AT360" i="17"/>
  <c r="AW360" i="17" s="1"/>
  <c r="AT659" i="17"/>
  <c r="AW659" i="17" s="1"/>
  <c r="M361" i="5"/>
  <c r="AJ362" i="17"/>
  <c r="AM362" i="17" s="1"/>
  <c r="AJ661" i="17"/>
  <c r="AM661" i="17" s="1"/>
  <c r="W363" i="5"/>
  <c r="BI364" i="17"/>
  <c r="BL364" i="17" s="1"/>
  <c r="BI663" i="17"/>
  <c r="BL663" i="17" s="1"/>
  <c r="O366" i="5"/>
  <c r="AO367" i="17" s="1"/>
  <c r="AR367" i="17" s="1"/>
  <c r="W368" i="5"/>
  <c r="BI369" i="17"/>
  <c r="BL369" i="17" s="1"/>
  <c r="BI668" i="17"/>
  <c r="BL668" i="17" s="1"/>
  <c r="O370" i="5"/>
  <c r="AO371" i="17" s="1"/>
  <c r="AR371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W383" i="5"/>
  <c r="BI683" i="17"/>
  <c r="BL683" i="17" s="1"/>
  <c r="W385" i="5"/>
  <c r="BI685" i="17"/>
  <c r="BL685" i="17" s="1"/>
  <c r="M389" i="5"/>
  <c r="AJ689" i="17"/>
  <c r="AM689" i="17" s="1"/>
  <c r="W392" i="5"/>
  <c r="BI692" i="17"/>
  <c r="BL692" i="17" s="1"/>
  <c r="W395" i="5"/>
  <c r="BI695" i="17"/>
  <c r="BL695" i="17" s="1"/>
  <c r="W398" i="5"/>
  <c r="BI698" i="17"/>
  <c r="BL698" i="17" s="1"/>
  <c r="W400" i="5"/>
  <c r="BI700" i="17"/>
  <c r="BL700" i="17" s="1"/>
  <c r="M403" i="5"/>
  <c r="AJ703" i="17"/>
  <c r="AM703" i="17" s="1"/>
  <c r="W404" i="5"/>
  <c r="BI704" i="17"/>
  <c r="BL704" i="17" s="1"/>
  <c r="M408" i="5"/>
  <c r="AJ708" i="17"/>
  <c r="AM708" i="17" s="1"/>
  <c r="W411" i="5"/>
  <c r="BI711" i="17"/>
  <c r="BL711" i="17" s="1"/>
  <c r="W414" i="5"/>
  <c r="BI714" i="17"/>
  <c r="BL714" i="17" s="1"/>
  <c r="M417" i="5"/>
  <c r="AJ717" i="17"/>
  <c r="AM717" i="17" s="1"/>
  <c r="W419" i="5"/>
  <c r="BI719" i="17"/>
  <c r="BL719" i="17" s="1"/>
  <c r="M422" i="5"/>
  <c r="AJ722" i="17"/>
  <c r="AM722" i="17" s="1"/>
  <c r="M425" i="5"/>
  <c r="AJ725" i="17"/>
  <c r="AM725" i="17" s="1"/>
  <c r="M427" i="5"/>
  <c r="AJ727" i="17"/>
  <c r="AM727" i="17" s="1"/>
  <c r="W430" i="5"/>
  <c r="BI730" i="17"/>
  <c r="BL730" i="17" s="1"/>
  <c r="W433" i="5"/>
  <c r="BI733" i="17"/>
  <c r="BL733" i="17" s="1"/>
  <c r="W435" i="5"/>
  <c r="BI735" i="17"/>
  <c r="BL735" i="17" s="1"/>
  <c r="M438" i="5"/>
  <c r="AJ738" i="17"/>
  <c r="AM738" i="17" s="1"/>
  <c r="W440" i="5"/>
  <c r="BI740" i="17"/>
  <c r="BL740" i="17" s="1"/>
  <c r="M442" i="5"/>
  <c r="AJ742" i="17"/>
  <c r="AM742" i="17" s="1"/>
  <c r="W444" i="5"/>
  <c r="BI744" i="17"/>
  <c r="BL744" i="17" s="1"/>
  <c r="M447" i="5"/>
  <c r="AJ747" i="17"/>
  <c r="AM747" i="17" s="1"/>
  <c r="M449" i="5"/>
  <c r="AJ749" i="17"/>
  <c r="AM749" i="17" s="1"/>
  <c r="W450" i="5"/>
  <c r="BI750" i="17"/>
  <c r="BL750" i="17" s="1"/>
  <c r="W452" i="5"/>
  <c r="BI752" i="17"/>
  <c r="BL752" i="17" s="1"/>
  <c r="W454" i="5"/>
  <c r="BI754" i="17"/>
  <c r="BL754" i="17" s="1"/>
  <c r="W457" i="5"/>
  <c r="BI757" i="17"/>
  <c r="BL757" i="17" s="1"/>
  <c r="W460" i="5"/>
  <c r="BI760" i="17"/>
  <c r="BL760" i="17" s="1"/>
  <c r="W464" i="5"/>
  <c r="BI764" i="17"/>
  <c r="BL764" i="17" s="1"/>
  <c r="W468" i="5"/>
  <c r="BI768" i="17"/>
  <c r="BL768" i="17" s="1"/>
  <c r="W471" i="5"/>
  <c r="BI771" i="17"/>
  <c r="BL771" i="17" s="1"/>
  <c r="Q474" i="5"/>
  <c r="AT774" i="17"/>
  <c r="AW774" i="17" s="1"/>
  <c r="W476" i="5"/>
  <c r="BI776" i="17"/>
  <c r="BL776" i="17" s="1"/>
  <c r="W479" i="5"/>
  <c r="BI779" i="17"/>
  <c r="BL779" i="17" s="1"/>
  <c r="M483" i="5"/>
  <c r="AJ783" i="17"/>
  <c r="AM783" i="17" s="1"/>
  <c r="W484" i="5"/>
  <c r="BI784" i="17"/>
  <c r="BL784" i="17" s="1"/>
  <c r="M488" i="5"/>
  <c r="AJ788" i="17"/>
  <c r="AM788" i="17" s="1"/>
  <c r="W489" i="5"/>
  <c r="BI789" i="17"/>
  <c r="BL789" i="17" s="1"/>
  <c r="W492" i="5"/>
  <c r="BI792" i="17"/>
  <c r="BL792" i="17" s="1"/>
  <c r="M494" i="5"/>
  <c r="AJ794" i="17"/>
  <c r="AM794" i="17" s="1"/>
  <c r="W497" i="5"/>
  <c r="BI797" i="17"/>
  <c r="BL797" i="17" s="1"/>
  <c r="W500" i="5"/>
  <c r="BI800" i="17"/>
  <c r="BL800" i="17" s="1"/>
  <c r="W503" i="5"/>
  <c r="BI803" i="17"/>
  <c r="BL803" i="17" s="1"/>
  <c r="M506" i="5"/>
  <c r="AJ806" i="17"/>
  <c r="AM806" i="17" s="1"/>
  <c r="W508" i="5"/>
  <c r="BI808" i="17"/>
  <c r="BL808" i="17" s="1"/>
  <c r="W510" i="5"/>
  <c r="BI810" i="17"/>
  <c r="BL810" i="17" s="1"/>
  <c r="W513" i="5"/>
  <c r="BI813" i="17"/>
  <c r="BL813" i="17" s="1"/>
  <c r="W515" i="5"/>
  <c r="BI815" i="17"/>
  <c r="BL815" i="17" s="1"/>
  <c r="W518" i="5"/>
  <c r="BI818" i="17"/>
  <c r="BL818" i="17" s="1"/>
  <c r="W521" i="5"/>
  <c r="BI821" i="17"/>
  <c r="BL821" i="17" s="1"/>
  <c r="M523" i="5"/>
  <c r="AJ823" i="17"/>
  <c r="AM823" i="17" s="1"/>
  <c r="Q525" i="5"/>
  <c r="AT825" i="17"/>
  <c r="AW825" i="17" s="1"/>
  <c r="W528" i="5"/>
  <c r="BI828" i="17"/>
  <c r="BL828" i="17" s="1"/>
  <c r="O531" i="5"/>
  <c r="AO831" i="17"/>
  <c r="AR831" i="17" s="1"/>
  <c r="M533" i="5"/>
  <c r="AJ833" i="17"/>
  <c r="AM833" i="17" s="1"/>
  <c r="W535" i="5"/>
  <c r="BI835" i="17"/>
  <c r="BL835" i="17" s="1"/>
  <c r="M540" i="5"/>
  <c r="AJ840" i="17"/>
  <c r="AM840" i="17" s="1"/>
  <c r="W543" i="5"/>
  <c r="BI843" i="17"/>
  <c r="BL843" i="17" s="1"/>
  <c r="W546" i="5"/>
  <c r="BI846" i="17"/>
  <c r="BL846" i="17" s="1"/>
  <c r="S551" i="5"/>
  <c r="AY851" i="17"/>
  <c r="BB851" i="17" s="1"/>
  <c r="M554" i="5"/>
  <c r="AJ854" i="17"/>
  <c r="AM854" i="17" s="1"/>
  <c r="W557" i="5"/>
  <c r="BI857" i="17"/>
  <c r="BL857" i="17" s="1"/>
  <c r="W559" i="5"/>
  <c r="BI859" i="17"/>
  <c r="BL859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W577" i="5"/>
  <c r="BI877" i="17"/>
  <c r="BL877" i="17" s="1"/>
  <c r="W582" i="5"/>
  <c r="BI882" i="17"/>
  <c r="BL882" i="17" s="1"/>
  <c r="M591" i="5"/>
  <c r="AJ891" i="17"/>
  <c r="AM891" i="17" s="1"/>
  <c r="O596" i="5"/>
  <c r="AO896" i="17"/>
  <c r="AR896" i="17" s="1"/>
  <c r="Q601" i="5"/>
  <c r="AT901" i="17"/>
  <c r="AW901" i="17" s="1"/>
  <c r="W603" i="5"/>
  <c r="BI903" i="17"/>
  <c r="BL903" i="17" s="1"/>
  <c r="W609" i="5"/>
  <c r="BI909" i="17"/>
  <c r="BL909" i="17" s="1"/>
  <c r="U617" i="5"/>
  <c r="BD917" i="17"/>
  <c r="BG917" i="17" s="1"/>
  <c r="W621" i="5"/>
  <c r="BI921" i="17"/>
  <c r="BL921" i="17" s="1"/>
  <c r="W627" i="5"/>
  <c r="BI927" i="17"/>
  <c r="BL927" i="17" s="1"/>
  <c r="W632" i="5"/>
  <c r="BI932" i="17"/>
  <c r="BL932" i="17" s="1"/>
  <c r="W638" i="5"/>
  <c r="BI938" i="17"/>
  <c r="BL938" i="17" s="1"/>
  <c r="W644" i="5"/>
  <c r="BI944" i="17"/>
  <c r="BL944" i="17" s="1"/>
  <c r="U648" i="5"/>
  <c r="BD948" i="17"/>
  <c r="BG948" i="17" s="1"/>
  <c r="W653" i="5"/>
  <c r="BI953" i="17"/>
  <c r="BL953" i="17" s="1"/>
  <c r="W659" i="5"/>
  <c r="BI959" i="17"/>
  <c r="BL959" i="17" s="1"/>
  <c r="U665" i="5"/>
  <c r="BD965" i="17"/>
  <c r="BG965" i="17" s="1"/>
  <c r="W670" i="5"/>
  <c r="BI970" i="17"/>
  <c r="BL970" i="17" s="1"/>
  <c r="W676" i="5"/>
  <c r="BI976" i="17"/>
  <c r="BL976" i="17" s="1"/>
  <c r="W682" i="5"/>
  <c r="BI982" i="17"/>
  <c r="BL982" i="17" s="1"/>
  <c r="W684" i="5"/>
  <c r="BI984" i="17"/>
  <c r="BL984" i="17" s="1"/>
  <c r="O691" i="5"/>
  <c r="AO991" i="17"/>
  <c r="AR991" i="17" s="1"/>
  <c r="W695" i="5"/>
  <c r="BI995" i="17"/>
  <c r="BL995" i="17" s="1"/>
  <c r="W701" i="5"/>
  <c r="BI1001" i="17"/>
  <c r="BL1001" i="17" s="1"/>
  <c r="W704" i="5"/>
  <c r="BI1004" i="17"/>
  <c r="BL1004" i="17" s="1"/>
  <c r="W710" i="5"/>
  <c r="BI1010" i="17"/>
  <c r="BL1010" i="17" s="1"/>
  <c r="W717" i="5"/>
  <c r="BI1017" i="17"/>
  <c r="BL1017" i="17" s="1"/>
  <c r="W723" i="5"/>
  <c r="BI1023" i="17"/>
  <c r="BL1023" i="17" s="1"/>
  <c r="W734" i="5"/>
  <c r="BI1034" i="17"/>
  <c r="BL1034" i="17" s="1"/>
  <c r="W761" i="5"/>
  <c r="BI1061" i="17"/>
  <c r="BL1061" i="17" s="1"/>
  <c r="W767" i="5"/>
  <c r="BI1067" i="17"/>
  <c r="BL1067" i="17" s="1"/>
  <c r="W775" i="5"/>
  <c r="BI1075" i="17"/>
  <c r="BL1075" i="17" s="1"/>
  <c r="W781" i="5"/>
  <c r="BI1081" i="17"/>
  <c r="BL1081" i="17" s="1"/>
  <c r="W789" i="5"/>
  <c r="BI1089" i="17"/>
  <c r="BL1089" i="17" s="1"/>
  <c r="W796" i="5"/>
  <c r="BI1096" i="17"/>
  <c r="BL1096" i="17" s="1"/>
  <c r="W804" i="5"/>
  <c r="BI1104" i="17"/>
  <c r="BL1104" i="17" s="1"/>
  <c r="W812" i="5"/>
  <c r="BI1112" i="17"/>
  <c r="BL1112" i="17" s="1"/>
  <c r="W819" i="5"/>
  <c r="BI1119" i="17"/>
  <c r="BL1119" i="17" s="1"/>
  <c r="W827" i="5"/>
  <c r="BI1127" i="17"/>
  <c r="BL1127" i="17" s="1"/>
  <c r="Q835" i="5"/>
  <c r="AT1135" i="17"/>
  <c r="AW1135" i="17" s="1"/>
  <c r="M841" i="5"/>
  <c r="AJ1141" i="17"/>
  <c r="AM1141" i="17" s="1"/>
  <c r="M848" i="5"/>
  <c r="AJ1148" i="17"/>
  <c r="AM1148" i="17" s="1"/>
  <c r="W853" i="5"/>
  <c r="BI1153" i="17"/>
  <c r="BL1153" i="17" s="1"/>
  <c r="W861" i="5"/>
  <c r="BI1161" i="17"/>
  <c r="BL1161" i="17" s="1"/>
  <c r="W864" i="5"/>
  <c r="BI1164" i="17"/>
  <c r="BL1164" i="17" s="1"/>
  <c r="Q3" i="5"/>
  <c r="AT3" i="17"/>
  <c r="AW3" i="17" s="1"/>
  <c r="Q6" i="5"/>
  <c r="AT6" i="17"/>
  <c r="AW6" i="17" s="1"/>
  <c r="Q10" i="5"/>
  <c r="AT11" i="17"/>
  <c r="AW11" i="17" s="1"/>
  <c r="AT10" i="17"/>
  <c r="AW10" i="17" s="1"/>
  <c r="W11" i="5"/>
  <c r="BI12" i="17"/>
  <c r="BL12" i="17" s="1"/>
  <c r="W13" i="5"/>
  <c r="BI14" i="17"/>
  <c r="BL14" i="17" s="1"/>
  <c r="W15" i="5"/>
  <c r="BI16" i="17"/>
  <c r="BL16" i="17" s="1"/>
  <c r="W17" i="5"/>
  <c r="BI18" i="17"/>
  <c r="BL18" i="17" s="1"/>
  <c r="W19" i="5"/>
  <c r="BI20" i="17"/>
  <c r="BL20" i="17" s="1"/>
  <c r="M21" i="5"/>
  <c r="AJ22" i="17" s="1"/>
  <c r="AM22" i="17" s="1"/>
  <c r="Q22" i="5"/>
  <c r="AT23" i="17"/>
  <c r="AW23" i="17" s="1"/>
  <c r="W23" i="5"/>
  <c r="BI24" i="17"/>
  <c r="BL24" i="17" s="1"/>
  <c r="M26" i="5"/>
  <c r="AJ27" i="17" s="1"/>
  <c r="AM27" i="17" s="1"/>
  <c r="M27" i="5"/>
  <c r="AJ28" i="17"/>
  <c r="AM28" i="17" s="1"/>
  <c r="W28" i="5"/>
  <c r="BI29" i="17"/>
  <c r="BL29" i="17" s="1"/>
  <c r="Q30" i="5"/>
  <c r="AT31" i="17"/>
  <c r="AW31" i="17" s="1"/>
  <c r="W31" i="5"/>
  <c r="BI32" i="17"/>
  <c r="BL32" i="17" s="1"/>
  <c r="O33" i="5"/>
  <c r="AO34" i="17" s="1"/>
  <c r="AR34" i="17" s="1"/>
  <c r="Q34" i="5"/>
  <c r="AT35" i="17"/>
  <c r="AW35" i="17" s="1"/>
  <c r="W36" i="5"/>
  <c r="BI37" i="17"/>
  <c r="BL37" i="17" s="1"/>
  <c r="O38" i="5"/>
  <c r="AO39" i="17" s="1"/>
  <c r="AR39" i="17" s="1"/>
  <c r="U39" i="5"/>
  <c r="BD40" i="17"/>
  <c r="BG40" i="17" s="1"/>
  <c r="W40" i="5"/>
  <c r="BI41" i="17"/>
  <c r="BL41" i="17" s="1"/>
  <c r="M42" i="5"/>
  <c r="AJ43" i="17" s="1"/>
  <c r="AM43" i="17" s="1"/>
  <c r="W43" i="5"/>
  <c r="BI44" i="17"/>
  <c r="BL44" i="17" s="1"/>
  <c r="U45" i="5"/>
  <c r="BD46" i="17"/>
  <c r="BG46" i="17" s="1"/>
  <c r="W47" i="5"/>
  <c r="BI48" i="17"/>
  <c r="BL48" i="17" s="1"/>
  <c r="W49" i="5"/>
  <c r="BI50" i="17"/>
  <c r="BL50" i="17" s="1"/>
  <c r="W50" i="5"/>
  <c r="BI51" i="17"/>
  <c r="BL51" i="17" s="1"/>
  <c r="W52" i="5"/>
  <c r="BI53" i="17"/>
  <c r="BL53" i="17" s="1"/>
  <c r="Q54" i="5"/>
  <c r="AT55" i="17"/>
  <c r="AW55" i="17" s="1"/>
  <c r="Q56" i="5"/>
  <c r="AT57" i="17"/>
  <c r="AW57" i="17" s="1"/>
  <c r="O58" i="5"/>
  <c r="AO59" i="17" s="1"/>
  <c r="AR59" i="17" s="1"/>
  <c r="W59" i="5"/>
  <c r="BI60" i="17"/>
  <c r="BL60" i="17" s="1"/>
  <c r="Q61" i="5"/>
  <c r="AT62" i="17"/>
  <c r="AW62" i="17" s="1"/>
  <c r="W63" i="5"/>
  <c r="BI64" i="17"/>
  <c r="BL64" i="17" s="1"/>
  <c r="M65" i="5"/>
  <c r="AJ66" i="17" s="1"/>
  <c r="AM66" i="17" s="1"/>
  <c r="W66" i="5"/>
  <c r="BI67" i="17"/>
  <c r="BL67" i="17" s="1"/>
  <c r="W68" i="5"/>
  <c r="BI69" i="17"/>
  <c r="BL69" i="17" s="1"/>
  <c r="Q70" i="5"/>
  <c r="AT71" i="17"/>
  <c r="AW71" i="17" s="1"/>
  <c r="O72" i="5"/>
  <c r="AO73" i="17" s="1"/>
  <c r="AR73" i="17" s="1"/>
  <c r="O74" i="5"/>
  <c r="AO75" i="17" s="1"/>
  <c r="AR75" i="17" s="1"/>
  <c r="Q75" i="5"/>
  <c r="AT76" i="17"/>
  <c r="AW76" i="17" s="1"/>
  <c r="W76" i="5"/>
  <c r="BI77" i="17"/>
  <c r="BL77" i="17" s="1"/>
  <c r="W78" i="5"/>
  <c r="BI79" i="17"/>
  <c r="BL79" i="17" s="1"/>
  <c r="Q80" i="5"/>
  <c r="AT81" i="17"/>
  <c r="AW81" i="17" s="1"/>
  <c r="W82" i="5"/>
  <c r="BI83" i="17"/>
  <c r="BL83" i="17" s="1"/>
  <c r="W84" i="5"/>
  <c r="BI85" i="17"/>
  <c r="BL85" i="17" s="1"/>
  <c r="BI384" i="17"/>
  <c r="BL384" i="17" s="1"/>
  <c r="Q86" i="5"/>
  <c r="AT87" i="17"/>
  <c r="AW87" i="17" s="1"/>
  <c r="AT386" i="17"/>
  <c r="AW386" i="17" s="1"/>
  <c r="Q88" i="5"/>
  <c r="AT89" i="17"/>
  <c r="AW89" i="17" s="1"/>
  <c r="AT388" i="17"/>
  <c r="AW388" i="17" s="1"/>
  <c r="W89" i="5"/>
  <c r="BI90" i="17"/>
  <c r="BL90" i="17" s="1"/>
  <c r="BI389" i="17"/>
  <c r="BL389" i="17" s="1"/>
  <c r="W90" i="5"/>
  <c r="BI91" i="17"/>
  <c r="BL91" i="17" s="1"/>
  <c r="BI390" i="17"/>
  <c r="BL390" i="17" s="1"/>
  <c r="W92" i="5"/>
  <c r="BI93" i="17"/>
  <c r="BL93" i="17" s="1"/>
  <c r="BI392" i="17"/>
  <c r="BL392" i="17" s="1"/>
  <c r="M94" i="5"/>
  <c r="AJ394" i="17" s="1"/>
  <c r="AM394" i="17" s="1"/>
  <c r="M96" i="5"/>
  <c r="AJ97" i="17" s="1"/>
  <c r="AM97" i="17" s="1"/>
  <c r="Q98" i="5"/>
  <c r="AT99" i="17"/>
  <c r="AW99" i="17" s="1"/>
  <c r="AT398" i="17"/>
  <c r="AW398" i="17" s="1"/>
  <c r="Q100" i="5"/>
  <c r="AT101" i="17"/>
  <c r="AW101" i="17" s="1"/>
  <c r="AT400" i="17"/>
  <c r="AW400" i="17" s="1"/>
  <c r="W102" i="5"/>
  <c r="BI103" i="17"/>
  <c r="BL103" i="17" s="1"/>
  <c r="BI402" i="17"/>
  <c r="BL402" i="17" s="1"/>
  <c r="O105" i="5"/>
  <c r="AO106" i="17" s="1"/>
  <c r="AR106" i="17" s="1"/>
  <c r="W107" i="5"/>
  <c r="BI108" i="17"/>
  <c r="BL108" i="17" s="1"/>
  <c r="BI407" i="17"/>
  <c r="BL407" i="17" s="1"/>
  <c r="O110" i="5"/>
  <c r="AO111" i="17" s="1"/>
  <c r="AR111" i="17" s="1"/>
  <c r="W112" i="5"/>
  <c r="BI113" i="17"/>
  <c r="BL113" i="17" s="1"/>
  <c r="BI412" i="17"/>
  <c r="BL412" i="17" s="1"/>
  <c r="W114" i="5"/>
  <c r="BI115" i="17"/>
  <c r="BL115" i="17" s="1"/>
  <c r="BI414" i="17"/>
  <c r="BL414" i="17" s="1"/>
  <c r="Q116" i="5"/>
  <c r="AT117" i="17"/>
  <c r="AW117" i="17" s="1"/>
  <c r="AT416" i="17"/>
  <c r="AW416" i="17" s="1"/>
  <c r="W118" i="5"/>
  <c r="BI119" i="17"/>
  <c r="BL119" i="17" s="1"/>
  <c r="BI418" i="17"/>
  <c r="BL418" i="17" s="1"/>
  <c r="W120" i="5"/>
  <c r="BI121" i="17"/>
  <c r="BL121" i="17" s="1"/>
  <c r="BI420" i="17"/>
  <c r="BL420" i="17" s="1"/>
  <c r="O123" i="5"/>
  <c r="AO124" i="17" s="1"/>
  <c r="AR124" i="17" s="1"/>
  <c r="W125" i="5"/>
  <c r="BI126" i="17"/>
  <c r="BL126" i="17" s="1"/>
  <c r="BI425" i="17"/>
  <c r="BL425" i="17" s="1"/>
  <c r="W127" i="5"/>
  <c r="BI128" i="17"/>
  <c r="BL128" i="17" s="1"/>
  <c r="BI427" i="17"/>
  <c r="BL427" i="17" s="1"/>
  <c r="M129" i="5"/>
  <c r="AJ429" i="17" s="1"/>
  <c r="AM429" i="17" s="1"/>
  <c r="W130" i="5"/>
  <c r="BI131" i="17"/>
  <c r="BL131" i="17" s="1"/>
  <c r="BI430" i="17"/>
  <c r="BL430" i="17" s="1"/>
  <c r="W132" i="5"/>
  <c r="BI133" i="17"/>
  <c r="BL133" i="17" s="1"/>
  <c r="BI432" i="17"/>
  <c r="BL432" i="17" s="1"/>
  <c r="W134" i="5"/>
  <c r="BI135" i="17"/>
  <c r="BL135" i="17" s="1"/>
  <c r="BI434" i="17"/>
  <c r="BL434" i="17" s="1"/>
  <c r="W136" i="5"/>
  <c r="BI137" i="17"/>
  <c r="BL137" i="17" s="1"/>
  <c r="BI436" i="17"/>
  <c r="BL436" i="17" s="1"/>
  <c r="Q139" i="5"/>
  <c r="AT140" i="17"/>
  <c r="AW140" i="17" s="1"/>
  <c r="AT439" i="17"/>
  <c r="AW439" i="17" s="1"/>
  <c r="W140" i="5"/>
  <c r="BI141" i="17"/>
  <c r="BL141" i="17" s="1"/>
  <c r="BI440" i="17"/>
  <c r="BL440" i="17" s="1"/>
  <c r="Q143" i="5"/>
  <c r="AT144" i="17"/>
  <c r="AW144" i="17" s="1"/>
  <c r="AT443" i="17"/>
  <c r="AW443" i="17" s="1"/>
  <c r="W144" i="5"/>
  <c r="BI145" i="17"/>
  <c r="BL145" i="17" s="1"/>
  <c r="BI444" i="17"/>
  <c r="BL444" i="17" s="1"/>
  <c r="U147" i="5"/>
  <c r="BD148" i="17"/>
  <c r="BG148" i="17" s="1"/>
  <c r="BD447" i="17"/>
  <c r="BG447" i="17" s="1"/>
  <c r="Q149" i="5"/>
  <c r="AT150" i="17"/>
  <c r="AW150" i="17" s="1"/>
  <c r="AT449" i="17"/>
  <c r="AW449" i="17" s="1"/>
  <c r="W151" i="5"/>
  <c r="BI152" i="17"/>
  <c r="BL152" i="17" s="1"/>
  <c r="BI451" i="17"/>
  <c r="BL451" i="17" s="1"/>
  <c r="W153" i="5"/>
  <c r="BI154" i="17"/>
  <c r="BL154" i="17" s="1"/>
  <c r="BI453" i="17"/>
  <c r="BL453" i="17" s="1"/>
  <c r="O156" i="5"/>
  <c r="AO157" i="17" s="1"/>
  <c r="AR157" i="17" s="1"/>
  <c r="Q159" i="5"/>
  <c r="AT160" i="17"/>
  <c r="AW160" i="17" s="1"/>
  <c r="AT459" i="17"/>
  <c r="AW459" i="17" s="1"/>
  <c r="W160" i="5"/>
  <c r="BI161" i="17"/>
  <c r="BL161" i="17" s="1"/>
  <c r="BI460" i="17"/>
  <c r="BL460" i="17" s="1"/>
  <c r="O164" i="5"/>
  <c r="AO464" i="17" s="1"/>
  <c r="AR464" i="17" s="1"/>
  <c r="AO165" i="17"/>
  <c r="AR165" i="17" s="1"/>
  <c r="W165" i="5"/>
  <c r="BI166" i="17"/>
  <c r="BL166" i="17" s="1"/>
  <c r="BI465" i="17"/>
  <c r="BL465" i="17" s="1"/>
  <c r="M168" i="5"/>
  <c r="AJ169" i="17"/>
  <c r="AM169" i="17" s="1"/>
  <c r="AJ468" i="17"/>
  <c r="AM468" i="17" s="1"/>
  <c r="W170" i="5"/>
  <c r="W172" i="5"/>
  <c r="BI173" i="17"/>
  <c r="BL173" i="17" s="1"/>
  <c r="BI472" i="17"/>
  <c r="BL472" i="17" s="1"/>
  <c r="Q174" i="5"/>
  <c r="AT175" i="17"/>
  <c r="AW175" i="17" s="1"/>
  <c r="AT474" i="17"/>
  <c r="AW474" i="17" s="1"/>
  <c r="Q175" i="5"/>
  <c r="AT176" i="17"/>
  <c r="AW176" i="17" s="1"/>
  <c r="AT475" i="17"/>
  <c r="AW475" i="17" s="1"/>
  <c r="U177" i="5"/>
  <c r="BD178" i="17"/>
  <c r="BG178" i="17" s="1"/>
  <c r="BD477" i="17"/>
  <c r="BG477" i="17" s="1"/>
  <c r="M179" i="5"/>
  <c r="AJ180" i="17"/>
  <c r="AM180" i="17" s="1"/>
  <c r="AJ479" i="17"/>
  <c r="AM479" i="17" s="1"/>
  <c r="Q180" i="5"/>
  <c r="AT181" i="17"/>
  <c r="AW181" i="17" s="1"/>
  <c r="AT480" i="17"/>
  <c r="AW480" i="17" s="1"/>
  <c r="W181" i="5"/>
  <c r="BI182" i="17"/>
  <c r="BL182" i="17" s="1"/>
  <c r="BI481" i="17"/>
  <c r="BL481" i="17" s="1"/>
  <c r="Q183" i="5"/>
  <c r="AT184" i="17"/>
  <c r="AW184" i="17" s="1"/>
  <c r="AT483" i="17"/>
  <c r="AW483" i="17" s="1"/>
  <c r="W184" i="5"/>
  <c r="BI185" i="17"/>
  <c r="BL185" i="17" s="1"/>
  <c r="BI484" i="17"/>
  <c r="BL484" i="17" s="1"/>
  <c r="Q187" i="5"/>
  <c r="AT188" i="17"/>
  <c r="AW188" i="17" s="1"/>
  <c r="AT487" i="17"/>
  <c r="AW487" i="17" s="1"/>
  <c r="O189" i="5"/>
  <c r="AO489" i="17" s="1"/>
  <c r="AR489" i="17" s="1"/>
  <c r="O191" i="5"/>
  <c r="AO192" i="17" s="1"/>
  <c r="AR192" i="17" s="1"/>
  <c r="W193" i="5"/>
  <c r="BI194" i="17"/>
  <c r="BL194" i="17" s="1"/>
  <c r="BI493" i="17"/>
  <c r="BL493" i="17" s="1"/>
  <c r="M196" i="5"/>
  <c r="AJ197" i="17"/>
  <c r="AM197" i="17" s="1"/>
  <c r="AJ496" i="17"/>
  <c r="AM496" i="17" s="1"/>
  <c r="W197" i="5"/>
  <c r="BI198" i="17"/>
  <c r="BL198" i="17" s="1"/>
  <c r="BI497" i="17"/>
  <c r="BL497" i="17" s="1"/>
  <c r="W199" i="5"/>
  <c r="BI200" i="17"/>
  <c r="BL200" i="17" s="1"/>
  <c r="BI499" i="17"/>
  <c r="BL499" i="17" s="1"/>
  <c r="M202" i="5"/>
  <c r="AJ203" i="17"/>
  <c r="AM203" i="17" s="1"/>
  <c r="AJ502" i="17"/>
  <c r="AM502" i="17" s="1"/>
  <c r="Q203" i="5"/>
  <c r="AT204" i="17"/>
  <c r="AW204" i="17" s="1"/>
  <c r="AT503" i="17"/>
  <c r="AW503" i="17" s="1"/>
  <c r="W205" i="5"/>
  <c r="BI206" i="17"/>
  <c r="BL206" i="17" s="1"/>
  <c r="BI505" i="17"/>
  <c r="BL505" i="17" s="1"/>
  <c r="W207" i="5"/>
  <c r="BI208" i="17"/>
  <c r="BL208" i="17" s="1"/>
  <c r="BI507" i="17"/>
  <c r="BL507" i="17" s="1"/>
  <c r="W210" i="5"/>
  <c r="BI211" i="17"/>
  <c r="BL211" i="17" s="1"/>
  <c r="BI510" i="17"/>
  <c r="BL510" i="17" s="1"/>
  <c r="M213" i="5"/>
  <c r="AJ214" i="17"/>
  <c r="AM214" i="17" s="1"/>
  <c r="AJ513" i="17"/>
  <c r="AM513" i="17" s="1"/>
  <c r="W215" i="5"/>
  <c r="BI216" i="17"/>
  <c r="BL216" i="17" s="1"/>
  <c r="BI515" i="17"/>
  <c r="BL515" i="17" s="1"/>
  <c r="W217" i="5"/>
  <c r="BI218" i="17"/>
  <c r="BL218" i="17" s="1"/>
  <c r="BI517" i="17"/>
  <c r="BL517" i="17" s="1"/>
  <c r="O220" i="5"/>
  <c r="AO520" i="17" s="1"/>
  <c r="AR520" i="17" s="1"/>
  <c r="M222" i="5"/>
  <c r="AJ223" i="17"/>
  <c r="AM223" i="17" s="1"/>
  <c r="AJ522" i="17"/>
  <c r="AM522" i="17" s="1"/>
  <c r="Q223" i="5"/>
  <c r="AT224" i="17"/>
  <c r="AW224" i="17" s="1"/>
  <c r="AT523" i="17"/>
  <c r="AW523" i="17" s="1"/>
  <c r="W226" i="5"/>
  <c r="BI227" i="17"/>
  <c r="BL227" i="17" s="1"/>
  <c r="BI526" i="17"/>
  <c r="BL526" i="17" s="1"/>
  <c r="M229" i="5"/>
  <c r="AJ230" i="17"/>
  <c r="AM230" i="17" s="1"/>
  <c r="AJ529" i="17"/>
  <c r="AM529" i="17" s="1"/>
  <c r="O232" i="5"/>
  <c r="AO233" i="17" s="1"/>
  <c r="AR233" i="17" s="1"/>
  <c r="Q234" i="5"/>
  <c r="AT235" i="17"/>
  <c r="AW235" i="17" s="1"/>
  <c r="AT534" i="17"/>
  <c r="AW534" i="17" s="1"/>
  <c r="Q235" i="5"/>
  <c r="AT236" i="17"/>
  <c r="AW236" i="17" s="1"/>
  <c r="AT535" i="17"/>
  <c r="AW535" i="17" s="1"/>
  <c r="Q236" i="5"/>
  <c r="AT237" i="17"/>
  <c r="AW237" i="17" s="1"/>
  <c r="AT536" i="17"/>
  <c r="AW536" i="17" s="1"/>
  <c r="W238" i="5"/>
  <c r="BI239" i="17"/>
  <c r="BL239" i="17" s="1"/>
  <c r="BI538" i="17"/>
  <c r="BL538" i="17" s="1"/>
  <c r="M241" i="5"/>
  <c r="AJ242" i="17"/>
  <c r="AM242" i="17" s="1"/>
  <c r="AJ541" i="17"/>
  <c r="AM541" i="17" s="1"/>
  <c r="M242" i="5"/>
  <c r="AJ243" i="17"/>
  <c r="AM243" i="17" s="1"/>
  <c r="AJ542" i="17"/>
  <c r="AM542" i="17" s="1"/>
  <c r="O244" i="5"/>
  <c r="AO544" i="17" s="1"/>
  <c r="AR544" i="17" s="1"/>
  <c r="W246" i="5"/>
  <c r="BI247" i="17"/>
  <c r="BL247" i="17" s="1"/>
  <c r="BI546" i="17"/>
  <c r="BL546" i="17" s="1"/>
  <c r="W248" i="5"/>
  <c r="BI249" i="17"/>
  <c r="BL249" i="17" s="1"/>
  <c r="BI548" i="17"/>
  <c r="BL548" i="17" s="1"/>
  <c r="W250" i="5"/>
  <c r="BI251" i="17"/>
  <c r="BL251" i="17" s="1"/>
  <c r="BI550" i="17"/>
  <c r="BL550" i="17" s="1"/>
  <c r="M253" i="5"/>
  <c r="AJ254" i="17"/>
  <c r="AM254" i="17" s="1"/>
  <c r="AJ553" i="17"/>
  <c r="AM553" i="17" s="1"/>
  <c r="O255" i="5"/>
  <c r="AO256" i="17" s="1"/>
  <c r="AR256" i="17" s="1"/>
  <c r="AO555" i="17"/>
  <c r="AR555" i="17" s="1"/>
  <c r="U256" i="5"/>
  <c r="BD257" i="17"/>
  <c r="BG257" i="17" s="1"/>
  <c r="BD556" i="17"/>
  <c r="BG556" i="17" s="1"/>
  <c r="W257" i="5"/>
  <c r="BI258" i="17"/>
  <c r="BL258" i="17" s="1"/>
  <c r="BI557" i="17"/>
  <c r="BL557" i="17" s="1"/>
  <c r="W259" i="5"/>
  <c r="BI260" i="17"/>
  <c r="BL260" i="17" s="1"/>
  <c r="BI559" i="17"/>
  <c r="BL559" i="17" s="1"/>
  <c r="W262" i="5"/>
  <c r="BI263" i="17"/>
  <c r="BL263" i="17" s="1"/>
  <c r="BI562" i="17"/>
  <c r="BL562" i="17" s="1"/>
  <c r="W264" i="5"/>
  <c r="BI265" i="17"/>
  <c r="BL265" i="17" s="1"/>
  <c r="BI564" i="17"/>
  <c r="BL564" i="17" s="1"/>
  <c r="W267" i="5"/>
  <c r="BI268" i="17"/>
  <c r="BL268" i="17" s="1"/>
  <c r="BI567" i="17"/>
  <c r="BL567" i="17" s="1"/>
  <c r="W268" i="5"/>
  <c r="BI269" i="17"/>
  <c r="BL269" i="17" s="1"/>
  <c r="BI568" i="17"/>
  <c r="BL568" i="17" s="1"/>
  <c r="W270" i="5"/>
  <c r="BI271" i="17"/>
  <c r="BL271" i="17" s="1"/>
  <c r="BI570" i="17"/>
  <c r="BL570" i="17" s="1"/>
  <c r="W272" i="5"/>
  <c r="BI273" i="17"/>
  <c r="BL273" i="17" s="1"/>
  <c r="BI572" i="17"/>
  <c r="BL572" i="17" s="1"/>
  <c r="M276" i="5"/>
  <c r="AJ277" i="17"/>
  <c r="AM277" i="17" s="1"/>
  <c r="AJ576" i="17"/>
  <c r="AM576" i="17" s="1"/>
  <c r="W278" i="5"/>
  <c r="BI279" i="17"/>
  <c r="BL279" i="17" s="1"/>
  <c r="BI578" i="17"/>
  <c r="BL578" i="17" s="1"/>
  <c r="W281" i="5"/>
  <c r="BI282" i="17"/>
  <c r="BL282" i="17" s="1"/>
  <c r="BI581" i="17"/>
  <c r="BL581" i="17" s="1"/>
  <c r="W284" i="5"/>
  <c r="BI285" i="17"/>
  <c r="BL285" i="17" s="1"/>
  <c r="BI584" i="17"/>
  <c r="BL584" i="17" s="1"/>
  <c r="Q286" i="5"/>
  <c r="AT287" i="17"/>
  <c r="AW287" i="17" s="1"/>
  <c r="AT586" i="17"/>
  <c r="AW586" i="17" s="1"/>
  <c r="W287" i="5"/>
  <c r="BI288" i="17"/>
  <c r="BL288" i="17" s="1"/>
  <c r="BI587" i="17"/>
  <c r="BL587" i="17" s="1"/>
  <c r="W288" i="5"/>
  <c r="BI289" i="17"/>
  <c r="BL289" i="17" s="1"/>
  <c r="BI588" i="17"/>
  <c r="BL588" i="17" s="1"/>
  <c r="W289" i="5"/>
  <c r="BI290" i="17"/>
  <c r="BL290" i="17" s="1"/>
  <c r="BI589" i="17"/>
  <c r="BL589" i="17" s="1"/>
  <c r="U291" i="5"/>
  <c r="BD292" i="17"/>
  <c r="BG292" i="17" s="1"/>
  <c r="BD591" i="17"/>
  <c r="BG591" i="17" s="1"/>
  <c r="W293" i="5"/>
  <c r="BI294" i="17"/>
  <c r="BL294" i="17" s="1"/>
  <c r="BI593" i="17"/>
  <c r="BL593" i="17" s="1"/>
  <c r="Q295" i="5"/>
  <c r="AT296" i="17"/>
  <c r="AW296" i="17" s="1"/>
  <c r="AT595" i="17"/>
  <c r="AW595" i="17" s="1"/>
  <c r="W297" i="5"/>
  <c r="BI298" i="17"/>
  <c r="BL298" i="17" s="1"/>
  <c r="BI597" i="17"/>
  <c r="BL597" i="17" s="1"/>
  <c r="W299" i="5"/>
  <c r="BI300" i="17"/>
  <c r="BL300" i="17" s="1"/>
  <c r="BI599" i="17"/>
  <c r="BL599" i="17" s="1"/>
  <c r="M303" i="5"/>
  <c r="AJ304" i="17"/>
  <c r="AM304" i="17" s="1"/>
  <c r="AJ603" i="17"/>
  <c r="AM603" i="17" s="1"/>
  <c r="M305" i="5"/>
  <c r="AJ306" i="17"/>
  <c r="AM306" i="17" s="1"/>
  <c r="AJ605" i="17"/>
  <c r="AM605" i="17" s="1"/>
  <c r="O308" i="5"/>
  <c r="AO608" i="17" s="1"/>
  <c r="AR608" i="17" s="1"/>
  <c r="W310" i="5"/>
  <c r="BI311" i="17"/>
  <c r="BL311" i="17" s="1"/>
  <c r="BI610" i="17"/>
  <c r="BL610" i="17" s="1"/>
  <c r="M313" i="5"/>
  <c r="AJ314" i="17"/>
  <c r="AM314" i="17" s="1"/>
  <c r="AJ613" i="17"/>
  <c r="AM613" i="17" s="1"/>
  <c r="U316" i="5"/>
  <c r="BD317" i="17"/>
  <c r="BG317" i="17" s="1"/>
  <c r="BD616" i="17"/>
  <c r="BG616" i="17" s="1"/>
  <c r="M318" i="5"/>
  <c r="AJ319" i="17"/>
  <c r="AM319" i="17" s="1"/>
  <c r="AJ618" i="17"/>
  <c r="AM618" i="17" s="1"/>
  <c r="M321" i="5"/>
  <c r="AJ322" i="17"/>
  <c r="AM322" i="17" s="1"/>
  <c r="AJ621" i="17"/>
  <c r="AM621" i="17" s="1"/>
  <c r="O323" i="5"/>
  <c r="AO324" i="17" s="1"/>
  <c r="AR324" i="17" s="1"/>
  <c r="W324" i="5"/>
  <c r="BI325" i="17"/>
  <c r="BL325" i="17" s="1"/>
  <c r="BI624" i="17"/>
  <c r="BL624" i="17" s="1"/>
  <c r="M327" i="5"/>
  <c r="AJ328" i="17"/>
  <c r="AM328" i="17" s="1"/>
  <c r="AJ627" i="17"/>
  <c r="AM627" i="17" s="1"/>
  <c r="W329" i="5"/>
  <c r="BI330" i="17"/>
  <c r="BL330" i="17" s="1"/>
  <c r="BI629" i="17"/>
  <c r="BL629" i="17" s="1"/>
  <c r="U332" i="5"/>
  <c r="BD333" i="17"/>
  <c r="BG333" i="17" s="1"/>
  <c r="BD632" i="17"/>
  <c r="BG632" i="17" s="1"/>
  <c r="W334" i="5"/>
  <c r="BI335" i="17"/>
  <c r="BL335" i="17" s="1"/>
  <c r="BI634" i="17"/>
  <c r="BL634" i="17" s="1"/>
  <c r="W337" i="5"/>
  <c r="BI338" i="17"/>
  <c r="BL338" i="17" s="1"/>
  <c r="BI637" i="17"/>
  <c r="BL637" i="17" s="1"/>
  <c r="Q341" i="5"/>
  <c r="AT342" i="17"/>
  <c r="AW342" i="17" s="1"/>
  <c r="AT641" i="17"/>
  <c r="AW641" i="17" s="1"/>
  <c r="W342" i="5"/>
  <c r="BI343" i="17"/>
  <c r="BL343" i="17" s="1"/>
  <c r="BI642" i="17"/>
  <c r="BL642" i="17" s="1"/>
  <c r="W344" i="5"/>
  <c r="BI345" i="17"/>
  <c r="BL345" i="17" s="1"/>
  <c r="BI644" i="17"/>
  <c r="BL644" i="17" s="1"/>
  <c r="W347" i="5"/>
  <c r="BI348" i="17"/>
  <c r="BL348" i="17" s="1"/>
  <c r="BI647" i="17"/>
  <c r="BL647" i="17" s="1"/>
  <c r="W350" i="5"/>
  <c r="BI351" i="17"/>
  <c r="BL351" i="17" s="1"/>
  <c r="BI650" i="17"/>
  <c r="BL650" i="17" s="1"/>
  <c r="W353" i="5"/>
  <c r="BI354" i="17"/>
  <c r="BL354" i="17" s="1"/>
  <c r="BI653" i="17"/>
  <c r="BL653" i="17" s="1"/>
  <c r="M355" i="5"/>
  <c r="AJ356" i="17"/>
  <c r="AM356" i="17" s="1"/>
  <c r="AJ655" i="17"/>
  <c r="AM655" i="17" s="1"/>
  <c r="O357" i="5"/>
  <c r="AO657" i="17" s="1"/>
  <c r="AR657" i="17" s="1"/>
  <c r="W359" i="5"/>
  <c r="BI360" i="17"/>
  <c r="BL360" i="17" s="1"/>
  <c r="BI659" i="17"/>
  <c r="BL659" i="17" s="1"/>
  <c r="W361" i="5"/>
  <c r="BI362" i="17"/>
  <c r="BL362" i="17" s="1"/>
  <c r="BI661" i="17"/>
  <c r="BL661" i="17" s="1"/>
  <c r="W364" i="5"/>
  <c r="BI365" i="17"/>
  <c r="BL365" i="17" s="1"/>
  <c r="BI664" i="17"/>
  <c r="BL664" i="17" s="1"/>
  <c r="W366" i="5"/>
  <c r="BI367" i="17"/>
  <c r="BL367" i="17" s="1"/>
  <c r="BI666" i="17"/>
  <c r="BL666" i="17" s="1"/>
  <c r="O369" i="5"/>
  <c r="AO370" i="17" s="1"/>
  <c r="AR370" i="17" s="1"/>
  <c r="Q370" i="5"/>
  <c r="AT371" i="17"/>
  <c r="AW371" i="17" s="1"/>
  <c r="AT670" i="17"/>
  <c r="AW670" i="17" s="1"/>
  <c r="U372" i="5"/>
  <c r="BD373" i="17"/>
  <c r="BG373" i="17" s="1"/>
  <c r="BD672" i="17"/>
  <c r="BG672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M379" i="5"/>
  <c r="AJ380" i="17"/>
  <c r="AM380" i="17" s="1"/>
  <c r="AJ679" i="17"/>
  <c r="AM679" i="17" s="1"/>
  <c r="Q382" i="5"/>
  <c r="AT383" i="17"/>
  <c r="AW383" i="17" s="1"/>
  <c r="AT682" i="17"/>
  <c r="AW682" i="17" s="1"/>
  <c r="M384" i="5"/>
  <c r="AJ684" i="17"/>
  <c r="AM684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Q401" i="5"/>
  <c r="AT701" i="17"/>
  <c r="AW701" i="17" s="1"/>
  <c r="Q403" i="5"/>
  <c r="AT703" i="17"/>
  <c r="AW703" i="17" s="1"/>
  <c r="W405" i="5"/>
  <c r="BI705" i="17"/>
  <c r="BL705" i="17" s="1"/>
  <c r="W408" i="5"/>
  <c r="BI708" i="17"/>
  <c r="BL708" i="17" s="1"/>
  <c r="O412" i="5"/>
  <c r="AO712" i="17"/>
  <c r="AR712" i="17" s="1"/>
  <c r="M415" i="5"/>
  <c r="AJ715" i="17"/>
  <c r="AM715" i="17" s="1"/>
  <c r="W417" i="5"/>
  <c r="BI717" i="17"/>
  <c r="BL717" i="17" s="1"/>
  <c r="M420" i="5"/>
  <c r="AJ720" i="17"/>
  <c r="AM720" i="17" s="1"/>
  <c r="W422" i="5"/>
  <c r="BI722" i="17"/>
  <c r="BL722" i="17" s="1"/>
  <c r="W425" i="5"/>
  <c r="BI725" i="17"/>
  <c r="BL725" i="17" s="1"/>
  <c r="W427" i="5"/>
  <c r="BI727" i="17"/>
  <c r="BL727" i="17" s="1"/>
  <c r="W431" i="5"/>
  <c r="BI731" i="17"/>
  <c r="BL731" i="17" s="1"/>
  <c r="W434" i="5"/>
  <c r="BI734" i="17"/>
  <c r="BL734" i="17" s="1"/>
  <c r="M436" i="5"/>
  <c r="AJ736" i="17"/>
  <c r="AM736" i="17" s="1"/>
  <c r="W438" i="5"/>
  <c r="BI738" i="17"/>
  <c r="BL738" i="17" s="1"/>
  <c r="M441" i="5"/>
  <c r="AJ741" i="17"/>
  <c r="AM741" i="17" s="1"/>
  <c r="W442" i="5"/>
  <c r="BI742" i="17"/>
  <c r="BL742" i="17" s="1"/>
  <c r="O445" i="5"/>
  <c r="AO745" i="17"/>
  <c r="AR745" i="17" s="1"/>
  <c r="O447" i="5"/>
  <c r="AO747" i="17"/>
  <c r="AR747" i="17" s="1"/>
  <c r="O449" i="5"/>
  <c r="AO749" i="17"/>
  <c r="AR749" i="17" s="1"/>
  <c r="W451" i="5"/>
  <c r="BI751" i="17"/>
  <c r="BL751" i="17" s="1"/>
  <c r="W453" i="5"/>
  <c r="BI753" i="17"/>
  <c r="BL753" i="17" s="1"/>
  <c r="W455" i="5"/>
  <c r="BI755" i="17"/>
  <c r="BL755" i="17" s="1"/>
  <c r="W458" i="5"/>
  <c r="BI758" i="17"/>
  <c r="BL758" i="17" s="1"/>
  <c r="W461" i="5"/>
  <c r="BI761" i="17"/>
  <c r="BL761" i="17" s="1"/>
  <c r="W465" i="5"/>
  <c r="BI765" i="17"/>
  <c r="BL765" i="17" s="1"/>
  <c r="M469" i="5"/>
  <c r="AJ769" i="17"/>
  <c r="AM769" i="17" s="1"/>
  <c r="W472" i="5"/>
  <c r="BI772" i="17"/>
  <c r="BL772" i="17" s="1"/>
  <c r="W474" i="5"/>
  <c r="BI774" i="17"/>
  <c r="BL774" i="17" s="1"/>
  <c r="W477" i="5"/>
  <c r="BI777" i="17"/>
  <c r="BL777" i="17" s="1"/>
  <c r="W480" i="5"/>
  <c r="BI780" i="17"/>
  <c r="BL780" i="17" s="1"/>
  <c r="O483" i="5"/>
  <c r="AO783" i="17"/>
  <c r="AR783" i="17" s="1"/>
  <c r="W485" i="5"/>
  <c r="BI785" i="17"/>
  <c r="BL785" i="17" s="1"/>
  <c r="W488" i="5"/>
  <c r="BI788" i="17"/>
  <c r="BL788" i="17" s="1"/>
  <c r="W490" i="5"/>
  <c r="BI790" i="17"/>
  <c r="BL790" i="17" s="1"/>
  <c r="M493" i="5"/>
  <c r="AJ793" i="17"/>
  <c r="AM793" i="17" s="1"/>
  <c r="W494" i="5"/>
  <c r="BI794" i="17"/>
  <c r="BL794" i="17" s="1"/>
  <c r="W498" i="5"/>
  <c r="BI798" i="17"/>
  <c r="BL798" i="17" s="1"/>
  <c r="W501" i="5"/>
  <c r="BI801" i="17"/>
  <c r="BL801" i="17" s="1"/>
  <c r="O504" i="5"/>
  <c r="AO804" i="17"/>
  <c r="AR804" i="17" s="1"/>
  <c r="W506" i="5"/>
  <c r="BI806" i="17"/>
  <c r="BL806" i="17" s="1"/>
  <c r="W509" i="5"/>
  <c r="BI809" i="17"/>
  <c r="BL809" i="17" s="1"/>
  <c r="W511" i="5"/>
  <c r="BI811" i="17"/>
  <c r="BL811" i="17" s="1"/>
  <c r="O514" i="5"/>
  <c r="AO814" i="17"/>
  <c r="AR814" i="17" s="1"/>
  <c r="M516" i="5"/>
  <c r="AJ816" i="17"/>
  <c r="AM816" i="17" s="1"/>
  <c r="W519" i="5"/>
  <c r="BI819" i="17"/>
  <c r="BL819" i="17" s="1"/>
  <c r="M522" i="5"/>
  <c r="AJ822" i="17"/>
  <c r="AM822" i="17" s="1"/>
  <c r="W523" i="5"/>
  <c r="BI823" i="17"/>
  <c r="BL823" i="17" s="1"/>
  <c r="W525" i="5"/>
  <c r="BI825" i="17"/>
  <c r="BL825" i="17" s="1"/>
  <c r="W529" i="5"/>
  <c r="BI829" i="17"/>
  <c r="BL829" i="17" s="1"/>
  <c r="Q531" i="5"/>
  <c r="AT831" i="17"/>
  <c r="AW831" i="17" s="1"/>
  <c r="W533" i="5"/>
  <c r="BI833" i="17"/>
  <c r="BL833" i="17" s="1"/>
  <c r="M536" i="5"/>
  <c r="AJ836" i="17"/>
  <c r="AM836" i="17" s="1"/>
  <c r="W538" i="5"/>
  <c r="BI838" i="17"/>
  <c r="BL838" i="17" s="1"/>
  <c r="W540" i="5"/>
  <c r="BI840" i="17"/>
  <c r="BL840" i="17" s="1"/>
  <c r="W544" i="5"/>
  <c r="BI844" i="17"/>
  <c r="BL844" i="17" s="1"/>
  <c r="W547" i="5"/>
  <c r="BI847" i="17"/>
  <c r="BL847" i="17" s="1"/>
  <c r="W549" i="5"/>
  <c r="BI849" i="17"/>
  <c r="BL849" i="17" s="1"/>
  <c r="W551" i="5"/>
  <c r="BI851" i="17"/>
  <c r="BL851" i="17" s="1"/>
  <c r="W554" i="5"/>
  <c r="BI854" i="17"/>
  <c r="BL854" i="17" s="1"/>
  <c r="M558" i="5"/>
  <c r="AJ858" i="17"/>
  <c r="AM858" i="17" s="1"/>
  <c r="W560" i="5"/>
  <c r="BI860" i="17"/>
  <c r="BL860" i="17" s="1"/>
  <c r="W563" i="5"/>
  <c r="BI863" i="17"/>
  <c r="BL863" i="17" s="1"/>
  <c r="W566" i="5"/>
  <c r="BI866" i="17"/>
  <c r="BL866" i="17" s="1"/>
  <c r="W569" i="5"/>
  <c r="BI869" i="17"/>
  <c r="BL869" i="17" s="1"/>
  <c r="W571" i="5"/>
  <c r="W575" i="5"/>
  <c r="BI875" i="17"/>
  <c r="BL875" i="17" s="1"/>
  <c r="M578" i="5"/>
  <c r="AJ878" i="17"/>
  <c r="AM878" i="17" s="1"/>
  <c r="W579" i="5"/>
  <c r="BI879" i="17"/>
  <c r="BL879" i="17" s="1"/>
  <c r="M583" i="5"/>
  <c r="AJ883" i="17"/>
  <c r="AM883" i="17" s="1"/>
  <c r="W585" i="5"/>
  <c r="BI885" i="17"/>
  <c r="BL885" i="17" s="1"/>
  <c r="W588" i="5"/>
  <c r="BI888" i="17"/>
  <c r="BL888" i="17" s="1"/>
  <c r="W591" i="5"/>
  <c r="BI891" i="17"/>
  <c r="BL891" i="17" s="1"/>
  <c r="W594" i="5"/>
  <c r="BI894" i="17"/>
  <c r="BL894" i="17" s="1"/>
  <c r="W596" i="5"/>
  <c r="BI896" i="17"/>
  <c r="BL896" i="17" s="1"/>
  <c r="W599" i="5"/>
  <c r="BI899" i="17"/>
  <c r="BL899" i="17" s="1"/>
  <c r="U601" i="5"/>
  <c r="BD901" i="17"/>
  <c r="BG901" i="17" s="1"/>
  <c r="Q602" i="5"/>
  <c r="AT902" i="17"/>
  <c r="AW902" i="17" s="1"/>
  <c r="W604" i="5"/>
  <c r="BI904" i="17"/>
  <c r="BL904" i="17" s="1"/>
  <c r="W607" i="5"/>
  <c r="BI907" i="17"/>
  <c r="BL907" i="17" s="1"/>
  <c r="W610" i="5"/>
  <c r="BI910" i="17"/>
  <c r="BL910" i="17" s="1"/>
  <c r="W612" i="5"/>
  <c r="BI912" i="17"/>
  <c r="BL912" i="17" s="1"/>
  <c r="M615" i="5"/>
  <c r="AJ915" i="17"/>
  <c r="AM915" i="17" s="1"/>
  <c r="W617" i="5"/>
  <c r="BI917" i="17"/>
  <c r="BL917" i="17" s="1"/>
  <c r="M620" i="5"/>
  <c r="AJ920" i="17"/>
  <c r="AM920" i="17" s="1"/>
  <c r="M622" i="5"/>
  <c r="AJ922" i="17"/>
  <c r="AM922" i="17" s="1"/>
  <c r="M625" i="5"/>
  <c r="AJ925" i="17"/>
  <c r="AM925" i="17" s="1"/>
  <c r="W628" i="5"/>
  <c r="BI928" i="17"/>
  <c r="BL928" i="17" s="1"/>
  <c r="W631" i="5"/>
  <c r="BI931" i="17"/>
  <c r="BL931" i="17" s="1"/>
  <c r="W633" i="5"/>
  <c r="BI933" i="17"/>
  <c r="BL933" i="17" s="1"/>
  <c r="W636" i="5"/>
  <c r="BI936" i="17"/>
  <c r="BL936" i="17" s="1"/>
  <c r="W639" i="5"/>
  <c r="BI939" i="17"/>
  <c r="BL939" i="17" s="1"/>
  <c r="W642" i="5"/>
  <c r="BI942" i="17"/>
  <c r="BL942" i="17" s="1"/>
  <c r="M645" i="5"/>
  <c r="AJ945" i="17"/>
  <c r="AM945" i="17" s="1"/>
  <c r="M647" i="5"/>
  <c r="AJ947" i="17"/>
  <c r="AM947" i="17" s="1"/>
  <c r="W648" i="5"/>
  <c r="BI948" i="17"/>
  <c r="BL948" i="17" s="1"/>
  <c r="U651" i="5"/>
  <c r="BD951" i="17"/>
  <c r="BG951" i="17" s="1"/>
  <c r="W654" i="5"/>
  <c r="BI954" i="17"/>
  <c r="BL954" i="17" s="1"/>
  <c r="W657" i="5"/>
  <c r="BI957" i="17"/>
  <c r="BL957" i="17" s="1"/>
  <c r="W660" i="5"/>
  <c r="BI960" i="17"/>
  <c r="BL960" i="17" s="1"/>
  <c r="W663" i="5"/>
  <c r="BI963" i="17"/>
  <c r="BL963" i="17" s="1"/>
  <c r="W665" i="5"/>
  <c r="BI965" i="17"/>
  <c r="BL965" i="17" s="1"/>
  <c r="W668" i="5"/>
  <c r="BI968" i="17"/>
  <c r="BL968" i="17" s="1"/>
  <c r="W671" i="5"/>
  <c r="BI971" i="17"/>
  <c r="BL971" i="17" s="1"/>
  <c r="W674" i="5"/>
  <c r="BI974" i="17"/>
  <c r="BL974" i="17" s="1"/>
  <c r="M677" i="5"/>
  <c r="AJ977" i="17"/>
  <c r="AM977" i="17" s="1"/>
  <c r="M680" i="5"/>
  <c r="AJ980" i="17"/>
  <c r="AM980" i="17" s="1"/>
  <c r="W683" i="5"/>
  <c r="BI983" i="17"/>
  <c r="BL983" i="17" s="1"/>
  <c r="W685" i="5"/>
  <c r="BI985" i="17"/>
  <c r="BL985" i="17" s="1"/>
  <c r="W688" i="5"/>
  <c r="BI988" i="17"/>
  <c r="BL988" i="17" s="1"/>
  <c r="W691" i="5"/>
  <c r="BI991" i="17"/>
  <c r="BL991" i="17" s="1"/>
  <c r="M694" i="5"/>
  <c r="AJ994" i="17"/>
  <c r="AM994" i="17" s="1"/>
  <c r="W696" i="5"/>
  <c r="BI996" i="17"/>
  <c r="BL996" i="17" s="1"/>
  <c r="W699" i="5"/>
  <c r="BI999" i="17"/>
  <c r="BL999" i="17" s="1"/>
  <c r="W702" i="5"/>
  <c r="BI1002" i="17"/>
  <c r="BL1002" i="17" s="1"/>
  <c r="W705" i="5"/>
  <c r="BI1005" i="17"/>
  <c r="BL1005" i="17" s="1"/>
  <c r="W708" i="5"/>
  <c r="BI1008" i="17"/>
  <c r="BL1008" i="17" s="1"/>
  <c r="W711" i="5"/>
  <c r="BI1011" i="17"/>
  <c r="BL1011" i="17" s="1"/>
  <c r="W714" i="5"/>
  <c r="BI1014" i="17"/>
  <c r="BL1014" i="17" s="1"/>
  <c r="M718" i="5"/>
  <c r="AJ1018" i="17"/>
  <c r="AM1018" i="17" s="1"/>
  <c r="W720" i="5"/>
  <c r="BI1020" i="17"/>
  <c r="BL1020" i="17" s="1"/>
  <c r="M724" i="5"/>
  <c r="AJ1024" i="17"/>
  <c r="AM1024" i="17" s="1"/>
  <c r="W726" i="5"/>
  <c r="BI1026" i="17"/>
  <c r="BL1026" i="17" s="1"/>
  <c r="W729" i="5"/>
  <c r="BI1029" i="17"/>
  <c r="BL1029" i="17" s="1"/>
  <c r="W732" i="5"/>
  <c r="BI1032" i="17"/>
  <c r="BL1032" i="17" s="1"/>
  <c r="W735" i="5"/>
  <c r="BI1035" i="17"/>
  <c r="BL1035" i="17" s="1"/>
  <c r="W738" i="5"/>
  <c r="BI1038" i="17"/>
  <c r="BL1038" i="17" s="1"/>
  <c r="M741" i="5"/>
  <c r="AJ1041" i="17"/>
  <c r="AM1041" i="17" s="1"/>
  <c r="W744" i="5"/>
  <c r="BI1044" i="17"/>
  <c r="BL1044" i="17" s="1"/>
  <c r="W747" i="5"/>
  <c r="BI1047" i="17"/>
  <c r="BL1047" i="17" s="1"/>
  <c r="W750" i="5"/>
  <c r="BI1050" i="17"/>
  <c r="BL1050" i="17" s="1"/>
  <c r="W753" i="5"/>
  <c r="BI1053" i="17"/>
  <c r="BL1053" i="17" s="1"/>
  <c r="W756" i="5"/>
  <c r="W759" i="5"/>
  <c r="BI1059" i="17"/>
  <c r="BL1059" i="17" s="1"/>
  <c r="W762" i="5"/>
  <c r="BI1062" i="17"/>
  <c r="BL1062" i="17" s="1"/>
  <c r="M765" i="5"/>
  <c r="AJ1065" i="17"/>
  <c r="AM1065" i="17" s="1"/>
  <c r="W768" i="5"/>
  <c r="BI1068" i="17"/>
  <c r="BL1068" i="17" s="1"/>
  <c r="W772" i="5"/>
  <c r="BI1072" i="17"/>
  <c r="BL1072" i="17" s="1"/>
  <c r="Q776" i="5"/>
  <c r="AT1076" i="17"/>
  <c r="AW1076" i="17" s="1"/>
  <c r="Q779" i="5"/>
  <c r="AT1079" i="17"/>
  <c r="AW1079" i="17" s="1"/>
  <c r="W782" i="5"/>
  <c r="BI1082" i="17"/>
  <c r="BL1082" i="17" s="1"/>
  <c r="W786" i="5"/>
  <c r="BI1086" i="17"/>
  <c r="BL1086" i="17" s="1"/>
  <c r="W790" i="5"/>
  <c r="BI1090" i="17"/>
  <c r="BL1090" i="17" s="1"/>
  <c r="Q794" i="5"/>
  <c r="AT1094" i="17"/>
  <c r="AW1094" i="17" s="1"/>
  <c r="W797" i="5"/>
  <c r="BI1097" i="17"/>
  <c r="BL1097" i="17" s="1"/>
  <c r="W801" i="5"/>
  <c r="BI1101" i="17"/>
  <c r="BL1101" i="17" s="1"/>
  <c r="W805" i="5"/>
  <c r="BI1105" i="17"/>
  <c r="BL1105" i="17" s="1"/>
  <c r="W809" i="5"/>
  <c r="BI1109" i="17"/>
  <c r="BL1109" i="17" s="1"/>
  <c r="W813" i="5"/>
  <c r="BI1113" i="17"/>
  <c r="BL1113" i="17" s="1"/>
  <c r="W816" i="5"/>
  <c r="BI1116" i="17"/>
  <c r="BL1116" i="17" s="1"/>
  <c r="W820" i="5"/>
  <c r="BI1120" i="17"/>
  <c r="BL1120" i="17" s="1"/>
  <c r="W824" i="5"/>
  <c r="BI1124" i="17"/>
  <c r="BL1124" i="17" s="1"/>
  <c r="W828" i="5"/>
  <c r="BI1128" i="17"/>
  <c r="BL1128" i="17" s="1"/>
  <c r="W832" i="5"/>
  <c r="BI1132" i="17"/>
  <c r="BL1132" i="17" s="1"/>
  <c r="W835" i="5"/>
  <c r="BI1135" i="17"/>
  <c r="BL1135" i="17" s="1"/>
  <c r="M839" i="5"/>
  <c r="AJ1139" i="17"/>
  <c r="AM1139" i="17" s="1"/>
  <c r="W841" i="5"/>
  <c r="BI1141" i="17"/>
  <c r="BL1141" i="17" s="1"/>
  <c r="W845" i="5"/>
  <c r="BI1145" i="17"/>
  <c r="BL1145" i="17" s="1"/>
  <c r="W848" i="5"/>
  <c r="BI1148" i="17"/>
  <c r="BL1148" i="17" s="1"/>
  <c r="W851" i="5"/>
  <c r="BI1151" i="17"/>
  <c r="BL1151" i="17" s="1"/>
  <c r="W854" i="5"/>
  <c r="BI1154" i="17"/>
  <c r="BL1154" i="17" s="1"/>
  <c r="W858" i="5"/>
  <c r="BI1158" i="17"/>
  <c r="BL1158" i="17" s="1"/>
  <c r="W862" i="5"/>
  <c r="BI1162" i="17"/>
  <c r="BL1162" i="17" s="1"/>
  <c r="W865" i="5"/>
  <c r="BI1165" i="17"/>
  <c r="BL1165" i="17" s="1"/>
  <c r="S778" i="5"/>
  <c r="AY1078" i="17"/>
  <c r="BB1078" i="17" s="1"/>
  <c r="U6" i="5"/>
  <c r="BD6" i="17"/>
  <c r="BG6" i="17" s="1"/>
  <c r="W10" i="5"/>
  <c r="BI10" i="17"/>
  <c r="BL10" i="17" s="1"/>
  <c r="BI11" i="17"/>
  <c r="BL11" i="17" s="1"/>
  <c r="Q14" i="5"/>
  <c r="AT15" i="17"/>
  <c r="AW15" i="17" s="1"/>
  <c r="M18" i="5"/>
  <c r="AJ19" i="17" s="1"/>
  <c r="AM19" i="17" s="1"/>
  <c r="O21" i="5"/>
  <c r="AO22" i="17" s="1"/>
  <c r="AR22" i="17" s="1"/>
  <c r="Q24" i="5"/>
  <c r="AT25" i="17"/>
  <c r="AW25" i="17" s="1"/>
  <c r="Q27" i="5"/>
  <c r="AT28" i="17"/>
  <c r="AW28" i="17" s="1"/>
  <c r="W30" i="5"/>
  <c r="BI31" i="17"/>
  <c r="BL31" i="17" s="1"/>
  <c r="W34" i="5"/>
  <c r="BI35" i="17"/>
  <c r="BL35" i="17" s="1"/>
  <c r="Q38" i="5"/>
  <c r="AT39" i="17"/>
  <c r="AW39" i="17" s="1"/>
  <c r="M41" i="5"/>
  <c r="AJ42" i="17" s="1"/>
  <c r="AM42" i="17" s="1"/>
  <c r="Q42" i="5"/>
  <c r="AT43" i="17"/>
  <c r="AW43" i="17" s="1"/>
  <c r="W45" i="5"/>
  <c r="BI46" i="17"/>
  <c r="BL46" i="17" s="1"/>
  <c r="M53" i="5"/>
  <c r="AJ54" i="17" s="1"/>
  <c r="AM54" i="17" s="1"/>
  <c r="W56" i="5"/>
  <c r="BI57" i="17"/>
  <c r="BL57" i="17" s="1"/>
  <c r="W61" i="5"/>
  <c r="BI62" i="17"/>
  <c r="BL62" i="17" s="1"/>
  <c r="Q65" i="5"/>
  <c r="AT66" i="17"/>
  <c r="AW66" i="17" s="1"/>
  <c r="Q69" i="5"/>
  <c r="AT70" i="17"/>
  <c r="AW70" i="17" s="1"/>
  <c r="Q72" i="5"/>
  <c r="AT73" i="17"/>
  <c r="AW73" i="17" s="1"/>
  <c r="W75" i="5"/>
  <c r="BI76" i="17"/>
  <c r="BL76" i="17" s="1"/>
  <c r="Q79" i="5"/>
  <c r="AT80" i="17"/>
  <c r="AW80" i="17" s="1"/>
  <c r="Q83" i="5"/>
  <c r="AT84" i="17"/>
  <c r="AW84" i="17" s="1"/>
  <c r="W86" i="5"/>
  <c r="BI87" i="17"/>
  <c r="BL87" i="17" s="1"/>
  <c r="BI386" i="17"/>
  <c r="BL386" i="17" s="1"/>
  <c r="M90" i="5"/>
  <c r="AJ91" i="17" s="1"/>
  <c r="AM91" i="17" s="1"/>
  <c r="M93" i="5"/>
  <c r="AJ94" i="17" s="1"/>
  <c r="AM94" i="17" s="1"/>
  <c r="O96" i="5"/>
  <c r="AO396" i="17" s="1"/>
  <c r="AR396" i="17" s="1"/>
  <c r="W100" i="5"/>
  <c r="BI101" i="17"/>
  <c r="BL101" i="17" s="1"/>
  <c r="BI400" i="17"/>
  <c r="BL400" i="17" s="1"/>
  <c r="W105" i="5"/>
  <c r="BI106" i="17"/>
  <c r="BL106" i="17" s="1"/>
  <c r="BI405" i="17"/>
  <c r="BL405" i="17" s="1"/>
  <c r="M113" i="5"/>
  <c r="AJ114" i="17" s="1"/>
  <c r="AM114" i="17" s="1"/>
  <c r="W116" i="5"/>
  <c r="BI117" i="17"/>
  <c r="BL117" i="17" s="1"/>
  <c r="BI416" i="17"/>
  <c r="BL416" i="17" s="1"/>
  <c r="W121" i="5"/>
  <c r="BI122" i="17"/>
  <c r="BL122" i="17" s="1"/>
  <c r="BI421" i="17"/>
  <c r="BL421" i="17" s="1"/>
  <c r="W126" i="5"/>
  <c r="BI127" i="17"/>
  <c r="BL127" i="17" s="1"/>
  <c r="BI426" i="17"/>
  <c r="BL426" i="17" s="1"/>
  <c r="U129" i="5"/>
  <c r="BD130" i="17"/>
  <c r="BG130" i="17" s="1"/>
  <c r="BD429" i="17"/>
  <c r="BG429" i="17" s="1"/>
  <c r="M133" i="5"/>
  <c r="AJ433" i="17" s="1"/>
  <c r="AM433" i="17" s="1"/>
  <c r="O137" i="5"/>
  <c r="AO138" i="17" s="1"/>
  <c r="AR138" i="17" s="1"/>
  <c r="W141" i="5"/>
  <c r="BI142" i="17"/>
  <c r="BL142" i="17" s="1"/>
  <c r="BI441" i="17"/>
  <c r="BL441" i="17" s="1"/>
  <c r="Q145" i="5"/>
  <c r="AT146" i="17"/>
  <c r="AW146" i="17" s="1"/>
  <c r="AT445" i="17"/>
  <c r="AW445" i="17" s="1"/>
  <c r="W149" i="5"/>
  <c r="BI150" i="17"/>
  <c r="BL150" i="17" s="1"/>
  <c r="BI449" i="17"/>
  <c r="BL449" i="17" s="1"/>
  <c r="W154" i="5"/>
  <c r="BI155" i="17"/>
  <c r="BL155" i="17" s="1"/>
  <c r="BI454" i="17"/>
  <c r="BL454" i="17" s="1"/>
  <c r="W159" i="5"/>
  <c r="BI160" i="17"/>
  <c r="BL160" i="17" s="1"/>
  <c r="BI459" i="17"/>
  <c r="BL459" i="17" s="1"/>
  <c r="Q164" i="5"/>
  <c r="AT165" i="17"/>
  <c r="AW165" i="17" s="1"/>
  <c r="AT464" i="17"/>
  <c r="AW464" i="17" s="1"/>
  <c r="W168" i="5"/>
  <c r="BI169" i="17"/>
  <c r="BL169" i="17" s="1"/>
  <c r="BI468" i="17"/>
  <c r="BL468" i="17" s="1"/>
  <c r="M173" i="5"/>
  <c r="AJ174" i="17"/>
  <c r="AM174" i="17" s="1"/>
  <c r="AJ473" i="17"/>
  <c r="AM473" i="17" s="1"/>
  <c r="W175" i="5"/>
  <c r="BI176" i="17"/>
  <c r="BL176" i="17" s="1"/>
  <c r="BI475" i="17"/>
  <c r="BL475" i="17" s="1"/>
  <c r="BI180" i="17"/>
  <c r="BL180" i="17" s="1"/>
  <c r="BI479" i="17"/>
  <c r="BL479" i="17" s="1"/>
  <c r="O182" i="5"/>
  <c r="AO183" i="17" s="1"/>
  <c r="AR183" i="17" s="1"/>
  <c r="W185" i="5"/>
  <c r="BI186" i="17"/>
  <c r="BL186" i="17" s="1"/>
  <c r="BI485" i="17"/>
  <c r="BL485" i="17" s="1"/>
  <c r="W189" i="5"/>
  <c r="BI190" i="17"/>
  <c r="BL190" i="17" s="1"/>
  <c r="BI489" i="17"/>
  <c r="BL489" i="17" s="1"/>
  <c r="M194" i="5"/>
  <c r="AJ195" i="17"/>
  <c r="AM195" i="17" s="1"/>
  <c r="AJ494" i="17"/>
  <c r="AM494" i="17" s="1"/>
  <c r="O198" i="5"/>
  <c r="AO199" i="17" s="1"/>
  <c r="AR199" i="17" s="1"/>
  <c r="Q202" i="5"/>
  <c r="AT203" i="17"/>
  <c r="AW203" i="17" s="1"/>
  <c r="AT502" i="17"/>
  <c r="AW502" i="17" s="1"/>
  <c r="O206" i="5"/>
  <c r="AO207" i="17" s="1"/>
  <c r="AR207" i="17" s="1"/>
  <c r="Q211" i="5"/>
  <c r="AT212" i="17"/>
  <c r="AW212" i="17" s="1"/>
  <c r="AT511" i="17"/>
  <c r="AW511" i="17" s="1"/>
  <c r="M216" i="5"/>
  <c r="AJ217" i="17"/>
  <c r="AM217" i="17" s="1"/>
  <c r="AJ516" i="17"/>
  <c r="AM516" i="17" s="1"/>
  <c r="Q220" i="5"/>
  <c r="AT221" i="17"/>
  <c r="AW221" i="17" s="1"/>
  <c r="AT520" i="17"/>
  <c r="AW520" i="17" s="1"/>
  <c r="O227" i="5"/>
  <c r="AO228" i="17" s="1"/>
  <c r="AR228" i="17" s="1"/>
  <c r="W232" i="5"/>
  <c r="BI233" i="17"/>
  <c r="BL233" i="17" s="1"/>
  <c r="BI532" i="17"/>
  <c r="BL532" i="17" s="1"/>
  <c r="W235" i="5"/>
  <c r="BI236" i="17"/>
  <c r="BL236" i="17" s="1"/>
  <c r="BI535" i="17"/>
  <c r="BL535" i="17" s="1"/>
  <c r="Q239" i="5"/>
  <c r="AT240" i="17"/>
  <c r="AW240" i="17" s="1"/>
  <c r="AT539" i="17"/>
  <c r="AW539" i="17" s="1"/>
  <c r="W242" i="5"/>
  <c r="BI243" i="17"/>
  <c r="BL243" i="17" s="1"/>
  <c r="BI542" i="17"/>
  <c r="BL542" i="17" s="1"/>
  <c r="O249" i="5"/>
  <c r="AO549" i="17" s="1"/>
  <c r="AR549" i="17" s="1"/>
  <c r="AO250" i="17"/>
  <c r="AR250" i="17" s="1"/>
  <c r="W253" i="5"/>
  <c r="BI254" i="17"/>
  <c r="BL254" i="17" s="1"/>
  <c r="BI553" i="17"/>
  <c r="BL553" i="17" s="1"/>
  <c r="W256" i="5"/>
  <c r="BI257" i="17"/>
  <c r="BL257" i="17" s="1"/>
  <c r="BI556" i="17"/>
  <c r="BL556" i="17" s="1"/>
  <c r="W260" i="5"/>
  <c r="BI261" i="17"/>
  <c r="BL261" i="17" s="1"/>
  <c r="BI560" i="17"/>
  <c r="BL560" i="17" s="1"/>
  <c r="M265" i="5"/>
  <c r="AJ266" i="17"/>
  <c r="AM266" i="17" s="1"/>
  <c r="AJ565" i="17"/>
  <c r="AM565" i="17" s="1"/>
  <c r="M269" i="5"/>
  <c r="AJ270" i="17"/>
  <c r="AM270" i="17" s="1"/>
  <c r="AJ569" i="17"/>
  <c r="AM569" i="17" s="1"/>
  <c r="W273" i="5"/>
  <c r="BI274" i="17"/>
  <c r="BL274" i="17" s="1"/>
  <c r="BI573" i="17"/>
  <c r="BL573" i="17" s="1"/>
  <c r="W279" i="5"/>
  <c r="BI280" i="17"/>
  <c r="BL280" i="17" s="1"/>
  <c r="BI579" i="17"/>
  <c r="BL579" i="17" s="1"/>
  <c r="M285" i="5"/>
  <c r="AJ286" i="17"/>
  <c r="AM286" i="17" s="1"/>
  <c r="AJ585" i="17"/>
  <c r="AM585" i="17" s="1"/>
  <c r="M288" i="5"/>
  <c r="AJ289" i="17"/>
  <c r="AM289" i="17" s="1"/>
  <c r="AJ588" i="17"/>
  <c r="AM588" i="17" s="1"/>
  <c r="M290" i="5"/>
  <c r="AJ291" i="17"/>
  <c r="AM291" i="17" s="1"/>
  <c r="AJ590" i="17"/>
  <c r="AM590" i="17" s="1"/>
  <c r="M294" i="5"/>
  <c r="AJ295" i="17"/>
  <c r="AM295" i="17" s="1"/>
  <c r="AJ594" i="17"/>
  <c r="AM594" i="17" s="1"/>
  <c r="M298" i="5"/>
  <c r="AJ299" i="17"/>
  <c r="AM299" i="17" s="1"/>
  <c r="AJ598" i="17"/>
  <c r="AM598" i="17" s="1"/>
  <c r="Q303" i="5"/>
  <c r="AT304" i="17"/>
  <c r="AW304" i="17" s="1"/>
  <c r="AT603" i="17"/>
  <c r="AW603" i="17" s="1"/>
  <c r="W305" i="5"/>
  <c r="BI306" i="17"/>
  <c r="BL306" i="17" s="1"/>
  <c r="BI605" i="17"/>
  <c r="BL605" i="17" s="1"/>
  <c r="Q308" i="5"/>
  <c r="AT309" i="17"/>
  <c r="AW309" i="17" s="1"/>
  <c r="AT608" i="17"/>
  <c r="AW608" i="17" s="1"/>
  <c r="W313" i="5"/>
  <c r="BI314" i="17"/>
  <c r="BL314" i="17" s="1"/>
  <c r="BI613" i="17"/>
  <c r="BL613" i="17" s="1"/>
  <c r="W318" i="5"/>
  <c r="BI319" i="17"/>
  <c r="BL319" i="17" s="1"/>
  <c r="BI618" i="17"/>
  <c r="BL618" i="17" s="1"/>
  <c r="Q325" i="5"/>
  <c r="AT326" i="17"/>
  <c r="AW326" i="17" s="1"/>
  <c r="AT625" i="17"/>
  <c r="AW625" i="17" s="1"/>
  <c r="W330" i="5"/>
  <c r="BI331" i="17"/>
  <c r="BL331" i="17" s="1"/>
  <c r="BI630" i="17"/>
  <c r="BL630" i="17" s="1"/>
  <c r="W335" i="5"/>
  <c r="BI336" i="17"/>
  <c r="BL336" i="17" s="1"/>
  <c r="BI635" i="17"/>
  <c r="BL635" i="17" s="1"/>
  <c r="S341" i="5"/>
  <c r="AY342" i="17"/>
  <c r="BB342" i="17" s="1"/>
  <c r="AY641" i="17"/>
  <c r="BB641" i="17" s="1"/>
  <c r="M345" i="5"/>
  <c r="AJ346" i="17"/>
  <c r="AM346" i="17" s="1"/>
  <c r="AJ645" i="17"/>
  <c r="AM645" i="17" s="1"/>
  <c r="O351" i="5"/>
  <c r="AO352" i="17" s="1"/>
  <c r="AR352" i="17" s="1"/>
  <c r="AO651" i="17"/>
  <c r="AR651" i="17" s="1"/>
  <c r="W357" i="5"/>
  <c r="BI358" i="17"/>
  <c r="BL358" i="17" s="1"/>
  <c r="BI657" i="17"/>
  <c r="BL657" i="17" s="1"/>
  <c r="W362" i="5"/>
  <c r="BI363" i="17"/>
  <c r="BL363" i="17" s="1"/>
  <c r="BI662" i="17"/>
  <c r="BL662" i="17" s="1"/>
  <c r="W367" i="5"/>
  <c r="BI368" i="17"/>
  <c r="BL368" i="17" s="1"/>
  <c r="BI667" i="17"/>
  <c r="BL667" i="17" s="1"/>
  <c r="W370" i="5"/>
  <c r="BI371" i="17"/>
  <c r="BL371" i="17" s="1"/>
  <c r="BI670" i="17"/>
  <c r="BL670" i="17" s="1"/>
  <c r="W375" i="5"/>
  <c r="BI376" i="17"/>
  <c r="BL376" i="17" s="1"/>
  <c r="BI675" i="17"/>
  <c r="BL675" i="17" s="1"/>
  <c r="W379" i="5"/>
  <c r="BI380" i="17"/>
  <c r="BL380" i="17" s="1"/>
  <c r="BI679" i="17"/>
  <c r="BL679" i="17" s="1"/>
  <c r="O384" i="5"/>
  <c r="AO684" i="17" s="1"/>
  <c r="AR684" i="17" s="1"/>
  <c r="W390" i="5"/>
  <c r="BI690" i="17"/>
  <c r="BL690" i="17" s="1"/>
  <c r="W403" i="5"/>
  <c r="BI703" i="17"/>
  <c r="BL703" i="17" s="1"/>
  <c r="W409" i="5"/>
  <c r="BI709" i="17"/>
  <c r="BL709" i="17" s="1"/>
  <c r="W415" i="5"/>
  <c r="BI715" i="17"/>
  <c r="BL715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M439" i="5"/>
  <c r="AJ739" i="17"/>
  <c r="AM739" i="17" s="1"/>
  <c r="W443" i="5"/>
  <c r="BI743" i="17"/>
  <c r="BL743" i="17" s="1"/>
  <c r="W447" i="5"/>
  <c r="BI747" i="17"/>
  <c r="BL747" i="17" s="1"/>
  <c r="M452" i="5"/>
  <c r="AJ752" i="17"/>
  <c r="AM752" i="17" s="1"/>
  <c r="W456" i="5"/>
  <c r="BI756" i="17"/>
  <c r="BL756" i="17" s="1"/>
  <c r="W462" i="5"/>
  <c r="BI762" i="17"/>
  <c r="BL762" i="17" s="1"/>
  <c r="W473" i="5"/>
  <c r="BI773" i="17"/>
  <c r="BL773" i="17" s="1"/>
  <c r="M478" i="5"/>
  <c r="AJ778" i="17"/>
  <c r="AM778" i="17" s="1"/>
  <c r="W483" i="5"/>
  <c r="BI783" i="17"/>
  <c r="BL783" i="17" s="1"/>
  <c r="M489" i="5"/>
  <c r="AJ789" i="17"/>
  <c r="AM789" i="17" s="1"/>
  <c r="O493" i="5"/>
  <c r="AO793" i="17"/>
  <c r="AR793" i="17" s="1"/>
  <c r="W502" i="5"/>
  <c r="BI802" i="17"/>
  <c r="BL802" i="17" s="1"/>
  <c r="M510" i="5"/>
  <c r="AJ810" i="17"/>
  <c r="AM810" i="17" s="1"/>
  <c r="W526" i="5"/>
  <c r="BI826" i="17"/>
  <c r="BL826" i="17" s="1"/>
  <c r="W531" i="5"/>
  <c r="BI831" i="17"/>
  <c r="BL831" i="17" s="1"/>
  <c r="W536" i="5"/>
  <c r="BI836" i="17"/>
  <c r="BL836" i="17" s="1"/>
  <c r="W541" i="5"/>
  <c r="BI841" i="17"/>
  <c r="BL841" i="17" s="1"/>
  <c r="M548" i="5"/>
  <c r="AJ848" i="17"/>
  <c r="AM848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70" i="5"/>
  <c r="BI870" i="17"/>
  <c r="BL870" i="17" s="1"/>
  <c r="M576" i="5"/>
  <c r="AJ876" i="17"/>
  <c r="AM876" i="17" s="1"/>
  <c r="W580" i="5"/>
  <c r="BI880" i="17"/>
  <c r="BL880" i="17" s="1"/>
  <c r="W586" i="5"/>
  <c r="BI886" i="17"/>
  <c r="BL886" i="17" s="1"/>
  <c r="W592" i="5"/>
  <c r="BI892" i="17"/>
  <c r="BL892" i="17" s="1"/>
  <c r="W597" i="5"/>
  <c r="BI897" i="17"/>
  <c r="BL897" i="17" s="1"/>
  <c r="W601" i="5"/>
  <c r="BI901" i="17"/>
  <c r="BL901" i="17" s="1"/>
  <c r="W605" i="5"/>
  <c r="BI905" i="17"/>
  <c r="BL905" i="17" s="1"/>
  <c r="M611" i="5"/>
  <c r="AJ911" i="17"/>
  <c r="AM911" i="17" s="1"/>
  <c r="W615" i="5"/>
  <c r="BI915" i="17"/>
  <c r="BL915" i="17" s="1"/>
  <c r="O620" i="5"/>
  <c r="AO920" i="17"/>
  <c r="AR920" i="17" s="1"/>
  <c r="W625" i="5"/>
  <c r="BI925" i="17"/>
  <c r="BL925" i="17" s="1"/>
  <c r="O632" i="5"/>
  <c r="AO932" i="17"/>
  <c r="AR932" i="17" s="1"/>
  <c r="W637" i="5"/>
  <c r="BI937" i="17"/>
  <c r="BL937" i="17" s="1"/>
  <c r="W643" i="5"/>
  <c r="BI943" i="17"/>
  <c r="BL943" i="17" s="1"/>
  <c r="U647" i="5"/>
  <c r="BD947" i="17"/>
  <c r="BG947" i="17" s="1"/>
  <c r="W651" i="5"/>
  <c r="BI951" i="17"/>
  <c r="BL951" i="17" s="1"/>
  <c r="W658" i="5"/>
  <c r="BI958" i="17"/>
  <c r="BL958" i="17" s="1"/>
  <c r="W664" i="5"/>
  <c r="BI964" i="17"/>
  <c r="BL964" i="17" s="1"/>
  <c r="W669" i="5"/>
  <c r="BI969" i="17"/>
  <c r="BL969" i="17" s="1"/>
  <c r="Q675" i="5"/>
  <c r="AT975" i="17"/>
  <c r="AW975" i="17" s="1"/>
  <c r="W677" i="5"/>
  <c r="BI977" i="17"/>
  <c r="BL977" i="17" s="1"/>
  <c r="M684" i="5"/>
  <c r="AJ984" i="17"/>
  <c r="AM984" i="17" s="1"/>
  <c r="W689" i="5"/>
  <c r="BI989" i="17"/>
  <c r="BL989" i="17" s="1"/>
  <c r="W694" i="5"/>
  <c r="BI994" i="17"/>
  <c r="BL994" i="17" s="1"/>
  <c r="W700" i="5"/>
  <c r="BI1000" i="17"/>
  <c r="BL1000" i="17" s="1"/>
  <c r="W706" i="5"/>
  <c r="BI1006" i="17"/>
  <c r="BL1006" i="17" s="1"/>
  <c r="W712" i="5"/>
  <c r="BI1012" i="17"/>
  <c r="BL1012" i="17" s="1"/>
  <c r="W718" i="5"/>
  <c r="BI1018" i="17"/>
  <c r="BL1018" i="17" s="1"/>
  <c r="W724" i="5"/>
  <c r="BI1024" i="17"/>
  <c r="BL1024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M748" i="5"/>
  <c r="AJ1048" i="17"/>
  <c r="AM1048" i="17" s="1"/>
  <c r="W754" i="5"/>
  <c r="BI1054" i="17"/>
  <c r="BL1054" i="17" s="1"/>
  <c r="W760" i="5"/>
  <c r="BI1060" i="17"/>
  <c r="BL1060" i="17" s="1"/>
  <c r="W765" i="5"/>
  <c r="BI1065" i="17"/>
  <c r="BL1065" i="17" s="1"/>
  <c r="W773" i="5"/>
  <c r="BI1073" i="17"/>
  <c r="BL1073" i="17" s="1"/>
  <c r="W779" i="5"/>
  <c r="BI1079" i="17"/>
  <c r="BL1079" i="17" s="1"/>
  <c r="W787" i="5"/>
  <c r="BI1087" i="17"/>
  <c r="BL1087" i="17" s="1"/>
  <c r="W794" i="5"/>
  <c r="BI1094" i="17"/>
  <c r="BL1094" i="17" s="1"/>
  <c r="W798" i="5"/>
  <c r="BI1098" i="17"/>
  <c r="BL1098" i="17" s="1"/>
  <c r="W806" i="5"/>
  <c r="BI1106" i="17"/>
  <c r="BL1106" i="17" s="1"/>
  <c r="W814" i="5"/>
  <c r="BI1114" i="17"/>
  <c r="BL1114" i="17" s="1"/>
  <c r="W821" i="5"/>
  <c r="BI1121" i="17"/>
  <c r="BL1121" i="17" s="1"/>
  <c r="W829" i="5"/>
  <c r="BI1129" i="17"/>
  <c r="BL1129" i="17" s="1"/>
  <c r="W836" i="5"/>
  <c r="BI1136" i="17"/>
  <c r="BL1136" i="17" s="1"/>
  <c r="W842" i="5"/>
  <c r="BI1142" i="17"/>
  <c r="BL1142" i="17" s="1"/>
  <c r="W849" i="5"/>
  <c r="BI1149" i="17"/>
  <c r="BL1149" i="17" s="1"/>
  <c r="W855" i="5"/>
  <c r="BI1155" i="17"/>
  <c r="BL1155" i="17" s="1"/>
  <c r="W859" i="5"/>
  <c r="BI1159" i="17"/>
  <c r="BL1159" i="17" s="1"/>
  <c r="M864" i="5"/>
  <c r="AJ1164" i="17"/>
  <c r="AM1164" i="17" s="1"/>
  <c r="U822" i="5"/>
  <c r="BD1122" i="17"/>
  <c r="BG1122" i="17" s="1"/>
  <c r="Q2" i="5"/>
  <c r="AT2" i="17"/>
  <c r="AW2" i="17" s="1"/>
  <c r="O4" i="5"/>
  <c r="AO4" i="17" s="1"/>
  <c r="AR4" i="17" s="1"/>
  <c r="M11" i="5"/>
  <c r="AJ12" i="17" s="1"/>
  <c r="AM12" i="17" s="1"/>
  <c r="Q12" i="5"/>
  <c r="AT13" i="17"/>
  <c r="AW13" i="17" s="1"/>
  <c r="W14" i="5"/>
  <c r="BI15" i="17"/>
  <c r="BL15" i="17" s="1"/>
  <c r="Q16" i="5"/>
  <c r="AT17" i="17"/>
  <c r="AW17" i="17" s="1"/>
  <c r="Q18" i="5"/>
  <c r="AT19" i="17"/>
  <c r="AW19" i="17" s="1"/>
  <c r="Q20" i="5"/>
  <c r="AT21" i="17"/>
  <c r="AW21" i="17" s="1"/>
  <c r="W21" i="5"/>
  <c r="BI22" i="17"/>
  <c r="BL22" i="17" s="1"/>
  <c r="Q23" i="5"/>
  <c r="AT24" i="17"/>
  <c r="AW24" i="17" s="1"/>
  <c r="W24" i="5"/>
  <c r="BI25" i="17"/>
  <c r="BL25" i="17" s="1"/>
  <c r="Q26" i="5"/>
  <c r="AT27" i="17"/>
  <c r="AW27" i="17" s="1"/>
  <c r="W27" i="5"/>
  <c r="BI28" i="17"/>
  <c r="BL28" i="17" s="1"/>
  <c r="Q29" i="5"/>
  <c r="AT30" i="17"/>
  <c r="AW30" i="17" s="1"/>
  <c r="M31" i="5"/>
  <c r="AJ32" i="17" s="1"/>
  <c r="AM32" i="17" s="1"/>
  <c r="Q32" i="5"/>
  <c r="AT33" i="17"/>
  <c r="AW33" i="17" s="1"/>
  <c r="W33" i="5"/>
  <c r="BI34" i="17"/>
  <c r="BL34" i="17" s="1"/>
  <c r="Q35" i="5"/>
  <c r="AT36" i="17"/>
  <c r="AW36" i="17" s="1"/>
  <c r="Q37" i="5"/>
  <c r="AT38" i="17"/>
  <c r="AW38" i="17" s="1"/>
  <c r="W38" i="5"/>
  <c r="BI39" i="17"/>
  <c r="BL39" i="17" s="1"/>
  <c r="M40" i="5"/>
  <c r="AJ41" i="17" s="1"/>
  <c r="AM41" i="17" s="1"/>
  <c r="Q41" i="5"/>
  <c r="AT42" i="17"/>
  <c r="AW42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Q55" i="5"/>
  <c r="AT56" i="17"/>
  <c r="AW56" i="17" s="1"/>
  <c r="M57" i="5"/>
  <c r="AJ58" i="17"/>
  <c r="AM58" i="17" s="1"/>
  <c r="W58" i="5"/>
  <c r="BI59" i="17"/>
  <c r="BL59" i="17" s="1"/>
  <c r="Q60" i="5"/>
  <c r="AT61" i="17"/>
  <c r="AW61" i="17" s="1"/>
  <c r="Q62" i="5"/>
  <c r="AT63" i="17"/>
  <c r="AW63" i="17" s="1"/>
  <c r="Q64" i="5"/>
  <c r="AT65" i="17"/>
  <c r="AW65" i="17" s="1"/>
  <c r="W65" i="5"/>
  <c r="BI66" i="17"/>
  <c r="BL66" i="17" s="1"/>
  <c r="W67" i="5"/>
  <c r="BI68" i="17"/>
  <c r="BL68" i="17" s="1"/>
  <c r="W69" i="5"/>
  <c r="BI70" i="17"/>
  <c r="BL70" i="17" s="1"/>
  <c r="Q71" i="5"/>
  <c r="AT72" i="17"/>
  <c r="AW72" i="17" s="1"/>
  <c r="W72" i="5"/>
  <c r="BI73" i="17"/>
  <c r="BL73" i="17" s="1"/>
  <c r="U74" i="5"/>
  <c r="BD75" i="17"/>
  <c r="BG75" i="17" s="1"/>
  <c r="O76" i="5"/>
  <c r="AO77" i="17" s="1"/>
  <c r="AR77" i="17" s="1"/>
  <c r="W77" i="5"/>
  <c r="BI78" i="17"/>
  <c r="BL78" i="17" s="1"/>
  <c r="W79" i="5"/>
  <c r="BI80" i="17"/>
  <c r="BL80" i="17" s="1"/>
  <c r="Q81" i="5"/>
  <c r="AT82" i="17"/>
  <c r="AW82" i="17" s="1"/>
  <c r="W83" i="5"/>
  <c r="BI84" i="17"/>
  <c r="BL84" i="17" s="1"/>
  <c r="Q85" i="5"/>
  <c r="AT86" i="17"/>
  <c r="AW86" i="17" s="1"/>
  <c r="AT385" i="17"/>
  <c r="AW385" i="17" s="1"/>
  <c r="Q87" i="5"/>
  <c r="AT88" i="17"/>
  <c r="AW88" i="17" s="1"/>
  <c r="AT387" i="17"/>
  <c r="AW387" i="17" s="1"/>
  <c r="M89" i="5"/>
  <c r="AJ389" i="17" s="1"/>
  <c r="AM389" i="17" s="1"/>
  <c r="AJ90" i="17"/>
  <c r="AM90" i="17" s="1"/>
  <c r="O90" i="5"/>
  <c r="AO91" i="17" s="1"/>
  <c r="AR91" i="17" s="1"/>
  <c r="W91" i="5"/>
  <c r="BI92" i="17"/>
  <c r="BL92" i="17" s="1"/>
  <c r="BI391" i="17"/>
  <c r="BL391" i="17" s="1"/>
  <c r="Q93" i="5"/>
  <c r="AT94" i="17"/>
  <c r="AW94" i="17" s="1"/>
  <c r="AT393" i="17"/>
  <c r="AW393" i="17" s="1"/>
  <c r="W94" i="5"/>
  <c r="BI95" i="17"/>
  <c r="BL95" i="17" s="1"/>
  <c r="BI394" i="17"/>
  <c r="BL394" i="17" s="1"/>
  <c r="W96" i="5"/>
  <c r="BI97" i="17"/>
  <c r="BL97" i="17" s="1"/>
  <c r="BI396" i="17"/>
  <c r="BL396" i="17" s="1"/>
  <c r="Q99" i="5"/>
  <c r="AT100" i="17"/>
  <c r="AW100" i="17" s="1"/>
  <c r="AT399" i="17"/>
  <c r="AW399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/>
  <c r="AW107" i="17" s="1"/>
  <c r="AT406" i="17"/>
  <c r="AW406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413" i="17" s="1"/>
  <c r="AR413" i="17" s="1"/>
  <c r="Q115" i="5"/>
  <c r="AT116" i="17"/>
  <c r="AW116" i="17" s="1"/>
  <c r="AT415" i="17"/>
  <c r="AW415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422" i="17" s="1"/>
  <c r="AM422" i="17" s="1"/>
  <c r="AJ123" i="17"/>
  <c r="AM123" i="17" s="1"/>
  <c r="W124" i="5"/>
  <c r="BI125" i="17"/>
  <c r="BL125" i="17" s="1"/>
  <c r="BI424" i="17"/>
  <c r="BL424" i="17" s="1"/>
  <c r="M127" i="5"/>
  <c r="AJ128" i="17" s="1"/>
  <c r="AM128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137" i="17" s="1"/>
  <c r="AM137" i="17" s="1"/>
  <c r="AJ436" i="17"/>
  <c r="AM436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 s="1"/>
  <c r="AR143" i="17" s="1"/>
  <c r="Q144" i="5"/>
  <c r="AT145" i="17"/>
  <c r="AW145" i="17" s="1"/>
  <c r="AT444" i="17"/>
  <c r="AW444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Q150" i="5"/>
  <c r="AT151" i="17"/>
  <c r="AW151" i="17" s="1"/>
  <c r="AT450" i="17"/>
  <c r="AW450" i="17" s="1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 s="1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Q178" i="5"/>
  <c r="AT179" i="17"/>
  <c r="AW179" i="17" s="1"/>
  <c r="AT478" i="17"/>
  <c r="AW478" i="17" s="1"/>
  <c r="W179" i="5"/>
  <c r="W180" i="5"/>
  <c r="Q182" i="5"/>
  <c r="AT183" i="17"/>
  <c r="AW183" i="17" s="1"/>
  <c r="AT482" i="17"/>
  <c r="AW482" i="17" s="1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Q190" i="5"/>
  <c r="AT191" i="17"/>
  <c r="AW191" i="17" s="1"/>
  <c r="AT490" i="17"/>
  <c r="AW490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1" i="5"/>
  <c r="BI212" i="17"/>
  <c r="BL212" i="17" s="1"/>
  <c r="BI511" i="17"/>
  <c r="BL511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 s="1"/>
  <c r="AR269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Q288" i="5"/>
  <c r="AT289" i="17"/>
  <c r="AW289" i="17" s="1"/>
  <c r="AT588" i="17"/>
  <c r="AW588" i="17" s="1"/>
  <c r="O289" i="5"/>
  <c r="AO290" i="17" s="1"/>
  <c r="AR290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Q296" i="5"/>
  <c r="AT297" i="17"/>
  <c r="AW297" i="17" s="1"/>
  <c r="AT596" i="17"/>
  <c r="AW596" i="17" s="1"/>
  <c r="O298" i="5"/>
  <c r="AO299" i="17" s="1"/>
  <c r="AR299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 s="1"/>
  <c r="AR329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 s="1"/>
  <c r="AR337" i="17" s="1"/>
  <c r="W339" i="5"/>
  <c r="BI340" i="17"/>
  <c r="BL340" i="17" s="1"/>
  <c r="BI639" i="17"/>
  <c r="BL639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U354" i="5"/>
  <c r="BD355" i="17"/>
  <c r="BG355" i="17" s="1"/>
  <c r="BD654" i="17"/>
  <c r="BG654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671" i="17" s="1"/>
  <c r="AR671" i="17" s="1"/>
  <c r="AO372" i="17"/>
  <c r="AR372" i="17" s="1"/>
  <c r="U373" i="5"/>
  <c r="BD374" i="17"/>
  <c r="BG374" i="17" s="1"/>
  <c r="BD673" i="17"/>
  <c r="BG673" i="17" s="1"/>
  <c r="O376" i="5"/>
  <c r="AO377" i="17" s="1"/>
  <c r="AR377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Q400" i="5"/>
  <c r="AT700" i="17"/>
  <c r="AW700" i="17" s="1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U684" i="5"/>
  <c r="BD984" i="17"/>
  <c r="BG984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AT9" i="17" s="1"/>
  <c r="AW9" i="17" s="1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J427" i="17" l="1"/>
  <c r="AM427" i="17" s="1"/>
  <c r="AO114" i="17"/>
  <c r="AR114" i="17" s="1"/>
  <c r="AO527" i="17"/>
  <c r="AR527" i="17" s="1"/>
  <c r="AO221" i="17"/>
  <c r="AR221" i="17" s="1"/>
  <c r="AO197" i="17"/>
  <c r="AR197" i="17" s="1"/>
  <c r="AJ428" i="17"/>
  <c r="AM428" i="17" s="1"/>
  <c r="AO190" i="17"/>
  <c r="AR190" i="17" s="1"/>
  <c r="AO568" i="17"/>
  <c r="AR568" i="17" s="1"/>
  <c r="AO442" i="17"/>
  <c r="AR442" i="17" s="1"/>
  <c r="AO358" i="17"/>
  <c r="AR358" i="17" s="1"/>
  <c r="AO245" i="17"/>
  <c r="AR245" i="17" s="1"/>
  <c r="AO532" i="17"/>
  <c r="AR532" i="17" s="1"/>
  <c r="AO670" i="17"/>
  <c r="AR670" i="17" s="1"/>
  <c r="AO265" i="17"/>
  <c r="AR265" i="17" s="1"/>
  <c r="AO237" i="17"/>
  <c r="AR237" i="17" s="1"/>
  <c r="AO453" i="17"/>
  <c r="AR453" i="17" s="1"/>
  <c r="AO418" i="17"/>
  <c r="AR418" i="17" s="1"/>
  <c r="AO252" i="17"/>
  <c r="AR252" i="17" s="1"/>
  <c r="AO500" i="17"/>
  <c r="AR500" i="17" s="1"/>
  <c r="AO86" i="17"/>
  <c r="AR86" i="17" s="1"/>
  <c r="AO676" i="17"/>
  <c r="AR676" i="17" s="1"/>
  <c r="AO506" i="17"/>
  <c r="AR506" i="17" s="1"/>
  <c r="AO623" i="17"/>
  <c r="AR623" i="17" s="1"/>
  <c r="AO410" i="17"/>
  <c r="AR410" i="17" s="1"/>
  <c r="AO628" i="17"/>
  <c r="AR628" i="17" s="1"/>
  <c r="AO598" i="17"/>
  <c r="AR598" i="17" s="1"/>
  <c r="AO345" i="17"/>
  <c r="AR345" i="17" s="1"/>
  <c r="AO535" i="17"/>
  <c r="AR535" i="17" s="1"/>
  <c r="AO185" i="17"/>
  <c r="AR185" i="17" s="1"/>
  <c r="AO121" i="17"/>
  <c r="AR121" i="17" s="1"/>
  <c r="AO576" i="17"/>
  <c r="AR576" i="17" s="1"/>
  <c r="AO167" i="17"/>
  <c r="AR167" i="17" s="1"/>
  <c r="AO97" i="17"/>
  <c r="AR97" i="17" s="1"/>
  <c r="AO309" i="17"/>
  <c r="AR309" i="17" s="1"/>
  <c r="AJ413" i="17"/>
  <c r="AM413" i="17" s="1"/>
  <c r="AJ390" i="17"/>
  <c r="AM390" i="17" s="1"/>
  <c r="AJ134" i="17"/>
  <c r="AM134" i="17" s="1"/>
  <c r="AJ393" i="17"/>
  <c r="AM393" i="17" s="1"/>
  <c r="AJ130" i="17"/>
  <c r="AM130" i="17" s="1"/>
  <c r="AJ95" i="17"/>
  <c r="AM95" i="17" s="1"/>
  <c r="AJ425" i="17"/>
  <c r="AM425" i="17" s="1"/>
  <c r="S166" i="5"/>
  <c r="AY167" i="17"/>
  <c r="BB167" i="17" s="1"/>
  <c r="AY466" i="17"/>
  <c r="BB466" i="17" s="1"/>
  <c r="O533" i="5"/>
  <c r="AO833" i="17"/>
  <c r="AR833" i="17" s="1"/>
  <c r="O303" i="5"/>
  <c r="AO304" i="17" s="1"/>
  <c r="AR304" i="17" s="1"/>
  <c r="O77" i="5"/>
  <c r="AO78" i="17" s="1"/>
  <c r="AR78" i="17" s="1"/>
  <c r="O24" i="5"/>
  <c r="AO25" i="17" s="1"/>
  <c r="AR25" i="17" s="1"/>
  <c r="O727" i="5"/>
  <c r="AO1027" i="17"/>
  <c r="AR1027" i="17" s="1"/>
  <c r="O62" i="5"/>
  <c r="AO63" i="17" s="1"/>
  <c r="AR63" i="17" s="1"/>
  <c r="O167" i="5"/>
  <c r="AO467" i="17" s="1"/>
  <c r="AR467" i="17" s="1"/>
  <c r="AO168" i="17"/>
  <c r="AR168" i="17" s="1"/>
  <c r="O313" i="5"/>
  <c r="AO314" i="17" s="1"/>
  <c r="AR314" i="17" s="1"/>
  <c r="O388" i="5"/>
  <c r="AO688" i="17" s="1"/>
  <c r="AR688" i="17" s="1"/>
  <c r="O660" i="5"/>
  <c r="AO960" i="17"/>
  <c r="AR960" i="17" s="1"/>
  <c r="O561" i="5"/>
  <c r="AO861" i="17"/>
  <c r="AR861" i="17" s="1"/>
  <c r="O471" i="5"/>
  <c r="AO771" i="17"/>
  <c r="AR771" i="17" s="1"/>
  <c r="O233" i="5"/>
  <c r="AO234" i="17" s="1"/>
  <c r="AR234" i="17" s="1"/>
  <c r="U677" i="5"/>
  <c r="BD977" i="17"/>
  <c r="BG977" i="17" s="1"/>
  <c r="U502" i="5"/>
  <c r="BD802" i="17"/>
  <c r="BG802" i="17" s="1"/>
  <c r="U199" i="5"/>
  <c r="BD200" i="17"/>
  <c r="BG200" i="17" s="1"/>
  <c r="BD499" i="17"/>
  <c r="BG499" i="17" s="1"/>
  <c r="S788" i="5"/>
  <c r="AY1088" i="17"/>
  <c r="BB1088" i="17" s="1"/>
  <c r="S36" i="5"/>
  <c r="AY37" i="17"/>
  <c r="BB37" i="17" s="1"/>
  <c r="S401" i="5"/>
  <c r="AY701" i="17"/>
  <c r="BB701" i="17" s="1"/>
  <c r="O726" i="5"/>
  <c r="AO1026" i="17"/>
  <c r="AR1026" i="17" s="1"/>
  <c r="O556" i="5"/>
  <c r="AO856" i="17"/>
  <c r="AR856" i="17" s="1"/>
  <c r="O485" i="5"/>
  <c r="AO785" i="17"/>
  <c r="AR785" i="17" s="1"/>
  <c r="O458" i="5"/>
  <c r="AO758" i="17"/>
  <c r="AR758" i="17" s="1"/>
  <c r="O339" i="5"/>
  <c r="AO340" i="17" s="1"/>
  <c r="AR340" i="17" s="1"/>
  <c r="O262" i="5"/>
  <c r="AO562" i="17" s="1"/>
  <c r="AR562" i="17" s="1"/>
  <c r="AO263" i="17"/>
  <c r="AR263" i="17" s="1"/>
  <c r="O145" i="5"/>
  <c r="AO146" i="17" s="1"/>
  <c r="AR146" i="17" s="1"/>
  <c r="O53" i="5"/>
  <c r="AO54" i="17" s="1"/>
  <c r="AR54" i="17" s="1"/>
  <c r="O705" i="5"/>
  <c r="AO1005" i="17"/>
  <c r="AR1005" i="17" s="1"/>
  <c r="O17" i="5"/>
  <c r="AO18" i="17" s="1"/>
  <c r="AR18" i="17" s="1"/>
  <c r="O36" i="5"/>
  <c r="AO37" i="17"/>
  <c r="AR37" i="17" s="1"/>
  <c r="O128" i="5"/>
  <c r="AO129" i="17" s="1"/>
  <c r="AR129" i="17" s="1"/>
  <c r="O217" i="5"/>
  <c r="AO218" i="17" s="1"/>
  <c r="AR218" i="17" s="1"/>
  <c r="O274" i="5"/>
  <c r="AO574" i="17" s="1"/>
  <c r="AR574" i="17" s="1"/>
  <c r="AO275" i="17"/>
  <c r="AR275" i="17" s="1"/>
  <c r="O345" i="5"/>
  <c r="AO346" i="17" s="1"/>
  <c r="AR346" i="17" s="1"/>
  <c r="O460" i="5"/>
  <c r="AO760" i="17"/>
  <c r="AR760" i="17" s="1"/>
  <c r="O516" i="5"/>
  <c r="AO816" i="17"/>
  <c r="AR816" i="17" s="1"/>
  <c r="O676" i="5"/>
  <c r="AO976" i="17"/>
  <c r="AR976" i="17" s="1"/>
  <c r="O526" i="5"/>
  <c r="AO826" i="17"/>
  <c r="AR826" i="17" s="1"/>
  <c r="O431" i="5"/>
  <c r="AO731" i="17"/>
  <c r="AR731" i="17" s="1"/>
  <c r="O288" i="5"/>
  <c r="AO588" i="17" s="1"/>
  <c r="AR588" i="17" s="1"/>
  <c r="O209" i="5"/>
  <c r="AO210" i="17" s="1"/>
  <c r="AR210" i="17" s="1"/>
  <c r="O151" i="5"/>
  <c r="AO152" i="17"/>
  <c r="AR152" i="17" s="1"/>
  <c r="AO451" i="17"/>
  <c r="AR451" i="17" s="1"/>
  <c r="O124" i="5"/>
  <c r="AO125" i="17" s="1"/>
  <c r="AR125" i="17" s="1"/>
  <c r="O37" i="5"/>
  <c r="AO38" i="17"/>
  <c r="AR38" i="17" s="1"/>
  <c r="U643" i="5"/>
  <c r="BD943" i="17"/>
  <c r="BG943" i="17" s="1"/>
  <c r="U368" i="5"/>
  <c r="BD369" i="17"/>
  <c r="BG369" i="17" s="1"/>
  <c r="BD668" i="17"/>
  <c r="BG668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/>
  <c r="AW105" i="17" s="1"/>
  <c r="AT404" i="17"/>
  <c r="AW404" i="17" s="1"/>
  <c r="Q121" i="5"/>
  <c r="AT122" i="17"/>
  <c r="AW122" i="17" s="1"/>
  <c r="AT421" i="17"/>
  <c r="AW421" i="17" s="1"/>
  <c r="Q129" i="5"/>
  <c r="AT130" i="17"/>
  <c r="AW130" i="17" s="1"/>
  <c r="AT429" i="17"/>
  <c r="AW429" i="17" s="1"/>
  <c r="Q137" i="5"/>
  <c r="AT138" i="17"/>
  <c r="AW138" i="17" s="1"/>
  <c r="AT437" i="17"/>
  <c r="AW437" i="17" s="1"/>
  <c r="Q153" i="5"/>
  <c r="AT154" i="17"/>
  <c r="AW154" i="17" s="1"/>
  <c r="AT453" i="17"/>
  <c r="AW453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124" i="17"/>
  <c r="AW124" i="17" s="1"/>
  <c r="AT423" i="17"/>
  <c r="AW423" i="17" s="1"/>
  <c r="Q117" i="5"/>
  <c r="AT118" i="17"/>
  <c r="AW118" i="17" s="1"/>
  <c r="AT417" i="17"/>
  <c r="AW417" i="17" s="1"/>
  <c r="Q109" i="5"/>
  <c r="AT110" i="17"/>
  <c r="AW110" i="17" s="1"/>
  <c r="AT409" i="17"/>
  <c r="AW409" i="17" s="1"/>
  <c r="Q97" i="5"/>
  <c r="AT98" i="17"/>
  <c r="AW98" i="17" s="1"/>
  <c r="AT397" i="17"/>
  <c r="AW397" i="17" s="1"/>
  <c r="Q82" i="5"/>
  <c r="AT83" i="17"/>
  <c r="AW83" i="17" s="1"/>
  <c r="Q57" i="5"/>
  <c r="AT58" i="17"/>
  <c r="AW58" i="17" s="1"/>
  <c r="Q46" i="5"/>
  <c r="AT47" i="17"/>
  <c r="AW47" i="17" s="1"/>
  <c r="Q25" i="5"/>
  <c r="AT26" i="17"/>
  <c r="AW26" i="17" s="1"/>
  <c r="Q15" i="5"/>
  <c r="AT16" i="17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/>
  <c r="BB21" i="17" s="1"/>
  <c r="S39" i="5"/>
  <c r="AY40" i="17"/>
  <c r="BB40" i="17" s="1"/>
  <c r="S50" i="5"/>
  <c r="AY51" i="17"/>
  <c r="BB51" i="17" s="1"/>
  <c r="S67" i="5"/>
  <c r="AY68" i="17"/>
  <c r="BB68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124" i="5"/>
  <c r="AY125" i="17"/>
  <c r="BB125" i="17" s="1"/>
  <c r="AY424" i="17"/>
  <c r="BB424" i="17" s="1"/>
  <c r="S152" i="5"/>
  <c r="AY153" i="17"/>
  <c r="BB153" i="17" s="1"/>
  <c r="AY452" i="17"/>
  <c r="BB452" i="17" s="1"/>
  <c r="O631" i="5"/>
  <c r="AO931" i="17"/>
  <c r="AR931" i="17" s="1"/>
  <c r="O397" i="5"/>
  <c r="AO697" i="17" s="1"/>
  <c r="AR697" i="17" s="1"/>
  <c r="O180" i="5"/>
  <c r="AO181" i="17" s="1"/>
  <c r="AR181" i="17" s="1"/>
  <c r="AO480" i="17"/>
  <c r="AR480" i="17" s="1"/>
  <c r="O64" i="5"/>
  <c r="AO65" i="17" s="1"/>
  <c r="AR65" i="17" s="1"/>
  <c r="O658" i="5"/>
  <c r="AO958" i="17"/>
  <c r="AR958" i="17" s="1"/>
  <c r="O23" i="5"/>
  <c r="AO24" i="17" s="1"/>
  <c r="AR24" i="17" s="1"/>
  <c r="O94" i="5"/>
  <c r="AO95" i="17"/>
  <c r="AR95" i="17" s="1"/>
  <c r="AO394" i="17"/>
  <c r="AR394" i="17" s="1"/>
  <c r="O253" i="5"/>
  <c r="AO254" i="17" s="1"/>
  <c r="AR254" i="17" s="1"/>
  <c r="O424" i="5"/>
  <c r="AO724" i="17" s="1"/>
  <c r="AR724" i="17" s="1"/>
  <c r="O635" i="5"/>
  <c r="AO935" i="17"/>
  <c r="AR935" i="17" s="1"/>
  <c r="O585" i="5"/>
  <c r="AO885" i="17"/>
  <c r="AR885" i="17" s="1"/>
  <c r="O364" i="5"/>
  <c r="AO365" i="17" s="1"/>
  <c r="AR365" i="17" s="1"/>
  <c r="O190" i="5"/>
  <c r="AO191" i="17" s="1"/>
  <c r="AR191" i="17" s="1"/>
  <c r="O80" i="5"/>
  <c r="AO81" i="17" s="1"/>
  <c r="AR81" i="17" s="1"/>
  <c r="U625" i="5"/>
  <c r="BD925" i="17"/>
  <c r="BG925" i="17" s="1"/>
  <c r="U267" i="5"/>
  <c r="BD268" i="17"/>
  <c r="BG268" i="17" s="1"/>
  <c r="BD567" i="17"/>
  <c r="BG567" i="17" s="1"/>
  <c r="S828" i="5"/>
  <c r="AY1128" i="17"/>
  <c r="BB1128" i="17" s="1"/>
  <c r="S651" i="5"/>
  <c r="AY951" i="17"/>
  <c r="BB951" i="17" s="1"/>
  <c r="S537" i="5"/>
  <c r="AY837" i="17"/>
  <c r="BB837" i="17" s="1"/>
  <c r="S468" i="5"/>
  <c r="AY768" i="17"/>
  <c r="BB768" i="17" s="1"/>
  <c r="S364" i="5"/>
  <c r="AY365" i="17"/>
  <c r="BB365" i="17" s="1"/>
  <c r="AY664" i="17"/>
  <c r="BB664" i="17" s="1"/>
  <c r="S580" i="5"/>
  <c r="AY880" i="17"/>
  <c r="BB880" i="17" s="1"/>
  <c r="S177" i="5"/>
  <c r="AY178" i="17"/>
  <c r="BB178" i="17" s="1"/>
  <c r="AY477" i="17"/>
  <c r="BB477" i="17" s="1"/>
  <c r="S29" i="5"/>
  <c r="AY30" i="17"/>
  <c r="BB30" i="17" s="1"/>
  <c r="S612" i="5"/>
  <c r="AY912" i="17"/>
  <c r="BB912" i="17" s="1"/>
  <c r="S422" i="5"/>
  <c r="AY722" i="17"/>
  <c r="BB722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34" i="5"/>
  <c r="AY35" i="17"/>
  <c r="BB35" i="17" s="1"/>
  <c r="S89" i="5"/>
  <c r="AY90" i="17"/>
  <c r="BB90" i="17" s="1"/>
  <c r="AY389" i="17"/>
  <c r="BB389" i="17" s="1"/>
  <c r="S151" i="5"/>
  <c r="AY152" i="17"/>
  <c r="BB152" i="17" s="1"/>
  <c r="AY451" i="17"/>
  <c r="BB451" i="17" s="1"/>
  <c r="S241" i="5"/>
  <c r="AY242" i="17"/>
  <c r="BB242" i="17" s="1"/>
  <c r="AY541" i="17"/>
  <c r="BB541" i="17" s="1"/>
  <c r="S336" i="5"/>
  <c r="AY337" i="17"/>
  <c r="BB337" i="17" s="1"/>
  <c r="AY636" i="17"/>
  <c r="BB636" i="17" s="1"/>
  <c r="S550" i="5"/>
  <c r="AY850" i="17"/>
  <c r="BB850" i="17" s="1"/>
  <c r="S660" i="5"/>
  <c r="AY960" i="17"/>
  <c r="BB960" i="17" s="1"/>
  <c r="S808" i="5"/>
  <c r="AY1108" i="17"/>
  <c r="BB1108" i="17" s="1"/>
  <c r="S62" i="5"/>
  <c r="AY63" i="17"/>
  <c r="BB63" i="17" s="1"/>
  <c r="S126" i="5"/>
  <c r="AY127" i="17"/>
  <c r="BB127" i="17" s="1"/>
  <c r="AY426" i="17"/>
  <c r="BB426" i="17" s="1"/>
  <c r="S226" i="5"/>
  <c r="AY227" i="17"/>
  <c r="BB227" i="17" s="1"/>
  <c r="AY526" i="17"/>
  <c r="BB526" i="17" s="1"/>
  <c r="S379" i="5"/>
  <c r="AY380" i="17"/>
  <c r="BB380" i="17" s="1"/>
  <c r="AY679" i="17"/>
  <c r="BB679" i="17" s="1"/>
  <c r="S482" i="5"/>
  <c r="AY782" i="17"/>
  <c r="BB782" i="17" s="1"/>
  <c r="S653" i="5"/>
  <c r="AY953" i="17"/>
  <c r="BB953" i="17" s="1"/>
  <c r="S799" i="5"/>
  <c r="AY1099" i="17"/>
  <c r="BB1099" i="17" s="1"/>
  <c r="S142" i="5"/>
  <c r="AY143" i="17"/>
  <c r="BB143" i="17" s="1"/>
  <c r="AY442" i="17"/>
  <c r="BB442" i="17" s="1"/>
  <c r="S223" i="5"/>
  <c r="AY224" i="17"/>
  <c r="BB224" i="17" s="1"/>
  <c r="AY523" i="17"/>
  <c r="BB523" i="17" s="1"/>
  <c r="S323" i="5"/>
  <c r="AY324" i="17"/>
  <c r="BB324" i="17" s="1"/>
  <c r="AY623" i="17"/>
  <c r="BB623" i="17" s="1"/>
  <c r="S420" i="5"/>
  <c r="AY720" i="17"/>
  <c r="BB720" i="17" s="1"/>
  <c r="S539" i="5"/>
  <c r="AY839" i="17"/>
  <c r="BB839" i="17" s="1"/>
  <c r="S641" i="5"/>
  <c r="AY941" i="17"/>
  <c r="BB941" i="17" s="1"/>
  <c r="S763" i="5"/>
  <c r="AY1063" i="17"/>
  <c r="BB1063" i="17" s="1"/>
  <c r="S371" i="5"/>
  <c r="AY372" i="17"/>
  <c r="BB372" i="17" s="1"/>
  <c r="AY671" i="17"/>
  <c r="BB671" i="17" s="1"/>
  <c r="S64" i="5"/>
  <c r="AY65" i="17"/>
  <c r="BB65" i="17" s="1"/>
  <c r="U824" i="5"/>
  <c r="BD1124" i="17"/>
  <c r="BG1124" i="17" s="1"/>
  <c r="U765" i="5"/>
  <c r="BD1065" i="17"/>
  <c r="BG1065" i="17" s="1"/>
  <c r="U704" i="5"/>
  <c r="BD1004" i="17"/>
  <c r="BG1004" i="17" s="1"/>
  <c r="U815" i="5"/>
  <c r="BD1115" i="17"/>
  <c r="BG1115" i="17" s="1"/>
  <c r="U737" i="5"/>
  <c r="BD1037" i="17"/>
  <c r="BG1037" i="17" s="1"/>
  <c r="U531" i="5"/>
  <c r="BD831" i="17"/>
  <c r="BG831" i="17" s="1"/>
  <c r="U574" i="5"/>
  <c r="BD874" i="17"/>
  <c r="BG874" i="17" s="1"/>
  <c r="U618" i="5"/>
  <c r="BD918" i="17"/>
  <c r="BG918" i="17" s="1"/>
  <c r="U661" i="5"/>
  <c r="BD961" i="17"/>
  <c r="BG961" i="17" s="1"/>
  <c r="U782" i="5"/>
  <c r="BD1082" i="17"/>
  <c r="BG1082" i="17" s="1"/>
  <c r="U504" i="5"/>
  <c r="BD804" i="17"/>
  <c r="BG804" i="17" s="1"/>
  <c r="U557" i="5"/>
  <c r="BD857" i="17"/>
  <c r="BG857" i="17" s="1"/>
  <c r="U609" i="5"/>
  <c r="BD909" i="17"/>
  <c r="BG909" i="17" s="1"/>
  <c r="U666" i="5"/>
  <c r="BD966" i="17"/>
  <c r="BG966" i="17" s="1"/>
  <c r="U730" i="5"/>
  <c r="BD1030" i="17"/>
  <c r="BG1030" i="17" s="1"/>
  <c r="U775" i="5"/>
  <c r="BD1075" i="17"/>
  <c r="BG1075" i="17" s="1"/>
  <c r="U844" i="5"/>
  <c r="BD1144" i="17"/>
  <c r="BG1144" i="17" s="1"/>
  <c r="O843" i="5"/>
  <c r="AO1143" i="17"/>
  <c r="AR1143" i="17" s="1"/>
  <c r="O841" i="5"/>
  <c r="AO1141" i="17"/>
  <c r="AR1141" i="17" s="1"/>
  <c r="O84" i="5"/>
  <c r="AO85" i="17" s="1"/>
  <c r="AR85" i="17" s="1"/>
  <c r="O130" i="5"/>
  <c r="AO131" i="17" s="1"/>
  <c r="AR131" i="17" s="1"/>
  <c r="O174" i="5"/>
  <c r="AO175" i="17" s="1"/>
  <c r="AR175" i="17" s="1"/>
  <c r="O219" i="5"/>
  <c r="AO519" i="17" s="1"/>
  <c r="AR519" i="17" s="1"/>
  <c r="AO220" i="17"/>
  <c r="AR220" i="17" s="1"/>
  <c r="O247" i="5"/>
  <c r="AO248" i="17" s="1"/>
  <c r="AR248" i="17" s="1"/>
  <c r="O287" i="5"/>
  <c r="AO288" i="17" s="1"/>
  <c r="AR288" i="17" s="1"/>
  <c r="O326" i="5"/>
  <c r="AO327" i="17" s="1"/>
  <c r="AR327" i="17" s="1"/>
  <c r="O413" i="5"/>
  <c r="AO713" i="17" s="1"/>
  <c r="AR713" i="17" s="1"/>
  <c r="O475" i="5"/>
  <c r="AO775" i="17"/>
  <c r="AR775" i="17" s="1"/>
  <c r="O529" i="5"/>
  <c r="AO829" i="17"/>
  <c r="AR829" i="17" s="1"/>
  <c r="O616" i="5"/>
  <c r="AO916" i="17"/>
  <c r="AR916" i="17" s="1"/>
  <c r="O65" i="5"/>
  <c r="AO66" i="17" s="1"/>
  <c r="AR66" i="17" s="1"/>
  <c r="O117" i="5"/>
  <c r="AO118" i="17" s="1"/>
  <c r="AR118" i="17" s="1"/>
  <c r="O144" i="5"/>
  <c r="AO444" i="17" s="1"/>
  <c r="AR444" i="17" s="1"/>
  <c r="O195" i="5"/>
  <c r="AO196" i="17" s="1"/>
  <c r="AR196" i="17" s="1"/>
  <c r="O252" i="5"/>
  <c r="AO552" i="17" s="1"/>
  <c r="AR552" i="17" s="1"/>
  <c r="O295" i="5"/>
  <c r="AO296" i="17" s="1"/>
  <c r="AR296" i="17" s="1"/>
  <c r="O338" i="5"/>
  <c r="AO638" i="17" s="1"/>
  <c r="AR638" i="17" s="1"/>
  <c r="O385" i="5"/>
  <c r="AO685" i="17" s="1"/>
  <c r="AR685" i="17" s="1"/>
  <c r="O421" i="5"/>
  <c r="AO721" i="17" s="1"/>
  <c r="AR721" i="17" s="1"/>
  <c r="O495" i="5"/>
  <c r="AO795" i="17"/>
  <c r="AR795" i="17" s="1"/>
  <c r="O557" i="5"/>
  <c r="AO857" i="17"/>
  <c r="AR857" i="17" s="1"/>
  <c r="O611" i="5"/>
  <c r="AO911" i="17"/>
  <c r="AR911" i="17" s="1"/>
  <c r="O663" i="5"/>
  <c r="AO963" i="17"/>
  <c r="AR963" i="17" s="1"/>
  <c r="O716" i="5"/>
  <c r="AO1016" i="17"/>
  <c r="AR1016" i="17" s="1"/>
  <c r="O352" i="5"/>
  <c r="AO353" i="17" s="1"/>
  <c r="AR353" i="17" s="1"/>
  <c r="O419" i="5"/>
  <c r="AO719" i="17" s="1"/>
  <c r="AR719" i="17" s="1"/>
  <c r="O461" i="5"/>
  <c r="AO761" i="17"/>
  <c r="AR761" i="17" s="1"/>
  <c r="O518" i="5"/>
  <c r="AO818" i="17"/>
  <c r="AR818" i="17" s="1"/>
  <c r="O564" i="5"/>
  <c r="AO864" i="17"/>
  <c r="AR864" i="17" s="1"/>
  <c r="O618" i="5"/>
  <c r="AO918" i="17"/>
  <c r="AR918" i="17" s="1"/>
  <c r="O659" i="5"/>
  <c r="AO959" i="17"/>
  <c r="AR959" i="17" s="1"/>
  <c r="O706" i="5"/>
  <c r="AO1006" i="17"/>
  <c r="AR1006" i="17" s="1"/>
  <c r="O853" i="5"/>
  <c r="AO1153" i="17"/>
  <c r="AR1153" i="17" s="1"/>
  <c r="S529" i="5"/>
  <c r="AY829" i="17"/>
  <c r="BB829" i="17" s="1"/>
  <c r="S806" i="5"/>
  <c r="AY1106" i="17"/>
  <c r="BB1106" i="17" s="1"/>
  <c r="O711" i="5"/>
  <c r="AO1011" i="17"/>
  <c r="AR1011" i="17" s="1"/>
  <c r="O555" i="5"/>
  <c r="AO855" i="17"/>
  <c r="AR855" i="17" s="1"/>
  <c r="O477" i="5"/>
  <c r="AO777" i="17"/>
  <c r="AR777" i="17" s="1"/>
  <c r="O386" i="5"/>
  <c r="AO686" i="17" s="1"/>
  <c r="AR686" i="17" s="1"/>
  <c r="O243" i="5"/>
  <c r="AO543" i="17" s="1"/>
  <c r="AR543" i="17" s="1"/>
  <c r="O75" i="5"/>
  <c r="AO76" i="17" s="1"/>
  <c r="AR76" i="17" s="1"/>
  <c r="O10" i="5"/>
  <c r="AO11" i="17" s="1"/>
  <c r="AR11" i="17" s="1"/>
  <c r="O714" i="5"/>
  <c r="AO1014" i="17"/>
  <c r="AR1014" i="17" s="1"/>
  <c r="O19" i="5"/>
  <c r="AO20" i="17"/>
  <c r="AR20" i="17" s="1"/>
  <c r="O67" i="5"/>
  <c r="AO68" i="17" s="1"/>
  <c r="AR68" i="17" s="1"/>
  <c r="O175" i="5"/>
  <c r="AO475" i="17" s="1"/>
  <c r="AR475" i="17" s="1"/>
  <c r="AO176" i="17"/>
  <c r="AR176" i="17" s="1"/>
  <c r="O282" i="5"/>
  <c r="AO283" i="17" s="1"/>
  <c r="AR283" i="17" s="1"/>
  <c r="O428" i="5"/>
  <c r="AO728" i="17" s="1"/>
  <c r="AR728" i="17" s="1"/>
  <c r="O538" i="5"/>
  <c r="AO838" i="17"/>
  <c r="AR838" i="17" s="1"/>
  <c r="O584" i="5"/>
  <c r="AO884" i="17"/>
  <c r="AR884" i="17" s="1"/>
  <c r="O448" i="5"/>
  <c r="AO748" i="17"/>
  <c r="AR748" i="17" s="1"/>
  <c r="O286" i="5"/>
  <c r="AO287" i="17" s="1"/>
  <c r="AR287" i="17" s="1"/>
  <c r="AO586" i="17"/>
  <c r="AR586" i="17" s="1"/>
  <c r="O187" i="5"/>
  <c r="AO188" i="17" s="1"/>
  <c r="AR188" i="17" s="1"/>
  <c r="S386" i="5"/>
  <c r="AY686" i="17"/>
  <c r="BB686" i="17" s="1"/>
  <c r="U336" i="5"/>
  <c r="BD337" i="17"/>
  <c r="BG337" i="17" s="1"/>
  <c r="BD636" i="17"/>
  <c r="BG636" i="17" s="1"/>
  <c r="U381" i="5"/>
  <c r="BD382" i="17"/>
  <c r="BG382" i="17" s="1"/>
  <c r="BD681" i="17"/>
  <c r="BG681" i="17" s="1"/>
  <c r="U438" i="5"/>
  <c r="BD738" i="17"/>
  <c r="BG738" i="17" s="1"/>
  <c r="U507" i="5"/>
  <c r="BD807" i="17"/>
  <c r="BG807" i="17" s="1"/>
  <c r="U603" i="5"/>
  <c r="BD903" i="17"/>
  <c r="BG903" i="17" s="1"/>
  <c r="U830" i="5"/>
  <c r="BD1130" i="17"/>
  <c r="BG1130" i="17" s="1"/>
  <c r="U713" i="5"/>
  <c r="BD1013" i="17"/>
  <c r="BG1013" i="17" s="1"/>
  <c r="U659" i="5"/>
  <c r="BD959" i="17"/>
  <c r="BG959" i="17" s="1"/>
  <c r="U473" i="5"/>
  <c r="BD773" i="17"/>
  <c r="BG773" i="17" s="1"/>
  <c r="U402" i="5"/>
  <c r="BD702" i="17"/>
  <c r="BG702" i="17" s="1"/>
  <c r="U328" i="5"/>
  <c r="BD329" i="17"/>
  <c r="BG329" i="17" s="1"/>
  <c r="BD628" i="17"/>
  <c r="BG628" i="17" s="1"/>
  <c r="U272" i="5"/>
  <c r="BD273" i="17"/>
  <c r="BG273" i="17" s="1"/>
  <c r="BD572" i="17"/>
  <c r="BG572" i="17" s="1"/>
  <c r="U198" i="5"/>
  <c r="BD199" i="17"/>
  <c r="BG199" i="17" s="1"/>
  <c r="BD498" i="17"/>
  <c r="BG498" i="17" s="1"/>
  <c r="U153" i="5"/>
  <c r="BD154" i="17"/>
  <c r="BG154" i="17" s="1"/>
  <c r="BD453" i="17"/>
  <c r="BG453" i="17" s="1"/>
  <c r="U113" i="5"/>
  <c r="BD114" i="17"/>
  <c r="BG114" i="17" s="1"/>
  <c r="BD413" i="17"/>
  <c r="BG413" i="17" s="1"/>
  <c r="U73" i="5"/>
  <c r="BD74" i="17"/>
  <c r="BG74" i="17" s="1"/>
  <c r="U51" i="5"/>
  <c r="BD52" i="17"/>
  <c r="BG52" i="17" s="1"/>
  <c r="U37" i="5"/>
  <c r="BD38" i="17"/>
  <c r="BG38" i="17" s="1"/>
  <c r="U25" i="5"/>
  <c r="BD26" i="17"/>
  <c r="BG26" i="17" s="1"/>
  <c r="U392" i="5"/>
  <c r="BD692" i="17"/>
  <c r="BG692" i="17" s="1"/>
  <c r="U204" i="5"/>
  <c r="BD205" i="17"/>
  <c r="BG205" i="17" s="1"/>
  <c r="BD504" i="17"/>
  <c r="BG504" i="17" s="1"/>
  <c r="U36" i="5"/>
  <c r="BD37" i="17"/>
  <c r="BG37" i="17" s="1"/>
  <c r="U84" i="5"/>
  <c r="BD85" i="17"/>
  <c r="BG85" i="17" s="1"/>
  <c r="BD384" i="17"/>
  <c r="BG384" i="17" s="1"/>
  <c r="U131" i="5"/>
  <c r="BD132" i="17"/>
  <c r="BG132" i="17" s="1"/>
  <c r="BD431" i="17"/>
  <c r="BG431" i="17" s="1"/>
  <c r="U170" i="5"/>
  <c r="BD171" i="17"/>
  <c r="BG171" i="17" s="1"/>
  <c r="BD470" i="17"/>
  <c r="BG470" i="17" s="1"/>
  <c r="U231" i="5"/>
  <c r="BD232" i="17"/>
  <c r="BG232" i="17" s="1"/>
  <c r="BD531" i="17"/>
  <c r="BG531" i="17" s="1"/>
  <c r="U318" i="5"/>
  <c r="BD319" i="17"/>
  <c r="BG319" i="17" s="1"/>
  <c r="BD618" i="17"/>
  <c r="BG618" i="17" s="1"/>
  <c r="U435" i="5"/>
  <c r="BD735" i="17"/>
  <c r="BG735" i="17" s="1"/>
  <c r="U705" i="5"/>
  <c r="BD1005" i="17"/>
  <c r="BG1005" i="17" s="1"/>
  <c r="U67" i="5"/>
  <c r="BD68" i="17"/>
  <c r="BG68" i="17" s="1"/>
  <c r="U106" i="5"/>
  <c r="BD107" i="17"/>
  <c r="BG107" i="17" s="1"/>
  <c r="BD406" i="17"/>
  <c r="BG406" i="17" s="1"/>
  <c r="U175" i="5"/>
  <c r="BD176" i="17"/>
  <c r="BG176" i="17" s="1"/>
  <c r="BD475" i="17"/>
  <c r="BG475" i="17" s="1"/>
  <c r="U228" i="5"/>
  <c r="BD229" i="17"/>
  <c r="BG229" i="17" s="1"/>
  <c r="BD528" i="17"/>
  <c r="BG528" i="17" s="1"/>
  <c r="U348" i="5"/>
  <c r="BD349" i="17"/>
  <c r="BG349" i="17" s="1"/>
  <c r="BD648" i="17"/>
  <c r="BG648" i="17" s="1"/>
  <c r="U432" i="5"/>
  <c r="BD732" i="17"/>
  <c r="BG732" i="17" s="1"/>
  <c r="U516" i="5"/>
  <c r="BD816" i="17"/>
  <c r="BG816" i="17" s="1"/>
  <c r="U825" i="5"/>
  <c r="BD1125" i="17"/>
  <c r="BG1125" i="17" s="1"/>
  <c r="U236" i="5"/>
  <c r="BD237" i="17"/>
  <c r="BG237" i="17" s="1"/>
  <c r="BD536" i="17"/>
  <c r="BG536" i="17" s="1"/>
  <c r="U307" i="5"/>
  <c r="BD308" i="17"/>
  <c r="BG308" i="17" s="1"/>
  <c r="BD607" i="17"/>
  <c r="BG607" i="17" s="1"/>
  <c r="U350" i="5"/>
  <c r="BD351" i="17"/>
  <c r="BG351" i="17" s="1"/>
  <c r="BD650" i="17"/>
  <c r="BG650" i="17" s="1"/>
  <c r="U442" i="5"/>
  <c r="BD742" i="17"/>
  <c r="BG742" i="17" s="1"/>
  <c r="U596" i="5"/>
  <c r="BD896" i="17"/>
  <c r="BG896" i="17" s="1"/>
  <c r="U718" i="5"/>
  <c r="BD1018" i="17"/>
  <c r="BG1018" i="17" s="1"/>
  <c r="U696" i="5"/>
  <c r="BD996" i="17"/>
  <c r="BG996" i="17" s="1"/>
  <c r="U484" i="5"/>
  <c r="BD784" i="17"/>
  <c r="BG784" i="17" s="1"/>
  <c r="U112" i="5"/>
  <c r="BD113" i="17"/>
  <c r="BG113" i="17" s="1"/>
  <c r="BD412" i="17"/>
  <c r="BG412" i="17" s="1"/>
  <c r="U21" i="5"/>
  <c r="BD22" i="17"/>
  <c r="BG22" i="17" s="1"/>
  <c r="U723" i="5"/>
  <c r="BD1023" i="17"/>
  <c r="BG1023" i="17" s="1"/>
  <c r="U641" i="5"/>
  <c r="BD941" i="17"/>
  <c r="BG941" i="17" s="1"/>
  <c r="U501" i="5"/>
  <c r="BD801" i="17"/>
  <c r="BG801" i="17" s="1"/>
  <c r="U77" i="5"/>
  <c r="BD78" i="17"/>
  <c r="BG78" i="17" s="1"/>
  <c r="M832" i="5"/>
  <c r="AJ1132" i="17"/>
  <c r="AM1132" i="17" s="1"/>
  <c r="M820" i="5"/>
  <c r="AJ1120" i="17"/>
  <c r="AM1120" i="17" s="1"/>
  <c r="M808" i="5"/>
  <c r="AJ1108" i="17"/>
  <c r="AM1108" i="17" s="1"/>
  <c r="M792" i="5"/>
  <c r="AJ1092" i="17"/>
  <c r="AM1092" i="17" s="1"/>
  <c r="M780" i="5"/>
  <c r="AJ1080" i="17"/>
  <c r="AM1080" i="17" s="1"/>
  <c r="M768" i="5"/>
  <c r="AJ1068" i="17"/>
  <c r="AM1068" i="17" s="1"/>
  <c r="Q839" i="5"/>
  <c r="AT1139" i="17"/>
  <c r="AW1139" i="17" s="1"/>
  <c r="Q809" i="5"/>
  <c r="AT1109" i="17"/>
  <c r="AW1109" i="17" s="1"/>
  <c r="U818" i="5"/>
  <c r="BD1118" i="17"/>
  <c r="BG1118" i="17" s="1"/>
  <c r="O817" i="5"/>
  <c r="AO1117" i="17"/>
  <c r="AR1117" i="17" s="1"/>
  <c r="O768" i="5"/>
  <c r="AO1068" i="17"/>
  <c r="AR1068" i="17" s="1"/>
  <c r="Q769" i="5"/>
  <c r="AT1069" i="17"/>
  <c r="AW1069" i="17" s="1"/>
  <c r="Q707" i="5"/>
  <c r="AT1007" i="17"/>
  <c r="AW1007" i="17" s="1"/>
  <c r="Q630" i="5"/>
  <c r="AT930" i="17"/>
  <c r="AW930" i="17" s="1"/>
  <c r="Q832" i="5"/>
  <c r="AT1132" i="17"/>
  <c r="AW1132" i="17" s="1"/>
  <c r="Q827" i="5"/>
  <c r="AT1127" i="17"/>
  <c r="AW1127" i="17" s="1"/>
  <c r="O742" i="5"/>
  <c r="AO1042" i="17"/>
  <c r="AR1042" i="17" s="1"/>
  <c r="O806" i="5"/>
  <c r="AO1106" i="17"/>
  <c r="AR1106" i="17" s="1"/>
  <c r="O743" i="5"/>
  <c r="AO1043" i="17"/>
  <c r="AR1043" i="17" s="1"/>
  <c r="O827" i="5"/>
  <c r="AO1127" i="17"/>
  <c r="AR1127" i="17" s="1"/>
  <c r="Q122" i="5"/>
  <c r="AT123" i="17"/>
  <c r="AW123" i="17" s="1"/>
  <c r="AT422" i="17"/>
  <c r="AW422" i="17" s="1"/>
  <c r="Q154" i="5"/>
  <c r="AT155" i="17"/>
  <c r="AW155" i="17" s="1"/>
  <c r="AT454" i="17"/>
  <c r="AW454" i="17" s="1"/>
  <c r="Q215" i="5"/>
  <c r="AT216" i="17"/>
  <c r="AW216" i="17" s="1"/>
  <c r="AT515" i="17"/>
  <c r="AW515" i="17" s="1"/>
  <c r="Q259" i="5"/>
  <c r="AT260" i="17"/>
  <c r="AW260" i="17" s="1"/>
  <c r="AT559" i="17"/>
  <c r="AW559" i="17" s="1"/>
  <c r="Q485" i="5"/>
  <c r="AT785" i="17"/>
  <c r="AW785" i="17" s="1"/>
  <c r="Q167" i="5"/>
  <c r="AT168" i="17"/>
  <c r="AW168" i="17" s="1"/>
  <c r="AT467" i="17"/>
  <c r="AW467" i="17" s="1"/>
  <c r="Q231" i="5"/>
  <c r="AT232" i="17"/>
  <c r="AW232" i="17" s="1"/>
  <c r="AT531" i="17"/>
  <c r="AW531" i="17" s="1"/>
  <c r="Q332" i="5"/>
  <c r="AT333" i="17"/>
  <c r="AW333" i="17" s="1"/>
  <c r="AT632" i="17"/>
  <c r="AW632" i="17" s="1"/>
  <c r="Q747" i="5"/>
  <c r="AT1047" i="17"/>
  <c r="AW1047" i="17" s="1"/>
  <c r="Q282" i="5"/>
  <c r="AT283" i="17"/>
  <c r="AW283" i="17" s="1"/>
  <c r="AT582" i="17"/>
  <c r="AW582" i="17" s="1"/>
  <c r="Q373" i="5"/>
  <c r="AT374" i="17"/>
  <c r="AW374" i="17" s="1"/>
  <c r="AT673" i="17"/>
  <c r="AW673" i="17" s="1"/>
  <c r="Q467" i="5"/>
  <c r="AT767" i="17"/>
  <c r="AW767" i="17" s="1"/>
  <c r="Q277" i="5"/>
  <c r="AT278" i="17"/>
  <c r="AW278" i="17" s="1"/>
  <c r="AT577" i="17"/>
  <c r="AW577" i="17" s="1"/>
  <c r="Q347" i="5"/>
  <c r="AT348" i="17"/>
  <c r="AW348" i="17" s="1"/>
  <c r="AT647" i="17"/>
  <c r="AW647" i="17" s="1"/>
  <c r="Q509" i="5"/>
  <c r="AT809" i="17"/>
  <c r="AW809" i="17" s="1"/>
  <c r="Q729" i="5"/>
  <c r="AT1029" i="17"/>
  <c r="AW1029" i="17" s="1"/>
  <c r="Q333" i="5"/>
  <c r="AT334" i="17"/>
  <c r="AW334" i="17" s="1"/>
  <c r="AT633" i="17"/>
  <c r="AW633" i="17" s="1"/>
  <c r="Q380" i="5"/>
  <c r="AT381" i="17"/>
  <c r="AW381" i="17" s="1"/>
  <c r="AT680" i="17"/>
  <c r="AW680" i="17" s="1"/>
  <c r="Q480" i="5"/>
  <c r="AT780" i="17"/>
  <c r="AW780" i="17" s="1"/>
  <c r="Q591" i="5"/>
  <c r="AT891" i="17"/>
  <c r="AW891" i="17" s="1"/>
  <c r="Q344" i="5"/>
  <c r="AT345" i="17"/>
  <c r="AW345" i="17" s="1"/>
  <c r="AT644" i="17"/>
  <c r="AW644" i="17" s="1"/>
  <c r="Q413" i="5"/>
  <c r="AT713" i="17"/>
  <c r="AW713" i="17" s="1"/>
  <c r="Q535" i="5"/>
  <c r="AT835" i="17"/>
  <c r="AW835" i="17" s="1"/>
  <c r="Q449" i="5"/>
  <c r="AT749" i="17"/>
  <c r="AW749" i="17" s="1"/>
  <c r="Q478" i="5"/>
  <c r="AT778" i="17"/>
  <c r="AW778" i="17" s="1"/>
  <c r="Q501" i="5"/>
  <c r="AT801" i="17"/>
  <c r="AW801" i="17" s="1"/>
  <c r="Q551" i="5"/>
  <c r="AT851" i="17"/>
  <c r="AW851" i="17" s="1"/>
  <c r="Q634" i="5"/>
  <c r="AT934" i="17"/>
  <c r="AW934" i="17" s="1"/>
  <c r="Q442" i="5"/>
  <c r="AT742" i="17"/>
  <c r="AW742" i="17" s="1"/>
  <c r="Q494" i="5"/>
  <c r="AT794" i="17"/>
  <c r="AW794" i="17" s="1"/>
  <c r="Q548" i="5"/>
  <c r="AT848" i="17"/>
  <c r="AW848" i="17" s="1"/>
  <c r="Q628" i="5"/>
  <c r="AT928" i="17"/>
  <c r="AW928" i="17" s="1"/>
  <c r="Q650" i="5"/>
  <c r="AT950" i="17"/>
  <c r="AW950" i="17" s="1"/>
  <c r="Q715" i="5"/>
  <c r="AT1015" i="17"/>
  <c r="AW1015" i="17" s="1"/>
  <c r="Q584" i="5"/>
  <c r="AT884" i="17"/>
  <c r="AW884" i="17" s="1"/>
  <c r="Q647" i="5"/>
  <c r="AT947" i="17"/>
  <c r="AW947" i="17" s="1"/>
  <c r="Q705" i="5"/>
  <c r="AT1005" i="17"/>
  <c r="AW1005" i="17" s="1"/>
  <c r="Q854" i="5"/>
  <c r="AT1154" i="17"/>
  <c r="AW1154" i="17" s="1"/>
  <c r="Q726" i="5"/>
  <c r="AT1026" i="17"/>
  <c r="AW1026" i="17" s="1"/>
  <c r="Q853" i="5"/>
  <c r="AT1153" i="17"/>
  <c r="AW1153" i="17" s="1"/>
  <c r="Q196" i="5"/>
  <c r="AT197" i="17"/>
  <c r="AW197" i="17" s="1"/>
  <c r="AT496" i="17"/>
  <c r="AW496" i="17" s="1"/>
  <c r="Q120" i="5"/>
  <c r="AT121" i="17"/>
  <c r="AW121" i="17" s="1"/>
  <c r="AT420" i="17"/>
  <c r="AW420" i="17" s="1"/>
  <c r="Q73" i="5"/>
  <c r="AT74" i="17"/>
  <c r="AW74" i="17" s="1"/>
  <c r="Q13" i="5"/>
  <c r="AT14" i="17"/>
  <c r="AW14" i="17" s="1"/>
  <c r="S275" i="5"/>
  <c r="AY276" i="17"/>
  <c r="BB276" i="17" s="1"/>
  <c r="AY575" i="17"/>
  <c r="BB575" i="17" s="1"/>
  <c r="S322" i="5"/>
  <c r="AY323" i="17"/>
  <c r="BB323" i="17" s="1"/>
  <c r="AY622" i="17"/>
  <c r="BB622" i="17" s="1"/>
  <c r="S363" i="5"/>
  <c r="AY364" i="17"/>
  <c r="BB364" i="17" s="1"/>
  <c r="AY663" i="17"/>
  <c r="BB663" i="17" s="1"/>
  <c r="S418" i="5"/>
  <c r="AY718" i="17"/>
  <c r="BB718" i="17" s="1"/>
  <c r="S496" i="5"/>
  <c r="AY796" i="17"/>
  <c r="BB796" i="17" s="1"/>
  <c r="S575" i="5"/>
  <c r="AY875" i="17"/>
  <c r="BB875" i="17" s="1"/>
  <c r="S654" i="5"/>
  <c r="AY954" i="17"/>
  <c r="BB954" i="17" s="1"/>
  <c r="S716" i="5"/>
  <c r="AY1016" i="17"/>
  <c r="BB1016" i="17" s="1"/>
  <c r="S760" i="5"/>
  <c r="AY1060" i="17"/>
  <c r="BB1060" i="17" s="1"/>
  <c r="S832" i="5"/>
  <c r="AY1132" i="17"/>
  <c r="BB1132" i="17" s="1"/>
  <c r="S852" i="5"/>
  <c r="AY1152" i="17"/>
  <c r="BB1152" i="17" s="1"/>
  <c r="S42" i="5"/>
  <c r="AY43" i="17"/>
  <c r="BB43" i="17" s="1"/>
  <c r="S113" i="5"/>
  <c r="AY114" i="17"/>
  <c r="BB114" i="17" s="1"/>
  <c r="AY413" i="17"/>
  <c r="BB413" i="17" s="1"/>
  <c r="S167" i="5"/>
  <c r="AY168" i="17"/>
  <c r="BB168" i="17" s="1"/>
  <c r="AY467" i="17"/>
  <c r="BB467" i="17" s="1"/>
  <c r="S216" i="5"/>
  <c r="AY217" i="17"/>
  <c r="BB217" i="17" s="1"/>
  <c r="AY516" i="17"/>
  <c r="BB516" i="17" s="1"/>
  <c r="S264" i="5"/>
  <c r="AY265" i="17"/>
  <c r="BB265" i="17" s="1"/>
  <c r="AY564" i="17"/>
  <c r="BB564" i="17" s="1"/>
  <c r="S305" i="5"/>
  <c r="AY306" i="17"/>
  <c r="BB306" i="17" s="1"/>
  <c r="AY605" i="17"/>
  <c r="BB605" i="17" s="1"/>
  <c r="S380" i="5"/>
  <c r="AY381" i="17"/>
  <c r="BB381" i="17" s="1"/>
  <c r="AY680" i="17"/>
  <c r="BB680" i="17" s="1"/>
  <c r="S435" i="5"/>
  <c r="AY735" i="17"/>
  <c r="BB735" i="17" s="1"/>
  <c r="S479" i="5"/>
  <c r="AY779" i="17"/>
  <c r="BB779" i="17" s="1"/>
  <c r="S514" i="5"/>
  <c r="AY814" i="17"/>
  <c r="BB814" i="17" s="1"/>
  <c r="S573" i="5"/>
  <c r="AY873" i="17"/>
  <c r="BB873" i="17" s="1"/>
  <c r="S627" i="5"/>
  <c r="AY927" i="17"/>
  <c r="BB927" i="17" s="1"/>
  <c r="S737" i="5"/>
  <c r="AY1037" i="17"/>
  <c r="BB1037" i="17" s="1"/>
  <c r="S812" i="5"/>
  <c r="AY1112" i="17"/>
  <c r="BB1112" i="17" s="1"/>
  <c r="S848" i="5"/>
  <c r="AY1148" i="17"/>
  <c r="BB1148" i="17" s="1"/>
  <c r="S571" i="5"/>
  <c r="AY871" i="17"/>
  <c r="BB871" i="17" s="1"/>
  <c r="S639" i="5"/>
  <c r="AY939" i="17"/>
  <c r="BB939" i="17" s="1"/>
  <c r="S717" i="5"/>
  <c r="AY1017" i="17"/>
  <c r="BB1017" i="17" s="1"/>
  <c r="S765" i="5"/>
  <c r="AY1065" i="17"/>
  <c r="BB1065" i="17" s="1"/>
  <c r="S831" i="5"/>
  <c r="AY1131" i="17"/>
  <c r="BB1131" i="17" s="1"/>
  <c r="S739" i="5"/>
  <c r="AY1039" i="17"/>
  <c r="BB1039" i="17" s="1"/>
  <c r="S524" i="5"/>
  <c r="AY824" i="17"/>
  <c r="BB824" i="17" s="1"/>
  <c r="S446" i="5"/>
  <c r="AY746" i="17"/>
  <c r="BB746" i="17" s="1"/>
  <c r="S352" i="5"/>
  <c r="AY353" i="17"/>
  <c r="BB353" i="17" s="1"/>
  <c r="AY652" i="17"/>
  <c r="BB652" i="17" s="1"/>
  <c r="S558" i="5"/>
  <c r="AY858" i="17"/>
  <c r="BB858" i="17" s="1"/>
  <c r="S175" i="5"/>
  <c r="AY176" i="17"/>
  <c r="BB176" i="17" s="1"/>
  <c r="AY475" i="17"/>
  <c r="BB475" i="17" s="1"/>
  <c r="S819" i="5"/>
  <c r="AY1119" i="17"/>
  <c r="BB1119" i="17" s="1"/>
  <c r="S452" i="5"/>
  <c r="AY752" i="17"/>
  <c r="BB752" i="17" s="1"/>
  <c r="S221" i="5"/>
  <c r="AY222" i="17"/>
  <c r="BB222" i="17" s="1"/>
  <c r="AY521" i="17"/>
  <c r="BB521" i="17" s="1"/>
  <c r="S93" i="5"/>
  <c r="AY94" i="17"/>
  <c r="BB94" i="17" s="1"/>
  <c r="AY393" i="17"/>
  <c r="BB393" i="17" s="1"/>
  <c r="S11" i="5"/>
  <c r="AY12" i="17"/>
  <c r="BB12" i="17" s="1"/>
  <c r="S58" i="5"/>
  <c r="AY59" i="17"/>
  <c r="BB59" i="17" s="1"/>
  <c r="S137" i="5"/>
  <c r="AY138" i="17"/>
  <c r="BB138" i="17" s="1"/>
  <c r="AY437" i="17"/>
  <c r="BB437" i="17" s="1"/>
  <c r="S208" i="5"/>
  <c r="AY209" i="17"/>
  <c r="BB209" i="17" s="1"/>
  <c r="AY508" i="17"/>
  <c r="BB508" i="17" s="1"/>
  <c r="S312" i="5"/>
  <c r="AY313" i="17"/>
  <c r="BB313" i="17" s="1"/>
  <c r="AY612" i="17"/>
  <c r="BB612" i="17" s="1"/>
  <c r="S485" i="5"/>
  <c r="AY785" i="17"/>
  <c r="BB785" i="17" s="1"/>
  <c r="S636" i="5"/>
  <c r="AY936" i="17"/>
  <c r="BB936" i="17" s="1"/>
  <c r="S790" i="5"/>
  <c r="AY1090" i="17"/>
  <c r="BB1090" i="17" s="1"/>
  <c r="S51" i="5"/>
  <c r="AY52" i="17"/>
  <c r="BB52" i="17" s="1"/>
  <c r="S108" i="5"/>
  <c r="AY109" i="17"/>
  <c r="BB109" i="17" s="1"/>
  <c r="AY408" i="17"/>
  <c r="BB408" i="17" s="1"/>
  <c r="S214" i="5"/>
  <c r="AY215" i="17"/>
  <c r="BB215" i="17" s="1"/>
  <c r="AY514" i="17"/>
  <c r="BB514" i="17" s="1"/>
  <c r="S381" i="5"/>
  <c r="AY382" i="17"/>
  <c r="BB382" i="17" s="1"/>
  <c r="AY681" i="17"/>
  <c r="BB681" i="17" s="1"/>
  <c r="S548" i="5"/>
  <c r="AY848" i="17"/>
  <c r="BB848" i="17" s="1"/>
  <c r="S748" i="5"/>
  <c r="AY1048" i="17"/>
  <c r="BB1048" i="17" s="1"/>
  <c r="S136" i="5"/>
  <c r="AY137" i="17"/>
  <c r="BB137" i="17" s="1"/>
  <c r="AY436" i="17"/>
  <c r="BB436" i="17" s="1"/>
  <c r="S205" i="5"/>
  <c r="AY206" i="17"/>
  <c r="BB206" i="17" s="1"/>
  <c r="AY505" i="17"/>
  <c r="BB505" i="17" s="1"/>
  <c r="S333" i="5"/>
  <c r="AY334" i="17"/>
  <c r="BB334" i="17" s="1"/>
  <c r="AY633" i="17"/>
  <c r="BB633" i="17" s="1"/>
  <c r="S490" i="5"/>
  <c r="AY790" i="17"/>
  <c r="BB790" i="17" s="1"/>
  <c r="S597" i="5"/>
  <c r="AY897" i="17"/>
  <c r="BB897" i="17" s="1"/>
  <c r="S782" i="5"/>
  <c r="AY1082" i="17"/>
  <c r="BB1082" i="17" s="1"/>
  <c r="S248" i="5"/>
  <c r="AY249" i="17"/>
  <c r="BB249" i="17" s="1"/>
  <c r="AY548" i="17"/>
  <c r="BB548" i="17" s="1"/>
  <c r="S16" i="5"/>
  <c r="AY17" i="17"/>
  <c r="BB17" i="17" s="1"/>
  <c r="U823" i="5"/>
  <c r="BD1123" i="17"/>
  <c r="BG1123" i="17" s="1"/>
  <c r="U743" i="5"/>
  <c r="BD1043" i="17"/>
  <c r="BG1043" i="17" s="1"/>
  <c r="U864" i="5"/>
  <c r="BD1164" i="17"/>
  <c r="BG1164" i="17" s="1"/>
  <c r="U736" i="5"/>
  <c r="BD1036" i="17"/>
  <c r="BG1036" i="17" s="1"/>
  <c r="U533" i="5"/>
  <c r="BD833" i="17"/>
  <c r="BG833" i="17" s="1"/>
  <c r="U590" i="5"/>
  <c r="BD890" i="17"/>
  <c r="BG890" i="17" s="1"/>
  <c r="U653" i="5"/>
  <c r="BD953" i="17"/>
  <c r="BG953" i="17" s="1"/>
  <c r="U764" i="5"/>
  <c r="BD1064" i="17"/>
  <c r="BG1064" i="17" s="1"/>
  <c r="U862" i="5"/>
  <c r="BD1162" i="17"/>
  <c r="BG1162" i="17" s="1"/>
  <c r="U542" i="5"/>
  <c r="BD842" i="17"/>
  <c r="BG842" i="17" s="1"/>
  <c r="U600" i="5"/>
  <c r="BD900" i="17"/>
  <c r="BG900" i="17" s="1"/>
  <c r="U652" i="5"/>
  <c r="BD952" i="17"/>
  <c r="BG952" i="17" s="1"/>
  <c r="U754" i="5"/>
  <c r="BD1054" i="17"/>
  <c r="BG1054" i="17" s="1"/>
  <c r="O790" i="5"/>
  <c r="AO1090" i="17"/>
  <c r="AR1090" i="17" s="1"/>
  <c r="O792" i="5"/>
  <c r="AO1092" i="17"/>
  <c r="AR1092" i="17" s="1"/>
  <c r="O789" i="5"/>
  <c r="AO1089" i="17"/>
  <c r="AR1089" i="17" s="1"/>
  <c r="O752" i="5"/>
  <c r="AO1052" i="17"/>
  <c r="AR1052" i="17" s="1"/>
  <c r="O111" i="5"/>
  <c r="AO112" i="17" s="1"/>
  <c r="AR112" i="17" s="1"/>
  <c r="O162" i="5"/>
  <c r="AO163" i="17" s="1"/>
  <c r="AR163" i="17" s="1"/>
  <c r="O207" i="5"/>
  <c r="AO208" i="17" s="1"/>
  <c r="AR208" i="17" s="1"/>
  <c r="O256" i="5"/>
  <c r="AO257" i="17" s="1"/>
  <c r="AR257" i="17" s="1"/>
  <c r="O316" i="5"/>
  <c r="AO317" i="17" s="1"/>
  <c r="AR317" i="17" s="1"/>
  <c r="O400" i="5"/>
  <c r="AO700" i="17" s="1"/>
  <c r="AR700" i="17" s="1"/>
  <c r="O442" i="5"/>
  <c r="AO742" i="17"/>
  <c r="AR742" i="17" s="1"/>
  <c r="O501" i="5"/>
  <c r="AO801" i="17"/>
  <c r="AR801" i="17" s="1"/>
  <c r="O587" i="5"/>
  <c r="AO887" i="17"/>
  <c r="AR887" i="17" s="1"/>
  <c r="O650" i="5"/>
  <c r="AO950" i="17"/>
  <c r="AR950" i="17" s="1"/>
  <c r="O696" i="5"/>
  <c r="AO996" i="17"/>
  <c r="AR996" i="17" s="1"/>
  <c r="O55" i="5"/>
  <c r="AO56" i="17" s="1"/>
  <c r="AR56" i="17" s="1"/>
  <c r="O119" i="5"/>
  <c r="AO419" i="17" s="1"/>
  <c r="AR419" i="17" s="1"/>
  <c r="AO120" i="17"/>
  <c r="AR120" i="17" s="1"/>
  <c r="O163" i="5"/>
  <c r="AO164" i="17" s="1"/>
  <c r="AR164" i="17" s="1"/>
  <c r="O240" i="5"/>
  <c r="AO241" i="17" s="1"/>
  <c r="AR241" i="17" s="1"/>
  <c r="O279" i="5"/>
  <c r="AO280" i="17" s="1"/>
  <c r="AR280" i="17" s="1"/>
  <c r="O327" i="5"/>
  <c r="AO627" i="17" s="1"/>
  <c r="AR627" i="17" s="1"/>
  <c r="AO328" i="17"/>
  <c r="AR328" i="17" s="1"/>
  <c r="O375" i="5"/>
  <c r="AO376" i="17" s="1"/>
  <c r="AR376" i="17" s="1"/>
  <c r="O430" i="5"/>
  <c r="AO730" i="17"/>
  <c r="AR730" i="17" s="1"/>
  <c r="O498" i="5"/>
  <c r="AO798" i="17"/>
  <c r="AR798" i="17" s="1"/>
  <c r="O568" i="5"/>
  <c r="AO868" i="17"/>
  <c r="AR868" i="17" s="1"/>
  <c r="O634" i="5"/>
  <c r="AO934" i="17"/>
  <c r="AR934" i="17" s="1"/>
  <c r="O683" i="5"/>
  <c r="AO983" i="17"/>
  <c r="AR983" i="17" s="1"/>
  <c r="O741" i="5"/>
  <c r="AO1041" i="17"/>
  <c r="AR1041" i="17" s="1"/>
  <c r="O340" i="5"/>
  <c r="AO640" i="17" s="1"/>
  <c r="AR640" i="17" s="1"/>
  <c r="AO341" i="17"/>
  <c r="AR341" i="17" s="1"/>
  <c r="O394" i="5"/>
  <c r="AO694" i="17" s="1"/>
  <c r="AR694" i="17" s="1"/>
  <c r="O436" i="5"/>
  <c r="AO736" i="17"/>
  <c r="AR736" i="17" s="1"/>
  <c r="O490" i="5"/>
  <c r="AO790" i="17"/>
  <c r="AR790" i="17" s="1"/>
  <c r="O553" i="5"/>
  <c r="AO853" i="17"/>
  <c r="AR853" i="17" s="1"/>
  <c r="O609" i="5"/>
  <c r="AO909" i="17"/>
  <c r="AR909" i="17" s="1"/>
  <c r="O647" i="5"/>
  <c r="AO947" i="17"/>
  <c r="AR947" i="17" s="1"/>
  <c r="O707" i="5"/>
  <c r="AO1007" i="17"/>
  <c r="AR1007" i="17" s="1"/>
  <c r="O852" i="5"/>
  <c r="AO1152" i="17"/>
  <c r="AR1152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S803" i="5"/>
  <c r="AY1103" i="17"/>
  <c r="BB1103" i="17" s="1"/>
  <c r="S830" i="5"/>
  <c r="AY1130" i="17"/>
  <c r="BB1130" i="17" s="1"/>
  <c r="S837" i="5"/>
  <c r="AY1137" i="17"/>
  <c r="BB1137" i="17" s="1"/>
  <c r="S740" i="5"/>
  <c r="AY1040" i="17"/>
  <c r="BB1040" i="17" s="1"/>
  <c r="S704" i="5"/>
  <c r="AY1004" i="17"/>
  <c r="BB1004" i="17" s="1"/>
  <c r="S566" i="5"/>
  <c r="AY866" i="17"/>
  <c r="BB866" i="17" s="1"/>
  <c r="S509" i="5"/>
  <c r="AY809" i="17"/>
  <c r="BB809" i="17" s="1"/>
  <c r="S478" i="5"/>
  <c r="AY778" i="17"/>
  <c r="BB778" i="17" s="1"/>
  <c r="S447" i="5"/>
  <c r="AY747" i="17"/>
  <c r="BB747" i="17" s="1"/>
  <c r="S432" i="5"/>
  <c r="AY732" i="17"/>
  <c r="BB732" i="17" s="1"/>
  <c r="S397" i="5"/>
  <c r="AY697" i="17"/>
  <c r="BB697" i="17" s="1"/>
  <c r="S793" i="5"/>
  <c r="AY1093" i="17"/>
  <c r="BB1093" i="17" s="1"/>
  <c r="S685" i="5"/>
  <c r="AY985" i="17"/>
  <c r="BB985" i="17" s="1"/>
  <c r="S412" i="5"/>
  <c r="AY712" i="17"/>
  <c r="BB712" i="17" s="1"/>
  <c r="S218" i="5"/>
  <c r="AY219" i="17"/>
  <c r="BB219" i="17" s="1"/>
  <c r="AY518" i="17"/>
  <c r="BB518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820" i="5"/>
  <c r="AY1120" i="17"/>
  <c r="BB1120" i="17" s="1"/>
  <c r="S756" i="5"/>
  <c r="AY1056" i="17"/>
  <c r="BB1056" i="17" s="1"/>
  <c r="S480" i="5"/>
  <c r="AY780" i="17"/>
  <c r="BB780" i="17" s="1"/>
  <c r="S231" i="5"/>
  <c r="AY232" i="17"/>
  <c r="BB232" i="17" s="1"/>
  <c r="AY531" i="17"/>
  <c r="BB531" i="17" s="1"/>
  <c r="S24" i="5"/>
  <c r="AY25" i="17"/>
  <c r="BB25" i="17" s="1"/>
  <c r="S56" i="5"/>
  <c r="AY57" i="17"/>
  <c r="BB57" i="17" s="1"/>
  <c r="S77" i="5"/>
  <c r="AY78" i="17"/>
  <c r="BB78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96" i="5"/>
  <c r="AY696" i="17"/>
  <c r="BB696" i="17" s="1"/>
  <c r="S461" i="5"/>
  <c r="AY761" i="17"/>
  <c r="BB761" i="17" s="1"/>
  <c r="S563" i="5"/>
  <c r="AY863" i="17"/>
  <c r="BB863" i="17" s="1"/>
  <c r="S635" i="5"/>
  <c r="AY935" i="17"/>
  <c r="BB935" i="17" s="1"/>
  <c r="S684" i="5"/>
  <c r="AY984" i="17"/>
  <c r="BB984" i="17" s="1"/>
  <c r="S789" i="5"/>
  <c r="AY1089" i="17"/>
  <c r="BB1089" i="17" s="1"/>
  <c r="S18" i="5"/>
  <c r="AY19" i="17"/>
  <c r="BB19" i="17" s="1"/>
  <c r="S49" i="5"/>
  <c r="AY50" i="17"/>
  <c r="BB50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93" i="5"/>
  <c r="AY693" i="17"/>
  <c r="BB693" i="17" s="1"/>
  <c r="S436" i="5"/>
  <c r="AY736" i="17"/>
  <c r="BB736" i="17" s="1"/>
  <c r="S543" i="5"/>
  <c r="AY843" i="17"/>
  <c r="BB843" i="17" s="1"/>
  <c r="S628" i="5"/>
  <c r="AY928" i="17"/>
  <c r="BB928" i="17" s="1"/>
  <c r="S710" i="5"/>
  <c r="AY1010" i="17"/>
  <c r="BB1010" i="17" s="1"/>
  <c r="S738" i="5"/>
  <c r="AY1038" i="17"/>
  <c r="BB1038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43" i="5"/>
  <c r="AY344" i="17"/>
  <c r="BB344" i="17" s="1"/>
  <c r="AY643" i="17"/>
  <c r="BB643" i="17" s="1"/>
  <c r="S389" i="5"/>
  <c r="AY689" i="17"/>
  <c r="BB689" i="17" s="1"/>
  <c r="S451" i="5"/>
  <c r="AY751" i="17"/>
  <c r="BB751" i="17" s="1"/>
  <c r="S510" i="5"/>
  <c r="AY810" i="17"/>
  <c r="BB810" i="17" s="1"/>
  <c r="S586" i="5"/>
  <c r="AY886" i="17"/>
  <c r="BB886" i="17" s="1"/>
  <c r="S611" i="5"/>
  <c r="AY911" i="17"/>
  <c r="BB911" i="17" s="1"/>
  <c r="S706" i="5"/>
  <c r="AY1006" i="17"/>
  <c r="BB1006" i="17" s="1"/>
  <c r="S859" i="5"/>
  <c r="AY1159" i="17"/>
  <c r="BB1159" i="17" s="1"/>
  <c r="S583" i="5"/>
  <c r="AY883" i="17"/>
  <c r="BB883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27" i="5"/>
  <c r="AY28" i="17"/>
  <c r="BB28" i="17" s="1"/>
  <c r="U852" i="5"/>
  <c r="BD1152" i="17"/>
  <c r="BG1152" i="17" s="1"/>
  <c r="U841" i="5"/>
  <c r="BD1141" i="17"/>
  <c r="BG1141" i="17" s="1"/>
  <c r="U813" i="5"/>
  <c r="BD1113" i="17"/>
  <c r="BG1113" i="17" s="1"/>
  <c r="U788" i="5"/>
  <c r="BD1088" i="17"/>
  <c r="BG1088" i="17" s="1"/>
  <c r="U758" i="5"/>
  <c r="BD1058" i="17"/>
  <c r="BG1058" i="17" s="1"/>
  <c r="U716" i="5"/>
  <c r="BD1016" i="17"/>
  <c r="BG1016" i="17" s="1"/>
  <c r="U687" i="5"/>
  <c r="BD987" i="17"/>
  <c r="BG987" i="17" s="1"/>
  <c r="U667" i="5"/>
  <c r="BD967" i="17"/>
  <c r="BG967" i="17" s="1"/>
  <c r="U778" i="5"/>
  <c r="BD1078" i="17"/>
  <c r="BG1078" i="17" s="1"/>
  <c r="U749" i="5"/>
  <c r="BD1049" i="17"/>
  <c r="BG1049" i="17" s="1"/>
  <c r="U498" i="5"/>
  <c r="BD798" i="17"/>
  <c r="BG798" i="17" s="1"/>
  <c r="U517" i="5"/>
  <c r="BD817" i="17"/>
  <c r="BG817" i="17" s="1"/>
  <c r="U549" i="5"/>
  <c r="BD849" i="17"/>
  <c r="BG849" i="17" s="1"/>
  <c r="U564" i="5"/>
  <c r="BD864" i="17"/>
  <c r="BG864" i="17" s="1"/>
  <c r="U587" i="5"/>
  <c r="BD887" i="17"/>
  <c r="BG887" i="17" s="1"/>
  <c r="U602" i="5"/>
  <c r="BD902" i="17"/>
  <c r="BG902" i="17" s="1"/>
  <c r="U629" i="5"/>
  <c r="BD929" i="17"/>
  <c r="BG929" i="17" s="1"/>
  <c r="U642" i="5"/>
  <c r="BD942" i="17"/>
  <c r="BG942" i="17" s="1"/>
  <c r="U703" i="5"/>
  <c r="BD1003" i="17"/>
  <c r="BG1003" i="17" s="1"/>
  <c r="U761" i="5"/>
  <c r="BD1061" i="17"/>
  <c r="BG1061" i="17" s="1"/>
  <c r="U817" i="5"/>
  <c r="BD1117" i="17"/>
  <c r="BG1117" i="17" s="1"/>
  <c r="U836" i="5"/>
  <c r="BD1136" i="17"/>
  <c r="BG1136" i="17" s="1"/>
  <c r="U861" i="5"/>
  <c r="BD1161" i="17"/>
  <c r="BG1161" i="17" s="1"/>
  <c r="U520" i="5"/>
  <c r="BD820" i="17"/>
  <c r="BG820" i="17" s="1"/>
  <c r="U539" i="5"/>
  <c r="BD839" i="17"/>
  <c r="BG839" i="17" s="1"/>
  <c r="U578" i="5"/>
  <c r="BD878" i="17"/>
  <c r="BG878" i="17" s="1"/>
  <c r="U597" i="5"/>
  <c r="BD897" i="17"/>
  <c r="BG897" i="17" s="1"/>
  <c r="U633" i="5"/>
  <c r="BD933" i="17"/>
  <c r="BG933" i="17" s="1"/>
  <c r="U649" i="5"/>
  <c r="BD949" i="17"/>
  <c r="BG949" i="17" s="1"/>
  <c r="U685" i="5"/>
  <c r="BD985" i="17"/>
  <c r="BG985" i="17" s="1"/>
  <c r="U706" i="5"/>
  <c r="BD1006" i="17"/>
  <c r="BG1006" i="17" s="1"/>
  <c r="U746" i="5"/>
  <c r="BD1046" i="17"/>
  <c r="BG1046" i="17" s="1"/>
  <c r="U752" i="5"/>
  <c r="BD1052" i="17"/>
  <c r="BG1052" i="17" s="1"/>
  <c r="U806" i="5"/>
  <c r="BD1106" i="17"/>
  <c r="BG1106" i="17" s="1"/>
  <c r="U857" i="5"/>
  <c r="BD1157" i="17"/>
  <c r="BG1157" i="17" s="1"/>
  <c r="O819" i="5"/>
  <c r="AO1119" i="17"/>
  <c r="AR1119" i="17" s="1"/>
  <c r="O794" i="5"/>
  <c r="AO1094" i="17"/>
  <c r="AR1094" i="17" s="1"/>
  <c r="O754" i="5"/>
  <c r="AO1054" i="17"/>
  <c r="AR1054" i="17" s="1"/>
  <c r="O796" i="5"/>
  <c r="AO1096" i="17"/>
  <c r="AR1096" i="17" s="1"/>
  <c r="O756" i="5"/>
  <c r="AO1056" i="17"/>
  <c r="AR1056" i="17" s="1"/>
  <c r="O782" i="5"/>
  <c r="AO1082" i="17"/>
  <c r="AR1082" i="17" s="1"/>
  <c r="O755" i="5"/>
  <c r="AO1055" i="17"/>
  <c r="AR1055" i="17" s="1"/>
  <c r="O97" i="5"/>
  <c r="AO397" i="17" s="1"/>
  <c r="AR397" i="17" s="1"/>
  <c r="O109" i="5"/>
  <c r="AO110" i="17" s="1"/>
  <c r="AR110" i="17" s="1"/>
  <c r="O140" i="5"/>
  <c r="AO141" i="17" s="1"/>
  <c r="AR141" i="17" s="1"/>
  <c r="O158" i="5"/>
  <c r="AO159" i="17" s="1"/>
  <c r="AR159" i="17" s="1"/>
  <c r="O192" i="5"/>
  <c r="AO492" i="17" s="1"/>
  <c r="AR492" i="17" s="1"/>
  <c r="O205" i="5"/>
  <c r="AO206" i="17" s="1"/>
  <c r="AR206" i="17" s="1"/>
  <c r="O234" i="5"/>
  <c r="AO235" i="17" s="1"/>
  <c r="AR235" i="17" s="1"/>
  <c r="O272" i="5"/>
  <c r="AO273" i="17" s="1"/>
  <c r="AR273" i="17" s="1"/>
  <c r="AO572" i="17"/>
  <c r="AR572" i="17" s="1"/>
  <c r="O301" i="5"/>
  <c r="AO601" i="17" s="1"/>
  <c r="AR601" i="17" s="1"/>
  <c r="O314" i="5"/>
  <c r="AO315" i="17" s="1"/>
  <c r="AR315" i="17" s="1"/>
  <c r="O354" i="5"/>
  <c r="AO355" i="17" s="1"/>
  <c r="AR355" i="17" s="1"/>
  <c r="O380" i="5"/>
  <c r="AO381" i="17" s="1"/>
  <c r="AR381" i="17" s="1"/>
  <c r="AO680" i="17"/>
  <c r="AR680" i="17" s="1"/>
  <c r="O434" i="5"/>
  <c r="AO734" i="17"/>
  <c r="AR734" i="17" s="1"/>
  <c r="O465" i="5"/>
  <c r="AO765" i="17"/>
  <c r="AR765" i="17" s="1"/>
  <c r="O497" i="5"/>
  <c r="AO797" i="17"/>
  <c r="AR797" i="17" s="1"/>
  <c r="O519" i="5"/>
  <c r="AO819" i="17"/>
  <c r="AR819" i="17" s="1"/>
  <c r="O566" i="5"/>
  <c r="AO866" i="17"/>
  <c r="AR866" i="17" s="1"/>
  <c r="O582" i="5"/>
  <c r="AO882" i="17"/>
  <c r="AR882" i="17" s="1"/>
  <c r="O597" i="5"/>
  <c r="AO897" i="17"/>
  <c r="AR897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/>
  <c r="AR36" i="17" s="1"/>
  <c r="O51" i="5"/>
  <c r="AO52" i="17" s="1"/>
  <c r="AR52" i="17" s="1"/>
  <c r="O83" i="5"/>
  <c r="AO84" i="17"/>
  <c r="AR84" i="17" s="1"/>
  <c r="O98" i="5"/>
  <c r="AO398" i="17" s="1"/>
  <c r="AR398" i="17" s="1"/>
  <c r="O131" i="5"/>
  <c r="AO132" i="17" s="1"/>
  <c r="AR132" i="17" s="1"/>
  <c r="O159" i="5"/>
  <c r="AO160" i="17" s="1"/>
  <c r="AR160" i="17" s="1"/>
  <c r="O177" i="5"/>
  <c r="AO178" i="17" s="1"/>
  <c r="AR178" i="17" s="1"/>
  <c r="O213" i="5"/>
  <c r="AO513" i="17" s="1"/>
  <c r="AR513" i="17" s="1"/>
  <c r="AO214" i="17"/>
  <c r="AR214" i="17" s="1"/>
  <c r="O238" i="5"/>
  <c r="AO239" i="17" s="1"/>
  <c r="AR239" i="17" s="1"/>
  <c r="O263" i="5"/>
  <c r="AO264" i="17" s="1"/>
  <c r="AR264" i="17" s="1"/>
  <c r="O277" i="5"/>
  <c r="AO278" i="17" s="1"/>
  <c r="AR278" i="17" s="1"/>
  <c r="AO577" i="17"/>
  <c r="AR577" i="17" s="1"/>
  <c r="O307" i="5"/>
  <c r="AO607" i="17" s="1"/>
  <c r="AR607" i="17" s="1"/>
  <c r="O322" i="5"/>
  <c r="AO323" i="17" s="1"/>
  <c r="AR323" i="17" s="1"/>
  <c r="O361" i="5"/>
  <c r="AO362" i="17" s="1"/>
  <c r="AR362" i="17" s="1"/>
  <c r="O373" i="5"/>
  <c r="AO374" i="17" s="1"/>
  <c r="AR374" i="17" s="1"/>
  <c r="O406" i="5"/>
  <c r="AO706" i="17" s="1"/>
  <c r="AR706" i="17" s="1"/>
  <c r="O455" i="5"/>
  <c r="AO755" i="17"/>
  <c r="AR755" i="17" s="1"/>
  <c r="O480" i="5"/>
  <c r="AO780" i="17"/>
  <c r="AR780" i="17" s="1"/>
  <c r="O512" i="5"/>
  <c r="AO812" i="17"/>
  <c r="AR812" i="17" s="1"/>
  <c r="O537" i="5"/>
  <c r="AO837" i="17"/>
  <c r="AR837" i="17" s="1"/>
  <c r="O577" i="5"/>
  <c r="AO877" i="17"/>
  <c r="AR877" i="17" s="1"/>
  <c r="O600" i="5"/>
  <c r="AO900" i="17"/>
  <c r="AR900" i="17" s="1"/>
  <c r="O628" i="5"/>
  <c r="AO928" i="17"/>
  <c r="AR928" i="17" s="1"/>
  <c r="O646" i="5"/>
  <c r="AO946" i="17"/>
  <c r="AR946" i="17" s="1"/>
  <c r="O682" i="5"/>
  <c r="AO982" i="17"/>
  <c r="AR982" i="17" s="1"/>
  <c r="O694" i="5"/>
  <c r="AO994" i="17"/>
  <c r="AR994" i="17" s="1"/>
  <c r="O733" i="5"/>
  <c r="AO1033" i="17"/>
  <c r="AR1033" i="17" s="1"/>
  <c r="O791" i="5"/>
  <c r="AO1091" i="17"/>
  <c r="AR1091" i="17" s="1"/>
  <c r="O337" i="5"/>
  <c r="AO637" i="17" s="1"/>
  <c r="AR637" i="17" s="1"/>
  <c r="AO338" i="17"/>
  <c r="AR338" i="17" s="1"/>
  <c r="O377" i="5"/>
  <c r="AO378" i="17" s="1"/>
  <c r="AR378" i="17" s="1"/>
  <c r="O392" i="5"/>
  <c r="AO692" i="17" s="1"/>
  <c r="AR692" i="17" s="1"/>
  <c r="O405" i="5"/>
  <c r="AO705" i="17" s="1"/>
  <c r="AR705" i="17" s="1"/>
  <c r="O433" i="5"/>
  <c r="AO733" i="17" s="1"/>
  <c r="AR733" i="17" s="1"/>
  <c r="O450" i="5"/>
  <c r="AO750" i="17"/>
  <c r="AR750" i="17" s="1"/>
  <c r="O487" i="5"/>
  <c r="AO787" i="17"/>
  <c r="AR787" i="17" s="1"/>
  <c r="O508" i="5"/>
  <c r="AO808" i="17"/>
  <c r="AR808" i="17" s="1"/>
  <c r="O540" i="5"/>
  <c r="AO840" i="17"/>
  <c r="AR840" i="17" s="1"/>
  <c r="O550" i="5"/>
  <c r="AO850" i="17"/>
  <c r="AR850" i="17" s="1"/>
  <c r="O580" i="5"/>
  <c r="AO880" i="17"/>
  <c r="AR880" i="17" s="1"/>
  <c r="O605" i="5"/>
  <c r="AO905" i="17"/>
  <c r="AR905" i="17" s="1"/>
  <c r="O629" i="5"/>
  <c r="AO929" i="17"/>
  <c r="AR929" i="17" s="1"/>
  <c r="O640" i="5"/>
  <c r="AO940" i="17"/>
  <c r="AR940" i="17" s="1"/>
  <c r="O668" i="5"/>
  <c r="AO968" i="17"/>
  <c r="AR968" i="17" s="1"/>
  <c r="O692" i="5"/>
  <c r="AO992" i="17"/>
  <c r="AR992" i="17" s="1"/>
  <c r="O712" i="5"/>
  <c r="AO1012" i="17"/>
  <c r="AR1012" i="17" s="1"/>
  <c r="O750" i="5"/>
  <c r="AO1050" i="17"/>
  <c r="AR1050" i="17" s="1"/>
  <c r="S98" i="5"/>
  <c r="AY99" i="17"/>
  <c r="BB99" i="17" s="1"/>
  <c r="AY398" i="17"/>
  <c r="BB398" i="17" s="1"/>
  <c r="S528" i="5"/>
  <c r="AY828" i="17"/>
  <c r="BB828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604" i="5"/>
  <c r="AO904" i="17"/>
  <c r="AR904" i="17" s="1"/>
  <c r="O530" i="5"/>
  <c r="AO830" i="17"/>
  <c r="AR830" i="17" s="1"/>
  <c r="O432" i="5"/>
  <c r="AO732" i="17" s="1"/>
  <c r="AR732" i="17" s="1"/>
  <c r="O315" i="5"/>
  <c r="AO316" i="17" s="1"/>
  <c r="AR316" i="17" s="1"/>
  <c r="O292" i="5"/>
  <c r="AO592" i="17" s="1"/>
  <c r="AR592" i="17" s="1"/>
  <c r="O178" i="5"/>
  <c r="AO179" i="17" s="1"/>
  <c r="AR179" i="17" s="1"/>
  <c r="AO478" i="17"/>
  <c r="AR478" i="17" s="1"/>
  <c r="O127" i="5"/>
  <c r="AO427" i="17" s="1"/>
  <c r="AR427" i="17" s="1"/>
  <c r="O61" i="5"/>
  <c r="AO62" i="17" s="1"/>
  <c r="AR62" i="17" s="1"/>
  <c r="O47" i="5"/>
  <c r="AO48" i="17" s="1"/>
  <c r="AR48" i="17" s="1"/>
  <c r="O687" i="5"/>
  <c r="AO987" i="17"/>
  <c r="AR987" i="17" s="1"/>
  <c r="O25" i="5"/>
  <c r="AO26" i="17" s="1"/>
  <c r="AR26" i="17" s="1"/>
  <c r="O41" i="5"/>
  <c r="AO42" i="17" s="1"/>
  <c r="AR42" i="17" s="1"/>
  <c r="O106" i="5"/>
  <c r="AO406" i="17" s="1"/>
  <c r="AR406" i="17" s="1"/>
  <c r="O143" i="5"/>
  <c r="AO144" i="17" s="1"/>
  <c r="AR144" i="17" s="1"/>
  <c r="AO443" i="17"/>
  <c r="AR443" i="17" s="1"/>
  <c r="O226" i="5"/>
  <c r="AO526" i="17" s="1"/>
  <c r="AR526" i="17" s="1"/>
  <c r="O258" i="5"/>
  <c r="AO259" i="17" s="1"/>
  <c r="AR259" i="17" s="1"/>
  <c r="O320" i="5"/>
  <c r="AO620" i="17" s="1"/>
  <c r="AR620" i="17" s="1"/>
  <c r="O350" i="5"/>
  <c r="AO351" i="17" s="1"/>
  <c r="AR351" i="17" s="1"/>
  <c r="AO650" i="17"/>
  <c r="AR650" i="17" s="1"/>
  <c r="O395" i="5"/>
  <c r="AO695" i="17" s="1"/>
  <c r="AR695" i="17" s="1"/>
  <c r="O467" i="5"/>
  <c r="AO767" i="17"/>
  <c r="AR767" i="17" s="1"/>
  <c r="O641" i="5"/>
  <c r="AO941" i="17"/>
  <c r="AR941" i="17" s="1"/>
  <c r="O661" i="5"/>
  <c r="AO961" i="17"/>
  <c r="AR961" i="17" s="1"/>
  <c r="O670" i="5"/>
  <c r="AO970" i="17"/>
  <c r="AR970" i="17" s="1"/>
  <c r="O560" i="5"/>
  <c r="AO860" i="17"/>
  <c r="AR860" i="17" s="1"/>
  <c r="O521" i="5"/>
  <c r="AO821" i="17"/>
  <c r="AR821" i="17" s="1"/>
  <c r="O407" i="5"/>
  <c r="AO707" i="17"/>
  <c r="AR707" i="17" s="1"/>
  <c r="O355" i="5"/>
  <c r="AO655" i="17" s="1"/>
  <c r="AR655" i="17" s="1"/>
  <c r="O230" i="5"/>
  <c r="AO231" i="17" s="1"/>
  <c r="AR231" i="17" s="1"/>
  <c r="O204" i="5"/>
  <c r="AO504" i="17" s="1"/>
  <c r="AR504" i="17" s="1"/>
  <c r="S83" i="5"/>
  <c r="AY84" i="17"/>
  <c r="BB84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401" i="5"/>
  <c r="BD701" i="17"/>
  <c r="BG701" i="17" s="1"/>
  <c r="U409" i="5"/>
  <c r="BD709" i="17"/>
  <c r="BG709" i="17" s="1"/>
  <c r="U454" i="5"/>
  <c r="BD754" i="17"/>
  <c r="BG754" i="17" s="1"/>
  <c r="U464" i="5"/>
  <c r="BD764" i="17"/>
  <c r="BG764" i="17" s="1"/>
  <c r="U493" i="5"/>
  <c r="BD793" i="17"/>
  <c r="BG793" i="17" s="1"/>
  <c r="U538" i="5"/>
  <c r="BD838" i="17"/>
  <c r="BG838" i="17" s="1"/>
  <c r="U586" i="5"/>
  <c r="BD886" i="17"/>
  <c r="BG886" i="17" s="1"/>
  <c r="U657" i="5"/>
  <c r="BD957" i="17"/>
  <c r="BG957" i="17" s="1"/>
  <c r="U681" i="5"/>
  <c r="BD981" i="17"/>
  <c r="BG981" i="17" s="1"/>
  <c r="U751" i="5"/>
  <c r="BD1051" i="17"/>
  <c r="BG1051" i="17" s="1"/>
  <c r="U773" i="5"/>
  <c r="BD1073" i="17"/>
  <c r="BG1073" i="17" s="1"/>
  <c r="U678" i="5"/>
  <c r="BD978" i="17"/>
  <c r="BG978" i="17" s="1"/>
  <c r="U558" i="5"/>
  <c r="BD858" i="17"/>
  <c r="BG858" i="17" s="1"/>
  <c r="U543" i="5"/>
  <c r="BD843" i="17"/>
  <c r="BG843" i="17" s="1"/>
  <c r="U513" i="5"/>
  <c r="BD813" i="17"/>
  <c r="BG813" i="17" s="1"/>
  <c r="U458" i="5"/>
  <c r="BD758" i="17"/>
  <c r="BG758" i="17" s="1"/>
  <c r="U427" i="5"/>
  <c r="BD727" i="17"/>
  <c r="BG727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93" i="5"/>
  <c r="BD94" i="17"/>
  <c r="BG94" i="17" s="1"/>
  <c r="BD393" i="17"/>
  <c r="BG393" i="17" s="1"/>
  <c r="U57" i="5"/>
  <c r="BD58" i="17"/>
  <c r="BG58" i="17" s="1"/>
  <c r="U491" i="5"/>
  <c r="BD791" i="17"/>
  <c r="BG791" i="17" s="1"/>
  <c r="U414" i="5"/>
  <c r="BD714" i="17"/>
  <c r="BG714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58" i="5"/>
  <c r="BD59" i="17"/>
  <c r="BG59" i="17" s="1"/>
  <c r="U15" i="5"/>
  <c r="BD16" i="17"/>
  <c r="BG16" i="17" s="1"/>
  <c r="U47" i="5"/>
  <c r="BD48" i="17"/>
  <c r="BG48" i="17" s="1"/>
  <c r="U60" i="5"/>
  <c r="BD61" i="17"/>
  <c r="BG61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96" i="5"/>
  <c r="BD297" i="17"/>
  <c r="BG297" i="17" s="1"/>
  <c r="BD596" i="17"/>
  <c r="BG596" i="17" s="1"/>
  <c r="U330" i="5"/>
  <c r="BD331" i="17"/>
  <c r="BG331" i="17" s="1"/>
  <c r="BD630" i="17"/>
  <c r="BG630" i="17" s="1"/>
  <c r="U393" i="5"/>
  <c r="BD693" i="17"/>
  <c r="BG693" i="17" s="1"/>
  <c r="U446" i="5"/>
  <c r="BD746" i="17"/>
  <c r="BG746" i="17" s="1"/>
  <c r="U472" i="5"/>
  <c r="BD772" i="17"/>
  <c r="BG772" i="17" s="1"/>
  <c r="U810" i="5"/>
  <c r="BD1110" i="17"/>
  <c r="BG1110" i="17" s="1"/>
  <c r="U33" i="5"/>
  <c r="BD34" i="17"/>
  <c r="BG34" i="17" s="1"/>
  <c r="U81" i="5"/>
  <c r="BD82" i="17"/>
  <c r="BG82" i="17" s="1"/>
  <c r="U90" i="5"/>
  <c r="BD91" i="17"/>
  <c r="BG91" i="17" s="1"/>
  <c r="BD390" i="17"/>
  <c r="BG390" i="17" s="1"/>
  <c r="U127" i="5"/>
  <c r="BD128" i="17"/>
  <c r="BG128" i="17" s="1"/>
  <c r="BD427" i="17"/>
  <c r="BG427" i="17" s="1"/>
  <c r="U188" i="5"/>
  <c r="BD189" i="17"/>
  <c r="BG189" i="17" s="1"/>
  <c r="BD488" i="17"/>
  <c r="BG48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79" i="5"/>
  <c r="BD380" i="17"/>
  <c r="BG380" i="17" s="1"/>
  <c r="BD679" i="17"/>
  <c r="BG679" i="17" s="1"/>
  <c r="U417" i="5"/>
  <c r="BD717" i="17"/>
  <c r="BG717" i="17" s="1"/>
  <c r="U448" i="5"/>
  <c r="BD748" i="17"/>
  <c r="BG748" i="17" s="1"/>
  <c r="U483" i="5"/>
  <c r="BD783" i="17"/>
  <c r="BG783" i="17" s="1"/>
  <c r="U562" i="5"/>
  <c r="BD862" i="17"/>
  <c r="BG862" i="17" s="1"/>
  <c r="U727" i="5"/>
  <c r="BD1027" i="17"/>
  <c r="BG1027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86" i="5"/>
  <c r="BD686" i="17"/>
  <c r="BG686" i="17" s="1"/>
  <c r="U420" i="5"/>
  <c r="BD720" i="17"/>
  <c r="BG720" i="17" s="1"/>
  <c r="U453" i="5"/>
  <c r="BD753" i="17"/>
  <c r="BG753" i="17" s="1"/>
  <c r="U480" i="5"/>
  <c r="BD780" i="17"/>
  <c r="BG780" i="17" s="1"/>
  <c r="U614" i="5"/>
  <c r="BD914" i="17"/>
  <c r="BG914" i="17" s="1"/>
  <c r="U635" i="5"/>
  <c r="BD935" i="17"/>
  <c r="BG935" i="17" s="1"/>
  <c r="U851" i="5"/>
  <c r="BD1151" i="17"/>
  <c r="BG1151" i="17" s="1"/>
  <c r="U488" i="5"/>
  <c r="BD788" i="17"/>
  <c r="BG788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32" i="5"/>
  <c r="BD33" i="17"/>
  <c r="BG3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6" i="5"/>
  <c r="BD976" i="17"/>
  <c r="BG976" i="17" s="1"/>
  <c r="U534" i="5"/>
  <c r="BD834" i="17"/>
  <c r="BG834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M851" i="5"/>
  <c r="AJ1151" i="17"/>
  <c r="AM1151" i="17" s="1"/>
  <c r="M836" i="5"/>
  <c r="AJ1136" i="17"/>
  <c r="AM1136" i="17" s="1"/>
  <c r="M828" i="5"/>
  <c r="AJ1128" i="17"/>
  <c r="AM1128" i="17" s="1"/>
  <c r="M824" i="5"/>
  <c r="AJ1124" i="17"/>
  <c r="AM1124" i="17" s="1"/>
  <c r="M816" i="5"/>
  <c r="AJ1116" i="17"/>
  <c r="AM1116" i="17" s="1"/>
  <c r="M812" i="5"/>
  <c r="AJ1112" i="17"/>
  <c r="AM1112" i="17" s="1"/>
  <c r="M804" i="5"/>
  <c r="AJ1104" i="17"/>
  <c r="AM1104" i="17" s="1"/>
  <c r="M800" i="5"/>
  <c r="AJ1100" i="17"/>
  <c r="AM1100" i="17" s="1"/>
  <c r="M796" i="5"/>
  <c r="AJ1096" i="17"/>
  <c r="AM1096" i="17" s="1"/>
  <c r="M788" i="5"/>
  <c r="AJ1088" i="17"/>
  <c r="AM1088" i="17" s="1"/>
  <c r="M784" i="5"/>
  <c r="AJ1084" i="17"/>
  <c r="AM1084" i="17" s="1"/>
  <c r="M776" i="5"/>
  <c r="AJ1076" i="17"/>
  <c r="AM1076" i="17" s="1"/>
  <c r="M772" i="5"/>
  <c r="AJ1072" i="17"/>
  <c r="AM1072" i="17" s="1"/>
  <c r="O849" i="5"/>
  <c r="AO1149" i="17"/>
  <c r="AR1149" i="17" s="1"/>
  <c r="Q858" i="5"/>
  <c r="AT1158" i="17"/>
  <c r="AW1158" i="17" s="1"/>
  <c r="Q826" i="5"/>
  <c r="AT1126" i="17"/>
  <c r="AW1126" i="17" s="1"/>
  <c r="Q793" i="5"/>
  <c r="AT1093" i="17"/>
  <c r="AW1093" i="17" s="1"/>
  <c r="Q778" i="5"/>
  <c r="AT1078" i="17"/>
  <c r="AW1078" i="17" s="1"/>
  <c r="U833" i="5"/>
  <c r="BD1133" i="17"/>
  <c r="BG1133" i="17" s="1"/>
  <c r="U793" i="5"/>
  <c r="BD1093" i="17"/>
  <c r="BG1093" i="17" s="1"/>
  <c r="O855" i="5"/>
  <c r="AO1155" i="17"/>
  <c r="AR1155" i="17" s="1"/>
  <c r="O826" i="5"/>
  <c r="AO1126" i="17"/>
  <c r="AR1126" i="17" s="1"/>
  <c r="O836" i="5"/>
  <c r="AO1136" i="17"/>
  <c r="AR1136" i="17" s="1"/>
  <c r="O813" i="5"/>
  <c r="AO1113" i="17"/>
  <c r="AR1113" i="17" s="1"/>
  <c r="O777" i="5"/>
  <c r="AO1077" i="17"/>
  <c r="AR1077" i="17" s="1"/>
  <c r="O751" i="5"/>
  <c r="AO1051" i="17"/>
  <c r="AR1051" i="17" s="1"/>
  <c r="Q834" i="5"/>
  <c r="AT1134" i="17"/>
  <c r="AW1134" i="17" s="1"/>
  <c r="Q753" i="5"/>
  <c r="AT1053" i="17"/>
  <c r="AW1053" i="17" s="1"/>
  <c r="Q731" i="5"/>
  <c r="AT1031" i="17"/>
  <c r="AW1031" i="17" s="1"/>
  <c r="Q718" i="5"/>
  <c r="AT1018" i="17"/>
  <c r="AW1018" i="17" s="1"/>
  <c r="Q692" i="5"/>
  <c r="AT992" i="17"/>
  <c r="AW992" i="17" s="1"/>
  <c r="Q673" i="5"/>
  <c r="AT973" i="17"/>
  <c r="AW973" i="17" s="1"/>
  <c r="Q652" i="5"/>
  <c r="AT952" i="17"/>
  <c r="AW952" i="17" s="1"/>
  <c r="Q617" i="5"/>
  <c r="AT917" i="17"/>
  <c r="AW917" i="17" s="1"/>
  <c r="Q799" i="5"/>
  <c r="AT1099" i="17"/>
  <c r="AW1099" i="17" s="1"/>
  <c r="Q810" i="5"/>
  <c r="AT1110" i="17"/>
  <c r="AW1110" i="17" s="1"/>
  <c r="Q849" i="5"/>
  <c r="AT1149" i="17"/>
  <c r="AW1149" i="17" s="1"/>
  <c r="Q862" i="5"/>
  <c r="AT1162" i="17"/>
  <c r="AW1162" i="17" s="1"/>
  <c r="Q817" i="5"/>
  <c r="AT1117" i="17"/>
  <c r="AW1117" i="17" s="1"/>
  <c r="Q850" i="5"/>
  <c r="AT1150" i="17"/>
  <c r="AW1150" i="17" s="1"/>
  <c r="O729" i="5"/>
  <c r="AO1029" i="17"/>
  <c r="AR1029" i="17" s="1"/>
  <c r="O766" i="5"/>
  <c r="AO1066" i="17"/>
  <c r="AR1066" i="17" s="1"/>
  <c r="O783" i="5"/>
  <c r="AO1083" i="17"/>
  <c r="AR1083" i="17" s="1"/>
  <c r="O837" i="5"/>
  <c r="AO1137" i="17"/>
  <c r="AR1137" i="17" s="1"/>
  <c r="O854" i="5"/>
  <c r="AO1154" i="17"/>
  <c r="AR1154" i="17" s="1"/>
  <c r="O728" i="5"/>
  <c r="AO1028" i="17"/>
  <c r="AR1028" i="17" s="1"/>
  <c r="O775" i="5"/>
  <c r="AO1075" i="17"/>
  <c r="AR1075" i="17" s="1"/>
  <c r="O797" i="5"/>
  <c r="AO1097" i="17"/>
  <c r="AR1097" i="17" s="1"/>
  <c r="O809" i="5"/>
  <c r="AO1109" i="17"/>
  <c r="AR1109" i="17" s="1"/>
  <c r="O860" i="5"/>
  <c r="AO1160" i="17"/>
  <c r="AR1160" i="17" s="1"/>
  <c r="Q107" i="5"/>
  <c r="AT108" i="17"/>
  <c r="AW108" i="17" s="1"/>
  <c r="AT407" i="17"/>
  <c r="AW407" i="17" s="1"/>
  <c r="Q130" i="5"/>
  <c r="AT131" i="17"/>
  <c r="AW131" i="17" s="1"/>
  <c r="AT430" i="17"/>
  <c r="AW430" i="17" s="1"/>
  <c r="Q138" i="5"/>
  <c r="AT139" i="17"/>
  <c r="AW139" i="17" s="1"/>
  <c r="AT438" i="17"/>
  <c r="AW438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93" i="5"/>
  <c r="AT693" i="17"/>
  <c r="AW693" i="17" s="1"/>
  <c r="Q446" i="5"/>
  <c r="AT746" i="17"/>
  <c r="AW746" i="17" s="1"/>
  <c r="Q515" i="5"/>
  <c r="AT815" i="17"/>
  <c r="AW815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404" i="5"/>
  <c r="AT704" i="17"/>
  <c r="AW704" i="17" s="1"/>
  <c r="Q538" i="5"/>
  <c r="AT838" i="17"/>
  <c r="AW838" i="17" s="1"/>
  <c r="Q661" i="5"/>
  <c r="AT961" i="17"/>
  <c r="AW961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409" i="5"/>
  <c r="AT709" i="17"/>
  <c r="AW709" i="17" s="1"/>
  <c r="Q422" i="5"/>
  <c r="AT722" i="17"/>
  <c r="AW722" i="17" s="1"/>
  <c r="Q549" i="5"/>
  <c r="AT849" i="17"/>
  <c r="AW849" i="17" s="1"/>
  <c r="Q620" i="5"/>
  <c r="AT920" i="17"/>
  <c r="AW920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94" i="5"/>
  <c r="AT694" i="17"/>
  <c r="AW694" i="17" s="1"/>
  <c r="Q406" i="5"/>
  <c r="AT706" i="17"/>
  <c r="AW706" i="17" s="1"/>
  <c r="Q448" i="5"/>
  <c r="AT748" i="17"/>
  <c r="AW748" i="17" s="1"/>
  <c r="Q519" i="5"/>
  <c r="AT819" i="17"/>
  <c r="AW819" i="17" s="1"/>
  <c r="Q556" i="5"/>
  <c r="AT856" i="17"/>
  <c r="AW856" i="17" s="1"/>
  <c r="Q570" i="5"/>
  <c r="AT870" i="17"/>
  <c r="AW870" i="17" s="1"/>
  <c r="Q649" i="5"/>
  <c r="AT949" i="17"/>
  <c r="AW949" i="17" s="1"/>
  <c r="Q739" i="5"/>
  <c r="AT1039" i="17"/>
  <c r="AW1039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35" i="5"/>
  <c r="AT735" i="17"/>
  <c r="AW735" i="17" s="1"/>
  <c r="Q486" i="5"/>
  <c r="AT786" i="17"/>
  <c r="AW786" i="17" s="1"/>
  <c r="Q555" i="5"/>
  <c r="AT855" i="17"/>
  <c r="AW855" i="17" s="1"/>
  <c r="Q635" i="5"/>
  <c r="AT935" i="17"/>
  <c r="AW935" i="17" s="1"/>
  <c r="Q461" i="5"/>
  <c r="AT761" i="17"/>
  <c r="AW761" i="17" s="1"/>
  <c r="Q492" i="5"/>
  <c r="AT792" i="17"/>
  <c r="AW792" i="17" s="1"/>
  <c r="Q512" i="5"/>
  <c r="AT812" i="17"/>
  <c r="AW812" i="17" s="1"/>
  <c r="Q522" i="5"/>
  <c r="AT822" i="17"/>
  <c r="AW822" i="17" s="1"/>
  <c r="Q566" i="5"/>
  <c r="AT866" i="17"/>
  <c r="AW866" i="17" s="1"/>
  <c r="Q587" i="5"/>
  <c r="AT887" i="17"/>
  <c r="AW887" i="17" s="1"/>
  <c r="Q595" i="5"/>
  <c r="AT895" i="17"/>
  <c r="AW895" i="17" s="1"/>
  <c r="Q783" i="5"/>
  <c r="AT1083" i="17"/>
  <c r="AW1083" i="17" s="1"/>
  <c r="Q420" i="5"/>
  <c r="AT720" i="17"/>
  <c r="AW720" i="17" s="1"/>
  <c r="Q432" i="5"/>
  <c r="AT732" i="17"/>
  <c r="AW732" i="17" s="1"/>
  <c r="Q451" i="5"/>
  <c r="AT751" i="17"/>
  <c r="AW751" i="17" s="1"/>
  <c r="Q468" i="5"/>
  <c r="AT768" i="17"/>
  <c r="AW768" i="17" s="1"/>
  <c r="Q479" i="5"/>
  <c r="AT779" i="17"/>
  <c r="AW779" i="17" s="1"/>
  <c r="Q513" i="5"/>
  <c r="AT813" i="17"/>
  <c r="AW813" i="17" s="1"/>
  <c r="Q533" i="5"/>
  <c r="AT833" i="17"/>
  <c r="AW833" i="17" s="1"/>
  <c r="Q564" i="5"/>
  <c r="AT864" i="17"/>
  <c r="AW864" i="17" s="1"/>
  <c r="Q573" i="5"/>
  <c r="AT873" i="17"/>
  <c r="AW873" i="17" s="1"/>
  <c r="Q597" i="5"/>
  <c r="AT897" i="17"/>
  <c r="AW897" i="17" s="1"/>
  <c r="Q851" i="5"/>
  <c r="AT1151" i="17"/>
  <c r="AW1151" i="17" s="1"/>
  <c r="Q636" i="5"/>
  <c r="AT936" i="17"/>
  <c r="AW936" i="17" s="1"/>
  <c r="Q665" i="5"/>
  <c r="AT965" i="17"/>
  <c r="AW965" i="17" s="1"/>
  <c r="Q689" i="5"/>
  <c r="AT989" i="17"/>
  <c r="AW989" i="17" s="1"/>
  <c r="Q703" i="5"/>
  <c r="AT1003" i="17"/>
  <c r="AW1003" i="17" s="1"/>
  <c r="Q749" i="5"/>
  <c r="AT1049" i="17"/>
  <c r="AW1049" i="17" s="1"/>
  <c r="Q762" i="5"/>
  <c r="AT1062" i="17"/>
  <c r="AW1062" i="17" s="1"/>
  <c r="Q782" i="5"/>
  <c r="AT1082" i="17"/>
  <c r="AW1082" i="17" s="1"/>
  <c r="Q600" i="5"/>
  <c r="AT900" i="17"/>
  <c r="AW900" i="17" s="1"/>
  <c r="Q618" i="5"/>
  <c r="AT918" i="17"/>
  <c r="AW918" i="17" s="1"/>
  <c r="Q666" i="5"/>
  <c r="AT966" i="17"/>
  <c r="AW966" i="17" s="1"/>
  <c r="Q686" i="5"/>
  <c r="AT986" i="17"/>
  <c r="AW986" i="17" s="1"/>
  <c r="Q719" i="5"/>
  <c r="AT1019" i="17"/>
  <c r="AW1019" i="17" s="1"/>
  <c r="Q766" i="5"/>
  <c r="AT1066" i="17"/>
  <c r="AW1066" i="17" s="1"/>
  <c r="Q785" i="5"/>
  <c r="AT1085" i="17"/>
  <c r="AW1085" i="17" s="1"/>
  <c r="Q743" i="5"/>
  <c r="AT1043" i="17"/>
  <c r="AW1043" i="17" s="1"/>
  <c r="Q775" i="5"/>
  <c r="AT1075" i="17"/>
  <c r="AW1075" i="17" s="1"/>
  <c r="Q805" i="5"/>
  <c r="AT1105" i="17"/>
  <c r="AW1105" i="17" s="1"/>
  <c r="Q735" i="5"/>
  <c r="AT1035" i="17"/>
  <c r="AW1035" i="17" s="1"/>
  <c r="Q765" i="5"/>
  <c r="AT1065" i="17"/>
  <c r="AW1065" i="17" s="1"/>
  <c r="Q811" i="5"/>
  <c r="AT1111" i="17"/>
  <c r="AW1111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96" i="5"/>
  <c r="AT97" i="17"/>
  <c r="AW97" i="17" s="1"/>
  <c r="AT396" i="17"/>
  <c r="AW396" i="17" s="1"/>
  <c r="Q53" i="5"/>
  <c r="AT54" i="17"/>
  <c r="AW54" i="17" s="1"/>
  <c r="Q44" i="5"/>
  <c r="AT45" i="17"/>
  <c r="AW45" i="17" s="1"/>
  <c r="Q21" i="5"/>
  <c r="AT22" i="17"/>
  <c r="AW22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85" i="5"/>
  <c r="AY685" i="17"/>
  <c r="BB685" i="17" s="1"/>
  <c r="S406" i="5"/>
  <c r="AY706" i="17"/>
  <c r="BB706" i="17" s="1"/>
  <c r="S433" i="5"/>
  <c r="AY733" i="17"/>
  <c r="BB733" i="17" s="1"/>
  <c r="S472" i="5"/>
  <c r="AY772" i="17"/>
  <c r="BB772" i="17" s="1"/>
  <c r="S518" i="5"/>
  <c r="AY818" i="17"/>
  <c r="BB818" i="17" s="1"/>
  <c r="S536" i="5"/>
  <c r="AY836" i="17"/>
  <c r="BB836" i="17" s="1"/>
  <c r="S585" i="5"/>
  <c r="AY885" i="17"/>
  <c r="BB885" i="17" s="1"/>
  <c r="S606" i="5"/>
  <c r="AY906" i="17"/>
  <c r="BB906" i="17" s="1"/>
  <c r="S643" i="5"/>
  <c r="AY943" i="17"/>
  <c r="BB943" i="17" s="1"/>
  <c r="S672" i="5"/>
  <c r="AY972" i="17"/>
  <c r="BB972" i="17" s="1"/>
  <c r="S694" i="5"/>
  <c r="AY994" i="17"/>
  <c r="BB994" i="17" s="1"/>
  <c r="S730" i="5"/>
  <c r="AY1030" i="17"/>
  <c r="BB1030" i="17" s="1"/>
  <c r="S784" i="5"/>
  <c r="AY1084" i="17"/>
  <c r="BB1084" i="17" s="1"/>
  <c r="S22" i="5"/>
  <c r="AY23" i="17"/>
  <c r="BB2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404" i="5"/>
  <c r="AY704" i="17"/>
  <c r="BB704" i="17" s="1"/>
  <c r="S417" i="5"/>
  <c r="AY717" i="17"/>
  <c r="BB717" i="17" s="1"/>
  <c r="S445" i="5"/>
  <c r="AY745" i="17"/>
  <c r="BB745" i="17" s="1"/>
  <c r="S458" i="5"/>
  <c r="AY758" i="17"/>
  <c r="BB758" i="17" s="1"/>
  <c r="S465" i="5"/>
  <c r="AY765" i="17"/>
  <c r="BB765" i="17" s="1"/>
  <c r="S488" i="5"/>
  <c r="AY788" i="17"/>
  <c r="BB788" i="17" s="1"/>
  <c r="S501" i="5"/>
  <c r="AY801" i="17"/>
  <c r="BB801" i="17" s="1"/>
  <c r="S532" i="5"/>
  <c r="AY832" i="17"/>
  <c r="BB832" i="17" s="1"/>
  <c r="S541" i="5"/>
  <c r="AY841" i="17"/>
  <c r="BB841" i="17" s="1"/>
  <c r="S549" i="5"/>
  <c r="AY849" i="17"/>
  <c r="BB849" i="17" s="1"/>
  <c r="S592" i="5"/>
  <c r="AY892" i="17"/>
  <c r="BB892" i="17" s="1"/>
  <c r="S615" i="5"/>
  <c r="AY915" i="17"/>
  <c r="BB915" i="17" s="1"/>
  <c r="S646" i="5"/>
  <c r="AY946" i="17"/>
  <c r="BB946" i="17" s="1"/>
  <c r="S676" i="5"/>
  <c r="AY976" i="17"/>
  <c r="BB976" i="17" s="1"/>
  <c r="S705" i="5"/>
  <c r="AY1005" i="17"/>
  <c r="BB1005" i="17" s="1"/>
  <c r="S757" i="5"/>
  <c r="AY1057" i="17"/>
  <c r="BB1057" i="17" s="1"/>
  <c r="S779" i="5"/>
  <c r="AY1079" i="17"/>
  <c r="BB1079" i="17" s="1"/>
  <c r="S794" i="5"/>
  <c r="AY1094" i="17"/>
  <c r="BB1094" i="17" s="1"/>
  <c r="S826" i="5"/>
  <c r="AY1126" i="17"/>
  <c r="BB1126" i="17" s="1"/>
  <c r="S844" i="5"/>
  <c r="AY1144" i="17"/>
  <c r="BB1144" i="17" s="1"/>
  <c r="S854" i="5"/>
  <c r="AY1154" i="17"/>
  <c r="BB1154" i="17" s="1"/>
  <c r="S862" i="5"/>
  <c r="AY1162" i="17"/>
  <c r="BB1162" i="17" s="1"/>
  <c r="S594" i="5"/>
  <c r="AY894" i="17"/>
  <c r="BB894" i="17" s="1"/>
  <c r="S608" i="5"/>
  <c r="AY908" i="17"/>
  <c r="BB908" i="17" s="1"/>
  <c r="S619" i="5"/>
  <c r="AY919" i="17"/>
  <c r="BB919" i="17" s="1"/>
  <c r="S674" i="5"/>
  <c r="AY974" i="17"/>
  <c r="BB974" i="17" s="1"/>
  <c r="S686" i="5"/>
  <c r="AY986" i="17"/>
  <c r="BB986" i="17" s="1"/>
  <c r="S699" i="5"/>
  <c r="AY999" i="17"/>
  <c r="BB999" i="17" s="1"/>
  <c r="S736" i="5"/>
  <c r="AY1036" i="17"/>
  <c r="BB1036" i="17" s="1"/>
  <c r="S754" i="5"/>
  <c r="AY1054" i="17"/>
  <c r="BB1054" i="17" s="1"/>
  <c r="S772" i="5"/>
  <c r="AY1072" i="17"/>
  <c r="BB1072" i="17" s="1"/>
  <c r="S792" i="5"/>
  <c r="AY1092" i="17"/>
  <c r="BB1092" i="17" s="1"/>
  <c r="S810" i="5"/>
  <c r="AY1110" i="17"/>
  <c r="BB1110" i="17" s="1"/>
  <c r="S858" i="5"/>
  <c r="AY1158" i="17"/>
  <c r="BB1158" i="17" s="1"/>
  <c r="S781" i="5"/>
  <c r="AY1081" i="17"/>
  <c r="BB1081" i="17" s="1"/>
  <c r="S695" i="5"/>
  <c r="AY995" i="17"/>
  <c r="BB995" i="17" s="1"/>
  <c r="S589" i="5"/>
  <c r="AY889" i="17"/>
  <c r="BB889" i="17" s="1"/>
  <c r="S565" i="5"/>
  <c r="AY865" i="17"/>
  <c r="BB865" i="17" s="1"/>
  <c r="S504" i="5"/>
  <c r="AY804" i="17"/>
  <c r="BB804" i="17" s="1"/>
  <c r="S476" i="5"/>
  <c r="AY776" i="17"/>
  <c r="BB776" i="17" s="1"/>
  <c r="S467" i="5"/>
  <c r="AY767" i="17"/>
  <c r="BB767" i="17" s="1"/>
  <c r="S426" i="5"/>
  <c r="AY726" i="17"/>
  <c r="BB726" i="17" s="1"/>
  <c r="S383" i="5"/>
  <c r="AY683" i="17"/>
  <c r="BB683" i="17" s="1"/>
  <c r="S725" i="5"/>
  <c r="AY1025" i="17"/>
  <c r="BB1025" i="17" s="1"/>
  <c r="S626" i="5"/>
  <c r="AY926" i="17"/>
  <c r="BB926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18" i="5"/>
  <c r="AY119" i="17"/>
  <c r="BB119" i="17" s="1"/>
  <c r="AY418" i="17"/>
  <c r="BB418" i="17" s="1"/>
  <c r="S70" i="5"/>
  <c r="AY71" i="17"/>
  <c r="BB71" i="17" s="1"/>
  <c r="S28" i="5"/>
  <c r="AY29" i="17"/>
  <c r="BB29" i="17" s="1"/>
  <c r="S708" i="5"/>
  <c r="AY1008" i="17"/>
  <c r="BB1008" i="17" s="1"/>
  <c r="S607" i="5"/>
  <c r="AY907" i="17"/>
  <c r="BB907" i="17" s="1"/>
  <c r="S338" i="5"/>
  <c r="AY339" i="17"/>
  <c r="BB339" i="17" s="1"/>
  <c r="AY638" i="17"/>
  <c r="BB638" i="17" s="1"/>
  <c r="S132" i="5"/>
  <c r="AY133" i="17"/>
  <c r="BB133" i="17" s="1"/>
  <c r="AY432" i="17"/>
  <c r="BB432" i="17" s="1"/>
  <c r="S26" i="5"/>
  <c r="AY27" i="17"/>
  <c r="BB27" i="17" s="1"/>
  <c r="S41" i="5"/>
  <c r="AY42" i="17"/>
  <c r="BB42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37" i="5"/>
  <c r="AY338" i="17"/>
  <c r="BB338" i="17" s="1"/>
  <c r="AY637" i="17"/>
  <c r="BB637" i="17" s="1"/>
  <c r="S403" i="5"/>
  <c r="AY703" i="17"/>
  <c r="BB703" i="17" s="1"/>
  <c r="S555" i="5"/>
  <c r="AY855" i="17"/>
  <c r="BB855" i="17" s="1"/>
  <c r="S568" i="5"/>
  <c r="AY868" i="17"/>
  <c r="BB868" i="17" s="1"/>
  <c r="S664" i="5"/>
  <c r="AY964" i="17"/>
  <c r="BB964" i="17" s="1"/>
  <c r="S731" i="5"/>
  <c r="AY1031" i="17"/>
  <c r="BB1031" i="17" s="1"/>
  <c r="S809" i="5"/>
  <c r="AY1109" i="17"/>
  <c r="BB1109" i="17" s="1"/>
  <c r="S23" i="5"/>
  <c r="AY24" i="17"/>
  <c r="BB24" i="17" s="1"/>
  <c r="S65" i="5"/>
  <c r="AY66" i="17"/>
  <c r="BB66" i="17" s="1"/>
  <c r="S87" i="5"/>
  <c r="AY88" i="17"/>
  <c r="BB88" i="17" s="1"/>
  <c r="AY387" i="17"/>
  <c r="BB387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98" i="5"/>
  <c r="AY698" i="17"/>
  <c r="BB698" i="17" s="1"/>
  <c r="S454" i="5"/>
  <c r="AY754" i="17"/>
  <c r="BB754" i="17" s="1"/>
  <c r="S513" i="5"/>
  <c r="AY813" i="17"/>
  <c r="BB813" i="17" s="1"/>
  <c r="S629" i="5"/>
  <c r="AY929" i="17"/>
  <c r="BB929" i="17" s="1"/>
  <c r="S668" i="5"/>
  <c r="AY968" i="17"/>
  <c r="BB968" i="17" s="1"/>
  <c r="S718" i="5"/>
  <c r="AY1018" i="17"/>
  <c r="BB1018" i="17" s="1"/>
  <c r="S801" i="5"/>
  <c r="AY1101" i="17"/>
  <c r="BB1101" i="17" s="1"/>
  <c r="S102" i="5"/>
  <c r="AY103" i="17"/>
  <c r="BB103" i="17" s="1"/>
  <c r="AY402" i="17"/>
  <c r="BB402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519" i="5"/>
  <c r="AY819" i="17"/>
  <c r="BB819" i="17" s="1"/>
  <c r="S540" i="5"/>
  <c r="AY840" i="17"/>
  <c r="BB840" i="17" s="1"/>
  <c r="S637" i="5"/>
  <c r="AY937" i="17"/>
  <c r="BB937" i="17" s="1"/>
  <c r="S666" i="5"/>
  <c r="AY966" i="17"/>
  <c r="BB966" i="17" s="1"/>
  <c r="S741" i="5"/>
  <c r="AY1041" i="17"/>
  <c r="BB1041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U849" i="5"/>
  <c r="BD1149" i="17"/>
  <c r="BG1149" i="17" s="1"/>
  <c r="U840" i="5"/>
  <c r="BD1140" i="17"/>
  <c r="BG1140" i="17" s="1"/>
  <c r="U801" i="5"/>
  <c r="BD1101" i="17"/>
  <c r="BG1101" i="17" s="1"/>
  <c r="U786" i="5"/>
  <c r="BD1086" i="17"/>
  <c r="BG1086" i="17" s="1"/>
  <c r="U763" i="5"/>
  <c r="BD1063" i="17"/>
  <c r="BG1063" i="17" s="1"/>
  <c r="U714" i="5"/>
  <c r="BD1014" i="17"/>
  <c r="BG1014" i="17" s="1"/>
  <c r="U702" i="5"/>
  <c r="BD1002" i="17"/>
  <c r="BG1002" i="17" s="1"/>
  <c r="U683" i="5"/>
  <c r="BD983" i="17"/>
  <c r="BG983" i="17" s="1"/>
  <c r="U812" i="5"/>
  <c r="BD1112" i="17"/>
  <c r="BG1112" i="17" s="1"/>
  <c r="U777" i="5"/>
  <c r="BD1077" i="17"/>
  <c r="BG1077" i="17" s="1"/>
  <c r="U744" i="5"/>
  <c r="BD1044" i="17"/>
  <c r="BG1044" i="17" s="1"/>
  <c r="U503" i="5"/>
  <c r="BD803" i="17"/>
  <c r="BG803" i="17" s="1"/>
  <c r="U523" i="5"/>
  <c r="BD823" i="17"/>
  <c r="BG823" i="17" s="1"/>
  <c r="U551" i="5"/>
  <c r="BD851" i="17"/>
  <c r="BG851" i="17" s="1"/>
  <c r="U566" i="5"/>
  <c r="BD866" i="17"/>
  <c r="BG866" i="17" s="1"/>
  <c r="U576" i="5"/>
  <c r="BD876" i="17"/>
  <c r="BG876" i="17" s="1"/>
  <c r="U610" i="5"/>
  <c r="BD910" i="17"/>
  <c r="BG910" i="17" s="1"/>
  <c r="U621" i="5"/>
  <c r="BD921" i="17"/>
  <c r="BG921" i="17" s="1"/>
  <c r="U632" i="5"/>
  <c r="BD932" i="17"/>
  <c r="BG932" i="17" s="1"/>
  <c r="U668" i="5"/>
  <c r="BD968" i="17"/>
  <c r="BG968" i="17" s="1"/>
  <c r="U707" i="5"/>
  <c r="BD1007" i="17"/>
  <c r="BG1007" i="17" s="1"/>
  <c r="U794" i="5"/>
  <c r="BD1094" i="17"/>
  <c r="BG1094" i="17" s="1"/>
  <c r="U820" i="5"/>
  <c r="BD1120" i="17"/>
  <c r="BG1120" i="17" s="1"/>
  <c r="U846" i="5"/>
  <c r="BD1146" i="17"/>
  <c r="BG1146" i="17" s="1"/>
  <c r="U508" i="5"/>
  <c r="BD808" i="17"/>
  <c r="BG808" i="17" s="1"/>
  <c r="U522" i="5"/>
  <c r="BD822" i="17"/>
  <c r="BG822" i="17" s="1"/>
  <c r="U560" i="5"/>
  <c r="BD860" i="17"/>
  <c r="BG860" i="17" s="1"/>
  <c r="U581" i="5"/>
  <c r="BD881" i="17"/>
  <c r="BG881" i="17" s="1"/>
  <c r="U615" i="5"/>
  <c r="BD915" i="17"/>
  <c r="BG915" i="17" s="1"/>
  <c r="U640" i="5"/>
  <c r="BD940" i="17"/>
  <c r="BG940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O814" i="5"/>
  <c r="AO1114" i="17"/>
  <c r="AR1114" i="17" s="1"/>
  <c r="O745" i="5"/>
  <c r="AO1045" i="17"/>
  <c r="AR1045" i="17" s="1"/>
  <c r="O808" i="5"/>
  <c r="AO1108" i="17"/>
  <c r="AR1108" i="17" s="1"/>
  <c r="O753" i="5"/>
  <c r="AO1053" i="17"/>
  <c r="AR1053" i="17" s="1"/>
  <c r="O772" i="5"/>
  <c r="AO1072" i="17"/>
  <c r="AR1072" i="17" s="1"/>
  <c r="O87" i="5"/>
  <c r="AO387" i="17" s="1"/>
  <c r="AR387" i="17" s="1"/>
  <c r="AO88" i="17"/>
  <c r="AR88" i="17" s="1"/>
  <c r="O99" i="5"/>
  <c r="AO100" i="17" s="1"/>
  <c r="AR100" i="17" s="1"/>
  <c r="O133" i="5"/>
  <c r="AO433" i="17" s="1"/>
  <c r="AR433" i="17" s="1"/>
  <c r="O148" i="5"/>
  <c r="AO149" i="17" s="1"/>
  <c r="AR149" i="17" s="1"/>
  <c r="O176" i="5"/>
  <c r="AO476" i="17" s="1"/>
  <c r="AR476" i="17" s="1"/>
  <c r="O194" i="5"/>
  <c r="AO195" i="17" s="1"/>
  <c r="AR195" i="17" s="1"/>
  <c r="AO494" i="17"/>
  <c r="AR494" i="17" s="1"/>
  <c r="O223" i="5"/>
  <c r="AO523" i="17" s="1"/>
  <c r="AR523" i="17" s="1"/>
  <c r="O237" i="5"/>
  <c r="AO238" i="17" s="1"/>
  <c r="AR238" i="17" s="1"/>
  <c r="O275" i="5"/>
  <c r="AO575" i="17" s="1"/>
  <c r="AR575" i="17" s="1"/>
  <c r="AO276" i="17"/>
  <c r="AR276" i="17" s="1"/>
  <c r="O291" i="5"/>
  <c r="AO292" i="17" s="1"/>
  <c r="AR292" i="17" s="1"/>
  <c r="O306" i="5"/>
  <c r="AO606" i="17" s="1"/>
  <c r="AR606" i="17" s="1"/>
  <c r="O331" i="5"/>
  <c r="AO332" i="17" s="1"/>
  <c r="AR332" i="17" s="1"/>
  <c r="O356" i="5"/>
  <c r="AO656" i="17" s="1"/>
  <c r="AR656" i="17" s="1"/>
  <c r="O420" i="5"/>
  <c r="AO720" i="17" s="1"/>
  <c r="AR720" i="17" s="1"/>
  <c r="O468" i="5"/>
  <c r="AO768" i="17"/>
  <c r="AR768" i="17" s="1"/>
  <c r="O478" i="5"/>
  <c r="AO778" i="17"/>
  <c r="AR778" i="17" s="1"/>
  <c r="O522" i="5"/>
  <c r="AO822" i="17"/>
  <c r="AR822" i="17" s="1"/>
  <c r="O541" i="5"/>
  <c r="AO841" i="17"/>
  <c r="AR841" i="17" s="1"/>
  <c r="O567" i="5"/>
  <c r="AO867" i="17"/>
  <c r="AR867" i="17" s="1"/>
  <c r="O598" i="5"/>
  <c r="AO898" i="17"/>
  <c r="AR898" i="17" s="1"/>
  <c r="O621" i="5"/>
  <c r="AO921" i="17"/>
  <c r="AR921" i="17" s="1"/>
  <c r="O672" i="5"/>
  <c r="AO972" i="17"/>
  <c r="AR972" i="17" s="1"/>
  <c r="O862" i="5"/>
  <c r="AO1162" i="17"/>
  <c r="AR1162" i="17" s="1"/>
  <c r="O18" i="5"/>
  <c r="AO19" i="17" s="1"/>
  <c r="AR19" i="17" s="1"/>
  <c r="O42" i="5"/>
  <c r="AO43" i="17" s="1"/>
  <c r="AR43" i="17" s="1"/>
  <c r="O69" i="5"/>
  <c r="AO70" i="17" s="1"/>
  <c r="AR70" i="17" s="1"/>
  <c r="O86" i="5"/>
  <c r="AO87" i="17" s="1"/>
  <c r="AR87" i="17" s="1"/>
  <c r="O104" i="5"/>
  <c r="AO105" i="17"/>
  <c r="AR105" i="17" s="1"/>
  <c r="AO404" i="17"/>
  <c r="AR404" i="17" s="1"/>
  <c r="O134" i="5"/>
  <c r="AO135" i="17" s="1"/>
  <c r="AR135" i="17" s="1"/>
  <c r="O146" i="5"/>
  <c r="AO446" i="17" s="1"/>
  <c r="AR446" i="17" s="1"/>
  <c r="AO147" i="17"/>
  <c r="AR147" i="17" s="1"/>
  <c r="O181" i="5"/>
  <c r="AO182" i="17" s="1"/>
  <c r="AR182" i="17" s="1"/>
  <c r="O202" i="5"/>
  <c r="AO203" i="17" s="1"/>
  <c r="AR203" i="17" s="1"/>
  <c r="AO502" i="17"/>
  <c r="AR502" i="17" s="1"/>
  <c r="O215" i="5"/>
  <c r="AO216" i="17" s="1"/>
  <c r="AR216" i="17" s="1"/>
  <c r="O254" i="5"/>
  <c r="AO554" i="17" s="1"/>
  <c r="AR554" i="17" s="1"/>
  <c r="O266" i="5"/>
  <c r="AO267" i="17" s="1"/>
  <c r="AR267" i="17" s="1"/>
  <c r="O299" i="5"/>
  <c r="AO599" i="17" s="1"/>
  <c r="AR599" i="17" s="1"/>
  <c r="O312" i="5"/>
  <c r="AO313" i="17" s="1"/>
  <c r="AR313" i="17" s="1"/>
  <c r="O347" i="5"/>
  <c r="AO647" i="17" s="1"/>
  <c r="AR647" i="17" s="1"/>
  <c r="O363" i="5"/>
  <c r="AO364" i="17" s="1"/>
  <c r="AR364" i="17" s="1"/>
  <c r="O393" i="5"/>
  <c r="AO693" i="17"/>
  <c r="AR693" i="17" s="1"/>
  <c r="O410" i="5"/>
  <c r="AO710" i="17" s="1"/>
  <c r="AR710" i="17" s="1"/>
  <c r="O463" i="5"/>
  <c r="AO763" i="17"/>
  <c r="AR763" i="17" s="1"/>
  <c r="O482" i="5"/>
  <c r="AO782" i="17"/>
  <c r="AR782" i="17" s="1"/>
  <c r="O520" i="5"/>
  <c r="AO820" i="17"/>
  <c r="AR820" i="17" s="1"/>
  <c r="O542" i="5"/>
  <c r="AO842" i="17"/>
  <c r="AR842" i="17" s="1"/>
  <c r="O583" i="5"/>
  <c r="AO883" i="17"/>
  <c r="AR883" i="17" s="1"/>
  <c r="O601" i="5"/>
  <c r="AO901" i="17"/>
  <c r="AR901" i="17" s="1"/>
  <c r="O617" i="5"/>
  <c r="AO917" i="17"/>
  <c r="AR917" i="17" s="1"/>
  <c r="O652" i="5"/>
  <c r="AO952" i="17"/>
  <c r="AR952" i="17" s="1"/>
  <c r="O674" i="5"/>
  <c r="AO974" i="17"/>
  <c r="AR974" i="17" s="1"/>
  <c r="O697" i="5"/>
  <c r="AO997" i="17"/>
  <c r="AR997" i="17" s="1"/>
  <c r="O717" i="5"/>
  <c r="AO1017" i="17"/>
  <c r="AR1017" i="17" s="1"/>
  <c r="O330" i="5"/>
  <c r="AO630" i="17" s="1"/>
  <c r="AR630" i="17" s="1"/>
  <c r="O358" i="5"/>
  <c r="AO359" i="17" s="1"/>
  <c r="AR359" i="17" s="1"/>
  <c r="O382" i="5"/>
  <c r="AO682" i="17" s="1"/>
  <c r="AR682" i="17" s="1"/>
  <c r="O408" i="5"/>
  <c r="AO708" i="17" s="1"/>
  <c r="AR708" i="17" s="1"/>
  <c r="O425" i="5"/>
  <c r="AO725" i="17" s="1"/>
  <c r="AR725" i="17" s="1"/>
  <c r="O453" i="5"/>
  <c r="AO753" i="17"/>
  <c r="AR753" i="17" s="1"/>
  <c r="O472" i="5"/>
  <c r="AO772" i="17"/>
  <c r="AR772" i="17" s="1"/>
  <c r="O509" i="5"/>
  <c r="AO809" i="17"/>
  <c r="AR809" i="17" s="1"/>
  <c r="O527" i="5"/>
  <c r="AO827" i="17"/>
  <c r="AR827" i="17" s="1"/>
  <c r="O544" i="5"/>
  <c r="AO844" i="17"/>
  <c r="AR844" i="17" s="1"/>
  <c r="O565" i="5"/>
  <c r="AO865" i="17"/>
  <c r="AR865" i="17" s="1"/>
  <c r="O591" i="5"/>
  <c r="AO891" i="17"/>
  <c r="AR891" i="17" s="1"/>
  <c r="O619" i="5"/>
  <c r="AO919" i="17"/>
  <c r="AR919" i="17" s="1"/>
  <c r="O630" i="5"/>
  <c r="AO930" i="17"/>
  <c r="AR930" i="17" s="1"/>
  <c r="O664" i="5"/>
  <c r="AO964" i="17"/>
  <c r="AR964" i="17" s="1"/>
  <c r="O669" i="5"/>
  <c r="AO969" i="17"/>
  <c r="AR969" i="17" s="1"/>
  <c r="O698" i="5"/>
  <c r="AO998" i="17"/>
  <c r="AR998" i="17" s="1"/>
  <c r="O719" i="5"/>
  <c r="AO1019" i="17"/>
  <c r="AR1019" i="17" s="1"/>
  <c r="O798" i="5"/>
  <c r="AO1098" i="17"/>
  <c r="AR1098" i="17" s="1"/>
  <c r="M860" i="5"/>
  <c r="AJ1160" i="17"/>
  <c r="AM1160" i="17" s="1"/>
  <c r="M844" i="5"/>
  <c r="AJ1144" i="17"/>
  <c r="AM1144" i="17" s="1"/>
  <c r="M835" i="5"/>
  <c r="AJ1135" i="17"/>
  <c r="AM1135" i="17" s="1"/>
  <c r="M831" i="5"/>
  <c r="AJ1131" i="17"/>
  <c r="AM1131" i="17" s="1"/>
  <c r="M827" i="5"/>
  <c r="AJ1127" i="17"/>
  <c r="AM1127" i="17" s="1"/>
  <c r="M823" i="5"/>
  <c r="AJ1123" i="17"/>
  <c r="AM1123" i="17" s="1"/>
  <c r="M819" i="5"/>
  <c r="AJ1119" i="17"/>
  <c r="AM1119" i="17" s="1"/>
  <c r="M815" i="5"/>
  <c r="AJ1115" i="17"/>
  <c r="AM1115" i="17" s="1"/>
  <c r="M811" i="5"/>
  <c r="AJ1111" i="17"/>
  <c r="AM1111" i="17" s="1"/>
  <c r="M807" i="5"/>
  <c r="AJ1107" i="17"/>
  <c r="AM1107" i="17" s="1"/>
  <c r="M803" i="5"/>
  <c r="AJ1103" i="17"/>
  <c r="AM1103" i="17" s="1"/>
  <c r="M799" i="5"/>
  <c r="AJ1099" i="17"/>
  <c r="AM1099" i="17" s="1"/>
  <c r="M795" i="5"/>
  <c r="AJ1095" i="17"/>
  <c r="AM1095" i="17" s="1"/>
  <c r="M791" i="5"/>
  <c r="AJ1091" i="17"/>
  <c r="AM1091" i="17" s="1"/>
  <c r="M787" i="5"/>
  <c r="AJ1087" i="17"/>
  <c r="AM1087" i="17" s="1"/>
  <c r="M783" i="5"/>
  <c r="AJ1083" i="17"/>
  <c r="AM1083" i="17" s="1"/>
  <c r="M779" i="5"/>
  <c r="AJ1079" i="17"/>
  <c r="AM1079" i="17" s="1"/>
  <c r="M775" i="5"/>
  <c r="AJ1075" i="17"/>
  <c r="AM1075" i="17" s="1"/>
  <c r="M771" i="5"/>
  <c r="AJ1071" i="17"/>
  <c r="AM1071" i="17" s="1"/>
  <c r="M767" i="5"/>
  <c r="AJ1067" i="17"/>
  <c r="AM1067" i="17" s="1"/>
  <c r="O845" i="5"/>
  <c r="AO1145" i="17"/>
  <c r="AR1145" i="17" s="1"/>
  <c r="Q857" i="5"/>
  <c r="AT1157" i="17"/>
  <c r="AW1157" i="17" s="1"/>
  <c r="Q836" i="5"/>
  <c r="AT1136" i="17"/>
  <c r="AW1136" i="17" s="1"/>
  <c r="Q821" i="5"/>
  <c r="AT1121" i="17"/>
  <c r="AW1121" i="17" s="1"/>
  <c r="Q806" i="5"/>
  <c r="AT1106" i="17"/>
  <c r="AW1106" i="17" s="1"/>
  <c r="Q790" i="5"/>
  <c r="AT1090" i="17"/>
  <c r="AW1090" i="17" s="1"/>
  <c r="U839" i="5"/>
  <c r="BD1139" i="17"/>
  <c r="BG1139" i="17" s="1"/>
  <c r="U828" i="5"/>
  <c r="BD1128" i="17"/>
  <c r="BG1128" i="17" s="1"/>
  <c r="U805" i="5"/>
  <c r="BD1105" i="17"/>
  <c r="BG1105" i="17" s="1"/>
  <c r="U791" i="5"/>
  <c r="BD1091" i="17"/>
  <c r="BG1091" i="17" s="1"/>
  <c r="O850" i="5"/>
  <c r="AO1150" i="17"/>
  <c r="AR1150" i="17" s="1"/>
  <c r="O823" i="5"/>
  <c r="AO1123" i="17"/>
  <c r="AR1123" i="17" s="1"/>
  <c r="O846" i="5"/>
  <c r="AO1146" i="17"/>
  <c r="AR1146" i="17" s="1"/>
  <c r="O830" i="5"/>
  <c r="AO1130" i="17"/>
  <c r="AR1130" i="17" s="1"/>
  <c r="O807" i="5"/>
  <c r="AO1107" i="17"/>
  <c r="AR1107" i="17" s="1"/>
  <c r="O774" i="5"/>
  <c r="AO1074" i="17"/>
  <c r="AR1074" i="17" s="1"/>
  <c r="O762" i="5"/>
  <c r="AO1062" i="17"/>
  <c r="AR1062" i="17" s="1"/>
  <c r="Q861" i="5"/>
  <c r="AT1161" i="17"/>
  <c r="AW1161" i="17" s="1"/>
  <c r="Q797" i="5"/>
  <c r="AT1097" i="17"/>
  <c r="AW1097" i="17" s="1"/>
  <c r="Q758" i="5"/>
  <c r="AT1058" i="17"/>
  <c r="AW1058" i="17" s="1"/>
  <c r="Q742" i="5"/>
  <c r="AT1042" i="17"/>
  <c r="AW1042" i="17" s="1"/>
  <c r="Q725" i="5"/>
  <c r="AT1025" i="17"/>
  <c r="AW1025" i="17" s="1"/>
  <c r="Q714" i="5"/>
  <c r="AT1014" i="17"/>
  <c r="AW1014" i="17" s="1"/>
  <c r="Q699" i="5"/>
  <c r="AT999" i="17"/>
  <c r="AW999" i="17" s="1"/>
  <c r="Q682" i="5"/>
  <c r="AT982" i="17"/>
  <c r="AW982" i="17" s="1"/>
  <c r="Q668" i="5"/>
  <c r="AT968" i="17"/>
  <c r="AW968" i="17" s="1"/>
  <c r="Q645" i="5"/>
  <c r="AT945" i="17"/>
  <c r="AW945" i="17" s="1"/>
  <c r="Q626" i="5"/>
  <c r="AT926" i="17"/>
  <c r="AW926" i="17" s="1"/>
  <c r="Q615" i="5"/>
  <c r="AT915" i="17"/>
  <c r="AW915" i="17" s="1"/>
  <c r="Q803" i="5"/>
  <c r="AT1103" i="17"/>
  <c r="AW1103" i="17" s="1"/>
  <c r="Q813" i="5"/>
  <c r="AT1113" i="17"/>
  <c r="AW1113" i="17" s="1"/>
  <c r="Q840" i="5"/>
  <c r="AT1140" i="17"/>
  <c r="AW1140" i="17" s="1"/>
  <c r="Q852" i="5"/>
  <c r="AT1152" i="17"/>
  <c r="AW1152" i="17" s="1"/>
  <c r="Q798" i="5"/>
  <c r="AT1098" i="17"/>
  <c r="AW1098" i="17" s="1"/>
  <c r="Q819" i="5"/>
  <c r="AT1119" i="17"/>
  <c r="AW1119" i="17" s="1"/>
  <c r="Q831" i="5"/>
  <c r="AT1131" i="17"/>
  <c r="AW1131" i="17" s="1"/>
  <c r="Q865" i="5"/>
  <c r="AT1165" i="17"/>
  <c r="AW1165" i="17" s="1"/>
  <c r="O732" i="5"/>
  <c r="AO1032" i="17"/>
  <c r="AR1032" i="17" s="1"/>
  <c r="O747" i="5"/>
  <c r="AO1047" i="17"/>
  <c r="AR1047" i="17" s="1"/>
  <c r="O773" i="5"/>
  <c r="AO1073" i="17"/>
  <c r="AR1073" i="17" s="1"/>
  <c r="O793" i="5"/>
  <c r="AO1093" i="17"/>
  <c r="AR1093" i="17" s="1"/>
  <c r="O812" i="5"/>
  <c r="AO1112" i="17"/>
  <c r="AR1112" i="17" s="1"/>
  <c r="O840" i="5"/>
  <c r="AO1140" i="17"/>
  <c r="AR1140" i="17" s="1"/>
  <c r="O861" i="5"/>
  <c r="AO1161" i="17"/>
  <c r="AR1161" i="17" s="1"/>
  <c r="O731" i="5"/>
  <c r="AO1031" i="17"/>
  <c r="AR1031" i="17" s="1"/>
  <c r="O746" i="5"/>
  <c r="AO1046" i="17"/>
  <c r="AR1046" i="17" s="1"/>
  <c r="O781" i="5"/>
  <c r="AO1081" i="17"/>
  <c r="AR1081" i="17" s="1"/>
  <c r="O799" i="5"/>
  <c r="AO1099" i="17"/>
  <c r="AR1099" i="17" s="1"/>
  <c r="O815" i="5"/>
  <c r="AO1115" i="17"/>
  <c r="AR1115" i="17" s="1"/>
  <c r="O833" i="5"/>
  <c r="AO1133" i="17"/>
  <c r="AR1133" i="17" s="1"/>
  <c r="O865" i="5"/>
  <c r="AO1165" i="17"/>
  <c r="AR1165" i="17" s="1"/>
  <c r="Q113" i="5"/>
  <c r="AT114" i="17"/>
  <c r="AW114" i="17" s="1"/>
  <c r="AT413" i="17"/>
  <c r="AW413" i="17" s="1"/>
  <c r="Q124" i="5"/>
  <c r="AT125" i="17"/>
  <c r="AW125" i="17" s="1"/>
  <c r="AT424" i="17"/>
  <c r="AW424" i="17" s="1"/>
  <c r="Q132" i="5"/>
  <c r="AT133" i="17"/>
  <c r="AW133" i="17" s="1"/>
  <c r="AT432" i="17"/>
  <c r="AW432" i="17" s="1"/>
  <c r="Q140" i="5"/>
  <c r="AT141" i="17"/>
  <c r="AW141" i="17" s="1"/>
  <c r="AT440" i="17"/>
  <c r="AW440" i="17" s="1"/>
  <c r="Q156" i="5"/>
  <c r="AT157" i="17"/>
  <c r="AW157" i="17" s="1"/>
  <c r="AT456" i="17"/>
  <c r="AW456" i="17" s="1"/>
  <c r="Q170" i="5"/>
  <c r="AT171" i="17"/>
  <c r="AW171" i="17" s="1"/>
  <c r="AT470" i="17"/>
  <c r="AW470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54" i="5"/>
  <c r="AT255" i="17"/>
  <c r="AW255" i="17" s="1"/>
  <c r="AT554" i="17"/>
  <c r="AW554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26" i="5"/>
  <c r="AT726" i="17"/>
  <c r="AW726" i="17" s="1"/>
  <c r="Q454" i="5"/>
  <c r="AT754" i="17"/>
  <c r="AW754" i="17" s="1"/>
  <c r="Q534" i="5"/>
  <c r="AT834" i="17"/>
  <c r="AW834" i="17" s="1"/>
  <c r="Q676" i="5"/>
  <c r="AT976" i="17"/>
  <c r="AW976" i="17" s="1"/>
  <c r="Q698" i="5"/>
  <c r="AT998" i="17"/>
  <c r="AW998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378" i="5"/>
  <c r="AT379" i="17"/>
  <c r="AW379" i="17" s="1"/>
  <c r="AT678" i="17"/>
  <c r="AW678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544" i="5"/>
  <c r="AT844" i="17"/>
  <c r="AW844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388" i="5"/>
  <c r="AT688" i="17"/>
  <c r="AW688" i="17" s="1"/>
  <c r="Q407" i="5"/>
  <c r="AT707" i="17"/>
  <c r="AW707" i="17" s="1"/>
  <c r="Q419" i="5"/>
  <c r="AT719" i="17"/>
  <c r="AW719" i="17" s="1"/>
  <c r="Q441" i="5"/>
  <c r="AT741" i="17"/>
  <c r="AW741" i="17" s="1"/>
  <c r="Q499" i="5"/>
  <c r="AT799" i="17"/>
  <c r="AW799" i="17" s="1"/>
  <c r="Q542" i="5"/>
  <c r="AT842" i="17"/>
  <c r="AW842" i="17" s="1"/>
  <c r="Q560" i="5"/>
  <c r="AT860" i="17"/>
  <c r="AW860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136" i="17"/>
  <c r="AW136" i="17" s="1"/>
  <c r="AT435" i="17"/>
  <c r="AW435" i="17" s="1"/>
  <c r="Q119" i="5"/>
  <c r="AT120" i="17"/>
  <c r="AW120" i="17" s="1"/>
  <c r="AT419" i="17"/>
  <c r="AW419" i="17" s="1"/>
  <c r="Q111" i="5"/>
  <c r="AT112" i="17"/>
  <c r="AW112" i="17" s="1"/>
  <c r="AT411" i="17"/>
  <c r="AW411" i="17" s="1"/>
  <c r="Q102" i="5"/>
  <c r="AT103" i="17"/>
  <c r="AW103" i="17" s="1"/>
  <c r="AT402" i="17"/>
  <c r="AW402" i="17" s="1"/>
  <c r="Q95" i="5"/>
  <c r="AT96" i="17"/>
  <c r="AW96" i="17" s="1"/>
  <c r="AT395" i="17"/>
  <c r="AW395" i="17" s="1"/>
  <c r="Q68" i="5"/>
  <c r="AT69" i="17"/>
  <c r="AW69" i="17" s="1"/>
  <c r="Q51" i="5"/>
  <c r="AT52" i="17"/>
  <c r="AW52" i="17" s="1"/>
  <c r="Q40" i="5"/>
  <c r="AT41" i="17"/>
  <c r="AW41" i="17" s="1"/>
  <c r="Q19" i="5"/>
  <c r="AT20" i="17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/>
  <c r="BB15" i="17" s="1"/>
  <c r="S25" i="5"/>
  <c r="AY26" i="17"/>
  <c r="BB26" i="17" s="1"/>
  <c r="S43" i="5"/>
  <c r="AY44" i="17"/>
  <c r="BB44" i="17" s="1"/>
  <c r="S57" i="5"/>
  <c r="AY58" i="17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/>
  <c r="BB70" i="17" s="1"/>
  <c r="S19" i="5"/>
  <c r="AY20" i="17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/>
  <c r="BB61" i="17" s="1"/>
  <c r="S10" i="5"/>
  <c r="AY11" i="17"/>
  <c r="BB11" i="17" s="1"/>
  <c r="AY10" i="17"/>
  <c r="BB10" i="17" s="1"/>
  <c r="S13" i="5"/>
  <c r="AY14" i="17"/>
  <c r="BB14" i="17" s="1"/>
  <c r="S30" i="5"/>
  <c r="AY31" i="17"/>
  <c r="BB31" i="17" s="1"/>
  <c r="S45" i="5"/>
  <c r="AY46" i="17"/>
  <c r="BB46" i="17" s="1"/>
  <c r="S68" i="5"/>
  <c r="AY69" i="17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/>
  <c r="BB39" i="17" s="1"/>
  <c r="S55" i="5"/>
  <c r="AY56" i="17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93" i="5"/>
  <c r="AO393" i="17" s="1"/>
  <c r="AR393" i="17" s="1"/>
  <c r="AO94" i="17"/>
  <c r="AR94" i="17" s="1"/>
  <c r="O101" i="5"/>
  <c r="AO102" i="17" s="1"/>
  <c r="AR102" i="17" s="1"/>
  <c r="O114" i="5"/>
  <c r="AO115" i="17" s="1"/>
  <c r="AR115" i="17" s="1"/>
  <c r="AO414" i="17"/>
  <c r="AR414" i="17" s="1"/>
  <c r="O136" i="5"/>
  <c r="AO137" i="17" s="1"/>
  <c r="AR137" i="17" s="1"/>
  <c r="O150" i="5"/>
  <c r="AO450" i="17" s="1"/>
  <c r="AR450" i="17" s="1"/>
  <c r="O165" i="5"/>
  <c r="AO166" i="17" s="1"/>
  <c r="AR166" i="17" s="1"/>
  <c r="O183" i="5"/>
  <c r="AO184" i="17" s="1"/>
  <c r="AR184" i="17" s="1"/>
  <c r="O199" i="5"/>
  <c r="AO200" i="17" s="1"/>
  <c r="AR200" i="17" s="1"/>
  <c r="O212" i="5"/>
  <c r="AO512" i="17" s="1"/>
  <c r="AR512" i="17" s="1"/>
  <c r="AO213" i="17"/>
  <c r="AR213" i="17" s="1"/>
  <c r="O225" i="5"/>
  <c r="AO226" i="17" s="1"/>
  <c r="AR226" i="17" s="1"/>
  <c r="O242" i="5"/>
  <c r="AO243" i="17"/>
  <c r="AR243" i="17" s="1"/>
  <c r="AO542" i="17"/>
  <c r="AR542" i="17" s="1"/>
  <c r="O260" i="5"/>
  <c r="AO261" i="17" s="1"/>
  <c r="AR261" i="17" s="1"/>
  <c r="O283" i="5"/>
  <c r="AO583" i="17" s="1"/>
  <c r="AR583" i="17" s="1"/>
  <c r="AO284" i="17"/>
  <c r="AR284" i="17" s="1"/>
  <c r="O293" i="5"/>
  <c r="AO294" i="17" s="1"/>
  <c r="AR294" i="17" s="1"/>
  <c r="O309" i="5"/>
  <c r="AO310" i="17" s="1"/>
  <c r="AR310" i="17" s="1"/>
  <c r="AO609" i="17"/>
  <c r="AR609" i="17" s="1"/>
  <c r="O321" i="5"/>
  <c r="AO322" i="17" s="1"/>
  <c r="AR322" i="17" s="1"/>
  <c r="O341" i="5"/>
  <c r="AO641" i="17" s="1"/>
  <c r="AR641" i="17" s="1"/>
  <c r="O359" i="5"/>
  <c r="AO360" i="17" s="1"/>
  <c r="AR360" i="17" s="1"/>
  <c r="O401" i="5"/>
  <c r="AO701" i="17" s="1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 s="1"/>
  <c r="AR28" i="17" s="1"/>
  <c r="O44" i="5"/>
  <c r="AO45" i="17" s="1"/>
  <c r="AR45" i="17" s="1"/>
  <c r="O57" i="5"/>
  <c r="AO58" i="17" s="1"/>
  <c r="AR58" i="17" s="1"/>
  <c r="O78" i="5"/>
  <c r="AO79" i="17" s="1"/>
  <c r="AR79" i="17" s="1"/>
  <c r="O89" i="5"/>
  <c r="AO90" i="17" s="1"/>
  <c r="AR90" i="17" s="1"/>
  <c r="AO389" i="17"/>
  <c r="AR389" i="17" s="1"/>
  <c r="O107" i="5"/>
  <c r="AO407" i="17" s="1"/>
  <c r="AR407" i="17" s="1"/>
  <c r="O122" i="5"/>
  <c r="AO123" i="17" s="1"/>
  <c r="AR123" i="17" s="1"/>
  <c r="O139" i="5"/>
  <c r="AO140" i="17" s="1"/>
  <c r="AR140" i="17" s="1"/>
  <c r="O152" i="5"/>
  <c r="AO153" i="17" s="1"/>
  <c r="AR153" i="17" s="1"/>
  <c r="O169" i="5"/>
  <c r="AO469" i="17" s="1"/>
  <c r="AR469" i="17" s="1"/>
  <c r="AO170" i="17"/>
  <c r="AR170" i="17" s="1"/>
  <c r="O186" i="5"/>
  <c r="AO187" i="17" s="1"/>
  <c r="AR187" i="17" s="1"/>
  <c r="O208" i="5"/>
  <c r="AO209" i="17" s="1"/>
  <c r="AR209" i="17" s="1"/>
  <c r="O221" i="5"/>
  <c r="AO222" i="17" s="1"/>
  <c r="AR222" i="17" s="1"/>
  <c r="AO521" i="17"/>
  <c r="AR521" i="17" s="1"/>
  <c r="O246" i="5"/>
  <c r="AO546" i="17" s="1"/>
  <c r="AR546" i="17" s="1"/>
  <c r="O257" i="5"/>
  <c r="AO258" i="17" s="1"/>
  <c r="AR258" i="17" s="1"/>
  <c r="O271" i="5"/>
  <c r="AO272" i="17" s="1"/>
  <c r="AR272" i="17" s="1"/>
  <c r="O281" i="5"/>
  <c r="AO282" i="17" s="1"/>
  <c r="AR282" i="17" s="1"/>
  <c r="O302" i="5"/>
  <c r="AO602" i="17" s="1"/>
  <c r="AR602" i="17" s="1"/>
  <c r="AO303" i="17"/>
  <c r="AR303" i="17" s="1"/>
  <c r="O317" i="5"/>
  <c r="AO318" i="17" s="1"/>
  <c r="AR318" i="17" s="1"/>
  <c r="O329" i="5"/>
  <c r="AO330" i="17" s="1"/>
  <c r="AR330" i="17" s="1"/>
  <c r="O349" i="5"/>
  <c r="AO350" i="17" s="1"/>
  <c r="AR350" i="17" s="1"/>
  <c r="AO649" i="17"/>
  <c r="AR649" i="17" s="1"/>
  <c r="O365" i="5"/>
  <c r="AO665" i="17" s="1"/>
  <c r="AR665" i="17" s="1"/>
  <c r="O381" i="5"/>
  <c r="AO382" i="17" s="1"/>
  <c r="AR382" i="17" s="1"/>
  <c r="O396" i="5"/>
  <c r="AO696" i="17" s="1"/>
  <c r="AR696" i="17" s="1"/>
  <c r="O415" i="5"/>
  <c r="AO715" i="17" s="1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632" i="17" s="1"/>
  <c r="AR632" i="17" s="1"/>
  <c r="O343" i="5"/>
  <c r="AO344" i="17" s="1"/>
  <c r="AR344" i="17" s="1"/>
  <c r="O368" i="5"/>
  <c r="AO369" i="17" s="1"/>
  <c r="AR369" i="17" s="1"/>
  <c r="AO668" i="17"/>
  <c r="AR668" i="17" s="1"/>
  <c r="O387" i="5"/>
  <c r="AO687" i="17" s="1"/>
  <c r="AR687" i="17" s="1"/>
  <c r="O399" i="5"/>
  <c r="AO699" i="17" s="1"/>
  <c r="AR699" i="17" s="1"/>
  <c r="O411" i="5"/>
  <c r="AO711" i="17" s="1"/>
  <c r="AR711" i="17" s="1"/>
  <c r="O427" i="5"/>
  <c r="AO727" i="17" s="1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S807" i="5"/>
  <c r="AY1107" i="17"/>
  <c r="BB1107" i="17" s="1"/>
  <c r="S150" i="5"/>
  <c r="AY151" i="17"/>
  <c r="BB151" i="17" s="1"/>
  <c r="AY450" i="17"/>
  <c r="BB450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 s="1"/>
  <c r="AR716" i="17" s="1"/>
  <c r="O348" i="5"/>
  <c r="AO349" i="17" s="1"/>
  <c r="AR349" i="17" s="1"/>
  <c r="O305" i="5"/>
  <c r="AO605" i="17" s="1"/>
  <c r="AR605" i="17" s="1"/>
  <c r="AO306" i="17"/>
  <c r="AR306" i="17" s="1"/>
  <c r="O278" i="5"/>
  <c r="AO279" i="17" s="1"/>
  <c r="AR279" i="17" s="1"/>
  <c r="O222" i="5"/>
  <c r="AO522" i="17" s="1"/>
  <c r="AR522" i="17" s="1"/>
  <c r="AO223" i="17"/>
  <c r="AR223" i="17" s="1"/>
  <c r="O170" i="5"/>
  <c r="AO171" i="17" s="1"/>
  <c r="AR171" i="17" s="1"/>
  <c r="O92" i="5"/>
  <c r="AO93" i="17"/>
  <c r="AR93" i="17" s="1"/>
  <c r="AO392" i="17"/>
  <c r="AR392" i="17" s="1"/>
  <c r="O71" i="5"/>
  <c r="AO72" i="17" s="1"/>
  <c r="AR72" i="17" s="1"/>
  <c r="O56" i="5"/>
  <c r="AO57" i="17" s="1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89" i="17" s="1"/>
  <c r="AR89" i="17" s="1"/>
  <c r="O126" i="5"/>
  <c r="AO127" i="17"/>
  <c r="AR127" i="17" s="1"/>
  <c r="AO426" i="17"/>
  <c r="AR426" i="17" s="1"/>
  <c r="O161" i="5"/>
  <c r="AO162" i="17" s="1"/>
  <c r="AR162" i="17" s="1"/>
  <c r="O216" i="5"/>
  <c r="AO516" i="17" s="1"/>
  <c r="AR516" i="17" s="1"/>
  <c r="AO217" i="17"/>
  <c r="AR217" i="17" s="1"/>
  <c r="O239" i="5"/>
  <c r="AO240" i="17" s="1"/>
  <c r="AR240" i="17" s="1"/>
  <c r="O269" i="5"/>
  <c r="AO270" i="17" s="1"/>
  <c r="AR270" i="17" s="1"/>
  <c r="O300" i="5"/>
  <c r="AO301" i="17" s="1"/>
  <c r="AR301" i="17" s="1"/>
  <c r="O333" i="5"/>
  <c r="AO633" i="17" s="1"/>
  <c r="AR633" i="17" s="1"/>
  <c r="O374" i="5"/>
  <c r="AO375" i="17" s="1"/>
  <c r="AR375" i="17" s="1"/>
  <c r="O409" i="5"/>
  <c r="AO709" i="17" s="1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 s="1"/>
  <c r="AR689" i="17" s="1"/>
  <c r="O294" i="5"/>
  <c r="AO295" i="17"/>
  <c r="AR295" i="17" s="1"/>
  <c r="AO594" i="17"/>
  <c r="AR594" i="17" s="1"/>
  <c r="O265" i="5"/>
  <c r="AO266" i="17" s="1"/>
  <c r="AR266" i="17" s="1"/>
  <c r="O210" i="5"/>
  <c r="AO510" i="17" s="1"/>
  <c r="AR510" i="17" s="1"/>
  <c r="AO211" i="17"/>
  <c r="AR211" i="17" s="1"/>
  <c r="O197" i="5"/>
  <c r="AO198" i="17" s="1"/>
  <c r="AR198" i="17" s="1"/>
  <c r="O157" i="5"/>
  <c r="AO158" i="17"/>
  <c r="AR158" i="17" s="1"/>
  <c r="AO457" i="17"/>
  <c r="AR457" i="17" s="1"/>
  <c r="O129" i="5"/>
  <c r="AO130" i="17" s="1"/>
  <c r="AR130" i="17" s="1"/>
  <c r="O102" i="5"/>
  <c r="AO402" i="17" s="1"/>
  <c r="AR402" i="17" s="1"/>
  <c r="AO103" i="17"/>
  <c r="AR103" i="17" s="1"/>
  <c r="O39" i="5"/>
  <c r="AO40" i="17" s="1"/>
  <c r="AR40" i="17" s="1"/>
  <c r="O11" i="5"/>
  <c r="AO12" i="17" s="1"/>
  <c r="AR12" i="17" s="1"/>
  <c r="O147" i="5"/>
  <c r="AO148" i="17" s="1"/>
  <c r="AR148" i="17" s="1"/>
  <c r="O116" i="5"/>
  <c r="AO416" i="17" s="1"/>
  <c r="AR416" i="17" s="1"/>
  <c r="AO117" i="17"/>
  <c r="AR117" i="17" s="1"/>
  <c r="O68" i="5"/>
  <c r="AO69" i="17" s="1"/>
  <c r="AR69" i="17" s="1"/>
  <c r="O29" i="5"/>
  <c r="AO30" i="17" s="1"/>
  <c r="AR30" i="17" s="1"/>
  <c r="U345" i="5"/>
  <c r="BD346" i="17"/>
  <c r="BG346" i="17" s="1"/>
  <c r="BD645" i="17"/>
  <c r="BG645" i="17" s="1"/>
  <c r="U375" i="5"/>
  <c r="BD376" i="17"/>
  <c r="BG376" i="17" s="1"/>
  <c r="BD675" i="17"/>
  <c r="BG675" i="17" s="1"/>
  <c r="U407" i="5"/>
  <c r="BD707" i="17"/>
  <c r="BG707" i="17" s="1"/>
  <c r="U462" i="5"/>
  <c r="BD762" i="17"/>
  <c r="BG762" i="17" s="1"/>
  <c r="U553" i="5"/>
  <c r="BD853" i="17"/>
  <c r="BG853" i="17" s="1"/>
  <c r="U664" i="5"/>
  <c r="BD964" i="17"/>
  <c r="BG964" i="17" s="1"/>
  <c r="U860" i="5"/>
  <c r="BD1160" i="17"/>
  <c r="BG1160" i="17" s="1"/>
  <c r="U670" i="5"/>
  <c r="BD970" i="17"/>
  <c r="BG970" i="17" s="1"/>
  <c r="U540" i="5"/>
  <c r="BD840" i="17"/>
  <c r="BG840" i="17" s="1"/>
  <c r="U456" i="5"/>
  <c r="BD756" i="17"/>
  <c r="BG756" i="17" s="1"/>
  <c r="U398" i="5"/>
  <c r="BD698" i="17"/>
  <c r="BG698" i="17" s="1"/>
  <c r="U310" i="5"/>
  <c r="BD311" i="17"/>
  <c r="BG311" i="17" s="1"/>
  <c r="BD610" i="17"/>
  <c r="BG610" i="17" s="1"/>
  <c r="U263" i="5"/>
  <c r="BD264" i="17"/>
  <c r="BG264" i="17" s="1"/>
  <c r="BD563" i="17"/>
  <c r="BG563" i="17" s="1"/>
  <c r="U205" i="5"/>
  <c r="BD206" i="17"/>
  <c r="BG206" i="17" s="1"/>
  <c r="BD505" i="17"/>
  <c r="BG505" i="17" s="1"/>
  <c r="U143" i="5"/>
  <c r="BD144" i="17"/>
  <c r="BG144" i="17" s="1"/>
  <c r="BD443" i="17"/>
  <c r="BG443" i="17" s="1"/>
  <c r="U80" i="5"/>
  <c r="BD81" i="17"/>
  <c r="BG81" i="17" s="1"/>
  <c r="U43" i="5"/>
  <c r="BD44" i="17"/>
  <c r="BG44" i="17" s="1"/>
  <c r="U489" i="5"/>
  <c r="BD789" i="17"/>
  <c r="BG789" i="17" s="1"/>
  <c r="U309" i="5"/>
  <c r="BD310" i="17"/>
  <c r="BG310" i="17" s="1"/>
  <c r="BD609" i="17"/>
  <c r="BG60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88" i="5"/>
  <c r="BD89" i="17"/>
  <c r="BG89" i="17" s="1"/>
  <c r="BD388" i="17"/>
  <c r="BG388" i="17" s="1"/>
  <c r="U135" i="5"/>
  <c r="BD136" i="17"/>
  <c r="BG136" i="17" s="1"/>
  <c r="BD435" i="17"/>
  <c r="BG435" i="17" s="1"/>
  <c r="U207" i="5"/>
  <c r="BD208" i="17"/>
  <c r="BG208" i="17" s="1"/>
  <c r="BD507" i="17"/>
  <c r="BG507" i="17" s="1"/>
  <c r="U311" i="5"/>
  <c r="BD312" i="17"/>
  <c r="BG312" i="17" s="1"/>
  <c r="BD611" i="17"/>
  <c r="BG611" i="17" s="1"/>
  <c r="U424" i="5"/>
  <c r="BD724" i="17"/>
  <c r="BG724" i="17" s="1"/>
  <c r="U451" i="5"/>
  <c r="BD751" i="17"/>
  <c r="BG751" i="17" s="1"/>
  <c r="U13" i="5"/>
  <c r="BD14" i="17"/>
  <c r="BG14" i="17" s="1"/>
  <c r="U96" i="5"/>
  <c r="BD97" i="17"/>
  <c r="BG97" i="17" s="1"/>
  <c r="BD396" i="17"/>
  <c r="BG396" i="17" s="1"/>
  <c r="U183" i="5"/>
  <c r="BD184" i="17"/>
  <c r="BG184" i="17" s="1"/>
  <c r="BD483" i="17"/>
  <c r="BG483" i="17" s="1"/>
  <c r="U333" i="5"/>
  <c r="BD334" i="17"/>
  <c r="BG334" i="17" s="1"/>
  <c r="BD633" i="17"/>
  <c r="BG633" i="17" s="1"/>
  <c r="U430" i="5"/>
  <c r="BD730" i="17"/>
  <c r="BG730" i="17" s="1"/>
  <c r="U496" i="5"/>
  <c r="BD796" i="17"/>
  <c r="BG796" i="17" s="1"/>
  <c r="U729" i="5"/>
  <c r="BD1029" i="17"/>
  <c r="BG1029" i="17" s="1"/>
  <c r="U196" i="5"/>
  <c r="BD197" i="17"/>
  <c r="BG197" i="17" s="1"/>
  <c r="BD496" i="17"/>
  <c r="BG496" i="17" s="1"/>
  <c r="U254" i="5"/>
  <c r="BD255" i="17"/>
  <c r="BG255" i="17" s="1"/>
  <c r="BD554" i="17"/>
  <c r="BG554" i="17" s="1"/>
  <c r="U305" i="5"/>
  <c r="BD306" i="17"/>
  <c r="BG306" i="17" s="1"/>
  <c r="BD605" i="17"/>
  <c r="BG605" i="17" s="1"/>
  <c r="U342" i="5"/>
  <c r="BD343" i="17"/>
  <c r="BG343" i="17" s="1"/>
  <c r="BD642" i="17"/>
  <c r="BG642" i="17" s="1"/>
  <c r="U422" i="5"/>
  <c r="BD722" i="17"/>
  <c r="BG722" i="17" s="1"/>
  <c r="U608" i="5"/>
  <c r="BD908" i="17"/>
  <c r="BG908" i="17" s="1"/>
  <c r="U740" i="5"/>
  <c r="BD1040" i="17"/>
  <c r="BG1040" i="17" s="1"/>
  <c r="U486" i="5"/>
  <c r="BD786" i="17"/>
  <c r="BG786" i="17" s="1"/>
  <c r="U222" i="5"/>
  <c r="BD223" i="17"/>
  <c r="BG223" i="17" s="1"/>
  <c r="BD522" i="17"/>
  <c r="BG522" i="17" s="1"/>
  <c r="U30" i="5"/>
  <c r="BD31" i="17"/>
  <c r="BG31" i="17" s="1"/>
  <c r="U19" i="5"/>
  <c r="BD20" i="17"/>
  <c r="BG20" i="17" s="1"/>
  <c r="U530" i="5"/>
  <c r="BD830" i="17"/>
  <c r="BG830" i="17" s="1"/>
  <c r="U192" i="5"/>
  <c r="BD193" i="17"/>
  <c r="BG193" i="17" s="1"/>
  <c r="BD492" i="17"/>
  <c r="BG492" i="17" s="1"/>
  <c r="U655" i="5"/>
  <c r="BD955" i="17"/>
  <c r="BG955" i="17" s="1"/>
  <c r="U366" i="5"/>
  <c r="BD367" i="17"/>
  <c r="BG367" i="17" s="1"/>
  <c r="BD666" i="17"/>
  <c r="BG666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136" i="17" s="1"/>
  <c r="AM136" i="17" s="1"/>
  <c r="M117" i="5"/>
  <c r="AJ118" i="17" s="1"/>
  <c r="AM118" i="17" s="1"/>
  <c r="M103" i="5"/>
  <c r="AJ403" i="17" s="1"/>
  <c r="AM403" i="17" s="1"/>
  <c r="M98" i="5"/>
  <c r="AJ99" i="17" s="1"/>
  <c r="AM99" i="17" s="1"/>
  <c r="M84" i="5"/>
  <c r="AJ85" i="17" s="1"/>
  <c r="AM85" i="17" s="1"/>
  <c r="M72" i="5"/>
  <c r="AJ73" i="17" s="1"/>
  <c r="AM73" i="17" s="1"/>
  <c r="M58" i="5"/>
  <c r="AJ59" i="17" s="1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 s="1"/>
  <c r="AM142" i="17" s="1"/>
  <c r="M124" i="5"/>
  <c r="AJ424" i="17" s="1"/>
  <c r="AM424" i="17" s="1"/>
  <c r="M107" i="5"/>
  <c r="AJ108" i="17" s="1"/>
  <c r="AM108" i="17" s="1"/>
  <c r="M85" i="5"/>
  <c r="AJ86" i="17" s="1"/>
  <c r="AM86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408" i="17" s="1"/>
  <c r="AM408" i="17" s="1"/>
  <c r="AJ109" i="17"/>
  <c r="AM109" i="17" s="1"/>
  <c r="M60" i="5"/>
  <c r="AJ61" i="17" s="1"/>
  <c r="AM61" i="17" s="1"/>
  <c r="M10" i="5"/>
  <c r="AJ10" i="17" s="1"/>
  <c r="AM10" i="17" s="1"/>
  <c r="M43" i="5"/>
  <c r="AJ44" i="17"/>
  <c r="AM44" i="17" s="1"/>
  <c r="M97" i="5"/>
  <c r="AJ397" i="17" s="1"/>
  <c r="AM397" i="17" s="1"/>
  <c r="M132" i="5"/>
  <c r="AJ133" i="17" s="1"/>
  <c r="AM133" i="17" s="1"/>
  <c r="AJ432" i="17"/>
  <c r="AM432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56" i="5"/>
  <c r="BD357" i="17"/>
  <c r="BG357" i="17" s="1"/>
  <c r="BD656" i="17"/>
  <c r="BG656" i="17" s="1"/>
  <c r="U394" i="5"/>
  <c r="BD694" i="17"/>
  <c r="BG694" i="17" s="1"/>
  <c r="U423" i="5"/>
  <c r="BD723" i="17"/>
  <c r="BG723" i="17" s="1"/>
  <c r="U440" i="5"/>
  <c r="BD740" i="17"/>
  <c r="BG740" i="17" s="1"/>
  <c r="U475" i="5"/>
  <c r="BD775" i="17"/>
  <c r="BG775" i="17" s="1"/>
  <c r="U495" i="5"/>
  <c r="BD795" i="17"/>
  <c r="BG795" i="17" s="1"/>
  <c r="U535" i="5"/>
  <c r="BD835" i="17"/>
  <c r="BG835" i="17" s="1"/>
  <c r="U589" i="5"/>
  <c r="BD889" i="17"/>
  <c r="BG889" i="17" s="1"/>
  <c r="U611" i="5"/>
  <c r="BD911" i="17"/>
  <c r="BG911" i="17" s="1"/>
  <c r="U690" i="5"/>
  <c r="BD990" i="17"/>
  <c r="BG990" i="17" s="1"/>
  <c r="U784" i="5"/>
  <c r="BD1084" i="17"/>
  <c r="BG1084" i="17" s="1"/>
  <c r="U762" i="5"/>
  <c r="BD1062" i="17"/>
  <c r="BG1062" i="17" s="1"/>
  <c r="U701" i="5"/>
  <c r="BD1001" i="17"/>
  <c r="BG1001" i="17" s="1"/>
  <c r="U630" i="5"/>
  <c r="BD930" i="17"/>
  <c r="BG930" i="17" s="1"/>
  <c r="U546" i="5"/>
  <c r="BD846" i="17"/>
  <c r="BG846" i="17" s="1"/>
  <c r="U510" i="5"/>
  <c r="BD810" i="17"/>
  <c r="BG810" i="17" s="1"/>
  <c r="U466" i="5"/>
  <c r="BD766" i="17"/>
  <c r="BG766" i="17" s="1"/>
  <c r="U411" i="5"/>
  <c r="BD711" i="17"/>
  <c r="BG711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63" i="5"/>
  <c r="BD64" i="17"/>
  <c r="BG64" i="17" s="1"/>
  <c r="U53" i="5"/>
  <c r="BD54" i="17"/>
  <c r="BG54" i="17" s="1"/>
  <c r="U34" i="5"/>
  <c r="BD35" i="17"/>
  <c r="BG35" i="17" s="1"/>
  <c r="U14" i="5"/>
  <c r="BD15" i="17"/>
  <c r="BG15" i="17" s="1"/>
  <c r="U804" i="5"/>
  <c r="BD1104" i="17"/>
  <c r="BG1104" i="17" s="1"/>
  <c r="U412" i="5"/>
  <c r="BD712" i="17"/>
  <c r="BG712" i="17" s="1"/>
  <c r="U279" i="5"/>
  <c r="BD280" i="17"/>
  <c r="BG280" i="17" s="1"/>
  <c r="BD579" i="17"/>
  <c r="BG579" i="17" s="1"/>
  <c r="U76" i="5"/>
  <c r="BD77" i="17"/>
  <c r="BG77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37" i="5"/>
  <c r="BD737" i="17"/>
  <c r="BG737" i="17" s="1"/>
  <c r="U583" i="5"/>
  <c r="BD883" i="17"/>
  <c r="BG883" i="17" s="1"/>
  <c r="U792" i="5"/>
  <c r="BD1092" i="17"/>
  <c r="BG1092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52" i="5"/>
  <c r="BD353" i="17"/>
  <c r="BG353" i="17" s="1"/>
  <c r="BD652" i="17"/>
  <c r="BG652" i="17" s="1"/>
  <c r="U388" i="5"/>
  <c r="BD688" i="17"/>
  <c r="BG688" i="17" s="1"/>
  <c r="U434" i="5"/>
  <c r="BD734" i="17"/>
  <c r="BG734" i="17" s="1"/>
  <c r="U476" i="5"/>
  <c r="BD776" i="17"/>
  <c r="BG776" i="17" s="1"/>
  <c r="U519" i="5"/>
  <c r="BD819" i="17"/>
  <c r="BG819" i="17" s="1"/>
  <c r="U577" i="5"/>
  <c r="BD877" i="17"/>
  <c r="BG877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77" i="5"/>
  <c r="BD278" i="17"/>
  <c r="BG278" i="17" s="1"/>
  <c r="BD577" i="17"/>
  <c r="BG577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70" i="5"/>
  <c r="BD371" i="17"/>
  <c r="BG371" i="17" s="1"/>
  <c r="BD670" i="17"/>
  <c r="BG670" i="17" s="1"/>
  <c r="U405" i="5"/>
  <c r="BD705" i="17"/>
  <c r="BG705" i="17" s="1"/>
  <c r="U444" i="5"/>
  <c r="BD744" i="17"/>
  <c r="BG744" i="17" s="1"/>
  <c r="U478" i="5"/>
  <c r="BD778" i="17"/>
  <c r="BG778" i="17" s="1"/>
  <c r="U579" i="5"/>
  <c r="BD879" i="17"/>
  <c r="BG879" i="17" s="1"/>
  <c r="U622" i="5"/>
  <c r="BD922" i="17"/>
  <c r="BG922" i="17" s="1"/>
  <c r="U715" i="5"/>
  <c r="BD1015" i="17"/>
  <c r="BG1015" i="17" s="1"/>
  <c r="U780" i="5"/>
  <c r="BD1080" i="17"/>
  <c r="BG1080" i="17" s="1"/>
  <c r="U575" i="5"/>
  <c r="BD875" i="17"/>
  <c r="BG875" i="17" s="1"/>
  <c r="U403" i="5"/>
  <c r="BD703" i="17"/>
  <c r="BG703" i="17" s="1"/>
  <c r="U136" i="5"/>
  <c r="BD137" i="17"/>
  <c r="BG137" i="17" s="1"/>
  <c r="BD436" i="17"/>
  <c r="BG436" i="17" s="1"/>
  <c r="U61" i="5"/>
  <c r="BD62" i="17"/>
  <c r="BG62" i="17" s="1"/>
  <c r="U709" i="5"/>
  <c r="BD1009" i="17"/>
  <c r="BG1009" i="17" s="1"/>
  <c r="U468" i="5"/>
  <c r="BD768" i="17"/>
  <c r="BG768" i="17" s="1"/>
  <c r="U212" i="5"/>
  <c r="BD213" i="17"/>
  <c r="BG213" i="17" s="1"/>
  <c r="BD512" i="17"/>
  <c r="BG512" i="17" s="1"/>
  <c r="U105" i="5"/>
  <c r="BD106" i="17"/>
  <c r="BG106" i="17" s="1"/>
  <c r="BD405" i="17"/>
  <c r="BG405" i="17" s="1"/>
  <c r="U54" i="5"/>
  <c r="BD55" i="17"/>
  <c r="BG55" i="17" s="1"/>
  <c r="U639" i="5"/>
  <c r="BD939" i="17"/>
  <c r="BG939" i="17" s="1"/>
  <c r="U532" i="5"/>
  <c r="BD832" i="17"/>
  <c r="BG832" i="17" s="1"/>
  <c r="U385" i="5"/>
  <c r="BD685" i="17"/>
  <c r="BG685" i="17" s="1"/>
  <c r="U253" i="5"/>
  <c r="BD254" i="17"/>
  <c r="BG254" i="17" s="1"/>
  <c r="BD553" i="17"/>
  <c r="BG553" i="17" s="1"/>
  <c r="U71" i="5"/>
  <c r="BD72" i="17"/>
  <c r="BG72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25" i="5"/>
  <c r="AT126" i="17"/>
  <c r="AW126" i="17" s="1"/>
  <c r="AT425" i="17"/>
  <c r="AW425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/>
  <c r="AW129" i="17" s="1"/>
  <c r="AT428" i="17"/>
  <c r="AW428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10" i="5"/>
  <c r="AT111" i="17"/>
  <c r="AW111" i="17" s="1"/>
  <c r="AT410" i="17"/>
  <c r="AW410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63" i="5"/>
  <c r="AT64" i="17"/>
  <c r="AW64" i="17" s="1"/>
  <c r="Q48" i="5"/>
  <c r="AT49" i="17"/>
  <c r="AW49" i="17" s="1"/>
  <c r="Q36" i="5"/>
  <c r="AT37" i="17"/>
  <c r="AW37" i="17" s="1"/>
  <c r="Q17" i="5"/>
  <c r="AT18" i="17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/>
  <c r="BB16" i="17" s="1"/>
  <c r="S46" i="5"/>
  <c r="AY47" i="17"/>
  <c r="BB47" i="17" s="1"/>
  <c r="S66" i="5"/>
  <c r="AY67" i="17"/>
  <c r="BB67" i="17" s="1"/>
  <c r="S75" i="5"/>
  <c r="AY76" i="17"/>
  <c r="BB76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59" i="5"/>
  <c r="AY60" i="17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/>
  <c r="BB53" i="17" s="1"/>
  <c r="S21" i="5"/>
  <c r="AY22" i="17"/>
  <c r="BB22" i="17" s="1"/>
  <c r="S32" i="5"/>
  <c r="AY33" i="17"/>
  <c r="BB33" i="17" s="1"/>
  <c r="S53" i="5"/>
  <c r="AY54" i="17"/>
  <c r="BB54" i="17" s="1"/>
  <c r="S72" i="5"/>
  <c r="AY73" i="17"/>
  <c r="BB73" i="17" s="1"/>
  <c r="S80" i="5"/>
  <c r="AY81" i="17"/>
  <c r="BB81" i="17" s="1"/>
  <c r="S111" i="5"/>
  <c r="AY112" i="17"/>
  <c r="BB112" i="17" s="1"/>
  <c r="AY411" i="17"/>
  <c r="BB41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/>
  <c r="BB41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14" i="5"/>
  <c r="AY115" i="17"/>
  <c r="BB115" i="17" s="1"/>
  <c r="AY414" i="17"/>
  <c r="BB414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S726" i="5"/>
  <c r="AY1026" i="17"/>
  <c r="BB1026" i="17" s="1"/>
  <c r="S798" i="5"/>
  <c r="AY1098" i="17"/>
  <c r="BB1098" i="17" s="1"/>
  <c r="S863" i="5"/>
  <c r="AY1163" i="17"/>
  <c r="BB1163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499" i="5"/>
  <c r="AY799" i="17"/>
  <c r="BB799" i="17" s="1"/>
  <c r="S530" i="5"/>
  <c r="AY830" i="17"/>
  <c r="BB830" i="17" s="1"/>
  <c r="S584" i="5"/>
  <c r="AY884" i="17"/>
  <c r="BB884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843" i="5"/>
  <c r="AY1143" i="17"/>
  <c r="BB1143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138" i="5"/>
  <c r="AY139" i="17"/>
  <c r="BB139" i="17" s="1"/>
  <c r="AY438" i="17"/>
  <c r="BB438" i="17" s="1"/>
  <c r="S84" i="5"/>
  <c r="AY85" i="17"/>
  <c r="BB85" i="17" s="1"/>
  <c r="AY384" i="17"/>
  <c r="BB384" i="17" s="1"/>
  <c r="S35" i="5"/>
  <c r="AY36" i="17"/>
  <c r="BB36" i="17" s="1"/>
  <c r="U853" i="5"/>
  <c r="BD1153" i="17"/>
  <c r="BG1153" i="17" s="1"/>
  <c r="U842" i="5"/>
  <c r="BD1142" i="17"/>
  <c r="BG1142" i="17" s="1"/>
  <c r="U829" i="5"/>
  <c r="BD1129" i="17"/>
  <c r="BG1129" i="17" s="1"/>
  <c r="U814" i="5"/>
  <c r="BD1114" i="17"/>
  <c r="BG1114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708" i="5"/>
  <c r="BD1008" i="17"/>
  <c r="BG1008" i="17" s="1"/>
  <c r="U689" i="5"/>
  <c r="BD989" i="17"/>
  <c r="BG989" i="17" s="1"/>
  <c r="U673" i="5"/>
  <c r="BD973" i="17"/>
  <c r="BG973" i="17" s="1"/>
  <c r="U816" i="5"/>
  <c r="BD1116" i="17"/>
  <c r="BG1116" i="17" s="1"/>
  <c r="U779" i="5"/>
  <c r="BD1079" i="17"/>
  <c r="BG1079" i="17" s="1"/>
  <c r="U755" i="5"/>
  <c r="BD1055" i="17"/>
  <c r="BG1055" i="17" s="1"/>
  <c r="U738" i="5"/>
  <c r="BD1038" i="17"/>
  <c r="BG1038" i="17" s="1"/>
  <c r="U725" i="5"/>
  <c r="BD1025" i="17"/>
  <c r="BG1025" i="17" s="1"/>
  <c r="U515" i="5"/>
  <c r="BD815" i="17"/>
  <c r="BG815" i="17" s="1"/>
  <c r="U529" i="5"/>
  <c r="BD829" i="17"/>
  <c r="BG829" i="17" s="1"/>
  <c r="U545" i="5"/>
  <c r="BD845" i="17"/>
  <c r="BG845" i="17" s="1"/>
  <c r="U561" i="5"/>
  <c r="BD861" i="17"/>
  <c r="BG861" i="17" s="1"/>
  <c r="U572" i="5"/>
  <c r="BD872" i="17"/>
  <c r="BG872" i="17" s="1"/>
  <c r="U585" i="5"/>
  <c r="BD885" i="17"/>
  <c r="BG885" i="17" s="1"/>
  <c r="U598" i="5"/>
  <c r="BD898" i="17"/>
  <c r="BG898" i="17" s="1"/>
  <c r="U616" i="5"/>
  <c r="BD916" i="17"/>
  <c r="BG916" i="17" s="1"/>
  <c r="U627" i="5"/>
  <c r="BD927" i="17"/>
  <c r="BG927" i="17" s="1"/>
  <c r="U638" i="5"/>
  <c r="BD938" i="17"/>
  <c r="BG938" i="17" s="1"/>
  <c r="U658" i="5"/>
  <c r="BD958" i="17"/>
  <c r="BG958" i="17" s="1"/>
  <c r="U700" i="5"/>
  <c r="BD1000" i="17"/>
  <c r="BG1000" i="17" s="1"/>
  <c r="U732" i="5"/>
  <c r="BD1032" i="17"/>
  <c r="BG1032" i="17" s="1"/>
  <c r="U781" i="5"/>
  <c r="BD1081" i="17"/>
  <c r="BG1081" i="17" s="1"/>
  <c r="U798" i="5"/>
  <c r="BD1098" i="17"/>
  <c r="BG1098" i="17" s="1"/>
  <c r="U832" i="5"/>
  <c r="BD1132" i="17"/>
  <c r="BG1132" i="17" s="1"/>
  <c r="U859" i="5"/>
  <c r="BD1159" i="17"/>
  <c r="BG1159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71" i="5"/>
  <c r="BD871" i="17"/>
  <c r="BG871" i="17" s="1"/>
  <c r="U594" i="5"/>
  <c r="BD894" i="17"/>
  <c r="BG894" i="17" s="1"/>
  <c r="U606" i="5"/>
  <c r="BD906" i="17"/>
  <c r="BG906" i="17" s="1"/>
  <c r="U626" i="5"/>
  <c r="BD926" i="17"/>
  <c r="BG926" i="17" s="1"/>
  <c r="U646" i="5"/>
  <c r="BD946" i="17"/>
  <c r="BG946" i="17" s="1"/>
  <c r="U662" i="5"/>
  <c r="BD962" i="17"/>
  <c r="BG962" i="17" s="1"/>
  <c r="U682" i="5"/>
  <c r="BD982" i="17"/>
  <c r="BG982" i="17" s="1"/>
  <c r="U698" i="5"/>
  <c r="BD998" i="17"/>
  <c r="BG998" i="17" s="1"/>
  <c r="U726" i="5"/>
  <c r="BD1026" i="17"/>
  <c r="BG1026" i="17" s="1"/>
  <c r="U745" i="5"/>
  <c r="BD1045" i="17"/>
  <c r="BG1045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810" i="5"/>
  <c r="AO1110" i="17"/>
  <c r="AR1110" i="17" s="1"/>
  <c r="O763" i="5"/>
  <c r="AO1063" i="17"/>
  <c r="AR1063" i="17" s="1"/>
  <c r="O856" i="5"/>
  <c r="AO1156" i="17"/>
  <c r="AR1156" i="17" s="1"/>
  <c r="O801" i="5"/>
  <c r="AO1101" i="17"/>
  <c r="AR1101" i="17" s="1"/>
  <c r="O765" i="5"/>
  <c r="AO1065" i="17"/>
  <c r="AR1065" i="17" s="1"/>
  <c r="O857" i="5"/>
  <c r="AO1157" i="17"/>
  <c r="AR1157" i="17" s="1"/>
  <c r="O785" i="5"/>
  <c r="AO1085" i="17"/>
  <c r="AR1085" i="17" s="1"/>
  <c r="O764" i="5"/>
  <c r="AO1064" i="17"/>
  <c r="AR1064" i="17" s="1"/>
  <c r="O82" i="5"/>
  <c r="AO83" i="17" s="1"/>
  <c r="AR83" i="17" s="1"/>
  <c r="O95" i="5"/>
  <c r="AO96" i="17" s="1"/>
  <c r="AR96" i="17" s="1"/>
  <c r="O103" i="5"/>
  <c r="AO104" i="17" s="1"/>
  <c r="AR104" i="17" s="1"/>
  <c r="O121" i="5"/>
  <c r="AO122" i="17" s="1"/>
  <c r="AR122" i="17" s="1"/>
  <c r="O138" i="5"/>
  <c r="AO438" i="17" s="1"/>
  <c r="AR438" i="17" s="1"/>
  <c r="O154" i="5"/>
  <c r="AO155" i="17" s="1"/>
  <c r="AR155" i="17" s="1"/>
  <c r="AO454" i="17"/>
  <c r="AR454" i="17" s="1"/>
  <c r="O168" i="5"/>
  <c r="AO169" i="17" s="1"/>
  <c r="AR169" i="17" s="1"/>
  <c r="O185" i="5"/>
  <c r="AO186" i="17" s="1"/>
  <c r="AR186" i="17" s="1"/>
  <c r="O201" i="5"/>
  <c r="AO501" i="17" s="1"/>
  <c r="AR501" i="17" s="1"/>
  <c r="AO202" i="17"/>
  <c r="AR202" i="17" s="1"/>
  <c r="O214" i="5"/>
  <c r="AO215" i="17" s="1"/>
  <c r="AR215" i="17" s="1"/>
  <c r="O231" i="5"/>
  <c r="AO232" i="17" s="1"/>
  <c r="AR232" i="17" s="1"/>
  <c r="O245" i="5"/>
  <c r="AO246" i="17" s="1"/>
  <c r="AR246" i="17" s="1"/>
  <c r="O270" i="5"/>
  <c r="AO570" i="17" s="1"/>
  <c r="AR570" i="17" s="1"/>
  <c r="AO271" i="17"/>
  <c r="AR271" i="17" s="1"/>
  <c r="O285" i="5"/>
  <c r="AO585" i="17" s="1"/>
  <c r="AR585" i="17" s="1"/>
  <c r="O296" i="5"/>
  <c r="AO297" i="17" s="1"/>
  <c r="AR297" i="17" s="1"/>
  <c r="O311" i="5"/>
  <c r="AO312" i="17" s="1"/>
  <c r="AR312" i="17" s="1"/>
  <c r="O324" i="5"/>
  <c r="AO624" i="17" s="1"/>
  <c r="AR624" i="17" s="1"/>
  <c r="O342" i="5"/>
  <c r="AO343" i="17"/>
  <c r="AR343" i="17" s="1"/>
  <c r="AO642" i="17"/>
  <c r="AR642" i="17" s="1"/>
  <c r="O378" i="5"/>
  <c r="AO379" i="17" s="1"/>
  <c r="AR379" i="17" s="1"/>
  <c r="O402" i="5"/>
  <c r="AO702" i="17" s="1"/>
  <c r="AR702" i="17" s="1"/>
  <c r="O426" i="5"/>
  <c r="AO726" i="17" s="1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 s="1"/>
  <c r="AR33" i="17" s="1"/>
  <c r="O49" i="5"/>
  <c r="AO50" i="17" s="1"/>
  <c r="AR50" i="17" s="1"/>
  <c r="O63" i="5"/>
  <c r="AO64" i="17"/>
  <c r="AR64" i="17" s="1"/>
  <c r="O81" i="5"/>
  <c r="AO82" i="17" s="1"/>
  <c r="AR82" i="17" s="1"/>
  <c r="O91" i="5"/>
  <c r="AO391" i="17" s="1"/>
  <c r="AR391" i="17" s="1"/>
  <c r="AO92" i="17"/>
  <c r="AR92" i="17" s="1"/>
  <c r="O115" i="5"/>
  <c r="AO415" i="17" s="1"/>
  <c r="AR415" i="17" s="1"/>
  <c r="O125" i="5"/>
  <c r="AO126" i="17" s="1"/>
  <c r="AR126" i="17" s="1"/>
  <c r="AO425" i="17"/>
  <c r="AR425" i="17" s="1"/>
  <c r="O141" i="5"/>
  <c r="AO142" i="17" s="1"/>
  <c r="AR142" i="17" s="1"/>
  <c r="O155" i="5"/>
  <c r="AO455" i="17" s="1"/>
  <c r="AR455" i="17" s="1"/>
  <c r="O172" i="5"/>
  <c r="AO472" i="17" s="1"/>
  <c r="AR472" i="17" s="1"/>
  <c r="AO173" i="17"/>
  <c r="AR173" i="17" s="1"/>
  <c r="O188" i="5"/>
  <c r="AO189" i="17" s="1"/>
  <c r="AR189" i="17" s="1"/>
  <c r="O211" i="5"/>
  <c r="AO212" i="17" s="1"/>
  <c r="AR212" i="17" s="1"/>
  <c r="O228" i="5"/>
  <c r="AO528" i="17" s="1"/>
  <c r="AR528" i="17" s="1"/>
  <c r="O250" i="5"/>
  <c r="AO550" i="17" s="1"/>
  <c r="AR550" i="17" s="1"/>
  <c r="AO251" i="17"/>
  <c r="AR251" i="17" s="1"/>
  <c r="O261" i="5"/>
  <c r="AO262" i="17" s="1"/>
  <c r="AR262" i="17" s="1"/>
  <c r="O273" i="5"/>
  <c r="AO274" i="17" s="1"/>
  <c r="AR274" i="17" s="1"/>
  <c r="O290" i="5"/>
  <c r="AO590" i="17" s="1"/>
  <c r="AR590" i="17" s="1"/>
  <c r="AO291" i="17"/>
  <c r="AR291" i="17" s="1"/>
  <c r="O304" i="5"/>
  <c r="AO604" i="17" s="1"/>
  <c r="AR604" i="17" s="1"/>
  <c r="O319" i="5"/>
  <c r="AO320" i="17" s="1"/>
  <c r="AR320" i="17" s="1"/>
  <c r="AO619" i="17"/>
  <c r="AR619" i="17" s="1"/>
  <c r="O335" i="5"/>
  <c r="AO336" i="17" s="1"/>
  <c r="AR336" i="17" s="1"/>
  <c r="O353" i="5"/>
  <c r="AO653" i="17" s="1"/>
  <c r="AR653" i="17" s="1"/>
  <c r="AO354" i="17"/>
  <c r="AR354" i="17" s="1"/>
  <c r="O367" i="5"/>
  <c r="AO667" i="17" s="1"/>
  <c r="AR667" i="17" s="1"/>
  <c r="O383" i="5"/>
  <c r="AO683" i="17" s="1"/>
  <c r="AR683" i="17" s="1"/>
  <c r="O398" i="5"/>
  <c r="AO698" i="17"/>
  <c r="AR698" i="17" s="1"/>
  <c r="O417" i="5"/>
  <c r="AO717" i="17" s="1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 s="1"/>
  <c r="AR335" i="17" s="1"/>
  <c r="O346" i="5"/>
  <c r="AO347" i="17" s="1"/>
  <c r="AR347" i="17" s="1"/>
  <c r="O372" i="5"/>
  <c r="AO672" i="17" s="1"/>
  <c r="AR672" i="17" s="1"/>
  <c r="AO373" i="17"/>
  <c r="AR373" i="17" s="1"/>
  <c r="O390" i="5"/>
  <c r="AO690" i="17" s="1"/>
  <c r="AR690" i="17" s="1"/>
  <c r="O403" i="5"/>
  <c r="AO703" i="17" s="1"/>
  <c r="AR703" i="17" s="1"/>
  <c r="O414" i="5"/>
  <c r="AO714" i="17" s="1"/>
  <c r="AR714" i="17" s="1"/>
  <c r="O429" i="5"/>
  <c r="AO729" i="17" s="1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3" i="5"/>
  <c r="AY34" i="17"/>
  <c r="BB34" i="17" s="1"/>
  <c r="S384" i="5"/>
  <c r="AY684" i="17"/>
  <c r="BB684" i="17" s="1"/>
  <c r="S400" i="5"/>
  <c r="AY700" i="17"/>
  <c r="BB700" i="17" s="1"/>
  <c r="S44" i="5"/>
  <c r="AY45" i="17"/>
  <c r="BB45" i="17" s="1"/>
  <c r="S327" i="5"/>
  <c r="AY328" i="17"/>
  <c r="BB328" i="17" s="1"/>
  <c r="AY627" i="17"/>
  <c r="BB627" i="17" s="1"/>
  <c r="S63" i="5"/>
  <c r="AY64" i="17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 s="1"/>
  <c r="AR722" i="17" s="1"/>
  <c r="O379" i="5"/>
  <c r="AO679" i="17" s="1"/>
  <c r="AR679" i="17" s="1"/>
  <c r="O310" i="5"/>
  <c r="AO311" i="17" s="1"/>
  <c r="AR311" i="17" s="1"/>
  <c r="AO610" i="17"/>
  <c r="AR610" i="17" s="1"/>
  <c r="O284" i="5"/>
  <c r="AO285" i="17" s="1"/>
  <c r="AR285" i="17" s="1"/>
  <c r="O224" i="5"/>
  <c r="AO524" i="17" s="1"/>
  <c r="AR524" i="17" s="1"/>
  <c r="O173" i="5"/>
  <c r="AO174" i="17"/>
  <c r="AR174" i="17" s="1"/>
  <c r="AO473" i="17"/>
  <c r="AR473" i="17" s="1"/>
  <c r="O100" i="5"/>
  <c r="AO101" i="17" s="1"/>
  <c r="AR101" i="17" s="1"/>
  <c r="AO400" i="17"/>
  <c r="AR400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/>
  <c r="AR21" i="17" s="1"/>
  <c r="O28" i="5"/>
  <c r="AO29" i="17" s="1"/>
  <c r="AR29" i="17" s="1"/>
  <c r="O43" i="5"/>
  <c r="AO44" i="17" s="1"/>
  <c r="AR44" i="17" s="1"/>
  <c r="O79" i="5"/>
  <c r="AO80" i="17" s="1"/>
  <c r="AR80" i="17" s="1"/>
  <c r="O112" i="5"/>
  <c r="AO113" i="17" s="1"/>
  <c r="AR113" i="17" s="1"/>
  <c r="O149" i="5"/>
  <c r="AO150" i="17" s="1"/>
  <c r="AR150" i="17" s="1"/>
  <c r="O193" i="5"/>
  <c r="AO194" i="17" s="1"/>
  <c r="AR194" i="17" s="1"/>
  <c r="O229" i="5"/>
  <c r="AO529" i="17" s="1"/>
  <c r="AR529" i="17" s="1"/>
  <c r="O267" i="5"/>
  <c r="AO268" i="17" s="1"/>
  <c r="AR268" i="17" s="1"/>
  <c r="O297" i="5"/>
  <c r="AO298" i="17" s="1"/>
  <c r="AR298" i="17" s="1"/>
  <c r="AO597" i="17"/>
  <c r="AR597" i="17" s="1"/>
  <c r="O325" i="5"/>
  <c r="AO326" i="17" s="1"/>
  <c r="AR326" i="17" s="1"/>
  <c r="O362" i="5"/>
  <c r="AO662" i="17" s="1"/>
  <c r="AR662" i="17" s="1"/>
  <c r="AO363" i="17"/>
  <c r="AR363" i="17" s="1"/>
  <c r="O404" i="5"/>
  <c r="AO704" i="17" s="1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 s="1"/>
  <c r="AR691" i="17" s="1"/>
  <c r="O318" i="5"/>
  <c r="AO618" i="17" s="1"/>
  <c r="AR618" i="17" s="1"/>
  <c r="AO319" i="17"/>
  <c r="AR319" i="17" s="1"/>
  <c r="O280" i="5"/>
  <c r="AO281" i="17" s="1"/>
  <c r="AR281" i="17" s="1"/>
  <c r="O218" i="5"/>
  <c r="AO219" i="17" s="1"/>
  <c r="AR219" i="17" s="1"/>
  <c r="O203" i="5"/>
  <c r="AO503" i="17" s="1"/>
  <c r="AR503" i="17" s="1"/>
  <c r="AO204" i="17"/>
  <c r="AR204" i="17" s="1"/>
  <c r="O179" i="5"/>
  <c r="AO479" i="17" s="1"/>
  <c r="AR479" i="17" s="1"/>
  <c r="O135" i="5"/>
  <c r="AO136" i="17" s="1"/>
  <c r="AR136" i="17" s="1"/>
  <c r="AO435" i="17"/>
  <c r="AR435" i="17" s="1"/>
  <c r="O108" i="5"/>
  <c r="AO109" i="17" s="1"/>
  <c r="AR109" i="17" s="1"/>
  <c r="O66" i="5"/>
  <c r="AO67" i="17"/>
  <c r="AR67" i="17" s="1"/>
  <c r="O13" i="5"/>
  <c r="AO14" i="17" s="1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0" i="17"/>
  <c r="BG10" i="17" s="1"/>
  <c r="BD11" i="17"/>
  <c r="BG11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135" i="17" s="1"/>
  <c r="AM135" i="17" s="1"/>
  <c r="M114" i="5"/>
  <c r="AJ115" i="17" s="1"/>
  <c r="AM115" i="17" s="1"/>
  <c r="M101" i="5"/>
  <c r="AJ102" i="17" s="1"/>
  <c r="AM102" i="17" s="1"/>
  <c r="M95" i="5"/>
  <c r="AJ395" i="17" s="1"/>
  <c r="AM395" i="17" s="1"/>
  <c r="M81" i="5"/>
  <c r="AJ82" i="17" s="1"/>
  <c r="AM82" i="17" s="1"/>
  <c r="M71" i="5"/>
  <c r="AJ72" i="17" s="1"/>
  <c r="AM72" i="17" s="1"/>
  <c r="M55" i="5"/>
  <c r="AJ56" i="17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141" i="17" s="1"/>
  <c r="AM141" i="17" s="1"/>
  <c r="M121" i="5"/>
  <c r="AJ421" i="17" s="1"/>
  <c r="AM421" i="17" s="1"/>
  <c r="AJ122" i="17"/>
  <c r="AM122" i="17" s="1"/>
  <c r="M104" i="5"/>
  <c r="AJ404" i="17" s="1"/>
  <c r="AM404" i="17" s="1"/>
  <c r="M82" i="5"/>
  <c r="AJ83" i="17" s="1"/>
  <c r="AM83" i="17" s="1"/>
  <c r="M70" i="5"/>
  <c r="AJ71" i="17" s="1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140" i="17" s="1"/>
  <c r="AM140" i="17" s="1"/>
  <c r="M79" i="5"/>
  <c r="AJ80" i="17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409" i="17" s="1"/>
  <c r="AM409" i="17" s="1"/>
  <c r="M142" i="5"/>
  <c r="AJ143" i="17"/>
  <c r="AM143" i="17" s="1"/>
  <c r="AJ442" i="17"/>
  <c r="AM442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144" i="17" s="1"/>
  <c r="AM144" i="17" s="1"/>
  <c r="M130" i="5"/>
  <c r="AJ430" i="17" s="1"/>
  <c r="AM430" i="17" s="1"/>
  <c r="M110" i="5"/>
  <c r="AJ410" i="17" s="1"/>
  <c r="AM410" i="17" s="1"/>
  <c r="M100" i="5"/>
  <c r="AJ101" i="17" s="1"/>
  <c r="AM101" i="17" s="1"/>
  <c r="AJ400" i="17"/>
  <c r="AM400" i="17" s="1"/>
  <c r="M87" i="5"/>
  <c r="AJ88" i="17" s="1"/>
  <c r="AM88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/>
  <c r="AM30" i="17" s="1"/>
  <c r="M22" i="5"/>
  <c r="AJ23" i="17" s="1"/>
  <c r="AM23" i="17" s="1"/>
  <c r="M9" i="5"/>
  <c r="AJ9" i="17" s="1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146" i="17" s="1"/>
  <c r="AM146" i="17" s="1"/>
  <c r="AJ445" i="17"/>
  <c r="AM445" i="17" s="1"/>
  <c r="M131" i="5"/>
  <c r="AJ132" i="17" s="1"/>
  <c r="AM132" i="17" s="1"/>
  <c r="M120" i="5"/>
  <c r="AJ420" i="17" s="1"/>
  <c r="AM420" i="17" s="1"/>
  <c r="M92" i="5"/>
  <c r="AJ93" i="17" s="1"/>
  <c r="AM93" i="17" s="1"/>
  <c r="AJ392" i="17"/>
  <c r="AM392" i="17" s="1"/>
  <c r="M77" i="5"/>
  <c r="AJ78" i="17" s="1"/>
  <c r="AM78" i="17" s="1"/>
  <c r="M63" i="5"/>
  <c r="AJ64" i="17" s="1"/>
  <c r="AM64" i="17" s="1"/>
  <c r="M49" i="5"/>
  <c r="AJ50" i="17" s="1"/>
  <c r="AM50" i="17" s="1"/>
  <c r="M30" i="5"/>
  <c r="AJ31" i="17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 s="1"/>
  <c r="AM138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 s="1"/>
  <c r="AM79" i="17" s="1"/>
  <c r="M116" i="5"/>
  <c r="AJ416" i="17" s="1"/>
  <c r="AM416" i="17" s="1"/>
  <c r="AJ117" i="17"/>
  <c r="AM117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AO636" i="17"/>
  <c r="AR636" i="17" s="1"/>
  <c r="AO589" i="17"/>
  <c r="AR589" i="17" s="1"/>
  <c r="AO390" i="17"/>
  <c r="AR390" i="17" s="1"/>
  <c r="AO498" i="17"/>
  <c r="AR498" i="17" s="1"/>
  <c r="AO482" i="17"/>
  <c r="AR482" i="17" s="1"/>
  <c r="AO437" i="17"/>
  <c r="AR437" i="17" s="1"/>
  <c r="AO669" i="17"/>
  <c r="AR669" i="17" s="1"/>
  <c r="AO491" i="17"/>
  <c r="AR491" i="17" s="1"/>
  <c r="AO456" i="17"/>
  <c r="AR456" i="17" s="1"/>
  <c r="AO423" i="17"/>
  <c r="AR423" i="17" s="1"/>
  <c r="AO405" i="17"/>
  <c r="AR405" i="17" s="1"/>
  <c r="AJ396" i="17"/>
  <c r="AM396" i="17" s="1"/>
  <c r="AO666" i="17"/>
  <c r="AR666" i="17" s="1"/>
  <c r="AJ405" i="17"/>
  <c r="AM405" i="17" s="1"/>
  <c r="AO541" i="17"/>
  <c r="AR541" i="17" s="1"/>
  <c r="AO471" i="17"/>
  <c r="AR471" i="17" s="1"/>
  <c r="AJ419" i="17"/>
  <c r="AM419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139" i="17" s="1"/>
  <c r="AM139" i="17" s="1"/>
  <c r="M123" i="5"/>
  <c r="AJ124" i="17" s="1"/>
  <c r="AM124" i="17" s="1"/>
  <c r="M106" i="5"/>
  <c r="AJ406" i="17" s="1"/>
  <c r="AM406" i="17" s="1"/>
  <c r="M99" i="5"/>
  <c r="AJ100" i="17"/>
  <c r="AM100" i="17" s="1"/>
  <c r="AJ399" i="17"/>
  <c r="AM399" i="17" s="1"/>
  <c r="M86" i="5"/>
  <c r="AJ87" i="17" s="1"/>
  <c r="AM87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 s="1"/>
  <c r="AM145" i="17" s="1"/>
  <c r="M126" i="5"/>
  <c r="AJ426" i="17" s="1"/>
  <c r="AM426" i="17" s="1"/>
  <c r="M112" i="5"/>
  <c r="AJ113" i="17" s="1"/>
  <c r="AM113" i="17" s="1"/>
  <c r="M88" i="5"/>
  <c r="AJ89" i="17" s="1"/>
  <c r="AM89" i="17" s="1"/>
  <c r="AJ388" i="17"/>
  <c r="AM388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411" i="17" s="1"/>
  <c r="AM411" i="17" s="1"/>
  <c r="AJ112" i="17"/>
  <c r="AM112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418" i="17" s="1"/>
  <c r="AM418" i="17" s="1"/>
  <c r="AJ119" i="17"/>
  <c r="AM119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111" i="17" l="1"/>
  <c r="AM111" i="17" s="1"/>
  <c r="AJ110" i="17"/>
  <c r="AM110" i="17" s="1"/>
  <c r="AJ105" i="17"/>
  <c r="AM105" i="17" s="1"/>
  <c r="AJ414" i="17"/>
  <c r="AM414" i="17" s="1"/>
  <c r="AO580" i="17"/>
  <c r="AR580" i="17" s="1"/>
  <c r="AO230" i="17"/>
  <c r="AR230" i="17" s="1"/>
  <c r="AO380" i="17"/>
  <c r="AR380" i="17" s="1"/>
  <c r="AO368" i="17"/>
  <c r="AR368" i="17" s="1"/>
  <c r="AO561" i="17"/>
  <c r="AR561" i="17" s="1"/>
  <c r="AO229" i="17"/>
  <c r="AR229" i="17" s="1"/>
  <c r="AO116" i="17"/>
  <c r="AR116" i="17" s="1"/>
  <c r="AO286" i="17"/>
  <c r="AR286" i="17" s="1"/>
  <c r="AJ385" i="17"/>
  <c r="AM385" i="17" s="1"/>
  <c r="AO333" i="17"/>
  <c r="AR333" i="17" s="1"/>
  <c r="AO366" i="17"/>
  <c r="AR366" i="17" s="1"/>
  <c r="AO581" i="17"/>
  <c r="AR581" i="17" s="1"/>
  <c r="AO247" i="17"/>
  <c r="AR247" i="17" s="1"/>
  <c r="AO452" i="17"/>
  <c r="AR452" i="17" s="1"/>
  <c r="AO108" i="17"/>
  <c r="AR108" i="17" s="1"/>
  <c r="AO483" i="17"/>
  <c r="AR483" i="17" s="1"/>
  <c r="AO383" i="17"/>
  <c r="AR383" i="17" s="1"/>
  <c r="AO348" i="17"/>
  <c r="AR348" i="17" s="1"/>
  <c r="AO300" i="17"/>
  <c r="AR300" i="17" s="1"/>
  <c r="AO205" i="17"/>
  <c r="AR205" i="17" s="1"/>
  <c r="AO321" i="17"/>
  <c r="AR321" i="17" s="1"/>
  <c r="AO107" i="17"/>
  <c r="AR107" i="17" s="1"/>
  <c r="AO293" i="17"/>
  <c r="AR293" i="17" s="1"/>
  <c r="AO673" i="17"/>
  <c r="AR673" i="17" s="1"/>
  <c r="AO474" i="17"/>
  <c r="AR474" i="17" s="1"/>
  <c r="AO289" i="17"/>
  <c r="AR289" i="17" s="1"/>
  <c r="AO428" i="17"/>
  <c r="AR428" i="17" s="1"/>
  <c r="AO514" i="17"/>
  <c r="AR514" i="17" s="1"/>
  <c r="AO569" i="17"/>
  <c r="AR569" i="17" s="1"/>
  <c r="AO533" i="17"/>
  <c r="AR533" i="17" s="1"/>
  <c r="AJ107" i="17"/>
  <c r="AM107" i="17" s="1"/>
  <c r="AO180" i="17"/>
  <c r="AR180" i="17" s="1"/>
  <c r="AO449" i="17"/>
  <c r="AR449" i="17" s="1"/>
  <c r="AO305" i="17"/>
  <c r="AR305" i="17" s="1"/>
  <c r="AO488" i="17"/>
  <c r="AR488" i="17" s="1"/>
  <c r="AO156" i="17"/>
  <c r="AR156" i="17" s="1"/>
  <c r="AO325" i="17"/>
  <c r="AR325" i="17" s="1"/>
  <c r="AO139" i="17"/>
  <c r="AR139" i="17" s="1"/>
  <c r="AO395" i="17"/>
  <c r="AR395" i="17" s="1"/>
  <c r="AJ98" i="17"/>
  <c r="AM98" i="17" s="1"/>
  <c r="AJ11" i="17"/>
  <c r="AM11" i="17" s="1"/>
  <c r="AO334" i="17"/>
  <c r="AR334" i="17" s="1"/>
  <c r="AO342" i="17"/>
  <c r="AR342" i="17" s="1"/>
  <c r="AO151" i="17"/>
  <c r="AR151" i="17" s="1"/>
  <c r="AO331" i="17"/>
  <c r="AR331" i="17" s="1"/>
  <c r="AO255" i="17"/>
  <c r="AR255" i="17" s="1"/>
  <c r="AO357" i="17"/>
  <c r="AR357" i="17" s="1"/>
  <c r="AO591" i="17"/>
  <c r="AR591" i="17" s="1"/>
  <c r="AO177" i="17"/>
  <c r="AR177" i="17" s="1"/>
  <c r="AO399" i="17"/>
  <c r="AR399" i="17" s="1"/>
  <c r="AO356" i="17"/>
  <c r="AR356" i="17" s="1"/>
  <c r="AO227" i="17"/>
  <c r="AR227" i="17" s="1"/>
  <c r="AO677" i="17"/>
  <c r="AR677" i="17" s="1"/>
  <c r="AO477" i="17"/>
  <c r="AR477" i="17" s="1"/>
  <c r="AO99" i="17"/>
  <c r="AR99" i="17" s="1"/>
  <c r="AO458" i="17"/>
  <c r="AR458" i="17" s="1"/>
  <c r="AO98" i="17"/>
  <c r="AR98" i="17" s="1"/>
  <c r="AO495" i="17"/>
  <c r="AR495" i="17" s="1"/>
  <c r="AO639" i="17"/>
  <c r="AR639" i="17" s="1"/>
  <c r="AO579" i="17"/>
  <c r="AR579" i="17" s="1"/>
  <c r="AO507" i="17"/>
  <c r="AR507" i="17" s="1"/>
  <c r="AO244" i="17"/>
  <c r="AR244" i="17" s="1"/>
  <c r="AO339" i="17"/>
  <c r="AR339" i="17" s="1"/>
  <c r="AO145" i="17"/>
  <c r="AR145" i="17" s="1"/>
  <c r="AO626" i="17"/>
  <c r="AR626" i="17" s="1"/>
  <c r="AO664" i="17"/>
  <c r="AR664" i="17" s="1"/>
  <c r="AO517" i="17"/>
  <c r="AR517" i="17" s="1"/>
  <c r="AO553" i="17"/>
  <c r="AR553" i="17" s="1"/>
  <c r="AO567" i="17"/>
  <c r="AR567" i="17" s="1"/>
  <c r="AO412" i="17"/>
  <c r="AR412" i="17" s="1"/>
  <c r="AO447" i="17"/>
  <c r="AR447" i="17" s="1"/>
  <c r="AO429" i="17"/>
  <c r="AR429" i="17" s="1"/>
  <c r="AO565" i="17"/>
  <c r="AR565" i="17" s="1"/>
  <c r="AO600" i="17"/>
  <c r="AR600" i="17" s="1"/>
  <c r="AO461" i="17"/>
  <c r="AR461" i="17" s="1"/>
  <c r="AO578" i="17"/>
  <c r="AR578" i="17" s="1"/>
  <c r="AO629" i="17"/>
  <c r="AR629" i="17" s="1"/>
  <c r="AO571" i="17"/>
  <c r="AR571" i="17" s="1"/>
  <c r="AO508" i="17"/>
  <c r="AR508" i="17" s="1"/>
  <c r="AO439" i="17"/>
  <c r="AR439" i="17" s="1"/>
  <c r="AO661" i="17"/>
  <c r="AR661" i="17" s="1"/>
  <c r="AO308" i="17"/>
  <c r="AR308" i="17" s="1"/>
  <c r="AO563" i="17"/>
  <c r="AR563" i="17" s="1"/>
  <c r="AO459" i="17"/>
  <c r="AR459" i="17" s="1"/>
  <c r="AO654" i="17"/>
  <c r="AR654" i="17" s="1"/>
  <c r="AO302" i="17"/>
  <c r="AR302" i="17" s="1"/>
  <c r="AO534" i="17"/>
  <c r="AR534" i="17" s="1"/>
  <c r="AO193" i="17"/>
  <c r="AR193" i="17" s="1"/>
  <c r="AO440" i="17"/>
  <c r="AR440" i="17" s="1"/>
  <c r="AO540" i="17"/>
  <c r="AR540" i="17" s="1"/>
  <c r="AO462" i="17"/>
  <c r="AR462" i="17" s="1"/>
  <c r="AO587" i="17"/>
  <c r="AR587" i="17" s="1"/>
  <c r="AO430" i="17"/>
  <c r="AR430" i="17" s="1"/>
  <c r="AO490" i="17"/>
  <c r="AR490" i="17" s="1"/>
  <c r="AO225" i="17"/>
  <c r="AR225" i="17" s="1"/>
  <c r="AO634" i="17"/>
  <c r="AR634" i="17" s="1"/>
  <c r="AO678" i="17"/>
  <c r="AR678" i="17" s="1"/>
  <c r="AO596" i="17"/>
  <c r="AR596" i="17" s="1"/>
  <c r="AO531" i="17"/>
  <c r="AR531" i="17" s="1"/>
  <c r="AO468" i="17"/>
  <c r="AR468" i="17" s="1"/>
  <c r="AO403" i="17"/>
  <c r="AR403" i="17" s="1"/>
  <c r="AO621" i="17"/>
  <c r="AR621" i="17" s="1"/>
  <c r="AO560" i="17"/>
  <c r="AR560" i="17" s="1"/>
  <c r="AO499" i="17"/>
  <c r="AR499" i="17" s="1"/>
  <c r="AO436" i="17"/>
  <c r="AR436" i="17" s="1"/>
  <c r="AO612" i="17"/>
  <c r="AR612" i="17" s="1"/>
  <c r="AO515" i="17"/>
  <c r="AR515" i="17" s="1"/>
  <c r="AO434" i="17"/>
  <c r="AR434" i="17" s="1"/>
  <c r="AO307" i="17"/>
  <c r="AR307" i="17" s="1"/>
  <c r="AO224" i="17"/>
  <c r="AR224" i="17" s="1"/>
  <c r="AO134" i="17"/>
  <c r="AR134" i="17" s="1"/>
  <c r="AO128" i="17"/>
  <c r="AR128" i="17" s="1"/>
  <c r="AO487" i="17"/>
  <c r="AR487" i="17" s="1"/>
  <c r="AO253" i="17"/>
  <c r="AR253" i="17" s="1"/>
  <c r="AO424" i="17"/>
  <c r="AR424" i="17" s="1"/>
  <c r="AO603" i="17"/>
  <c r="AR603" i="17" s="1"/>
  <c r="AJ127" i="17"/>
  <c r="AM127" i="17" s="1"/>
  <c r="AJ121" i="17"/>
  <c r="AM121" i="17" s="1"/>
  <c r="AJ131" i="17"/>
  <c r="AM131" i="17" s="1"/>
  <c r="AJ96" i="17"/>
  <c r="AM96" i="17" s="1"/>
  <c r="AJ407" i="17"/>
  <c r="AM407" i="17" s="1"/>
  <c r="AJ412" i="17"/>
  <c r="AM412" i="17" s="1"/>
  <c r="AJ434" i="17"/>
  <c r="AM434" i="17" s="1"/>
  <c r="AJ398" i="17"/>
  <c r="AM398" i="17" s="1"/>
  <c r="AJ386" i="17"/>
  <c r="AM386" i="17" s="1"/>
  <c r="AJ438" i="17"/>
  <c r="AM438" i="17" s="1"/>
  <c r="AJ125" i="17"/>
  <c r="AM125" i="17" s="1"/>
  <c r="AJ384" i="17"/>
  <c r="AM384" i="17" s="1"/>
  <c r="AJ435" i="17"/>
  <c r="AM435" i="17" s="1"/>
  <c r="AJ104" i="17"/>
  <c r="AM104" i="17" s="1"/>
  <c r="AJ444" i="17"/>
  <c r="AM444" i="17" s="1"/>
  <c r="AJ423" i="17"/>
  <c r="AM423" i="17" s="1"/>
  <c r="AJ437" i="17"/>
  <c r="AM437" i="17" s="1"/>
  <c r="AJ431" i="17"/>
  <c r="AM431" i="17" s="1"/>
  <c r="AJ387" i="17"/>
  <c r="AM387" i="17" s="1"/>
  <c r="AJ443" i="17"/>
  <c r="AM443" i="17" s="1"/>
  <c r="AJ439" i="17"/>
  <c r="AM439" i="17" s="1"/>
  <c r="AJ440" i="17"/>
  <c r="AM440" i="17" s="1"/>
  <c r="AJ401" i="17"/>
  <c r="AM401" i="17" s="1"/>
  <c r="AO408" i="17"/>
  <c r="AR408" i="17" s="1"/>
  <c r="AO518" i="17"/>
  <c r="AR518" i="17" s="1"/>
  <c r="AO625" i="17"/>
  <c r="AR625" i="17" s="1"/>
  <c r="AO493" i="17"/>
  <c r="AR493" i="17" s="1"/>
  <c r="AO584" i="17"/>
  <c r="AR584" i="17" s="1"/>
  <c r="AO646" i="17"/>
  <c r="AR646" i="17" s="1"/>
  <c r="AO635" i="17"/>
  <c r="AR635" i="17" s="1"/>
  <c r="AO573" i="17"/>
  <c r="AR573" i="17" s="1"/>
  <c r="AO511" i="17"/>
  <c r="AR511" i="17" s="1"/>
  <c r="AO441" i="17"/>
  <c r="AR441" i="17" s="1"/>
  <c r="AO611" i="17"/>
  <c r="AR611" i="17" s="1"/>
  <c r="AO545" i="17"/>
  <c r="AR545" i="17" s="1"/>
  <c r="AO485" i="17"/>
  <c r="AR485" i="17" s="1"/>
  <c r="AO421" i="17"/>
  <c r="AR421" i="17" s="1"/>
  <c r="AO556" i="17"/>
  <c r="AR556" i="17" s="1"/>
  <c r="AJ441" i="17"/>
  <c r="AM441" i="17" s="1"/>
  <c r="AJ417" i="17"/>
  <c r="AM417" i="17" s="1"/>
  <c r="AO497" i="17"/>
  <c r="AR497" i="17" s="1"/>
  <c r="AO674" i="17"/>
  <c r="AR674" i="17" s="1"/>
  <c r="AO539" i="17"/>
  <c r="AR539" i="17" s="1"/>
  <c r="AO388" i="17"/>
  <c r="AR388" i="17" s="1"/>
  <c r="AO470" i="17"/>
  <c r="AR470" i="17" s="1"/>
  <c r="AO648" i="17"/>
  <c r="AR648" i="17" s="1"/>
  <c r="AO643" i="17"/>
  <c r="AR643" i="17" s="1"/>
  <c r="AO681" i="17"/>
  <c r="AR681" i="17" s="1"/>
  <c r="AO617" i="17"/>
  <c r="AR617" i="17" s="1"/>
  <c r="AO557" i="17"/>
  <c r="AR557" i="17" s="1"/>
  <c r="AO486" i="17"/>
  <c r="AR486" i="17" s="1"/>
  <c r="AO422" i="17"/>
  <c r="AR422" i="17" s="1"/>
  <c r="AO659" i="17"/>
  <c r="AR659" i="17" s="1"/>
  <c r="AO593" i="17"/>
  <c r="AR593" i="17" s="1"/>
  <c r="AO525" i="17"/>
  <c r="AR525" i="17" s="1"/>
  <c r="AO465" i="17"/>
  <c r="AR465" i="17" s="1"/>
  <c r="AO401" i="17"/>
  <c r="AR401" i="17" s="1"/>
  <c r="AO658" i="17"/>
  <c r="AR658" i="17" s="1"/>
  <c r="AO663" i="17"/>
  <c r="AR663" i="17" s="1"/>
  <c r="AO566" i="17"/>
  <c r="AR566" i="17" s="1"/>
  <c r="AO481" i="17"/>
  <c r="AR481" i="17" s="1"/>
  <c r="AO386" i="17"/>
  <c r="AR386" i="17" s="1"/>
  <c r="AO631" i="17"/>
  <c r="AR631" i="17" s="1"/>
  <c r="AO537" i="17"/>
  <c r="AR537" i="17" s="1"/>
  <c r="AO448" i="17"/>
  <c r="AR448" i="17" s="1"/>
  <c r="AO530" i="17"/>
  <c r="AR530" i="17" s="1"/>
  <c r="AO558" i="17"/>
  <c r="AR558" i="17" s="1"/>
  <c r="AO615" i="17"/>
  <c r="AR615" i="17" s="1"/>
  <c r="AO622" i="17"/>
  <c r="AR622" i="17" s="1"/>
  <c r="AO538" i="17"/>
  <c r="AR538" i="17" s="1"/>
  <c r="AO431" i="17"/>
  <c r="AR431" i="17" s="1"/>
  <c r="AO614" i="17"/>
  <c r="AR614" i="17" s="1"/>
  <c r="AO505" i="17"/>
  <c r="AR505" i="17" s="1"/>
  <c r="AO409" i="17"/>
  <c r="AR409" i="17" s="1"/>
  <c r="AO675" i="17"/>
  <c r="AR675" i="17" s="1"/>
  <c r="AO463" i="17"/>
  <c r="AR463" i="17" s="1"/>
  <c r="AO616" i="17"/>
  <c r="AR616" i="17" s="1"/>
  <c r="AO411" i="17"/>
  <c r="AR411" i="17" s="1"/>
  <c r="AO582" i="17"/>
  <c r="AR582" i="17" s="1"/>
  <c r="AO10" i="17"/>
  <c r="AR10" i="17" s="1"/>
  <c r="AO652" i="17"/>
  <c r="AR652" i="17" s="1"/>
  <c r="AO595" i="17"/>
  <c r="AR595" i="17" s="1"/>
  <c r="AO417" i="17"/>
  <c r="AR417" i="17" s="1"/>
  <c r="AO547" i="17"/>
  <c r="AR547" i="17" s="1"/>
  <c r="AO384" i="17"/>
  <c r="AR384" i="17" s="1"/>
  <c r="AO509" i="17"/>
  <c r="AR509" i="17" s="1"/>
  <c r="AO645" i="17"/>
  <c r="AR645" i="17" s="1"/>
  <c r="AO445" i="17"/>
  <c r="AR445" i="17" s="1"/>
  <c r="AO613" i="17"/>
  <c r="AR613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<sst xmlns="http://schemas.openxmlformats.org/spreadsheetml/2006/main" count="2093" uniqueCount="105">
  <si>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</si>
  <si>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</si>
  <si>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</si>
  <si>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</si>
  <si>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</si>
  <si>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</si>
  <si>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</si>
  <si>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</si>
  <si>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</si>
  <si>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</si>
  <si>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</si>
  <si>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</si>
  <si>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</si>
  <si>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</si>
  <si>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</si>
  <si>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</si>
  <si>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</si>
  <si>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</si>
  <si>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</si>
  <si>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</si>
  <si>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</si>
  <si>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</si>
  <si>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</si>
  <si>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</si>
  <si>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</si>
  <si>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</si>
  <si>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</si>
  <si>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</si>
  <si>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</si>
  <si>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</si>
  <si>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</si>
  <si>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</si>
  <si>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</si>
  <si>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</si>
  <si>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</si>
  <si>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</si>
  <si>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</si>
  <si>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</si>
  <si>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</si>
  <si>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</si>
  <si>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</si>
  <si>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</si>
  <si>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</si>
  <si>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</si>
  <si>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</si>
  <si>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</si>
  <si>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</si>
  <si>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</si>
  <si>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</si>
  <si>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</si>
  <si>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</si>
  <si>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</si>
  <si>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</si>
  <si>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</si>
  <si>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</si>
  <si>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</si>
  <si>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</si>
  <si>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</si>
  <si>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</si>
  <si>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</si>
  <si>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</si>
  <si>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</si>
  <si>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</si>
  <si>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</si>
  <si>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</si>
  <si>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</si>
  <si>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</si>
  <si>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</si>
  <si>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</si>
  <si>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</si>
  <si>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</si>
  <si>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</si>
  <si>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</si>
  <si>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</si>
  <si>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</si>
  <si>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</si>
  <si>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</si>
  <si>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</si>
  <si>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</si>
  <si>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</si>
  <si>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</si>
  <si>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</si>
  <si>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</si>
  <si>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</si>
  <si>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</si>
  <si>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</si>
  <si>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</si>
  <si>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</si>
  <si>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1516</t>
  </si>
  <si>
    <t>span: 5770</t>
  </si>
  <si>
    <t>101611</t>
  </si>
  <si>
    <t>Koval Ln and
Westchester Dr</t>
  </si>
  <si>
    <t>Las Vegas NV</t>
  </si>
  <si>
    <t>Douglas Trevino</t>
  </si>
  <si>
    <t>Jason Little</t>
  </si>
  <si>
    <t>Legacy: SP-LAS-00470</t>
  </si>
  <si>
    <t>BB LAS(Z)-30A (05)</t>
  </si>
  <si>
    <t>BB LAS(Z)-30 (04)</t>
  </si>
  <si>
    <t>2</t>
  </si>
  <si>
    <t xml:space="preserve"> ISO-0182645</t>
  </si>
  <si>
    <t>6</t>
  </si>
  <si>
    <t>1.1</t>
  </si>
  <si>
    <t>ISO-0184900</t>
  </si>
  <si>
    <t>F17E-0035644 ETYX/142318/005/ZYO</t>
  </si>
  <si>
    <t>F17M-0035910 FBDK/744521/004/ZFS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</si>
</sst>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0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E%20DATA\ISOs\Las%20Vegas\ISO-0182645%20NV-VWC%20to%20NV-30E%20to%20NV-2SA%20Ring%20Hyper%20Networks\SEPs\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E%20DATA\ISOs\Las%20Vegas\ISO-0182645%20NV-VWC%20to%20NV-30E%20to%20NV-2SA%20Ring%20Hyper%20Networks\SEPs\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trevino\Documents\FE%20DATA\ISOs\Las%20Vegas\ISO-0182645%20NV-VWC%20to%20NV-30E%20to%20NV-2SA%20Ring%20Hyper%20Networks\SEPs\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opLeftCell="A19" zoomScale="85" zoomScaleNormal="85" workbookViewId="0">
      <selection activeCell="C50" sqref="C50:C51"/>
    </sheetView>
  </sheetViews>
  <sheetFormatPr defaultColWidth="9.109375" defaultRowHeight="13.2" x14ac:dyDescent="0.25"/>
  <cols>
    <col min="1" max="1" width="2.6640625" style="155" customWidth="1"/>
    <col min="2" max="2" width="22.6640625" style="155" customWidth="1"/>
    <col min="3" max="4" width="24.33203125" style="155" customWidth="1"/>
    <col min="5" max="5" width="22.6640625" style="155" customWidth="1"/>
    <col min="6" max="6" width="2.6640625" style="155" customWidth="1"/>
    <col min="7" max="7" width="4.109375" style="139" customWidth="1"/>
    <col min="8" max="8" width="6.44140625" style="155" customWidth="1"/>
    <col min="9" max="9" width="8.33203125" style="155" customWidth="1"/>
    <col min="10" max="10" width="20" style="155" customWidth="1"/>
    <col min="11" max="11" width="10.109375" style="155" customWidth="1"/>
    <col min="12" max="12" width="15.6640625" style="155" bestFit="1" customWidth="1"/>
    <col min="13" max="13" width="33.88671875" style="155" customWidth="1"/>
    <col min="14" max="14" width="31" style="156" customWidth="1"/>
    <col min="15" max="15" width="9.109375" style="86" customWidth="1"/>
    <col min="16" max="16" width="11.109375" style="86" customWidth="1"/>
    <col min="17" max="44" width="9.109375" style="86" customWidth="1"/>
    <col min="45" max="45" width="9.109375" style="136" customWidth="1"/>
    <col min="46" max="46" width="9.109375" style="137" customWidth="1"/>
    <col min="47" max="49" width="9.109375" style="138" customWidth="1"/>
    <col min="50" max="95" width="9.109375" style="139"/>
    <col min="96" max="16384" width="9.109375" style="155"/>
  </cols>
  <sheetData>
    <row r="1" spans="1:37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312" t="s">
        <v>62</v>
      </c>
      <c r="I5" s="312"/>
      <c r="J5" s="312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313" t="s">
        <v>63</v>
      </c>
      <c r="B8" s="314"/>
      <c r="C8" s="314"/>
      <c r="D8" s="314"/>
      <c r="E8" s="314"/>
      <c r="F8" s="315"/>
      <c r="G8" s="91"/>
      <c r="H8" s="100"/>
      <c r="I8" s="101" t="s">
        <v>9</v>
      </c>
      <c r="J8" s="102" t="s">
        <v>90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" thickBot="1" x14ac:dyDescent="0.3">
      <c r="A10" s="87"/>
      <c r="B10" s="88"/>
      <c r="C10" s="88"/>
      <c r="D10" s="88"/>
      <c r="E10" s="88"/>
      <c r="F10" s="103"/>
      <c r="G10" s="91"/>
      <c r="H10" s="316" t="s">
        <v>10</v>
      </c>
      <c r="I10" s="317"/>
      <c r="J10" s="104" t="s">
        <v>101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5">
      <c r="A13" s="87"/>
      <c r="B13" s="116"/>
      <c r="C13" s="117"/>
      <c r="D13" s="111"/>
      <c r="E13" s="112"/>
      <c r="F13" s="89"/>
      <c r="G13" s="91"/>
      <c r="H13" s="318"/>
      <c r="I13" s="318"/>
      <c r="J13" s="318"/>
      <c r="K13" s="318"/>
      <c r="L13" s="318"/>
      <c r="M13" s="318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5">
      <c r="A14" s="87"/>
      <c r="B14" s="116"/>
      <c r="C14" s="117"/>
      <c r="D14" s="111"/>
      <c r="E14" s="112"/>
      <c r="F14" s="89"/>
      <c r="G14" s="91"/>
      <c r="H14" s="318"/>
      <c r="I14" s="318"/>
      <c r="J14" s="318"/>
      <c r="K14" s="318"/>
      <c r="L14" s="318"/>
      <c r="M14" s="318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5">
      <c r="A15" s="87"/>
      <c r="B15" s="116"/>
      <c r="C15" s="117"/>
      <c r="D15" s="111"/>
      <c r="E15" s="112"/>
      <c r="F15" s="89"/>
      <c r="G15" s="118"/>
      <c r="H15" s="319" t="s">
        <v>65</v>
      </c>
      <c r="I15" s="319"/>
      <c r="J15" s="319"/>
      <c r="K15" s="319"/>
      <c r="L15" s="319"/>
      <c r="M15" s="319"/>
      <c r="N15" s="319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5">
      <c r="A16" s="87"/>
      <c r="B16" s="116"/>
      <c r="C16" s="117"/>
      <c r="D16" s="111"/>
      <c r="E16" s="112"/>
      <c r="F16" s="89"/>
      <c r="G16" s="118"/>
      <c r="H16" s="319"/>
      <c r="I16" s="319"/>
      <c r="J16" s="319"/>
      <c r="K16" s="319"/>
      <c r="L16" s="319"/>
      <c r="M16" s="319"/>
      <c r="N16" s="319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5">
      <c r="A17" s="87"/>
      <c r="B17" s="116"/>
      <c r="C17" s="117"/>
      <c r="D17" s="111"/>
      <c r="E17" s="112"/>
      <c r="F17" s="89"/>
      <c r="G17" s="118"/>
      <c r="H17" s="319"/>
      <c r="I17" s="319"/>
      <c r="J17" s="319"/>
      <c r="K17" s="319"/>
      <c r="L17" s="319"/>
      <c r="M17" s="319"/>
      <c r="N17" s="319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5">
      <c r="A18" s="87"/>
      <c r="B18" s="116"/>
      <c r="C18" s="117"/>
      <c r="D18" s="111"/>
      <c r="E18" s="112"/>
      <c r="F18" s="89"/>
      <c r="G18" s="118"/>
      <c r="H18" s="319"/>
      <c r="I18" s="319"/>
      <c r="J18" s="319"/>
      <c r="K18" s="319"/>
      <c r="L18" s="319"/>
      <c r="M18" s="319"/>
      <c r="N18" s="319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5">
      <c r="A20" s="87"/>
      <c r="B20" s="116"/>
      <c r="C20" s="117"/>
      <c r="D20" s="111"/>
      <c r="E20" s="112"/>
      <c r="F20" s="89"/>
      <c r="G20" s="118"/>
      <c r="H20" s="119"/>
      <c r="I20" s="119"/>
      <c r="J20" s="320" t="s">
        <v>66</v>
      </c>
      <c r="K20" s="320"/>
      <c r="L20" s="320"/>
      <c r="M20" s="320"/>
      <c r="N20" s="320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5">
      <c r="A21" s="87"/>
      <c r="B21" s="116"/>
      <c r="C21" s="117"/>
      <c r="D21" s="111"/>
      <c r="E21" s="112"/>
      <c r="F21" s="89"/>
      <c r="G21" s="118"/>
      <c r="H21" s="119"/>
      <c r="I21" s="119"/>
      <c r="J21" s="320"/>
      <c r="K21" s="320"/>
      <c r="L21" s="320"/>
      <c r="M21" s="320"/>
      <c r="N21" s="320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5">
      <c r="A22" s="87"/>
      <c r="B22" s="116"/>
      <c r="C22" s="117"/>
      <c r="D22" s="111"/>
      <c r="E22" s="112"/>
      <c r="F22" s="89"/>
      <c r="G22" s="118"/>
      <c r="H22" s="119"/>
      <c r="I22" s="119"/>
      <c r="J22" s="320"/>
      <c r="K22" s="320"/>
      <c r="L22" s="320"/>
      <c r="M22" s="320"/>
      <c r="N22" s="320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5">
      <c r="A23" s="87"/>
      <c r="B23" s="116"/>
      <c r="C23" s="117"/>
      <c r="D23" s="111"/>
      <c r="E23" s="112"/>
      <c r="F23" s="89"/>
      <c r="G23" s="118"/>
      <c r="H23" s="119"/>
      <c r="I23" s="119"/>
      <c r="J23" s="320"/>
      <c r="K23" s="320"/>
      <c r="L23" s="320"/>
      <c r="M23" s="320"/>
      <c r="N23" s="320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5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5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5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5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8" thickBot="1" x14ac:dyDescent="0.3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8" thickBot="1" x14ac:dyDescent="0.3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8" thickTop="1" x14ac:dyDescent="0.25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5">
      <c r="A41" s="87"/>
      <c r="B41" s="321"/>
      <c r="C41" s="321"/>
      <c r="D41" s="321" t="s">
        <v>91</v>
      </c>
      <c r="E41" s="321" t="s">
        <v>92</v>
      </c>
      <c r="F41" s="89"/>
      <c r="G41" s="91"/>
      <c r="H41" s="324"/>
      <c r="I41" s="324"/>
      <c r="J41" s="324"/>
      <c r="K41" s="324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8" thickBot="1" x14ac:dyDescent="0.3">
      <c r="A42" s="87"/>
      <c r="B42" s="322"/>
      <c r="C42" s="322"/>
      <c r="D42" s="322"/>
      <c r="E42" s="323"/>
      <c r="F42" s="89"/>
      <c r="G42" s="91"/>
      <c r="H42" s="324"/>
      <c r="I42" s="324"/>
      <c r="J42" s="324"/>
      <c r="K42" s="324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4" thickTop="1" thickBot="1" x14ac:dyDescent="0.3">
      <c r="A43" s="87"/>
      <c r="B43" s="128"/>
      <c r="C43" s="129"/>
      <c r="D43" s="311"/>
      <c r="E43" s="311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8" thickTop="1" x14ac:dyDescent="0.25">
      <c r="A44" s="130">
        <f>LEN(B44)</f>
        <v>21</v>
      </c>
      <c r="B44" s="131" t="s">
        <v>71</v>
      </c>
      <c r="C44" s="132"/>
      <c r="D44" s="278" t="s">
        <v>72</v>
      </c>
      <c r="E44" s="279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5">
      <c r="A45" s="87"/>
      <c r="B45" s="290"/>
      <c r="C45" s="291"/>
      <c r="D45" s="294" t="str">
        <f>CONCATENATE('Cable Info'!C11,"  ",'Cable Info'!C18,"   ",'Cable Info'!C25,"  ",'Cable Info'!C32,"   ",'Cable Info'!C39,"   ",'Cable Info'!C46)</f>
        <v xml:space="preserve">BB LAS(Z)-30 (04)  BB LAS(Z)-30A (05)           </v>
      </c>
      <c r="E45" s="295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8" thickBot="1" x14ac:dyDescent="0.3">
      <c r="A46" s="87"/>
      <c r="B46" s="292"/>
      <c r="C46" s="293"/>
      <c r="D46" s="296"/>
      <c r="E46" s="297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8" thickTop="1" x14ac:dyDescent="0.25">
      <c r="A47" s="87"/>
      <c r="B47" s="298"/>
      <c r="C47" s="299"/>
      <c r="D47" s="301"/>
      <c r="E47" s="302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8" thickBot="1" x14ac:dyDescent="0.3">
      <c r="A48" s="87"/>
      <c r="B48" s="300"/>
      <c r="C48" s="300"/>
      <c r="D48" s="303"/>
      <c r="E48" s="303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8" thickTop="1" x14ac:dyDescent="0.25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5">
      <c r="A50" s="87"/>
      <c r="B50" s="304" t="s">
        <v>93</v>
      </c>
      <c r="C50" s="306">
        <v>42783</v>
      </c>
      <c r="D50" s="308" t="s">
        <v>94</v>
      </c>
      <c r="E50" s="309" t="str">
        <f>J10</f>
        <v>1.1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8" thickBot="1" x14ac:dyDescent="0.3">
      <c r="A51" s="87"/>
      <c r="B51" s="305"/>
      <c r="C51" s="307"/>
      <c r="D51" s="305"/>
      <c r="E51" s="310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8" thickTop="1" x14ac:dyDescent="0.25">
      <c r="A52" s="87"/>
      <c r="B52" s="278" t="s">
        <v>23</v>
      </c>
      <c r="C52" s="279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5">
      <c r="A53" s="87"/>
      <c r="B53" s="280" t="s">
        <v>95</v>
      </c>
      <c r="C53" s="281"/>
      <c r="D53" s="286" t="str">
        <f>J8</f>
        <v>101611</v>
      </c>
      <c r="E53" s="287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5">
      <c r="A54" s="87"/>
      <c r="B54" s="282"/>
      <c r="C54" s="283"/>
      <c r="D54" s="286"/>
      <c r="E54" s="287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5">
      <c r="A55" s="87"/>
      <c r="B55" s="282"/>
      <c r="C55" s="283"/>
      <c r="D55" s="286"/>
      <c r="E55" s="287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5">
      <c r="A56" s="87"/>
      <c r="B56" s="282"/>
      <c r="C56" s="283"/>
      <c r="D56" s="286"/>
      <c r="E56" s="287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3">
      <c r="A57" s="87"/>
      <c r="B57" s="284"/>
      <c r="C57" s="285"/>
      <c r="D57" s="288"/>
      <c r="E57" s="289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5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8" thickBot="1" x14ac:dyDescent="0.3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5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5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5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5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5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5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5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5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5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5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5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5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5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5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5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5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5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5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5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5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5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5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5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5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5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5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1" sqref="D11:F11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hidden="1" customWidth="1"/>
    <col min="10" max="25" width="9.109375" style="4" hidden="1" customWidth="1"/>
    <col min="26" max="26" width="0" style="4" hidden="1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" thickBot="1" x14ac:dyDescent="0.3">
      <c r="A2" s="7"/>
      <c r="B2" s="8" t="s">
        <v>9</v>
      </c>
      <c r="C2" s="9"/>
      <c r="D2" s="9"/>
      <c r="E2" s="327" t="s">
        <v>10</v>
      </c>
      <c r="F2" s="328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29" t="str">
        <f>'Cover - Location Info'!J8</f>
        <v>101611</v>
      </c>
      <c r="C3" s="13"/>
      <c r="D3" s="13"/>
      <c r="E3" s="331" t="str">
        <f>'Cover - Location Info'!J10</f>
        <v>1.1</v>
      </c>
      <c r="F3" s="332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30"/>
      <c r="C4" s="13"/>
      <c r="D4" s="13"/>
      <c r="E4" s="333"/>
      <c r="F4" s="334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35" t="s">
        <v>48</v>
      </c>
      <c r="C6" s="335"/>
      <c r="D6" s="335"/>
      <c r="E6" s="335"/>
      <c r="F6" s="335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97</v>
      </c>
      <c r="D11" s="339" t="s">
        <v>88</v>
      </c>
      <c r="E11" s="340"/>
      <c r="F11" s="341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42">
        <v>144</v>
      </c>
      <c r="C13" s="345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43"/>
      <c r="C14" s="346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44"/>
      <c r="C15" s="347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96</v>
      </c>
      <c r="D18" s="339" t="s">
        <v>89</v>
      </c>
      <c r="E18" s="340"/>
      <c r="F18" s="341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42">
        <v>432</v>
      </c>
      <c r="C20" s="345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43"/>
      <c r="C21" s="346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44"/>
      <c r="C22" s="347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61</v>
      </c>
      <c r="D25" s="339"/>
      <c r="E25" s="340"/>
      <c r="F25" s="341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42">
        <v>0</v>
      </c>
      <c r="C27" s="345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43"/>
      <c r="C28" s="346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44"/>
      <c r="C29" s="347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3</v>
      </c>
      <c r="C32" s="19" t="s">
        <v>61</v>
      </c>
      <c r="D32" s="339"/>
      <c r="E32" s="340"/>
      <c r="F32" s="341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42">
        <v>0</v>
      </c>
      <c r="C34" s="345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43"/>
      <c r="C35" s="346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44"/>
      <c r="C36" s="347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4</v>
      </c>
      <c r="C39" s="19" t="s">
        <v>61</v>
      </c>
      <c r="D39" s="339"/>
      <c r="E39" s="340"/>
      <c r="F39" s="341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42">
        <v>0</v>
      </c>
      <c r="C41" s="345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43"/>
      <c r="C42" s="346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44"/>
      <c r="C43" s="347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5</v>
      </c>
      <c r="C46" s="19" t="s">
        <v>61</v>
      </c>
      <c r="D46" s="339"/>
      <c r="E46" s="340"/>
      <c r="F46" s="341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42">
        <v>0</v>
      </c>
      <c r="C48" s="345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43"/>
      <c r="C49" s="346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44"/>
      <c r="C50" s="347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>
        <f t="shared" si="14"/>
        <v>73</v>
      </c>
      <c r="O74" s="4" t="e">
        <f t="shared" si="15"/>
        <v>#N/A</v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>
        <f t="shared" si="14"/>
        <v>74</v>
      </c>
      <c r="O75" s="4" t="e">
        <f t="shared" si="15"/>
        <v>#N/A</v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>
        <f t="shared" si="14"/>
        <v>75</v>
      </c>
      <c r="O76" s="4" t="e">
        <f t="shared" si="15"/>
        <v>#N/A</v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>
        <f t="shared" si="14"/>
        <v>76</v>
      </c>
      <c r="O77" s="4" t="e">
        <f t="shared" si="15"/>
        <v>#N/A</v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>
        <f t="shared" si="14"/>
        <v>77</v>
      </c>
      <c r="O78" s="4" t="e">
        <f t="shared" si="15"/>
        <v>#N/A</v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>
        <f t="shared" si="14"/>
        <v>78</v>
      </c>
      <c r="O79" s="4" t="e">
        <f t="shared" si="15"/>
        <v>#N/A</v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>
        <f t="shared" si="14"/>
        <v>79</v>
      </c>
      <c r="O80" s="4" t="e">
        <f t="shared" si="15"/>
        <v>#N/A</v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>
        <f t="shared" si="14"/>
        <v>80</v>
      </c>
      <c r="O81" s="4" t="e">
        <f t="shared" si="15"/>
        <v>#N/A</v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>
        <f t="shared" si="14"/>
        <v>81</v>
      </c>
      <c r="O82" s="4" t="e">
        <f t="shared" si="15"/>
        <v>#N/A</v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>
        <f t="shared" si="14"/>
        <v>82</v>
      </c>
      <c r="O83" s="4" t="e">
        <f t="shared" si="15"/>
        <v>#N/A</v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>
        <f t="shared" si="14"/>
        <v>83</v>
      </c>
      <c r="O84" s="4" t="e">
        <f t="shared" si="15"/>
        <v>#N/A</v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>
        <f t="shared" si="14"/>
        <v>84</v>
      </c>
      <c r="O85" s="4" t="e">
        <f t="shared" si="15"/>
        <v>#N/A</v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>
        <f t="shared" si="14"/>
        <v>85</v>
      </c>
      <c r="O86" s="4" t="e">
        <f t="shared" si="15"/>
        <v>#N/A</v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>
        <f t="shared" si="14"/>
        <v>86</v>
      </c>
      <c r="O87" s="4" t="e">
        <f t="shared" si="15"/>
        <v>#N/A</v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>
        <f t="shared" si="14"/>
        <v>87</v>
      </c>
      <c r="O88" s="4" t="e">
        <f t="shared" si="15"/>
        <v>#N/A</v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>
        <f t="shared" si="14"/>
        <v>88</v>
      </c>
      <c r="O89" s="4" t="e">
        <f t="shared" si="15"/>
        <v>#N/A</v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>
        <f t="shared" si="14"/>
        <v>89</v>
      </c>
      <c r="O90" s="4" t="e">
        <f t="shared" si="15"/>
        <v>#N/A</v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>
        <f t="shared" si="14"/>
        <v>90</v>
      </c>
      <c r="O91" s="4" t="e">
        <f t="shared" si="15"/>
        <v>#N/A</v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>
        <f t="shared" si="14"/>
        <v>91</v>
      </c>
      <c r="O92" s="4" t="e">
        <f t="shared" si="15"/>
        <v>#N/A</v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>
        <f t="shared" si="14"/>
        <v>92</v>
      </c>
      <c r="O93" s="4" t="e">
        <f t="shared" si="15"/>
        <v>#N/A</v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>
        <f t="shared" si="14"/>
        <v>93</v>
      </c>
      <c r="O94" s="4" t="e">
        <f t="shared" si="15"/>
        <v>#N/A</v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>
        <f t="shared" si="14"/>
        <v>94</v>
      </c>
      <c r="O95" s="4" t="e">
        <f t="shared" si="15"/>
        <v>#N/A</v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>
        <f t="shared" si="14"/>
        <v>95</v>
      </c>
      <c r="O96" s="4" t="e">
        <f t="shared" si="15"/>
        <v>#N/A</v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>
        <f t="shared" si="14"/>
        <v>96</v>
      </c>
      <c r="O97" s="4" t="e">
        <f t="shared" si="15"/>
        <v>#N/A</v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>
        <f t="shared" si="14"/>
        <v>97</v>
      </c>
      <c r="O98" s="4" t="e">
        <f t="shared" si="15"/>
        <v>#N/A</v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>
        <f t="shared" si="14"/>
        <v>98</v>
      </c>
      <c r="O99" s="4" t="e">
        <f t="shared" si="15"/>
        <v>#N/A</v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>
        <f t="shared" si="14"/>
        <v>99</v>
      </c>
      <c r="O100" s="4" t="e">
        <f t="shared" si="15"/>
        <v>#N/A</v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>
        <f t="shared" si="14"/>
        <v>100</v>
      </c>
      <c r="O101" s="4" t="e">
        <f t="shared" si="15"/>
        <v>#N/A</v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>
        <f t="shared" si="14"/>
        <v>101</v>
      </c>
      <c r="O102" s="4" t="e">
        <f t="shared" si="15"/>
        <v>#N/A</v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>
        <f t="shared" si="14"/>
        <v>102</v>
      </c>
      <c r="O103" s="4" t="e">
        <f t="shared" si="15"/>
        <v>#N/A</v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>
        <f t="shared" si="14"/>
        <v>103</v>
      </c>
      <c r="O104" s="4" t="e">
        <f t="shared" si="15"/>
        <v>#N/A</v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>
        <f t="shared" si="14"/>
        <v>104</v>
      </c>
      <c r="O105" s="4" t="e">
        <f t="shared" si="15"/>
        <v>#N/A</v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>
        <f t="shared" si="14"/>
        <v>105</v>
      </c>
      <c r="O106" s="4" t="e">
        <f t="shared" si="15"/>
        <v>#N/A</v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>
        <f t="shared" si="14"/>
        <v>106</v>
      </c>
      <c r="O107" s="4" t="e">
        <f t="shared" si="15"/>
        <v>#N/A</v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>
        <f t="shared" si="14"/>
        <v>107</v>
      </c>
      <c r="O108" s="4" t="e">
        <f t="shared" si="15"/>
        <v>#N/A</v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>
        <f t="shared" si="14"/>
        <v>108</v>
      </c>
      <c r="O109" s="4" t="e">
        <f t="shared" si="15"/>
        <v>#N/A</v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>
        <f t="shared" si="14"/>
        <v>109</v>
      </c>
      <c r="O110" s="4" t="e">
        <f t="shared" si="15"/>
        <v>#N/A</v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>
        <f t="shared" si="14"/>
        <v>110</v>
      </c>
      <c r="O111" s="4" t="e">
        <f t="shared" si="15"/>
        <v>#N/A</v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>
        <f t="shared" si="14"/>
        <v>111</v>
      </c>
      <c r="O112" s="4" t="e">
        <f t="shared" si="15"/>
        <v>#N/A</v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>
        <f t="shared" si="14"/>
        <v>112</v>
      </c>
      <c r="O113" s="4" t="e">
        <f t="shared" si="15"/>
        <v>#N/A</v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>
        <f t="shared" si="14"/>
        <v>113</v>
      </c>
      <c r="O114" s="4" t="e">
        <f t="shared" si="15"/>
        <v>#N/A</v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>
        <f t="shared" si="14"/>
        <v>114</v>
      </c>
      <c r="O115" s="4" t="e">
        <f t="shared" si="15"/>
        <v>#N/A</v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>
        <f t="shared" si="14"/>
        <v>115</v>
      </c>
      <c r="O116" s="4" t="e">
        <f t="shared" si="15"/>
        <v>#N/A</v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>
        <f t="shared" si="14"/>
        <v>116</v>
      </c>
      <c r="O117" s="4" t="e">
        <f t="shared" si="15"/>
        <v>#N/A</v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>
        <f t="shared" si="14"/>
        <v>117</v>
      </c>
      <c r="O118" s="4" t="e">
        <f t="shared" si="15"/>
        <v>#N/A</v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>
        <f t="shared" si="14"/>
        <v>118</v>
      </c>
      <c r="O119" s="4" t="e">
        <f t="shared" si="15"/>
        <v>#N/A</v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>
        <f t="shared" si="14"/>
        <v>119</v>
      </c>
      <c r="O120" s="4" t="e">
        <f t="shared" si="15"/>
        <v>#N/A</v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>
        <f t="shared" si="14"/>
        <v>120</v>
      </c>
      <c r="O121" s="4" t="e">
        <f t="shared" si="15"/>
        <v>#N/A</v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>
        <f t="shared" si="14"/>
        <v>121</v>
      </c>
      <c r="O122" s="4" t="e">
        <f t="shared" si="15"/>
        <v>#N/A</v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>
        <f t="shared" si="14"/>
        <v>122</v>
      </c>
      <c r="O123" s="4" t="e">
        <f t="shared" si="15"/>
        <v>#N/A</v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>
        <f t="shared" si="14"/>
        <v>123</v>
      </c>
      <c r="O124" s="4" t="e">
        <f t="shared" si="15"/>
        <v>#N/A</v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>
        <f t="shared" si="14"/>
        <v>124</v>
      </c>
      <c r="O125" s="4" t="e">
        <f t="shared" si="15"/>
        <v>#N/A</v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>
        <f t="shared" si="14"/>
        <v>125</v>
      </c>
      <c r="O126" s="4" t="e">
        <f t="shared" si="15"/>
        <v>#N/A</v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>
        <f t="shared" si="14"/>
        <v>126</v>
      </c>
      <c r="O127" s="4" t="e">
        <f t="shared" si="15"/>
        <v>#N/A</v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>
        <f t="shared" si="14"/>
        <v>127</v>
      </c>
      <c r="O128" s="4" t="e">
        <f t="shared" si="15"/>
        <v>#N/A</v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>
        <f t="shared" si="14"/>
        <v>128</v>
      </c>
      <c r="O129" s="4" t="e">
        <f t="shared" si="15"/>
        <v>#N/A</v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>
        <f t="shared" si="14"/>
        <v>129</v>
      </c>
      <c r="O130" s="4" t="e">
        <f t="shared" si="15"/>
        <v>#N/A</v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>
        <f t="shared" ref="N131:N194" si="26">IF($B$20&gt;=K131,K131,"")</f>
        <v>130</v>
      </c>
      <c r="O131" s="4" t="e">
        <f t="shared" ref="O131:O194" si="27">IF(N131="","",IF(N131&lt;=$E$22,VLOOKUP($E$21,$I$1:$J$4,2,FALSE),VLOOKUP($F$21,$I$1:$J$4,2,FALSE)))</f>
        <v>#N/A</v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>
        <f t="shared" si="26"/>
        <v>131</v>
      </c>
      <c r="O132" s="4" t="e">
        <f t="shared" si="27"/>
        <v>#N/A</v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>
        <f t="shared" si="26"/>
        <v>132</v>
      </c>
      <c r="O133" s="4" t="e">
        <f t="shared" si="27"/>
        <v>#N/A</v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>
        <f t="shared" si="26"/>
        <v>133</v>
      </c>
      <c r="O134" s="4" t="e">
        <f t="shared" si="27"/>
        <v>#N/A</v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>
        <f t="shared" si="26"/>
        <v>134</v>
      </c>
      <c r="O135" s="4" t="e">
        <f t="shared" si="27"/>
        <v>#N/A</v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>
        <f t="shared" si="26"/>
        <v>135</v>
      </c>
      <c r="O136" s="4" t="e">
        <f t="shared" si="27"/>
        <v>#N/A</v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>
        <f t="shared" si="26"/>
        <v>136</v>
      </c>
      <c r="O137" s="4" t="e">
        <f t="shared" si="27"/>
        <v>#N/A</v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>
        <f t="shared" si="26"/>
        <v>137</v>
      </c>
      <c r="O138" s="4" t="e">
        <f t="shared" si="27"/>
        <v>#N/A</v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>
        <f t="shared" si="26"/>
        <v>138</v>
      </c>
      <c r="O139" s="4" t="e">
        <f t="shared" si="27"/>
        <v>#N/A</v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>
        <f t="shared" si="26"/>
        <v>139</v>
      </c>
      <c r="O140" s="4" t="e">
        <f t="shared" si="27"/>
        <v>#N/A</v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>
        <f t="shared" si="26"/>
        <v>140</v>
      </c>
      <c r="O141" s="4" t="e">
        <f t="shared" si="27"/>
        <v>#N/A</v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>
        <f t="shared" si="26"/>
        <v>141</v>
      </c>
      <c r="O142" s="4" t="e">
        <f t="shared" si="27"/>
        <v>#N/A</v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>
        <f t="shared" si="26"/>
        <v>142</v>
      </c>
      <c r="O143" s="4" t="e">
        <f t="shared" si="27"/>
        <v>#N/A</v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>
        <f t="shared" si="26"/>
        <v>143</v>
      </c>
      <c r="O144" s="4" t="e">
        <f t="shared" si="27"/>
        <v>#N/A</v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>
        <f t="shared" si="26"/>
        <v>144</v>
      </c>
      <c r="O145" s="4" t="e">
        <f t="shared" si="27"/>
        <v>#N/A</v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>
        <f t="shared" si="26"/>
        <v>145</v>
      </c>
      <c r="O146" s="4" t="e">
        <f t="shared" si="27"/>
        <v>#N/A</v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>
        <f t="shared" si="26"/>
        <v>146</v>
      </c>
      <c r="O147" s="4" t="e">
        <f t="shared" si="27"/>
        <v>#N/A</v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>
        <f t="shared" si="26"/>
        <v>147</v>
      </c>
      <c r="O148" s="4" t="e">
        <f t="shared" si="27"/>
        <v>#N/A</v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>
        <f t="shared" si="26"/>
        <v>148</v>
      </c>
      <c r="O149" s="4" t="e">
        <f t="shared" si="27"/>
        <v>#N/A</v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>
        <f t="shared" si="26"/>
        <v>149</v>
      </c>
      <c r="O150" s="4" t="e">
        <f t="shared" si="27"/>
        <v>#N/A</v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>
        <f t="shared" si="26"/>
        <v>150</v>
      </c>
      <c r="O151" s="4" t="e">
        <f t="shared" si="27"/>
        <v>#N/A</v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>
        <f t="shared" si="26"/>
        <v>151</v>
      </c>
      <c r="O152" s="4" t="e">
        <f t="shared" si="27"/>
        <v>#N/A</v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>
        <f t="shared" si="26"/>
        <v>152</v>
      </c>
      <c r="O153" s="4" t="e">
        <f t="shared" si="27"/>
        <v>#N/A</v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>
        <f t="shared" si="26"/>
        <v>153</v>
      </c>
      <c r="O154" s="4" t="e">
        <f t="shared" si="27"/>
        <v>#N/A</v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>
        <f t="shared" si="26"/>
        <v>154</v>
      </c>
      <c r="O155" s="4" t="e">
        <f t="shared" si="27"/>
        <v>#N/A</v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>
        <f t="shared" si="26"/>
        <v>155</v>
      </c>
      <c r="O156" s="4" t="e">
        <f t="shared" si="27"/>
        <v>#N/A</v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>
        <f t="shared" si="26"/>
        <v>156</v>
      </c>
      <c r="O157" s="4" t="e">
        <f t="shared" si="27"/>
        <v>#N/A</v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>
        <f t="shared" si="26"/>
        <v>157</v>
      </c>
      <c r="O158" s="4" t="e">
        <f t="shared" si="27"/>
        <v>#N/A</v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>
        <f t="shared" si="26"/>
        <v>158</v>
      </c>
      <c r="O159" s="4" t="e">
        <f t="shared" si="27"/>
        <v>#N/A</v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>
        <f t="shared" si="26"/>
        <v>159</v>
      </c>
      <c r="O160" s="4" t="e">
        <f t="shared" si="27"/>
        <v>#N/A</v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>
        <f t="shared" si="26"/>
        <v>160</v>
      </c>
      <c r="O161" s="4" t="e">
        <f t="shared" si="27"/>
        <v>#N/A</v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>
        <f t="shared" si="26"/>
        <v>161</v>
      </c>
      <c r="O162" s="4" t="e">
        <f t="shared" si="27"/>
        <v>#N/A</v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>
        <f t="shared" si="26"/>
        <v>162</v>
      </c>
      <c r="O163" s="4" t="e">
        <f t="shared" si="27"/>
        <v>#N/A</v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>
        <f t="shared" si="26"/>
        <v>163</v>
      </c>
      <c r="O164" s="4" t="e">
        <f t="shared" si="27"/>
        <v>#N/A</v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>
        <f t="shared" si="26"/>
        <v>164</v>
      </c>
      <c r="O165" s="4" t="e">
        <f t="shared" si="27"/>
        <v>#N/A</v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>
        <f t="shared" si="26"/>
        <v>165</v>
      </c>
      <c r="O166" s="4" t="e">
        <f t="shared" si="27"/>
        <v>#N/A</v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>
        <f t="shared" si="26"/>
        <v>166</v>
      </c>
      <c r="O167" s="4" t="e">
        <f t="shared" si="27"/>
        <v>#N/A</v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>
        <f t="shared" si="26"/>
        <v>167</v>
      </c>
      <c r="O168" s="4" t="e">
        <f t="shared" si="27"/>
        <v>#N/A</v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>
        <f t="shared" si="26"/>
        <v>168</v>
      </c>
      <c r="O169" s="4" t="e">
        <f t="shared" si="27"/>
        <v>#N/A</v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>
        <f t="shared" si="26"/>
        <v>169</v>
      </c>
      <c r="O170" s="4" t="e">
        <f t="shared" si="27"/>
        <v>#N/A</v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>
        <f t="shared" si="26"/>
        <v>170</v>
      </c>
      <c r="O171" s="4" t="e">
        <f t="shared" si="27"/>
        <v>#N/A</v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>
        <f t="shared" si="26"/>
        <v>171</v>
      </c>
      <c r="O172" s="4" t="e">
        <f t="shared" si="27"/>
        <v>#N/A</v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>
        <f t="shared" si="26"/>
        <v>172</v>
      </c>
      <c r="O173" s="4" t="e">
        <f t="shared" si="27"/>
        <v>#N/A</v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>
        <f t="shared" si="26"/>
        <v>173</v>
      </c>
      <c r="O174" s="4" t="e">
        <f t="shared" si="27"/>
        <v>#N/A</v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>
        <f t="shared" si="26"/>
        <v>174</v>
      </c>
      <c r="O175" s="4" t="e">
        <f t="shared" si="27"/>
        <v>#N/A</v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>
        <f t="shared" si="26"/>
        <v>175</v>
      </c>
      <c r="O176" s="4" t="e">
        <f t="shared" si="27"/>
        <v>#N/A</v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>
        <f t="shared" si="26"/>
        <v>176</v>
      </c>
      <c r="O177" s="4" t="e">
        <f t="shared" si="27"/>
        <v>#N/A</v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>
        <f t="shared" si="26"/>
        <v>177</v>
      </c>
      <c r="O178" s="4" t="e">
        <f t="shared" si="27"/>
        <v>#N/A</v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>
        <f t="shared" si="26"/>
        <v>178</v>
      </c>
      <c r="O179" s="4" t="e">
        <f t="shared" si="27"/>
        <v>#N/A</v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>
        <f t="shared" si="26"/>
        <v>179</v>
      </c>
      <c r="O180" s="4" t="e">
        <f t="shared" si="27"/>
        <v>#N/A</v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>
        <f t="shared" si="26"/>
        <v>180</v>
      </c>
      <c r="O181" s="4" t="e">
        <f t="shared" si="27"/>
        <v>#N/A</v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>
        <f t="shared" si="26"/>
        <v>181</v>
      </c>
      <c r="O182" s="4" t="e">
        <f t="shared" si="27"/>
        <v>#N/A</v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>
        <f t="shared" si="26"/>
        <v>182</v>
      </c>
      <c r="O183" s="4" t="e">
        <f t="shared" si="27"/>
        <v>#N/A</v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>
        <f t="shared" si="26"/>
        <v>183</v>
      </c>
      <c r="O184" s="4" t="e">
        <f t="shared" si="27"/>
        <v>#N/A</v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>
        <f t="shared" si="26"/>
        <v>184</v>
      </c>
      <c r="O185" s="4" t="e">
        <f t="shared" si="27"/>
        <v>#N/A</v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>
        <f t="shared" si="26"/>
        <v>185</v>
      </c>
      <c r="O186" s="4" t="e">
        <f t="shared" si="27"/>
        <v>#N/A</v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>
        <f t="shared" si="26"/>
        <v>186</v>
      </c>
      <c r="O187" s="4" t="e">
        <f t="shared" si="27"/>
        <v>#N/A</v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>
        <f t="shared" si="26"/>
        <v>187</v>
      </c>
      <c r="O188" s="4" t="e">
        <f t="shared" si="27"/>
        <v>#N/A</v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>
        <f t="shared" si="26"/>
        <v>188</v>
      </c>
      <c r="O189" s="4" t="e">
        <f t="shared" si="27"/>
        <v>#N/A</v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>
        <f t="shared" si="26"/>
        <v>189</v>
      </c>
      <c r="O190" s="4" t="e">
        <f t="shared" si="27"/>
        <v>#N/A</v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>
        <f t="shared" si="26"/>
        <v>190</v>
      </c>
      <c r="O191" s="4" t="e">
        <f t="shared" si="27"/>
        <v>#N/A</v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>
        <f t="shared" si="26"/>
        <v>191</v>
      </c>
      <c r="O192" s="4" t="e">
        <f t="shared" si="27"/>
        <v>#N/A</v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>
        <f t="shared" si="26"/>
        <v>192</v>
      </c>
      <c r="O193" s="4" t="e">
        <f t="shared" si="27"/>
        <v>#N/A</v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>
        <f t="shared" si="26"/>
        <v>193</v>
      </c>
      <c r="O194" s="4" t="e">
        <f t="shared" si="27"/>
        <v>#N/A</v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>
        <f t="shared" ref="N195:N258" si="38">IF($B$20&gt;=K195,K195,"")</f>
        <v>194</v>
      </c>
      <c r="O195" s="4" t="e">
        <f t="shared" ref="O195:O258" si="39">IF(N195="","",IF(N195&lt;=$E$22,VLOOKUP($E$21,$I$1:$J$4,2,FALSE),VLOOKUP($F$21,$I$1:$J$4,2,FALSE)))</f>
        <v>#N/A</v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>
        <f t="shared" si="38"/>
        <v>195</v>
      </c>
      <c r="O196" s="4" t="e">
        <f t="shared" si="39"/>
        <v>#N/A</v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>
        <f t="shared" si="38"/>
        <v>196</v>
      </c>
      <c r="O197" s="4" t="e">
        <f t="shared" si="39"/>
        <v>#N/A</v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>
        <f t="shared" si="38"/>
        <v>197</v>
      </c>
      <c r="O198" s="4" t="e">
        <f t="shared" si="39"/>
        <v>#N/A</v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>
        <f t="shared" si="38"/>
        <v>198</v>
      </c>
      <c r="O199" s="4" t="e">
        <f t="shared" si="39"/>
        <v>#N/A</v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>
        <f t="shared" si="38"/>
        <v>199</v>
      </c>
      <c r="O200" s="4" t="e">
        <f t="shared" si="39"/>
        <v>#N/A</v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>
        <f t="shared" si="38"/>
        <v>200</v>
      </c>
      <c r="O201" s="4" t="e">
        <f t="shared" si="39"/>
        <v>#N/A</v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>
        <f t="shared" si="38"/>
        <v>201</v>
      </c>
      <c r="O202" s="4" t="e">
        <f t="shared" si="39"/>
        <v>#N/A</v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>
        <f t="shared" si="38"/>
        <v>202</v>
      </c>
      <c r="O203" s="4" t="e">
        <f t="shared" si="39"/>
        <v>#N/A</v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>
        <f t="shared" si="38"/>
        <v>203</v>
      </c>
      <c r="O204" s="4" t="e">
        <f t="shared" si="39"/>
        <v>#N/A</v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>
        <f t="shared" si="38"/>
        <v>204</v>
      </c>
      <c r="O205" s="4" t="e">
        <f t="shared" si="39"/>
        <v>#N/A</v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>
        <f t="shared" si="38"/>
        <v>205</v>
      </c>
      <c r="O206" s="4" t="e">
        <f t="shared" si="39"/>
        <v>#N/A</v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>
        <f t="shared" si="38"/>
        <v>206</v>
      </c>
      <c r="O207" s="4" t="e">
        <f t="shared" si="39"/>
        <v>#N/A</v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>
        <f t="shared" si="38"/>
        <v>207</v>
      </c>
      <c r="O208" s="4" t="e">
        <f t="shared" si="39"/>
        <v>#N/A</v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>
        <f t="shared" si="38"/>
        <v>208</v>
      </c>
      <c r="O209" s="4" t="e">
        <f t="shared" si="39"/>
        <v>#N/A</v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>
        <f t="shared" si="38"/>
        <v>209</v>
      </c>
      <c r="O210" s="4" t="e">
        <f t="shared" si="39"/>
        <v>#N/A</v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>
        <f t="shared" si="38"/>
        <v>210</v>
      </c>
      <c r="O211" s="4" t="e">
        <f t="shared" si="39"/>
        <v>#N/A</v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>
        <f t="shared" si="38"/>
        <v>211</v>
      </c>
      <c r="O212" s="4" t="e">
        <f t="shared" si="39"/>
        <v>#N/A</v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>
        <f t="shared" si="38"/>
        <v>212</v>
      </c>
      <c r="O213" s="4" t="e">
        <f t="shared" si="39"/>
        <v>#N/A</v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>
        <f t="shared" si="38"/>
        <v>213</v>
      </c>
      <c r="O214" s="4" t="e">
        <f t="shared" si="39"/>
        <v>#N/A</v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>
        <f t="shared" si="38"/>
        <v>214</v>
      </c>
      <c r="O215" s="4" t="e">
        <f t="shared" si="39"/>
        <v>#N/A</v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>
        <f t="shared" si="38"/>
        <v>215</v>
      </c>
      <c r="O216" s="4" t="e">
        <f t="shared" si="39"/>
        <v>#N/A</v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>
        <f t="shared" si="38"/>
        <v>216</v>
      </c>
      <c r="O217" s="4" t="e">
        <f t="shared" si="39"/>
        <v>#N/A</v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>
        <f t="shared" si="38"/>
        <v>217</v>
      </c>
      <c r="O218" s="4" t="e">
        <f t="shared" si="39"/>
        <v>#N/A</v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>
        <f t="shared" si="38"/>
        <v>218</v>
      </c>
      <c r="O219" s="4" t="e">
        <f t="shared" si="39"/>
        <v>#N/A</v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>
        <f t="shared" si="38"/>
        <v>219</v>
      </c>
      <c r="O220" s="4" t="e">
        <f t="shared" si="39"/>
        <v>#N/A</v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>
        <f t="shared" si="38"/>
        <v>220</v>
      </c>
      <c r="O221" s="4" t="e">
        <f t="shared" si="39"/>
        <v>#N/A</v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>
        <f t="shared" si="38"/>
        <v>221</v>
      </c>
      <c r="O222" s="4" t="e">
        <f t="shared" si="39"/>
        <v>#N/A</v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>
        <f t="shared" si="38"/>
        <v>222</v>
      </c>
      <c r="O223" s="4" t="e">
        <f t="shared" si="39"/>
        <v>#N/A</v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>
        <f t="shared" si="38"/>
        <v>223</v>
      </c>
      <c r="O224" s="4" t="e">
        <f t="shared" si="39"/>
        <v>#N/A</v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>
        <f t="shared" si="38"/>
        <v>224</v>
      </c>
      <c r="O225" s="4" t="e">
        <f t="shared" si="39"/>
        <v>#N/A</v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>
        <f t="shared" si="38"/>
        <v>225</v>
      </c>
      <c r="O226" s="4" t="e">
        <f t="shared" si="39"/>
        <v>#N/A</v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>
        <f t="shared" si="38"/>
        <v>226</v>
      </c>
      <c r="O227" s="4" t="e">
        <f t="shared" si="39"/>
        <v>#N/A</v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>
        <f t="shared" si="38"/>
        <v>227</v>
      </c>
      <c r="O228" s="4" t="e">
        <f t="shared" si="39"/>
        <v>#N/A</v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>
        <f t="shared" si="38"/>
        <v>228</v>
      </c>
      <c r="O229" s="4" t="e">
        <f t="shared" si="39"/>
        <v>#N/A</v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>
        <f t="shared" si="38"/>
        <v>229</v>
      </c>
      <c r="O230" s="4" t="e">
        <f t="shared" si="39"/>
        <v>#N/A</v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>
        <f t="shared" si="38"/>
        <v>230</v>
      </c>
      <c r="O231" s="4" t="e">
        <f t="shared" si="39"/>
        <v>#N/A</v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>
        <f t="shared" si="38"/>
        <v>231</v>
      </c>
      <c r="O232" s="4" t="e">
        <f t="shared" si="39"/>
        <v>#N/A</v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>
        <f t="shared" si="38"/>
        <v>232</v>
      </c>
      <c r="O233" s="4" t="e">
        <f t="shared" si="39"/>
        <v>#N/A</v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>
        <f t="shared" si="38"/>
        <v>233</v>
      </c>
      <c r="O234" s="4" t="e">
        <f t="shared" si="39"/>
        <v>#N/A</v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>
        <f t="shared" si="38"/>
        <v>234</v>
      </c>
      <c r="O235" s="4" t="e">
        <f t="shared" si="39"/>
        <v>#N/A</v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>
        <f t="shared" si="38"/>
        <v>235</v>
      </c>
      <c r="O236" s="4" t="e">
        <f t="shared" si="39"/>
        <v>#N/A</v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>
        <f t="shared" si="38"/>
        <v>236</v>
      </c>
      <c r="O237" s="4" t="e">
        <f t="shared" si="39"/>
        <v>#N/A</v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>
        <f t="shared" si="38"/>
        <v>237</v>
      </c>
      <c r="O238" s="4" t="e">
        <f t="shared" si="39"/>
        <v>#N/A</v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>
        <f t="shared" si="38"/>
        <v>238</v>
      </c>
      <c r="O239" s="4" t="e">
        <f t="shared" si="39"/>
        <v>#N/A</v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>
        <f t="shared" si="38"/>
        <v>239</v>
      </c>
      <c r="O240" s="4" t="e">
        <f t="shared" si="39"/>
        <v>#N/A</v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>
        <f t="shared" si="38"/>
        <v>240</v>
      </c>
      <c r="O241" s="4" t="e">
        <f t="shared" si="39"/>
        <v>#N/A</v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>
        <f t="shared" si="38"/>
        <v>241</v>
      </c>
      <c r="O242" s="4" t="e">
        <f t="shared" si="39"/>
        <v>#N/A</v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>
        <f t="shared" si="38"/>
        <v>242</v>
      </c>
      <c r="O243" s="4" t="e">
        <f t="shared" si="39"/>
        <v>#N/A</v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>
        <f t="shared" si="38"/>
        <v>243</v>
      </c>
      <c r="O244" s="4" t="e">
        <f t="shared" si="39"/>
        <v>#N/A</v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>
        <f t="shared" si="38"/>
        <v>244</v>
      </c>
      <c r="O245" s="4" t="e">
        <f t="shared" si="39"/>
        <v>#N/A</v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>
        <f t="shared" si="38"/>
        <v>245</v>
      </c>
      <c r="O246" s="4" t="e">
        <f t="shared" si="39"/>
        <v>#N/A</v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>
        <f t="shared" si="38"/>
        <v>246</v>
      </c>
      <c r="O247" s="4" t="e">
        <f t="shared" si="39"/>
        <v>#N/A</v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>
        <f t="shared" si="38"/>
        <v>247</v>
      </c>
      <c r="O248" s="4" t="e">
        <f t="shared" si="39"/>
        <v>#N/A</v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>
        <f t="shared" si="38"/>
        <v>248</v>
      </c>
      <c r="O249" s="4" t="e">
        <f t="shared" si="39"/>
        <v>#N/A</v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>
        <f t="shared" si="38"/>
        <v>249</v>
      </c>
      <c r="O250" s="4" t="e">
        <f t="shared" si="39"/>
        <v>#N/A</v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>
        <f t="shared" si="38"/>
        <v>250</v>
      </c>
      <c r="O251" s="4" t="e">
        <f t="shared" si="39"/>
        <v>#N/A</v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>
        <f t="shared" si="38"/>
        <v>251</v>
      </c>
      <c r="O252" s="4" t="e">
        <f t="shared" si="39"/>
        <v>#N/A</v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>
        <f t="shared" si="38"/>
        <v>252</v>
      </c>
      <c r="O253" s="4" t="e">
        <f t="shared" si="39"/>
        <v>#N/A</v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>
        <f t="shared" si="38"/>
        <v>253</v>
      </c>
      <c r="O254" s="4" t="e">
        <f t="shared" si="39"/>
        <v>#N/A</v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>
        <f t="shared" si="38"/>
        <v>254</v>
      </c>
      <c r="O255" s="4" t="e">
        <f t="shared" si="39"/>
        <v>#N/A</v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>
        <f t="shared" si="38"/>
        <v>255</v>
      </c>
      <c r="O256" s="4" t="e">
        <f t="shared" si="39"/>
        <v>#N/A</v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>
        <f t="shared" si="38"/>
        <v>256</v>
      </c>
      <c r="O257" s="4" t="e">
        <f t="shared" si="39"/>
        <v>#N/A</v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>
        <f t="shared" si="38"/>
        <v>257</v>
      </c>
      <c r="O258" s="4" t="e">
        <f t="shared" si="39"/>
        <v>#N/A</v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>
        <f t="shared" ref="N259:N322" si="50">IF($B$20&gt;=K259,K259,"")</f>
        <v>258</v>
      </c>
      <c r="O259" s="4" t="e">
        <f t="shared" ref="O259:O322" si="51">IF(N259="","",IF(N259&lt;=$E$22,VLOOKUP($E$21,$I$1:$J$4,2,FALSE),VLOOKUP($F$21,$I$1:$J$4,2,FALSE)))</f>
        <v>#N/A</v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>
        <f t="shared" si="50"/>
        <v>259</v>
      </c>
      <c r="O260" s="4" t="e">
        <f t="shared" si="51"/>
        <v>#N/A</v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>
        <f t="shared" si="50"/>
        <v>260</v>
      </c>
      <c r="O261" s="4" t="e">
        <f t="shared" si="51"/>
        <v>#N/A</v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>
        <f t="shared" si="50"/>
        <v>261</v>
      </c>
      <c r="O262" s="4" t="e">
        <f t="shared" si="51"/>
        <v>#N/A</v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>
        <f t="shared" si="50"/>
        <v>262</v>
      </c>
      <c r="O263" s="4" t="e">
        <f t="shared" si="51"/>
        <v>#N/A</v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>
        <f t="shared" si="50"/>
        <v>263</v>
      </c>
      <c r="O264" s="4" t="e">
        <f t="shared" si="51"/>
        <v>#N/A</v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>
        <f t="shared" si="50"/>
        <v>264</v>
      </c>
      <c r="O265" s="4" t="e">
        <f t="shared" si="51"/>
        <v>#N/A</v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>
        <f t="shared" si="50"/>
        <v>265</v>
      </c>
      <c r="O266" s="4" t="e">
        <f t="shared" si="51"/>
        <v>#N/A</v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>
        <f t="shared" si="50"/>
        <v>266</v>
      </c>
      <c r="O267" s="4" t="e">
        <f t="shared" si="51"/>
        <v>#N/A</v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>
        <f t="shared" si="50"/>
        <v>267</v>
      </c>
      <c r="O268" s="4" t="e">
        <f t="shared" si="51"/>
        <v>#N/A</v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>
        <f t="shared" si="50"/>
        <v>268</v>
      </c>
      <c r="O269" s="4" t="e">
        <f t="shared" si="51"/>
        <v>#N/A</v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>
        <f t="shared" si="50"/>
        <v>269</v>
      </c>
      <c r="O270" s="4" t="e">
        <f t="shared" si="51"/>
        <v>#N/A</v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>
        <f t="shared" si="50"/>
        <v>270</v>
      </c>
      <c r="O271" s="4" t="e">
        <f t="shared" si="51"/>
        <v>#N/A</v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>
        <f t="shared" si="50"/>
        <v>271</v>
      </c>
      <c r="O272" s="4" t="e">
        <f t="shared" si="51"/>
        <v>#N/A</v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>
        <f t="shared" si="50"/>
        <v>272</v>
      </c>
      <c r="O273" s="4" t="e">
        <f t="shared" si="51"/>
        <v>#N/A</v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>
        <f t="shared" si="50"/>
        <v>273</v>
      </c>
      <c r="O274" s="4" t="e">
        <f t="shared" si="51"/>
        <v>#N/A</v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>
        <f t="shared" si="50"/>
        <v>274</v>
      </c>
      <c r="O275" s="4" t="e">
        <f t="shared" si="51"/>
        <v>#N/A</v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>
        <f t="shared" si="50"/>
        <v>275</v>
      </c>
      <c r="O276" s="4" t="e">
        <f t="shared" si="51"/>
        <v>#N/A</v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>
        <f t="shared" si="50"/>
        <v>276</v>
      </c>
      <c r="O277" s="4" t="e">
        <f t="shared" si="51"/>
        <v>#N/A</v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>
        <f t="shared" si="50"/>
        <v>277</v>
      </c>
      <c r="O278" s="4" t="e">
        <f t="shared" si="51"/>
        <v>#N/A</v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>
        <f t="shared" si="50"/>
        <v>278</v>
      </c>
      <c r="O279" s="4" t="e">
        <f t="shared" si="51"/>
        <v>#N/A</v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>
        <f t="shared" si="50"/>
        <v>279</v>
      </c>
      <c r="O280" s="4" t="e">
        <f t="shared" si="51"/>
        <v>#N/A</v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>
        <f t="shared" si="50"/>
        <v>280</v>
      </c>
      <c r="O281" s="4" t="e">
        <f t="shared" si="51"/>
        <v>#N/A</v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>
        <f t="shared" si="50"/>
        <v>281</v>
      </c>
      <c r="O282" s="4" t="e">
        <f t="shared" si="51"/>
        <v>#N/A</v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>
        <f t="shared" si="50"/>
        <v>282</v>
      </c>
      <c r="O283" s="4" t="e">
        <f t="shared" si="51"/>
        <v>#N/A</v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>
        <f t="shared" si="50"/>
        <v>283</v>
      </c>
      <c r="O284" s="4" t="e">
        <f t="shared" si="51"/>
        <v>#N/A</v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>
        <f t="shared" si="50"/>
        <v>284</v>
      </c>
      <c r="O285" s="4" t="e">
        <f t="shared" si="51"/>
        <v>#N/A</v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>
        <f t="shared" si="50"/>
        <v>285</v>
      </c>
      <c r="O286" s="4" t="e">
        <f t="shared" si="51"/>
        <v>#N/A</v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>
        <f t="shared" si="50"/>
        <v>286</v>
      </c>
      <c r="O287" s="4" t="e">
        <f t="shared" si="51"/>
        <v>#N/A</v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>
        <f t="shared" si="50"/>
        <v>287</v>
      </c>
      <c r="O288" s="4" t="e">
        <f t="shared" si="51"/>
        <v>#N/A</v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>
        <f t="shared" si="50"/>
        <v>288</v>
      </c>
      <c r="O289" s="4" t="e">
        <f t="shared" si="51"/>
        <v>#N/A</v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>
        <f t="shared" si="50"/>
        <v>289</v>
      </c>
      <c r="O290" s="4" t="e">
        <f t="shared" si="51"/>
        <v>#N/A</v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>
        <f t="shared" si="50"/>
        <v>290</v>
      </c>
      <c r="O291" s="4" t="e">
        <f t="shared" si="51"/>
        <v>#N/A</v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>
        <f t="shared" si="50"/>
        <v>291</v>
      </c>
      <c r="O292" s="4" t="e">
        <f t="shared" si="51"/>
        <v>#N/A</v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>
        <f t="shared" si="50"/>
        <v>292</v>
      </c>
      <c r="O293" s="4" t="e">
        <f t="shared" si="51"/>
        <v>#N/A</v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>
        <f t="shared" si="50"/>
        <v>293</v>
      </c>
      <c r="O294" s="4" t="e">
        <f t="shared" si="51"/>
        <v>#N/A</v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>
        <f t="shared" si="50"/>
        <v>294</v>
      </c>
      <c r="O295" s="4" t="e">
        <f t="shared" si="51"/>
        <v>#N/A</v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>
        <f t="shared" si="50"/>
        <v>295</v>
      </c>
      <c r="O296" s="4" t="e">
        <f t="shared" si="51"/>
        <v>#N/A</v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>
        <f t="shared" si="50"/>
        <v>296</v>
      </c>
      <c r="O297" s="4" t="e">
        <f t="shared" si="51"/>
        <v>#N/A</v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>
        <f t="shared" si="50"/>
        <v>297</v>
      </c>
      <c r="O298" s="4" t="e">
        <f t="shared" si="51"/>
        <v>#N/A</v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>
        <f t="shared" si="50"/>
        <v>298</v>
      </c>
      <c r="O299" s="4" t="e">
        <f t="shared" si="51"/>
        <v>#N/A</v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>
        <f t="shared" si="50"/>
        <v>299</v>
      </c>
      <c r="O300" s="4" t="e">
        <f t="shared" si="51"/>
        <v>#N/A</v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>
        <f t="shared" si="50"/>
        <v>300</v>
      </c>
      <c r="O301" s="4" t="e">
        <f t="shared" si="51"/>
        <v>#N/A</v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>
        <f t="shared" si="50"/>
        <v>301</v>
      </c>
      <c r="O302" s="4" t="e">
        <f t="shared" si="51"/>
        <v>#N/A</v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>
        <f t="shared" si="50"/>
        <v>302</v>
      </c>
      <c r="O303" s="4" t="e">
        <f t="shared" si="51"/>
        <v>#N/A</v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>
        <f t="shared" si="50"/>
        <v>303</v>
      </c>
      <c r="O304" s="4" t="e">
        <f t="shared" si="51"/>
        <v>#N/A</v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>
        <f t="shared" si="50"/>
        <v>304</v>
      </c>
      <c r="O305" s="4" t="e">
        <f t="shared" si="51"/>
        <v>#N/A</v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>
        <f t="shared" si="50"/>
        <v>305</v>
      </c>
      <c r="O306" s="4" t="e">
        <f t="shared" si="51"/>
        <v>#N/A</v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>
        <f t="shared" si="50"/>
        <v>306</v>
      </c>
      <c r="O307" s="4" t="e">
        <f t="shared" si="51"/>
        <v>#N/A</v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>
        <f t="shared" si="50"/>
        <v>307</v>
      </c>
      <c r="O308" s="4" t="e">
        <f t="shared" si="51"/>
        <v>#N/A</v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>
        <f t="shared" si="50"/>
        <v>308</v>
      </c>
      <c r="O309" s="4" t="e">
        <f t="shared" si="51"/>
        <v>#N/A</v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>
        <f t="shared" si="50"/>
        <v>309</v>
      </c>
      <c r="O310" s="4" t="e">
        <f t="shared" si="51"/>
        <v>#N/A</v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>
        <f t="shared" si="50"/>
        <v>310</v>
      </c>
      <c r="O311" s="4" t="e">
        <f t="shared" si="51"/>
        <v>#N/A</v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>
        <f t="shared" si="50"/>
        <v>311</v>
      </c>
      <c r="O312" s="4" t="e">
        <f t="shared" si="51"/>
        <v>#N/A</v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>
        <f t="shared" si="50"/>
        <v>312</v>
      </c>
      <c r="O313" s="4" t="e">
        <f t="shared" si="51"/>
        <v>#N/A</v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>
        <f t="shared" si="50"/>
        <v>313</v>
      </c>
      <c r="O314" s="4" t="e">
        <f t="shared" si="51"/>
        <v>#N/A</v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>
        <f t="shared" si="50"/>
        <v>314</v>
      </c>
      <c r="O315" s="4" t="e">
        <f t="shared" si="51"/>
        <v>#N/A</v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>
        <f t="shared" si="50"/>
        <v>315</v>
      </c>
      <c r="O316" s="4" t="e">
        <f t="shared" si="51"/>
        <v>#N/A</v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>
        <f t="shared" si="50"/>
        <v>316</v>
      </c>
      <c r="O317" s="4" t="e">
        <f t="shared" si="51"/>
        <v>#N/A</v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>
        <f t="shared" si="50"/>
        <v>317</v>
      </c>
      <c r="O318" s="4" t="e">
        <f t="shared" si="51"/>
        <v>#N/A</v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>
        <f t="shared" si="50"/>
        <v>318</v>
      </c>
      <c r="O319" s="4" t="e">
        <f t="shared" si="51"/>
        <v>#N/A</v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>
        <f t="shared" si="50"/>
        <v>319</v>
      </c>
      <c r="O320" s="4" t="e">
        <f t="shared" si="51"/>
        <v>#N/A</v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>
        <f t="shared" si="50"/>
        <v>320</v>
      </c>
      <c r="O321" s="4" t="e">
        <f t="shared" si="51"/>
        <v>#N/A</v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>
        <f t="shared" si="50"/>
        <v>321</v>
      </c>
      <c r="O322" s="4" t="e">
        <f t="shared" si="51"/>
        <v>#N/A</v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>
        <f t="shared" ref="N323:N386" si="62">IF($B$20&gt;=K323,K323,"")</f>
        <v>322</v>
      </c>
      <c r="O323" s="4" t="e">
        <f t="shared" ref="O323:O386" si="63">IF(N323="","",IF(N323&lt;=$E$22,VLOOKUP($E$21,$I$1:$J$4,2,FALSE),VLOOKUP($F$21,$I$1:$J$4,2,FALSE)))</f>
        <v>#N/A</v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>
        <f t="shared" si="62"/>
        <v>323</v>
      </c>
      <c r="O324" s="4" t="e">
        <f t="shared" si="63"/>
        <v>#N/A</v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>
        <f t="shared" si="62"/>
        <v>324</v>
      </c>
      <c r="O325" s="4" t="e">
        <f t="shared" si="63"/>
        <v>#N/A</v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>
        <f t="shared" si="62"/>
        <v>325</v>
      </c>
      <c r="O326" s="4" t="e">
        <f t="shared" si="63"/>
        <v>#N/A</v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>
        <f t="shared" si="62"/>
        <v>326</v>
      </c>
      <c r="O327" s="4" t="e">
        <f t="shared" si="63"/>
        <v>#N/A</v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>
        <f t="shared" si="62"/>
        <v>327</v>
      </c>
      <c r="O328" s="4" t="e">
        <f t="shared" si="63"/>
        <v>#N/A</v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>
        <f t="shared" si="62"/>
        <v>328</v>
      </c>
      <c r="O329" s="4" t="e">
        <f t="shared" si="63"/>
        <v>#N/A</v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>
        <f t="shared" si="62"/>
        <v>329</v>
      </c>
      <c r="O330" s="4" t="e">
        <f t="shared" si="63"/>
        <v>#N/A</v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>
        <f t="shared" si="62"/>
        <v>330</v>
      </c>
      <c r="O331" s="4" t="e">
        <f t="shared" si="63"/>
        <v>#N/A</v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>
        <f t="shared" si="62"/>
        <v>331</v>
      </c>
      <c r="O332" s="4" t="e">
        <f t="shared" si="63"/>
        <v>#N/A</v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>
        <f t="shared" si="62"/>
        <v>332</v>
      </c>
      <c r="O333" s="4" t="e">
        <f t="shared" si="63"/>
        <v>#N/A</v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>
        <f t="shared" si="62"/>
        <v>333</v>
      </c>
      <c r="O334" s="4" t="e">
        <f t="shared" si="63"/>
        <v>#N/A</v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>
        <f t="shared" si="62"/>
        <v>334</v>
      </c>
      <c r="O335" s="4" t="e">
        <f t="shared" si="63"/>
        <v>#N/A</v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>
        <f t="shared" si="62"/>
        <v>335</v>
      </c>
      <c r="O336" s="4" t="e">
        <f t="shared" si="63"/>
        <v>#N/A</v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>
        <f t="shared" si="62"/>
        <v>336</v>
      </c>
      <c r="O337" s="4" t="e">
        <f t="shared" si="63"/>
        <v>#N/A</v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>
        <f t="shared" si="62"/>
        <v>337</v>
      </c>
      <c r="O338" s="4" t="e">
        <f t="shared" si="63"/>
        <v>#N/A</v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>
        <f t="shared" si="62"/>
        <v>338</v>
      </c>
      <c r="O339" s="4" t="e">
        <f t="shared" si="63"/>
        <v>#N/A</v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>
        <f t="shared" si="62"/>
        <v>339</v>
      </c>
      <c r="O340" s="4" t="e">
        <f t="shared" si="63"/>
        <v>#N/A</v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>
        <f t="shared" si="62"/>
        <v>340</v>
      </c>
      <c r="O341" s="4" t="e">
        <f t="shared" si="63"/>
        <v>#N/A</v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>
        <f t="shared" si="62"/>
        <v>341</v>
      </c>
      <c r="O342" s="4" t="e">
        <f t="shared" si="63"/>
        <v>#N/A</v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>
        <f t="shared" si="62"/>
        <v>342</v>
      </c>
      <c r="O343" s="4" t="e">
        <f t="shared" si="63"/>
        <v>#N/A</v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>
        <f t="shared" si="62"/>
        <v>343</v>
      </c>
      <c r="O344" s="4" t="e">
        <f t="shared" si="63"/>
        <v>#N/A</v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>
        <f t="shared" si="62"/>
        <v>344</v>
      </c>
      <c r="O345" s="4" t="e">
        <f t="shared" si="63"/>
        <v>#N/A</v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>
        <f t="shared" si="62"/>
        <v>345</v>
      </c>
      <c r="O346" s="4" t="e">
        <f t="shared" si="63"/>
        <v>#N/A</v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>
        <f t="shared" si="62"/>
        <v>346</v>
      </c>
      <c r="O347" s="4" t="e">
        <f t="shared" si="63"/>
        <v>#N/A</v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>
        <f t="shared" si="62"/>
        <v>347</v>
      </c>
      <c r="O348" s="4" t="e">
        <f t="shared" si="63"/>
        <v>#N/A</v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>
        <f t="shared" si="62"/>
        <v>348</v>
      </c>
      <c r="O349" s="4" t="e">
        <f t="shared" si="63"/>
        <v>#N/A</v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>
        <f t="shared" si="62"/>
        <v>349</v>
      </c>
      <c r="O350" s="4" t="e">
        <f t="shared" si="63"/>
        <v>#N/A</v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>
        <f t="shared" si="62"/>
        <v>350</v>
      </c>
      <c r="O351" s="4" t="e">
        <f t="shared" si="63"/>
        <v>#N/A</v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>
        <f t="shared" si="62"/>
        <v>351</v>
      </c>
      <c r="O352" s="4" t="e">
        <f t="shared" si="63"/>
        <v>#N/A</v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>
        <f t="shared" si="62"/>
        <v>352</v>
      </c>
      <c r="O353" s="4" t="e">
        <f t="shared" si="63"/>
        <v>#N/A</v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>
        <f t="shared" si="62"/>
        <v>353</v>
      </c>
      <c r="O354" s="4" t="e">
        <f t="shared" si="63"/>
        <v>#N/A</v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>
        <f t="shared" si="62"/>
        <v>354</v>
      </c>
      <c r="O355" s="4" t="e">
        <f t="shared" si="63"/>
        <v>#N/A</v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>
        <f t="shared" si="62"/>
        <v>355</v>
      </c>
      <c r="O356" s="4" t="e">
        <f t="shared" si="63"/>
        <v>#N/A</v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>
        <f t="shared" si="62"/>
        <v>356</v>
      </c>
      <c r="O357" s="4" t="e">
        <f t="shared" si="63"/>
        <v>#N/A</v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>
        <f t="shared" si="62"/>
        <v>357</v>
      </c>
      <c r="O358" s="4" t="e">
        <f t="shared" si="63"/>
        <v>#N/A</v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>
        <f t="shared" si="62"/>
        <v>358</v>
      </c>
      <c r="O359" s="4" t="e">
        <f t="shared" si="63"/>
        <v>#N/A</v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>
        <f t="shared" si="62"/>
        <v>359</v>
      </c>
      <c r="O360" s="4" t="e">
        <f t="shared" si="63"/>
        <v>#N/A</v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>
        <f t="shared" si="62"/>
        <v>360</v>
      </c>
      <c r="O361" s="4" t="e">
        <f t="shared" si="63"/>
        <v>#N/A</v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>
        <f t="shared" si="62"/>
        <v>361</v>
      </c>
      <c r="O362" s="4" t="e">
        <f t="shared" si="63"/>
        <v>#N/A</v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>
        <f t="shared" si="62"/>
        <v>362</v>
      </c>
      <c r="O363" s="4" t="e">
        <f t="shared" si="63"/>
        <v>#N/A</v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>
        <f t="shared" si="62"/>
        <v>363</v>
      </c>
      <c r="O364" s="4" t="e">
        <f t="shared" si="63"/>
        <v>#N/A</v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>
        <f t="shared" si="62"/>
        <v>364</v>
      </c>
      <c r="O365" s="4" t="e">
        <f t="shared" si="63"/>
        <v>#N/A</v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>
        <f t="shared" si="62"/>
        <v>365</v>
      </c>
      <c r="O366" s="4" t="e">
        <f t="shared" si="63"/>
        <v>#N/A</v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>
        <f t="shared" si="62"/>
        <v>366</v>
      </c>
      <c r="O367" s="4" t="e">
        <f t="shared" si="63"/>
        <v>#N/A</v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>
        <f t="shared" si="62"/>
        <v>367</v>
      </c>
      <c r="O368" s="4" t="e">
        <f t="shared" si="63"/>
        <v>#N/A</v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>
        <f t="shared" si="62"/>
        <v>368</v>
      </c>
      <c r="O369" s="4" t="e">
        <f t="shared" si="63"/>
        <v>#N/A</v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>
        <f t="shared" si="62"/>
        <v>369</v>
      </c>
      <c r="O370" s="4" t="e">
        <f t="shared" si="63"/>
        <v>#N/A</v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>
        <f t="shared" si="62"/>
        <v>370</v>
      </c>
      <c r="O371" s="4" t="e">
        <f t="shared" si="63"/>
        <v>#N/A</v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>
        <f t="shared" si="62"/>
        <v>371</v>
      </c>
      <c r="O372" s="4" t="e">
        <f t="shared" si="63"/>
        <v>#N/A</v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>
        <f t="shared" si="62"/>
        <v>372</v>
      </c>
      <c r="O373" s="4" t="e">
        <f t="shared" si="63"/>
        <v>#N/A</v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>
        <f t="shared" si="62"/>
        <v>373</v>
      </c>
      <c r="O374" s="4" t="e">
        <f t="shared" si="63"/>
        <v>#N/A</v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>
        <f t="shared" si="62"/>
        <v>374</v>
      </c>
      <c r="O375" s="4" t="e">
        <f t="shared" si="63"/>
        <v>#N/A</v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>
        <f t="shared" si="62"/>
        <v>375</v>
      </c>
      <c r="O376" s="4" t="e">
        <f t="shared" si="63"/>
        <v>#N/A</v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>
        <f t="shared" si="62"/>
        <v>376</v>
      </c>
      <c r="O377" s="4" t="e">
        <f t="shared" si="63"/>
        <v>#N/A</v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>
        <f t="shared" si="62"/>
        <v>377</v>
      </c>
      <c r="O378" s="4" t="e">
        <f t="shared" si="63"/>
        <v>#N/A</v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>
        <f t="shared" si="62"/>
        <v>378</v>
      </c>
      <c r="O379" s="4" t="e">
        <f t="shared" si="63"/>
        <v>#N/A</v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>
        <f t="shared" si="62"/>
        <v>379</v>
      </c>
      <c r="O380" s="4" t="e">
        <f t="shared" si="63"/>
        <v>#N/A</v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>
        <f t="shared" si="62"/>
        <v>380</v>
      </c>
      <c r="O381" s="4" t="e">
        <f t="shared" si="63"/>
        <v>#N/A</v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>
        <f t="shared" si="62"/>
        <v>381</v>
      </c>
      <c r="O382" s="4" t="e">
        <f t="shared" si="63"/>
        <v>#N/A</v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>
        <f t="shared" si="62"/>
        <v>382</v>
      </c>
      <c r="O383" s="4" t="e">
        <f t="shared" si="63"/>
        <v>#N/A</v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>
        <f t="shared" si="62"/>
        <v>383</v>
      </c>
      <c r="O384" s="4" t="e">
        <f t="shared" si="63"/>
        <v>#N/A</v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>
        <f t="shared" si="62"/>
        <v>384</v>
      </c>
      <c r="O385" s="4" t="e">
        <f t="shared" si="63"/>
        <v>#N/A</v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>
        <f t="shared" si="62"/>
        <v>385</v>
      </c>
      <c r="O386" s="4" t="e">
        <f t="shared" si="63"/>
        <v>#N/A</v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>
        <f t="shared" ref="N387:N450" si="74">IF($B$20&gt;=K387,K387,"")</f>
        <v>386</v>
      </c>
      <c r="O387" s="4" t="e">
        <f t="shared" ref="O387:O450" si="75">IF(N387="","",IF(N387&lt;=$E$22,VLOOKUP($E$21,$I$1:$J$4,2,FALSE),VLOOKUP($F$21,$I$1:$J$4,2,FALSE)))</f>
        <v>#N/A</v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>
        <f t="shared" si="74"/>
        <v>387</v>
      </c>
      <c r="O388" s="4" t="e">
        <f t="shared" si="75"/>
        <v>#N/A</v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>
        <f t="shared" si="74"/>
        <v>388</v>
      </c>
      <c r="O389" s="4" t="e">
        <f t="shared" si="75"/>
        <v>#N/A</v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>
        <f t="shared" si="74"/>
        <v>389</v>
      </c>
      <c r="O390" s="4" t="e">
        <f t="shared" si="75"/>
        <v>#N/A</v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>
        <f t="shared" si="74"/>
        <v>390</v>
      </c>
      <c r="O391" s="4" t="e">
        <f t="shared" si="75"/>
        <v>#N/A</v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>
        <f t="shared" si="74"/>
        <v>391</v>
      </c>
      <c r="O392" s="4" t="e">
        <f t="shared" si="75"/>
        <v>#N/A</v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>
        <f t="shared" si="74"/>
        <v>392</v>
      </c>
      <c r="O393" s="4" t="e">
        <f t="shared" si="75"/>
        <v>#N/A</v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>
        <f t="shared" si="74"/>
        <v>393</v>
      </c>
      <c r="O394" s="4" t="e">
        <f t="shared" si="75"/>
        <v>#N/A</v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>
        <f t="shared" si="74"/>
        <v>394</v>
      </c>
      <c r="O395" s="4" t="e">
        <f t="shared" si="75"/>
        <v>#N/A</v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>
        <f t="shared" si="74"/>
        <v>395</v>
      </c>
      <c r="O396" s="4" t="e">
        <f t="shared" si="75"/>
        <v>#N/A</v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>
        <f t="shared" si="74"/>
        <v>396</v>
      </c>
      <c r="O397" s="4" t="e">
        <f t="shared" si="75"/>
        <v>#N/A</v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>
        <f t="shared" si="74"/>
        <v>397</v>
      </c>
      <c r="O398" s="4" t="e">
        <f t="shared" si="75"/>
        <v>#N/A</v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>
        <f t="shared" si="74"/>
        <v>398</v>
      </c>
      <c r="O399" s="4" t="e">
        <f t="shared" si="75"/>
        <v>#N/A</v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>
        <f t="shared" si="74"/>
        <v>399</v>
      </c>
      <c r="O400" s="4" t="e">
        <f t="shared" si="75"/>
        <v>#N/A</v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>
        <f t="shared" si="74"/>
        <v>400</v>
      </c>
      <c r="O401" s="4" t="e">
        <f t="shared" si="75"/>
        <v>#N/A</v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>
        <f t="shared" si="74"/>
        <v>401</v>
      </c>
      <c r="O402" s="4" t="e">
        <f t="shared" si="75"/>
        <v>#N/A</v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>
        <f t="shared" si="74"/>
        <v>402</v>
      </c>
      <c r="O403" s="4" t="e">
        <f t="shared" si="75"/>
        <v>#N/A</v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>
        <f t="shared" si="74"/>
        <v>403</v>
      </c>
      <c r="O404" s="4" t="e">
        <f t="shared" si="75"/>
        <v>#N/A</v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>
        <f t="shared" si="74"/>
        <v>404</v>
      </c>
      <c r="O405" s="4" t="e">
        <f t="shared" si="75"/>
        <v>#N/A</v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>
        <f t="shared" si="74"/>
        <v>405</v>
      </c>
      <c r="O406" s="4" t="e">
        <f t="shared" si="75"/>
        <v>#N/A</v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>
        <f t="shared" si="74"/>
        <v>406</v>
      </c>
      <c r="O407" s="4" t="e">
        <f t="shared" si="75"/>
        <v>#N/A</v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>
        <f t="shared" si="74"/>
        <v>407</v>
      </c>
      <c r="O408" s="4" t="e">
        <f t="shared" si="75"/>
        <v>#N/A</v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>
        <f t="shared" si="74"/>
        <v>408</v>
      </c>
      <c r="O409" s="4" t="e">
        <f t="shared" si="75"/>
        <v>#N/A</v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>
        <f t="shared" si="74"/>
        <v>409</v>
      </c>
      <c r="O410" s="4" t="e">
        <f t="shared" si="75"/>
        <v>#N/A</v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>
        <f t="shared" si="74"/>
        <v>410</v>
      </c>
      <c r="O411" s="4" t="e">
        <f t="shared" si="75"/>
        <v>#N/A</v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>
        <f t="shared" si="74"/>
        <v>411</v>
      </c>
      <c r="O412" s="4" t="e">
        <f t="shared" si="75"/>
        <v>#N/A</v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>
        <f t="shared" si="74"/>
        <v>412</v>
      </c>
      <c r="O413" s="4" t="e">
        <f t="shared" si="75"/>
        <v>#N/A</v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>
        <f t="shared" si="74"/>
        <v>413</v>
      </c>
      <c r="O414" s="4" t="e">
        <f t="shared" si="75"/>
        <v>#N/A</v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>
        <f t="shared" si="74"/>
        <v>414</v>
      </c>
      <c r="O415" s="4" t="e">
        <f t="shared" si="75"/>
        <v>#N/A</v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>
        <f t="shared" si="74"/>
        <v>415</v>
      </c>
      <c r="O416" s="4" t="e">
        <f t="shared" si="75"/>
        <v>#N/A</v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>
        <f t="shared" si="74"/>
        <v>416</v>
      </c>
      <c r="O417" s="4" t="e">
        <f t="shared" si="75"/>
        <v>#N/A</v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>
        <f t="shared" si="74"/>
        <v>417</v>
      </c>
      <c r="O418" s="4" t="e">
        <f t="shared" si="75"/>
        <v>#N/A</v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>
        <f t="shared" si="74"/>
        <v>418</v>
      </c>
      <c r="O419" s="4" t="e">
        <f t="shared" si="75"/>
        <v>#N/A</v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>
        <f t="shared" si="74"/>
        <v>419</v>
      </c>
      <c r="O420" s="4" t="e">
        <f t="shared" si="75"/>
        <v>#N/A</v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>
        <f t="shared" si="74"/>
        <v>420</v>
      </c>
      <c r="O421" s="4" t="e">
        <f t="shared" si="75"/>
        <v>#N/A</v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>
        <f t="shared" si="74"/>
        <v>421</v>
      </c>
      <c r="O422" s="4" t="e">
        <f t="shared" si="75"/>
        <v>#N/A</v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>
        <f t="shared" si="74"/>
        <v>422</v>
      </c>
      <c r="O423" s="4" t="e">
        <f t="shared" si="75"/>
        <v>#N/A</v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>
        <f t="shared" si="74"/>
        <v>423</v>
      </c>
      <c r="O424" s="4" t="e">
        <f t="shared" si="75"/>
        <v>#N/A</v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>
        <f t="shared" si="74"/>
        <v>424</v>
      </c>
      <c r="O425" s="4" t="e">
        <f t="shared" si="75"/>
        <v>#N/A</v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>
        <f t="shared" si="74"/>
        <v>425</v>
      </c>
      <c r="O426" s="4" t="e">
        <f t="shared" si="75"/>
        <v>#N/A</v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>
        <f t="shared" si="74"/>
        <v>426</v>
      </c>
      <c r="O427" s="4" t="e">
        <f t="shared" si="75"/>
        <v>#N/A</v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>
        <f t="shared" si="74"/>
        <v>427</v>
      </c>
      <c r="O428" s="4" t="e">
        <f t="shared" si="75"/>
        <v>#N/A</v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>
        <f t="shared" si="74"/>
        <v>428</v>
      </c>
      <c r="O429" s="4" t="e">
        <f t="shared" si="75"/>
        <v>#N/A</v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>
        <f t="shared" si="74"/>
        <v>429</v>
      </c>
      <c r="O430" s="4" t="e">
        <f t="shared" si="75"/>
        <v>#N/A</v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>
        <f t="shared" si="74"/>
        <v>430</v>
      </c>
      <c r="O431" s="4" t="e">
        <f t="shared" si="75"/>
        <v>#N/A</v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>
        <f t="shared" si="74"/>
        <v>431</v>
      </c>
      <c r="O432" s="4" t="e">
        <f t="shared" si="75"/>
        <v>#N/A</v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>
        <f t="shared" si="74"/>
        <v>432</v>
      </c>
      <c r="O433" s="4" t="e">
        <f t="shared" si="75"/>
        <v>#N/A</v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3.2" x14ac:dyDescent="0.25"/>
  <cols>
    <col min="1" max="1" width="2.6640625" style="68" customWidth="1"/>
    <col min="2" max="3" width="22.6640625" style="68" customWidth="1"/>
    <col min="4" max="4" width="3.6640625" style="68" customWidth="1"/>
    <col min="5" max="6" width="22.6640625" style="68" customWidth="1"/>
    <col min="7" max="7" width="2.6640625" style="68" customWidth="1"/>
    <col min="8" max="106" width="9.109375" style="49"/>
    <col min="107" max="256" width="9.109375" style="68"/>
    <col min="257" max="257" width="2.6640625" style="68" customWidth="1"/>
    <col min="258" max="259" width="22.6640625" style="68" customWidth="1"/>
    <col min="260" max="260" width="3.6640625" style="68" customWidth="1"/>
    <col min="261" max="262" width="22.6640625" style="68" customWidth="1"/>
    <col min="263" max="263" width="2.6640625" style="68" customWidth="1"/>
    <col min="264" max="512" width="9.109375" style="68"/>
    <col min="513" max="513" width="2.6640625" style="68" customWidth="1"/>
    <col min="514" max="515" width="22.6640625" style="68" customWidth="1"/>
    <col min="516" max="516" width="3.6640625" style="68" customWidth="1"/>
    <col min="517" max="518" width="22.6640625" style="68" customWidth="1"/>
    <col min="519" max="519" width="2.6640625" style="68" customWidth="1"/>
    <col min="520" max="768" width="9.109375" style="68"/>
    <col min="769" max="769" width="2.6640625" style="68" customWidth="1"/>
    <col min="770" max="771" width="22.6640625" style="68" customWidth="1"/>
    <col min="772" max="772" width="3.6640625" style="68" customWidth="1"/>
    <col min="773" max="774" width="22.6640625" style="68" customWidth="1"/>
    <col min="775" max="775" width="2.6640625" style="68" customWidth="1"/>
    <col min="776" max="1024" width="9.109375" style="68"/>
    <col min="1025" max="1025" width="2.6640625" style="68" customWidth="1"/>
    <col min="1026" max="1027" width="22.6640625" style="68" customWidth="1"/>
    <col min="1028" max="1028" width="3.6640625" style="68" customWidth="1"/>
    <col min="1029" max="1030" width="22.6640625" style="68" customWidth="1"/>
    <col min="1031" max="1031" width="2.6640625" style="68" customWidth="1"/>
    <col min="1032" max="1280" width="9.109375" style="68"/>
    <col min="1281" max="1281" width="2.6640625" style="68" customWidth="1"/>
    <col min="1282" max="1283" width="22.6640625" style="68" customWidth="1"/>
    <col min="1284" max="1284" width="3.6640625" style="68" customWidth="1"/>
    <col min="1285" max="1286" width="22.6640625" style="68" customWidth="1"/>
    <col min="1287" max="1287" width="2.6640625" style="68" customWidth="1"/>
    <col min="1288" max="1536" width="9.109375" style="68"/>
    <col min="1537" max="1537" width="2.6640625" style="68" customWidth="1"/>
    <col min="1538" max="1539" width="22.6640625" style="68" customWidth="1"/>
    <col min="1540" max="1540" width="3.6640625" style="68" customWidth="1"/>
    <col min="1541" max="1542" width="22.6640625" style="68" customWidth="1"/>
    <col min="1543" max="1543" width="2.6640625" style="68" customWidth="1"/>
    <col min="1544" max="1792" width="9.109375" style="68"/>
    <col min="1793" max="1793" width="2.6640625" style="68" customWidth="1"/>
    <col min="1794" max="1795" width="22.6640625" style="68" customWidth="1"/>
    <col min="1796" max="1796" width="3.6640625" style="68" customWidth="1"/>
    <col min="1797" max="1798" width="22.6640625" style="68" customWidth="1"/>
    <col min="1799" max="1799" width="2.6640625" style="68" customWidth="1"/>
    <col min="1800" max="2048" width="9.109375" style="68"/>
    <col min="2049" max="2049" width="2.6640625" style="68" customWidth="1"/>
    <col min="2050" max="2051" width="22.6640625" style="68" customWidth="1"/>
    <col min="2052" max="2052" width="3.6640625" style="68" customWidth="1"/>
    <col min="2053" max="2054" width="22.6640625" style="68" customWidth="1"/>
    <col min="2055" max="2055" width="2.6640625" style="68" customWidth="1"/>
    <col min="2056" max="2304" width="9.109375" style="68"/>
    <col min="2305" max="2305" width="2.6640625" style="68" customWidth="1"/>
    <col min="2306" max="2307" width="22.6640625" style="68" customWidth="1"/>
    <col min="2308" max="2308" width="3.6640625" style="68" customWidth="1"/>
    <col min="2309" max="2310" width="22.6640625" style="68" customWidth="1"/>
    <col min="2311" max="2311" width="2.6640625" style="68" customWidth="1"/>
    <col min="2312" max="2560" width="9.109375" style="68"/>
    <col min="2561" max="2561" width="2.6640625" style="68" customWidth="1"/>
    <col min="2562" max="2563" width="22.6640625" style="68" customWidth="1"/>
    <col min="2564" max="2564" width="3.6640625" style="68" customWidth="1"/>
    <col min="2565" max="2566" width="22.6640625" style="68" customWidth="1"/>
    <col min="2567" max="2567" width="2.6640625" style="68" customWidth="1"/>
    <col min="2568" max="2816" width="9.109375" style="68"/>
    <col min="2817" max="2817" width="2.6640625" style="68" customWidth="1"/>
    <col min="2818" max="2819" width="22.6640625" style="68" customWidth="1"/>
    <col min="2820" max="2820" width="3.6640625" style="68" customWidth="1"/>
    <col min="2821" max="2822" width="22.6640625" style="68" customWidth="1"/>
    <col min="2823" max="2823" width="2.6640625" style="68" customWidth="1"/>
    <col min="2824" max="3072" width="9.109375" style="68"/>
    <col min="3073" max="3073" width="2.6640625" style="68" customWidth="1"/>
    <col min="3074" max="3075" width="22.6640625" style="68" customWidth="1"/>
    <col min="3076" max="3076" width="3.6640625" style="68" customWidth="1"/>
    <col min="3077" max="3078" width="22.6640625" style="68" customWidth="1"/>
    <col min="3079" max="3079" width="2.6640625" style="68" customWidth="1"/>
    <col min="3080" max="3328" width="9.109375" style="68"/>
    <col min="3329" max="3329" width="2.6640625" style="68" customWidth="1"/>
    <col min="3330" max="3331" width="22.6640625" style="68" customWidth="1"/>
    <col min="3332" max="3332" width="3.6640625" style="68" customWidth="1"/>
    <col min="3333" max="3334" width="22.6640625" style="68" customWidth="1"/>
    <col min="3335" max="3335" width="2.6640625" style="68" customWidth="1"/>
    <col min="3336" max="3584" width="9.109375" style="68"/>
    <col min="3585" max="3585" width="2.6640625" style="68" customWidth="1"/>
    <col min="3586" max="3587" width="22.6640625" style="68" customWidth="1"/>
    <col min="3588" max="3588" width="3.6640625" style="68" customWidth="1"/>
    <col min="3589" max="3590" width="22.6640625" style="68" customWidth="1"/>
    <col min="3591" max="3591" width="2.6640625" style="68" customWidth="1"/>
    <col min="3592" max="3840" width="9.109375" style="68"/>
    <col min="3841" max="3841" width="2.6640625" style="68" customWidth="1"/>
    <col min="3842" max="3843" width="22.6640625" style="68" customWidth="1"/>
    <col min="3844" max="3844" width="3.6640625" style="68" customWidth="1"/>
    <col min="3845" max="3846" width="22.6640625" style="68" customWidth="1"/>
    <col min="3847" max="3847" width="2.6640625" style="68" customWidth="1"/>
    <col min="3848" max="4096" width="9.109375" style="68"/>
    <col min="4097" max="4097" width="2.6640625" style="68" customWidth="1"/>
    <col min="4098" max="4099" width="22.6640625" style="68" customWidth="1"/>
    <col min="4100" max="4100" width="3.6640625" style="68" customWidth="1"/>
    <col min="4101" max="4102" width="22.6640625" style="68" customWidth="1"/>
    <col min="4103" max="4103" width="2.6640625" style="68" customWidth="1"/>
    <col min="4104" max="4352" width="9.109375" style="68"/>
    <col min="4353" max="4353" width="2.6640625" style="68" customWidth="1"/>
    <col min="4354" max="4355" width="22.6640625" style="68" customWidth="1"/>
    <col min="4356" max="4356" width="3.6640625" style="68" customWidth="1"/>
    <col min="4357" max="4358" width="22.6640625" style="68" customWidth="1"/>
    <col min="4359" max="4359" width="2.6640625" style="68" customWidth="1"/>
    <col min="4360" max="4608" width="9.109375" style="68"/>
    <col min="4609" max="4609" width="2.6640625" style="68" customWidth="1"/>
    <col min="4610" max="4611" width="22.6640625" style="68" customWidth="1"/>
    <col min="4612" max="4612" width="3.6640625" style="68" customWidth="1"/>
    <col min="4613" max="4614" width="22.6640625" style="68" customWidth="1"/>
    <col min="4615" max="4615" width="2.6640625" style="68" customWidth="1"/>
    <col min="4616" max="4864" width="9.109375" style="68"/>
    <col min="4865" max="4865" width="2.6640625" style="68" customWidth="1"/>
    <col min="4866" max="4867" width="22.6640625" style="68" customWidth="1"/>
    <col min="4868" max="4868" width="3.6640625" style="68" customWidth="1"/>
    <col min="4869" max="4870" width="22.6640625" style="68" customWidth="1"/>
    <col min="4871" max="4871" width="2.6640625" style="68" customWidth="1"/>
    <col min="4872" max="5120" width="9.109375" style="68"/>
    <col min="5121" max="5121" width="2.6640625" style="68" customWidth="1"/>
    <col min="5122" max="5123" width="22.6640625" style="68" customWidth="1"/>
    <col min="5124" max="5124" width="3.6640625" style="68" customWidth="1"/>
    <col min="5125" max="5126" width="22.6640625" style="68" customWidth="1"/>
    <col min="5127" max="5127" width="2.6640625" style="68" customWidth="1"/>
    <col min="5128" max="5376" width="9.109375" style="68"/>
    <col min="5377" max="5377" width="2.6640625" style="68" customWidth="1"/>
    <col min="5378" max="5379" width="22.6640625" style="68" customWidth="1"/>
    <col min="5380" max="5380" width="3.6640625" style="68" customWidth="1"/>
    <col min="5381" max="5382" width="22.6640625" style="68" customWidth="1"/>
    <col min="5383" max="5383" width="2.6640625" style="68" customWidth="1"/>
    <col min="5384" max="5632" width="9.109375" style="68"/>
    <col min="5633" max="5633" width="2.6640625" style="68" customWidth="1"/>
    <col min="5634" max="5635" width="22.6640625" style="68" customWidth="1"/>
    <col min="5636" max="5636" width="3.6640625" style="68" customWidth="1"/>
    <col min="5637" max="5638" width="22.6640625" style="68" customWidth="1"/>
    <col min="5639" max="5639" width="2.6640625" style="68" customWidth="1"/>
    <col min="5640" max="5888" width="9.109375" style="68"/>
    <col min="5889" max="5889" width="2.6640625" style="68" customWidth="1"/>
    <col min="5890" max="5891" width="22.6640625" style="68" customWidth="1"/>
    <col min="5892" max="5892" width="3.6640625" style="68" customWidth="1"/>
    <col min="5893" max="5894" width="22.6640625" style="68" customWidth="1"/>
    <col min="5895" max="5895" width="2.6640625" style="68" customWidth="1"/>
    <col min="5896" max="6144" width="9.109375" style="68"/>
    <col min="6145" max="6145" width="2.6640625" style="68" customWidth="1"/>
    <col min="6146" max="6147" width="22.6640625" style="68" customWidth="1"/>
    <col min="6148" max="6148" width="3.6640625" style="68" customWidth="1"/>
    <col min="6149" max="6150" width="22.6640625" style="68" customWidth="1"/>
    <col min="6151" max="6151" width="2.6640625" style="68" customWidth="1"/>
    <col min="6152" max="6400" width="9.109375" style="68"/>
    <col min="6401" max="6401" width="2.6640625" style="68" customWidth="1"/>
    <col min="6402" max="6403" width="22.6640625" style="68" customWidth="1"/>
    <col min="6404" max="6404" width="3.6640625" style="68" customWidth="1"/>
    <col min="6405" max="6406" width="22.6640625" style="68" customWidth="1"/>
    <col min="6407" max="6407" width="2.6640625" style="68" customWidth="1"/>
    <col min="6408" max="6656" width="9.109375" style="68"/>
    <col min="6657" max="6657" width="2.6640625" style="68" customWidth="1"/>
    <col min="6658" max="6659" width="22.6640625" style="68" customWidth="1"/>
    <col min="6660" max="6660" width="3.6640625" style="68" customWidth="1"/>
    <col min="6661" max="6662" width="22.6640625" style="68" customWidth="1"/>
    <col min="6663" max="6663" width="2.6640625" style="68" customWidth="1"/>
    <col min="6664" max="6912" width="9.109375" style="68"/>
    <col min="6913" max="6913" width="2.6640625" style="68" customWidth="1"/>
    <col min="6914" max="6915" width="22.6640625" style="68" customWidth="1"/>
    <col min="6916" max="6916" width="3.6640625" style="68" customWidth="1"/>
    <col min="6917" max="6918" width="22.6640625" style="68" customWidth="1"/>
    <col min="6919" max="6919" width="2.6640625" style="68" customWidth="1"/>
    <col min="6920" max="7168" width="9.109375" style="68"/>
    <col min="7169" max="7169" width="2.6640625" style="68" customWidth="1"/>
    <col min="7170" max="7171" width="22.6640625" style="68" customWidth="1"/>
    <col min="7172" max="7172" width="3.6640625" style="68" customWidth="1"/>
    <col min="7173" max="7174" width="22.6640625" style="68" customWidth="1"/>
    <col min="7175" max="7175" width="2.6640625" style="68" customWidth="1"/>
    <col min="7176" max="7424" width="9.109375" style="68"/>
    <col min="7425" max="7425" width="2.6640625" style="68" customWidth="1"/>
    <col min="7426" max="7427" width="22.6640625" style="68" customWidth="1"/>
    <col min="7428" max="7428" width="3.6640625" style="68" customWidth="1"/>
    <col min="7429" max="7430" width="22.6640625" style="68" customWidth="1"/>
    <col min="7431" max="7431" width="2.6640625" style="68" customWidth="1"/>
    <col min="7432" max="7680" width="9.109375" style="68"/>
    <col min="7681" max="7681" width="2.6640625" style="68" customWidth="1"/>
    <col min="7682" max="7683" width="22.6640625" style="68" customWidth="1"/>
    <col min="7684" max="7684" width="3.6640625" style="68" customWidth="1"/>
    <col min="7685" max="7686" width="22.6640625" style="68" customWidth="1"/>
    <col min="7687" max="7687" width="2.6640625" style="68" customWidth="1"/>
    <col min="7688" max="7936" width="9.109375" style="68"/>
    <col min="7937" max="7937" width="2.6640625" style="68" customWidth="1"/>
    <col min="7938" max="7939" width="22.6640625" style="68" customWidth="1"/>
    <col min="7940" max="7940" width="3.6640625" style="68" customWidth="1"/>
    <col min="7941" max="7942" width="22.6640625" style="68" customWidth="1"/>
    <col min="7943" max="7943" width="2.6640625" style="68" customWidth="1"/>
    <col min="7944" max="8192" width="9.109375" style="68"/>
    <col min="8193" max="8193" width="2.6640625" style="68" customWidth="1"/>
    <col min="8194" max="8195" width="22.6640625" style="68" customWidth="1"/>
    <col min="8196" max="8196" width="3.6640625" style="68" customWidth="1"/>
    <col min="8197" max="8198" width="22.6640625" style="68" customWidth="1"/>
    <col min="8199" max="8199" width="2.6640625" style="68" customWidth="1"/>
    <col min="8200" max="8448" width="9.109375" style="68"/>
    <col min="8449" max="8449" width="2.6640625" style="68" customWidth="1"/>
    <col min="8450" max="8451" width="22.6640625" style="68" customWidth="1"/>
    <col min="8452" max="8452" width="3.6640625" style="68" customWidth="1"/>
    <col min="8453" max="8454" width="22.6640625" style="68" customWidth="1"/>
    <col min="8455" max="8455" width="2.6640625" style="68" customWidth="1"/>
    <col min="8456" max="8704" width="9.109375" style="68"/>
    <col min="8705" max="8705" width="2.6640625" style="68" customWidth="1"/>
    <col min="8706" max="8707" width="22.6640625" style="68" customWidth="1"/>
    <col min="8708" max="8708" width="3.6640625" style="68" customWidth="1"/>
    <col min="8709" max="8710" width="22.6640625" style="68" customWidth="1"/>
    <col min="8711" max="8711" width="2.6640625" style="68" customWidth="1"/>
    <col min="8712" max="8960" width="9.109375" style="68"/>
    <col min="8961" max="8961" width="2.6640625" style="68" customWidth="1"/>
    <col min="8962" max="8963" width="22.6640625" style="68" customWidth="1"/>
    <col min="8964" max="8964" width="3.6640625" style="68" customWidth="1"/>
    <col min="8965" max="8966" width="22.6640625" style="68" customWidth="1"/>
    <col min="8967" max="8967" width="2.6640625" style="68" customWidth="1"/>
    <col min="8968" max="9216" width="9.109375" style="68"/>
    <col min="9217" max="9217" width="2.6640625" style="68" customWidth="1"/>
    <col min="9218" max="9219" width="22.6640625" style="68" customWidth="1"/>
    <col min="9220" max="9220" width="3.6640625" style="68" customWidth="1"/>
    <col min="9221" max="9222" width="22.6640625" style="68" customWidth="1"/>
    <col min="9223" max="9223" width="2.6640625" style="68" customWidth="1"/>
    <col min="9224" max="9472" width="9.109375" style="68"/>
    <col min="9473" max="9473" width="2.6640625" style="68" customWidth="1"/>
    <col min="9474" max="9475" width="22.6640625" style="68" customWidth="1"/>
    <col min="9476" max="9476" width="3.6640625" style="68" customWidth="1"/>
    <col min="9477" max="9478" width="22.6640625" style="68" customWidth="1"/>
    <col min="9479" max="9479" width="2.6640625" style="68" customWidth="1"/>
    <col min="9480" max="9728" width="9.109375" style="68"/>
    <col min="9729" max="9729" width="2.6640625" style="68" customWidth="1"/>
    <col min="9730" max="9731" width="22.6640625" style="68" customWidth="1"/>
    <col min="9732" max="9732" width="3.6640625" style="68" customWidth="1"/>
    <col min="9733" max="9734" width="22.6640625" style="68" customWidth="1"/>
    <col min="9735" max="9735" width="2.6640625" style="68" customWidth="1"/>
    <col min="9736" max="9984" width="9.109375" style="68"/>
    <col min="9985" max="9985" width="2.6640625" style="68" customWidth="1"/>
    <col min="9986" max="9987" width="22.6640625" style="68" customWidth="1"/>
    <col min="9988" max="9988" width="3.6640625" style="68" customWidth="1"/>
    <col min="9989" max="9990" width="22.6640625" style="68" customWidth="1"/>
    <col min="9991" max="9991" width="2.6640625" style="68" customWidth="1"/>
    <col min="9992" max="10240" width="9.109375" style="68"/>
    <col min="10241" max="10241" width="2.6640625" style="68" customWidth="1"/>
    <col min="10242" max="10243" width="22.6640625" style="68" customWidth="1"/>
    <col min="10244" max="10244" width="3.6640625" style="68" customWidth="1"/>
    <col min="10245" max="10246" width="22.6640625" style="68" customWidth="1"/>
    <col min="10247" max="10247" width="2.6640625" style="68" customWidth="1"/>
    <col min="10248" max="10496" width="9.109375" style="68"/>
    <col min="10497" max="10497" width="2.6640625" style="68" customWidth="1"/>
    <col min="10498" max="10499" width="22.6640625" style="68" customWidth="1"/>
    <col min="10500" max="10500" width="3.6640625" style="68" customWidth="1"/>
    <col min="10501" max="10502" width="22.6640625" style="68" customWidth="1"/>
    <col min="10503" max="10503" width="2.6640625" style="68" customWidth="1"/>
    <col min="10504" max="10752" width="9.109375" style="68"/>
    <col min="10753" max="10753" width="2.6640625" style="68" customWidth="1"/>
    <col min="10754" max="10755" width="22.6640625" style="68" customWidth="1"/>
    <col min="10756" max="10756" width="3.6640625" style="68" customWidth="1"/>
    <col min="10757" max="10758" width="22.6640625" style="68" customWidth="1"/>
    <col min="10759" max="10759" width="2.6640625" style="68" customWidth="1"/>
    <col min="10760" max="11008" width="9.109375" style="68"/>
    <col min="11009" max="11009" width="2.6640625" style="68" customWidth="1"/>
    <col min="11010" max="11011" width="22.6640625" style="68" customWidth="1"/>
    <col min="11012" max="11012" width="3.6640625" style="68" customWidth="1"/>
    <col min="11013" max="11014" width="22.6640625" style="68" customWidth="1"/>
    <col min="11015" max="11015" width="2.6640625" style="68" customWidth="1"/>
    <col min="11016" max="11264" width="9.109375" style="68"/>
    <col min="11265" max="11265" width="2.6640625" style="68" customWidth="1"/>
    <col min="11266" max="11267" width="22.6640625" style="68" customWidth="1"/>
    <col min="11268" max="11268" width="3.6640625" style="68" customWidth="1"/>
    <col min="11269" max="11270" width="22.6640625" style="68" customWidth="1"/>
    <col min="11271" max="11271" width="2.6640625" style="68" customWidth="1"/>
    <col min="11272" max="11520" width="9.109375" style="68"/>
    <col min="11521" max="11521" width="2.6640625" style="68" customWidth="1"/>
    <col min="11522" max="11523" width="22.6640625" style="68" customWidth="1"/>
    <col min="11524" max="11524" width="3.6640625" style="68" customWidth="1"/>
    <col min="11525" max="11526" width="22.6640625" style="68" customWidth="1"/>
    <col min="11527" max="11527" width="2.6640625" style="68" customWidth="1"/>
    <col min="11528" max="11776" width="9.109375" style="68"/>
    <col min="11777" max="11777" width="2.6640625" style="68" customWidth="1"/>
    <col min="11778" max="11779" width="22.6640625" style="68" customWidth="1"/>
    <col min="11780" max="11780" width="3.6640625" style="68" customWidth="1"/>
    <col min="11781" max="11782" width="22.6640625" style="68" customWidth="1"/>
    <col min="11783" max="11783" width="2.6640625" style="68" customWidth="1"/>
    <col min="11784" max="12032" width="9.109375" style="68"/>
    <col min="12033" max="12033" width="2.6640625" style="68" customWidth="1"/>
    <col min="12034" max="12035" width="22.6640625" style="68" customWidth="1"/>
    <col min="12036" max="12036" width="3.6640625" style="68" customWidth="1"/>
    <col min="12037" max="12038" width="22.6640625" style="68" customWidth="1"/>
    <col min="12039" max="12039" width="2.6640625" style="68" customWidth="1"/>
    <col min="12040" max="12288" width="9.109375" style="68"/>
    <col min="12289" max="12289" width="2.6640625" style="68" customWidth="1"/>
    <col min="12290" max="12291" width="22.6640625" style="68" customWidth="1"/>
    <col min="12292" max="12292" width="3.6640625" style="68" customWidth="1"/>
    <col min="12293" max="12294" width="22.6640625" style="68" customWidth="1"/>
    <col min="12295" max="12295" width="2.6640625" style="68" customWidth="1"/>
    <col min="12296" max="12544" width="9.109375" style="68"/>
    <col min="12545" max="12545" width="2.6640625" style="68" customWidth="1"/>
    <col min="12546" max="12547" width="22.6640625" style="68" customWidth="1"/>
    <col min="12548" max="12548" width="3.6640625" style="68" customWidth="1"/>
    <col min="12549" max="12550" width="22.6640625" style="68" customWidth="1"/>
    <col min="12551" max="12551" width="2.6640625" style="68" customWidth="1"/>
    <col min="12552" max="12800" width="9.109375" style="68"/>
    <col min="12801" max="12801" width="2.6640625" style="68" customWidth="1"/>
    <col min="12802" max="12803" width="22.6640625" style="68" customWidth="1"/>
    <col min="12804" max="12804" width="3.6640625" style="68" customWidth="1"/>
    <col min="12805" max="12806" width="22.6640625" style="68" customWidth="1"/>
    <col min="12807" max="12807" width="2.6640625" style="68" customWidth="1"/>
    <col min="12808" max="13056" width="9.109375" style="68"/>
    <col min="13057" max="13057" width="2.6640625" style="68" customWidth="1"/>
    <col min="13058" max="13059" width="22.6640625" style="68" customWidth="1"/>
    <col min="13060" max="13060" width="3.6640625" style="68" customWidth="1"/>
    <col min="13061" max="13062" width="22.6640625" style="68" customWidth="1"/>
    <col min="13063" max="13063" width="2.6640625" style="68" customWidth="1"/>
    <col min="13064" max="13312" width="9.109375" style="68"/>
    <col min="13313" max="13313" width="2.6640625" style="68" customWidth="1"/>
    <col min="13314" max="13315" width="22.6640625" style="68" customWidth="1"/>
    <col min="13316" max="13316" width="3.6640625" style="68" customWidth="1"/>
    <col min="13317" max="13318" width="22.6640625" style="68" customWidth="1"/>
    <col min="13319" max="13319" width="2.6640625" style="68" customWidth="1"/>
    <col min="13320" max="13568" width="9.109375" style="68"/>
    <col min="13569" max="13569" width="2.6640625" style="68" customWidth="1"/>
    <col min="13570" max="13571" width="22.6640625" style="68" customWidth="1"/>
    <col min="13572" max="13572" width="3.6640625" style="68" customWidth="1"/>
    <col min="13573" max="13574" width="22.6640625" style="68" customWidth="1"/>
    <col min="13575" max="13575" width="2.6640625" style="68" customWidth="1"/>
    <col min="13576" max="13824" width="9.109375" style="68"/>
    <col min="13825" max="13825" width="2.6640625" style="68" customWidth="1"/>
    <col min="13826" max="13827" width="22.6640625" style="68" customWidth="1"/>
    <col min="13828" max="13828" width="3.6640625" style="68" customWidth="1"/>
    <col min="13829" max="13830" width="22.6640625" style="68" customWidth="1"/>
    <col min="13831" max="13831" width="2.6640625" style="68" customWidth="1"/>
    <col min="13832" max="14080" width="9.109375" style="68"/>
    <col min="14081" max="14081" width="2.6640625" style="68" customWidth="1"/>
    <col min="14082" max="14083" width="22.6640625" style="68" customWidth="1"/>
    <col min="14084" max="14084" width="3.6640625" style="68" customWidth="1"/>
    <col min="14085" max="14086" width="22.6640625" style="68" customWidth="1"/>
    <col min="14087" max="14087" width="2.6640625" style="68" customWidth="1"/>
    <col min="14088" max="14336" width="9.109375" style="68"/>
    <col min="14337" max="14337" width="2.6640625" style="68" customWidth="1"/>
    <col min="14338" max="14339" width="22.6640625" style="68" customWidth="1"/>
    <col min="14340" max="14340" width="3.6640625" style="68" customWidth="1"/>
    <col min="14341" max="14342" width="22.6640625" style="68" customWidth="1"/>
    <col min="14343" max="14343" width="2.6640625" style="68" customWidth="1"/>
    <col min="14344" max="14592" width="9.109375" style="68"/>
    <col min="14593" max="14593" width="2.6640625" style="68" customWidth="1"/>
    <col min="14594" max="14595" width="22.6640625" style="68" customWidth="1"/>
    <col min="14596" max="14596" width="3.6640625" style="68" customWidth="1"/>
    <col min="14597" max="14598" width="22.6640625" style="68" customWidth="1"/>
    <col min="14599" max="14599" width="2.6640625" style="68" customWidth="1"/>
    <col min="14600" max="14848" width="9.109375" style="68"/>
    <col min="14849" max="14849" width="2.6640625" style="68" customWidth="1"/>
    <col min="14850" max="14851" width="22.6640625" style="68" customWidth="1"/>
    <col min="14852" max="14852" width="3.6640625" style="68" customWidth="1"/>
    <col min="14853" max="14854" width="22.6640625" style="68" customWidth="1"/>
    <col min="14855" max="14855" width="2.6640625" style="68" customWidth="1"/>
    <col min="14856" max="15104" width="9.109375" style="68"/>
    <col min="15105" max="15105" width="2.6640625" style="68" customWidth="1"/>
    <col min="15106" max="15107" width="22.6640625" style="68" customWidth="1"/>
    <col min="15108" max="15108" width="3.6640625" style="68" customWidth="1"/>
    <col min="15109" max="15110" width="22.6640625" style="68" customWidth="1"/>
    <col min="15111" max="15111" width="2.6640625" style="68" customWidth="1"/>
    <col min="15112" max="15360" width="9.109375" style="68"/>
    <col min="15361" max="15361" width="2.6640625" style="68" customWidth="1"/>
    <col min="15362" max="15363" width="22.6640625" style="68" customWidth="1"/>
    <col min="15364" max="15364" width="3.6640625" style="68" customWidth="1"/>
    <col min="15365" max="15366" width="22.6640625" style="68" customWidth="1"/>
    <col min="15367" max="15367" width="2.6640625" style="68" customWidth="1"/>
    <col min="15368" max="15616" width="9.109375" style="68"/>
    <col min="15617" max="15617" width="2.6640625" style="68" customWidth="1"/>
    <col min="15618" max="15619" width="22.6640625" style="68" customWidth="1"/>
    <col min="15620" max="15620" width="3.6640625" style="68" customWidth="1"/>
    <col min="15621" max="15622" width="22.6640625" style="68" customWidth="1"/>
    <col min="15623" max="15623" width="2.6640625" style="68" customWidth="1"/>
    <col min="15624" max="15872" width="9.109375" style="68"/>
    <col min="15873" max="15873" width="2.6640625" style="68" customWidth="1"/>
    <col min="15874" max="15875" width="22.6640625" style="68" customWidth="1"/>
    <col min="15876" max="15876" width="3.6640625" style="68" customWidth="1"/>
    <col min="15877" max="15878" width="22.6640625" style="68" customWidth="1"/>
    <col min="15879" max="15879" width="2.6640625" style="68" customWidth="1"/>
    <col min="15880" max="16128" width="9.109375" style="68"/>
    <col min="16129" max="16129" width="2.6640625" style="68" customWidth="1"/>
    <col min="16130" max="16131" width="22.6640625" style="68" customWidth="1"/>
    <col min="16132" max="16132" width="3.6640625" style="68" customWidth="1"/>
    <col min="16133" max="16134" width="22.6640625" style="68" customWidth="1"/>
    <col min="16135" max="16135" width="2.6640625" style="68" customWidth="1"/>
    <col min="16136" max="16384" width="9.109375" style="68"/>
  </cols>
  <sheetData>
    <row r="1" spans="1:12" ht="14.4" thickTop="1" thickBot="1" x14ac:dyDescent="0.3">
      <c r="A1" s="46"/>
      <c r="B1" s="47"/>
      <c r="C1" s="47"/>
      <c r="D1" s="47"/>
      <c r="E1" s="47"/>
      <c r="F1" s="47"/>
      <c r="G1" s="48"/>
    </row>
    <row r="2" spans="1:12" ht="14.4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5">
      <c r="A3" s="50"/>
      <c r="B3" s="351" t="str">
        <f>'Cover - Location Info'!J8</f>
        <v>101611</v>
      </c>
      <c r="C3" s="52"/>
      <c r="D3" s="52"/>
      <c r="E3" s="52"/>
      <c r="F3" s="353" t="str">
        <f>'Cover - Location Info'!J10</f>
        <v>1.1</v>
      </c>
      <c r="G3" s="55"/>
    </row>
    <row r="4" spans="1:12" ht="12.75" customHeight="1" thickBot="1" x14ac:dyDescent="0.3">
      <c r="A4" s="50"/>
      <c r="B4" s="352"/>
      <c r="C4" s="52"/>
      <c r="D4" s="52"/>
      <c r="E4" s="52"/>
      <c r="F4" s="354"/>
      <c r="G4" s="55"/>
      <c r="I4" s="56"/>
    </row>
    <row r="5" spans="1:12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55" t="s">
        <v>77</v>
      </c>
      <c r="C6" s="355"/>
      <c r="D6" s="355"/>
      <c r="E6" s="355"/>
      <c r="F6" s="355"/>
      <c r="G6" s="57"/>
    </row>
    <row r="7" spans="1:12" x14ac:dyDescent="0.25">
      <c r="A7" s="50"/>
      <c r="B7" s="52"/>
      <c r="C7" s="52"/>
      <c r="D7" s="52"/>
      <c r="E7" s="52"/>
      <c r="F7" s="52"/>
      <c r="G7" s="57"/>
      <c r="I7" s="56"/>
    </row>
    <row r="8" spans="1:12" ht="13.8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56"/>
      <c r="C9" s="357"/>
      <c r="D9" s="357"/>
      <c r="E9" s="357"/>
      <c r="F9" s="358"/>
      <c r="G9" s="57"/>
      <c r="I9" s="58"/>
      <c r="J9" s="58"/>
      <c r="K9" s="58"/>
      <c r="L9" s="58"/>
    </row>
    <row r="10" spans="1:12" ht="15" customHeight="1" x14ac:dyDescent="0.25">
      <c r="A10" s="50"/>
      <c r="B10" s="348"/>
      <c r="C10" s="349"/>
      <c r="D10" s="349"/>
      <c r="E10" s="349"/>
      <c r="F10" s="350"/>
      <c r="G10" s="57"/>
      <c r="I10" s="58"/>
      <c r="J10" s="58"/>
      <c r="K10" s="58"/>
      <c r="L10" s="58"/>
    </row>
    <row r="11" spans="1:12" ht="15" customHeight="1" x14ac:dyDescent="0.25">
      <c r="A11" s="50"/>
      <c r="B11" s="359"/>
      <c r="C11" s="360"/>
      <c r="D11" s="360"/>
      <c r="E11" s="360"/>
      <c r="F11" s="361"/>
      <c r="G11" s="57"/>
      <c r="I11" s="58"/>
      <c r="J11" s="58"/>
      <c r="K11" s="59"/>
      <c r="L11" s="60"/>
    </row>
    <row r="12" spans="1:12" ht="15" customHeight="1" x14ac:dyDescent="0.25">
      <c r="A12" s="50"/>
      <c r="B12" s="348"/>
      <c r="C12" s="349"/>
      <c r="D12" s="349"/>
      <c r="E12" s="349"/>
      <c r="F12" s="350"/>
      <c r="G12" s="57"/>
      <c r="I12" s="58"/>
      <c r="J12" s="58"/>
      <c r="K12" s="59"/>
      <c r="L12" s="60"/>
    </row>
    <row r="13" spans="1:12" ht="15" customHeight="1" x14ac:dyDescent="0.25">
      <c r="A13" s="50"/>
      <c r="B13" s="348"/>
      <c r="C13" s="349"/>
      <c r="D13" s="349"/>
      <c r="E13" s="349"/>
      <c r="F13" s="350"/>
      <c r="G13" s="57"/>
      <c r="I13" s="58"/>
      <c r="J13" s="58"/>
      <c r="K13" s="59"/>
      <c r="L13" s="60"/>
    </row>
    <row r="14" spans="1:12" ht="15" customHeight="1" x14ac:dyDescent="0.25">
      <c r="A14" s="50"/>
      <c r="B14" s="348"/>
      <c r="C14" s="349"/>
      <c r="D14" s="349"/>
      <c r="E14" s="349"/>
      <c r="F14" s="350"/>
      <c r="G14" s="57"/>
      <c r="I14" s="58"/>
      <c r="J14" s="58"/>
      <c r="K14" s="60"/>
      <c r="L14" s="60"/>
    </row>
    <row r="15" spans="1:12" ht="15" customHeight="1" x14ac:dyDescent="0.25">
      <c r="A15" s="50"/>
      <c r="B15" s="348"/>
      <c r="C15" s="349"/>
      <c r="D15" s="349"/>
      <c r="E15" s="349"/>
      <c r="F15" s="350"/>
      <c r="G15" s="57"/>
      <c r="I15" s="58"/>
      <c r="J15" s="58"/>
      <c r="K15" s="61"/>
      <c r="L15" s="61"/>
    </row>
    <row r="16" spans="1:12" ht="15" customHeight="1" x14ac:dyDescent="0.25">
      <c r="A16" s="50"/>
      <c r="B16" s="348"/>
      <c r="C16" s="349"/>
      <c r="D16" s="349"/>
      <c r="E16" s="349"/>
      <c r="F16" s="350"/>
      <c r="G16" s="57"/>
      <c r="I16" s="58"/>
      <c r="J16" s="58"/>
      <c r="K16" s="62"/>
      <c r="L16" s="62"/>
    </row>
    <row r="17" spans="1:12" ht="15" customHeight="1" x14ac:dyDescent="0.25">
      <c r="A17" s="50"/>
      <c r="B17" s="348"/>
      <c r="C17" s="349"/>
      <c r="D17" s="349"/>
      <c r="E17" s="349"/>
      <c r="F17" s="350"/>
      <c r="G17" s="57"/>
      <c r="I17" s="58"/>
      <c r="J17" s="58"/>
      <c r="K17" s="62"/>
      <c r="L17" s="62"/>
    </row>
    <row r="18" spans="1:12" ht="15" customHeight="1" x14ac:dyDescent="0.25">
      <c r="A18" s="50"/>
      <c r="B18" s="348"/>
      <c r="C18" s="349"/>
      <c r="D18" s="349"/>
      <c r="E18" s="349"/>
      <c r="F18" s="350"/>
      <c r="G18" s="57"/>
      <c r="I18" s="58"/>
      <c r="J18" s="58"/>
      <c r="K18" s="61"/>
      <c r="L18" s="61"/>
    </row>
    <row r="19" spans="1:12" ht="15" customHeight="1" x14ac:dyDescent="0.25">
      <c r="A19" s="50"/>
      <c r="B19" s="348"/>
      <c r="C19" s="349"/>
      <c r="D19" s="349"/>
      <c r="E19" s="349"/>
      <c r="F19" s="350"/>
      <c r="G19" s="57"/>
      <c r="I19" s="58"/>
      <c r="J19" s="58"/>
      <c r="K19" s="61"/>
      <c r="L19" s="61"/>
    </row>
    <row r="20" spans="1:12" ht="15" customHeight="1" x14ac:dyDescent="0.25">
      <c r="A20" s="50"/>
      <c r="B20" s="348"/>
      <c r="C20" s="349"/>
      <c r="D20" s="349"/>
      <c r="E20" s="349"/>
      <c r="F20" s="350"/>
      <c r="G20" s="57"/>
      <c r="I20" s="58"/>
      <c r="J20" s="58"/>
      <c r="K20" s="61"/>
      <c r="L20" s="61"/>
    </row>
    <row r="21" spans="1:12" ht="15" customHeight="1" x14ac:dyDescent="0.25">
      <c r="A21" s="50"/>
      <c r="B21" s="348"/>
      <c r="C21" s="349"/>
      <c r="D21" s="349"/>
      <c r="E21" s="349"/>
      <c r="F21" s="350"/>
      <c r="G21" s="57"/>
      <c r="I21" s="58"/>
      <c r="J21" s="58"/>
      <c r="K21" s="59"/>
      <c r="L21" s="60"/>
    </row>
    <row r="22" spans="1:12" ht="15" customHeight="1" x14ac:dyDescent="0.25">
      <c r="A22" s="50"/>
      <c r="B22" s="348"/>
      <c r="C22" s="349"/>
      <c r="D22" s="349"/>
      <c r="E22" s="349"/>
      <c r="F22" s="350"/>
      <c r="G22" s="57"/>
      <c r="I22" s="58"/>
      <c r="J22" s="58"/>
      <c r="K22" s="59"/>
      <c r="L22" s="60"/>
    </row>
    <row r="23" spans="1:12" ht="15" customHeight="1" x14ac:dyDescent="0.25">
      <c r="A23" s="50"/>
      <c r="B23" s="348"/>
      <c r="C23" s="349"/>
      <c r="D23" s="349"/>
      <c r="E23" s="349"/>
      <c r="F23" s="350"/>
      <c r="G23" s="57"/>
      <c r="I23" s="58"/>
      <c r="J23" s="58"/>
      <c r="K23" s="60"/>
      <c r="L23" s="60"/>
    </row>
    <row r="24" spans="1:12" ht="15" customHeight="1" x14ac:dyDescent="0.25">
      <c r="A24" s="50"/>
      <c r="B24" s="348"/>
      <c r="C24" s="349"/>
      <c r="D24" s="349"/>
      <c r="E24" s="349"/>
      <c r="F24" s="350"/>
      <c r="G24" s="57"/>
      <c r="I24" s="58"/>
      <c r="J24" s="58"/>
      <c r="K24" s="60"/>
      <c r="L24" s="60"/>
    </row>
    <row r="25" spans="1:12" ht="15" customHeight="1" x14ac:dyDescent="0.25">
      <c r="A25" s="50"/>
      <c r="B25" s="348"/>
      <c r="C25" s="349"/>
      <c r="D25" s="349"/>
      <c r="E25" s="349"/>
      <c r="F25" s="350"/>
      <c r="G25" s="57"/>
      <c r="I25" s="58"/>
      <c r="J25" s="58"/>
      <c r="K25" s="60"/>
      <c r="L25" s="60"/>
    </row>
    <row r="26" spans="1:12" ht="15" customHeight="1" x14ac:dyDescent="0.25">
      <c r="A26" s="50"/>
      <c r="B26" s="348"/>
      <c r="C26" s="349"/>
      <c r="D26" s="349"/>
      <c r="E26" s="349"/>
      <c r="F26" s="350"/>
      <c r="G26" s="57"/>
      <c r="I26" s="58"/>
      <c r="J26" s="58"/>
      <c r="K26" s="60"/>
      <c r="L26" s="60"/>
    </row>
    <row r="27" spans="1:12" ht="15" customHeight="1" x14ac:dyDescent="0.25">
      <c r="A27" s="50"/>
      <c r="B27" s="348"/>
      <c r="C27" s="349"/>
      <c r="D27" s="349"/>
      <c r="E27" s="349"/>
      <c r="F27" s="350"/>
      <c r="G27" s="57"/>
      <c r="I27" s="58"/>
      <c r="J27" s="58"/>
      <c r="K27" s="60"/>
      <c r="L27" s="60"/>
    </row>
    <row r="28" spans="1:12" ht="15" customHeight="1" x14ac:dyDescent="0.25">
      <c r="A28" s="50"/>
      <c r="B28" s="365"/>
      <c r="C28" s="366"/>
      <c r="D28" s="366"/>
      <c r="E28" s="366"/>
      <c r="F28" s="367"/>
      <c r="G28" s="57"/>
      <c r="I28" s="58"/>
      <c r="J28" s="58"/>
      <c r="K28" s="58"/>
      <c r="L28" s="58"/>
    </row>
    <row r="29" spans="1:12" ht="15" customHeight="1" x14ac:dyDescent="0.25">
      <c r="A29" s="50"/>
      <c r="B29" s="362"/>
      <c r="C29" s="363"/>
      <c r="D29" s="363"/>
      <c r="E29" s="363"/>
      <c r="F29" s="364"/>
      <c r="G29" s="57"/>
      <c r="I29" s="58"/>
      <c r="J29" s="58"/>
      <c r="K29" s="58"/>
      <c r="L29" s="58"/>
    </row>
    <row r="30" spans="1:12" ht="15" customHeight="1" x14ac:dyDescent="0.25">
      <c r="A30" s="50"/>
      <c r="B30" s="362"/>
      <c r="C30" s="363"/>
      <c r="D30" s="363"/>
      <c r="E30" s="363"/>
      <c r="F30" s="364"/>
      <c r="G30" s="57"/>
    </row>
    <row r="31" spans="1:12" ht="15" customHeight="1" x14ac:dyDescent="0.25">
      <c r="A31" s="50"/>
      <c r="B31" s="362"/>
      <c r="C31" s="363"/>
      <c r="D31" s="363"/>
      <c r="E31" s="363"/>
      <c r="F31" s="364"/>
      <c r="G31" s="57"/>
    </row>
    <row r="32" spans="1:12" ht="15" customHeight="1" x14ac:dyDescent="0.25">
      <c r="A32" s="50"/>
      <c r="B32" s="362"/>
      <c r="C32" s="363"/>
      <c r="D32" s="363"/>
      <c r="E32" s="363"/>
      <c r="F32" s="364"/>
      <c r="G32" s="57"/>
    </row>
    <row r="33" spans="1:7" ht="15" customHeight="1" x14ac:dyDescent="0.25">
      <c r="A33" s="50"/>
      <c r="B33" s="348"/>
      <c r="C33" s="349"/>
      <c r="D33" s="349"/>
      <c r="E33" s="349"/>
      <c r="F33" s="350"/>
      <c r="G33" s="57"/>
    </row>
    <row r="34" spans="1:7" ht="15" customHeight="1" x14ac:dyDescent="0.25">
      <c r="A34" s="50"/>
      <c r="B34" s="348"/>
      <c r="C34" s="349"/>
      <c r="D34" s="349"/>
      <c r="E34" s="349"/>
      <c r="F34" s="350"/>
      <c r="G34" s="57"/>
    </row>
    <row r="35" spans="1:7" ht="15" customHeight="1" x14ac:dyDescent="0.25">
      <c r="A35" s="50"/>
      <c r="B35" s="368"/>
      <c r="C35" s="369"/>
      <c r="D35" s="369"/>
      <c r="E35" s="369"/>
      <c r="F35" s="370"/>
      <c r="G35" s="57"/>
    </row>
    <row r="36" spans="1:7" ht="15" customHeight="1" x14ac:dyDescent="0.25">
      <c r="A36" s="50"/>
      <c r="B36" s="359"/>
      <c r="C36" s="360"/>
      <c r="D36" s="360"/>
      <c r="E36" s="360"/>
      <c r="F36" s="361"/>
      <c r="G36" s="57"/>
    </row>
    <row r="37" spans="1:7" ht="15" customHeight="1" x14ac:dyDescent="0.25">
      <c r="A37" s="50"/>
      <c r="B37" s="359"/>
      <c r="C37" s="360"/>
      <c r="D37" s="360"/>
      <c r="E37" s="360"/>
      <c r="F37" s="361"/>
      <c r="G37" s="57"/>
    </row>
    <row r="38" spans="1:7" ht="15" customHeight="1" x14ac:dyDescent="0.25">
      <c r="A38" s="50"/>
      <c r="B38" s="348"/>
      <c r="C38" s="349"/>
      <c r="D38" s="349"/>
      <c r="E38" s="349"/>
      <c r="F38" s="350"/>
      <c r="G38" s="57"/>
    </row>
    <row r="39" spans="1:7" ht="15" customHeight="1" x14ac:dyDescent="0.25">
      <c r="A39" s="50"/>
      <c r="B39" s="348"/>
      <c r="C39" s="349"/>
      <c r="D39" s="349"/>
      <c r="E39" s="349"/>
      <c r="F39" s="350"/>
      <c r="G39" s="57"/>
    </row>
    <row r="40" spans="1:7" ht="15" customHeight="1" x14ac:dyDescent="0.25">
      <c r="A40" s="50"/>
      <c r="B40" s="348"/>
      <c r="C40" s="349"/>
      <c r="D40" s="349"/>
      <c r="E40" s="349"/>
      <c r="F40" s="350"/>
      <c r="G40" s="57"/>
    </row>
    <row r="41" spans="1:7" ht="15" customHeight="1" x14ac:dyDescent="0.25">
      <c r="A41" s="50"/>
      <c r="B41" s="348"/>
      <c r="C41" s="349"/>
      <c r="D41" s="349"/>
      <c r="E41" s="349"/>
      <c r="F41" s="350"/>
      <c r="G41" s="57"/>
    </row>
    <row r="42" spans="1:7" ht="15" customHeight="1" x14ac:dyDescent="0.25">
      <c r="A42" s="50"/>
      <c r="B42" s="348"/>
      <c r="C42" s="349"/>
      <c r="D42" s="349"/>
      <c r="E42" s="349"/>
      <c r="F42" s="350"/>
      <c r="G42" s="57"/>
    </row>
    <row r="43" spans="1:7" ht="15" customHeight="1" x14ac:dyDescent="0.25">
      <c r="A43" s="50"/>
      <c r="B43" s="377"/>
      <c r="C43" s="378"/>
      <c r="D43" s="378"/>
      <c r="E43" s="378"/>
      <c r="F43" s="379"/>
      <c r="G43" s="57"/>
    </row>
    <row r="44" spans="1:7" ht="15" customHeight="1" x14ac:dyDescent="0.25">
      <c r="A44" s="50"/>
      <c r="B44" s="371"/>
      <c r="C44" s="372"/>
      <c r="D44" s="372"/>
      <c r="E44" s="372"/>
      <c r="F44" s="373"/>
      <c r="G44" s="57"/>
    </row>
    <row r="45" spans="1:7" ht="15" customHeight="1" x14ac:dyDescent="0.25">
      <c r="A45" s="50"/>
      <c r="B45" s="371"/>
      <c r="C45" s="372"/>
      <c r="D45" s="372"/>
      <c r="E45" s="372"/>
      <c r="F45" s="373"/>
      <c r="G45" s="57"/>
    </row>
    <row r="46" spans="1:7" ht="15" customHeight="1" x14ac:dyDescent="0.25">
      <c r="A46" s="50"/>
      <c r="B46" s="380"/>
      <c r="C46" s="381"/>
      <c r="D46" s="381"/>
      <c r="E46" s="381"/>
      <c r="F46" s="382"/>
      <c r="G46" s="57"/>
    </row>
    <row r="47" spans="1:7" ht="15" customHeight="1" x14ac:dyDescent="0.25">
      <c r="A47" s="50"/>
      <c r="B47" s="377"/>
      <c r="C47" s="378"/>
      <c r="D47" s="378"/>
      <c r="E47" s="378"/>
      <c r="F47" s="379"/>
      <c r="G47" s="57"/>
    </row>
    <row r="48" spans="1:7" ht="15" customHeight="1" x14ac:dyDescent="0.25">
      <c r="A48" s="50"/>
      <c r="B48" s="371"/>
      <c r="C48" s="372"/>
      <c r="D48" s="372"/>
      <c r="E48" s="372"/>
      <c r="F48" s="373"/>
      <c r="G48" s="57"/>
    </row>
    <row r="49" spans="1:7" ht="15" customHeight="1" x14ac:dyDescent="0.25">
      <c r="A49" s="50"/>
      <c r="B49" s="371"/>
      <c r="C49" s="372"/>
      <c r="D49" s="372"/>
      <c r="E49" s="372"/>
      <c r="F49" s="373"/>
      <c r="G49" s="57"/>
    </row>
    <row r="50" spans="1:7" ht="15" customHeight="1" x14ac:dyDescent="0.25">
      <c r="A50" s="50"/>
      <c r="B50" s="371"/>
      <c r="C50" s="372"/>
      <c r="D50" s="372"/>
      <c r="E50" s="372"/>
      <c r="F50" s="373"/>
      <c r="G50" s="57"/>
    </row>
    <row r="51" spans="1:7" ht="15" customHeight="1" thickBot="1" x14ac:dyDescent="0.3">
      <c r="A51" s="50"/>
      <c r="B51" s="374"/>
      <c r="C51" s="375"/>
      <c r="D51" s="375"/>
      <c r="E51" s="375"/>
      <c r="F51" s="376"/>
      <c r="G51" s="57"/>
    </row>
    <row r="52" spans="1:7" ht="15" customHeight="1" thickTop="1" x14ac:dyDescent="0.25">
      <c r="A52" s="50"/>
      <c r="B52" s="63"/>
      <c r="C52" s="63"/>
      <c r="D52" s="63"/>
      <c r="E52" s="63"/>
      <c r="F52" s="63"/>
      <c r="G52" s="57"/>
    </row>
    <row r="53" spans="1:7" ht="15" customHeight="1" x14ac:dyDescent="0.25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3">
      <c r="A54" s="65"/>
      <c r="B54" s="66"/>
      <c r="C54" s="66"/>
      <c r="D54" s="66"/>
      <c r="E54" s="66"/>
      <c r="F54" s="66"/>
      <c r="G54" s="67"/>
    </row>
    <row r="55" spans="1:7" s="49" customFormat="1" ht="13.8" thickTop="1" x14ac:dyDescent="0.25"/>
    <row r="56" spans="1:7" s="49" customFormat="1" x14ac:dyDescent="0.25"/>
    <row r="57" spans="1:7" s="49" customFormat="1" x14ac:dyDescent="0.25"/>
    <row r="58" spans="1:7" s="49" customFormat="1" x14ac:dyDescent="0.25"/>
    <row r="59" spans="1:7" s="49" customFormat="1" x14ac:dyDescent="0.25"/>
    <row r="60" spans="1:7" s="49" customFormat="1" x14ac:dyDescent="0.25"/>
    <row r="61" spans="1:7" s="49" customFormat="1" x14ac:dyDescent="0.25"/>
    <row r="62" spans="1:7" s="49" customFormat="1" x14ac:dyDescent="0.25"/>
    <row r="63" spans="1:7" s="49" customFormat="1" x14ac:dyDescent="0.25"/>
    <row r="64" spans="1:7" s="49" customFormat="1" x14ac:dyDescent="0.25"/>
    <row r="65" s="49" customFormat="1" x14ac:dyDescent="0.25"/>
    <row r="66" s="49" customFormat="1" x14ac:dyDescent="0.25"/>
    <row r="67" s="49" customFormat="1" x14ac:dyDescent="0.25"/>
    <row r="68" s="49" customFormat="1" x14ac:dyDescent="0.25"/>
    <row r="69" s="49" customFormat="1" x14ac:dyDescent="0.25"/>
    <row r="70" s="49" customFormat="1" x14ac:dyDescent="0.25"/>
    <row r="71" s="49" customFormat="1" x14ac:dyDescent="0.25"/>
    <row r="72" s="49" customFormat="1" x14ac:dyDescent="0.25"/>
    <row r="73" s="49" customFormat="1" x14ac:dyDescent="0.25"/>
    <row r="74" s="49" customFormat="1" x14ac:dyDescent="0.25"/>
    <row r="75" s="49" customFormat="1" x14ac:dyDescent="0.25"/>
    <row r="76" s="49" customFormat="1" x14ac:dyDescent="0.25"/>
    <row r="77" s="49" customFormat="1" x14ac:dyDescent="0.25"/>
    <row r="78" s="49" customFormat="1" x14ac:dyDescent="0.25"/>
    <row r="79" s="49" customFormat="1" x14ac:dyDescent="0.25"/>
    <row r="80" s="49" customFormat="1" x14ac:dyDescent="0.25"/>
    <row r="81" s="49" customFormat="1" x14ac:dyDescent="0.25"/>
    <row r="82" s="49" customFormat="1" x14ac:dyDescent="0.25"/>
    <row r="83" s="49" customFormat="1" x14ac:dyDescent="0.25"/>
    <row r="84" s="49" customFormat="1" x14ac:dyDescent="0.25"/>
    <row r="85" s="49" customFormat="1" x14ac:dyDescent="0.25"/>
    <row r="86" s="49" customFormat="1" x14ac:dyDescent="0.25"/>
    <row r="87" s="49" customFormat="1" x14ac:dyDescent="0.25"/>
    <row r="88" s="49" customFormat="1" x14ac:dyDescent="0.25"/>
    <row r="89" s="49" customFormat="1" x14ac:dyDescent="0.25"/>
    <row r="90" s="49" customFormat="1" x14ac:dyDescent="0.25"/>
    <row r="91" s="49" customFormat="1" x14ac:dyDescent="0.25"/>
    <row r="92" s="49" customFormat="1" x14ac:dyDescent="0.25"/>
    <row r="93" s="49" customFormat="1" x14ac:dyDescent="0.25"/>
    <row r="94" s="49" customFormat="1" x14ac:dyDescent="0.25"/>
    <row r="95" s="49" customFormat="1" x14ac:dyDescent="0.25"/>
    <row r="96" s="49" customFormat="1" x14ac:dyDescent="0.25"/>
    <row r="97" s="49" customFormat="1" x14ac:dyDescent="0.25"/>
    <row r="98" s="49" customFormat="1" x14ac:dyDescent="0.25"/>
    <row r="99" s="49" customFormat="1" x14ac:dyDescent="0.25"/>
    <row r="100" s="49" customFormat="1" x14ac:dyDescent="0.25"/>
    <row r="101" s="49" customFormat="1" x14ac:dyDescent="0.25"/>
    <row r="102" s="49" customFormat="1" x14ac:dyDescent="0.25"/>
    <row r="103" s="49" customFormat="1" x14ac:dyDescent="0.25"/>
    <row r="104" s="49" customFormat="1" x14ac:dyDescent="0.25"/>
    <row r="105" s="49" customFormat="1" x14ac:dyDescent="0.25"/>
    <row r="106" s="49" customFormat="1" x14ac:dyDescent="0.25"/>
    <row r="107" s="49" customFormat="1" x14ac:dyDescent="0.25"/>
    <row r="108" s="49" customFormat="1" x14ac:dyDescent="0.25"/>
    <row r="109" s="49" customFormat="1" x14ac:dyDescent="0.25"/>
    <row r="110" s="49" customFormat="1" x14ac:dyDescent="0.25"/>
    <row r="111" s="49" customFormat="1" x14ac:dyDescent="0.25"/>
    <row r="112" s="49" customFormat="1" x14ac:dyDescent="0.25"/>
    <row r="113" s="49" customFormat="1" x14ac:dyDescent="0.25"/>
    <row r="114" s="49" customFormat="1" x14ac:dyDescent="0.25"/>
    <row r="115" s="49" customFormat="1" x14ac:dyDescent="0.25"/>
    <row r="116" s="49" customFormat="1" x14ac:dyDescent="0.25"/>
    <row r="117" s="49" customFormat="1" x14ac:dyDescent="0.25"/>
    <row r="118" s="49" customFormat="1" x14ac:dyDescent="0.25"/>
    <row r="119" s="49" customFormat="1" x14ac:dyDescent="0.25"/>
    <row r="120" s="49" customFormat="1" x14ac:dyDescent="0.25"/>
    <row r="121" s="49" customFormat="1" x14ac:dyDescent="0.25"/>
    <row r="122" s="49" customFormat="1" x14ac:dyDescent="0.25"/>
    <row r="123" s="49" customFormat="1" x14ac:dyDescent="0.25"/>
    <row r="124" s="49" customFormat="1" x14ac:dyDescent="0.25"/>
    <row r="125" s="49" customFormat="1" x14ac:dyDescent="0.25"/>
    <row r="126" s="49" customFormat="1" x14ac:dyDescent="0.25"/>
    <row r="127" s="49" customFormat="1" x14ac:dyDescent="0.25"/>
    <row r="128" s="49" customFormat="1" x14ac:dyDescent="0.25"/>
    <row r="129" s="49" customFormat="1" x14ac:dyDescent="0.25"/>
    <row r="130" s="49" customFormat="1" x14ac:dyDescent="0.25"/>
    <row r="131" s="49" customFormat="1" x14ac:dyDescent="0.25"/>
    <row r="132" s="49" customFormat="1" x14ac:dyDescent="0.25"/>
    <row r="133" s="49" customFormat="1" x14ac:dyDescent="0.25"/>
    <row r="134" s="49" customFormat="1" x14ac:dyDescent="0.25"/>
    <row r="135" s="49" customFormat="1" x14ac:dyDescent="0.25"/>
    <row r="136" s="49" customFormat="1" x14ac:dyDescent="0.25"/>
    <row r="137" s="49" customFormat="1" x14ac:dyDescent="0.25"/>
    <row r="138" s="49" customFormat="1" x14ac:dyDescent="0.25"/>
    <row r="139" s="49" customFormat="1" x14ac:dyDescent="0.25"/>
    <row r="140" s="49" customFormat="1" x14ac:dyDescent="0.25"/>
    <row r="141" s="49" customFormat="1" x14ac:dyDescent="0.25"/>
    <row r="142" s="49" customFormat="1" x14ac:dyDescent="0.25"/>
    <row r="143" s="49" customFormat="1" x14ac:dyDescent="0.25"/>
    <row r="144" s="49" customFormat="1" x14ac:dyDescent="0.25"/>
    <row r="145" s="49" customFormat="1" x14ac:dyDescent="0.25"/>
    <row r="146" s="49" customFormat="1" x14ac:dyDescent="0.25"/>
    <row r="147" s="49" customFormat="1" x14ac:dyDescent="0.25"/>
    <row r="148" s="49" customFormat="1" x14ac:dyDescent="0.25"/>
    <row r="149" s="49" customFormat="1" x14ac:dyDescent="0.25"/>
    <row r="150" s="49" customFormat="1" x14ac:dyDescent="0.25"/>
    <row r="151" s="49" customFormat="1" x14ac:dyDescent="0.25"/>
    <row r="152" s="49" customFormat="1" x14ac:dyDescent="0.25"/>
    <row r="153" s="49" customFormat="1" x14ac:dyDescent="0.25"/>
    <row r="154" s="49" customFormat="1" x14ac:dyDescent="0.25"/>
    <row r="155" s="49" customFormat="1" x14ac:dyDescent="0.25"/>
    <row r="156" s="49" customFormat="1" x14ac:dyDescent="0.25"/>
    <row r="157" s="49" customFormat="1" x14ac:dyDescent="0.25"/>
    <row r="158" s="49" customFormat="1" x14ac:dyDescent="0.25"/>
    <row r="159" s="49" customFormat="1" x14ac:dyDescent="0.25"/>
    <row r="160" s="49" customFormat="1" x14ac:dyDescent="0.25"/>
    <row r="161" s="49" customFormat="1" x14ac:dyDescent="0.25"/>
    <row r="162" s="49" customFormat="1" x14ac:dyDescent="0.25"/>
    <row r="163" s="49" customFormat="1" x14ac:dyDescent="0.25"/>
    <row r="164" s="49" customFormat="1" x14ac:dyDescent="0.25"/>
    <row r="165" s="49" customFormat="1" x14ac:dyDescent="0.25"/>
    <row r="166" s="49" customFormat="1" x14ac:dyDescent="0.25"/>
    <row r="167" s="49" customFormat="1" x14ac:dyDescent="0.25"/>
    <row r="168" s="49" customFormat="1" x14ac:dyDescent="0.25"/>
    <row r="169" s="49" customFormat="1" x14ac:dyDescent="0.25"/>
    <row r="170" s="49" customFormat="1" x14ac:dyDescent="0.25"/>
    <row r="171" s="49" customFormat="1" x14ac:dyDescent="0.25"/>
    <row r="172" s="49" customFormat="1" x14ac:dyDescent="0.25"/>
    <row r="173" s="49" customFormat="1" x14ac:dyDescent="0.25"/>
    <row r="174" s="49" customFormat="1" x14ac:dyDescent="0.25"/>
    <row r="175" s="49" customFormat="1" x14ac:dyDescent="0.25"/>
    <row r="176" s="49" customFormat="1" x14ac:dyDescent="0.25"/>
    <row r="177" s="49" customFormat="1" x14ac:dyDescent="0.25"/>
    <row r="178" s="49" customFormat="1" x14ac:dyDescent="0.25"/>
    <row r="179" s="49" customFormat="1" x14ac:dyDescent="0.25"/>
    <row r="180" s="49" customFormat="1" x14ac:dyDescent="0.25"/>
    <row r="181" s="49" customFormat="1" x14ac:dyDescent="0.25"/>
    <row r="182" s="49" customFormat="1" x14ac:dyDescent="0.25"/>
    <row r="183" s="49" customFormat="1" x14ac:dyDescent="0.25"/>
    <row r="184" s="49" customFormat="1" x14ac:dyDescent="0.25"/>
    <row r="185" s="49" customFormat="1" x14ac:dyDescent="0.25"/>
    <row r="186" s="49" customFormat="1" x14ac:dyDescent="0.25"/>
    <row r="187" s="49" customFormat="1" x14ac:dyDescent="0.25"/>
    <row r="188" s="49" customFormat="1" x14ac:dyDescent="0.25"/>
    <row r="189" s="49" customFormat="1" x14ac:dyDescent="0.25"/>
    <row r="190" s="49" customFormat="1" x14ac:dyDescent="0.25"/>
    <row r="191" s="49" customFormat="1" x14ac:dyDescent="0.25"/>
    <row r="192" s="49" customFormat="1" x14ac:dyDescent="0.25"/>
    <row r="193" s="49" customFormat="1" x14ac:dyDescent="0.25"/>
    <row r="194" s="49" customFormat="1" x14ac:dyDescent="0.25"/>
    <row r="195" s="49" customFormat="1" x14ac:dyDescent="0.25"/>
    <row r="196" s="49" customFormat="1" x14ac:dyDescent="0.25"/>
    <row r="197" s="49" customFormat="1" x14ac:dyDescent="0.25"/>
    <row r="198" s="49" customFormat="1" x14ac:dyDescent="0.25"/>
    <row r="199" s="49" customFormat="1" x14ac:dyDescent="0.25"/>
    <row r="200" s="49" customFormat="1" x14ac:dyDescent="0.25"/>
    <row r="201" s="49" customFormat="1" x14ac:dyDescent="0.25"/>
    <row r="202" s="49" customFormat="1" x14ac:dyDescent="0.25"/>
    <row r="203" s="49" customFormat="1" x14ac:dyDescent="0.25"/>
    <row r="204" s="49" customFormat="1" x14ac:dyDescent="0.25"/>
    <row r="205" s="49" customFormat="1" x14ac:dyDescent="0.25"/>
    <row r="206" s="49" customFormat="1" x14ac:dyDescent="0.25"/>
    <row r="207" s="49" customFormat="1" x14ac:dyDescent="0.25"/>
    <row r="208" s="49" customFormat="1" x14ac:dyDescent="0.25"/>
    <row r="209" s="49" customFormat="1" x14ac:dyDescent="0.25"/>
    <row r="210" s="49" customFormat="1" x14ac:dyDescent="0.25"/>
    <row r="211" s="49" customFormat="1" x14ac:dyDescent="0.25"/>
    <row r="212" s="49" customFormat="1" x14ac:dyDescent="0.25"/>
    <row r="213" s="49" customFormat="1" x14ac:dyDescent="0.25"/>
    <row r="214" s="49" customFormat="1" x14ac:dyDescent="0.25"/>
    <row r="215" s="49" customFormat="1" x14ac:dyDescent="0.25"/>
    <row r="216" s="49" customFormat="1" x14ac:dyDescent="0.25"/>
    <row r="217" s="49" customFormat="1" x14ac:dyDescent="0.25"/>
    <row r="218" s="49" customFormat="1" x14ac:dyDescent="0.25"/>
    <row r="219" s="49" customFormat="1" x14ac:dyDescent="0.25"/>
    <row r="220" s="49" customFormat="1" x14ac:dyDescent="0.25"/>
    <row r="221" s="49" customFormat="1" x14ac:dyDescent="0.25"/>
    <row r="222" s="49" customFormat="1" x14ac:dyDescent="0.25"/>
    <row r="223" s="49" customFormat="1" x14ac:dyDescent="0.25"/>
    <row r="224" s="49" customFormat="1" x14ac:dyDescent="0.25"/>
    <row r="225" s="49" customFormat="1" x14ac:dyDescent="0.25"/>
    <row r="226" s="49" customFormat="1" x14ac:dyDescent="0.25"/>
    <row r="227" s="49" customFormat="1" x14ac:dyDescent="0.25"/>
    <row r="228" s="49" customFormat="1" x14ac:dyDescent="0.25"/>
    <row r="229" s="49" customFormat="1" x14ac:dyDescent="0.25"/>
    <row r="230" s="49" customFormat="1" x14ac:dyDescent="0.25"/>
    <row r="231" s="49" customFormat="1" x14ac:dyDescent="0.25"/>
    <row r="232" s="49" customFormat="1" x14ac:dyDescent="0.25"/>
    <row r="233" s="49" customFormat="1" x14ac:dyDescent="0.25"/>
    <row r="234" s="49" customFormat="1" x14ac:dyDescent="0.25"/>
    <row r="235" s="49" customFormat="1" x14ac:dyDescent="0.25"/>
    <row r="236" s="49" customFormat="1" x14ac:dyDescent="0.25"/>
    <row r="237" s="49" customFormat="1" x14ac:dyDescent="0.25"/>
    <row r="238" s="49" customFormat="1" x14ac:dyDescent="0.25"/>
    <row r="239" s="49" customFormat="1" x14ac:dyDescent="0.25"/>
    <row r="240" s="49" customFormat="1" x14ac:dyDescent="0.25"/>
    <row r="241" s="49" customFormat="1" x14ac:dyDescent="0.25"/>
    <row r="242" s="49" customFormat="1" x14ac:dyDescent="0.25"/>
    <row r="243" s="49" customFormat="1" x14ac:dyDescent="0.25"/>
    <row r="244" s="49" customFormat="1" x14ac:dyDescent="0.25"/>
    <row r="245" s="49" customFormat="1" x14ac:dyDescent="0.25"/>
    <row r="246" s="49" customFormat="1" x14ac:dyDescent="0.25"/>
    <row r="247" s="49" customFormat="1" x14ac:dyDescent="0.25"/>
    <row r="248" s="49" customFormat="1" x14ac:dyDescent="0.25"/>
    <row r="249" s="49" customFormat="1" x14ac:dyDescent="0.25"/>
    <row r="250" s="49" customFormat="1" x14ac:dyDescent="0.25"/>
    <row r="251" s="49" customFormat="1" x14ac:dyDescent="0.25"/>
    <row r="252" s="49" customFormat="1" x14ac:dyDescent="0.25"/>
    <row r="253" s="49" customFormat="1" x14ac:dyDescent="0.25"/>
    <row r="254" s="49" customFormat="1" x14ac:dyDescent="0.25"/>
    <row r="255" s="49" customFormat="1" x14ac:dyDescent="0.25"/>
    <row r="256" s="49" customFormat="1" x14ac:dyDescent="0.25"/>
    <row r="257" s="49" customFormat="1" x14ac:dyDescent="0.25"/>
    <row r="258" s="49" customFormat="1" x14ac:dyDescent="0.25"/>
    <row r="259" s="49" customFormat="1" x14ac:dyDescent="0.25"/>
    <row r="260" s="49" customFormat="1" x14ac:dyDescent="0.25"/>
    <row r="261" s="49" customFormat="1" x14ac:dyDescent="0.25"/>
    <row r="262" s="49" customFormat="1" x14ac:dyDescent="0.25"/>
    <row r="263" s="49" customFormat="1" x14ac:dyDescent="0.25"/>
    <row r="264" s="49" customFormat="1" x14ac:dyDescent="0.25"/>
    <row r="265" s="49" customFormat="1" x14ac:dyDescent="0.25"/>
  </sheetData>
  <sheetProtection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customWidth="1"/>
    <col min="10" max="26" width="9.109375" style="4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" thickBot="1" x14ac:dyDescent="0.3">
      <c r="A2" s="73"/>
      <c r="B2" s="8" t="s">
        <v>9</v>
      </c>
      <c r="C2" s="9"/>
      <c r="D2" s="9"/>
      <c r="E2" s="327" t="s">
        <v>10</v>
      </c>
      <c r="F2" s="328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29" t="str">
        <f>'Cover - Location Info'!J8</f>
        <v>101611</v>
      </c>
      <c r="C3" s="13"/>
      <c r="D3" s="13"/>
      <c r="E3" s="331" t="str">
        <f>'Cover - Location Info'!J10</f>
        <v>1.1</v>
      </c>
      <c r="F3" s="332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30"/>
      <c r="C4" s="13"/>
      <c r="D4" s="13"/>
      <c r="E4" s="333"/>
      <c r="F4" s="334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35" t="s">
        <v>48</v>
      </c>
      <c r="C6" s="335"/>
      <c r="D6" s="335"/>
      <c r="E6" s="335"/>
      <c r="F6" s="335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9"/>
      <c r="E11" s="340"/>
      <c r="F11" s="341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42"/>
      <c r="C13" s="345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43"/>
      <c r="C14" s="346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44"/>
      <c r="C15" s="347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9"/>
      <c r="E18" s="340"/>
      <c r="F18" s="341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42"/>
      <c r="C20" s="345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43"/>
      <c r="C21" s="346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44"/>
      <c r="C22" s="347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9"/>
      <c r="E25" s="340"/>
      <c r="F25" s="341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42"/>
      <c r="C27" s="345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43"/>
      <c r="C28" s="346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44"/>
      <c r="C29" s="347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84</v>
      </c>
      <c r="C32" s="19"/>
      <c r="D32" s="339"/>
      <c r="E32" s="340"/>
      <c r="F32" s="341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42"/>
      <c r="C34" s="345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43"/>
      <c r="C35" s="346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44"/>
      <c r="C36" s="347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85</v>
      </c>
      <c r="C39" s="19"/>
      <c r="D39" s="339"/>
      <c r="E39" s="340"/>
      <c r="F39" s="341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42"/>
      <c r="C41" s="345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43"/>
      <c r="C42" s="346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44"/>
      <c r="C43" s="347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86</v>
      </c>
      <c r="C46" s="19"/>
      <c r="D46" s="339"/>
      <c r="E46" s="340"/>
      <c r="F46" s="341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42"/>
      <c r="C48" s="345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43"/>
      <c r="C49" s="346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44"/>
      <c r="C50" s="347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topLeftCell="A6" zoomScaleNormal="100" workbookViewId="0">
      <selection activeCell="B31" sqref="B31"/>
    </sheetView>
  </sheetViews>
  <sheetFormatPr defaultColWidth="9.109375" defaultRowHeight="13.2" x14ac:dyDescent="0.25"/>
  <cols>
    <col min="1" max="1" width="1.6640625" style="167" customWidth="1"/>
    <col min="2" max="2" width="5.33203125" style="167" customWidth="1"/>
    <col min="3" max="3" width="25.33203125" style="167" customWidth="1"/>
    <col min="4" max="4" width="8.6640625" style="167" customWidth="1"/>
    <col min="5" max="5" width="6.5546875" style="167" customWidth="1"/>
    <col min="6" max="6" width="1.88671875" style="273" customWidth="1"/>
    <col min="7" max="7" width="6.5546875" style="167" customWidth="1"/>
    <col min="8" max="8" width="10.44140625" style="167" bestFit="1" customWidth="1"/>
    <col min="9" max="9" width="6.5546875" style="167" customWidth="1"/>
    <col min="10" max="10" width="1.88671875" style="273" customWidth="1"/>
    <col min="11" max="11" width="6.5546875" style="167" customWidth="1"/>
    <col min="12" max="12" width="8.6640625" style="167" customWidth="1"/>
    <col min="13" max="13" width="24.109375" style="167" customWidth="1"/>
    <col min="14" max="14" width="15.5546875" style="167" hidden="1" customWidth="1"/>
    <col min="15" max="15" width="9.88671875" style="274" hidden="1" customWidth="1"/>
    <col min="16" max="16" width="5.33203125" style="167" customWidth="1"/>
    <col min="17" max="17" width="2.109375" style="275" customWidth="1"/>
    <col min="18" max="18" width="10.109375" style="167" customWidth="1"/>
    <col min="19" max="19" width="10.33203125" style="167" customWidth="1"/>
    <col min="20" max="21" width="10.5546875" style="167" customWidth="1"/>
    <col min="22" max="22" width="6.6640625" style="167" customWidth="1"/>
    <col min="23" max="23" width="16.44140625" style="167" customWidth="1"/>
    <col min="24" max="24" width="1.6640625" style="276" customWidth="1"/>
    <col min="25" max="25" width="7.88671875" style="272" hidden="1" customWidth="1"/>
    <col min="26" max="30" width="9.109375" style="164" hidden="1" customWidth="1"/>
    <col min="31" max="34" width="9.109375" style="163" hidden="1" customWidth="1"/>
    <col min="35" max="35" width="9.109375" style="165" hidden="1" customWidth="1"/>
    <col min="36" max="38" width="9.109375" style="166" hidden="1" customWidth="1"/>
    <col min="39" max="39" width="32.44140625" style="166" hidden="1" customWidth="1"/>
    <col min="40" max="40" width="11.6640625" style="166" hidden="1" customWidth="1"/>
    <col min="41" max="41" width="10.6640625" style="166" hidden="1" customWidth="1"/>
    <col min="42" max="43" width="9.109375" style="166" hidden="1" customWidth="1"/>
    <col min="44" max="44" width="27.33203125" style="166" hidden="1" customWidth="1"/>
    <col min="45" max="45" width="11.6640625" style="166" hidden="1" customWidth="1"/>
    <col min="46" max="46" width="10.6640625" style="166" hidden="1" customWidth="1"/>
    <col min="47" max="48" width="9.109375" style="166" hidden="1" customWidth="1"/>
    <col min="49" max="49" width="27.33203125" style="166" hidden="1" customWidth="1"/>
    <col min="50" max="50" width="11.6640625" style="166" hidden="1" customWidth="1"/>
    <col min="51" max="51" width="10.6640625" style="166" hidden="1" customWidth="1"/>
    <col min="52" max="53" width="9.109375" style="166" hidden="1" customWidth="1"/>
    <col min="54" max="54" width="27.33203125" style="166" hidden="1" customWidth="1"/>
    <col min="55" max="55" width="11.6640625" style="166" hidden="1" customWidth="1"/>
    <col min="56" max="56" width="10.6640625" style="166" hidden="1" customWidth="1"/>
    <col min="57" max="58" width="9.109375" style="166" hidden="1" customWidth="1"/>
    <col min="59" max="59" width="27.33203125" style="166" hidden="1" customWidth="1"/>
    <col min="60" max="60" width="11.6640625" style="166" hidden="1" customWidth="1"/>
    <col min="61" max="61" width="10.6640625" style="166" hidden="1" customWidth="1"/>
    <col min="62" max="63" width="9.109375" style="166" hidden="1" customWidth="1"/>
    <col min="64" max="64" width="27.33203125" style="166" hidden="1" customWidth="1"/>
    <col min="65" max="65" width="9.109375" style="166" hidden="1" customWidth="1"/>
    <col min="66" max="88" width="9.109375" style="167" hidden="1" customWidth="1"/>
    <col min="89" max="89" width="1.88671875" style="168" customWidth="1"/>
    <col min="90" max="90" width="38.33203125" style="168" customWidth="1"/>
    <col min="91" max="195" width="9.109375" style="168"/>
    <col min="196" max="16384" width="9.109375" style="167"/>
  </cols>
  <sheetData>
    <row r="1" spans="1:90" ht="13.8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LAS(Z)-30 (04)</v>
      </c>
      <c r="AI1" s="165" t="s">
        <v>8</v>
      </c>
      <c r="AJ1" s="166" t="s">
        <v>0</v>
      </c>
      <c r="AM1" s="166" t="str">
        <f>AF1</f>
        <v>[A] BB LAS(Z)-30 (04)</v>
      </c>
      <c r="AN1" s="166" t="s">
        <v>8</v>
      </c>
      <c r="AO1" s="166" t="s">
        <v>1</v>
      </c>
      <c r="AR1" s="166" t="str">
        <f>AF2</f>
        <v>[B] BB LAS(Z)-30A (05)</v>
      </c>
      <c r="AS1" s="166" t="s">
        <v>8</v>
      </c>
      <c r="AT1" s="166" t="s">
        <v>2</v>
      </c>
      <c r="AW1" s="166" t="str">
        <f>AF3</f>
        <v/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" thickBot="1" x14ac:dyDescent="0.35">
      <c r="A2" s="169"/>
      <c r="B2" s="394" t="s">
        <v>9</v>
      </c>
      <c r="C2" s="395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94" t="s">
        <v>10</v>
      </c>
      <c r="V2" s="396"/>
      <c r="W2" s="395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BB LAS(Z)-30A (05)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str">
        <f>IF('Cable Info'!P2="","",CONCATENATE('Cable Info'!P2," - ",'Cable Info'!Q2))</f>
        <v/>
      </c>
      <c r="AW2" s="166" t="str">
        <f>IF(AU2="",AT2,CONCATENATE(AT2,"  &lt;=&gt; ",AU2," ",AV2))</f>
        <v/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5">
      <c r="A3" s="169"/>
      <c r="B3" s="397" t="str">
        <f>'Cover - Location Info'!J8</f>
        <v>101611</v>
      </c>
      <c r="C3" s="398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401" t="str">
        <f>'Cover - Location Info'!J10</f>
        <v>1.1</v>
      </c>
      <c r="V3" s="402"/>
      <c r="W3" s="403"/>
      <c r="X3" s="175"/>
      <c r="Y3" s="163"/>
      <c r="AE3" s="163" t="s">
        <v>2</v>
      </c>
      <c r="AF3" s="163" t="str">
        <f>IF('Cable Info'!C25="","",CONCATENATE("[",AE3,"]"," ",'Cable Info'!C25))</f>
        <v/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str">
        <f>IF('Cable Info'!P3="","",CONCATENATE('Cable Info'!P3," - ",'Cable Info'!Q3))</f>
        <v/>
      </c>
      <c r="AW3" s="166" t="str">
        <f t="shared" ref="AW3:AW11" si="2">IF(AU3="",AT3,CONCATENATE(AT3,"  &lt;=&gt; ",AU3," ",AV3))</f>
        <v/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3">
      <c r="A4" s="169"/>
      <c r="B4" s="399"/>
      <c r="C4" s="400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404"/>
      <c r="V4" s="405"/>
      <c r="W4" s="406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str">
        <f>IF('Cable Info'!P4="","",CONCATENATE('Cable Info'!P4," - ",'Cable Info'!Q4))</f>
        <v/>
      </c>
      <c r="AW4" s="166" t="str">
        <f t="shared" si="2"/>
        <v/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407" t="str">
        <f>IF(AB9&gt;0,"COUNT MISMATCH","")</f>
        <v/>
      </c>
      <c r="H5" s="407"/>
      <c r="I5" s="407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str">
        <f>IF('Cable Info'!P5="","",CONCATENATE('Cable Info'!P5," - ",'Cable Info'!Q5))</f>
        <v/>
      </c>
      <c r="AW5" s="166" t="str">
        <f t="shared" si="2"/>
        <v/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92" t="str">
        <f>IF(Y9&gt;0,"FIBERS OUT OF SEQ.","")</f>
        <v/>
      </c>
      <c r="E6" s="392"/>
      <c r="F6" s="392"/>
      <c r="G6" s="392"/>
      <c r="H6" s="181"/>
      <c r="I6" s="393" t="str">
        <f>IF(Z9&gt;0,"FIBERS OUT OF SEQ.","")</f>
        <v/>
      </c>
      <c r="J6" s="393"/>
      <c r="K6" s="393"/>
      <c r="L6" s="393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str">
        <f>IF('Cable Info'!P6="","",CONCATENATE('Cable Info'!P6," - ",'Cable Info'!Q6))</f>
        <v/>
      </c>
      <c r="AW6" s="166" t="str">
        <f t="shared" si="2"/>
        <v/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83" t="s">
        <v>14</v>
      </c>
      <c r="C7" s="384"/>
      <c r="D7" s="384"/>
      <c r="E7" s="385"/>
      <c r="F7" s="385"/>
      <c r="G7" s="385"/>
      <c r="H7" s="384"/>
      <c r="I7" s="384"/>
      <c r="J7" s="384"/>
      <c r="K7" s="384"/>
      <c r="L7" s="384"/>
      <c r="M7" s="384"/>
      <c r="N7" s="384"/>
      <c r="O7" s="384"/>
      <c r="P7" s="386"/>
      <c r="Q7" s="186"/>
      <c r="R7" s="383" t="s">
        <v>15</v>
      </c>
      <c r="S7" s="384"/>
      <c r="T7" s="384"/>
      <c r="U7" s="384"/>
      <c r="V7" s="384"/>
      <c r="W7" s="386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str">
        <f>IF('Cable Info'!P7="","",CONCATENATE('Cable Info'!P7," - ",'Cable Info'!Q7))</f>
        <v/>
      </c>
      <c r="AW7" s="166" t="str">
        <f t="shared" si="2"/>
        <v/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8" thickBot="1" x14ac:dyDescent="0.3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str">
        <f>IF('Cable Info'!P8="","",CONCATENATE('Cable Info'!P8," - ",'Cable Info'!Q8))</f>
        <v/>
      </c>
      <c r="AW8" s="166" t="str">
        <f t="shared" si="2"/>
        <v/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387" t="s">
        <v>23</v>
      </c>
    </row>
    <row r="9" spans="1:90" ht="13.8" thickBot="1" x14ac:dyDescent="0.3">
      <c r="A9" s="188"/>
      <c r="B9" s="200" t="s">
        <v>24</v>
      </c>
      <c r="C9" s="201" t="s">
        <v>25</v>
      </c>
      <c r="D9" s="200" t="s">
        <v>26</v>
      </c>
      <c r="E9" s="389" t="s">
        <v>27</v>
      </c>
      <c r="F9" s="390"/>
      <c r="G9" s="391"/>
      <c r="H9" s="202" t="s">
        <v>28</v>
      </c>
      <c r="I9" s="389" t="s">
        <v>27</v>
      </c>
      <c r="J9" s="390"/>
      <c r="K9" s="391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str">
        <f>IF('Cable Info'!P9="","",CONCATENATE('Cable Info'!P9," - ",'Cable Info'!Q9))</f>
        <v/>
      </c>
      <c r="AW9" s="166" t="str">
        <f t="shared" si="2"/>
        <v/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388"/>
    </row>
    <row r="10" spans="1:90" ht="13.8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LAS(Z)-30 (04)</v>
      </c>
      <c r="D10" s="207">
        <v>1</v>
      </c>
      <c r="E10" s="208">
        <v>1</v>
      </c>
      <c r="F10" s="209" t="s">
        <v>37</v>
      </c>
      <c r="G10" s="210">
        <v>12</v>
      </c>
      <c r="H10" s="206">
        <f>IF(G10="","",((E10-G10)-1)*(-1))</f>
        <v>12</v>
      </c>
      <c r="I10" s="211">
        <v>1</v>
      </c>
      <c r="J10" s="209" t="s">
        <v>37</v>
      </c>
      <c r="K10" s="212">
        <v>12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BB LAS(Z)-30A (05)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12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str">
        <f>IF('Cable Info'!P10="","",CONCATENATE('Cable Info'!P10," - ",'Cable Info'!Q10))</f>
        <v/>
      </c>
      <c r="AW10" s="166" t="str">
        <f t="shared" si="2"/>
        <v/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LAS(Z)-30 (04)</v>
      </c>
      <c r="D11" s="223">
        <v>2</v>
      </c>
      <c r="E11" s="224">
        <v>13</v>
      </c>
      <c r="F11" s="225" t="s">
        <v>37</v>
      </c>
      <c r="G11" s="226">
        <v>24</v>
      </c>
      <c r="H11" s="222">
        <f>IF(G11="","",((E11-G11)-1)*(-1))</f>
        <v>12</v>
      </c>
      <c r="I11" s="227">
        <v>289</v>
      </c>
      <c r="J11" s="225" t="s">
        <v>37</v>
      </c>
      <c r="K11" s="228">
        <v>300</v>
      </c>
      <c r="L11" s="229">
        <v>25</v>
      </c>
      <c r="M11" s="222" t="str">
        <f>IFERROR(IF(P11="","",IF((COUNTIF('Cable Info'!$B$11:$C$50,P11)=0),VLOOKUP(P11,'Cable Info (2)'!$B$11:$C$50,2,FALSE),(VLOOKUP(P11,'Cable Info'!$B$11:$C$50,2,FALSE)))),"NO SUCH EXIT")</f>
        <v>BB LAS(Z)-30A (05)</v>
      </c>
      <c r="N11" s="230"/>
      <c r="O11" s="231"/>
      <c r="P11" s="232" t="s">
        <v>1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12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str">
        <f>IF('Cable Info'!P10="","",CONCATENATE('Cable Info'!P10," - ",'Cable Info'!Q10))</f>
        <v/>
      </c>
      <c r="AU11" s="166" t="s">
        <v>38</v>
      </c>
      <c r="AW11" s="166" t="str">
        <f t="shared" si="2"/>
        <v xml:space="preserve">  &lt;=&gt; CABLEC 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5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LAS(Z)-30 (04)</v>
      </c>
      <c r="D12" s="223">
        <v>3</v>
      </c>
      <c r="E12" s="224">
        <v>25</v>
      </c>
      <c r="F12" s="225" t="s">
        <v>37</v>
      </c>
      <c r="G12" s="226">
        <v>34</v>
      </c>
      <c r="H12" s="222">
        <f t="shared" ref="H12:H75" si="12">IF(G12="","",((E12-G12)-1)*(-1))</f>
        <v>10</v>
      </c>
      <c r="I12" s="227">
        <v>25</v>
      </c>
      <c r="J12" s="225" t="s">
        <v>37</v>
      </c>
      <c r="K12" s="228">
        <v>34</v>
      </c>
      <c r="L12" s="229">
        <v>3</v>
      </c>
      <c r="M12" s="222" t="str">
        <f>IFERROR(IF(P12="","",IF((COUNTIF('Cable Info'!$B$11:$C$50,P12)=0),VLOOKUP(P12,'Cable Info (2)'!$B$11:$C$50,2,FALSE),(VLOOKUP(P12,'Cable Info'!$B$11:$C$50,2,FALSE)))),"NO SUCH EXIT")</f>
        <v>BB LAS(Z)-30A (05)</v>
      </c>
      <c r="N12" s="230"/>
      <c r="O12" s="231"/>
      <c r="P12" s="232" t="s">
        <v>1</v>
      </c>
      <c r="Q12" s="186"/>
      <c r="R12" s="233"/>
      <c r="S12" s="233"/>
      <c r="T12" s="234"/>
      <c r="U12" s="234"/>
      <c r="V12" s="235"/>
      <c r="W12" s="217"/>
      <c r="X12" s="236" t="str">
        <f t="shared" ref="X12:X75" si="13">IF(V12="","",IF(R12="","",IF(S12="","",IF(R12="SPLICED",(IF(S12="SPLICE",0,9)),IF(V12=$U$3,(IF(S12="BREAK",12,11)),IF(S12="BREAK",2,1))))))</f>
        <v/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10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str">
        <f>IF('Cable Info'!P11="","",CONCATENATE('Cable Info'!P11," - ",'Cable Info'!Q11))</f>
        <v/>
      </c>
      <c r="AU12" s="166" t="s">
        <v>38</v>
      </c>
      <c r="AW12" s="166" t="str">
        <f t="shared" ref="AW12:AW75" si="20">IF(AU12="",AT12,CONCATENATE(AT12,"  &lt;=&gt; ",AU12," ",AV12))</f>
        <v xml:space="preserve">  &lt;=&gt; CABLEC 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/>
    </row>
    <row r="13" spans="1:90" x14ac:dyDescent="0.25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LAS(Z)-30 (04)</v>
      </c>
      <c r="D13" s="223">
        <v>4</v>
      </c>
      <c r="E13" s="224">
        <v>37</v>
      </c>
      <c r="F13" s="225" t="s">
        <v>37</v>
      </c>
      <c r="G13" s="226">
        <v>38</v>
      </c>
      <c r="H13" s="222">
        <f t="shared" si="12"/>
        <v>2</v>
      </c>
      <c r="I13" s="227">
        <v>37</v>
      </c>
      <c r="J13" s="225" t="s">
        <v>37</v>
      </c>
      <c r="K13" s="228">
        <v>38</v>
      </c>
      <c r="L13" s="229">
        <v>4</v>
      </c>
      <c r="M13" s="222" t="str">
        <f>IFERROR(IF(P13="","",IF((COUNTIF('Cable Info'!$B$11:$C$50,P13)=0),VLOOKUP(P13,'Cable Info (2)'!$B$11:$C$50,2,FALSE),(VLOOKUP(P13,'Cable Info'!$B$11:$C$50,2,FALSE)))),"NO SUCH EXIT")</f>
        <v>BB LAS(Z)-30A (05)</v>
      </c>
      <c r="N13" s="230"/>
      <c r="O13" s="231"/>
      <c r="P13" s="232" t="s">
        <v>1</v>
      </c>
      <c r="Q13" s="186"/>
      <c r="R13" s="233"/>
      <c r="S13" s="233"/>
      <c r="T13" s="234"/>
      <c r="U13" s="234"/>
      <c r="V13" s="235"/>
      <c r="W13" s="217"/>
      <c r="X13" s="236" t="str">
        <f t="shared" si="13"/>
        <v/>
      </c>
      <c r="Y13" s="163" t="str">
        <f t="shared" si="14"/>
        <v/>
      </c>
      <c r="Z13" s="164" t="str">
        <f t="shared" si="15"/>
        <v/>
      </c>
      <c r="AA13" s="164">
        <f t="shared" si="16"/>
        <v>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str">
        <f>IF('Cable Info'!P12="","",CONCATENATE('Cable Info'!P12," - ",'Cable Info'!Q12))</f>
        <v/>
      </c>
      <c r="AU13" s="166" t="s">
        <v>38</v>
      </c>
      <c r="AW13" s="166" t="str">
        <f t="shared" si="20"/>
        <v xml:space="preserve">  &lt;=&gt; CABLEC 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/>
    </row>
    <row r="14" spans="1:90" x14ac:dyDescent="0.25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LAS(Z)-30 (04)</v>
      </c>
      <c r="D14" s="223">
        <v>4</v>
      </c>
      <c r="E14" s="224">
        <v>41</v>
      </c>
      <c r="F14" s="225" t="s">
        <v>37</v>
      </c>
      <c r="G14" s="226">
        <v>48</v>
      </c>
      <c r="H14" s="222">
        <f t="shared" si="12"/>
        <v>8</v>
      </c>
      <c r="I14" s="227">
        <v>41</v>
      </c>
      <c r="J14" s="225" t="s">
        <v>37</v>
      </c>
      <c r="K14" s="228">
        <v>48</v>
      </c>
      <c r="L14" s="229">
        <v>4</v>
      </c>
      <c r="M14" s="222" t="str">
        <f>IFERROR(IF(P14="","",IF((COUNTIF('Cable Info'!$B$11:$C$50,P14)=0),VLOOKUP(P14,'Cable Info (2)'!$B$11:$C$50,2,FALSE),(VLOOKUP(P14,'Cable Info'!$B$11:$C$50,2,FALSE)))),"NO SUCH EXIT")</f>
        <v>BB LAS(Z)-30A (05)</v>
      </c>
      <c r="N14" s="230"/>
      <c r="O14" s="231"/>
      <c r="P14" s="232" t="s">
        <v>1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>
        <f t="shared" si="16"/>
        <v>8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str">
        <f>IF('Cable Info'!P13="","",CONCATENATE('Cable Info'!P13," - ",'Cable Info'!Q13))</f>
        <v/>
      </c>
      <c r="AU14" s="166" t="s">
        <v>38</v>
      </c>
      <c r="AW14" s="166" t="str">
        <f t="shared" si="20"/>
        <v xml:space="preserve">  &lt;=&gt; CABLEC 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x14ac:dyDescent="0.25">
      <c r="A15" s="185"/>
      <c r="B15" s="205" t="s">
        <v>0</v>
      </c>
      <c r="C15" s="222" t="str">
        <f>IFERROR(IF(B15="","",IF((COUNTIF('Cable Info'!$B$11:$C$50,B15)=0),VLOOKUP(B15,'Cable Info (2)'!$B$11:$C$50,2,FALSE),(VLOOKUP(B15,'Cable Info'!$B$11:$C$50,2,FALSE)))),"NO SUCH EXIT")</f>
        <v>BB LAS(Z)-30 (04)</v>
      </c>
      <c r="D15" s="223">
        <v>5</v>
      </c>
      <c r="E15" s="224">
        <v>49</v>
      </c>
      <c r="F15" s="225" t="s">
        <v>37</v>
      </c>
      <c r="G15" s="226">
        <v>54</v>
      </c>
      <c r="H15" s="222">
        <f t="shared" si="12"/>
        <v>6</v>
      </c>
      <c r="I15" s="227">
        <v>49</v>
      </c>
      <c r="J15" s="225" t="s">
        <v>37</v>
      </c>
      <c r="K15" s="228">
        <v>54</v>
      </c>
      <c r="L15" s="229">
        <v>5</v>
      </c>
      <c r="M15" s="222" t="str">
        <f>IFERROR(IF(P15="","",IF((COUNTIF('Cable Info'!$B$11:$C$50,P15)=0),VLOOKUP(P15,'Cable Info (2)'!$B$11:$C$50,2,FALSE),(VLOOKUP(P15,'Cable Info'!$B$11:$C$50,2,FALSE)))),"NO SUCH EXIT")</f>
        <v>BB LAS(Z)-30A (05)</v>
      </c>
      <c r="N15" s="230"/>
      <c r="O15" s="231"/>
      <c r="P15" s="232" t="s">
        <v>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>
        <f t="shared" si="16"/>
        <v>6</v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str">
        <f>IF('Cable Info'!P14="","",CONCATENATE('Cable Info'!P14," - ",'Cable Info'!Q14))</f>
        <v/>
      </c>
      <c r="AU15" s="166" t="s">
        <v>38</v>
      </c>
      <c r="AW15" s="166" t="str">
        <f t="shared" si="20"/>
        <v xml:space="preserve">  &lt;=&gt; CABLEC 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5">
      <c r="A16" s="185"/>
      <c r="B16" s="205" t="s">
        <v>0</v>
      </c>
      <c r="C16" s="222" t="str">
        <f>IFERROR(IF(B16="","",IF((COUNTIF('Cable Info'!$B$11:$C$50,B16)=0),VLOOKUP(B16,'Cable Info (2)'!$B$11:$C$50,2,FALSE),(VLOOKUP(B16,'Cable Info'!$B$11:$C$50,2,FALSE)))),"NO SUCH EXIT")</f>
        <v>BB LAS(Z)-30 (04)</v>
      </c>
      <c r="D16" s="223">
        <v>5</v>
      </c>
      <c r="E16" s="224">
        <v>55</v>
      </c>
      <c r="F16" s="225" t="s">
        <v>37</v>
      </c>
      <c r="G16" s="226">
        <v>60</v>
      </c>
      <c r="H16" s="222">
        <f t="shared" si="12"/>
        <v>6</v>
      </c>
      <c r="I16" s="227">
        <v>67</v>
      </c>
      <c r="J16" s="225" t="s">
        <v>37</v>
      </c>
      <c r="K16" s="228">
        <v>72</v>
      </c>
      <c r="L16" s="229">
        <v>6</v>
      </c>
      <c r="M16" s="222" t="str">
        <f>IFERROR(IF(P16="","",IF((COUNTIF('Cable Info'!$B$11:$C$50,P16)=0),VLOOKUP(P16,'Cable Info (2)'!$B$11:$C$50,2,FALSE),(VLOOKUP(P16,'Cable Info'!$B$11:$C$50,2,FALSE)))),"NO SUCH EXIT")</f>
        <v>BB LAS(Z)-30A (05)</v>
      </c>
      <c r="N16" s="230"/>
      <c r="O16" s="231"/>
      <c r="P16" s="232" t="s">
        <v>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>
        <f t="shared" si="16"/>
        <v>6</v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str">
        <f>IF('Cable Info'!P15="","",CONCATENATE('Cable Info'!P15," - ",'Cable Info'!Q15))</f>
        <v/>
      </c>
      <c r="AU16" s="166" t="s">
        <v>38</v>
      </c>
      <c r="AW16" s="166" t="str">
        <f t="shared" si="20"/>
        <v xml:space="preserve">  &lt;=&gt; CABLEC 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5">
      <c r="A17" s="185"/>
      <c r="B17" s="205" t="s">
        <v>0</v>
      </c>
      <c r="C17" s="222" t="str">
        <f>IFERROR(IF(B17="","",IF((COUNTIF('Cable Info'!$B$11:$C$50,B17)=0),VLOOKUP(B17,'Cable Info (2)'!$B$11:$C$50,2,FALSE),(VLOOKUP(B17,'Cable Info'!$B$11:$C$50,2,FALSE)))),"NO SUCH EXIT")</f>
        <v>BB LAS(Z)-30 (04)</v>
      </c>
      <c r="D17" s="223">
        <v>6</v>
      </c>
      <c r="E17" s="224">
        <v>61</v>
      </c>
      <c r="F17" s="225" t="s">
        <v>37</v>
      </c>
      <c r="G17" s="226">
        <v>66</v>
      </c>
      <c r="H17" s="222">
        <f t="shared" si="12"/>
        <v>6</v>
      </c>
      <c r="I17" s="227">
        <v>61</v>
      </c>
      <c r="J17" s="225" t="s">
        <v>37</v>
      </c>
      <c r="K17" s="228">
        <v>66</v>
      </c>
      <c r="L17" s="229">
        <v>6</v>
      </c>
      <c r="M17" s="222" t="str">
        <f>IFERROR(IF(P17="","",IF((COUNTIF('Cable Info'!$B$11:$C$50,P17)=0),VLOOKUP(P17,'Cable Info (2)'!$B$11:$C$50,2,FALSE),(VLOOKUP(P17,'Cable Info'!$B$11:$C$50,2,FALSE)))),"NO SUCH EXIT")</f>
        <v>BB LAS(Z)-30A (05)</v>
      </c>
      <c r="N17" s="230"/>
      <c r="O17" s="231"/>
      <c r="P17" s="232" t="s">
        <v>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>
        <f t="shared" si="16"/>
        <v>6</v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str">
        <f>IF('Cable Info'!P16="","",CONCATENATE('Cable Info'!P16," - ",'Cable Info'!Q16))</f>
        <v/>
      </c>
      <c r="AU17" s="166" t="s">
        <v>38</v>
      </c>
      <c r="AW17" s="166" t="str">
        <f t="shared" si="20"/>
        <v xml:space="preserve">  &lt;=&gt; CABLEC 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5">
      <c r="A18" s="185"/>
      <c r="B18" s="205" t="s">
        <v>0</v>
      </c>
      <c r="C18" s="222" t="str">
        <f>IFERROR(IF(B18="","",IF((COUNTIF('Cable Info'!$B$11:$C$50,B18)=0),VLOOKUP(B18,'Cable Info (2)'!$B$11:$C$50,2,FALSE),(VLOOKUP(B18,'Cable Info'!$B$11:$C$50,2,FALSE)))),"NO SUCH EXIT")</f>
        <v>BB LAS(Z)-30 (04)</v>
      </c>
      <c r="D18" s="223">
        <v>6</v>
      </c>
      <c r="E18" s="224">
        <v>71</v>
      </c>
      <c r="F18" s="225" t="s">
        <v>37</v>
      </c>
      <c r="G18" s="226">
        <v>72</v>
      </c>
      <c r="H18" s="222">
        <f t="shared" si="12"/>
        <v>2</v>
      </c>
      <c r="I18" s="227">
        <v>57</v>
      </c>
      <c r="J18" s="225" t="s">
        <v>37</v>
      </c>
      <c r="K18" s="228">
        <v>58</v>
      </c>
      <c r="L18" s="229">
        <v>5</v>
      </c>
      <c r="M18" s="222" t="str">
        <f>IFERROR(IF(P18="","",IF((COUNTIF('Cable Info'!$B$11:$C$50,P18)=0),VLOOKUP(P18,'Cable Info (2)'!$B$11:$C$50,2,FALSE),(VLOOKUP(P18,'Cable Info'!$B$11:$C$50,2,FALSE)))),"NO SUCH EXIT")</f>
        <v>BB LAS(Z)-30A (05)</v>
      </c>
      <c r="N18" s="230"/>
      <c r="O18" s="231"/>
      <c r="P18" s="232" t="s">
        <v>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>
        <f t="shared" si="16"/>
        <v>2</v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str">
        <f>IF('Cable Info'!P17="","",CONCATENATE('Cable Info'!P17," - ",'Cable Info'!Q17))</f>
        <v/>
      </c>
      <c r="AU18" s="166" t="s">
        <v>38</v>
      </c>
      <c r="AW18" s="166" t="str">
        <f t="shared" si="20"/>
        <v xml:space="preserve">  &lt;=&gt; CABLEC 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5">
      <c r="A19" s="185"/>
      <c r="B19" s="205" t="s">
        <v>0</v>
      </c>
      <c r="C19" s="222" t="str">
        <f>IFERROR(IF(B19="","",IF((COUNTIF('Cable Info'!$B$11:$C$50,B19)=0),VLOOKUP(B19,'Cable Info (2)'!$B$11:$C$50,2,FALSE),(VLOOKUP(B19,'Cable Info'!$B$11:$C$50,2,FALSE)))),"NO SUCH EXIT")</f>
        <v>BB LAS(Z)-30 (04)</v>
      </c>
      <c r="D19" s="223">
        <v>7</v>
      </c>
      <c r="E19" s="224">
        <v>75</v>
      </c>
      <c r="F19" s="225" t="s">
        <v>37</v>
      </c>
      <c r="G19" s="226">
        <v>78</v>
      </c>
      <c r="H19" s="222">
        <f t="shared" si="12"/>
        <v>4</v>
      </c>
      <c r="I19" s="227">
        <v>75</v>
      </c>
      <c r="J19" s="225" t="s">
        <v>37</v>
      </c>
      <c r="K19" s="228">
        <v>78</v>
      </c>
      <c r="L19" s="229">
        <v>7</v>
      </c>
      <c r="M19" s="222" t="str">
        <f>IFERROR(IF(P19="","",IF((COUNTIF('Cable Info'!$B$11:$C$50,P19)=0),VLOOKUP(P19,'Cable Info (2)'!$B$11:$C$50,2,FALSE),(VLOOKUP(P19,'Cable Info'!$B$11:$C$50,2,FALSE)))),"NO SUCH EXIT")</f>
        <v>BB LAS(Z)-30A (05)</v>
      </c>
      <c r="N19" s="230"/>
      <c r="O19" s="231"/>
      <c r="P19" s="232" t="s">
        <v>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>
        <f t="shared" si="16"/>
        <v>4</v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str">
        <f>IF('Cable Info'!P18="","",CONCATENATE('Cable Info'!P18," - ",'Cable Info'!Q18))</f>
        <v/>
      </c>
      <c r="AU19" s="166" t="s">
        <v>38</v>
      </c>
      <c r="AW19" s="166" t="str">
        <f t="shared" si="20"/>
        <v xml:space="preserve">  &lt;=&gt; CABLEC 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5">
      <c r="A20" s="185"/>
      <c r="B20" s="205" t="s">
        <v>0</v>
      </c>
      <c r="C20" s="222" t="str">
        <f>IFERROR(IF(B20="","",IF((COUNTIF('Cable Info'!$B$11:$C$50,B20)=0),VLOOKUP(B20,'Cable Info (2)'!$B$11:$C$50,2,FALSE),(VLOOKUP(B20,'Cable Info'!$B$11:$C$50,2,FALSE)))),"NO SUCH EXIT")</f>
        <v>BB LAS(Z)-30 (04)</v>
      </c>
      <c r="D20" s="223">
        <v>7</v>
      </c>
      <c r="E20" s="224">
        <v>81</v>
      </c>
      <c r="F20" s="225" t="s">
        <v>37</v>
      </c>
      <c r="G20" s="226">
        <v>84</v>
      </c>
      <c r="H20" s="222">
        <f t="shared" si="12"/>
        <v>4</v>
      </c>
      <c r="I20" s="227">
        <v>97</v>
      </c>
      <c r="J20" s="225" t="s">
        <v>37</v>
      </c>
      <c r="K20" s="228">
        <v>100</v>
      </c>
      <c r="L20" s="229">
        <v>9</v>
      </c>
      <c r="M20" s="222" t="str">
        <f>IFERROR(IF(P20="","",IF((COUNTIF('Cable Info'!$B$11:$C$50,P20)=0),VLOOKUP(P20,'Cable Info (2)'!$B$11:$C$50,2,FALSE),(VLOOKUP(P20,'Cable Info'!$B$11:$C$50,2,FALSE)))),"NO SUCH EXIT")</f>
        <v>BB LAS(Z)-30A (05)</v>
      </c>
      <c r="N20" s="230"/>
      <c r="O20" s="231"/>
      <c r="P20" s="232" t="s">
        <v>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>
        <f t="shared" si="16"/>
        <v>4</v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str">
        <f>IF('Cable Info'!P19="","",CONCATENATE('Cable Info'!P19," - ",'Cable Info'!Q19))</f>
        <v/>
      </c>
      <c r="AU20" s="166" t="s">
        <v>38</v>
      </c>
      <c r="AW20" s="166" t="str">
        <f t="shared" si="20"/>
        <v xml:space="preserve">  &lt;=&gt; CABLEC 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5">
      <c r="A21" s="185"/>
      <c r="B21" s="205" t="s">
        <v>0</v>
      </c>
      <c r="C21" s="222" t="str">
        <f>IFERROR(IF(B21="","",IF((COUNTIF('Cable Info'!$B$11:$C$50,B21)=0),VLOOKUP(B21,'Cable Info (2)'!$B$11:$C$50,2,FALSE),(VLOOKUP(B21,'Cable Info'!$B$11:$C$50,2,FALSE)))),"NO SUCH EXIT")</f>
        <v>BB LAS(Z)-30 (04)</v>
      </c>
      <c r="D21" s="223">
        <v>8</v>
      </c>
      <c r="E21" s="224">
        <v>85</v>
      </c>
      <c r="F21" s="225" t="s">
        <v>37</v>
      </c>
      <c r="G21" s="226">
        <v>86</v>
      </c>
      <c r="H21" s="222">
        <f t="shared" si="12"/>
        <v>2</v>
      </c>
      <c r="I21" s="227">
        <v>85</v>
      </c>
      <c r="J21" s="225" t="s">
        <v>37</v>
      </c>
      <c r="K21" s="228">
        <v>86</v>
      </c>
      <c r="L21" s="229">
        <v>8</v>
      </c>
      <c r="M21" s="222" t="str">
        <f>IFERROR(IF(P21="","",IF((COUNTIF('Cable Info'!$B$11:$C$50,P21)=0),VLOOKUP(P21,'Cable Info (2)'!$B$11:$C$50,2,FALSE),(VLOOKUP(P21,'Cable Info'!$B$11:$C$50,2,FALSE)))),"NO SUCH EXIT")</f>
        <v>BB LAS(Z)-30A (05)</v>
      </c>
      <c r="N21" s="230"/>
      <c r="O21" s="231"/>
      <c r="P21" s="232" t="s">
        <v>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>
        <f t="shared" si="16"/>
        <v>2</v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str">
        <f>IF('Cable Info'!P20="","",CONCATENATE('Cable Info'!P20," - ",'Cable Info'!Q20))</f>
        <v/>
      </c>
      <c r="AU21" s="166" t="s">
        <v>38</v>
      </c>
      <c r="AW21" s="166" t="str">
        <f t="shared" si="20"/>
        <v xml:space="preserve">  &lt;=&gt; CABLEC 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5">
      <c r="A22" s="185"/>
      <c r="B22" s="205" t="s">
        <v>0</v>
      </c>
      <c r="C22" s="222" t="str">
        <f>IFERROR(IF(B22="","",IF((COUNTIF('Cable Info'!$B$11:$C$50,B22)=0),VLOOKUP(B22,'Cable Info (2)'!$B$11:$C$50,2,FALSE),(VLOOKUP(B22,'Cable Info'!$B$11:$C$50,2,FALSE)))),"NO SUCH EXIT")</f>
        <v>BB LAS(Z)-30 (04)</v>
      </c>
      <c r="D22" s="223">
        <v>8</v>
      </c>
      <c r="E22" s="224">
        <v>89</v>
      </c>
      <c r="F22" s="225" t="s">
        <v>37</v>
      </c>
      <c r="G22" s="226">
        <v>96</v>
      </c>
      <c r="H22" s="222">
        <f t="shared" si="12"/>
        <v>8</v>
      </c>
      <c r="I22" s="227">
        <v>89</v>
      </c>
      <c r="J22" s="225" t="s">
        <v>37</v>
      </c>
      <c r="K22" s="228">
        <v>96</v>
      </c>
      <c r="L22" s="229">
        <v>8</v>
      </c>
      <c r="M22" s="222" t="str">
        <f>IFERROR(IF(P22="","",IF((COUNTIF('Cable Info'!$B$11:$C$50,P22)=0),VLOOKUP(P22,'Cable Info (2)'!$B$11:$C$50,2,FALSE),(VLOOKUP(P22,'Cable Info'!$B$11:$C$50,2,FALSE)))),"NO SUCH EXIT")</f>
        <v>BB LAS(Z)-30A (05)</v>
      </c>
      <c r="N22" s="230"/>
      <c r="O22" s="231"/>
      <c r="P22" s="232" t="s">
        <v>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>
        <f t="shared" si="16"/>
        <v>8</v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str">
        <f>IF('Cable Info'!P21="","",CONCATENATE('Cable Info'!P21," - ",'Cable Info'!Q21))</f>
        <v/>
      </c>
      <c r="AU22" s="166" t="s">
        <v>38</v>
      </c>
      <c r="AW22" s="166" t="str">
        <f t="shared" si="20"/>
        <v xml:space="preserve">  &lt;=&gt; CABLEC 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5">
      <c r="A23" s="185"/>
      <c r="B23" s="205" t="s">
        <v>0</v>
      </c>
      <c r="C23" s="222" t="str">
        <f>IFERROR(IF(B23="","",IF((COUNTIF('Cable Info'!$B$11:$C$50,B23)=0),VLOOKUP(B23,'Cable Info (2)'!$B$11:$C$50,2,FALSE),(VLOOKUP(B23,'Cable Info'!$B$11:$C$50,2,FALSE)))),"NO SUCH EXIT")</f>
        <v>BB LAS(Z)-30 (04)</v>
      </c>
      <c r="D23" s="223">
        <v>9</v>
      </c>
      <c r="E23" s="224">
        <v>99</v>
      </c>
      <c r="F23" s="225" t="s">
        <v>37</v>
      </c>
      <c r="G23" s="226">
        <v>108</v>
      </c>
      <c r="H23" s="222">
        <f t="shared" si="12"/>
        <v>10</v>
      </c>
      <c r="I23" s="227">
        <v>99</v>
      </c>
      <c r="J23" s="225" t="s">
        <v>37</v>
      </c>
      <c r="K23" s="228">
        <v>108</v>
      </c>
      <c r="L23" s="229">
        <v>9</v>
      </c>
      <c r="M23" s="222" t="str">
        <f>IFERROR(IF(P23="","",IF((COUNTIF('Cable Info'!$B$11:$C$50,P23)=0),VLOOKUP(P23,'Cable Info (2)'!$B$11:$C$50,2,FALSE),(VLOOKUP(P23,'Cable Info'!$B$11:$C$50,2,FALSE)))),"NO SUCH EXIT")</f>
        <v>BB LAS(Z)-30A (05)</v>
      </c>
      <c r="N23" s="230"/>
      <c r="O23" s="231"/>
      <c r="P23" s="232" t="s">
        <v>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>
        <f t="shared" si="16"/>
        <v>10</v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str">
        <f>IF('Cable Info'!P22="","",CONCATENATE('Cable Info'!P22," - ",'Cable Info'!Q22))</f>
        <v/>
      </c>
      <c r="AU23" s="166" t="s">
        <v>38</v>
      </c>
      <c r="AW23" s="166" t="str">
        <f t="shared" si="20"/>
        <v xml:space="preserve">  &lt;=&gt; CABLEC 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5">
      <c r="A24" s="185"/>
      <c r="B24" s="205" t="s">
        <v>0</v>
      </c>
      <c r="C24" s="222" t="str">
        <f>IFERROR(IF(B24="","",IF((COUNTIF('Cable Info'!$B$11:$C$50,B24)=0),VLOOKUP(B24,'Cable Info (2)'!$B$11:$C$50,2,FALSE),(VLOOKUP(B24,'Cable Info'!$B$11:$C$50,2,FALSE)))),"NO SUCH EXIT")</f>
        <v>BB LAS(Z)-30 (04)</v>
      </c>
      <c r="D24" s="223">
        <v>10</v>
      </c>
      <c r="E24" s="224">
        <v>109</v>
      </c>
      <c r="F24" s="225" t="s">
        <v>37</v>
      </c>
      <c r="G24" s="226">
        <v>120</v>
      </c>
      <c r="H24" s="222">
        <f t="shared" si="12"/>
        <v>12</v>
      </c>
      <c r="I24" s="227">
        <v>109</v>
      </c>
      <c r="J24" s="225" t="s">
        <v>37</v>
      </c>
      <c r="K24" s="228">
        <v>120</v>
      </c>
      <c r="L24" s="229">
        <v>10</v>
      </c>
      <c r="M24" s="222" t="str">
        <f>IFERROR(IF(P24="","",IF((COUNTIF('Cable Info'!$B$11:$C$50,P24)=0),VLOOKUP(P24,'Cable Info (2)'!$B$11:$C$50,2,FALSE),(VLOOKUP(P24,'Cable Info'!$B$11:$C$50,2,FALSE)))),"NO SUCH EXIT")</f>
        <v>BB LAS(Z)-30A (05)</v>
      </c>
      <c r="N24" s="230"/>
      <c r="O24" s="231"/>
      <c r="P24" s="232" t="s">
        <v>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>
        <f t="shared" si="16"/>
        <v>12</v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str">
        <f>IF('Cable Info'!P23="","",CONCATENATE('Cable Info'!P23," - ",'Cable Info'!Q23))</f>
        <v/>
      </c>
      <c r="AU24" s="166" t="s">
        <v>38</v>
      </c>
      <c r="AW24" s="166" t="str">
        <f t="shared" si="20"/>
        <v xml:space="preserve">  &lt;=&gt; CABLEC 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5">
      <c r="A25" s="185"/>
      <c r="B25" s="205" t="s">
        <v>0</v>
      </c>
      <c r="C25" s="222" t="str">
        <f>IFERROR(IF(B25="","",IF((COUNTIF('Cable Info'!$B$11:$C$50,B25)=0),VLOOKUP(B25,'Cable Info (2)'!$B$11:$C$50,2,FALSE),(VLOOKUP(B25,'Cable Info'!$B$11:$C$50,2,FALSE)))),"NO SUCH EXIT")</f>
        <v>BB LAS(Z)-30 (04)</v>
      </c>
      <c r="D25" s="223">
        <v>11</v>
      </c>
      <c r="E25" s="224">
        <v>121</v>
      </c>
      <c r="F25" s="225" t="s">
        <v>37</v>
      </c>
      <c r="G25" s="226">
        <v>132</v>
      </c>
      <c r="H25" s="222">
        <f t="shared" si="12"/>
        <v>12</v>
      </c>
      <c r="I25" s="227">
        <v>121</v>
      </c>
      <c r="J25" s="225" t="s">
        <v>37</v>
      </c>
      <c r="K25" s="228">
        <v>132</v>
      </c>
      <c r="L25" s="229">
        <v>11</v>
      </c>
      <c r="M25" s="222" t="str">
        <f>IFERROR(IF(P25="","",IF((COUNTIF('Cable Info'!$B$11:$C$50,P25)=0),VLOOKUP(P25,'Cable Info (2)'!$B$11:$C$50,2,FALSE),(VLOOKUP(P25,'Cable Info'!$B$11:$C$50,2,FALSE)))),"NO SUCH EXIT")</f>
        <v>BB LAS(Z)-30A (05)</v>
      </c>
      <c r="N25" s="230"/>
      <c r="O25" s="231"/>
      <c r="P25" s="232" t="s">
        <v>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>
        <f t="shared" si="16"/>
        <v>12</v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str">
        <f>IF('Cable Info'!P24="","",CONCATENATE('Cable Info'!P24," - ",'Cable Info'!Q24))</f>
        <v/>
      </c>
      <c r="AU25" s="166" t="s">
        <v>38</v>
      </c>
      <c r="AW25" s="166" t="str">
        <f t="shared" si="20"/>
        <v xml:space="preserve">  &lt;=&gt; CABLEC 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5">
      <c r="A26" s="185"/>
      <c r="B26" s="205" t="s">
        <v>0</v>
      </c>
      <c r="C26" s="222" t="str">
        <f>IFERROR(IF(B26="","",IF((COUNTIF('Cable Info'!$B$11:$C$50,B26)=0),VLOOKUP(B26,'Cable Info (2)'!$B$11:$C$50,2,FALSE),(VLOOKUP(B26,'Cable Info'!$B$11:$C$50,2,FALSE)))),"NO SUCH EXIT")</f>
        <v>BB LAS(Z)-30 (04)</v>
      </c>
      <c r="D26" s="223">
        <v>12</v>
      </c>
      <c r="E26" s="224">
        <v>133</v>
      </c>
      <c r="F26" s="225" t="s">
        <v>37</v>
      </c>
      <c r="G26" s="226">
        <v>144</v>
      </c>
      <c r="H26" s="222">
        <f t="shared" si="12"/>
        <v>12</v>
      </c>
      <c r="I26" s="227">
        <v>133</v>
      </c>
      <c r="J26" s="225" t="s">
        <v>37</v>
      </c>
      <c r="K26" s="228">
        <v>144</v>
      </c>
      <c r="L26" s="229">
        <v>12</v>
      </c>
      <c r="M26" s="222" t="str">
        <f>IFERROR(IF(P26="","",IF((COUNTIF('Cable Info'!$B$11:$C$50,P26)=0),VLOOKUP(P26,'Cable Info (2)'!$B$11:$C$50,2,FALSE),(VLOOKUP(P26,'Cable Info'!$B$11:$C$50,2,FALSE)))),"NO SUCH EXIT")</f>
        <v>BB LAS(Z)-30A (05)</v>
      </c>
      <c r="N26" s="230"/>
      <c r="O26" s="231"/>
      <c r="P26" s="232" t="s">
        <v>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>
        <f t="shared" si="16"/>
        <v>12</v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str">
        <f>IF('Cable Info'!P25="","",CONCATENATE('Cable Info'!P25," - ",'Cable Info'!Q25))</f>
        <v/>
      </c>
      <c r="AU26" s="166" t="s">
        <v>38</v>
      </c>
      <c r="AW26" s="166" t="str">
        <f t="shared" si="20"/>
        <v xml:space="preserve">  &lt;=&gt; CABLEC 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5">
      <c r="A27" s="185"/>
      <c r="B27" s="205" t="s">
        <v>0</v>
      </c>
      <c r="C27" s="222" t="str">
        <f>IFERROR(IF(B27="","",IF((COUNTIF('Cable Info'!$B$11:$C$50,B27)=0),VLOOKUP(B27,'Cable Info (2)'!$B$11:$C$50,2,FALSE),(VLOOKUP(B27,'Cable Info'!$B$11:$C$50,2,FALSE)))),"NO SUCH EXIT")</f>
        <v>BB LAS(Z)-30 (04)</v>
      </c>
      <c r="D27" s="223" t="s">
        <v>98</v>
      </c>
      <c r="E27" s="224">
        <v>15</v>
      </c>
      <c r="F27" s="225" t="s">
        <v>37</v>
      </c>
      <c r="G27" s="226">
        <v>16</v>
      </c>
      <c r="H27" s="222">
        <f t="shared" si="12"/>
        <v>2</v>
      </c>
      <c r="I27" s="227">
        <v>15</v>
      </c>
      <c r="J27" s="225" t="s">
        <v>37</v>
      </c>
      <c r="K27" s="228">
        <v>16</v>
      </c>
      <c r="L27" s="229" t="s">
        <v>98</v>
      </c>
      <c r="M27" s="222" t="str">
        <f>IFERROR(IF(P27="","",IF((COUNTIF('Cable Info'!$B$11:$C$50,P27)=0),VLOOKUP(P27,'Cable Info (2)'!$B$11:$C$50,2,FALSE),(VLOOKUP(P27,'Cable Info'!$B$11:$C$50,2,FALSE)))),"NO SUCH EXIT")</f>
        <v>BB LAS(Z)-30A (05)</v>
      </c>
      <c r="N27" s="230"/>
      <c r="O27" s="231"/>
      <c r="P27" s="232" t="s">
        <v>1</v>
      </c>
      <c r="Q27" s="186"/>
      <c r="R27" s="233" t="s">
        <v>6</v>
      </c>
      <c r="S27" s="233" t="s">
        <v>12</v>
      </c>
      <c r="T27" s="234">
        <v>42786</v>
      </c>
      <c r="U27" s="234"/>
      <c r="V27" s="235" t="s">
        <v>64</v>
      </c>
      <c r="W27" s="217" t="s">
        <v>99</v>
      </c>
      <c r="X27" s="236">
        <f t="shared" si="13"/>
        <v>1</v>
      </c>
      <c r="Y27" s="163" t="str">
        <f t="shared" si="14"/>
        <v/>
      </c>
      <c r="Z27" s="164" t="str">
        <f t="shared" si="15"/>
        <v/>
      </c>
      <c r="AA27" s="164">
        <f t="shared" si="16"/>
        <v>2</v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str">
        <f>IF('Cable Info'!P26="","",CONCATENATE('Cable Info'!P26," - ",'Cable Info'!Q26))</f>
        <v/>
      </c>
      <c r="AU27" s="166" t="s">
        <v>38</v>
      </c>
      <c r="AW27" s="166" t="str">
        <f t="shared" si="20"/>
        <v xml:space="preserve">  &lt;=&gt; CABLEC 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 t="s">
        <v>104</v>
      </c>
    </row>
    <row r="28" spans="1:90" x14ac:dyDescent="0.25">
      <c r="A28" s="185"/>
      <c r="B28" s="205" t="s">
        <v>0</v>
      </c>
      <c r="C28" s="222" t="str">
        <f>IFERROR(IF(B28="","",IF((COUNTIF('Cable Info'!$B$11:$C$50,B28)=0),VLOOKUP(B28,'Cable Info (2)'!$B$11:$C$50,2,FALSE),(VLOOKUP(B28,'Cable Info'!$B$11:$C$50,2,FALSE)))),"NO SUCH EXIT")</f>
        <v>BB LAS(Z)-30 (04)</v>
      </c>
      <c r="D28" s="223" t="s">
        <v>100</v>
      </c>
      <c r="E28" s="224">
        <v>67</v>
      </c>
      <c r="F28" s="225" t="s">
        <v>37</v>
      </c>
      <c r="G28" s="226">
        <v>68</v>
      </c>
      <c r="H28" s="222">
        <f t="shared" si="12"/>
        <v>2</v>
      </c>
      <c r="I28" s="227">
        <v>67</v>
      </c>
      <c r="J28" s="225" t="s">
        <v>37</v>
      </c>
      <c r="K28" s="228">
        <v>68</v>
      </c>
      <c r="L28" s="229" t="s">
        <v>100</v>
      </c>
      <c r="M28" s="222" t="str">
        <f>IFERROR(IF(P28="","",IF((COUNTIF('Cable Info'!$B$11:$C$50,P28)=0),VLOOKUP(P28,'Cable Info (2)'!$B$11:$C$50,2,FALSE),(VLOOKUP(P28,'Cable Info'!$B$11:$C$50,2,FALSE)))),"NO SUCH EXIT")</f>
        <v>BB LAS(Z)-30A (05)</v>
      </c>
      <c r="N28" s="230"/>
      <c r="O28" s="231"/>
      <c r="P28" s="232" t="s">
        <v>1</v>
      </c>
      <c r="Q28" s="186"/>
      <c r="R28" s="233" t="s">
        <v>6</v>
      </c>
      <c r="S28" s="233" t="s">
        <v>12</v>
      </c>
      <c r="T28" s="234">
        <v>42780</v>
      </c>
      <c r="U28" s="234"/>
      <c r="V28" s="235" t="s">
        <v>101</v>
      </c>
      <c r="W28" s="217" t="s">
        <v>102</v>
      </c>
      <c r="X28" s="236">
        <f t="shared" si="13"/>
        <v>11</v>
      </c>
      <c r="Y28" s="163" t="str">
        <f t="shared" si="14"/>
        <v/>
      </c>
      <c r="Z28" s="164" t="str">
        <f t="shared" si="15"/>
        <v/>
      </c>
      <c r="AA28" s="164">
        <f t="shared" si="16"/>
        <v>2</v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str">
        <f>IF('Cable Info'!P27="","",CONCATENATE('Cable Info'!P27," - ",'Cable Info'!Q27))</f>
        <v/>
      </c>
      <c r="AU28" s="166" t="s">
        <v>38</v>
      </c>
      <c r="AW28" s="166" t="str">
        <f t="shared" si="20"/>
        <v xml:space="preserve">  &lt;=&gt; CABLEC 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 t="s">
        <v>103</v>
      </c>
    </row>
    <row r="29" spans="1:90" x14ac:dyDescent="0.25">
      <c r="A29" s="185"/>
      <c r="B29" s="205"/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/>
      <c r="E29" s="224"/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str">
        <f>IF('Cable Info'!P28="","",CONCATENATE('Cable Info'!P28," - ",'Cable Info'!Q28))</f>
        <v/>
      </c>
      <c r="AU29" s="166" t="s">
        <v>38</v>
      </c>
      <c r="AW29" s="166" t="str">
        <f t="shared" si="20"/>
        <v xml:space="preserve">  &lt;=&gt; CABLEC 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5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str">
        <f>IF('Cable Info'!P29="","",CONCATENATE('Cable Info'!P29," - ",'Cable Info'!Q29))</f>
        <v/>
      </c>
      <c r="AU30" s="166" t="s">
        <v>38</v>
      </c>
      <c r="AW30" s="166" t="str">
        <f t="shared" si="20"/>
        <v xml:space="preserve">  &lt;=&gt; CABLEC 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5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str">
        <f>IF('Cable Info'!P30="","",CONCATENATE('Cable Info'!P30," - ",'Cable Info'!Q30))</f>
        <v/>
      </c>
      <c r="AU31" s="166" t="s">
        <v>38</v>
      </c>
      <c r="AW31" s="166" t="str">
        <f t="shared" si="20"/>
        <v xml:space="preserve">  &lt;=&gt; CABLEC 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5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str">
        <f>IF('Cable Info'!P31="","",CONCATENATE('Cable Info'!P31," - ",'Cable Info'!Q31))</f>
        <v/>
      </c>
      <c r="AU32" s="166" t="s">
        <v>38</v>
      </c>
      <c r="AW32" s="166" t="str">
        <f t="shared" si="20"/>
        <v xml:space="preserve">  &lt;=&gt; CABLEC 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5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str">
        <f>IF('Cable Info'!P32="","",CONCATENATE('Cable Info'!P32," - ",'Cable Info'!Q32))</f>
        <v/>
      </c>
      <c r="AU33" s="166" t="s">
        <v>38</v>
      </c>
      <c r="AW33" s="166" t="str">
        <f t="shared" si="20"/>
        <v xml:space="preserve">  &lt;=&gt; CABLEC 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5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str">
        <f>IF('Cable Info'!P33="","",CONCATENATE('Cable Info'!P33," - ",'Cable Info'!Q33))</f>
        <v/>
      </c>
      <c r="AU34" s="166" t="s">
        <v>38</v>
      </c>
      <c r="AW34" s="166" t="str">
        <f t="shared" si="20"/>
        <v xml:space="preserve">  &lt;=&gt; CABLEC 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5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str">
        <f>IF('Cable Info'!P34="","",CONCATENATE('Cable Info'!P34," - ",'Cable Info'!Q34))</f>
        <v/>
      </c>
      <c r="AU35" s="166" t="s">
        <v>38</v>
      </c>
      <c r="AW35" s="166" t="str">
        <f t="shared" si="20"/>
        <v xml:space="preserve">  &lt;=&gt; CABLEC 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5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str">
        <f>IF('Cable Info'!P35="","",CONCATENATE('Cable Info'!P35," - ",'Cable Info'!Q35))</f>
        <v/>
      </c>
      <c r="AU36" s="166" t="s">
        <v>38</v>
      </c>
      <c r="AW36" s="166" t="str">
        <f t="shared" si="20"/>
        <v xml:space="preserve">  &lt;=&gt; CABLEC 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5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str">
        <f>IF('Cable Info'!P36="","",CONCATENATE('Cable Info'!P36," - ",'Cable Info'!Q36))</f>
        <v/>
      </c>
      <c r="AU37" s="166" t="s">
        <v>38</v>
      </c>
      <c r="AW37" s="166" t="str">
        <f t="shared" si="20"/>
        <v xml:space="preserve">  &lt;=&gt; CABLEC 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5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str">
        <f>IF('Cable Info'!P37="","",CONCATENATE('Cable Info'!P37," - ",'Cable Info'!Q37))</f>
        <v/>
      </c>
      <c r="AU38" s="166" t="s">
        <v>38</v>
      </c>
      <c r="AW38" s="166" t="str">
        <f t="shared" si="20"/>
        <v xml:space="preserve">  &lt;=&gt; CABLEC 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5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str">
        <f>IF('Cable Info'!P38="","",CONCATENATE('Cable Info'!P38," - ",'Cable Info'!Q38))</f>
        <v/>
      </c>
      <c r="AU39" s="166" t="s">
        <v>38</v>
      </c>
      <c r="AW39" s="166" t="str">
        <f t="shared" si="20"/>
        <v xml:space="preserve">  &lt;=&gt; CABLEC 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5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str">
        <f>IF('Cable Info'!P39="","",CONCATENATE('Cable Info'!P39," - ",'Cable Info'!Q39))</f>
        <v/>
      </c>
      <c r="AU40" s="166" t="s">
        <v>38</v>
      </c>
      <c r="AW40" s="166" t="str">
        <f t="shared" si="20"/>
        <v xml:space="preserve">  &lt;=&gt; CABLEC 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5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str">
        <f>IF('Cable Info'!P40="","",CONCATENATE('Cable Info'!P40," - ",'Cable Info'!Q40))</f>
        <v/>
      </c>
      <c r="AU41" s="166" t="s">
        <v>38</v>
      </c>
      <c r="AW41" s="166" t="str">
        <f t="shared" si="20"/>
        <v xml:space="preserve">  &lt;=&gt; CABLEC 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5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str">
        <f>IF('Cable Info'!P41="","",CONCATENATE('Cable Info'!P41," - ",'Cable Info'!Q41))</f>
        <v/>
      </c>
      <c r="AU42" s="166" t="s">
        <v>38</v>
      </c>
      <c r="AW42" s="166" t="str">
        <f t="shared" si="20"/>
        <v xml:space="preserve">  &lt;=&gt; CABLEC 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5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str">
        <f>IF('Cable Info'!P42="","",CONCATENATE('Cable Info'!P42," - ",'Cable Info'!Q42))</f>
        <v/>
      </c>
      <c r="AU43" s="166" t="s">
        <v>38</v>
      </c>
      <c r="AW43" s="166" t="str">
        <f t="shared" si="20"/>
        <v xml:space="preserve">  &lt;=&gt; CABLEC 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5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str">
        <f>IF('Cable Info'!P43="","",CONCATENATE('Cable Info'!P43," - ",'Cable Info'!Q43))</f>
        <v/>
      </c>
      <c r="AU44" s="166" t="s">
        <v>38</v>
      </c>
      <c r="AW44" s="166" t="str">
        <f t="shared" si="20"/>
        <v xml:space="preserve">  &lt;=&gt; CABLEC 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5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str">
        <f>IF('Cable Info'!P44="","",CONCATENATE('Cable Info'!P44," - ",'Cable Info'!Q44))</f>
        <v/>
      </c>
      <c r="AU45" s="166" t="s">
        <v>38</v>
      </c>
      <c r="AW45" s="166" t="str">
        <f t="shared" si="20"/>
        <v xml:space="preserve">  &lt;=&gt; CABLEC 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5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str">
        <f>IF('Cable Info'!P45="","",CONCATENATE('Cable Info'!P45," - ",'Cable Info'!Q45))</f>
        <v/>
      </c>
      <c r="AU46" s="166" t="s">
        <v>38</v>
      </c>
      <c r="AW46" s="166" t="str">
        <f t="shared" si="20"/>
        <v xml:space="preserve">  &lt;=&gt; CABLEC 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5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str">
        <f>IF('Cable Info'!P46="","",CONCATENATE('Cable Info'!P46," - ",'Cable Info'!Q46))</f>
        <v/>
      </c>
      <c r="AU47" s="166" t="s">
        <v>38</v>
      </c>
      <c r="AW47" s="166" t="str">
        <f t="shared" si="20"/>
        <v xml:space="preserve">  &lt;=&gt; CABLEC 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5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str">
        <f>IF('Cable Info'!P47="","",CONCATENATE('Cable Info'!P47," - ",'Cable Info'!Q47))</f>
        <v/>
      </c>
      <c r="AU48" s="166" t="s">
        <v>38</v>
      </c>
      <c r="AW48" s="166" t="str">
        <f t="shared" si="20"/>
        <v xml:space="preserve">  &lt;=&gt; CABLEC 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5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str">
        <f>IF('Cable Info'!P48="","",CONCATENATE('Cable Info'!P48," - ",'Cable Info'!Q48))</f>
        <v/>
      </c>
      <c r="AU49" s="166" t="s">
        <v>38</v>
      </c>
      <c r="AW49" s="166" t="str">
        <f t="shared" si="20"/>
        <v xml:space="preserve">  &lt;=&gt; CABLEC 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5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str">
        <f>IF('Cable Info'!P49="","",CONCATENATE('Cable Info'!P49," - ",'Cable Info'!Q49))</f>
        <v/>
      </c>
      <c r="AU50" s="166" t="s">
        <v>38</v>
      </c>
      <c r="AW50" s="166" t="str">
        <f t="shared" si="20"/>
        <v xml:space="preserve">  &lt;=&gt; CABLEC 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5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str">
        <f>IF('Cable Info'!P50="","",CONCATENATE('Cable Info'!P50," - ",'Cable Info'!Q50))</f>
        <v/>
      </c>
      <c r="AU51" s="166" t="s">
        <v>38</v>
      </c>
      <c r="AW51" s="166" t="str">
        <f t="shared" si="20"/>
        <v xml:space="preserve">  &lt;=&gt; CABLEC 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5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str">
        <f>IF('Cable Info'!P51="","",CONCATENATE('Cable Info'!P51," - ",'Cable Info'!Q51))</f>
        <v/>
      </c>
      <c r="AU52" s="166" t="s">
        <v>38</v>
      </c>
      <c r="AW52" s="166" t="str">
        <f t="shared" si="20"/>
        <v xml:space="preserve">  &lt;=&gt; CABLEC 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5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str">
        <f>IF('Cable Info'!P52="","",CONCATENATE('Cable Info'!P52," - ",'Cable Info'!Q52))</f>
        <v/>
      </c>
      <c r="AU53" s="166" t="s">
        <v>38</v>
      </c>
      <c r="AW53" s="166" t="str">
        <f t="shared" si="20"/>
        <v xml:space="preserve">  &lt;=&gt; CABLEC 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5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str">
        <f>IF('Cable Info'!P53="","",CONCATENATE('Cable Info'!P53," - ",'Cable Info'!Q53))</f>
        <v/>
      </c>
      <c r="AU54" s="166" t="s">
        <v>38</v>
      </c>
      <c r="AW54" s="166" t="str">
        <f t="shared" si="20"/>
        <v xml:space="preserve">  &lt;=&gt; CABLEC 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5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str">
        <f>IF('Cable Info'!P54="","",CONCATENATE('Cable Info'!P54," - ",'Cable Info'!Q54))</f>
        <v/>
      </c>
      <c r="AU55" s="166" t="s">
        <v>38</v>
      </c>
      <c r="AW55" s="166" t="str">
        <f t="shared" si="20"/>
        <v xml:space="preserve">  &lt;=&gt; CABLEC 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5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str">
        <f>IF('Cable Info'!P55="","",CONCATENATE('Cable Info'!P55," - ",'Cable Info'!Q55))</f>
        <v/>
      </c>
      <c r="AU56" s="166" t="s">
        <v>38</v>
      </c>
      <c r="AW56" s="166" t="str">
        <f t="shared" si="20"/>
        <v xml:space="preserve">  &lt;=&gt; CABLEC 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5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str">
        <f>IF('Cable Info'!P56="","",CONCATENATE('Cable Info'!P56," - ",'Cable Info'!Q56))</f>
        <v/>
      </c>
      <c r="AU57" s="166" t="s">
        <v>38</v>
      </c>
      <c r="AW57" s="166" t="str">
        <f t="shared" si="20"/>
        <v xml:space="preserve">  &lt;=&gt; CABLEC 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5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str">
        <f>IF('Cable Info'!P57="","",CONCATENATE('Cable Info'!P57," - ",'Cable Info'!Q57))</f>
        <v/>
      </c>
      <c r="AU58" s="166" t="s">
        <v>38</v>
      </c>
      <c r="AW58" s="166" t="str">
        <f t="shared" si="20"/>
        <v xml:space="preserve">  &lt;=&gt; CABLEC 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5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str">
        <f>IF('Cable Info'!P58="","",CONCATENATE('Cable Info'!P58," - ",'Cable Info'!Q58))</f>
        <v/>
      </c>
      <c r="AU59" s="166" t="s">
        <v>38</v>
      </c>
      <c r="AW59" s="166" t="str">
        <f t="shared" si="20"/>
        <v xml:space="preserve">  &lt;=&gt; CABLEC 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5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str">
        <f>IF('Cable Info'!P59="","",CONCATENATE('Cable Info'!P59," - ",'Cable Info'!Q59))</f>
        <v/>
      </c>
      <c r="AU60" s="166" t="s">
        <v>38</v>
      </c>
      <c r="AW60" s="166" t="str">
        <f t="shared" si="20"/>
        <v xml:space="preserve">  &lt;=&gt; CABLEC 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5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str">
        <f>IF('Cable Info'!P60="","",CONCATENATE('Cable Info'!P60," - ",'Cable Info'!Q60))</f>
        <v/>
      </c>
      <c r="AU61" s="166" t="s">
        <v>38</v>
      </c>
      <c r="AW61" s="166" t="str">
        <f t="shared" si="20"/>
        <v xml:space="preserve">  &lt;=&gt; CABLEC 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5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str">
        <f>IF('Cable Info'!P61="","",CONCATENATE('Cable Info'!P61," - ",'Cable Info'!Q61))</f>
        <v/>
      </c>
      <c r="AU62" s="166" t="s">
        <v>38</v>
      </c>
      <c r="AW62" s="166" t="str">
        <f t="shared" si="20"/>
        <v xml:space="preserve">  &lt;=&gt; CABLEC 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5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str">
        <f>IF('Cable Info'!P62="","",CONCATENATE('Cable Info'!P62," - ",'Cable Info'!Q62))</f>
        <v/>
      </c>
      <c r="AU63" s="166" t="s">
        <v>38</v>
      </c>
      <c r="AW63" s="166" t="str">
        <f t="shared" si="20"/>
        <v xml:space="preserve">  &lt;=&gt; CABLEC 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5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str">
        <f>IF('Cable Info'!P63="","",CONCATENATE('Cable Info'!P63," - ",'Cable Info'!Q63))</f>
        <v/>
      </c>
      <c r="AU64" s="166" t="s">
        <v>38</v>
      </c>
      <c r="AW64" s="166" t="str">
        <f t="shared" si="20"/>
        <v xml:space="preserve">  &lt;=&gt; CABLEC 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5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str">
        <f>IF('Cable Info'!P64="","",CONCATENATE('Cable Info'!P64," - ",'Cable Info'!Q64))</f>
        <v/>
      </c>
      <c r="AU65" s="166" t="s">
        <v>38</v>
      </c>
      <c r="AW65" s="166" t="str">
        <f t="shared" si="20"/>
        <v xml:space="preserve">  &lt;=&gt; CABLEC 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5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str">
        <f>IF('Cable Info'!P65="","",CONCATENATE('Cable Info'!P65," - ",'Cable Info'!Q65))</f>
        <v/>
      </c>
      <c r="AU66" s="166" t="s">
        <v>38</v>
      </c>
      <c r="AW66" s="166" t="str">
        <f t="shared" si="20"/>
        <v xml:space="preserve">  &lt;=&gt; CABLEC 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5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str">
        <f>IF('Cable Info'!P66="","",CONCATENATE('Cable Info'!P66," - ",'Cable Info'!Q66))</f>
        <v/>
      </c>
      <c r="AU67" s="166" t="s">
        <v>38</v>
      </c>
      <c r="AW67" s="166" t="str">
        <f t="shared" si="20"/>
        <v xml:space="preserve">  &lt;=&gt; CABLEC 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5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str">
        <f>IF('Cable Info'!P67="","",CONCATENATE('Cable Info'!P67," - ",'Cable Info'!Q67))</f>
        <v/>
      </c>
      <c r="AU68" s="166" t="s">
        <v>38</v>
      </c>
      <c r="AW68" s="166" t="str">
        <f t="shared" si="20"/>
        <v xml:space="preserve">  &lt;=&gt; CABLEC 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5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str">
        <f>IF('Cable Info'!P68="","",CONCATENATE('Cable Info'!P68," - ",'Cable Info'!Q68))</f>
        <v/>
      </c>
      <c r="AU69" s="166" t="s">
        <v>38</v>
      </c>
      <c r="AW69" s="166" t="str">
        <f t="shared" si="20"/>
        <v xml:space="preserve">  &lt;=&gt; CABLEC 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5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str">
        <f>IF('Cable Info'!P69="","",CONCATENATE('Cable Info'!P69," - ",'Cable Info'!Q69))</f>
        <v/>
      </c>
      <c r="AU70" s="166" t="s">
        <v>38</v>
      </c>
      <c r="AW70" s="166" t="str">
        <f t="shared" si="20"/>
        <v xml:space="preserve">  &lt;=&gt; CABLEC 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5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str">
        <f>IF('Cable Info'!P70="","",CONCATENATE('Cable Info'!P70," - ",'Cable Info'!Q70))</f>
        <v/>
      </c>
      <c r="AU71" s="166" t="s">
        <v>38</v>
      </c>
      <c r="AW71" s="166" t="str">
        <f t="shared" si="20"/>
        <v xml:space="preserve">  &lt;=&gt; CABLEC 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5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str">
        <f>IF('Cable Info'!P71="","",CONCATENATE('Cable Info'!P71," - ",'Cable Info'!Q71))</f>
        <v/>
      </c>
      <c r="AU72" s="166" t="s">
        <v>38</v>
      </c>
      <c r="AW72" s="166" t="str">
        <f t="shared" si="20"/>
        <v xml:space="preserve">  &lt;=&gt; CABLEC 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5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str">
        <f>IF('Cable Info'!P72="","",CONCATENATE('Cable Info'!P72," - ",'Cable Info'!Q72))</f>
        <v/>
      </c>
      <c r="AU73" s="166" t="s">
        <v>38</v>
      </c>
      <c r="AW73" s="166" t="str">
        <f t="shared" si="20"/>
        <v xml:space="preserve">  &lt;=&gt; CABLEC 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5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str">
        <f>IF('Cable Info'!P73="","",CONCATENATE('Cable Info'!P73," - ",'Cable Info'!Q73))</f>
        <v/>
      </c>
      <c r="AU74" s="166" t="s">
        <v>38</v>
      </c>
      <c r="AW74" s="166" t="str">
        <f t="shared" si="20"/>
        <v xml:space="preserve">  &lt;=&gt; CABLEC 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5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e">
        <f>IF('Cable Info'!N74="","",CONCATENATE('Cable Info'!N74," - ",'Cable Info'!O74))</f>
        <v>#N/A</v>
      </c>
      <c r="AR75" s="166" t="e">
        <f t="shared" si="19"/>
        <v>#N/A</v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5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e">
        <f>IF('Cable Info'!N75="","",CONCATENATE('Cable Info'!N75," - ",'Cable Info'!O75))</f>
        <v>#N/A</v>
      </c>
      <c r="AR76" s="166" t="e">
        <f t="shared" ref="AR76:AR139" si="31">IF(AP76="",AO76,CONCATENATE(AO76,"  &lt;=&gt; ",AP76," ",AQ76))</f>
        <v>#N/A</v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5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e">
        <f>IF('Cable Info'!N76="","",CONCATENATE('Cable Info'!N76," - ",'Cable Info'!O76))</f>
        <v>#N/A</v>
      </c>
      <c r="AR77" s="166" t="e">
        <f t="shared" si="31"/>
        <v>#N/A</v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5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e">
        <f>IF('Cable Info'!N77="","",CONCATENATE('Cable Info'!N77," - ",'Cable Info'!O77))</f>
        <v>#N/A</v>
      </c>
      <c r="AR78" s="166" t="e">
        <f t="shared" si="31"/>
        <v>#N/A</v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5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e">
        <f>IF('Cable Info'!N78="","",CONCATENATE('Cable Info'!N78," - ",'Cable Info'!O78))</f>
        <v>#N/A</v>
      </c>
      <c r="AR79" s="166" t="e">
        <f t="shared" si="31"/>
        <v>#N/A</v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5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e">
        <f>IF('Cable Info'!N79="","",CONCATENATE('Cable Info'!N79," - ",'Cable Info'!O79))</f>
        <v>#N/A</v>
      </c>
      <c r="AR80" s="166" t="e">
        <f t="shared" si="31"/>
        <v>#N/A</v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5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e">
        <f>IF('Cable Info'!N80="","",CONCATENATE('Cable Info'!N80," - ",'Cable Info'!O80))</f>
        <v>#N/A</v>
      </c>
      <c r="AR81" s="166" t="e">
        <f t="shared" si="31"/>
        <v>#N/A</v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5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e">
        <f>IF('Cable Info'!N81="","",CONCATENATE('Cable Info'!N81," - ",'Cable Info'!O81))</f>
        <v>#N/A</v>
      </c>
      <c r="AR82" s="166" t="e">
        <f t="shared" si="31"/>
        <v>#N/A</v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5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e">
        <f>IF('Cable Info'!N82="","",CONCATENATE('Cable Info'!N82," - ",'Cable Info'!O82))</f>
        <v>#N/A</v>
      </c>
      <c r="AR83" s="166" t="e">
        <f t="shared" si="31"/>
        <v>#N/A</v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5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e">
        <f>IF('Cable Info'!N83="","",CONCATENATE('Cable Info'!N83," - ",'Cable Info'!O83))</f>
        <v>#N/A</v>
      </c>
      <c r="AR84" s="166" t="e">
        <f t="shared" si="31"/>
        <v>#N/A</v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5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e">
        <f>IF('Cable Info'!N84="","",CONCATENATE('Cable Info'!N84," - ",'Cable Info'!O84))</f>
        <v>#N/A</v>
      </c>
      <c r="AR85" s="166" t="e">
        <f t="shared" si="31"/>
        <v>#N/A</v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5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e">
        <f>IF('Cable Info'!N85="","",CONCATENATE('Cable Info'!N85," - ",'Cable Info'!O85))</f>
        <v>#N/A</v>
      </c>
      <c r="AR86" s="166" t="e">
        <f t="shared" si="31"/>
        <v>#N/A</v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5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e">
        <f>IF('Cable Info'!N86="","",CONCATENATE('Cable Info'!N86," - ",'Cable Info'!O86))</f>
        <v>#N/A</v>
      </c>
      <c r="AR87" s="166" t="e">
        <f t="shared" si="31"/>
        <v>#N/A</v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5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e">
        <f>IF('Cable Info'!N87="","",CONCATENATE('Cable Info'!N87," - ",'Cable Info'!O87))</f>
        <v>#N/A</v>
      </c>
      <c r="AR88" s="166" t="e">
        <f t="shared" si="31"/>
        <v>#N/A</v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5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e">
        <f>IF('Cable Info'!N88="","",CONCATENATE('Cable Info'!N88," - ",'Cable Info'!O88))</f>
        <v>#N/A</v>
      </c>
      <c r="AR89" s="166" t="e">
        <f t="shared" si="31"/>
        <v>#N/A</v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5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e">
        <f>IF('Cable Info'!N89="","",CONCATENATE('Cable Info'!N89," - ",'Cable Info'!O89))</f>
        <v>#N/A</v>
      </c>
      <c r="AR90" s="166" t="e">
        <f t="shared" si="31"/>
        <v>#N/A</v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5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e">
        <f>IF('Cable Info'!N90="","",CONCATENATE('Cable Info'!N90," - ",'Cable Info'!O90))</f>
        <v>#N/A</v>
      </c>
      <c r="AR91" s="166" t="e">
        <f t="shared" si="31"/>
        <v>#N/A</v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5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e">
        <f>IF('Cable Info'!N91="","",CONCATENATE('Cable Info'!N91," - ",'Cable Info'!O91))</f>
        <v>#N/A</v>
      </c>
      <c r="AR92" s="166" t="e">
        <f t="shared" si="31"/>
        <v>#N/A</v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5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e">
        <f>IF('Cable Info'!N92="","",CONCATENATE('Cable Info'!N92," - ",'Cable Info'!O92))</f>
        <v>#N/A</v>
      </c>
      <c r="AR93" s="166" t="e">
        <f t="shared" si="31"/>
        <v>#N/A</v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5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e">
        <f>IF('Cable Info'!N93="","",CONCATENATE('Cable Info'!N93," - ",'Cable Info'!O93))</f>
        <v>#N/A</v>
      </c>
      <c r="AR94" s="166" t="e">
        <f t="shared" si="31"/>
        <v>#N/A</v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5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e">
        <f>IF('Cable Info'!N94="","",CONCATENATE('Cable Info'!N94," - ",'Cable Info'!O94))</f>
        <v>#N/A</v>
      </c>
      <c r="AR95" s="166" t="e">
        <f t="shared" si="31"/>
        <v>#N/A</v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5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e">
        <f>IF('Cable Info'!N95="","",CONCATENATE('Cable Info'!N95," - ",'Cable Info'!O95))</f>
        <v>#N/A</v>
      </c>
      <c r="AR96" s="166" t="e">
        <f t="shared" si="31"/>
        <v>#N/A</v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5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e">
        <f>IF('Cable Info'!N96="","",CONCATENATE('Cable Info'!N96," - ",'Cable Info'!O96))</f>
        <v>#N/A</v>
      </c>
      <c r="AR97" s="166" t="e">
        <f t="shared" si="31"/>
        <v>#N/A</v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5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e">
        <f>IF('Cable Info'!N97="","",CONCATENATE('Cable Info'!N97," - ",'Cable Info'!O97))</f>
        <v>#N/A</v>
      </c>
      <c r="AR98" s="166" t="e">
        <f t="shared" si="31"/>
        <v>#N/A</v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5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e">
        <f>IF('Cable Info'!N98="","",CONCATENATE('Cable Info'!N98," - ",'Cable Info'!O98))</f>
        <v>#N/A</v>
      </c>
      <c r="AR99" s="166" t="e">
        <f t="shared" si="31"/>
        <v>#N/A</v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5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e">
        <f>IF('Cable Info'!N99="","",CONCATENATE('Cable Info'!N99," - ",'Cable Info'!O99))</f>
        <v>#N/A</v>
      </c>
      <c r="AR100" s="166" t="e">
        <f t="shared" si="31"/>
        <v>#N/A</v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5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e">
        <f>IF('Cable Info'!N100="","",CONCATENATE('Cable Info'!N100," - ",'Cable Info'!O100))</f>
        <v>#N/A</v>
      </c>
      <c r="AR101" s="166" t="e">
        <f t="shared" si="31"/>
        <v>#N/A</v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5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e">
        <f>IF('Cable Info'!N101="","",CONCATENATE('Cable Info'!N101," - ",'Cable Info'!O101))</f>
        <v>#N/A</v>
      </c>
      <c r="AR102" s="166" t="e">
        <f t="shared" si="31"/>
        <v>#N/A</v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5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e">
        <f>IF('Cable Info'!N102="","",CONCATENATE('Cable Info'!N102," - ",'Cable Info'!O102))</f>
        <v>#N/A</v>
      </c>
      <c r="AR103" s="166" t="e">
        <f t="shared" si="31"/>
        <v>#N/A</v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5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e">
        <f>IF('Cable Info'!N103="","",CONCATENATE('Cable Info'!N103," - ",'Cable Info'!O103))</f>
        <v>#N/A</v>
      </c>
      <c r="AR104" s="166" t="e">
        <f t="shared" si="31"/>
        <v>#N/A</v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5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e">
        <f>IF('Cable Info'!N104="","",CONCATENATE('Cable Info'!N104," - ",'Cable Info'!O104))</f>
        <v>#N/A</v>
      </c>
      <c r="AR105" s="166" t="e">
        <f t="shared" si="31"/>
        <v>#N/A</v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5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e">
        <f>IF('Cable Info'!N105="","",CONCATENATE('Cable Info'!N105," - ",'Cable Info'!O105))</f>
        <v>#N/A</v>
      </c>
      <c r="AR106" s="166" t="e">
        <f t="shared" si="31"/>
        <v>#N/A</v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5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e">
        <f>IF('Cable Info'!N106="","",CONCATENATE('Cable Info'!N106," - ",'Cable Info'!O106))</f>
        <v>#N/A</v>
      </c>
      <c r="AR107" s="166" t="e">
        <f t="shared" si="31"/>
        <v>#N/A</v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5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e">
        <f>IF('Cable Info'!N107="","",CONCATENATE('Cable Info'!N107," - ",'Cable Info'!O107))</f>
        <v>#N/A</v>
      </c>
      <c r="AR108" s="166" t="e">
        <f t="shared" si="31"/>
        <v>#N/A</v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5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e">
        <f>IF('Cable Info'!N108="","",CONCATENATE('Cable Info'!N108," - ",'Cable Info'!O108))</f>
        <v>#N/A</v>
      </c>
      <c r="AR109" s="166" t="e">
        <f t="shared" si="31"/>
        <v>#N/A</v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5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e">
        <f>IF('Cable Info'!N109="","",CONCATENATE('Cable Info'!N109," - ",'Cable Info'!O109))</f>
        <v>#N/A</v>
      </c>
      <c r="AR110" s="166" t="e">
        <f t="shared" si="31"/>
        <v>#N/A</v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5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e">
        <f>IF('Cable Info'!N110="","",CONCATENATE('Cable Info'!N110," - ",'Cable Info'!O110))</f>
        <v>#N/A</v>
      </c>
      <c r="AR111" s="166" t="e">
        <f t="shared" si="31"/>
        <v>#N/A</v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5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e">
        <f>IF('Cable Info'!N111="","",CONCATENATE('Cable Info'!N111," - ",'Cable Info'!O111))</f>
        <v>#N/A</v>
      </c>
      <c r="AR112" s="166" t="e">
        <f t="shared" si="31"/>
        <v>#N/A</v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5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e">
        <f>IF('Cable Info'!N112="","",CONCATENATE('Cable Info'!N112," - ",'Cable Info'!O112))</f>
        <v>#N/A</v>
      </c>
      <c r="AR113" s="166" t="e">
        <f t="shared" si="31"/>
        <v>#N/A</v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5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e">
        <f>IF('Cable Info'!N113="","",CONCATENATE('Cable Info'!N113," - ",'Cable Info'!O113))</f>
        <v>#N/A</v>
      </c>
      <c r="AR114" s="166" t="e">
        <f t="shared" si="31"/>
        <v>#N/A</v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5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e">
        <f>IF('Cable Info'!N114="","",CONCATENATE('Cable Info'!N114," - ",'Cable Info'!O114))</f>
        <v>#N/A</v>
      </c>
      <c r="AR115" s="166" t="e">
        <f t="shared" si="31"/>
        <v>#N/A</v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5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e">
        <f>IF('Cable Info'!N115="","",CONCATENATE('Cable Info'!N115," - ",'Cable Info'!O115))</f>
        <v>#N/A</v>
      </c>
      <c r="AR116" s="166" t="e">
        <f t="shared" si="31"/>
        <v>#N/A</v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5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e">
        <f>IF('Cable Info'!N116="","",CONCATENATE('Cable Info'!N116," - ",'Cable Info'!O116))</f>
        <v>#N/A</v>
      </c>
      <c r="AR117" s="166" t="e">
        <f t="shared" si="31"/>
        <v>#N/A</v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5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e">
        <f>IF('Cable Info'!N117="","",CONCATENATE('Cable Info'!N117," - ",'Cable Info'!O117))</f>
        <v>#N/A</v>
      </c>
      <c r="AR118" s="166" t="e">
        <f t="shared" si="31"/>
        <v>#N/A</v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5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e">
        <f>IF('Cable Info'!N118="","",CONCATENATE('Cable Info'!N118," - ",'Cable Info'!O118))</f>
        <v>#N/A</v>
      </c>
      <c r="AR119" s="166" t="e">
        <f t="shared" si="31"/>
        <v>#N/A</v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5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e">
        <f>IF('Cable Info'!N119="","",CONCATENATE('Cable Info'!N119," - ",'Cable Info'!O119))</f>
        <v>#N/A</v>
      </c>
      <c r="AR120" s="166" t="e">
        <f t="shared" si="31"/>
        <v>#N/A</v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5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e">
        <f>IF('Cable Info'!N120="","",CONCATENATE('Cable Info'!N120," - ",'Cable Info'!O120))</f>
        <v>#N/A</v>
      </c>
      <c r="AR121" s="166" t="e">
        <f t="shared" si="31"/>
        <v>#N/A</v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5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e">
        <f>IF('Cable Info'!N121="","",CONCATENATE('Cable Info'!N121," - ",'Cable Info'!O121))</f>
        <v>#N/A</v>
      </c>
      <c r="AR122" s="166" t="e">
        <f t="shared" si="31"/>
        <v>#N/A</v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5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e">
        <f>IF('Cable Info'!N122="","",CONCATENATE('Cable Info'!N122," - ",'Cable Info'!O122))</f>
        <v>#N/A</v>
      </c>
      <c r="AR123" s="166" t="e">
        <f t="shared" si="31"/>
        <v>#N/A</v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5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e">
        <f>IF('Cable Info'!N123="","",CONCATENATE('Cable Info'!N123," - ",'Cable Info'!O123))</f>
        <v>#N/A</v>
      </c>
      <c r="AR124" s="166" t="e">
        <f t="shared" si="31"/>
        <v>#N/A</v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5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e">
        <f>IF('Cable Info'!N124="","",CONCATENATE('Cable Info'!N124," - ",'Cable Info'!O124))</f>
        <v>#N/A</v>
      </c>
      <c r="AR125" s="166" t="e">
        <f t="shared" si="31"/>
        <v>#N/A</v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5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e">
        <f>IF('Cable Info'!N125="","",CONCATENATE('Cable Info'!N125," - ",'Cable Info'!O125))</f>
        <v>#N/A</v>
      </c>
      <c r="AR126" s="166" t="e">
        <f t="shared" si="31"/>
        <v>#N/A</v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5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e">
        <f>IF('Cable Info'!N126="","",CONCATENATE('Cable Info'!N126," - ",'Cable Info'!O126))</f>
        <v>#N/A</v>
      </c>
      <c r="AR127" s="166" t="e">
        <f t="shared" si="31"/>
        <v>#N/A</v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5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e">
        <f>IF('Cable Info'!N127="","",CONCATENATE('Cable Info'!N127," - ",'Cable Info'!O127))</f>
        <v>#N/A</v>
      </c>
      <c r="AR128" s="166" t="e">
        <f t="shared" si="31"/>
        <v>#N/A</v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5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e">
        <f>IF('Cable Info'!N128="","",CONCATENATE('Cable Info'!N128," - ",'Cable Info'!O128))</f>
        <v>#N/A</v>
      </c>
      <c r="AR129" s="166" t="e">
        <f t="shared" si="31"/>
        <v>#N/A</v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5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e">
        <f>IF('Cable Info'!N129="","",CONCATENATE('Cable Info'!N129," - ",'Cable Info'!O129))</f>
        <v>#N/A</v>
      </c>
      <c r="AR130" s="166" t="e">
        <f t="shared" si="31"/>
        <v>#N/A</v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5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e">
        <f>IF('Cable Info'!N130="","",CONCATENATE('Cable Info'!N130," - ",'Cable Info'!O130))</f>
        <v>#N/A</v>
      </c>
      <c r="AR131" s="166" t="e">
        <f t="shared" si="31"/>
        <v>#N/A</v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5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e">
        <f>IF('Cable Info'!N131="","",CONCATENATE('Cable Info'!N131," - ",'Cable Info'!O131))</f>
        <v>#N/A</v>
      </c>
      <c r="AR132" s="166" t="e">
        <f t="shared" si="31"/>
        <v>#N/A</v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5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e">
        <f>IF('Cable Info'!N132="","",CONCATENATE('Cable Info'!N132," - ",'Cable Info'!O132))</f>
        <v>#N/A</v>
      </c>
      <c r="AR133" s="166" t="e">
        <f t="shared" si="31"/>
        <v>#N/A</v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5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e">
        <f>IF('Cable Info'!N133="","",CONCATENATE('Cable Info'!N133," - ",'Cable Info'!O133))</f>
        <v>#N/A</v>
      </c>
      <c r="AR134" s="166" t="e">
        <f t="shared" si="31"/>
        <v>#N/A</v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5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e">
        <f>IF('Cable Info'!N134="","",CONCATENATE('Cable Info'!N134," - ",'Cable Info'!O134))</f>
        <v>#N/A</v>
      </c>
      <c r="AR135" s="166" t="e">
        <f t="shared" si="31"/>
        <v>#N/A</v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5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e">
        <f>IF('Cable Info'!N135="","",CONCATENATE('Cable Info'!N135," - ",'Cable Info'!O135))</f>
        <v>#N/A</v>
      </c>
      <c r="AR136" s="166" t="e">
        <f t="shared" si="31"/>
        <v>#N/A</v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5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e">
        <f>IF('Cable Info'!N136="","",CONCATENATE('Cable Info'!N136," - ",'Cable Info'!O136))</f>
        <v>#N/A</v>
      </c>
      <c r="AR137" s="166" t="e">
        <f t="shared" si="31"/>
        <v>#N/A</v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5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e">
        <f>IF('Cable Info'!N137="","",CONCATENATE('Cable Info'!N137," - ",'Cable Info'!O137))</f>
        <v>#N/A</v>
      </c>
      <c r="AR138" s="166" t="e">
        <f t="shared" si="31"/>
        <v>#N/A</v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5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e">
        <f>IF('Cable Info'!N138="","",CONCATENATE('Cable Info'!N138," - ",'Cable Info'!O138))</f>
        <v>#N/A</v>
      </c>
      <c r="AR139" s="166" t="e">
        <f t="shared" si="31"/>
        <v>#N/A</v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5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e">
        <f>IF('Cable Info'!N139="","",CONCATENATE('Cable Info'!N139," - ",'Cable Info'!O139))</f>
        <v>#N/A</v>
      </c>
      <c r="AR140" s="166" t="e">
        <f t="shared" ref="AR140:AR203" si="43">IF(AP140="",AO140,CONCATENATE(AO140,"  &lt;=&gt; ",AP140," ",AQ140))</f>
        <v>#N/A</v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5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e">
        <f>IF('Cable Info'!N140="","",CONCATENATE('Cable Info'!N140," - ",'Cable Info'!O140))</f>
        <v>#N/A</v>
      </c>
      <c r="AR141" s="166" t="e">
        <f t="shared" si="43"/>
        <v>#N/A</v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5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e">
        <f>IF('Cable Info'!N141="","",CONCATENATE('Cable Info'!N141," - ",'Cable Info'!O141))</f>
        <v>#N/A</v>
      </c>
      <c r="AR142" s="166" t="e">
        <f t="shared" si="43"/>
        <v>#N/A</v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5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e">
        <f>IF('Cable Info'!N142="","",CONCATENATE('Cable Info'!N142," - ",'Cable Info'!O142))</f>
        <v>#N/A</v>
      </c>
      <c r="AR143" s="166" t="e">
        <f t="shared" si="43"/>
        <v>#N/A</v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5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e">
        <f>IF('Cable Info'!N143="","",CONCATENATE('Cable Info'!N143," - ",'Cable Info'!O143))</f>
        <v>#N/A</v>
      </c>
      <c r="AR144" s="166" t="e">
        <f t="shared" si="43"/>
        <v>#N/A</v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5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e">
        <f>IF('Cable Info'!N144="","",CONCATENATE('Cable Info'!N144," - ",'Cable Info'!O144))</f>
        <v>#N/A</v>
      </c>
      <c r="AR145" s="166" t="e">
        <f t="shared" si="43"/>
        <v>#N/A</v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5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e">
        <f>IF('Cable Info'!N145="","",CONCATENATE('Cable Info'!N145," - ",'Cable Info'!O145))</f>
        <v>#N/A</v>
      </c>
      <c r="AR146" s="166" t="e">
        <f t="shared" si="43"/>
        <v>#N/A</v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5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e">
        <f>IF('Cable Info'!N146="","",CONCATENATE('Cable Info'!N146," - ",'Cable Info'!O146))</f>
        <v>#N/A</v>
      </c>
      <c r="AR147" s="166" t="e">
        <f t="shared" si="43"/>
        <v>#N/A</v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5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e">
        <f>IF('Cable Info'!N147="","",CONCATENATE('Cable Info'!N147," - ",'Cable Info'!O147))</f>
        <v>#N/A</v>
      </c>
      <c r="AR148" s="166" t="e">
        <f t="shared" si="43"/>
        <v>#N/A</v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5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e">
        <f>IF('Cable Info'!N148="","",CONCATENATE('Cable Info'!N148," - ",'Cable Info'!O148))</f>
        <v>#N/A</v>
      </c>
      <c r="AR149" s="166" t="e">
        <f t="shared" si="43"/>
        <v>#N/A</v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5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e">
        <f>IF('Cable Info'!N149="","",CONCATENATE('Cable Info'!N149," - ",'Cable Info'!O149))</f>
        <v>#N/A</v>
      </c>
      <c r="AR150" s="166" t="e">
        <f t="shared" si="43"/>
        <v>#N/A</v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5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e">
        <f>IF('Cable Info'!N150="","",CONCATENATE('Cable Info'!N150," - ",'Cable Info'!O150))</f>
        <v>#N/A</v>
      </c>
      <c r="AR151" s="166" t="e">
        <f t="shared" si="43"/>
        <v>#N/A</v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5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e">
        <f>IF('Cable Info'!N151="","",CONCATENATE('Cable Info'!N151," - ",'Cable Info'!O151))</f>
        <v>#N/A</v>
      </c>
      <c r="AR152" s="166" t="e">
        <f t="shared" si="43"/>
        <v>#N/A</v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5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e">
        <f>IF('Cable Info'!N152="","",CONCATENATE('Cable Info'!N152," - ",'Cable Info'!O152))</f>
        <v>#N/A</v>
      </c>
      <c r="AR153" s="166" t="e">
        <f t="shared" si="43"/>
        <v>#N/A</v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5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e">
        <f>IF('Cable Info'!N153="","",CONCATENATE('Cable Info'!N153," - ",'Cable Info'!O153))</f>
        <v>#N/A</v>
      </c>
      <c r="AR154" s="166" t="e">
        <f t="shared" si="43"/>
        <v>#N/A</v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5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e">
        <f>IF('Cable Info'!N154="","",CONCATENATE('Cable Info'!N154," - ",'Cable Info'!O154))</f>
        <v>#N/A</v>
      </c>
      <c r="AR155" s="166" t="e">
        <f t="shared" si="43"/>
        <v>#N/A</v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5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e">
        <f>IF('Cable Info'!N155="","",CONCATENATE('Cable Info'!N155," - ",'Cable Info'!O155))</f>
        <v>#N/A</v>
      </c>
      <c r="AR156" s="166" t="e">
        <f t="shared" si="43"/>
        <v>#N/A</v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5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e">
        <f>IF('Cable Info'!N156="","",CONCATENATE('Cable Info'!N156," - ",'Cable Info'!O156))</f>
        <v>#N/A</v>
      </c>
      <c r="AR157" s="166" t="e">
        <f t="shared" si="43"/>
        <v>#N/A</v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5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e">
        <f>IF('Cable Info'!N157="","",CONCATENATE('Cable Info'!N157," - ",'Cable Info'!O157))</f>
        <v>#N/A</v>
      </c>
      <c r="AR158" s="166" t="e">
        <f t="shared" si="43"/>
        <v>#N/A</v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5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e">
        <f>IF('Cable Info'!N158="","",CONCATENATE('Cable Info'!N158," - ",'Cable Info'!O158))</f>
        <v>#N/A</v>
      </c>
      <c r="AR159" s="166" t="e">
        <f t="shared" si="43"/>
        <v>#N/A</v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5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e">
        <f>IF('Cable Info'!N159="","",CONCATENATE('Cable Info'!N159," - ",'Cable Info'!O159))</f>
        <v>#N/A</v>
      </c>
      <c r="AR160" s="166" t="e">
        <f t="shared" si="43"/>
        <v>#N/A</v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5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e">
        <f>IF('Cable Info'!N160="","",CONCATENATE('Cable Info'!N160," - ",'Cable Info'!O160))</f>
        <v>#N/A</v>
      </c>
      <c r="AR161" s="166" t="e">
        <f t="shared" si="43"/>
        <v>#N/A</v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5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e">
        <f>IF('Cable Info'!N161="","",CONCATENATE('Cable Info'!N161," - ",'Cable Info'!O161))</f>
        <v>#N/A</v>
      </c>
      <c r="AR162" s="166" t="e">
        <f t="shared" si="43"/>
        <v>#N/A</v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5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e">
        <f>IF('Cable Info'!N162="","",CONCATENATE('Cable Info'!N162," - ",'Cable Info'!O162))</f>
        <v>#N/A</v>
      </c>
      <c r="AR163" s="166" t="e">
        <f t="shared" si="43"/>
        <v>#N/A</v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5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e">
        <f>IF('Cable Info'!N163="","",CONCATENATE('Cable Info'!N163," - ",'Cable Info'!O163))</f>
        <v>#N/A</v>
      </c>
      <c r="AR164" s="166" t="e">
        <f t="shared" si="43"/>
        <v>#N/A</v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5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e">
        <f>IF('Cable Info'!N164="","",CONCATENATE('Cable Info'!N164," - ",'Cable Info'!O164))</f>
        <v>#N/A</v>
      </c>
      <c r="AR165" s="166" t="e">
        <f t="shared" si="43"/>
        <v>#N/A</v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5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e">
        <f>IF('Cable Info'!N165="","",CONCATENATE('Cable Info'!N165," - ",'Cable Info'!O165))</f>
        <v>#N/A</v>
      </c>
      <c r="AR166" s="166" t="e">
        <f t="shared" si="43"/>
        <v>#N/A</v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5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e">
        <f>IF('Cable Info'!N166="","",CONCATENATE('Cable Info'!N166," - ",'Cable Info'!O166))</f>
        <v>#N/A</v>
      </c>
      <c r="AR167" s="166" t="e">
        <f t="shared" si="43"/>
        <v>#N/A</v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5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e">
        <f>IF('Cable Info'!N167="","",CONCATENATE('Cable Info'!N167," - ",'Cable Info'!O167))</f>
        <v>#N/A</v>
      </c>
      <c r="AR168" s="166" t="e">
        <f t="shared" si="43"/>
        <v>#N/A</v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5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e">
        <f>IF('Cable Info'!N168="","",CONCATENATE('Cable Info'!N168," - ",'Cable Info'!O168))</f>
        <v>#N/A</v>
      </c>
      <c r="AR169" s="166" t="e">
        <f t="shared" si="43"/>
        <v>#N/A</v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5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e">
        <f>IF('Cable Info'!N169="","",CONCATENATE('Cable Info'!N169," - ",'Cable Info'!O169))</f>
        <v>#N/A</v>
      </c>
      <c r="AR170" s="166" t="e">
        <f t="shared" si="43"/>
        <v>#N/A</v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5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e">
        <f>IF('Cable Info'!N170="","",CONCATENATE('Cable Info'!N170," - ",'Cable Info'!O170))</f>
        <v>#N/A</v>
      </c>
      <c r="AR171" s="166" t="e">
        <f t="shared" si="43"/>
        <v>#N/A</v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5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e">
        <f>IF('Cable Info'!N171="","",CONCATENATE('Cable Info'!N171," - ",'Cable Info'!O171))</f>
        <v>#N/A</v>
      </c>
      <c r="AR172" s="166" t="e">
        <f t="shared" si="43"/>
        <v>#N/A</v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5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e">
        <f>IF('Cable Info'!N172="","",CONCATENATE('Cable Info'!N172," - ",'Cable Info'!O172))</f>
        <v>#N/A</v>
      </c>
      <c r="AR173" s="166" t="e">
        <f t="shared" si="43"/>
        <v>#N/A</v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5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e">
        <f>IF('Cable Info'!N173="","",CONCATENATE('Cable Info'!N173," - ",'Cable Info'!O173))</f>
        <v>#N/A</v>
      </c>
      <c r="AR174" s="166" t="e">
        <f t="shared" si="43"/>
        <v>#N/A</v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5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e">
        <f>IF('Cable Info'!N174="","",CONCATENATE('Cable Info'!N174," - ",'Cable Info'!O174))</f>
        <v>#N/A</v>
      </c>
      <c r="AR175" s="166" t="e">
        <f t="shared" si="43"/>
        <v>#N/A</v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5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e">
        <f>IF('Cable Info'!N175="","",CONCATENATE('Cable Info'!N175," - ",'Cable Info'!O175))</f>
        <v>#N/A</v>
      </c>
      <c r="AR176" s="166" t="e">
        <f t="shared" si="43"/>
        <v>#N/A</v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5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e">
        <f>IF('Cable Info'!N176="","",CONCATENATE('Cable Info'!N176," - ",'Cable Info'!O176))</f>
        <v>#N/A</v>
      </c>
      <c r="AR177" s="166" t="e">
        <f t="shared" si="43"/>
        <v>#N/A</v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5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e">
        <f>IF('Cable Info'!N177="","",CONCATENATE('Cable Info'!N177," - ",'Cable Info'!O177))</f>
        <v>#N/A</v>
      </c>
      <c r="AR178" s="166" t="e">
        <f t="shared" si="43"/>
        <v>#N/A</v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5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e">
        <f>IF('Cable Info'!N178="","",CONCATENATE('Cable Info'!N178," - ",'Cable Info'!O178))</f>
        <v>#N/A</v>
      </c>
      <c r="AR179" s="166" t="e">
        <f t="shared" si="43"/>
        <v>#N/A</v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5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e">
        <f>IF('Cable Info'!N179="","",CONCATENATE('Cable Info'!N179," - ",'Cable Info'!O179))</f>
        <v>#N/A</v>
      </c>
      <c r="AR180" s="166" t="e">
        <f t="shared" si="43"/>
        <v>#N/A</v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5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e">
        <f>IF('Cable Info'!N180="","",CONCATENATE('Cable Info'!N180," - ",'Cable Info'!O180))</f>
        <v>#N/A</v>
      </c>
      <c r="AR181" s="166" t="e">
        <f t="shared" si="43"/>
        <v>#N/A</v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5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e">
        <f>IF('Cable Info'!N181="","",CONCATENATE('Cable Info'!N181," - ",'Cable Info'!O181))</f>
        <v>#N/A</v>
      </c>
      <c r="AR182" s="166" t="e">
        <f t="shared" si="43"/>
        <v>#N/A</v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5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e">
        <f>IF('Cable Info'!N182="","",CONCATENATE('Cable Info'!N182," - ",'Cable Info'!O182))</f>
        <v>#N/A</v>
      </c>
      <c r="AR183" s="166" t="e">
        <f t="shared" si="43"/>
        <v>#N/A</v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5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e">
        <f>IF('Cable Info'!N183="","",CONCATENATE('Cable Info'!N183," - ",'Cable Info'!O183))</f>
        <v>#N/A</v>
      </c>
      <c r="AR184" s="166" t="e">
        <f t="shared" si="43"/>
        <v>#N/A</v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5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e">
        <f>IF('Cable Info'!N184="","",CONCATENATE('Cable Info'!N184," - ",'Cable Info'!O184))</f>
        <v>#N/A</v>
      </c>
      <c r="AR185" s="166" t="e">
        <f t="shared" si="43"/>
        <v>#N/A</v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5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e">
        <f>IF('Cable Info'!N185="","",CONCATENATE('Cable Info'!N185," - ",'Cable Info'!O185))</f>
        <v>#N/A</v>
      </c>
      <c r="AR186" s="166" t="e">
        <f t="shared" si="43"/>
        <v>#N/A</v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5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e">
        <f>IF('Cable Info'!N186="","",CONCATENATE('Cable Info'!N186," - ",'Cable Info'!O186))</f>
        <v>#N/A</v>
      </c>
      <c r="AR187" s="166" t="e">
        <f t="shared" si="43"/>
        <v>#N/A</v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5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e">
        <f>IF('Cable Info'!N187="","",CONCATENATE('Cable Info'!N187," - ",'Cable Info'!O187))</f>
        <v>#N/A</v>
      </c>
      <c r="AR188" s="166" t="e">
        <f t="shared" si="43"/>
        <v>#N/A</v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5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e">
        <f>IF('Cable Info'!N188="","",CONCATENATE('Cable Info'!N188," - ",'Cable Info'!O188))</f>
        <v>#N/A</v>
      </c>
      <c r="AR189" s="166" t="e">
        <f t="shared" si="43"/>
        <v>#N/A</v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5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e">
        <f>IF('Cable Info'!N189="","",CONCATENATE('Cable Info'!N189," - ",'Cable Info'!O189))</f>
        <v>#N/A</v>
      </c>
      <c r="AR190" s="166" t="e">
        <f t="shared" si="43"/>
        <v>#N/A</v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5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e">
        <f>IF('Cable Info'!N190="","",CONCATENATE('Cable Info'!N190," - ",'Cable Info'!O190))</f>
        <v>#N/A</v>
      </c>
      <c r="AR191" s="166" t="e">
        <f t="shared" si="43"/>
        <v>#N/A</v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5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e">
        <f>IF('Cable Info'!N191="","",CONCATENATE('Cable Info'!N191," - ",'Cable Info'!O191))</f>
        <v>#N/A</v>
      </c>
      <c r="AR192" s="166" t="e">
        <f t="shared" si="43"/>
        <v>#N/A</v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5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e">
        <f>IF('Cable Info'!N192="","",CONCATENATE('Cable Info'!N192," - ",'Cable Info'!O192))</f>
        <v>#N/A</v>
      </c>
      <c r="AR193" s="166" t="e">
        <f t="shared" si="43"/>
        <v>#N/A</v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5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e">
        <f>IF('Cable Info'!N193="","",CONCATENATE('Cable Info'!N193," - ",'Cable Info'!O193))</f>
        <v>#N/A</v>
      </c>
      <c r="AR194" s="166" t="e">
        <f t="shared" si="43"/>
        <v>#N/A</v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5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e">
        <f>IF('Cable Info'!N194="","",CONCATENATE('Cable Info'!N194," - ",'Cable Info'!O194))</f>
        <v>#N/A</v>
      </c>
      <c r="AR195" s="166" t="e">
        <f t="shared" si="43"/>
        <v>#N/A</v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5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e">
        <f>IF('Cable Info'!N195="","",CONCATENATE('Cable Info'!N195," - ",'Cable Info'!O195))</f>
        <v>#N/A</v>
      </c>
      <c r="AR196" s="166" t="e">
        <f t="shared" si="43"/>
        <v>#N/A</v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5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e">
        <f>IF('Cable Info'!N196="","",CONCATENATE('Cable Info'!N196," - ",'Cable Info'!O196))</f>
        <v>#N/A</v>
      </c>
      <c r="AR197" s="166" t="e">
        <f t="shared" si="43"/>
        <v>#N/A</v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5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e">
        <f>IF('Cable Info'!N197="","",CONCATENATE('Cable Info'!N197," - ",'Cable Info'!O197))</f>
        <v>#N/A</v>
      </c>
      <c r="AR198" s="166" t="e">
        <f t="shared" si="43"/>
        <v>#N/A</v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5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e">
        <f>IF('Cable Info'!N198="","",CONCATENATE('Cable Info'!N198," - ",'Cable Info'!O198))</f>
        <v>#N/A</v>
      </c>
      <c r="AR199" s="166" t="e">
        <f t="shared" si="43"/>
        <v>#N/A</v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5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e">
        <f>IF('Cable Info'!N199="","",CONCATENATE('Cable Info'!N199," - ",'Cable Info'!O199))</f>
        <v>#N/A</v>
      </c>
      <c r="AR200" s="166" t="e">
        <f t="shared" si="43"/>
        <v>#N/A</v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5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e">
        <f>IF('Cable Info'!N200="","",CONCATENATE('Cable Info'!N200," - ",'Cable Info'!O200))</f>
        <v>#N/A</v>
      </c>
      <c r="AR201" s="166" t="e">
        <f t="shared" si="43"/>
        <v>#N/A</v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5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e">
        <f>IF('Cable Info'!N201="","",CONCATENATE('Cable Info'!N201," - ",'Cable Info'!O201))</f>
        <v>#N/A</v>
      </c>
      <c r="AR202" s="166" t="e">
        <f t="shared" si="43"/>
        <v>#N/A</v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5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e">
        <f>IF('Cable Info'!N202="","",CONCATENATE('Cable Info'!N202," - ",'Cable Info'!O202))</f>
        <v>#N/A</v>
      </c>
      <c r="AR203" s="166" t="e">
        <f t="shared" si="43"/>
        <v>#N/A</v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5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e">
        <f>IF('Cable Info'!N203="","",CONCATENATE('Cable Info'!N203," - ",'Cable Info'!O203))</f>
        <v>#N/A</v>
      </c>
      <c r="AR204" s="166" t="e">
        <f t="shared" ref="AR204:AR267" si="55">IF(AP204="",AO204,CONCATENATE(AO204,"  &lt;=&gt; ",AP204," ",AQ204))</f>
        <v>#N/A</v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5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e">
        <f>IF('Cable Info'!N204="","",CONCATENATE('Cable Info'!N204," - ",'Cable Info'!O204))</f>
        <v>#N/A</v>
      </c>
      <c r="AR205" s="166" t="e">
        <f t="shared" si="55"/>
        <v>#N/A</v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5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e">
        <f>IF('Cable Info'!N205="","",CONCATENATE('Cable Info'!N205," - ",'Cable Info'!O205))</f>
        <v>#N/A</v>
      </c>
      <c r="AR206" s="166" t="e">
        <f t="shared" si="55"/>
        <v>#N/A</v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5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e">
        <f>IF('Cable Info'!N206="","",CONCATENATE('Cable Info'!N206," - ",'Cable Info'!O206))</f>
        <v>#N/A</v>
      </c>
      <c r="AR207" s="166" t="e">
        <f t="shared" si="55"/>
        <v>#N/A</v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5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e">
        <f>IF('Cable Info'!N207="","",CONCATENATE('Cable Info'!N207," - ",'Cable Info'!O207))</f>
        <v>#N/A</v>
      </c>
      <c r="AR208" s="166" t="e">
        <f t="shared" si="55"/>
        <v>#N/A</v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5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e">
        <f>IF('Cable Info'!N208="","",CONCATENATE('Cable Info'!N208," - ",'Cable Info'!O208))</f>
        <v>#N/A</v>
      </c>
      <c r="AR209" s="166" t="e">
        <f t="shared" si="55"/>
        <v>#N/A</v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5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e">
        <f>IF('Cable Info'!N209="","",CONCATENATE('Cable Info'!N209," - ",'Cable Info'!O209))</f>
        <v>#N/A</v>
      </c>
      <c r="AR210" s="166" t="e">
        <f t="shared" si="55"/>
        <v>#N/A</v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5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e">
        <f>IF('Cable Info'!N210="","",CONCATENATE('Cable Info'!N210," - ",'Cable Info'!O210))</f>
        <v>#N/A</v>
      </c>
      <c r="AR211" s="166" t="e">
        <f t="shared" si="55"/>
        <v>#N/A</v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5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e">
        <f>IF('Cable Info'!N211="","",CONCATENATE('Cable Info'!N211," - ",'Cable Info'!O211))</f>
        <v>#N/A</v>
      </c>
      <c r="AR212" s="166" t="e">
        <f t="shared" si="55"/>
        <v>#N/A</v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5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e">
        <f>IF('Cable Info'!N212="","",CONCATENATE('Cable Info'!N212," - ",'Cable Info'!O212))</f>
        <v>#N/A</v>
      </c>
      <c r="AR213" s="166" t="e">
        <f t="shared" si="55"/>
        <v>#N/A</v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5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e">
        <f>IF('Cable Info'!N213="","",CONCATENATE('Cable Info'!N213," - ",'Cable Info'!O213))</f>
        <v>#N/A</v>
      </c>
      <c r="AR214" s="166" t="e">
        <f t="shared" si="55"/>
        <v>#N/A</v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5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e">
        <f>IF('Cable Info'!N214="","",CONCATENATE('Cable Info'!N214," - ",'Cable Info'!O214))</f>
        <v>#N/A</v>
      </c>
      <c r="AR215" s="166" t="e">
        <f t="shared" si="55"/>
        <v>#N/A</v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5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e">
        <f>IF('Cable Info'!N215="","",CONCATENATE('Cable Info'!N215," - ",'Cable Info'!O215))</f>
        <v>#N/A</v>
      </c>
      <c r="AR216" s="166" t="e">
        <f t="shared" si="55"/>
        <v>#N/A</v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5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e">
        <f>IF('Cable Info'!N216="","",CONCATENATE('Cable Info'!N216," - ",'Cable Info'!O216))</f>
        <v>#N/A</v>
      </c>
      <c r="AR217" s="166" t="e">
        <f t="shared" si="55"/>
        <v>#N/A</v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5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e">
        <f>IF('Cable Info'!N217="","",CONCATENATE('Cable Info'!N217," - ",'Cable Info'!O217))</f>
        <v>#N/A</v>
      </c>
      <c r="AR218" s="166" t="e">
        <f t="shared" si="55"/>
        <v>#N/A</v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5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e">
        <f>IF('Cable Info'!N218="","",CONCATENATE('Cable Info'!N218," - ",'Cable Info'!O218))</f>
        <v>#N/A</v>
      </c>
      <c r="AR219" s="166" t="e">
        <f t="shared" si="55"/>
        <v>#N/A</v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5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e">
        <f>IF('Cable Info'!N219="","",CONCATENATE('Cable Info'!N219," - ",'Cable Info'!O219))</f>
        <v>#N/A</v>
      </c>
      <c r="AR220" s="166" t="e">
        <f t="shared" si="55"/>
        <v>#N/A</v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5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e">
        <f>IF('Cable Info'!N220="","",CONCATENATE('Cable Info'!N220," - ",'Cable Info'!O220))</f>
        <v>#N/A</v>
      </c>
      <c r="AR221" s="166" t="e">
        <f t="shared" si="55"/>
        <v>#N/A</v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5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e">
        <f>IF('Cable Info'!N221="","",CONCATENATE('Cable Info'!N221," - ",'Cable Info'!O221))</f>
        <v>#N/A</v>
      </c>
      <c r="AR222" s="166" t="e">
        <f t="shared" si="55"/>
        <v>#N/A</v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5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e">
        <f>IF('Cable Info'!N222="","",CONCATENATE('Cable Info'!N222," - ",'Cable Info'!O222))</f>
        <v>#N/A</v>
      </c>
      <c r="AR223" s="166" t="e">
        <f t="shared" si="55"/>
        <v>#N/A</v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5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e">
        <f>IF('Cable Info'!N223="","",CONCATENATE('Cable Info'!N223," - ",'Cable Info'!O223))</f>
        <v>#N/A</v>
      </c>
      <c r="AR224" s="166" t="e">
        <f t="shared" si="55"/>
        <v>#N/A</v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5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e">
        <f>IF('Cable Info'!N224="","",CONCATENATE('Cable Info'!N224," - ",'Cable Info'!O224))</f>
        <v>#N/A</v>
      </c>
      <c r="AR225" s="166" t="e">
        <f t="shared" si="55"/>
        <v>#N/A</v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5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e">
        <f>IF('Cable Info'!N225="","",CONCATENATE('Cable Info'!N225," - ",'Cable Info'!O225))</f>
        <v>#N/A</v>
      </c>
      <c r="AR226" s="166" t="e">
        <f t="shared" si="55"/>
        <v>#N/A</v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5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e">
        <f>IF('Cable Info'!N226="","",CONCATENATE('Cable Info'!N226," - ",'Cable Info'!O226))</f>
        <v>#N/A</v>
      </c>
      <c r="AR227" s="166" t="e">
        <f t="shared" si="55"/>
        <v>#N/A</v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5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e">
        <f>IF('Cable Info'!N227="","",CONCATENATE('Cable Info'!N227," - ",'Cable Info'!O227))</f>
        <v>#N/A</v>
      </c>
      <c r="AR228" s="166" t="e">
        <f t="shared" si="55"/>
        <v>#N/A</v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5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e">
        <f>IF('Cable Info'!N228="","",CONCATENATE('Cable Info'!N228," - ",'Cable Info'!O228))</f>
        <v>#N/A</v>
      </c>
      <c r="AR229" s="166" t="e">
        <f t="shared" si="55"/>
        <v>#N/A</v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5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e">
        <f>IF('Cable Info'!N229="","",CONCATENATE('Cable Info'!N229," - ",'Cable Info'!O229))</f>
        <v>#N/A</v>
      </c>
      <c r="AR230" s="166" t="e">
        <f t="shared" si="55"/>
        <v>#N/A</v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5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e">
        <f>IF('Cable Info'!N230="","",CONCATENATE('Cable Info'!N230," - ",'Cable Info'!O230))</f>
        <v>#N/A</v>
      </c>
      <c r="AR231" s="166" t="e">
        <f t="shared" si="55"/>
        <v>#N/A</v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5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e">
        <f>IF('Cable Info'!N231="","",CONCATENATE('Cable Info'!N231," - ",'Cable Info'!O231))</f>
        <v>#N/A</v>
      </c>
      <c r="AR232" s="166" t="e">
        <f t="shared" si="55"/>
        <v>#N/A</v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5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e">
        <f>IF('Cable Info'!N232="","",CONCATENATE('Cable Info'!N232," - ",'Cable Info'!O232))</f>
        <v>#N/A</v>
      </c>
      <c r="AR233" s="166" t="e">
        <f t="shared" si="55"/>
        <v>#N/A</v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5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e">
        <f>IF('Cable Info'!N233="","",CONCATENATE('Cable Info'!N233," - ",'Cable Info'!O233))</f>
        <v>#N/A</v>
      </c>
      <c r="AR234" s="166" t="e">
        <f t="shared" si="55"/>
        <v>#N/A</v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5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e">
        <f>IF('Cable Info'!N234="","",CONCATENATE('Cable Info'!N234," - ",'Cable Info'!O234))</f>
        <v>#N/A</v>
      </c>
      <c r="AR235" s="166" t="e">
        <f t="shared" si="55"/>
        <v>#N/A</v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5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e">
        <f>IF('Cable Info'!N235="","",CONCATENATE('Cable Info'!N235," - ",'Cable Info'!O235))</f>
        <v>#N/A</v>
      </c>
      <c r="AR236" s="166" t="e">
        <f t="shared" si="55"/>
        <v>#N/A</v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5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e">
        <f>IF('Cable Info'!N236="","",CONCATENATE('Cable Info'!N236," - ",'Cable Info'!O236))</f>
        <v>#N/A</v>
      </c>
      <c r="AR237" s="166" t="e">
        <f t="shared" si="55"/>
        <v>#N/A</v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5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e">
        <f>IF('Cable Info'!N237="","",CONCATENATE('Cable Info'!N237," - ",'Cable Info'!O237))</f>
        <v>#N/A</v>
      </c>
      <c r="AR238" s="166" t="e">
        <f t="shared" si="55"/>
        <v>#N/A</v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5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e">
        <f>IF('Cable Info'!N238="","",CONCATENATE('Cable Info'!N238," - ",'Cable Info'!O238))</f>
        <v>#N/A</v>
      </c>
      <c r="AR239" s="166" t="e">
        <f t="shared" si="55"/>
        <v>#N/A</v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5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e">
        <f>IF('Cable Info'!N239="","",CONCATENATE('Cable Info'!N239," - ",'Cable Info'!O239))</f>
        <v>#N/A</v>
      </c>
      <c r="AR240" s="166" t="e">
        <f t="shared" si="55"/>
        <v>#N/A</v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5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e">
        <f>IF('Cable Info'!N240="","",CONCATENATE('Cable Info'!N240," - ",'Cable Info'!O240))</f>
        <v>#N/A</v>
      </c>
      <c r="AR241" s="166" t="e">
        <f t="shared" si="55"/>
        <v>#N/A</v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5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e">
        <f>IF('Cable Info'!N241="","",CONCATENATE('Cable Info'!N241," - ",'Cable Info'!O241))</f>
        <v>#N/A</v>
      </c>
      <c r="AR242" s="166" t="e">
        <f t="shared" si="55"/>
        <v>#N/A</v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5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e">
        <f>IF('Cable Info'!N242="","",CONCATENATE('Cable Info'!N242," - ",'Cable Info'!O242))</f>
        <v>#N/A</v>
      </c>
      <c r="AR243" s="166" t="e">
        <f t="shared" si="55"/>
        <v>#N/A</v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5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e">
        <f>IF('Cable Info'!N243="","",CONCATENATE('Cable Info'!N243," - ",'Cable Info'!O243))</f>
        <v>#N/A</v>
      </c>
      <c r="AR244" s="166" t="e">
        <f t="shared" si="55"/>
        <v>#N/A</v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5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e">
        <f>IF('Cable Info'!N244="","",CONCATENATE('Cable Info'!N244," - ",'Cable Info'!O244))</f>
        <v>#N/A</v>
      </c>
      <c r="AR245" s="166" t="e">
        <f t="shared" si="55"/>
        <v>#N/A</v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5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e">
        <f>IF('Cable Info'!N245="","",CONCATENATE('Cable Info'!N245," - ",'Cable Info'!O245))</f>
        <v>#N/A</v>
      </c>
      <c r="AR246" s="166" t="e">
        <f t="shared" si="55"/>
        <v>#N/A</v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5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e">
        <f>IF('Cable Info'!N246="","",CONCATENATE('Cable Info'!N246," - ",'Cable Info'!O246))</f>
        <v>#N/A</v>
      </c>
      <c r="AR247" s="166" t="e">
        <f t="shared" si="55"/>
        <v>#N/A</v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5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e">
        <f>IF('Cable Info'!N247="","",CONCATENATE('Cable Info'!N247," - ",'Cable Info'!O247))</f>
        <v>#N/A</v>
      </c>
      <c r="AR248" s="166" t="e">
        <f t="shared" si="55"/>
        <v>#N/A</v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5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e">
        <f>IF('Cable Info'!N248="","",CONCATENATE('Cable Info'!N248," - ",'Cable Info'!O248))</f>
        <v>#N/A</v>
      </c>
      <c r="AR249" s="166" t="e">
        <f t="shared" si="55"/>
        <v>#N/A</v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5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e">
        <f>IF('Cable Info'!N249="","",CONCATENATE('Cable Info'!N249," - ",'Cable Info'!O249))</f>
        <v>#N/A</v>
      </c>
      <c r="AR250" s="166" t="e">
        <f t="shared" si="55"/>
        <v>#N/A</v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5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e">
        <f>IF('Cable Info'!N250="","",CONCATENATE('Cable Info'!N250," - ",'Cable Info'!O250))</f>
        <v>#N/A</v>
      </c>
      <c r="AR251" s="166" t="e">
        <f t="shared" si="55"/>
        <v>#N/A</v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5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e">
        <f>IF('Cable Info'!N251="","",CONCATENATE('Cable Info'!N251," - ",'Cable Info'!O251))</f>
        <v>#N/A</v>
      </c>
      <c r="AR252" s="166" t="e">
        <f t="shared" si="55"/>
        <v>#N/A</v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5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e">
        <f>IF('Cable Info'!N252="","",CONCATENATE('Cable Info'!N252," - ",'Cable Info'!O252))</f>
        <v>#N/A</v>
      </c>
      <c r="AR253" s="166" t="e">
        <f t="shared" si="55"/>
        <v>#N/A</v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5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e">
        <f>IF('Cable Info'!N253="","",CONCATENATE('Cable Info'!N253," - ",'Cable Info'!O253))</f>
        <v>#N/A</v>
      </c>
      <c r="AR254" s="166" t="e">
        <f t="shared" si="55"/>
        <v>#N/A</v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5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e">
        <f>IF('Cable Info'!N254="","",CONCATENATE('Cable Info'!N254," - ",'Cable Info'!O254))</f>
        <v>#N/A</v>
      </c>
      <c r="AR255" s="166" t="e">
        <f t="shared" si="55"/>
        <v>#N/A</v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5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e">
        <f>IF('Cable Info'!N255="","",CONCATENATE('Cable Info'!N255," - ",'Cable Info'!O255))</f>
        <v>#N/A</v>
      </c>
      <c r="AR256" s="166" t="e">
        <f t="shared" si="55"/>
        <v>#N/A</v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5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e">
        <f>IF('Cable Info'!N256="","",CONCATENATE('Cable Info'!N256," - ",'Cable Info'!O256))</f>
        <v>#N/A</v>
      </c>
      <c r="AR257" s="166" t="e">
        <f t="shared" si="55"/>
        <v>#N/A</v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5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e">
        <f>IF('Cable Info'!N257="","",CONCATENATE('Cable Info'!N257," - ",'Cable Info'!O257))</f>
        <v>#N/A</v>
      </c>
      <c r="AR258" s="166" t="e">
        <f t="shared" si="55"/>
        <v>#N/A</v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5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e">
        <f>IF('Cable Info'!N258="","",CONCATENATE('Cable Info'!N258," - ",'Cable Info'!O258))</f>
        <v>#N/A</v>
      </c>
      <c r="AR259" s="166" t="e">
        <f t="shared" si="55"/>
        <v>#N/A</v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5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e">
        <f>IF('Cable Info'!N259="","",CONCATENATE('Cable Info'!N259," - ",'Cable Info'!O259))</f>
        <v>#N/A</v>
      </c>
      <c r="AR260" s="166" t="e">
        <f t="shared" si="55"/>
        <v>#N/A</v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5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e">
        <f>IF('Cable Info'!N260="","",CONCATENATE('Cable Info'!N260," - ",'Cable Info'!O260))</f>
        <v>#N/A</v>
      </c>
      <c r="AR261" s="166" t="e">
        <f t="shared" si="55"/>
        <v>#N/A</v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5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e">
        <f>IF('Cable Info'!N261="","",CONCATENATE('Cable Info'!N261," - ",'Cable Info'!O261))</f>
        <v>#N/A</v>
      </c>
      <c r="AR262" s="166" t="e">
        <f t="shared" si="55"/>
        <v>#N/A</v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5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e">
        <f>IF('Cable Info'!N262="","",CONCATENATE('Cable Info'!N262," - ",'Cable Info'!O262))</f>
        <v>#N/A</v>
      </c>
      <c r="AR263" s="166" t="e">
        <f t="shared" si="55"/>
        <v>#N/A</v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5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e">
        <f>IF('Cable Info'!N263="","",CONCATENATE('Cable Info'!N263," - ",'Cable Info'!O263))</f>
        <v>#N/A</v>
      </c>
      <c r="AR264" s="166" t="e">
        <f t="shared" si="55"/>
        <v>#N/A</v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5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e">
        <f>IF('Cable Info'!N264="","",CONCATENATE('Cable Info'!N264," - ",'Cable Info'!O264))</f>
        <v>#N/A</v>
      </c>
      <c r="AR265" s="166" t="e">
        <f t="shared" si="55"/>
        <v>#N/A</v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5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e">
        <f>IF('Cable Info'!N265="","",CONCATENATE('Cable Info'!N265," - ",'Cable Info'!O265))</f>
        <v>#N/A</v>
      </c>
      <c r="AR266" s="166" t="e">
        <f t="shared" si="55"/>
        <v>#N/A</v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5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e">
        <f>IF('Cable Info'!N266="","",CONCATENATE('Cable Info'!N266," - ",'Cable Info'!O266))</f>
        <v>#N/A</v>
      </c>
      <c r="AR267" s="166" t="e">
        <f t="shared" si="55"/>
        <v>#N/A</v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5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e">
        <f>IF('Cable Info'!N267="","",CONCATENATE('Cable Info'!N267," - ",'Cable Info'!O267))</f>
        <v>#N/A</v>
      </c>
      <c r="AR268" s="166" t="e">
        <f t="shared" ref="AR268:AR331" si="67">IF(AP268="",AO268,CONCATENATE(AO268,"  &lt;=&gt; ",AP268," ",AQ268))</f>
        <v>#N/A</v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5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e">
        <f>IF('Cable Info'!N268="","",CONCATENATE('Cable Info'!N268," - ",'Cable Info'!O268))</f>
        <v>#N/A</v>
      </c>
      <c r="AR269" s="166" t="e">
        <f t="shared" si="67"/>
        <v>#N/A</v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5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e">
        <f>IF('Cable Info'!N269="","",CONCATENATE('Cable Info'!N269," - ",'Cable Info'!O269))</f>
        <v>#N/A</v>
      </c>
      <c r="AR270" s="166" t="e">
        <f t="shared" si="67"/>
        <v>#N/A</v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5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e">
        <f>IF('Cable Info'!N270="","",CONCATENATE('Cable Info'!N270," - ",'Cable Info'!O270))</f>
        <v>#N/A</v>
      </c>
      <c r="AR271" s="166" t="e">
        <f t="shared" si="67"/>
        <v>#N/A</v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5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e">
        <f>IF('Cable Info'!N271="","",CONCATENATE('Cable Info'!N271," - ",'Cable Info'!O271))</f>
        <v>#N/A</v>
      </c>
      <c r="AR272" s="166" t="e">
        <f t="shared" si="67"/>
        <v>#N/A</v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5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e">
        <f>IF('Cable Info'!N272="","",CONCATENATE('Cable Info'!N272," - ",'Cable Info'!O272))</f>
        <v>#N/A</v>
      </c>
      <c r="AR273" s="166" t="e">
        <f t="shared" si="67"/>
        <v>#N/A</v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5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e">
        <f>IF('Cable Info'!N273="","",CONCATENATE('Cable Info'!N273," - ",'Cable Info'!O273))</f>
        <v>#N/A</v>
      </c>
      <c r="AR274" s="166" t="e">
        <f t="shared" si="67"/>
        <v>#N/A</v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5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e">
        <f>IF('Cable Info'!N274="","",CONCATENATE('Cable Info'!N274," - ",'Cable Info'!O274))</f>
        <v>#N/A</v>
      </c>
      <c r="AR275" s="166" t="e">
        <f t="shared" si="67"/>
        <v>#N/A</v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5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e">
        <f>IF('Cable Info'!N275="","",CONCATENATE('Cable Info'!N275," - ",'Cable Info'!O275))</f>
        <v>#N/A</v>
      </c>
      <c r="AR276" s="166" t="e">
        <f t="shared" si="67"/>
        <v>#N/A</v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5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e">
        <f>IF('Cable Info'!N276="","",CONCATENATE('Cable Info'!N276," - ",'Cable Info'!O276))</f>
        <v>#N/A</v>
      </c>
      <c r="AR277" s="166" t="e">
        <f t="shared" si="67"/>
        <v>#N/A</v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5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e">
        <f>IF('Cable Info'!N277="","",CONCATENATE('Cable Info'!N277," - ",'Cable Info'!O277))</f>
        <v>#N/A</v>
      </c>
      <c r="AR278" s="166" t="e">
        <f t="shared" si="67"/>
        <v>#N/A</v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5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e">
        <f>IF('Cable Info'!N278="","",CONCATENATE('Cable Info'!N278," - ",'Cable Info'!O278))</f>
        <v>#N/A</v>
      </c>
      <c r="AR279" s="166" t="e">
        <f t="shared" si="67"/>
        <v>#N/A</v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5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e">
        <f>IF('Cable Info'!N279="","",CONCATENATE('Cable Info'!N279," - ",'Cable Info'!O279))</f>
        <v>#N/A</v>
      </c>
      <c r="AR280" s="166" t="e">
        <f t="shared" si="67"/>
        <v>#N/A</v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5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e">
        <f>IF('Cable Info'!N280="","",CONCATENATE('Cable Info'!N280," - ",'Cable Info'!O280))</f>
        <v>#N/A</v>
      </c>
      <c r="AR281" s="166" t="e">
        <f t="shared" si="67"/>
        <v>#N/A</v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5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e">
        <f>IF('Cable Info'!N281="","",CONCATENATE('Cable Info'!N281," - ",'Cable Info'!O281))</f>
        <v>#N/A</v>
      </c>
      <c r="AR282" s="166" t="e">
        <f t="shared" si="67"/>
        <v>#N/A</v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5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e">
        <f>IF('Cable Info'!N282="","",CONCATENATE('Cable Info'!N282," - ",'Cable Info'!O282))</f>
        <v>#N/A</v>
      </c>
      <c r="AR283" s="166" t="e">
        <f t="shared" si="67"/>
        <v>#N/A</v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5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e">
        <f>IF('Cable Info'!N283="","",CONCATENATE('Cable Info'!N283," - ",'Cable Info'!O283))</f>
        <v>#N/A</v>
      </c>
      <c r="AR284" s="166" t="e">
        <f t="shared" si="67"/>
        <v>#N/A</v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5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e">
        <f>IF('Cable Info'!N284="","",CONCATENATE('Cable Info'!N284," - ",'Cable Info'!O284))</f>
        <v>#N/A</v>
      </c>
      <c r="AR285" s="166" t="e">
        <f t="shared" si="67"/>
        <v>#N/A</v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5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e">
        <f>IF('Cable Info'!N285="","",CONCATENATE('Cable Info'!N285," - ",'Cable Info'!O285))</f>
        <v>#N/A</v>
      </c>
      <c r="AR286" s="166" t="e">
        <f t="shared" si="67"/>
        <v>#N/A</v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5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e">
        <f>IF('Cable Info'!N286="","",CONCATENATE('Cable Info'!N286," - ",'Cable Info'!O286))</f>
        <v>#N/A</v>
      </c>
      <c r="AR287" s="166" t="e">
        <f t="shared" si="67"/>
        <v>#N/A</v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5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e">
        <f>IF('Cable Info'!N287="","",CONCATENATE('Cable Info'!N287," - ",'Cable Info'!O287))</f>
        <v>#N/A</v>
      </c>
      <c r="AR288" s="166" t="e">
        <f t="shared" si="67"/>
        <v>#N/A</v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5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e">
        <f>IF('Cable Info'!N288="","",CONCATENATE('Cable Info'!N288," - ",'Cable Info'!O288))</f>
        <v>#N/A</v>
      </c>
      <c r="AR289" s="166" t="e">
        <f t="shared" si="67"/>
        <v>#N/A</v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5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e">
        <f>IF('Cable Info'!N289="","",CONCATENATE('Cable Info'!N289," - ",'Cable Info'!O289))</f>
        <v>#N/A</v>
      </c>
      <c r="AR290" s="166" t="e">
        <f t="shared" si="67"/>
        <v>#N/A</v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5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e">
        <f>IF('Cable Info'!N290="","",CONCATENATE('Cable Info'!N290," - ",'Cable Info'!O290))</f>
        <v>#N/A</v>
      </c>
      <c r="AR291" s="166" t="e">
        <f t="shared" si="67"/>
        <v>#N/A</v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5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e">
        <f>IF('Cable Info'!N291="","",CONCATENATE('Cable Info'!N291," - ",'Cable Info'!O291))</f>
        <v>#N/A</v>
      </c>
      <c r="AR292" s="166" t="e">
        <f t="shared" si="67"/>
        <v>#N/A</v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5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e">
        <f>IF('Cable Info'!N292="","",CONCATENATE('Cable Info'!N292," - ",'Cable Info'!O292))</f>
        <v>#N/A</v>
      </c>
      <c r="AR293" s="166" t="e">
        <f t="shared" si="67"/>
        <v>#N/A</v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5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e">
        <f>IF('Cable Info'!N293="","",CONCATENATE('Cable Info'!N293," - ",'Cable Info'!O293))</f>
        <v>#N/A</v>
      </c>
      <c r="AR294" s="166" t="e">
        <f t="shared" si="67"/>
        <v>#N/A</v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5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e">
        <f>IF('Cable Info'!N294="","",CONCATENATE('Cable Info'!N294," - ",'Cable Info'!O294))</f>
        <v>#N/A</v>
      </c>
      <c r="AR295" s="166" t="e">
        <f t="shared" si="67"/>
        <v>#N/A</v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5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e">
        <f>IF('Cable Info'!N295="","",CONCATENATE('Cable Info'!N295," - ",'Cable Info'!O295))</f>
        <v>#N/A</v>
      </c>
      <c r="AR296" s="166" t="e">
        <f t="shared" si="67"/>
        <v>#N/A</v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5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e">
        <f>IF('Cable Info'!N296="","",CONCATENATE('Cable Info'!N296," - ",'Cable Info'!O296))</f>
        <v>#N/A</v>
      </c>
      <c r="AR297" s="166" t="e">
        <f t="shared" si="67"/>
        <v>#N/A</v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5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e">
        <f>IF('Cable Info'!N297="","",CONCATENATE('Cable Info'!N297," - ",'Cable Info'!O297))</f>
        <v>#N/A</v>
      </c>
      <c r="AR298" s="166" t="e">
        <f t="shared" si="67"/>
        <v>#N/A</v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5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e">
        <f>IF('Cable Info'!N298="","",CONCATENATE('Cable Info'!N298," - ",'Cable Info'!O298))</f>
        <v>#N/A</v>
      </c>
      <c r="AR299" s="166" t="e">
        <f t="shared" si="67"/>
        <v>#N/A</v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5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e">
        <f>IF('Cable Info'!N299="","",CONCATENATE('Cable Info'!N299," - ",'Cable Info'!O299))</f>
        <v>#N/A</v>
      </c>
      <c r="AR300" s="166" t="e">
        <f t="shared" si="67"/>
        <v>#N/A</v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5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e">
        <f>IF('Cable Info'!N300="","",CONCATENATE('Cable Info'!N300," - ",'Cable Info'!O300))</f>
        <v>#N/A</v>
      </c>
      <c r="AR301" s="166" t="e">
        <f t="shared" si="67"/>
        <v>#N/A</v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5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e">
        <f>IF('Cable Info'!N301="","",CONCATENATE('Cable Info'!N301," - ",'Cable Info'!O301))</f>
        <v>#N/A</v>
      </c>
      <c r="AR302" s="166" t="e">
        <f t="shared" si="67"/>
        <v>#N/A</v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5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e">
        <f>IF('Cable Info'!N302="","",CONCATENATE('Cable Info'!N302," - ",'Cable Info'!O302))</f>
        <v>#N/A</v>
      </c>
      <c r="AR303" s="166" t="e">
        <f t="shared" si="67"/>
        <v>#N/A</v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5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e">
        <f>IF('Cable Info'!N303="","",CONCATENATE('Cable Info'!N303," - ",'Cable Info'!O303))</f>
        <v>#N/A</v>
      </c>
      <c r="AR304" s="166" t="e">
        <f t="shared" si="67"/>
        <v>#N/A</v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5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e">
        <f>IF('Cable Info'!N304="","",CONCATENATE('Cable Info'!N304," - ",'Cable Info'!O304))</f>
        <v>#N/A</v>
      </c>
      <c r="AR305" s="166" t="e">
        <f t="shared" si="67"/>
        <v>#N/A</v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5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e">
        <f>IF('Cable Info'!N305="","",CONCATENATE('Cable Info'!N305," - ",'Cable Info'!O305))</f>
        <v>#N/A</v>
      </c>
      <c r="AR306" s="166" t="e">
        <f t="shared" si="67"/>
        <v>#N/A</v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5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e">
        <f>IF('Cable Info'!N306="","",CONCATENATE('Cable Info'!N306," - ",'Cable Info'!O306))</f>
        <v>#N/A</v>
      </c>
      <c r="AR307" s="166" t="e">
        <f t="shared" si="67"/>
        <v>#N/A</v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5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e">
        <f>IF('Cable Info'!N307="","",CONCATENATE('Cable Info'!N307," - ",'Cable Info'!O307))</f>
        <v>#N/A</v>
      </c>
      <c r="AR308" s="166" t="e">
        <f t="shared" si="67"/>
        <v>#N/A</v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5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e">
        <f>IF('Cable Info'!N308="","",CONCATENATE('Cable Info'!N308," - ",'Cable Info'!O308))</f>
        <v>#N/A</v>
      </c>
      <c r="AR309" s="166" t="e">
        <f t="shared" si="67"/>
        <v>#N/A</v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5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e">
        <f>IF('Cable Info'!N309="","",CONCATENATE('Cable Info'!N309," - ",'Cable Info'!O309))</f>
        <v>#N/A</v>
      </c>
      <c r="AR310" s="166" t="e">
        <f t="shared" si="67"/>
        <v>#N/A</v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5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e">
        <f>IF('Cable Info'!N310="","",CONCATENATE('Cable Info'!N310," - ",'Cable Info'!O310))</f>
        <v>#N/A</v>
      </c>
      <c r="AR311" s="166" t="e">
        <f t="shared" si="67"/>
        <v>#N/A</v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5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e">
        <f>IF('Cable Info'!N311="","",CONCATENATE('Cable Info'!N311," - ",'Cable Info'!O311))</f>
        <v>#N/A</v>
      </c>
      <c r="AR312" s="166" t="e">
        <f t="shared" si="67"/>
        <v>#N/A</v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5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e">
        <f>IF('Cable Info'!N312="","",CONCATENATE('Cable Info'!N312," - ",'Cable Info'!O312))</f>
        <v>#N/A</v>
      </c>
      <c r="AR313" s="166" t="e">
        <f t="shared" si="67"/>
        <v>#N/A</v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5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e">
        <f>IF('Cable Info'!N313="","",CONCATENATE('Cable Info'!N313," - ",'Cable Info'!O313))</f>
        <v>#N/A</v>
      </c>
      <c r="AR314" s="166" t="e">
        <f t="shared" si="67"/>
        <v>#N/A</v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5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e">
        <f>IF('Cable Info'!N314="","",CONCATENATE('Cable Info'!N314," - ",'Cable Info'!O314))</f>
        <v>#N/A</v>
      </c>
      <c r="AR315" s="166" t="e">
        <f t="shared" si="67"/>
        <v>#N/A</v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5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e">
        <f>IF('Cable Info'!N315="","",CONCATENATE('Cable Info'!N315," - ",'Cable Info'!O315))</f>
        <v>#N/A</v>
      </c>
      <c r="AR316" s="166" t="e">
        <f t="shared" si="67"/>
        <v>#N/A</v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5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e">
        <f>IF('Cable Info'!N316="","",CONCATENATE('Cable Info'!N316," - ",'Cable Info'!O316))</f>
        <v>#N/A</v>
      </c>
      <c r="AR317" s="166" t="e">
        <f t="shared" si="67"/>
        <v>#N/A</v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5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e">
        <f>IF('Cable Info'!N317="","",CONCATENATE('Cable Info'!N317," - ",'Cable Info'!O317))</f>
        <v>#N/A</v>
      </c>
      <c r="AR318" s="166" t="e">
        <f t="shared" si="67"/>
        <v>#N/A</v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5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e">
        <f>IF('Cable Info'!N318="","",CONCATENATE('Cable Info'!N318," - ",'Cable Info'!O318))</f>
        <v>#N/A</v>
      </c>
      <c r="AR319" s="166" t="e">
        <f t="shared" si="67"/>
        <v>#N/A</v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5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e">
        <f>IF('Cable Info'!N319="","",CONCATENATE('Cable Info'!N319," - ",'Cable Info'!O319))</f>
        <v>#N/A</v>
      </c>
      <c r="AR320" s="166" t="e">
        <f t="shared" si="67"/>
        <v>#N/A</v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5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e">
        <f>IF('Cable Info'!N320="","",CONCATENATE('Cable Info'!N320," - ",'Cable Info'!O320))</f>
        <v>#N/A</v>
      </c>
      <c r="AR321" s="166" t="e">
        <f t="shared" si="67"/>
        <v>#N/A</v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5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e">
        <f>IF('Cable Info'!N321="","",CONCATENATE('Cable Info'!N321," - ",'Cable Info'!O321))</f>
        <v>#N/A</v>
      </c>
      <c r="AR322" s="166" t="e">
        <f t="shared" si="67"/>
        <v>#N/A</v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5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e">
        <f>IF('Cable Info'!N322="","",CONCATENATE('Cable Info'!N322," - ",'Cable Info'!O322))</f>
        <v>#N/A</v>
      </c>
      <c r="AR323" s="166" t="e">
        <f t="shared" si="67"/>
        <v>#N/A</v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5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e">
        <f>IF('Cable Info'!N323="","",CONCATENATE('Cable Info'!N323," - ",'Cable Info'!O323))</f>
        <v>#N/A</v>
      </c>
      <c r="AR324" s="166" t="e">
        <f t="shared" si="67"/>
        <v>#N/A</v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5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e">
        <f>IF('Cable Info'!N324="","",CONCATENATE('Cable Info'!N324," - ",'Cable Info'!O324))</f>
        <v>#N/A</v>
      </c>
      <c r="AR325" s="166" t="e">
        <f t="shared" si="67"/>
        <v>#N/A</v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5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e">
        <f>IF('Cable Info'!N325="","",CONCATENATE('Cable Info'!N325," - ",'Cable Info'!O325))</f>
        <v>#N/A</v>
      </c>
      <c r="AR326" s="166" t="e">
        <f t="shared" si="67"/>
        <v>#N/A</v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5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e">
        <f>IF('Cable Info'!N326="","",CONCATENATE('Cable Info'!N326," - ",'Cable Info'!O326))</f>
        <v>#N/A</v>
      </c>
      <c r="AR327" s="166" t="e">
        <f t="shared" si="67"/>
        <v>#N/A</v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5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e">
        <f>IF('Cable Info'!N327="","",CONCATENATE('Cable Info'!N327," - ",'Cable Info'!O327))</f>
        <v>#N/A</v>
      </c>
      <c r="AR328" s="166" t="e">
        <f t="shared" si="67"/>
        <v>#N/A</v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5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e">
        <f>IF('Cable Info'!N328="","",CONCATENATE('Cable Info'!N328," - ",'Cable Info'!O328))</f>
        <v>#N/A</v>
      </c>
      <c r="AR329" s="166" t="e">
        <f t="shared" si="67"/>
        <v>#N/A</v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5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e">
        <f>IF('Cable Info'!N329="","",CONCATENATE('Cable Info'!N329," - ",'Cable Info'!O329))</f>
        <v>#N/A</v>
      </c>
      <c r="AR330" s="166" t="e">
        <f t="shared" si="67"/>
        <v>#N/A</v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5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e">
        <f>IF('Cable Info'!N330="","",CONCATENATE('Cable Info'!N330," - ",'Cable Info'!O330))</f>
        <v>#N/A</v>
      </c>
      <c r="AR331" s="166" t="e">
        <f t="shared" si="67"/>
        <v>#N/A</v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5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e">
        <f>IF('Cable Info'!N331="","",CONCATENATE('Cable Info'!N331," - ",'Cable Info'!O331))</f>
        <v>#N/A</v>
      </c>
      <c r="AR332" s="166" t="e">
        <f t="shared" ref="AR332:AR383" si="79">IF(AP332="",AO332,CONCATENATE(AO332,"  &lt;=&gt; ",AP332," ",AQ332))</f>
        <v>#N/A</v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5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e">
        <f>IF('Cable Info'!N332="","",CONCATENATE('Cable Info'!N332," - ",'Cable Info'!O332))</f>
        <v>#N/A</v>
      </c>
      <c r="AR333" s="166" t="e">
        <f t="shared" si="79"/>
        <v>#N/A</v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5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e">
        <f>IF('Cable Info'!N333="","",CONCATENATE('Cable Info'!N333," - ",'Cable Info'!O333))</f>
        <v>#N/A</v>
      </c>
      <c r="AR334" s="166" t="e">
        <f t="shared" si="79"/>
        <v>#N/A</v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5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e">
        <f>IF('Cable Info'!N334="","",CONCATENATE('Cable Info'!N334," - ",'Cable Info'!O334))</f>
        <v>#N/A</v>
      </c>
      <c r="AR335" s="166" t="e">
        <f t="shared" si="79"/>
        <v>#N/A</v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5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e">
        <f>IF('Cable Info'!N335="","",CONCATENATE('Cable Info'!N335," - ",'Cable Info'!O335))</f>
        <v>#N/A</v>
      </c>
      <c r="AR336" s="166" t="e">
        <f t="shared" si="79"/>
        <v>#N/A</v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5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e">
        <f>IF('Cable Info'!N336="","",CONCATENATE('Cable Info'!N336," - ",'Cable Info'!O336))</f>
        <v>#N/A</v>
      </c>
      <c r="AR337" s="166" t="e">
        <f t="shared" si="79"/>
        <v>#N/A</v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5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e">
        <f>IF('Cable Info'!N337="","",CONCATENATE('Cable Info'!N337," - ",'Cable Info'!O337))</f>
        <v>#N/A</v>
      </c>
      <c r="AR338" s="166" t="e">
        <f t="shared" si="79"/>
        <v>#N/A</v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5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e">
        <f>IF('Cable Info'!N338="","",CONCATENATE('Cable Info'!N338," - ",'Cable Info'!O338))</f>
        <v>#N/A</v>
      </c>
      <c r="AR339" s="166" t="e">
        <f t="shared" si="79"/>
        <v>#N/A</v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5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e">
        <f>IF('Cable Info'!N339="","",CONCATENATE('Cable Info'!N339," - ",'Cable Info'!O339))</f>
        <v>#N/A</v>
      </c>
      <c r="AR340" s="166" t="e">
        <f t="shared" si="79"/>
        <v>#N/A</v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5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e">
        <f>IF('Cable Info'!N340="","",CONCATENATE('Cable Info'!N340," - ",'Cable Info'!O340))</f>
        <v>#N/A</v>
      </c>
      <c r="AR341" s="166" t="e">
        <f t="shared" si="79"/>
        <v>#N/A</v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5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e">
        <f>IF('Cable Info'!N341="","",CONCATENATE('Cable Info'!N341," - ",'Cable Info'!O341))</f>
        <v>#N/A</v>
      </c>
      <c r="AR342" s="166" t="e">
        <f t="shared" si="79"/>
        <v>#N/A</v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5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e">
        <f>IF('Cable Info'!N342="","",CONCATENATE('Cable Info'!N342," - ",'Cable Info'!O342))</f>
        <v>#N/A</v>
      </c>
      <c r="AR343" s="166" t="e">
        <f t="shared" si="79"/>
        <v>#N/A</v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5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e">
        <f>IF('Cable Info'!N343="","",CONCATENATE('Cable Info'!N343," - ",'Cable Info'!O343))</f>
        <v>#N/A</v>
      </c>
      <c r="AR344" s="166" t="e">
        <f t="shared" si="79"/>
        <v>#N/A</v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5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e">
        <f>IF('Cable Info'!N344="","",CONCATENATE('Cable Info'!N344," - ",'Cable Info'!O344))</f>
        <v>#N/A</v>
      </c>
      <c r="AR345" s="166" t="e">
        <f t="shared" si="79"/>
        <v>#N/A</v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5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e">
        <f>IF('Cable Info'!N345="","",CONCATENATE('Cable Info'!N345," - ",'Cable Info'!O345))</f>
        <v>#N/A</v>
      </c>
      <c r="AR346" s="166" t="e">
        <f t="shared" si="79"/>
        <v>#N/A</v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5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e">
        <f>IF('Cable Info'!N346="","",CONCATENATE('Cable Info'!N346," - ",'Cable Info'!O346))</f>
        <v>#N/A</v>
      </c>
      <c r="AR347" s="166" t="e">
        <f t="shared" si="79"/>
        <v>#N/A</v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5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e">
        <f>IF('Cable Info'!N347="","",CONCATENATE('Cable Info'!N347," - ",'Cable Info'!O347))</f>
        <v>#N/A</v>
      </c>
      <c r="AR348" s="166" t="e">
        <f t="shared" si="79"/>
        <v>#N/A</v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5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e">
        <f>IF('Cable Info'!N348="","",CONCATENATE('Cable Info'!N348," - ",'Cable Info'!O348))</f>
        <v>#N/A</v>
      </c>
      <c r="AR349" s="166" t="e">
        <f t="shared" si="79"/>
        <v>#N/A</v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5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e">
        <f>IF('Cable Info'!N349="","",CONCATENATE('Cable Info'!N349," - ",'Cable Info'!O349))</f>
        <v>#N/A</v>
      </c>
      <c r="AR350" s="166" t="e">
        <f t="shared" si="79"/>
        <v>#N/A</v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5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e">
        <f>IF('Cable Info'!N350="","",CONCATENATE('Cable Info'!N350," - ",'Cable Info'!O350))</f>
        <v>#N/A</v>
      </c>
      <c r="AR351" s="166" t="e">
        <f t="shared" si="79"/>
        <v>#N/A</v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5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e">
        <f>IF('Cable Info'!N351="","",CONCATENATE('Cable Info'!N351," - ",'Cable Info'!O351))</f>
        <v>#N/A</v>
      </c>
      <c r="AR352" s="166" t="e">
        <f t="shared" si="79"/>
        <v>#N/A</v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5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e">
        <f>IF('Cable Info'!N352="","",CONCATENATE('Cable Info'!N352," - ",'Cable Info'!O352))</f>
        <v>#N/A</v>
      </c>
      <c r="AR353" s="166" t="e">
        <f t="shared" si="79"/>
        <v>#N/A</v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5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e">
        <f>IF('Cable Info'!N353="","",CONCATENATE('Cable Info'!N353," - ",'Cable Info'!O353))</f>
        <v>#N/A</v>
      </c>
      <c r="AR354" s="166" t="e">
        <f t="shared" si="79"/>
        <v>#N/A</v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5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e">
        <f>IF('Cable Info'!N354="","",CONCATENATE('Cable Info'!N354," - ",'Cable Info'!O354))</f>
        <v>#N/A</v>
      </c>
      <c r="AR355" s="166" t="e">
        <f t="shared" si="79"/>
        <v>#N/A</v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5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e">
        <f>IF('Cable Info'!N355="","",CONCATENATE('Cable Info'!N355," - ",'Cable Info'!O355))</f>
        <v>#N/A</v>
      </c>
      <c r="AR356" s="166" t="e">
        <f t="shared" si="79"/>
        <v>#N/A</v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5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e">
        <f>IF('Cable Info'!N356="","",CONCATENATE('Cable Info'!N356," - ",'Cable Info'!O356))</f>
        <v>#N/A</v>
      </c>
      <c r="AR357" s="166" t="e">
        <f t="shared" si="79"/>
        <v>#N/A</v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5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e">
        <f>IF('Cable Info'!N357="","",CONCATENATE('Cable Info'!N357," - ",'Cable Info'!O357))</f>
        <v>#N/A</v>
      </c>
      <c r="AR358" s="166" t="e">
        <f t="shared" si="79"/>
        <v>#N/A</v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5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e">
        <f>IF('Cable Info'!N358="","",CONCATENATE('Cable Info'!N358," - ",'Cable Info'!O358))</f>
        <v>#N/A</v>
      </c>
      <c r="AR359" s="166" t="e">
        <f t="shared" si="79"/>
        <v>#N/A</v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5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e">
        <f>IF('Cable Info'!N359="","",CONCATENATE('Cable Info'!N359," - ",'Cable Info'!O359))</f>
        <v>#N/A</v>
      </c>
      <c r="AR360" s="166" t="e">
        <f t="shared" si="79"/>
        <v>#N/A</v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5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e">
        <f>IF('Cable Info'!N360="","",CONCATENATE('Cable Info'!N360," - ",'Cable Info'!O360))</f>
        <v>#N/A</v>
      </c>
      <c r="AR361" s="166" t="e">
        <f t="shared" si="79"/>
        <v>#N/A</v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5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e">
        <f>IF('Cable Info'!N361="","",CONCATENATE('Cable Info'!N361," - ",'Cable Info'!O361))</f>
        <v>#N/A</v>
      </c>
      <c r="AR362" s="166" t="e">
        <f t="shared" si="79"/>
        <v>#N/A</v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5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e">
        <f>IF('Cable Info'!N362="","",CONCATENATE('Cable Info'!N362," - ",'Cable Info'!O362))</f>
        <v>#N/A</v>
      </c>
      <c r="AR363" s="166" t="e">
        <f t="shared" si="79"/>
        <v>#N/A</v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5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e">
        <f>IF('Cable Info'!N363="","",CONCATENATE('Cable Info'!N363," - ",'Cable Info'!O363))</f>
        <v>#N/A</v>
      </c>
      <c r="AR364" s="166" t="e">
        <f t="shared" si="79"/>
        <v>#N/A</v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5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e">
        <f>IF('Cable Info'!N364="","",CONCATENATE('Cable Info'!N364," - ",'Cable Info'!O364))</f>
        <v>#N/A</v>
      </c>
      <c r="AR365" s="166" t="e">
        <f t="shared" si="79"/>
        <v>#N/A</v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5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e">
        <f>IF('Cable Info'!N365="","",CONCATENATE('Cable Info'!N365," - ",'Cable Info'!O365))</f>
        <v>#N/A</v>
      </c>
      <c r="AR366" s="166" t="e">
        <f t="shared" si="79"/>
        <v>#N/A</v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5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e">
        <f>IF('Cable Info'!N366="","",CONCATENATE('Cable Info'!N366," - ",'Cable Info'!O366))</f>
        <v>#N/A</v>
      </c>
      <c r="AR367" s="166" t="e">
        <f t="shared" si="79"/>
        <v>#N/A</v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5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e">
        <f>IF('Cable Info'!N367="","",CONCATENATE('Cable Info'!N367," - ",'Cable Info'!O367))</f>
        <v>#N/A</v>
      </c>
      <c r="AR368" s="166" t="e">
        <f t="shared" si="79"/>
        <v>#N/A</v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5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e">
        <f>IF('Cable Info'!N368="","",CONCATENATE('Cable Info'!N368," - ",'Cable Info'!O368))</f>
        <v>#N/A</v>
      </c>
      <c r="AR369" s="166" t="e">
        <f t="shared" si="79"/>
        <v>#N/A</v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5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e">
        <f>IF('Cable Info'!N369="","",CONCATENATE('Cable Info'!N369," - ",'Cable Info'!O369))</f>
        <v>#N/A</v>
      </c>
      <c r="AR370" s="166" t="e">
        <f t="shared" si="79"/>
        <v>#N/A</v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5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e">
        <f>IF('Cable Info'!N370="","",CONCATENATE('Cable Info'!N370," - ",'Cable Info'!O370))</f>
        <v>#N/A</v>
      </c>
      <c r="AR371" s="166" t="e">
        <f t="shared" si="79"/>
        <v>#N/A</v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5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e">
        <f>IF('Cable Info'!N371="","",CONCATENATE('Cable Info'!N371," - ",'Cable Info'!O371))</f>
        <v>#N/A</v>
      </c>
      <c r="AR372" s="166" t="e">
        <f t="shared" si="79"/>
        <v>#N/A</v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5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e">
        <f>IF('Cable Info'!N372="","",CONCATENATE('Cable Info'!N372," - ",'Cable Info'!O372))</f>
        <v>#N/A</v>
      </c>
      <c r="AR373" s="166" t="e">
        <f t="shared" si="79"/>
        <v>#N/A</v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5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e">
        <f>IF('Cable Info'!N373="","",CONCATENATE('Cable Info'!N373," - ",'Cable Info'!O373))</f>
        <v>#N/A</v>
      </c>
      <c r="AR374" s="166" t="e">
        <f t="shared" si="79"/>
        <v>#N/A</v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5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e">
        <f>IF('Cable Info'!N374="","",CONCATENATE('Cable Info'!N374," - ",'Cable Info'!O374))</f>
        <v>#N/A</v>
      </c>
      <c r="AR375" s="166" t="e">
        <f t="shared" si="79"/>
        <v>#N/A</v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5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e">
        <f>IF('Cable Info'!N375="","",CONCATENATE('Cable Info'!N375," - ",'Cable Info'!O375))</f>
        <v>#N/A</v>
      </c>
      <c r="AR376" s="166" t="e">
        <f t="shared" si="79"/>
        <v>#N/A</v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5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e">
        <f>IF('Cable Info'!N376="","",CONCATENATE('Cable Info'!N376," - ",'Cable Info'!O376))</f>
        <v>#N/A</v>
      </c>
      <c r="AR377" s="166" t="e">
        <f t="shared" si="79"/>
        <v>#N/A</v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5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e">
        <f>IF('Cable Info'!N377="","",CONCATENATE('Cable Info'!N377," - ",'Cable Info'!O377))</f>
        <v>#N/A</v>
      </c>
      <c r="AR378" s="166" t="e">
        <f t="shared" si="79"/>
        <v>#N/A</v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5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e">
        <f>IF('Cable Info'!N378="","",CONCATENATE('Cable Info'!N378," - ",'Cable Info'!O378))</f>
        <v>#N/A</v>
      </c>
      <c r="AR379" s="166" t="e">
        <f t="shared" si="79"/>
        <v>#N/A</v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5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e">
        <f>IF('Cable Info'!N379="","",CONCATENATE('Cable Info'!N379," - ",'Cable Info'!O379))</f>
        <v>#N/A</v>
      </c>
      <c r="AR380" s="166" t="e">
        <f t="shared" si="79"/>
        <v>#N/A</v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5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e">
        <f>IF('Cable Info'!N380="","",CONCATENATE('Cable Info'!N380," - ",'Cable Info'!O380))</f>
        <v>#N/A</v>
      </c>
      <c r="AR381" s="166" t="e">
        <f t="shared" si="79"/>
        <v>#N/A</v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5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e">
        <f>IF('Cable Info'!N381="","",CONCATENATE('Cable Info'!N381," - ",'Cable Info'!O381))</f>
        <v>#N/A</v>
      </c>
      <c r="AR382" s="166" t="e">
        <f t="shared" si="79"/>
        <v>#N/A</v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5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e">
        <f>IF('Cable Info'!N382="","",CONCATENATE('Cable Info'!N382," - ",'Cable Info'!O382))</f>
        <v>#N/A</v>
      </c>
      <c r="AR383" s="166" t="e">
        <f t="shared" si="79"/>
        <v>#N/A</v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8" thickBot="1" x14ac:dyDescent="0.3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e">
        <f>IF('Cable Info'!N84="","",CONCATENATE('Cable Info'!N84," - ",'Cable Info'!O84))</f>
        <v>#N/A</v>
      </c>
      <c r="AR384" s="166" t="e">
        <f t="shared" ref="AR384:AR431" si="91">IF(AP384="",AO384,CONCATENATE(AO384,"  &lt;=&gt; ",AP384," ",AQ384))</f>
        <v>#N/A</v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8" thickBot="1" x14ac:dyDescent="0.3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e">
        <f>IF('Cable Info'!N85="","",CONCATENATE('Cable Info'!N85," - ",'Cable Info'!O85))</f>
        <v>#N/A</v>
      </c>
      <c r="AR385" s="166" t="e">
        <f t="shared" si="91"/>
        <v>#N/A</v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5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e">
        <f>IF('Cable Info'!N86="","",CONCATENATE('Cable Info'!N86," - ",'Cable Info'!O86))</f>
        <v>#N/A</v>
      </c>
      <c r="AP386" s="261"/>
      <c r="AQ386" s="261"/>
      <c r="AR386" s="261" t="e">
        <f t="shared" si="91"/>
        <v>#N/A</v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5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e">
        <f>IF('Cable Info'!N87="","",CONCATENATE('Cable Info'!N87," - ",'Cable Info'!O87))</f>
        <v>#N/A</v>
      </c>
      <c r="AP387" s="267"/>
      <c r="AQ387" s="267"/>
      <c r="AR387" s="267" t="e">
        <f t="shared" si="91"/>
        <v>#N/A</v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5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e">
        <f>IF('Cable Info'!N88="","",CONCATENATE('Cable Info'!N88," - ",'Cable Info'!O88))</f>
        <v>#N/A</v>
      </c>
      <c r="AR388" s="166" t="e">
        <f t="shared" si="91"/>
        <v>#N/A</v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5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e">
        <f>IF('Cable Info'!N89="","",CONCATENATE('Cable Info'!N89," - ",'Cable Info'!O89))</f>
        <v>#N/A</v>
      </c>
      <c r="AR389" s="166" t="e">
        <f t="shared" si="91"/>
        <v>#N/A</v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5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e">
        <f>IF('Cable Info'!N90="","",CONCATENATE('Cable Info'!N90," - ",'Cable Info'!O90))</f>
        <v>#N/A</v>
      </c>
      <c r="AR390" s="166" t="e">
        <f t="shared" si="91"/>
        <v>#N/A</v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5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e">
        <f>IF('Cable Info'!N91="","",CONCATENATE('Cable Info'!N91," - ",'Cable Info'!O91))</f>
        <v>#N/A</v>
      </c>
      <c r="AR391" s="166" t="e">
        <f t="shared" si="91"/>
        <v>#N/A</v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5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e">
        <f>IF('Cable Info'!N92="","",CONCATENATE('Cable Info'!N92," - ",'Cable Info'!O92))</f>
        <v>#N/A</v>
      </c>
      <c r="AR392" s="166" t="e">
        <f t="shared" si="91"/>
        <v>#N/A</v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5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e">
        <f>IF('Cable Info'!N93="","",CONCATENATE('Cable Info'!N93," - ",'Cable Info'!O93))</f>
        <v>#N/A</v>
      </c>
      <c r="AR393" s="166" t="e">
        <f t="shared" si="91"/>
        <v>#N/A</v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5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e">
        <f>IF('Cable Info'!N94="","",CONCATENATE('Cable Info'!N94," - ",'Cable Info'!O94))</f>
        <v>#N/A</v>
      </c>
      <c r="AR394" s="166" t="e">
        <f t="shared" si="91"/>
        <v>#N/A</v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5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e">
        <f>IF('Cable Info'!N95="","",CONCATENATE('Cable Info'!N95," - ",'Cable Info'!O95))</f>
        <v>#N/A</v>
      </c>
      <c r="AR395" s="166" t="e">
        <f t="shared" si="91"/>
        <v>#N/A</v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5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e">
        <f>IF('Cable Info'!N96="","",CONCATENATE('Cable Info'!N96," - ",'Cable Info'!O96))</f>
        <v>#N/A</v>
      </c>
      <c r="AR396" s="166" t="e">
        <f t="shared" si="91"/>
        <v>#N/A</v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5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e">
        <f>IF('Cable Info'!N97="","",CONCATENATE('Cable Info'!N97," - ",'Cable Info'!O97))</f>
        <v>#N/A</v>
      </c>
      <c r="AR397" s="166" t="e">
        <f t="shared" si="91"/>
        <v>#N/A</v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5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e">
        <f>IF('Cable Info'!N98="","",CONCATENATE('Cable Info'!N98," - ",'Cable Info'!O98))</f>
        <v>#N/A</v>
      </c>
      <c r="AR398" s="166" t="e">
        <f t="shared" si="91"/>
        <v>#N/A</v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5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e">
        <f>IF('Cable Info'!N99="","",CONCATENATE('Cable Info'!N99," - ",'Cable Info'!O99))</f>
        <v>#N/A</v>
      </c>
      <c r="AR399" s="166" t="e">
        <f t="shared" si="91"/>
        <v>#N/A</v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5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e">
        <f>IF('Cable Info'!N100="","",CONCATENATE('Cable Info'!N100," - ",'Cable Info'!O100))</f>
        <v>#N/A</v>
      </c>
      <c r="AR400" s="166" t="e">
        <f t="shared" si="91"/>
        <v>#N/A</v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5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e">
        <f>IF('Cable Info'!N101="","",CONCATENATE('Cable Info'!N101," - ",'Cable Info'!O101))</f>
        <v>#N/A</v>
      </c>
      <c r="AR401" s="166" t="e">
        <f t="shared" si="91"/>
        <v>#N/A</v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5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e">
        <f>IF('Cable Info'!N102="","",CONCATENATE('Cable Info'!N102," - ",'Cable Info'!O102))</f>
        <v>#N/A</v>
      </c>
      <c r="AR402" s="166" t="e">
        <f t="shared" si="91"/>
        <v>#N/A</v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5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e">
        <f>IF('Cable Info'!N103="","",CONCATENATE('Cable Info'!N103," - ",'Cable Info'!O103))</f>
        <v>#N/A</v>
      </c>
      <c r="AR403" s="166" t="e">
        <f t="shared" si="91"/>
        <v>#N/A</v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5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e">
        <f>IF('Cable Info'!N104="","",CONCATENATE('Cable Info'!N104," - ",'Cable Info'!O104))</f>
        <v>#N/A</v>
      </c>
      <c r="AR404" s="166" t="e">
        <f t="shared" si="91"/>
        <v>#N/A</v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5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e">
        <f>IF('Cable Info'!N105="","",CONCATENATE('Cable Info'!N105," - ",'Cable Info'!O105))</f>
        <v>#N/A</v>
      </c>
      <c r="AR405" s="166" t="e">
        <f t="shared" si="91"/>
        <v>#N/A</v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5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e">
        <f>IF('Cable Info'!N106="","",CONCATENATE('Cable Info'!N106," - ",'Cable Info'!O106))</f>
        <v>#N/A</v>
      </c>
      <c r="AR406" s="166" t="e">
        <f t="shared" si="91"/>
        <v>#N/A</v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5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e">
        <f>IF('Cable Info'!N107="","",CONCATENATE('Cable Info'!N107," - ",'Cable Info'!O107))</f>
        <v>#N/A</v>
      </c>
      <c r="AR407" s="166" t="e">
        <f t="shared" si="91"/>
        <v>#N/A</v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5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e">
        <f>IF('Cable Info'!N108="","",CONCATENATE('Cable Info'!N108," - ",'Cable Info'!O108))</f>
        <v>#N/A</v>
      </c>
      <c r="AR408" s="166" t="e">
        <f t="shared" si="91"/>
        <v>#N/A</v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5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e">
        <f>IF('Cable Info'!N109="","",CONCATENATE('Cable Info'!N109," - ",'Cable Info'!O109))</f>
        <v>#N/A</v>
      </c>
      <c r="AR409" s="166" t="e">
        <f t="shared" si="91"/>
        <v>#N/A</v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5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e">
        <f>IF('Cable Info'!N110="","",CONCATENATE('Cable Info'!N110," - ",'Cable Info'!O110))</f>
        <v>#N/A</v>
      </c>
      <c r="AR410" s="166" t="e">
        <f t="shared" si="91"/>
        <v>#N/A</v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5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e">
        <f>IF('Cable Info'!N111="","",CONCATENATE('Cable Info'!N111," - ",'Cable Info'!O111))</f>
        <v>#N/A</v>
      </c>
      <c r="AR411" s="166" t="e">
        <f t="shared" si="91"/>
        <v>#N/A</v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5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e">
        <f>IF('Cable Info'!N112="","",CONCATENATE('Cable Info'!N112," - ",'Cable Info'!O112))</f>
        <v>#N/A</v>
      </c>
      <c r="AR412" s="166" t="e">
        <f t="shared" si="91"/>
        <v>#N/A</v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5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e">
        <f>IF('Cable Info'!N113="","",CONCATENATE('Cable Info'!N113," - ",'Cable Info'!O113))</f>
        <v>#N/A</v>
      </c>
      <c r="AR413" s="166" t="e">
        <f t="shared" si="91"/>
        <v>#N/A</v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5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e">
        <f>IF('Cable Info'!N114="","",CONCATENATE('Cable Info'!N114," - ",'Cable Info'!O114))</f>
        <v>#N/A</v>
      </c>
      <c r="AR414" s="166" t="e">
        <f t="shared" si="91"/>
        <v>#N/A</v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5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e">
        <f>IF('Cable Info'!N115="","",CONCATENATE('Cable Info'!N115," - ",'Cable Info'!O115))</f>
        <v>#N/A</v>
      </c>
      <c r="AR415" s="166" t="e">
        <f t="shared" si="91"/>
        <v>#N/A</v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5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e">
        <f>IF('Cable Info'!N116="","",CONCATENATE('Cable Info'!N116," - ",'Cable Info'!O116))</f>
        <v>#N/A</v>
      </c>
      <c r="AR416" s="166" t="e">
        <f t="shared" si="91"/>
        <v>#N/A</v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5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e">
        <f>IF('Cable Info'!N117="","",CONCATENATE('Cable Info'!N117," - ",'Cable Info'!O117))</f>
        <v>#N/A</v>
      </c>
      <c r="AR417" s="166" t="e">
        <f t="shared" si="91"/>
        <v>#N/A</v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5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e">
        <f>IF('Cable Info'!N118="","",CONCATENATE('Cable Info'!N118," - ",'Cable Info'!O118))</f>
        <v>#N/A</v>
      </c>
      <c r="AR418" s="166" t="e">
        <f t="shared" si="91"/>
        <v>#N/A</v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5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e">
        <f>IF('Cable Info'!N119="","",CONCATENATE('Cable Info'!N119," - ",'Cable Info'!O119))</f>
        <v>#N/A</v>
      </c>
      <c r="AR419" s="166" t="e">
        <f t="shared" si="91"/>
        <v>#N/A</v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5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e">
        <f>IF('Cable Info'!N120="","",CONCATENATE('Cable Info'!N120," - ",'Cable Info'!O120))</f>
        <v>#N/A</v>
      </c>
      <c r="AR420" s="166" t="e">
        <f t="shared" si="91"/>
        <v>#N/A</v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5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e">
        <f>IF('Cable Info'!N121="","",CONCATENATE('Cable Info'!N121," - ",'Cable Info'!O121))</f>
        <v>#N/A</v>
      </c>
      <c r="AR421" s="166" t="e">
        <f t="shared" si="91"/>
        <v>#N/A</v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5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e">
        <f>IF('Cable Info'!N122="","",CONCATENATE('Cable Info'!N122," - ",'Cable Info'!O122))</f>
        <v>#N/A</v>
      </c>
      <c r="AR422" s="166" t="e">
        <f t="shared" si="91"/>
        <v>#N/A</v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5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e">
        <f>IF('Cable Info'!N123="","",CONCATENATE('Cable Info'!N123," - ",'Cable Info'!O123))</f>
        <v>#N/A</v>
      </c>
      <c r="AR423" s="166" t="e">
        <f t="shared" si="91"/>
        <v>#N/A</v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5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e">
        <f>IF('Cable Info'!N124="","",CONCATENATE('Cable Info'!N124," - ",'Cable Info'!O124))</f>
        <v>#N/A</v>
      </c>
      <c r="AR424" s="166" t="e">
        <f t="shared" si="91"/>
        <v>#N/A</v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5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e">
        <f>IF('Cable Info'!N125="","",CONCATENATE('Cable Info'!N125," - ",'Cable Info'!O125))</f>
        <v>#N/A</v>
      </c>
      <c r="AR425" s="166" t="e">
        <f t="shared" si="91"/>
        <v>#N/A</v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5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e">
        <f>IF('Cable Info'!N126="","",CONCATENATE('Cable Info'!N126," - ",'Cable Info'!O126))</f>
        <v>#N/A</v>
      </c>
      <c r="AR426" s="166" t="e">
        <f t="shared" si="91"/>
        <v>#N/A</v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5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e">
        <f>IF('Cable Info'!N127="","",CONCATENATE('Cable Info'!N127," - ",'Cable Info'!O127))</f>
        <v>#N/A</v>
      </c>
      <c r="AR427" s="166" t="e">
        <f t="shared" si="91"/>
        <v>#N/A</v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5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e">
        <f>IF('Cable Info'!N128="","",CONCATENATE('Cable Info'!N128," - ",'Cable Info'!O128))</f>
        <v>#N/A</v>
      </c>
      <c r="AR428" s="166" t="e">
        <f t="shared" si="91"/>
        <v>#N/A</v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5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e">
        <f>IF('Cable Info'!N129="","",CONCATENATE('Cable Info'!N129," - ",'Cable Info'!O129))</f>
        <v>#N/A</v>
      </c>
      <c r="AR429" s="166" t="e">
        <f t="shared" si="91"/>
        <v>#N/A</v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5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e">
        <f>IF('Cable Info'!N130="","",CONCATENATE('Cable Info'!N130," - ",'Cable Info'!O130))</f>
        <v>#N/A</v>
      </c>
      <c r="AR430" s="166" t="e">
        <f t="shared" si="91"/>
        <v>#N/A</v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5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e">
        <f>IF('Cable Info'!N131="","",CONCATENATE('Cable Info'!N131," - ",'Cable Info'!O131))</f>
        <v>#N/A</v>
      </c>
      <c r="AR431" s="166" t="e">
        <f t="shared" si="91"/>
        <v>#N/A</v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5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e">
        <f>IF('Cable Info'!N132="","",CONCATENATE('Cable Info'!N132," - ",'Cable Info'!O132))</f>
        <v>#N/A</v>
      </c>
      <c r="AR432" s="166" t="e">
        <f t="shared" ref="AR432:AR495" si="97">IF(AP432="",AO432,CONCATENATE(AO432,"  &lt;=&gt; ",AP432," ",AQ432))</f>
        <v>#N/A</v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5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e">
        <f>IF('Cable Info'!N133="","",CONCATENATE('Cable Info'!N133," - ",'Cable Info'!O133))</f>
        <v>#N/A</v>
      </c>
      <c r="AR433" s="166" t="e">
        <f t="shared" si="97"/>
        <v>#N/A</v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5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e">
        <f>IF('Cable Info'!N134="","",CONCATENATE('Cable Info'!N134," - ",'Cable Info'!O134))</f>
        <v>#N/A</v>
      </c>
      <c r="AR434" s="166" t="e">
        <f t="shared" si="97"/>
        <v>#N/A</v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5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e">
        <f>IF('Cable Info'!N135="","",CONCATENATE('Cable Info'!N135," - ",'Cable Info'!O135))</f>
        <v>#N/A</v>
      </c>
      <c r="AR435" s="166" t="e">
        <f t="shared" si="97"/>
        <v>#N/A</v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5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e">
        <f>IF('Cable Info'!N136="","",CONCATENATE('Cable Info'!N136," - ",'Cable Info'!O136))</f>
        <v>#N/A</v>
      </c>
      <c r="AR436" s="166" t="e">
        <f t="shared" si="97"/>
        <v>#N/A</v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5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e">
        <f>IF('Cable Info'!N137="","",CONCATENATE('Cable Info'!N137," - ",'Cable Info'!O137))</f>
        <v>#N/A</v>
      </c>
      <c r="AR437" s="166" t="e">
        <f t="shared" si="97"/>
        <v>#N/A</v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5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e">
        <f>IF('Cable Info'!N138="","",CONCATENATE('Cable Info'!N138," - ",'Cable Info'!O138))</f>
        <v>#N/A</v>
      </c>
      <c r="AR438" s="166" t="e">
        <f t="shared" si="97"/>
        <v>#N/A</v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5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e">
        <f>IF('Cable Info'!N139="","",CONCATENATE('Cable Info'!N139," - ",'Cable Info'!O139))</f>
        <v>#N/A</v>
      </c>
      <c r="AR439" s="166" t="e">
        <f t="shared" si="97"/>
        <v>#N/A</v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5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e">
        <f>IF('Cable Info'!N140="","",CONCATENATE('Cable Info'!N140," - ",'Cable Info'!O140))</f>
        <v>#N/A</v>
      </c>
      <c r="AR440" s="166" t="e">
        <f t="shared" si="97"/>
        <v>#N/A</v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5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e">
        <f>IF('Cable Info'!N141="","",CONCATENATE('Cable Info'!N141," - ",'Cable Info'!O141))</f>
        <v>#N/A</v>
      </c>
      <c r="AR441" s="166" t="e">
        <f t="shared" si="97"/>
        <v>#N/A</v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5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e">
        <f>IF('Cable Info'!N142="","",CONCATENATE('Cable Info'!N142," - ",'Cable Info'!O142))</f>
        <v>#N/A</v>
      </c>
      <c r="AR442" s="166" t="e">
        <f t="shared" si="97"/>
        <v>#N/A</v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5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e">
        <f>IF('Cable Info'!N143="","",CONCATENATE('Cable Info'!N143," - ",'Cable Info'!O143))</f>
        <v>#N/A</v>
      </c>
      <c r="AR443" s="166" t="e">
        <f t="shared" si="97"/>
        <v>#N/A</v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5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e">
        <f>IF('Cable Info'!N144="","",CONCATENATE('Cable Info'!N144," - ",'Cable Info'!O144))</f>
        <v>#N/A</v>
      </c>
      <c r="AR444" s="166" t="e">
        <f t="shared" si="97"/>
        <v>#N/A</v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5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e">
        <f>IF('Cable Info'!N145="","",CONCATENATE('Cable Info'!N145," - ",'Cable Info'!O145))</f>
        <v>#N/A</v>
      </c>
      <c r="AR445" s="166" t="e">
        <f t="shared" si="97"/>
        <v>#N/A</v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5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e">
        <f>IF('Cable Info'!N146="","",CONCATENATE('Cable Info'!N146," - ",'Cable Info'!O146))</f>
        <v>#N/A</v>
      </c>
      <c r="AR446" s="166" t="e">
        <f t="shared" si="97"/>
        <v>#N/A</v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5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e">
        <f>IF('Cable Info'!N147="","",CONCATENATE('Cable Info'!N147," - ",'Cable Info'!O147))</f>
        <v>#N/A</v>
      </c>
      <c r="AR447" s="166" t="e">
        <f t="shared" si="97"/>
        <v>#N/A</v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5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e">
        <f>IF('Cable Info'!N148="","",CONCATENATE('Cable Info'!N148," - ",'Cable Info'!O148))</f>
        <v>#N/A</v>
      </c>
      <c r="AR448" s="166" t="e">
        <f t="shared" si="97"/>
        <v>#N/A</v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5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e">
        <f>IF('Cable Info'!N149="","",CONCATENATE('Cable Info'!N149," - ",'Cable Info'!O149))</f>
        <v>#N/A</v>
      </c>
      <c r="AR449" s="166" t="e">
        <f t="shared" si="97"/>
        <v>#N/A</v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5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e">
        <f>IF('Cable Info'!N150="","",CONCATENATE('Cable Info'!N150," - ",'Cable Info'!O150))</f>
        <v>#N/A</v>
      </c>
      <c r="AR450" s="166" t="e">
        <f t="shared" si="97"/>
        <v>#N/A</v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5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e">
        <f>IF('Cable Info'!N151="","",CONCATENATE('Cable Info'!N151," - ",'Cable Info'!O151))</f>
        <v>#N/A</v>
      </c>
      <c r="AR451" s="166" t="e">
        <f t="shared" si="97"/>
        <v>#N/A</v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5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e">
        <f>IF('Cable Info'!N152="","",CONCATENATE('Cable Info'!N152," - ",'Cable Info'!O152))</f>
        <v>#N/A</v>
      </c>
      <c r="AR452" s="166" t="e">
        <f t="shared" si="97"/>
        <v>#N/A</v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5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e">
        <f>IF('Cable Info'!N153="","",CONCATENATE('Cable Info'!N153," - ",'Cable Info'!O153))</f>
        <v>#N/A</v>
      </c>
      <c r="AR453" s="166" t="e">
        <f t="shared" si="97"/>
        <v>#N/A</v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5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e">
        <f>IF('Cable Info'!N154="","",CONCATENATE('Cable Info'!N154," - ",'Cable Info'!O154))</f>
        <v>#N/A</v>
      </c>
      <c r="AR454" s="166" t="e">
        <f t="shared" si="97"/>
        <v>#N/A</v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5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e">
        <f>IF('Cable Info'!N155="","",CONCATENATE('Cable Info'!N155," - ",'Cable Info'!O155))</f>
        <v>#N/A</v>
      </c>
      <c r="AR455" s="166" t="e">
        <f t="shared" si="97"/>
        <v>#N/A</v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5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e">
        <f>IF('Cable Info'!N156="","",CONCATENATE('Cable Info'!N156," - ",'Cable Info'!O156))</f>
        <v>#N/A</v>
      </c>
      <c r="AR456" s="166" t="e">
        <f t="shared" si="97"/>
        <v>#N/A</v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5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e">
        <f>IF('Cable Info'!N157="","",CONCATENATE('Cable Info'!N157," - ",'Cable Info'!O157))</f>
        <v>#N/A</v>
      </c>
      <c r="AR457" s="166" t="e">
        <f t="shared" si="97"/>
        <v>#N/A</v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5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e">
        <f>IF('Cable Info'!N158="","",CONCATENATE('Cable Info'!N158," - ",'Cable Info'!O158))</f>
        <v>#N/A</v>
      </c>
      <c r="AR458" s="166" t="e">
        <f t="shared" si="97"/>
        <v>#N/A</v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5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e">
        <f>IF('Cable Info'!N159="","",CONCATENATE('Cable Info'!N159," - ",'Cable Info'!O159))</f>
        <v>#N/A</v>
      </c>
      <c r="AR459" s="166" t="e">
        <f t="shared" si="97"/>
        <v>#N/A</v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5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e">
        <f>IF('Cable Info'!N160="","",CONCATENATE('Cable Info'!N160," - ",'Cable Info'!O160))</f>
        <v>#N/A</v>
      </c>
      <c r="AR460" s="166" t="e">
        <f t="shared" si="97"/>
        <v>#N/A</v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5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e">
        <f>IF('Cable Info'!N161="","",CONCATENATE('Cable Info'!N161," - ",'Cable Info'!O161))</f>
        <v>#N/A</v>
      </c>
      <c r="AR461" s="166" t="e">
        <f t="shared" si="97"/>
        <v>#N/A</v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5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e">
        <f>IF('Cable Info'!N162="","",CONCATENATE('Cable Info'!N162," - ",'Cable Info'!O162))</f>
        <v>#N/A</v>
      </c>
      <c r="AR462" s="166" t="e">
        <f t="shared" si="97"/>
        <v>#N/A</v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5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e">
        <f>IF('Cable Info'!N163="","",CONCATENATE('Cable Info'!N163," - ",'Cable Info'!O163))</f>
        <v>#N/A</v>
      </c>
      <c r="AR463" s="166" t="e">
        <f t="shared" si="97"/>
        <v>#N/A</v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5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e">
        <f>IF('Cable Info'!N164="","",CONCATENATE('Cable Info'!N164," - ",'Cable Info'!O164))</f>
        <v>#N/A</v>
      </c>
      <c r="AR464" s="166" t="e">
        <f t="shared" si="97"/>
        <v>#N/A</v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5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e">
        <f>IF('Cable Info'!N165="","",CONCATENATE('Cable Info'!N165," - ",'Cable Info'!O165))</f>
        <v>#N/A</v>
      </c>
      <c r="AR465" s="166" t="e">
        <f t="shared" si="97"/>
        <v>#N/A</v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5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e">
        <f>IF('Cable Info'!N166="","",CONCATENATE('Cable Info'!N166," - ",'Cable Info'!O166))</f>
        <v>#N/A</v>
      </c>
      <c r="AR466" s="166" t="e">
        <f t="shared" si="97"/>
        <v>#N/A</v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5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e">
        <f>IF('Cable Info'!N167="","",CONCATENATE('Cable Info'!N167," - ",'Cable Info'!O167))</f>
        <v>#N/A</v>
      </c>
      <c r="AR467" s="166" t="e">
        <f t="shared" si="97"/>
        <v>#N/A</v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5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e">
        <f>IF('Cable Info'!N168="","",CONCATENATE('Cable Info'!N168," - ",'Cable Info'!O168))</f>
        <v>#N/A</v>
      </c>
      <c r="AR468" s="166" t="e">
        <f t="shared" si="97"/>
        <v>#N/A</v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5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e">
        <f>IF('Cable Info'!N169="","",CONCATENATE('Cable Info'!N169," - ",'Cable Info'!O169))</f>
        <v>#N/A</v>
      </c>
      <c r="AR469" s="166" t="e">
        <f t="shared" si="97"/>
        <v>#N/A</v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5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e">
        <f>IF('Cable Info'!N170="","",CONCATENATE('Cable Info'!N170," - ",'Cable Info'!O170))</f>
        <v>#N/A</v>
      </c>
      <c r="AR470" s="166" t="e">
        <f t="shared" si="97"/>
        <v>#N/A</v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5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e">
        <f>IF('Cable Info'!N171="","",CONCATENATE('Cable Info'!N171," - ",'Cable Info'!O171))</f>
        <v>#N/A</v>
      </c>
      <c r="AR471" s="166" t="e">
        <f t="shared" si="97"/>
        <v>#N/A</v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5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e">
        <f>IF('Cable Info'!N172="","",CONCATENATE('Cable Info'!N172," - ",'Cable Info'!O172))</f>
        <v>#N/A</v>
      </c>
      <c r="AR472" s="166" t="e">
        <f t="shared" si="97"/>
        <v>#N/A</v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5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e">
        <f>IF('Cable Info'!N173="","",CONCATENATE('Cable Info'!N173," - ",'Cable Info'!O173))</f>
        <v>#N/A</v>
      </c>
      <c r="AR473" s="166" t="e">
        <f t="shared" si="97"/>
        <v>#N/A</v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5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e">
        <f>IF('Cable Info'!N174="","",CONCATENATE('Cable Info'!N174," - ",'Cable Info'!O174))</f>
        <v>#N/A</v>
      </c>
      <c r="AR474" s="166" t="e">
        <f t="shared" si="97"/>
        <v>#N/A</v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5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e">
        <f>IF('Cable Info'!N175="","",CONCATENATE('Cable Info'!N175," - ",'Cable Info'!O175))</f>
        <v>#N/A</v>
      </c>
      <c r="AR475" s="166" t="e">
        <f t="shared" si="97"/>
        <v>#N/A</v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5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e">
        <f>IF('Cable Info'!N176="","",CONCATENATE('Cable Info'!N176," - ",'Cable Info'!O176))</f>
        <v>#N/A</v>
      </c>
      <c r="AR476" s="166" t="e">
        <f t="shared" si="97"/>
        <v>#N/A</v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5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e">
        <f>IF('Cable Info'!N177="","",CONCATENATE('Cable Info'!N177," - ",'Cable Info'!O177))</f>
        <v>#N/A</v>
      </c>
      <c r="AR477" s="166" t="e">
        <f t="shared" si="97"/>
        <v>#N/A</v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5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e">
        <f>IF('Cable Info'!N178="","",CONCATENATE('Cable Info'!N178," - ",'Cable Info'!O178))</f>
        <v>#N/A</v>
      </c>
      <c r="AR478" s="166" t="e">
        <f t="shared" si="97"/>
        <v>#N/A</v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5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e">
        <f>IF('Cable Info'!N179="","",CONCATENATE('Cable Info'!N179," - ",'Cable Info'!O179))</f>
        <v>#N/A</v>
      </c>
      <c r="AR479" s="166" t="e">
        <f t="shared" si="97"/>
        <v>#N/A</v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5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e">
        <f>IF('Cable Info'!N180="","",CONCATENATE('Cable Info'!N180," - ",'Cable Info'!O180))</f>
        <v>#N/A</v>
      </c>
      <c r="AR480" s="166" t="e">
        <f t="shared" si="97"/>
        <v>#N/A</v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5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e">
        <f>IF('Cable Info'!N181="","",CONCATENATE('Cable Info'!N181," - ",'Cable Info'!O181))</f>
        <v>#N/A</v>
      </c>
      <c r="AR481" s="166" t="e">
        <f t="shared" si="97"/>
        <v>#N/A</v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5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e">
        <f>IF('Cable Info'!N182="","",CONCATENATE('Cable Info'!N182," - ",'Cable Info'!O182))</f>
        <v>#N/A</v>
      </c>
      <c r="AR482" s="166" t="e">
        <f t="shared" si="97"/>
        <v>#N/A</v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5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e">
        <f>IF('Cable Info'!N183="","",CONCATENATE('Cable Info'!N183," - ",'Cable Info'!O183))</f>
        <v>#N/A</v>
      </c>
      <c r="AR483" s="166" t="e">
        <f t="shared" si="97"/>
        <v>#N/A</v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5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e">
        <f>IF('Cable Info'!N184="","",CONCATENATE('Cable Info'!N184," - ",'Cable Info'!O184))</f>
        <v>#N/A</v>
      </c>
      <c r="AR484" s="166" t="e">
        <f t="shared" si="97"/>
        <v>#N/A</v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5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e">
        <f>IF('Cable Info'!N185="","",CONCATENATE('Cable Info'!N185," - ",'Cable Info'!O185))</f>
        <v>#N/A</v>
      </c>
      <c r="AR485" s="166" t="e">
        <f t="shared" si="97"/>
        <v>#N/A</v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5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e">
        <f>IF('Cable Info'!N186="","",CONCATENATE('Cable Info'!N186," - ",'Cable Info'!O186))</f>
        <v>#N/A</v>
      </c>
      <c r="AR486" s="166" t="e">
        <f t="shared" si="97"/>
        <v>#N/A</v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5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e">
        <f>IF('Cable Info'!N187="","",CONCATENATE('Cable Info'!N187," - ",'Cable Info'!O187))</f>
        <v>#N/A</v>
      </c>
      <c r="AR487" s="166" t="e">
        <f t="shared" si="97"/>
        <v>#N/A</v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5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e">
        <f>IF('Cable Info'!N188="","",CONCATENATE('Cable Info'!N188," - ",'Cable Info'!O188))</f>
        <v>#N/A</v>
      </c>
      <c r="AR488" s="166" t="e">
        <f t="shared" si="97"/>
        <v>#N/A</v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5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e">
        <f>IF('Cable Info'!N189="","",CONCATENATE('Cable Info'!N189," - ",'Cable Info'!O189))</f>
        <v>#N/A</v>
      </c>
      <c r="AR489" s="166" t="e">
        <f t="shared" si="97"/>
        <v>#N/A</v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5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e">
        <f>IF('Cable Info'!N190="","",CONCATENATE('Cable Info'!N190," - ",'Cable Info'!O190))</f>
        <v>#N/A</v>
      </c>
      <c r="AR490" s="166" t="e">
        <f t="shared" si="97"/>
        <v>#N/A</v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5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e">
        <f>IF('Cable Info'!N191="","",CONCATENATE('Cable Info'!N191," - ",'Cable Info'!O191))</f>
        <v>#N/A</v>
      </c>
      <c r="AR491" s="166" t="e">
        <f t="shared" si="97"/>
        <v>#N/A</v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5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e">
        <f>IF('Cable Info'!N192="","",CONCATENATE('Cable Info'!N192," - ",'Cable Info'!O192))</f>
        <v>#N/A</v>
      </c>
      <c r="AR492" s="166" t="e">
        <f t="shared" si="97"/>
        <v>#N/A</v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5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e">
        <f>IF('Cable Info'!N193="","",CONCATENATE('Cable Info'!N193," - ",'Cable Info'!O193))</f>
        <v>#N/A</v>
      </c>
      <c r="AR493" s="166" t="e">
        <f t="shared" si="97"/>
        <v>#N/A</v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5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e">
        <f>IF('Cable Info'!N194="","",CONCATENATE('Cable Info'!N194," - ",'Cable Info'!O194))</f>
        <v>#N/A</v>
      </c>
      <c r="AR494" s="166" t="e">
        <f t="shared" si="97"/>
        <v>#N/A</v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5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e">
        <f>IF('Cable Info'!N195="","",CONCATENATE('Cable Info'!N195," - ",'Cable Info'!O195))</f>
        <v>#N/A</v>
      </c>
      <c r="AR495" s="166" t="e">
        <f t="shared" si="97"/>
        <v>#N/A</v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5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e">
        <f>IF('Cable Info'!N196="","",CONCATENATE('Cable Info'!N196," - ",'Cable Info'!O196))</f>
        <v>#N/A</v>
      </c>
      <c r="AR496" s="166" t="e">
        <f t="shared" ref="AR496:AR559" si="103">IF(AP496="",AO496,CONCATENATE(AO496,"  &lt;=&gt; ",AP496," ",AQ496))</f>
        <v>#N/A</v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5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e">
        <f>IF('Cable Info'!N197="","",CONCATENATE('Cable Info'!N197," - ",'Cable Info'!O197))</f>
        <v>#N/A</v>
      </c>
      <c r="AR497" s="166" t="e">
        <f t="shared" si="103"/>
        <v>#N/A</v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5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e">
        <f>IF('Cable Info'!N198="","",CONCATENATE('Cable Info'!N198," - ",'Cable Info'!O198))</f>
        <v>#N/A</v>
      </c>
      <c r="AR498" s="166" t="e">
        <f t="shared" si="103"/>
        <v>#N/A</v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5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e">
        <f>IF('Cable Info'!N199="","",CONCATENATE('Cable Info'!N199," - ",'Cable Info'!O199))</f>
        <v>#N/A</v>
      </c>
      <c r="AR499" s="166" t="e">
        <f t="shared" si="103"/>
        <v>#N/A</v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5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e">
        <f>IF('Cable Info'!N200="","",CONCATENATE('Cable Info'!N200," - ",'Cable Info'!O200))</f>
        <v>#N/A</v>
      </c>
      <c r="AR500" s="166" t="e">
        <f t="shared" si="103"/>
        <v>#N/A</v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5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e">
        <f>IF('Cable Info'!N201="","",CONCATENATE('Cable Info'!N201," - ",'Cable Info'!O201))</f>
        <v>#N/A</v>
      </c>
      <c r="AR501" s="166" t="e">
        <f t="shared" si="103"/>
        <v>#N/A</v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5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e">
        <f>IF('Cable Info'!N202="","",CONCATENATE('Cable Info'!N202," - ",'Cable Info'!O202))</f>
        <v>#N/A</v>
      </c>
      <c r="AR502" s="166" t="e">
        <f t="shared" si="103"/>
        <v>#N/A</v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5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e">
        <f>IF('Cable Info'!N203="","",CONCATENATE('Cable Info'!N203," - ",'Cable Info'!O203))</f>
        <v>#N/A</v>
      </c>
      <c r="AR503" s="166" t="e">
        <f t="shared" si="103"/>
        <v>#N/A</v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5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e">
        <f>IF('Cable Info'!N204="","",CONCATENATE('Cable Info'!N204," - ",'Cable Info'!O204))</f>
        <v>#N/A</v>
      </c>
      <c r="AR504" s="166" t="e">
        <f t="shared" si="103"/>
        <v>#N/A</v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5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e">
        <f>IF('Cable Info'!N205="","",CONCATENATE('Cable Info'!N205," - ",'Cable Info'!O205))</f>
        <v>#N/A</v>
      </c>
      <c r="AR505" s="166" t="e">
        <f t="shared" si="103"/>
        <v>#N/A</v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5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e">
        <f>IF('Cable Info'!N206="","",CONCATENATE('Cable Info'!N206," - ",'Cable Info'!O206))</f>
        <v>#N/A</v>
      </c>
      <c r="AR506" s="166" t="e">
        <f t="shared" si="103"/>
        <v>#N/A</v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5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e">
        <f>IF('Cable Info'!N207="","",CONCATENATE('Cable Info'!N207," - ",'Cable Info'!O207))</f>
        <v>#N/A</v>
      </c>
      <c r="AR507" s="166" t="e">
        <f t="shared" si="103"/>
        <v>#N/A</v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5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e">
        <f>IF('Cable Info'!N208="","",CONCATENATE('Cable Info'!N208," - ",'Cable Info'!O208))</f>
        <v>#N/A</v>
      </c>
      <c r="AR508" s="166" t="e">
        <f t="shared" si="103"/>
        <v>#N/A</v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5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e">
        <f>IF('Cable Info'!N209="","",CONCATENATE('Cable Info'!N209," - ",'Cable Info'!O209))</f>
        <v>#N/A</v>
      </c>
      <c r="AR509" s="166" t="e">
        <f t="shared" si="103"/>
        <v>#N/A</v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5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e">
        <f>IF('Cable Info'!N210="","",CONCATENATE('Cable Info'!N210," - ",'Cable Info'!O210))</f>
        <v>#N/A</v>
      </c>
      <c r="AR510" s="166" t="e">
        <f t="shared" si="103"/>
        <v>#N/A</v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5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e">
        <f>IF('Cable Info'!N211="","",CONCATENATE('Cable Info'!N211," - ",'Cable Info'!O211))</f>
        <v>#N/A</v>
      </c>
      <c r="AR511" s="166" t="e">
        <f t="shared" si="103"/>
        <v>#N/A</v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5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e">
        <f>IF('Cable Info'!N212="","",CONCATENATE('Cable Info'!N212," - ",'Cable Info'!O212))</f>
        <v>#N/A</v>
      </c>
      <c r="AR512" s="166" t="e">
        <f t="shared" si="103"/>
        <v>#N/A</v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5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e">
        <f>IF('Cable Info'!N213="","",CONCATENATE('Cable Info'!N213," - ",'Cable Info'!O213))</f>
        <v>#N/A</v>
      </c>
      <c r="AR513" s="166" t="e">
        <f t="shared" si="103"/>
        <v>#N/A</v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5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e">
        <f>IF('Cable Info'!N214="","",CONCATENATE('Cable Info'!N214," - ",'Cable Info'!O214))</f>
        <v>#N/A</v>
      </c>
      <c r="AR514" s="166" t="e">
        <f t="shared" si="103"/>
        <v>#N/A</v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5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e">
        <f>IF('Cable Info'!N215="","",CONCATENATE('Cable Info'!N215," - ",'Cable Info'!O215))</f>
        <v>#N/A</v>
      </c>
      <c r="AR515" s="166" t="e">
        <f t="shared" si="103"/>
        <v>#N/A</v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5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e">
        <f>IF('Cable Info'!N216="","",CONCATENATE('Cable Info'!N216," - ",'Cable Info'!O216))</f>
        <v>#N/A</v>
      </c>
      <c r="AR516" s="166" t="e">
        <f t="shared" si="103"/>
        <v>#N/A</v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5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e">
        <f>IF('Cable Info'!N217="","",CONCATENATE('Cable Info'!N217," - ",'Cable Info'!O217))</f>
        <v>#N/A</v>
      </c>
      <c r="AR517" s="166" t="e">
        <f t="shared" si="103"/>
        <v>#N/A</v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5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e">
        <f>IF('Cable Info'!N218="","",CONCATENATE('Cable Info'!N218," - ",'Cable Info'!O218))</f>
        <v>#N/A</v>
      </c>
      <c r="AR518" s="166" t="e">
        <f t="shared" si="103"/>
        <v>#N/A</v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5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e">
        <f>IF('Cable Info'!N219="","",CONCATENATE('Cable Info'!N219," - ",'Cable Info'!O219))</f>
        <v>#N/A</v>
      </c>
      <c r="AR519" s="166" t="e">
        <f t="shared" si="103"/>
        <v>#N/A</v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5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e">
        <f>IF('Cable Info'!N220="","",CONCATENATE('Cable Info'!N220," - ",'Cable Info'!O220))</f>
        <v>#N/A</v>
      </c>
      <c r="AR520" s="166" t="e">
        <f t="shared" si="103"/>
        <v>#N/A</v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5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e">
        <f>IF('Cable Info'!N221="","",CONCATENATE('Cable Info'!N221," - ",'Cable Info'!O221))</f>
        <v>#N/A</v>
      </c>
      <c r="AR521" s="166" t="e">
        <f t="shared" si="103"/>
        <v>#N/A</v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5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e">
        <f>IF('Cable Info'!N222="","",CONCATENATE('Cable Info'!N222," - ",'Cable Info'!O222))</f>
        <v>#N/A</v>
      </c>
      <c r="AR522" s="166" t="e">
        <f t="shared" si="103"/>
        <v>#N/A</v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5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e">
        <f>IF('Cable Info'!N223="","",CONCATENATE('Cable Info'!N223," - ",'Cable Info'!O223))</f>
        <v>#N/A</v>
      </c>
      <c r="AR523" s="166" t="e">
        <f t="shared" si="103"/>
        <v>#N/A</v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5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e">
        <f>IF('Cable Info'!N224="","",CONCATENATE('Cable Info'!N224," - ",'Cable Info'!O224))</f>
        <v>#N/A</v>
      </c>
      <c r="AR524" s="166" t="e">
        <f t="shared" si="103"/>
        <v>#N/A</v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5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e">
        <f>IF('Cable Info'!N225="","",CONCATENATE('Cable Info'!N225," - ",'Cable Info'!O225))</f>
        <v>#N/A</v>
      </c>
      <c r="AR525" s="166" t="e">
        <f t="shared" si="103"/>
        <v>#N/A</v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5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e">
        <f>IF('Cable Info'!N226="","",CONCATENATE('Cable Info'!N226," - ",'Cable Info'!O226))</f>
        <v>#N/A</v>
      </c>
      <c r="AR526" s="166" t="e">
        <f t="shared" si="103"/>
        <v>#N/A</v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5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e">
        <f>IF('Cable Info'!N227="","",CONCATENATE('Cable Info'!N227," - ",'Cable Info'!O227))</f>
        <v>#N/A</v>
      </c>
      <c r="AR527" s="166" t="e">
        <f t="shared" si="103"/>
        <v>#N/A</v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5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e">
        <f>IF('Cable Info'!N228="","",CONCATENATE('Cable Info'!N228," - ",'Cable Info'!O228))</f>
        <v>#N/A</v>
      </c>
      <c r="AR528" s="166" t="e">
        <f t="shared" si="103"/>
        <v>#N/A</v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5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e">
        <f>IF('Cable Info'!N229="","",CONCATENATE('Cable Info'!N229," - ",'Cable Info'!O229))</f>
        <v>#N/A</v>
      </c>
      <c r="AR529" s="166" t="e">
        <f t="shared" si="103"/>
        <v>#N/A</v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5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e">
        <f>IF('Cable Info'!N230="","",CONCATENATE('Cable Info'!N230," - ",'Cable Info'!O230))</f>
        <v>#N/A</v>
      </c>
      <c r="AR530" s="166" t="e">
        <f t="shared" si="103"/>
        <v>#N/A</v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5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e">
        <f>IF('Cable Info'!N231="","",CONCATENATE('Cable Info'!N231," - ",'Cable Info'!O231))</f>
        <v>#N/A</v>
      </c>
      <c r="AR531" s="166" t="e">
        <f t="shared" si="103"/>
        <v>#N/A</v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5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e">
        <f>IF('Cable Info'!N232="","",CONCATENATE('Cable Info'!N232," - ",'Cable Info'!O232))</f>
        <v>#N/A</v>
      </c>
      <c r="AR532" s="166" t="e">
        <f t="shared" si="103"/>
        <v>#N/A</v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5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e">
        <f>IF('Cable Info'!N233="","",CONCATENATE('Cable Info'!N233," - ",'Cable Info'!O233))</f>
        <v>#N/A</v>
      </c>
      <c r="AR533" s="166" t="e">
        <f t="shared" si="103"/>
        <v>#N/A</v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5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e">
        <f>IF('Cable Info'!N234="","",CONCATENATE('Cable Info'!N234," - ",'Cable Info'!O234))</f>
        <v>#N/A</v>
      </c>
      <c r="AR534" s="166" t="e">
        <f t="shared" si="103"/>
        <v>#N/A</v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5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e">
        <f>IF('Cable Info'!N235="","",CONCATENATE('Cable Info'!N235," - ",'Cable Info'!O235))</f>
        <v>#N/A</v>
      </c>
      <c r="AR535" s="166" t="e">
        <f t="shared" si="103"/>
        <v>#N/A</v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5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e">
        <f>IF('Cable Info'!N236="","",CONCATENATE('Cable Info'!N236," - ",'Cable Info'!O236))</f>
        <v>#N/A</v>
      </c>
      <c r="AR536" s="166" t="e">
        <f t="shared" si="103"/>
        <v>#N/A</v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5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e">
        <f>IF('Cable Info'!N237="","",CONCATENATE('Cable Info'!N237," - ",'Cable Info'!O237))</f>
        <v>#N/A</v>
      </c>
      <c r="AR537" s="166" t="e">
        <f t="shared" si="103"/>
        <v>#N/A</v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5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e">
        <f>IF('Cable Info'!N238="","",CONCATENATE('Cable Info'!N238," - ",'Cable Info'!O238))</f>
        <v>#N/A</v>
      </c>
      <c r="AR538" s="166" t="e">
        <f t="shared" si="103"/>
        <v>#N/A</v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5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e">
        <f>IF('Cable Info'!N239="","",CONCATENATE('Cable Info'!N239," - ",'Cable Info'!O239))</f>
        <v>#N/A</v>
      </c>
      <c r="AR539" s="166" t="e">
        <f t="shared" si="103"/>
        <v>#N/A</v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5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e">
        <f>IF('Cable Info'!N240="","",CONCATENATE('Cable Info'!N240," - ",'Cable Info'!O240))</f>
        <v>#N/A</v>
      </c>
      <c r="AR540" s="166" t="e">
        <f t="shared" si="103"/>
        <v>#N/A</v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5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e">
        <f>IF('Cable Info'!N241="","",CONCATENATE('Cable Info'!N241," - ",'Cable Info'!O241))</f>
        <v>#N/A</v>
      </c>
      <c r="AR541" s="166" t="e">
        <f t="shared" si="103"/>
        <v>#N/A</v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5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e">
        <f>IF('Cable Info'!N242="","",CONCATENATE('Cable Info'!N242," - ",'Cable Info'!O242))</f>
        <v>#N/A</v>
      </c>
      <c r="AR542" s="166" t="e">
        <f t="shared" si="103"/>
        <v>#N/A</v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5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e">
        <f>IF('Cable Info'!N243="","",CONCATENATE('Cable Info'!N243," - ",'Cable Info'!O243))</f>
        <v>#N/A</v>
      </c>
      <c r="AR543" s="166" t="e">
        <f t="shared" si="103"/>
        <v>#N/A</v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5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e">
        <f>IF('Cable Info'!N244="","",CONCATENATE('Cable Info'!N244," - ",'Cable Info'!O244))</f>
        <v>#N/A</v>
      </c>
      <c r="AR544" s="166" t="e">
        <f t="shared" si="103"/>
        <v>#N/A</v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5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e">
        <f>IF('Cable Info'!N245="","",CONCATENATE('Cable Info'!N245," - ",'Cable Info'!O245))</f>
        <v>#N/A</v>
      </c>
      <c r="AR545" s="166" t="e">
        <f t="shared" si="103"/>
        <v>#N/A</v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5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e">
        <f>IF('Cable Info'!N246="","",CONCATENATE('Cable Info'!N246," - ",'Cable Info'!O246))</f>
        <v>#N/A</v>
      </c>
      <c r="AR546" s="166" t="e">
        <f t="shared" si="103"/>
        <v>#N/A</v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5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e">
        <f>IF('Cable Info'!N247="","",CONCATENATE('Cable Info'!N247," - ",'Cable Info'!O247))</f>
        <v>#N/A</v>
      </c>
      <c r="AR547" s="166" t="e">
        <f t="shared" si="103"/>
        <v>#N/A</v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5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e">
        <f>IF('Cable Info'!N248="","",CONCATENATE('Cable Info'!N248," - ",'Cable Info'!O248))</f>
        <v>#N/A</v>
      </c>
      <c r="AR548" s="166" t="e">
        <f t="shared" si="103"/>
        <v>#N/A</v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5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e">
        <f>IF('Cable Info'!N249="","",CONCATENATE('Cable Info'!N249," - ",'Cable Info'!O249))</f>
        <v>#N/A</v>
      </c>
      <c r="AR549" s="166" t="e">
        <f t="shared" si="103"/>
        <v>#N/A</v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5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e">
        <f>IF('Cable Info'!N250="","",CONCATENATE('Cable Info'!N250," - ",'Cable Info'!O250))</f>
        <v>#N/A</v>
      </c>
      <c r="AR550" s="166" t="e">
        <f t="shared" si="103"/>
        <v>#N/A</v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5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e">
        <f>IF('Cable Info'!N251="","",CONCATENATE('Cable Info'!N251," - ",'Cable Info'!O251))</f>
        <v>#N/A</v>
      </c>
      <c r="AR551" s="166" t="e">
        <f t="shared" si="103"/>
        <v>#N/A</v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5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e">
        <f>IF('Cable Info'!N252="","",CONCATENATE('Cable Info'!N252," - ",'Cable Info'!O252))</f>
        <v>#N/A</v>
      </c>
      <c r="AR552" s="166" t="e">
        <f t="shared" si="103"/>
        <v>#N/A</v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5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e">
        <f>IF('Cable Info'!N253="","",CONCATENATE('Cable Info'!N253," - ",'Cable Info'!O253))</f>
        <v>#N/A</v>
      </c>
      <c r="AR553" s="166" t="e">
        <f t="shared" si="103"/>
        <v>#N/A</v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5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e">
        <f>IF('Cable Info'!N254="","",CONCATENATE('Cable Info'!N254," - ",'Cable Info'!O254))</f>
        <v>#N/A</v>
      </c>
      <c r="AR554" s="166" t="e">
        <f t="shared" si="103"/>
        <v>#N/A</v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5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e">
        <f>IF('Cable Info'!N255="","",CONCATENATE('Cable Info'!N255," - ",'Cable Info'!O255))</f>
        <v>#N/A</v>
      </c>
      <c r="AR555" s="166" t="e">
        <f t="shared" si="103"/>
        <v>#N/A</v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5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e">
        <f>IF('Cable Info'!N256="","",CONCATENATE('Cable Info'!N256," - ",'Cable Info'!O256))</f>
        <v>#N/A</v>
      </c>
      <c r="AR556" s="166" t="e">
        <f t="shared" si="103"/>
        <v>#N/A</v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5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e">
        <f>IF('Cable Info'!N257="","",CONCATENATE('Cable Info'!N257," - ",'Cable Info'!O257))</f>
        <v>#N/A</v>
      </c>
      <c r="AR557" s="166" t="e">
        <f t="shared" si="103"/>
        <v>#N/A</v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5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e">
        <f>IF('Cable Info'!N258="","",CONCATENATE('Cable Info'!N258," - ",'Cable Info'!O258))</f>
        <v>#N/A</v>
      </c>
      <c r="AR558" s="166" t="e">
        <f t="shared" si="103"/>
        <v>#N/A</v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5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e">
        <f>IF('Cable Info'!N259="","",CONCATENATE('Cable Info'!N259," - ",'Cable Info'!O259))</f>
        <v>#N/A</v>
      </c>
      <c r="AR559" s="166" t="e">
        <f t="shared" si="103"/>
        <v>#N/A</v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5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e">
        <f>IF('Cable Info'!N260="","",CONCATENATE('Cable Info'!N260," - ",'Cable Info'!O260))</f>
        <v>#N/A</v>
      </c>
      <c r="AR560" s="166" t="e">
        <f t="shared" ref="AR560:AR623" si="109">IF(AP560="",AO560,CONCATENATE(AO560,"  &lt;=&gt; ",AP560," ",AQ560))</f>
        <v>#N/A</v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5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e">
        <f>IF('Cable Info'!N261="","",CONCATENATE('Cable Info'!N261," - ",'Cable Info'!O261))</f>
        <v>#N/A</v>
      </c>
      <c r="AR561" s="166" t="e">
        <f t="shared" si="109"/>
        <v>#N/A</v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5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e">
        <f>IF('Cable Info'!N262="","",CONCATENATE('Cable Info'!N262," - ",'Cable Info'!O262))</f>
        <v>#N/A</v>
      </c>
      <c r="AR562" s="166" t="e">
        <f t="shared" si="109"/>
        <v>#N/A</v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5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e">
        <f>IF('Cable Info'!N263="","",CONCATENATE('Cable Info'!N263," - ",'Cable Info'!O263))</f>
        <v>#N/A</v>
      </c>
      <c r="AR563" s="166" t="e">
        <f t="shared" si="109"/>
        <v>#N/A</v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5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e">
        <f>IF('Cable Info'!N264="","",CONCATENATE('Cable Info'!N264," - ",'Cable Info'!O264))</f>
        <v>#N/A</v>
      </c>
      <c r="AR564" s="166" t="e">
        <f t="shared" si="109"/>
        <v>#N/A</v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5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e">
        <f>IF('Cable Info'!N265="","",CONCATENATE('Cable Info'!N265," - ",'Cable Info'!O265))</f>
        <v>#N/A</v>
      </c>
      <c r="AR565" s="166" t="e">
        <f t="shared" si="109"/>
        <v>#N/A</v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5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e">
        <f>IF('Cable Info'!N266="","",CONCATENATE('Cable Info'!N266," - ",'Cable Info'!O266))</f>
        <v>#N/A</v>
      </c>
      <c r="AR566" s="166" t="e">
        <f t="shared" si="109"/>
        <v>#N/A</v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5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e">
        <f>IF('Cable Info'!N267="","",CONCATENATE('Cable Info'!N267," - ",'Cable Info'!O267))</f>
        <v>#N/A</v>
      </c>
      <c r="AR567" s="166" t="e">
        <f t="shared" si="109"/>
        <v>#N/A</v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5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e">
        <f>IF('Cable Info'!N268="","",CONCATENATE('Cable Info'!N268," - ",'Cable Info'!O268))</f>
        <v>#N/A</v>
      </c>
      <c r="AR568" s="166" t="e">
        <f t="shared" si="109"/>
        <v>#N/A</v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5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e">
        <f>IF('Cable Info'!N269="","",CONCATENATE('Cable Info'!N269," - ",'Cable Info'!O269))</f>
        <v>#N/A</v>
      </c>
      <c r="AR569" s="166" t="e">
        <f t="shared" si="109"/>
        <v>#N/A</v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5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e">
        <f>IF('Cable Info'!N270="","",CONCATENATE('Cable Info'!N270," - ",'Cable Info'!O270))</f>
        <v>#N/A</v>
      </c>
      <c r="AR570" s="166" t="e">
        <f t="shared" si="109"/>
        <v>#N/A</v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5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e">
        <f>IF('Cable Info'!N271="","",CONCATENATE('Cable Info'!N271," - ",'Cable Info'!O271))</f>
        <v>#N/A</v>
      </c>
      <c r="AR571" s="166" t="e">
        <f t="shared" si="109"/>
        <v>#N/A</v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5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e">
        <f>IF('Cable Info'!N272="","",CONCATENATE('Cable Info'!N272," - ",'Cable Info'!O272))</f>
        <v>#N/A</v>
      </c>
      <c r="AR572" s="166" t="e">
        <f t="shared" si="109"/>
        <v>#N/A</v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5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e">
        <f>IF('Cable Info'!N273="","",CONCATENATE('Cable Info'!N273," - ",'Cable Info'!O273))</f>
        <v>#N/A</v>
      </c>
      <c r="AR573" s="166" t="e">
        <f t="shared" si="109"/>
        <v>#N/A</v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5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e">
        <f>IF('Cable Info'!N274="","",CONCATENATE('Cable Info'!N274," - ",'Cable Info'!O274))</f>
        <v>#N/A</v>
      </c>
      <c r="AR574" s="166" t="e">
        <f t="shared" si="109"/>
        <v>#N/A</v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5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e">
        <f>IF('Cable Info'!N275="","",CONCATENATE('Cable Info'!N275," - ",'Cable Info'!O275))</f>
        <v>#N/A</v>
      </c>
      <c r="AR575" s="166" t="e">
        <f t="shared" si="109"/>
        <v>#N/A</v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5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e">
        <f>IF('Cable Info'!N276="","",CONCATENATE('Cable Info'!N276," - ",'Cable Info'!O276))</f>
        <v>#N/A</v>
      </c>
      <c r="AR576" s="166" t="e">
        <f t="shared" si="109"/>
        <v>#N/A</v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5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e">
        <f>IF('Cable Info'!N277="","",CONCATENATE('Cable Info'!N277," - ",'Cable Info'!O277))</f>
        <v>#N/A</v>
      </c>
      <c r="AR577" s="166" t="e">
        <f t="shared" si="109"/>
        <v>#N/A</v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5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e">
        <f>IF('Cable Info'!N278="","",CONCATENATE('Cable Info'!N278," - ",'Cable Info'!O278))</f>
        <v>#N/A</v>
      </c>
      <c r="AR578" s="166" t="e">
        <f t="shared" si="109"/>
        <v>#N/A</v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5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e">
        <f>IF('Cable Info'!N279="","",CONCATENATE('Cable Info'!N279," - ",'Cable Info'!O279))</f>
        <v>#N/A</v>
      </c>
      <c r="AR579" s="166" t="e">
        <f t="shared" si="109"/>
        <v>#N/A</v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5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e">
        <f>IF('Cable Info'!N280="","",CONCATENATE('Cable Info'!N280," - ",'Cable Info'!O280))</f>
        <v>#N/A</v>
      </c>
      <c r="AR580" s="166" t="e">
        <f t="shared" si="109"/>
        <v>#N/A</v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5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e">
        <f>IF('Cable Info'!N281="","",CONCATENATE('Cable Info'!N281," - ",'Cable Info'!O281))</f>
        <v>#N/A</v>
      </c>
      <c r="AR581" s="166" t="e">
        <f t="shared" si="109"/>
        <v>#N/A</v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5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e">
        <f>IF('Cable Info'!N282="","",CONCATENATE('Cable Info'!N282," - ",'Cable Info'!O282))</f>
        <v>#N/A</v>
      </c>
      <c r="AR582" s="166" t="e">
        <f t="shared" si="109"/>
        <v>#N/A</v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5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e">
        <f>IF('Cable Info'!N283="","",CONCATENATE('Cable Info'!N283," - ",'Cable Info'!O283))</f>
        <v>#N/A</v>
      </c>
      <c r="AR583" s="166" t="e">
        <f t="shared" si="109"/>
        <v>#N/A</v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5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e">
        <f>IF('Cable Info'!N284="","",CONCATENATE('Cable Info'!N284," - ",'Cable Info'!O284))</f>
        <v>#N/A</v>
      </c>
      <c r="AR584" s="166" t="e">
        <f t="shared" si="109"/>
        <v>#N/A</v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5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e">
        <f>IF('Cable Info'!N285="","",CONCATENATE('Cable Info'!N285," - ",'Cable Info'!O285))</f>
        <v>#N/A</v>
      </c>
      <c r="AR585" s="166" t="e">
        <f t="shared" si="109"/>
        <v>#N/A</v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5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e">
        <f>IF('Cable Info'!N286="","",CONCATENATE('Cable Info'!N286," - ",'Cable Info'!O286))</f>
        <v>#N/A</v>
      </c>
      <c r="AR586" s="166" t="e">
        <f t="shared" si="109"/>
        <v>#N/A</v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5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e">
        <f>IF('Cable Info'!N287="","",CONCATENATE('Cable Info'!N287," - ",'Cable Info'!O287))</f>
        <v>#N/A</v>
      </c>
      <c r="AR587" s="166" t="e">
        <f t="shared" si="109"/>
        <v>#N/A</v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5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e">
        <f>IF('Cable Info'!N288="","",CONCATENATE('Cable Info'!N288," - ",'Cable Info'!O288))</f>
        <v>#N/A</v>
      </c>
      <c r="AR588" s="166" t="e">
        <f t="shared" si="109"/>
        <v>#N/A</v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5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e">
        <f>IF('Cable Info'!N289="","",CONCATENATE('Cable Info'!N289," - ",'Cable Info'!O289))</f>
        <v>#N/A</v>
      </c>
      <c r="AR589" s="166" t="e">
        <f t="shared" si="109"/>
        <v>#N/A</v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5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e">
        <f>IF('Cable Info'!N290="","",CONCATENATE('Cable Info'!N290," - ",'Cable Info'!O290))</f>
        <v>#N/A</v>
      </c>
      <c r="AR590" s="166" t="e">
        <f t="shared" si="109"/>
        <v>#N/A</v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5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e">
        <f>IF('Cable Info'!N291="","",CONCATENATE('Cable Info'!N291," - ",'Cable Info'!O291))</f>
        <v>#N/A</v>
      </c>
      <c r="AR591" s="166" t="e">
        <f t="shared" si="109"/>
        <v>#N/A</v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5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e">
        <f>IF('Cable Info'!N292="","",CONCATENATE('Cable Info'!N292," - ",'Cable Info'!O292))</f>
        <v>#N/A</v>
      </c>
      <c r="AR592" s="166" t="e">
        <f t="shared" si="109"/>
        <v>#N/A</v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5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e">
        <f>IF('Cable Info'!N293="","",CONCATENATE('Cable Info'!N293," - ",'Cable Info'!O293))</f>
        <v>#N/A</v>
      </c>
      <c r="AR593" s="166" t="e">
        <f t="shared" si="109"/>
        <v>#N/A</v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5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e">
        <f>IF('Cable Info'!N294="","",CONCATENATE('Cable Info'!N294," - ",'Cable Info'!O294))</f>
        <v>#N/A</v>
      </c>
      <c r="AR594" s="166" t="e">
        <f t="shared" si="109"/>
        <v>#N/A</v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5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e">
        <f>IF('Cable Info'!N295="","",CONCATENATE('Cable Info'!N295," - ",'Cable Info'!O295))</f>
        <v>#N/A</v>
      </c>
      <c r="AR595" s="166" t="e">
        <f t="shared" si="109"/>
        <v>#N/A</v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5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e">
        <f>IF('Cable Info'!N296="","",CONCATENATE('Cable Info'!N296," - ",'Cable Info'!O296))</f>
        <v>#N/A</v>
      </c>
      <c r="AR596" s="166" t="e">
        <f t="shared" si="109"/>
        <v>#N/A</v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5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e">
        <f>IF('Cable Info'!N297="","",CONCATENATE('Cable Info'!N297," - ",'Cable Info'!O297))</f>
        <v>#N/A</v>
      </c>
      <c r="AR597" s="166" t="e">
        <f t="shared" si="109"/>
        <v>#N/A</v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5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e">
        <f>IF('Cable Info'!N298="","",CONCATENATE('Cable Info'!N298," - ",'Cable Info'!O298))</f>
        <v>#N/A</v>
      </c>
      <c r="AR598" s="166" t="e">
        <f t="shared" si="109"/>
        <v>#N/A</v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5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e">
        <f>IF('Cable Info'!N299="","",CONCATENATE('Cable Info'!N299," - ",'Cable Info'!O299))</f>
        <v>#N/A</v>
      </c>
      <c r="AR599" s="166" t="e">
        <f t="shared" si="109"/>
        <v>#N/A</v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5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e">
        <f>IF('Cable Info'!N300="","",CONCATENATE('Cable Info'!N300," - ",'Cable Info'!O300))</f>
        <v>#N/A</v>
      </c>
      <c r="AR600" s="166" t="e">
        <f t="shared" si="109"/>
        <v>#N/A</v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5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e">
        <f>IF('Cable Info'!N301="","",CONCATENATE('Cable Info'!N301," - ",'Cable Info'!O301))</f>
        <v>#N/A</v>
      </c>
      <c r="AR601" s="166" t="e">
        <f t="shared" si="109"/>
        <v>#N/A</v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5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e">
        <f>IF('Cable Info'!N302="","",CONCATENATE('Cable Info'!N302," - ",'Cable Info'!O302))</f>
        <v>#N/A</v>
      </c>
      <c r="AR602" s="166" t="e">
        <f t="shared" si="109"/>
        <v>#N/A</v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5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e">
        <f>IF('Cable Info'!N303="","",CONCATENATE('Cable Info'!N303," - ",'Cable Info'!O303))</f>
        <v>#N/A</v>
      </c>
      <c r="AR603" s="166" t="e">
        <f t="shared" si="109"/>
        <v>#N/A</v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5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e">
        <f>IF('Cable Info'!N304="","",CONCATENATE('Cable Info'!N304," - ",'Cable Info'!O304))</f>
        <v>#N/A</v>
      </c>
      <c r="AR604" s="166" t="e">
        <f t="shared" si="109"/>
        <v>#N/A</v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5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e">
        <f>IF('Cable Info'!N305="","",CONCATENATE('Cable Info'!N305," - ",'Cable Info'!O305))</f>
        <v>#N/A</v>
      </c>
      <c r="AR605" s="166" t="e">
        <f t="shared" si="109"/>
        <v>#N/A</v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5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e">
        <f>IF('Cable Info'!N306="","",CONCATENATE('Cable Info'!N306," - ",'Cable Info'!O306))</f>
        <v>#N/A</v>
      </c>
      <c r="AR606" s="166" t="e">
        <f t="shared" si="109"/>
        <v>#N/A</v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5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e">
        <f>IF('Cable Info'!N307="","",CONCATENATE('Cable Info'!N307," - ",'Cable Info'!O307))</f>
        <v>#N/A</v>
      </c>
      <c r="AR607" s="166" t="e">
        <f t="shared" si="109"/>
        <v>#N/A</v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5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e">
        <f>IF('Cable Info'!N308="","",CONCATENATE('Cable Info'!N308," - ",'Cable Info'!O308))</f>
        <v>#N/A</v>
      </c>
      <c r="AR608" s="166" t="e">
        <f t="shared" si="109"/>
        <v>#N/A</v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5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e">
        <f>IF('Cable Info'!N309="","",CONCATENATE('Cable Info'!N309," - ",'Cable Info'!O309))</f>
        <v>#N/A</v>
      </c>
      <c r="AR609" s="166" t="e">
        <f t="shared" si="109"/>
        <v>#N/A</v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5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e">
        <f>IF('Cable Info'!N310="","",CONCATENATE('Cable Info'!N310," - ",'Cable Info'!O310))</f>
        <v>#N/A</v>
      </c>
      <c r="AR610" s="166" t="e">
        <f t="shared" si="109"/>
        <v>#N/A</v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5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e">
        <f>IF('Cable Info'!N311="","",CONCATENATE('Cable Info'!N311," - ",'Cable Info'!O311))</f>
        <v>#N/A</v>
      </c>
      <c r="AR611" s="166" t="e">
        <f t="shared" si="109"/>
        <v>#N/A</v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5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e">
        <f>IF('Cable Info'!N312="","",CONCATENATE('Cable Info'!N312," - ",'Cable Info'!O312))</f>
        <v>#N/A</v>
      </c>
      <c r="AR612" s="166" t="e">
        <f t="shared" si="109"/>
        <v>#N/A</v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5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e">
        <f>IF('Cable Info'!N313="","",CONCATENATE('Cable Info'!N313," - ",'Cable Info'!O313))</f>
        <v>#N/A</v>
      </c>
      <c r="AR613" s="166" t="e">
        <f t="shared" si="109"/>
        <v>#N/A</v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5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e">
        <f>IF('Cable Info'!N314="","",CONCATENATE('Cable Info'!N314," - ",'Cable Info'!O314))</f>
        <v>#N/A</v>
      </c>
      <c r="AR614" s="166" t="e">
        <f t="shared" si="109"/>
        <v>#N/A</v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5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e">
        <f>IF('Cable Info'!N315="","",CONCATENATE('Cable Info'!N315," - ",'Cable Info'!O315))</f>
        <v>#N/A</v>
      </c>
      <c r="AR615" s="166" t="e">
        <f t="shared" si="109"/>
        <v>#N/A</v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5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e">
        <f>IF('Cable Info'!N316="","",CONCATENATE('Cable Info'!N316," - ",'Cable Info'!O316))</f>
        <v>#N/A</v>
      </c>
      <c r="AR616" s="166" t="e">
        <f t="shared" si="109"/>
        <v>#N/A</v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5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e">
        <f>IF('Cable Info'!N317="","",CONCATENATE('Cable Info'!N317," - ",'Cable Info'!O317))</f>
        <v>#N/A</v>
      </c>
      <c r="AR617" s="166" t="e">
        <f t="shared" si="109"/>
        <v>#N/A</v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5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e">
        <f>IF('Cable Info'!N318="","",CONCATENATE('Cable Info'!N318," - ",'Cable Info'!O318))</f>
        <v>#N/A</v>
      </c>
      <c r="AR618" s="166" t="e">
        <f t="shared" si="109"/>
        <v>#N/A</v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5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e">
        <f>IF('Cable Info'!N319="","",CONCATENATE('Cable Info'!N319," - ",'Cable Info'!O319))</f>
        <v>#N/A</v>
      </c>
      <c r="AR619" s="166" t="e">
        <f t="shared" si="109"/>
        <v>#N/A</v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5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e">
        <f>IF('Cable Info'!N320="","",CONCATENATE('Cable Info'!N320," - ",'Cable Info'!O320))</f>
        <v>#N/A</v>
      </c>
      <c r="AR620" s="166" t="e">
        <f t="shared" si="109"/>
        <v>#N/A</v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5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e">
        <f>IF('Cable Info'!N321="","",CONCATENATE('Cable Info'!N321," - ",'Cable Info'!O321))</f>
        <v>#N/A</v>
      </c>
      <c r="AR621" s="166" t="e">
        <f t="shared" si="109"/>
        <v>#N/A</v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5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e">
        <f>IF('Cable Info'!N322="","",CONCATENATE('Cable Info'!N322," - ",'Cable Info'!O322))</f>
        <v>#N/A</v>
      </c>
      <c r="AR622" s="166" t="e">
        <f t="shared" si="109"/>
        <v>#N/A</v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5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e">
        <f>IF('Cable Info'!N323="","",CONCATENATE('Cable Info'!N323," - ",'Cable Info'!O323))</f>
        <v>#N/A</v>
      </c>
      <c r="AR623" s="166" t="e">
        <f t="shared" si="109"/>
        <v>#N/A</v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5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e">
        <f>IF('Cable Info'!N324="","",CONCATENATE('Cable Info'!N324," - ",'Cable Info'!O324))</f>
        <v>#N/A</v>
      </c>
      <c r="AR624" s="166" t="e">
        <f t="shared" ref="AR624:AR687" si="115">IF(AP624="",AO624,CONCATENATE(AO624,"  &lt;=&gt; ",AP624," ",AQ624))</f>
        <v>#N/A</v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5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e">
        <f>IF('Cable Info'!N325="","",CONCATENATE('Cable Info'!N325," - ",'Cable Info'!O325))</f>
        <v>#N/A</v>
      </c>
      <c r="AR625" s="166" t="e">
        <f t="shared" si="115"/>
        <v>#N/A</v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5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e">
        <f>IF('Cable Info'!N326="","",CONCATENATE('Cable Info'!N326," - ",'Cable Info'!O326))</f>
        <v>#N/A</v>
      </c>
      <c r="AR626" s="166" t="e">
        <f t="shared" si="115"/>
        <v>#N/A</v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5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e">
        <f>IF('Cable Info'!N327="","",CONCATENATE('Cable Info'!N327," - ",'Cable Info'!O327))</f>
        <v>#N/A</v>
      </c>
      <c r="AR627" s="166" t="e">
        <f t="shared" si="115"/>
        <v>#N/A</v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5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e">
        <f>IF('Cable Info'!N328="","",CONCATENATE('Cable Info'!N328," - ",'Cable Info'!O328))</f>
        <v>#N/A</v>
      </c>
      <c r="AR628" s="166" t="e">
        <f t="shared" si="115"/>
        <v>#N/A</v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5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e">
        <f>IF('Cable Info'!N329="","",CONCATENATE('Cable Info'!N329," - ",'Cable Info'!O329))</f>
        <v>#N/A</v>
      </c>
      <c r="AR629" s="166" t="e">
        <f t="shared" si="115"/>
        <v>#N/A</v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5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e">
        <f>IF('Cable Info'!N330="","",CONCATENATE('Cable Info'!N330," - ",'Cable Info'!O330))</f>
        <v>#N/A</v>
      </c>
      <c r="AR630" s="166" t="e">
        <f t="shared" si="115"/>
        <v>#N/A</v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5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e">
        <f>IF('Cable Info'!N331="","",CONCATENATE('Cable Info'!N331," - ",'Cable Info'!O331))</f>
        <v>#N/A</v>
      </c>
      <c r="AR631" s="166" t="e">
        <f t="shared" si="115"/>
        <v>#N/A</v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5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e">
        <f>IF('Cable Info'!N332="","",CONCATENATE('Cable Info'!N332," - ",'Cable Info'!O332))</f>
        <v>#N/A</v>
      </c>
      <c r="AR632" s="166" t="e">
        <f t="shared" si="115"/>
        <v>#N/A</v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5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e">
        <f>IF('Cable Info'!N333="","",CONCATENATE('Cable Info'!N333," - ",'Cable Info'!O333))</f>
        <v>#N/A</v>
      </c>
      <c r="AR633" s="166" t="e">
        <f t="shared" si="115"/>
        <v>#N/A</v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5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e">
        <f>IF('Cable Info'!N334="","",CONCATENATE('Cable Info'!N334," - ",'Cable Info'!O334))</f>
        <v>#N/A</v>
      </c>
      <c r="AR634" s="166" t="e">
        <f t="shared" si="115"/>
        <v>#N/A</v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5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e">
        <f>IF('Cable Info'!N335="","",CONCATENATE('Cable Info'!N335," - ",'Cable Info'!O335))</f>
        <v>#N/A</v>
      </c>
      <c r="AR635" s="166" t="e">
        <f t="shared" si="115"/>
        <v>#N/A</v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5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e">
        <f>IF('Cable Info'!N336="","",CONCATENATE('Cable Info'!N336," - ",'Cable Info'!O336))</f>
        <v>#N/A</v>
      </c>
      <c r="AR636" s="166" t="e">
        <f t="shared" si="115"/>
        <v>#N/A</v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5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e">
        <f>IF('Cable Info'!N337="","",CONCATENATE('Cable Info'!N337," - ",'Cable Info'!O337))</f>
        <v>#N/A</v>
      </c>
      <c r="AR637" s="166" t="e">
        <f t="shared" si="115"/>
        <v>#N/A</v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5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e">
        <f>IF('Cable Info'!N338="","",CONCATENATE('Cable Info'!N338," - ",'Cable Info'!O338))</f>
        <v>#N/A</v>
      </c>
      <c r="AR638" s="166" t="e">
        <f t="shared" si="115"/>
        <v>#N/A</v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5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e">
        <f>IF('Cable Info'!N339="","",CONCATENATE('Cable Info'!N339," - ",'Cable Info'!O339))</f>
        <v>#N/A</v>
      </c>
      <c r="AR639" s="166" t="e">
        <f t="shared" si="115"/>
        <v>#N/A</v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5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e">
        <f>IF('Cable Info'!N340="","",CONCATENATE('Cable Info'!N340," - ",'Cable Info'!O340))</f>
        <v>#N/A</v>
      </c>
      <c r="AR640" s="166" t="e">
        <f t="shared" si="115"/>
        <v>#N/A</v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5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e">
        <f>IF('Cable Info'!N341="","",CONCATENATE('Cable Info'!N341," - ",'Cable Info'!O341))</f>
        <v>#N/A</v>
      </c>
      <c r="AR641" s="166" t="e">
        <f t="shared" si="115"/>
        <v>#N/A</v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5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e">
        <f>IF('Cable Info'!N342="","",CONCATENATE('Cable Info'!N342," - ",'Cable Info'!O342))</f>
        <v>#N/A</v>
      </c>
      <c r="AR642" s="166" t="e">
        <f t="shared" si="115"/>
        <v>#N/A</v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5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e">
        <f>IF('Cable Info'!N343="","",CONCATENATE('Cable Info'!N343," - ",'Cable Info'!O343))</f>
        <v>#N/A</v>
      </c>
      <c r="AR643" s="166" t="e">
        <f t="shared" si="115"/>
        <v>#N/A</v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5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e">
        <f>IF('Cable Info'!N344="","",CONCATENATE('Cable Info'!N344," - ",'Cable Info'!O344))</f>
        <v>#N/A</v>
      </c>
      <c r="AR644" s="166" t="e">
        <f t="shared" si="115"/>
        <v>#N/A</v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5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e">
        <f>IF('Cable Info'!N345="","",CONCATENATE('Cable Info'!N345," - ",'Cable Info'!O345))</f>
        <v>#N/A</v>
      </c>
      <c r="AR645" s="166" t="e">
        <f t="shared" si="115"/>
        <v>#N/A</v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5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e">
        <f>IF('Cable Info'!N346="","",CONCATENATE('Cable Info'!N346," - ",'Cable Info'!O346))</f>
        <v>#N/A</v>
      </c>
      <c r="AR646" s="166" t="e">
        <f t="shared" si="115"/>
        <v>#N/A</v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5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e">
        <f>IF('Cable Info'!N347="","",CONCATENATE('Cable Info'!N347," - ",'Cable Info'!O347))</f>
        <v>#N/A</v>
      </c>
      <c r="AR647" s="166" t="e">
        <f t="shared" si="115"/>
        <v>#N/A</v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5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e">
        <f>IF('Cable Info'!N348="","",CONCATENATE('Cable Info'!N348," - ",'Cable Info'!O348))</f>
        <v>#N/A</v>
      </c>
      <c r="AR648" s="166" t="e">
        <f t="shared" si="115"/>
        <v>#N/A</v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5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e">
        <f>IF('Cable Info'!N349="","",CONCATENATE('Cable Info'!N349," - ",'Cable Info'!O349))</f>
        <v>#N/A</v>
      </c>
      <c r="AR649" s="166" t="e">
        <f t="shared" si="115"/>
        <v>#N/A</v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5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e">
        <f>IF('Cable Info'!N350="","",CONCATENATE('Cable Info'!N350," - ",'Cable Info'!O350))</f>
        <v>#N/A</v>
      </c>
      <c r="AR650" s="166" t="e">
        <f t="shared" si="115"/>
        <v>#N/A</v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5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e">
        <f>IF('Cable Info'!N351="","",CONCATENATE('Cable Info'!N351," - ",'Cable Info'!O351))</f>
        <v>#N/A</v>
      </c>
      <c r="AR651" s="166" t="e">
        <f t="shared" si="115"/>
        <v>#N/A</v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5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e">
        <f>IF('Cable Info'!N352="","",CONCATENATE('Cable Info'!N352," - ",'Cable Info'!O352))</f>
        <v>#N/A</v>
      </c>
      <c r="AR652" s="166" t="e">
        <f t="shared" si="115"/>
        <v>#N/A</v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5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e">
        <f>IF('Cable Info'!N353="","",CONCATENATE('Cable Info'!N353," - ",'Cable Info'!O353))</f>
        <v>#N/A</v>
      </c>
      <c r="AR653" s="166" t="e">
        <f t="shared" si="115"/>
        <v>#N/A</v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5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e">
        <f>IF('Cable Info'!N354="","",CONCATENATE('Cable Info'!N354," - ",'Cable Info'!O354))</f>
        <v>#N/A</v>
      </c>
      <c r="AR654" s="166" t="e">
        <f t="shared" si="115"/>
        <v>#N/A</v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5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e">
        <f>IF('Cable Info'!N355="","",CONCATENATE('Cable Info'!N355," - ",'Cable Info'!O355))</f>
        <v>#N/A</v>
      </c>
      <c r="AR655" s="166" t="e">
        <f t="shared" si="115"/>
        <v>#N/A</v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5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e">
        <f>IF('Cable Info'!N356="","",CONCATENATE('Cable Info'!N356," - ",'Cable Info'!O356))</f>
        <v>#N/A</v>
      </c>
      <c r="AR656" s="166" t="e">
        <f t="shared" si="115"/>
        <v>#N/A</v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5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e">
        <f>IF('Cable Info'!N357="","",CONCATENATE('Cable Info'!N357," - ",'Cable Info'!O357))</f>
        <v>#N/A</v>
      </c>
      <c r="AR657" s="166" t="e">
        <f t="shared" si="115"/>
        <v>#N/A</v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5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e">
        <f>IF('Cable Info'!N358="","",CONCATENATE('Cable Info'!N358," - ",'Cable Info'!O358))</f>
        <v>#N/A</v>
      </c>
      <c r="AR658" s="166" t="e">
        <f t="shared" si="115"/>
        <v>#N/A</v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5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e">
        <f>IF('Cable Info'!N359="","",CONCATENATE('Cable Info'!N359," - ",'Cable Info'!O359))</f>
        <v>#N/A</v>
      </c>
      <c r="AR659" s="166" t="e">
        <f t="shared" si="115"/>
        <v>#N/A</v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5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e">
        <f>IF('Cable Info'!N360="","",CONCATENATE('Cable Info'!N360," - ",'Cable Info'!O360))</f>
        <v>#N/A</v>
      </c>
      <c r="AR660" s="166" t="e">
        <f t="shared" si="115"/>
        <v>#N/A</v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5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e">
        <f>IF('Cable Info'!N361="","",CONCATENATE('Cable Info'!N361," - ",'Cable Info'!O361))</f>
        <v>#N/A</v>
      </c>
      <c r="AR661" s="166" t="e">
        <f t="shared" si="115"/>
        <v>#N/A</v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5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e">
        <f>IF('Cable Info'!N362="","",CONCATENATE('Cable Info'!N362," - ",'Cable Info'!O362))</f>
        <v>#N/A</v>
      </c>
      <c r="AR662" s="166" t="e">
        <f t="shared" si="115"/>
        <v>#N/A</v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5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e">
        <f>IF('Cable Info'!N363="","",CONCATENATE('Cable Info'!N363," - ",'Cable Info'!O363))</f>
        <v>#N/A</v>
      </c>
      <c r="AR663" s="166" t="e">
        <f t="shared" si="115"/>
        <v>#N/A</v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5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e">
        <f>IF('Cable Info'!N364="","",CONCATENATE('Cable Info'!N364," - ",'Cable Info'!O364))</f>
        <v>#N/A</v>
      </c>
      <c r="AR664" s="166" t="e">
        <f t="shared" si="115"/>
        <v>#N/A</v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5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e">
        <f>IF('Cable Info'!N365="","",CONCATENATE('Cable Info'!N365," - ",'Cable Info'!O365))</f>
        <v>#N/A</v>
      </c>
      <c r="AR665" s="166" t="e">
        <f t="shared" si="115"/>
        <v>#N/A</v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5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e">
        <f>IF('Cable Info'!N366="","",CONCATENATE('Cable Info'!N366," - ",'Cable Info'!O366))</f>
        <v>#N/A</v>
      </c>
      <c r="AR666" s="166" t="e">
        <f t="shared" si="115"/>
        <v>#N/A</v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5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e">
        <f>IF('Cable Info'!N367="","",CONCATENATE('Cable Info'!N367," - ",'Cable Info'!O367))</f>
        <v>#N/A</v>
      </c>
      <c r="AR667" s="166" t="e">
        <f t="shared" si="115"/>
        <v>#N/A</v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5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e">
        <f>IF('Cable Info'!N368="","",CONCATENATE('Cable Info'!N368," - ",'Cable Info'!O368))</f>
        <v>#N/A</v>
      </c>
      <c r="AR668" s="166" t="e">
        <f t="shared" si="115"/>
        <v>#N/A</v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5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e">
        <f>IF('Cable Info'!N369="","",CONCATENATE('Cable Info'!N369," - ",'Cable Info'!O369))</f>
        <v>#N/A</v>
      </c>
      <c r="AR669" s="166" t="e">
        <f t="shared" si="115"/>
        <v>#N/A</v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5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e">
        <f>IF('Cable Info'!N370="","",CONCATENATE('Cable Info'!N370," - ",'Cable Info'!O370))</f>
        <v>#N/A</v>
      </c>
      <c r="AR670" s="166" t="e">
        <f t="shared" si="115"/>
        <v>#N/A</v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5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e">
        <f>IF('Cable Info'!N371="","",CONCATENATE('Cable Info'!N371," - ",'Cable Info'!O371))</f>
        <v>#N/A</v>
      </c>
      <c r="AR671" s="166" t="e">
        <f t="shared" si="115"/>
        <v>#N/A</v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5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e">
        <f>IF('Cable Info'!N372="","",CONCATENATE('Cable Info'!N372," - ",'Cable Info'!O372))</f>
        <v>#N/A</v>
      </c>
      <c r="AR672" s="166" t="e">
        <f t="shared" si="115"/>
        <v>#N/A</v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5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e">
        <f>IF('Cable Info'!N373="","",CONCATENATE('Cable Info'!N373," - ",'Cable Info'!O373))</f>
        <v>#N/A</v>
      </c>
      <c r="AR673" s="166" t="e">
        <f t="shared" si="115"/>
        <v>#N/A</v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5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e">
        <f>IF('Cable Info'!N374="","",CONCATENATE('Cable Info'!N374," - ",'Cable Info'!O374))</f>
        <v>#N/A</v>
      </c>
      <c r="AR674" s="166" t="e">
        <f t="shared" si="115"/>
        <v>#N/A</v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5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e">
        <f>IF('Cable Info'!N375="","",CONCATENATE('Cable Info'!N375," - ",'Cable Info'!O375))</f>
        <v>#N/A</v>
      </c>
      <c r="AR675" s="166" t="e">
        <f t="shared" si="115"/>
        <v>#N/A</v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5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e">
        <f>IF('Cable Info'!N376="","",CONCATENATE('Cable Info'!N376," - ",'Cable Info'!O376))</f>
        <v>#N/A</v>
      </c>
      <c r="AR676" s="166" t="e">
        <f t="shared" si="115"/>
        <v>#N/A</v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5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e">
        <f>IF('Cable Info'!N377="","",CONCATENATE('Cable Info'!N377," - ",'Cable Info'!O377))</f>
        <v>#N/A</v>
      </c>
      <c r="AR677" s="166" t="e">
        <f t="shared" si="115"/>
        <v>#N/A</v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5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e">
        <f>IF('Cable Info'!N378="","",CONCATENATE('Cable Info'!N378," - ",'Cable Info'!O378))</f>
        <v>#N/A</v>
      </c>
      <c r="AR678" s="166" t="e">
        <f t="shared" si="115"/>
        <v>#N/A</v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5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e">
        <f>IF('Cable Info'!N379="","",CONCATENATE('Cable Info'!N379," - ",'Cable Info'!O379))</f>
        <v>#N/A</v>
      </c>
      <c r="AR679" s="166" t="e">
        <f t="shared" si="115"/>
        <v>#N/A</v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5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e">
        <f>IF('Cable Info'!N380="","",CONCATENATE('Cable Info'!N380," - ",'Cable Info'!O380))</f>
        <v>#N/A</v>
      </c>
      <c r="AR680" s="166" t="e">
        <f t="shared" si="115"/>
        <v>#N/A</v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5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e">
        <f>IF('Cable Info'!N381="","",CONCATENATE('Cable Info'!N381," - ",'Cable Info'!O381))</f>
        <v>#N/A</v>
      </c>
      <c r="AR681" s="166" t="e">
        <f t="shared" si="115"/>
        <v>#N/A</v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5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e">
        <f>IF('Cable Info'!N382="","",CONCATENATE('Cable Info'!N382," - ",'Cable Info'!O382))</f>
        <v>#N/A</v>
      </c>
      <c r="AR682" s="166" t="e">
        <f t="shared" si="115"/>
        <v>#N/A</v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5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e">
        <f>IF('Cable Info'!N383="","",CONCATENATE('Cable Info'!N383," - ",'Cable Info'!O383))</f>
        <v>#N/A</v>
      </c>
      <c r="AR683" s="166" t="e">
        <f t="shared" si="115"/>
        <v>#N/A</v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5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e">
        <f>IF('Cable Info'!N384="","",CONCATENATE('Cable Info'!N384," - ",'Cable Info'!O384))</f>
        <v>#N/A</v>
      </c>
      <c r="AR684" s="166" t="e">
        <f t="shared" si="115"/>
        <v>#N/A</v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5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e">
        <f>IF('Cable Info'!N385="","",CONCATENATE('Cable Info'!N385," - ",'Cable Info'!O385))</f>
        <v>#N/A</v>
      </c>
      <c r="AR685" s="166" t="e">
        <f t="shared" si="115"/>
        <v>#N/A</v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5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e">
        <f>IF('Cable Info'!N386="","",CONCATENATE('Cable Info'!N386," - ",'Cable Info'!O386))</f>
        <v>#N/A</v>
      </c>
      <c r="AR686" s="166" t="e">
        <f t="shared" si="115"/>
        <v>#N/A</v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5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e">
        <f>IF('Cable Info'!N387="","",CONCATENATE('Cable Info'!N387," - ",'Cable Info'!O387))</f>
        <v>#N/A</v>
      </c>
      <c r="AR687" s="166" t="e">
        <f t="shared" si="115"/>
        <v>#N/A</v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5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e">
        <f>IF('Cable Info'!N388="","",CONCATENATE('Cable Info'!N388," - ",'Cable Info'!O388))</f>
        <v>#N/A</v>
      </c>
      <c r="AR688" s="166" t="e">
        <f t="shared" ref="AR688:AR751" si="121">IF(AP688="",AO688,CONCATENATE(AO688,"  &lt;=&gt; ",AP688," ",AQ688))</f>
        <v>#N/A</v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5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e">
        <f>IF('Cable Info'!N389="","",CONCATENATE('Cable Info'!N389," - ",'Cable Info'!O389))</f>
        <v>#N/A</v>
      </c>
      <c r="AR689" s="166" t="e">
        <f t="shared" si="121"/>
        <v>#N/A</v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5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e">
        <f>IF('Cable Info'!N390="","",CONCATENATE('Cable Info'!N390," - ",'Cable Info'!O390))</f>
        <v>#N/A</v>
      </c>
      <c r="AR690" s="166" t="e">
        <f t="shared" si="121"/>
        <v>#N/A</v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5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e">
        <f>IF('Cable Info'!N391="","",CONCATENATE('Cable Info'!N391," - ",'Cable Info'!O391))</f>
        <v>#N/A</v>
      </c>
      <c r="AR691" s="166" t="e">
        <f t="shared" si="121"/>
        <v>#N/A</v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5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e">
        <f>IF('Cable Info'!N392="","",CONCATENATE('Cable Info'!N392," - ",'Cable Info'!O392))</f>
        <v>#N/A</v>
      </c>
      <c r="AR692" s="166" t="e">
        <f t="shared" si="121"/>
        <v>#N/A</v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5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e">
        <f>IF('Cable Info'!N393="","",CONCATENATE('Cable Info'!N393," - ",'Cable Info'!O393))</f>
        <v>#N/A</v>
      </c>
      <c r="AR693" s="166" t="e">
        <f t="shared" si="121"/>
        <v>#N/A</v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5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e">
        <f>IF('Cable Info'!N394="","",CONCATENATE('Cable Info'!N394," - ",'Cable Info'!O394))</f>
        <v>#N/A</v>
      </c>
      <c r="AR694" s="166" t="e">
        <f t="shared" si="121"/>
        <v>#N/A</v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5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e">
        <f>IF('Cable Info'!N395="","",CONCATENATE('Cable Info'!N395," - ",'Cable Info'!O395))</f>
        <v>#N/A</v>
      </c>
      <c r="AR695" s="166" t="e">
        <f t="shared" si="121"/>
        <v>#N/A</v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5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e">
        <f>IF('Cable Info'!N396="","",CONCATENATE('Cable Info'!N396," - ",'Cable Info'!O396))</f>
        <v>#N/A</v>
      </c>
      <c r="AR696" s="166" t="e">
        <f t="shared" si="121"/>
        <v>#N/A</v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5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e">
        <f>IF('Cable Info'!N397="","",CONCATENATE('Cable Info'!N397," - ",'Cable Info'!O397))</f>
        <v>#N/A</v>
      </c>
      <c r="AR697" s="166" t="e">
        <f t="shared" si="121"/>
        <v>#N/A</v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5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e">
        <f>IF('Cable Info'!N398="","",CONCATENATE('Cable Info'!N398," - ",'Cable Info'!O398))</f>
        <v>#N/A</v>
      </c>
      <c r="AR698" s="166" t="e">
        <f t="shared" si="121"/>
        <v>#N/A</v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5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e">
        <f>IF('Cable Info'!N399="","",CONCATENATE('Cable Info'!N399," - ",'Cable Info'!O399))</f>
        <v>#N/A</v>
      </c>
      <c r="AR699" s="166" t="e">
        <f t="shared" si="121"/>
        <v>#N/A</v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5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e">
        <f>IF('Cable Info'!N400="","",CONCATENATE('Cable Info'!N400," - ",'Cable Info'!O400))</f>
        <v>#N/A</v>
      </c>
      <c r="AR700" s="166" t="e">
        <f t="shared" si="121"/>
        <v>#N/A</v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5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e">
        <f>IF('Cable Info'!N401="","",CONCATENATE('Cable Info'!N401," - ",'Cable Info'!O401))</f>
        <v>#N/A</v>
      </c>
      <c r="AR701" s="166" t="e">
        <f t="shared" si="121"/>
        <v>#N/A</v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5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e">
        <f>IF('Cable Info'!N402="","",CONCATENATE('Cable Info'!N402," - ",'Cable Info'!O402))</f>
        <v>#N/A</v>
      </c>
      <c r="AR702" s="166" t="e">
        <f t="shared" si="121"/>
        <v>#N/A</v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5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e">
        <f>IF('Cable Info'!N403="","",CONCATENATE('Cable Info'!N403," - ",'Cable Info'!O403))</f>
        <v>#N/A</v>
      </c>
      <c r="AR703" s="166" t="e">
        <f t="shared" si="121"/>
        <v>#N/A</v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5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e">
        <f>IF('Cable Info'!N404="","",CONCATENATE('Cable Info'!N404," - ",'Cable Info'!O404))</f>
        <v>#N/A</v>
      </c>
      <c r="AR704" s="166" t="e">
        <f t="shared" si="121"/>
        <v>#N/A</v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5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e">
        <f>IF('Cable Info'!N405="","",CONCATENATE('Cable Info'!N405," - ",'Cable Info'!O405))</f>
        <v>#N/A</v>
      </c>
      <c r="AR705" s="166" t="e">
        <f t="shared" si="121"/>
        <v>#N/A</v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5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e">
        <f>IF('Cable Info'!N406="","",CONCATENATE('Cable Info'!N406," - ",'Cable Info'!O406))</f>
        <v>#N/A</v>
      </c>
      <c r="AR706" s="166" t="e">
        <f t="shared" si="121"/>
        <v>#N/A</v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5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e">
        <f>IF('Cable Info'!N407="","",CONCATENATE('Cable Info'!N407," - ",'Cable Info'!O407))</f>
        <v>#N/A</v>
      </c>
      <c r="AR707" s="166" t="e">
        <f t="shared" si="121"/>
        <v>#N/A</v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5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e">
        <f>IF('Cable Info'!N408="","",CONCATENATE('Cable Info'!N408," - ",'Cable Info'!O408))</f>
        <v>#N/A</v>
      </c>
      <c r="AR708" s="166" t="e">
        <f t="shared" si="121"/>
        <v>#N/A</v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5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e">
        <f>IF('Cable Info'!N409="","",CONCATENATE('Cable Info'!N409," - ",'Cable Info'!O409))</f>
        <v>#N/A</v>
      </c>
      <c r="AR709" s="166" t="e">
        <f t="shared" si="121"/>
        <v>#N/A</v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5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e">
        <f>IF('Cable Info'!N410="","",CONCATENATE('Cable Info'!N410," - ",'Cable Info'!O410))</f>
        <v>#N/A</v>
      </c>
      <c r="AR710" s="166" t="e">
        <f t="shared" si="121"/>
        <v>#N/A</v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5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e">
        <f>IF('Cable Info'!N411="","",CONCATENATE('Cable Info'!N411," - ",'Cable Info'!O411))</f>
        <v>#N/A</v>
      </c>
      <c r="AR711" s="166" t="e">
        <f t="shared" si="121"/>
        <v>#N/A</v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5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e">
        <f>IF('Cable Info'!N412="","",CONCATENATE('Cable Info'!N412," - ",'Cable Info'!O412))</f>
        <v>#N/A</v>
      </c>
      <c r="AR712" s="166" t="e">
        <f t="shared" si="121"/>
        <v>#N/A</v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5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e">
        <f>IF('Cable Info'!N413="","",CONCATENATE('Cable Info'!N413," - ",'Cable Info'!O413))</f>
        <v>#N/A</v>
      </c>
      <c r="AR713" s="166" t="e">
        <f t="shared" si="121"/>
        <v>#N/A</v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5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e">
        <f>IF('Cable Info'!N414="","",CONCATENATE('Cable Info'!N414," - ",'Cable Info'!O414))</f>
        <v>#N/A</v>
      </c>
      <c r="AR714" s="166" t="e">
        <f t="shared" si="121"/>
        <v>#N/A</v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5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e">
        <f>IF('Cable Info'!N415="","",CONCATENATE('Cable Info'!N415," - ",'Cable Info'!O415))</f>
        <v>#N/A</v>
      </c>
      <c r="AR715" s="166" t="e">
        <f t="shared" si="121"/>
        <v>#N/A</v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5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e">
        <f>IF('Cable Info'!N416="","",CONCATENATE('Cable Info'!N416," - ",'Cable Info'!O416))</f>
        <v>#N/A</v>
      </c>
      <c r="AR716" s="166" t="e">
        <f t="shared" si="121"/>
        <v>#N/A</v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5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e">
        <f>IF('Cable Info'!N417="","",CONCATENATE('Cable Info'!N417," - ",'Cable Info'!O417))</f>
        <v>#N/A</v>
      </c>
      <c r="AR717" s="166" t="e">
        <f t="shared" si="121"/>
        <v>#N/A</v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5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e">
        <f>IF('Cable Info'!N418="","",CONCATENATE('Cable Info'!N418," - ",'Cable Info'!O418))</f>
        <v>#N/A</v>
      </c>
      <c r="AR718" s="166" t="e">
        <f t="shared" si="121"/>
        <v>#N/A</v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5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e">
        <f>IF('Cable Info'!N419="","",CONCATENATE('Cable Info'!N419," - ",'Cable Info'!O419))</f>
        <v>#N/A</v>
      </c>
      <c r="AR719" s="166" t="e">
        <f t="shared" si="121"/>
        <v>#N/A</v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5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e">
        <f>IF('Cable Info'!N420="","",CONCATENATE('Cable Info'!N420," - ",'Cable Info'!O420))</f>
        <v>#N/A</v>
      </c>
      <c r="AR720" s="166" t="e">
        <f t="shared" si="121"/>
        <v>#N/A</v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5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e">
        <f>IF('Cable Info'!N421="","",CONCATENATE('Cable Info'!N421," - ",'Cable Info'!O421))</f>
        <v>#N/A</v>
      </c>
      <c r="AR721" s="166" t="e">
        <f t="shared" si="121"/>
        <v>#N/A</v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5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e">
        <f>IF('Cable Info'!N422="","",CONCATENATE('Cable Info'!N422," - ",'Cable Info'!O422))</f>
        <v>#N/A</v>
      </c>
      <c r="AR722" s="166" t="e">
        <f t="shared" si="121"/>
        <v>#N/A</v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5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e">
        <f>IF('Cable Info'!N423="","",CONCATENATE('Cable Info'!N423," - ",'Cable Info'!O423))</f>
        <v>#N/A</v>
      </c>
      <c r="AR723" s="166" t="e">
        <f t="shared" si="121"/>
        <v>#N/A</v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5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e">
        <f>IF('Cable Info'!N424="","",CONCATENATE('Cable Info'!N424," - ",'Cable Info'!O424))</f>
        <v>#N/A</v>
      </c>
      <c r="AR724" s="166" t="e">
        <f t="shared" si="121"/>
        <v>#N/A</v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5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e">
        <f>IF('Cable Info'!N425="","",CONCATENATE('Cable Info'!N425," - ",'Cable Info'!O425))</f>
        <v>#N/A</v>
      </c>
      <c r="AR725" s="166" t="e">
        <f t="shared" si="121"/>
        <v>#N/A</v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5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e">
        <f>IF('Cable Info'!N426="","",CONCATENATE('Cable Info'!N426," - ",'Cable Info'!O426))</f>
        <v>#N/A</v>
      </c>
      <c r="AR726" s="166" t="e">
        <f t="shared" si="121"/>
        <v>#N/A</v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5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e">
        <f>IF('Cable Info'!N427="","",CONCATENATE('Cable Info'!N427," - ",'Cable Info'!O427))</f>
        <v>#N/A</v>
      </c>
      <c r="AR727" s="166" t="e">
        <f t="shared" si="121"/>
        <v>#N/A</v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5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e">
        <f>IF('Cable Info'!N428="","",CONCATENATE('Cable Info'!N428," - ",'Cable Info'!O428))</f>
        <v>#N/A</v>
      </c>
      <c r="AR728" s="166" t="e">
        <f t="shared" si="121"/>
        <v>#N/A</v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5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e">
        <f>IF('Cable Info'!N429="","",CONCATENATE('Cable Info'!N429," - ",'Cable Info'!O429))</f>
        <v>#N/A</v>
      </c>
      <c r="AR729" s="166" t="e">
        <f t="shared" si="121"/>
        <v>#N/A</v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5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e">
        <f>IF('Cable Info'!N430="","",CONCATENATE('Cable Info'!N430," - ",'Cable Info'!O430))</f>
        <v>#N/A</v>
      </c>
      <c r="AR730" s="166" t="e">
        <f t="shared" si="121"/>
        <v>#N/A</v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5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e">
        <f>IF('Cable Info'!N431="","",CONCATENATE('Cable Info'!N431," - ",'Cable Info'!O431))</f>
        <v>#N/A</v>
      </c>
      <c r="AR731" s="166" t="e">
        <f t="shared" si="121"/>
        <v>#N/A</v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5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e">
        <f>IF('Cable Info'!N432="","",CONCATENATE('Cable Info'!N432," - ",'Cable Info'!O432))</f>
        <v>#N/A</v>
      </c>
      <c r="AR732" s="166" t="e">
        <f t="shared" si="121"/>
        <v>#N/A</v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5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e">
        <f>IF('Cable Info'!N433="","",CONCATENATE('Cable Info'!N433," - ",'Cable Info'!O433))</f>
        <v>#N/A</v>
      </c>
      <c r="AR733" s="166" t="e">
        <f t="shared" si="121"/>
        <v>#N/A</v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5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5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5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5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5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5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5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5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5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5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5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5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5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5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5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5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5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5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5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5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5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5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5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5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5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5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5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5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5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5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5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5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5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5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5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5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5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5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5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5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5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5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5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5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5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5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5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5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5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5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5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5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5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5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5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5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5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5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5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5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5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5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5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5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5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5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5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5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5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5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5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5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5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5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5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5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5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5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5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5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5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5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5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5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5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5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5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5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5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5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5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5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5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5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5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5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5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5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5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5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5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5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5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5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5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5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5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5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5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5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5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5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5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5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5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5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5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5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5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5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5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5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5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5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5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5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5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5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5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5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5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5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5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5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5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5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5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5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5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5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5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5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5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5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5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5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5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5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5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5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5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5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5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5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5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5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5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5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5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5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5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5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5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5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5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5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5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5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5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5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5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5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5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5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5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5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5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5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5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5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5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5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5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5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5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5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5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5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5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5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5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5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5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5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5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5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5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5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5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5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5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5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5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5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5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5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5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5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5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5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5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5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5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5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5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5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5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5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5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5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5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5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5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5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5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5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5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5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5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5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5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5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5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5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5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5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5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5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5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5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5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5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5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5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5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5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5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5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5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5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5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5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5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5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5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5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5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5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5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5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5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5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5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5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5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5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5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5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5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5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5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5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5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5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5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5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5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5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5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5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5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5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5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5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5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5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5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5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5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5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5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5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5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5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5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5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5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5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5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5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5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5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5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5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5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5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5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5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5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5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5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5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5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5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5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5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5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5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5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5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5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5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5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5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5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5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5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5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5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5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5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5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5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5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5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5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5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5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5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5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5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5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5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5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5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5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5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5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5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5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5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5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5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5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5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5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5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5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5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5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5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5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5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5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5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5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5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5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5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5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5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5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5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5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5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5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5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5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5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5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5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5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5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5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5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5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5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5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5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5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5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5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5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5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5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5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5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5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5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5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5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5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5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5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5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5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5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5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5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5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5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5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5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5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5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5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5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5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5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5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5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5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5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5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5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5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5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5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5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5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5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5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D6:G6"/>
    <mergeCell ref="I6:L6"/>
    <mergeCell ref="B2:C2"/>
    <mergeCell ref="U2:W2"/>
    <mergeCell ref="B3:C4"/>
    <mergeCell ref="U3:W4"/>
    <mergeCell ref="G5:I5"/>
    <mergeCell ref="B7:P7"/>
    <mergeCell ref="R7:W7"/>
    <mergeCell ref="CL8:CL9"/>
    <mergeCell ref="E9:G9"/>
    <mergeCell ref="I9:K9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ToggleButton1">
          <controlPr defaultSize="0" autoLine="0" r:id="rId9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26627" r:id="rId8" name="Toggle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09375" defaultRowHeight="13.2" x14ac:dyDescent="0.25"/>
  <cols>
    <col min="1" max="1" width="10.44140625" style="69" customWidth="1"/>
    <col min="2" max="2" width="2.109375" style="69" customWidth="1"/>
    <col min="3" max="3" width="102.88671875" style="69" customWidth="1"/>
    <col min="4" max="4" width="2.109375" style="69" customWidth="1"/>
    <col min="5" max="5" width="9.109375" style="69" customWidth="1"/>
    <col min="6" max="16384" width="9.10937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5">
      <c r="B4" s="71"/>
      <c r="C4" s="71"/>
      <c r="D4" s="71"/>
    </row>
    <row r="5" spans="2:4" ht="39.75" customHeight="1" x14ac:dyDescent="0.3">
      <c r="B5" s="408" t="s">
        <v>80</v>
      </c>
      <c r="C5" s="408"/>
      <c r="D5" s="408"/>
    </row>
    <row r="8" spans="2:4" ht="17.399999999999999" x14ac:dyDescent="0.3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Rick Freund</cp:lastModifiedBy>
  <dcterms:created xsi:type="dcterms:W3CDTF">2014-08-19T00:06:31Z</dcterms:created>
  <dcterms:modified xsi:type="dcterms:W3CDTF">2017-03-08T17:55:09Z</dcterms:modified>
</cp:coreProperties>
</file>