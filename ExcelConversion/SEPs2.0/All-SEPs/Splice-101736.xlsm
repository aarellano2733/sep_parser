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X:\Engineering_As-built\SEPs\All-SEPs\"/>
    </mc:Choice>
  </mc:AlternateContent>
  <bookViews>
    <workbookView xWindow="0" yWindow="0" windowWidth="23040" windowHeight="9396" tabRatio="599" firstSheet="1" activeTab="4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G83" i="3"/>
  <c r="BD83" i="3"/>
  <c r="AY83" i="3"/>
  <c r="BB83" i="3" s="1"/>
  <c r="AW83" i="3"/>
  <c r="AT83" i="3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G82" i="3"/>
  <c r="BD82" i="3"/>
  <c r="AY82" i="3"/>
  <c r="BB82" i="3" s="1"/>
  <c r="AW82" i="3"/>
  <c r="AT82" i="3"/>
  <c r="AO82" i="3"/>
  <c r="AR82" i="3" s="1"/>
  <c r="AM82" i="3"/>
  <c r="AJ82" i="3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W81" i="3"/>
  <c r="AT81" i="3"/>
  <c r="AO81" i="3"/>
  <c r="AR81" i="3" s="1"/>
  <c r="AM81" i="3"/>
  <c r="AJ81" i="3"/>
  <c r="AB81" i="3"/>
  <c r="AA81" i="3"/>
  <c r="Z81" i="3"/>
  <c r="Y81" i="3"/>
  <c r="X81" i="3"/>
  <c r="M81" i="3"/>
  <c r="H81" i="3"/>
  <c r="C81" i="3"/>
  <c r="BI80" i="3"/>
  <c r="BL80" i="3" s="1"/>
  <c r="BG80" i="3"/>
  <c r="BD80" i="3"/>
  <c r="AY80" i="3"/>
  <c r="BB80" i="3" s="1"/>
  <c r="AW80" i="3"/>
  <c r="AT80" i="3"/>
  <c r="AO80" i="3"/>
  <c r="AR80" i="3" s="1"/>
  <c r="AM80" i="3"/>
  <c r="AJ80" i="3"/>
  <c r="AB80" i="3"/>
  <c r="AA80" i="3"/>
  <c r="Z80" i="3"/>
  <c r="Y80" i="3"/>
  <c r="X80" i="3"/>
  <c r="M80" i="3"/>
  <c r="H80" i="3"/>
  <c r="C80" i="3"/>
  <c r="BI79" i="3"/>
  <c r="BL79" i="3" s="1"/>
  <c r="BG79" i="3"/>
  <c r="BD79" i="3"/>
  <c r="AY79" i="3"/>
  <c r="BB79" i="3" s="1"/>
  <c r="AW79" i="3"/>
  <c r="AT79" i="3"/>
  <c r="AO79" i="3"/>
  <c r="AR79" i="3" s="1"/>
  <c r="AM79" i="3"/>
  <c r="AJ79" i="3"/>
  <c r="AB79" i="3"/>
  <c r="AA79" i="3"/>
  <c r="Z79" i="3"/>
  <c r="Y79" i="3"/>
  <c r="X79" i="3"/>
  <c r="M79" i="3"/>
  <c r="H79" i="3"/>
  <c r="C79" i="3"/>
  <c r="BI78" i="3"/>
  <c r="BL78" i="3" s="1"/>
  <c r="BG78" i="3"/>
  <c r="BD78" i="3"/>
  <c r="AY78" i="3"/>
  <c r="BB78" i="3" s="1"/>
  <c r="AW78" i="3"/>
  <c r="AT78" i="3"/>
  <c r="AO78" i="3"/>
  <c r="AR78" i="3" s="1"/>
  <c r="AM78" i="3"/>
  <c r="AJ78" i="3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W77" i="3"/>
  <c r="AT77" i="3"/>
  <c r="AO77" i="3"/>
  <c r="AR77" i="3" s="1"/>
  <c r="AM77" i="3"/>
  <c r="AJ77" i="3"/>
  <c r="AB77" i="3"/>
  <c r="AA77" i="3"/>
  <c r="Z77" i="3"/>
  <c r="Y77" i="3"/>
  <c r="X77" i="3"/>
  <c r="M77" i="3"/>
  <c r="H77" i="3"/>
  <c r="C77" i="3"/>
  <c r="BI76" i="3"/>
  <c r="BL76" i="3" s="1"/>
  <c r="BG76" i="3"/>
  <c r="BD76" i="3"/>
  <c r="AY76" i="3"/>
  <c r="BB76" i="3" s="1"/>
  <c r="AW76" i="3"/>
  <c r="AT76" i="3"/>
  <c r="AO76" i="3"/>
  <c r="AR76" i="3" s="1"/>
  <c r="AM76" i="3"/>
  <c r="AJ76" i="3"/>
  <c r="AB76" i="3"/>
  <c r="AA76" i="3"/>
  <c r="Z76" i="3"/>
  <c r="Y76" i="3"/>
  <c r="X76" i="3"/>
  <c r="M76" i="3"/>
  <c r="H76" i="3"/>
  <c r="C76" i="3"/>
  <c r="BI75" i="3"/>
  <c r="BL75" i="3" s="1"/>
  <c r="BG75" i="3"/>
  <c r="BD75" i="3"/>
  <c r="AY75" i="3"/>
  <c r="BB75" i="3" s="1"/>
  <c r="AW75" i="3"/>
  <c r="AT75" i="3"/>
  <c r="AO75" i="3"/>
  <c r="AR75" i="3" s="1"/>
  <c r="AM75" i="3"/>
  <c r="AJ75" i="3"/>
  <c r="AB75" i="3"/>
  <c r="AA75" i="3"/>
  <c r="Z75" i="3"/>
  <c r="Y75" i="3"/>
  <c r="X75" i="3"/>
  <c r="M75" i="3"/>
  <c r="H75" i="3"/>
  <c r="C75" i="3"/>
  <c r="BI74" i="3"/>
  <c r="BL74" i="3" s="1"/>
  <c r="BG74" i="3"/>
  <c r="BD74" i="3"/>
  <c r="AY74" i="3"/>
  <c r="BB74" i="3" s="1"/>
  <c r="AW74" i="3"/>
  <c r="AT74" i="3"/>
  <c r="AO74" i="3"/>
  <c r="AR74" i="3" s="1"/>
  <c r="AM74" i="3"/>
  <c r="AJ74" i="3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W73" i="3"/>
  <c r="AT73" i="3"/>
  <c r="AO73" i="3"/>
  <c r="AR73" i="3" s="1"/>
  <c r="AM73" i="3"/>
  <c r="AJ73" i="3"/>
  <c r="AB73" i="3"/>
  <c r="AA73" i="3"/>
  <c r="Z73" i="3"/>
  <c r="Y73" i="3"/>
  <c r="X73" i="3"/>
  <c r="M73" i="3"/>
  <c r="H73" i="3"/>
  <c r="C73" i="3"/>
  <c r="BI72" i="3"/>
  <c r="BL72" i="3" s="1"/>
  <c r="BG72" i="3"/>
  <c r="BD72" i="3"/>
  <c r="AY72" i="3"/>
  <c r="BB72" i="3" s="1"/>
  <c r="AW72" i="3"/>
  <c r="AT72" i="3"/>
  <c r="AO72" i="3"/>
  <c r="AR72" i="3" s="1"/>
  <c r="AM72" i="3"/>
  <c r="AJ72" i="3"/>
  <c r="AB72" i="3"/>
  <c r="AA72" i="3"/>
  <c r="Z72" i="3"/>
  <c r="Y72" i="3"/>
  <c r="X72" i="3"/>
  <c r="M72" i="3"/>
  <c r="H72" i="3"/>
  <c r="C72" i="3"/>
  <c r="BI71" i="3"/>
  <c r="BL71" i="3" s="1"/>
  <c r="BG71" i="3"/>
  <c r="BD71" i="3"/>
  <c r="AY71" i="3"/>
  <c r="BB71" i="3" s="1"/>
  <c r="AW71" i="3"/>
  <c r="AT71" i="3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G70" i="3"/>
  <c r="BD70" i="3"/>
  <c r="AY70" i="3"/>
  <c r="BB70" i="3" s="1"/>
  <c r="AW70" i="3"/>
  <c r="AT70" i="3"/>
  <c r="AO70" i="3"/>
  <c r="AR70" i="3" s="1"/>
  <c r="AM70" i="3"/>
  <c r="AJ70" i="3"/>
  <c r="AB70" i="3"/>
  <c r="AA70" i="3"/>
  <c r="Z70" i="3"/>
  <c r="Y70" i="3"/>
  <c r="X70" i="3"/>
  <c r="M70" i="3"/>
  <c r="H70" i="3"/>
  <c r="C70" i="3"/>
  <c r="BI69" i="3"/>
  <c r="BL69" i="3" s="1"/>
  <c r="BG69" i="3"/>
  <c r="BD69" i="3"/>
  <c r="AY69" i="3"/>
  <c r="BB69" i="3" s="1"/>
  <c r="AW69" i="3"/>
  <c r="AT69" i="3"/>
  <c r="AO69" i="3"/>
  <c r="AR69" i="3" s="1"/>
  <c r="AM69" i="3"/>
  <c r="AJ69" i="3"/>
  <c r="AB69" i="3"/>
  <c r="AA69" i="3"/>
  <c r="Z69" i="3"/>
  <c r="Y69" i="3"/>
  <c r="X69" i="3"/>
  <c r="M69" i="3"/>
  <c r="H69" i="3"/>
  <c r="C69" i="3"/>
  <c r="BI68" i="3"/>
  <c r="BL68" i="3" s="1"/>
  <c r="BG68" i="3"/>
  <c r="BD68" i="3"/>
  <c r="AY68" i="3"/>
  <c r="BB68" i="3" s="1"/>
  <c r="AW68" i="3"/>
  <c r="AT68" i="3"/>
  <c r="AO68" i="3"/>
  <c r="AR68" i="3" s="1"/>
  <c r="AM68" i="3"/>
  <c r="AJ68" i="3"/>
  <c r="AB68" i="3"/>
  <c r="AA68" i="3"/>
  <c r="Z68" i="3"/>
  <c r="Y68" i="3"/>
  <c r="X68" i="3"/>
  <c r="M68" i="3"/>
  <c r="H68" i="3"/>
  <c r="C68" i="3"/>
  <c r="BI67" i="3"/>
  <c r="BL67" i="3" s="1"/>
  <c r="BG67" i="3"/>
  <c r="BD67" i="3"/>
  <c r="AY67" i="3"/>
  <c r="BB67" i="3" s="1"/>
  <c r="AW67" i="3"/>
  <c r="AT67" i="3"/>
  <c r="AO67" i="3"/>
  <c r="AR67" i="3" s="1"/>
  <c r="AM67" i="3"/>
  <c r="AJ67" i="3"/>
  <c r="AB67" i="3"/>
  <c r="AA67" i="3"/>
  <c r="Z67" i="3"/>
  <c r="Y67" i="3"/>
  <c r="X67" i="3"/>
  <c r="M67" i="3"/>
  <c r="H67" i="3"/>
  <c r="C67" i="3"/>
  <c r="BI66" i="3"/>
  <c r="BL66" i="3" s="1"/>
  <c r="BG66" i="3"/>
  <c r="BD66" i="3"/>
  <c r="AY66" i="3"/>
  <c r="BB66" i="3" s="1"/>
  <c r="AW66" i="3"/>
  <c r="AT66" i="3"/>
  <c r="AO66" i="3"/>
  <c r="AR66" i="3" s="1"/>
  <c r="AM66" i="3"/>
  <c r="AJ66" i="3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W65" i="3"/>
  <c r="AT65" i="3"/>
  <c r="AO65" i="3"/>
  <c r="AR65" i="3" s="1"/>
  <c r="AM65" i="3"/>
  <c r="AJ65" i="3"/>
  <c r="AB65" i="3"/>
  <c r="AA65" i="3"/>
  <c r="Z65" i="3"/>
  <c r="Y65" i="3"/>
  <c r="X65" i="3"/>
  <c r="M65" i="3"/>
  <c r="H65" i="3"/>
  <c r="C65" i="3"/>
  <c r="BI64" i="3"/>
  <c r="BL64" i="3" s="1"/>
  <c r="BG64" i="3"/>
  <c r="BD64" i="3"/>
  <c r="AY64" i="3"/>
  <c r="BB64" i="3" s="1"/>
  <c r="AW64" i="3"/>
  <c r="AT64" i="3"/>
  <c r="AO64" i="3"/>
  <c r="AR64" i="3" s="1"/>
  <c r="AM64" i="3"/>
  <c r="AJ64" i="3"/>
  <c r="AB64" i="3"/>
  <c r="AA64" i="3"/>
  <c r="Z64" i="3"/>
  <c r="Y64" i="3"/>
  <c r="X64" i="3"/>
  <c r="M64" i="3"/>
  <c r="H64" i="3"/>
  <c r="C64" i="3"/>
  <c r="BI63" i="3"/>
  <c r="BL63" i="3" s="1"/>
  <c r="BG63" i="3"/>
  <c r="BD63" i="3"/>
  <c r="AY63" i="3"/>
  <c r="BB63" i="3" s="1"/>
  <c r="AW63" i="3"/>
  <c r="AT63" i="3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G62" i="3"/>
  <c r="BD62" i="3"/>
  <c r="AY62" i="3"/>
  <c r="BB62" i="3" s="1"/>
  <c r="AW62" i="3"/>
  <c r="AT62" i="3"/>
  <c r="AO62" i="3"/>
  <c r="AR62" i="3" s="1"/>
  <c r="AM62" i="3"/>
  <c r="AJ62" i="3"/>
  <c r="AB62" i="3"/>
  <c r="AA62" i="3"/>
  <c r="Z62" i="3"/>
  <c r="Y62" i="3"/>
  <c r="X62" i="3"/>
  <c r="M62" i="3"/>
  <c r="H62" i="3"/>
  <c r="C62" i="3"/>
  <c r="BI61" i="3"/>
  <c r="BL61" i="3" s="1"/>
  <c r="BG61" i="3"/>
  <c r="BD61" i="3"/>
  <c r="AY61" i="3"/>
  <c r="BB61" i="3" s="1"/>
  <c r="AW61" i="3"/>
  <c r="AT61" i="3"/>
  <c r="AO61" i="3"/>
  <c r="AR61" i="3" s="1"/>
  <c r="AM61" i="3"/>
  <c r="AJ61" i="3"/>
  <c r="AB61" i="3"/>
  <c r="AA61" i="3"/>
  <c r="Z61" i="3"/>
  <c r="Y61" i="3"/>
  <c r="X61" i="3"/>
  <c r="M61" i="3"/>
  <c r="H61" i="3"/>
  <c r="C61" i="3"/>
  <c r="BI60" i="3"/>
  <c r="BL60" i="3" s="1"/>
  <c r="BG60" i="3"/>
  <c r="BD60" i="3"/>
  <c r="AY60" i="3"/>
  <c r="BB60" i="3" s="1"/>
  <c r="AW60" i="3"/>
  <c r="AT60" i="3"/>
  <c r="AO60" i="3"/>
  <c r="AR60" i="3" s="1"/>
  <c r="AM60" i="3"/>
  <c r="AJ60" i="3"/>
  <c r="AB60" i="3"/>
  <c r="AA60" i="3"/>
  <c r="Z60" i="3"/>
  <c r="Y60" i="3"/>
  <c r="X60" i="3"/>
  <c r="M60" i="3"/>
  <c r="H60" i="3"/>
  <c r="C60" i="3"/>
  <c r="BI59" i="3"/>
  <c r="BL59" i="3" s="1"/>
  <c r="BG59" i="3"/>
  <c r="BD59" i="3"/>
  <c r="AY59" i="3"/>
  <c r="BB59" i="3" s="1"/>
  <c r="AW59" i="3"/>
  <c r="AT59" i="3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G58" i="3"/>
  <c r="BD58" i="3"/>
  <c r="AY58" i="3"/>
  <c r="BB58" i="3" s="1"/>
  <c r="AW58" i="3"/>
  <c r="AT58" i="3"/>
  <c r="AO58" i="3"/>
  <c r="AR58" i="3" s="1"/>
  <c r="AM58" i="3"/>
  <c r="AJ58" i="3"/>
  <c r="AB58" i="3"/>
  <c r="AA58" i="3"/>
  <c r="Z58" i="3"/>
  <c r="Y58" i="3"/>
  <c r="X58" i="3"/>
  <c r="M58" i="3"/>
  <c r="H58" i="3"/>
  <c r="C58" i="3"/>
  <c r="BI57" i="3"/>
  <c r="BL57" i="3" s="1"/>
  <c r="BG57" i="3"/>
  <c r="BD57" i="3"/>
  <c r="AY57" i="3"/>
  <c r="BB57" i="3" s="1"/>
  <c r="AW57" i="3"/>
  <c r="AT57" i="3"/>
  <c r="AO57" i="3"/>
  <c r="AR57" i="3" s="1"/>
  <c r="AM57" i="3"/>
  <c r="AJ57" i="3"/>
  <c r="AB57" i="3"/>
  <c r="AA57" i="3"/>
  <c r="Z57" i="3"/>
  <c r="Y57" i="3"/>
  <c r="X57" i="3"/>
  <c r="M57" i="3"/>
  <c r="H57" i="3"/>
  <c r="C57" i="3"/>
  <c r="BI56" i="3"/>
  <c r="BL56" i="3" s="1"/>
  <c r="BG56" i="3"/>
  <c r="BD56" i="3"/>
  <c r="AY56" i="3"/>
  <c r="BB56" i="3" s="1"/>
  <c r="AW56" i="3"/>
  <c r="AT56" i="3"/>
  <c r="AO56" i="3"/>
  <c r="AR56" i="3" s="1"/>
  <c r="AM56" i="3"/>
  <c r="AJ56" i="3"/>
  <c r="AB56" i="3"/>
  <c r="AA56" i="3"/>
  <c r="Z56" i="3"/>
  <c r="Y56" i="3"/>
  <c r="X56" i="3"/>
  <c r="M56" i="3"/>
  <c r="H56" i="3"/>
  <c r="C56" i="3"/>
  <c r="BI55" i="3"/>
  <c r="BL55" i="3" s="1"/>
  <c r="BG55" i="3"/>
  <c r="BD55" i="3"/>
  <c r="BB55" i="3"/>
  <c r="AY55" i="3"/>
  <c r="AW55" i="3"/>
  <c r="AT55" i="3"/>
  <c r="AR55" i="3"/>
  <c r="AO55" i="3"/>
  <c r="AM55" i="3"/>
  <c r="AJ55" i="3"/>
  <c r="AB55" i="3"/>
  <c r="AA55" i="3"/>
  <c r="Z55" i="3"/>
  <c r="Y55" i="3"/>
  <c r="X55" i="3"/>
  <c r="M55" i="3"/>
  <c r="H55" i="3"/>
  <c r="C55" i="3"/>
  <c r="BL54" i="3"/>
  <c r="BI54" i="3"/>
  <c r="BG54" i="3"/>
  <c r="BD54" i="3"/>
  <c r="BB54" i="3"/>
  <c r="AY54" i="3"/>
  <c r="AW54" i="3"/>
  <c r="AT54" i="3"/>
  <c r="AR54" i="3"/>
  <c r="AO54" i="3"/>
  <c r="AM54" i="3"/>
  <c r="AJ54" i="3"/>
  <c r="AB54" i="3"/>
  <c r="AA54" i="3"/>
  <c r="Z54" i="3"/>
  <c r="Y54" i="3"/>
  <c r="X54" i="3"/>
  <c r="M54" i="3"/>
  <c r="H54" i="3"/>
  <c r="C54" i="3"/>
  <c r="BL53" i="3"/>
  <c r="BI53" i="3"/>
  <c r="BG53" i="3"/>
  <c r="BD53" i="3"/>
  <c r="BB53" i="3"/>
  <c r="AY53" i="3"/>
  <c r="AW53" i="3"/>
  <c r="AT53" i="3"/>
  <c r="AR53" i="3"/>
  <c r="AO53" i="3"/>
  <c r="AM53" i="3"/>
  <c r="AJ53" i="3"/>
  <c r="AB53" i="3"/>
  <c r="AA53" i="3"/>
  <c r="Z53" i="3"/>
  <c r="Y53" i="3"/>
  <c r="X53" i="3"/>
  <c r="M53" i="3"/>
  <c r="H53" i="3"/>
  <c r="C53" i="3"/>
  <c r="BL52" i="3"/>
  <c r="BI52" i="3"/>
  <c r="BG52" i="3"/>
  <c r="BD52" i="3"/>
  <c r="BB52" i="3"/>
  <c r="AY52" i="3"/>
  <c r="AW52" i="3"/>
  <c r="AT52" i="3"/>
  <c r="AR52" i="3"/>
  <c r="AO52" i="3"/>
  <c r="AM52" i="3"/>
  <c r="AJ52" i="3"/>
  <c r="AB52" i="3"/>
  <c r="AA52" i="3"/>
  <c r="Z52" i="3"/>
  <c r="Y52" i="3"/>
  <c r="X52" i="3"/>
  <c r="M52" i="3"/>
  <c r="H52" i="3"/>
  <c r="C52" i="3"/>
  <c r="BL51" i="3"/>
  <c r="BI51" i="3"/>
  <c r="BG51" i="3"/>
  <c r="BD51" i="3"/>
  <c r="BB51" i="3"/>
  <c r="AY51" i="3"/>
  <c r="AW51" i="3"/>
  <c r="AT51" i="3"/>
  <c r="AR51" i="3"/>
  <c r="AO51" i="3"/>
  <c r="AM51" i="3"/>
  <c r="AJ51" i="3"/>
  <c r="AB51" i="3"/>
  <c r="AA51" i="3"/>
  <c r="Z51" i="3"/>
  <c r="Y51" i="3"/>
  <c r="X51" i="3"/>
  <c r="M51" i="3"/>
  <c r="H51" i="3"/>
  <c r="C51" i="3"/>
  <c r="BL50" i="3"/>
  <c r="BI50" i="3"/>
  <c r="BG50" i="3"/>
  <c r="BD50" i="3"/>
  <c r="BB50" i="3"/>
  <c r="AY50" i="3"/>
  <c r="AW50" i="3"/>
  <c r="AT50" i="3"/>
  <c r="AR50" i="3"/>
  <c r="AO50" i="3"/>
  <c r="AM50" i="3"/>
  <c r="AJ50" i="3"/>
  <c r="AB50" i="3"/>
  <c r="AA50" i="3"/>
  <c r="Z50" i="3"/>
  <c r="Y50" i="3"/>
  <c r="X50" i="3"/>
  <c r="M50" i="3"/>
  <c r="H50" i="3"/>
  <c r="C50" i="3"/>
  <c r="BL49" i="3"/>
  <c r="BI49" i="3"/>
  <c r="BG49" i="3"/>
  <c r="BD49" i="3"/>
  <c r="BB49" i="3"/>
  <c r="AY49" i="3"/>
  <c r="AW49" i="3"/>
  <c r="AT49" i="3"/>
  <c r="AR49" i="3"/>
  <c r="AO49" i="3"/>
  <c r="AM49" i="3"/>
  <c r="AJ49" i="3"/>
  <c r="AB49" i="3"/>
  <c r="AA49" i="3"/>
  <c r="Z49" i="3"/>
  <c r="Y49" i="3"/>
  <c r="X49" i="3"/>
  <c r="M49" i="3"/>
  <c r="H49" i="3"/>
  <c r="C49" i="3"/>
  <c r="BL48" i="3"/>
  <c r="BI48" i="3"/>
  <c r="BG48" i="3"/>
  <c r="BD48" i="3"/>
  <c r="BB48" i="3"/>
  <c r="AY48" i="3"/>
  <c r="AW48" i="3"/>
  <c r="AT48" i="3"/>
  <c r="AR48" i="3"/>
  <c r="AO48" i="3"/>
  <c r="AM48" i="3"/>
  <c r="AJ48" i="3"/>
  <c r="AB48" i="3"/>
  <c r="AA48" i="3"/>
  <c r="Z48" i="3"/>
  <c r="Y48" i="3"/>
  <c r="X48" i="3"/>
  <c r="M48" i="3"/>
  <c r="H48" i="3"/>
  <c r="C48" i="3"/>
  <c r="BL47" i="3"/>
  <c r="BI47" i="3"/>
  <c r="BG47" i="3"/>
  <c r="BD47" i="3"/>
  <c r="BB47" i="3"/>
  <c r="AY47" i="3"/>
  <c r="AW47" i="3"/>
  <c r="AT47" i="3"/>
  <c r="AR47" i="3"/>
  <c r="AO47" i="3"/>
  <c r="AM47" i="3"/>
  <c r="AJ47" i="3"/>
  <c r="AB47" i="3"/>
  <c r="AA47" i="3"/>
  <c r="Z47" i="3"/>
  <c r="Y47" i="3"/>
  <c r="X47" i="3"/>
  <c r="M47" i="3"/>
  <c r="H47" i="3"/>
  <c r="C47" i="3"/>
  <c r="BL46" i="3"/>
  <c r="BI46" i="3"/>
  <c r="BG46" i="3"/>
  <c r="BD46" i="3"/>
  <c r="BB46" i="3"/>
  <c r="AY46" i="3"/>
  <c r="AW46" i="3"/>
  <c r="AT46" i="3"/>
  <c r="AR46" i="3"/>
  <c r="AO46" i="3"/>
  <c r="AM46" i="3"/>
  <c r="AJ46" i="3"/>
  <c r="AB46" i="3"/>
  <c r="AA46" i="3"/>
  <c r="Z46" i="3"/>
  <c r="Y46" i="3"/>
  <c r="X46" i="3"/>
  <c r="M46" i="3"/>
  <c r="H46" i="3"/>
  <c r="C46" i="3"/>
  <c r="BL45" i="3"/>
  <c r="BI45" i="3"/>
  <c r="BG45" i="3"/>
  <c r="BD45" i="3"/>
  <c r="BB45" i="3"/>
  <c r="AY45" i="3"/>
  <c r="AW45" i="3"/>
  <c r="AT45" i="3"/>
  <c r="AR45" i="3"/>
  <c r="AO45" i="3"/>
  <c r="AM45" i="3"/>
  <c r="AJ45" i="3"/>
  <c r="AB45" i="3"/>
  <c r="AA45" i="3"/>
  <c r="Z45" i="3"/>
  <c r="Y45" i="3"/>
  <c r="X45" i="3"/>
  <c r="M45" i="3"/>
  <c r="H45" i="3"/>
  <c r="C45" i="3"/>
  <c r="BL44" i="3"/>
  <c r="BI44" i="3"/>
  <c r="BG44" i="3"/>
  <c r="BD44" i="3"/>
  <c r="BB44" i="3"/>
  <c r="AY44" i="3"/>
  <c r="AW44" i="3"/>
  <c r="AT44" i="3"/>
  <c r="AR44" i="3"/>
  <c r="AO44" i="3"/>
  <c r="AM44" i="3"/>
  <c r="AJ44" i="3"/>
  <c r="AB44" i="3"/>
  <c r="AA44" i="3"/>
  <c r="Z44" i="3"/>
  <c r="Y44" i="3"/>
  <c r="X44" i="3"/>
  <c r="M44" i="3"/>
  <c r="H44" i="3"/>
  <c r="C44" i="3"/>
  <c r="BL43" i="3"/>
  <c r="BI43" i="3"/>
  <c r="BG43" i="3"/>
  <c r="BD43" i="3"/>
  <c r="BB43" i="3"/>
  <c r="AY43" i="3"/>
  <c r="AW43" i="3"/>
  <c r="AT43" i="3"/>
  <c r="AR43" i="3"/>
  <c r="AO43" i="3"/>
  <c r="AM43" i="3"/>
  <c r="AJ43" i="3"/>
  <c r="AB43" i="3"/>
  <c r="AA43" i="3"/>
  <c r="Z43" i="3"/>
  <c r="Y43" i="3"/>
  <c r="X43" i="3"/>
  <c r="M43" i="3"/>
  <c r="H43" i="3"/>
  <c r="C43" i="3"/>
  <c r="BL42" i="3"/>
  <c r="BI42" i="3"/>
  <c r="BG42" i="3"/>
  <c r="BD42" i="3"/>
  <c r="BB42" i="3"/>
  <c r="AY42" i="3"/>
  <c r="AW42" i="3"/>
  <c r="AT42" i="3"/>
  <c r="AR42" i="3"/>
  <c r="AO42" i="3"/>
  <c r="AM42" i="3"/>
  <c r="AJ42" i="3"/>
  <c r="AB42" i="3"/>
  <c r="AA42" i="3"/>
  <c r="Z42" i="3"/>
  <c r="Y42" i="3"/>
  <c r="X42" i="3"/>
  <c r="M42" i="3"/>
  <c r="H42" i="3"/>
  <c r="C42" i="3"/>
  <c r="BL41" i="3"/>
  <c r="BI41" i="3"/>
  <c r="BG41" i="3"/>
  <c r="BD41" i="3"/>
  <c r="BB41" i="3"/>
  <c r="AY41" i="3"/>
  <c r="AW41" i="3"/>
  <c r="AT41" i="3"/>
  <c r="AR41" i="3"/>
  <c r="AO41" i="3"/>
  <c r="AM41" i="3"/>
  <c r="AJ41" i="3"/>
  <c r="AB41" i="3"/>
  <c r="AA41" i="3"/>
  <c r="Z41" i="3"/>
  <c r="Y41" i="3"/>
  <c r="X41" i="3"/>
  <c r="M41" i="3"/>
  <c r="H41" i="3"/>
  <c r="C41" i="3"/>
  <c r="BL40" i="3"/>
  <c r="BI40" i="3"/>
  <c r="BG40" i="3"/>
  <c r="BD40" i="3"/>
  <c r="BB40" i="3"/>
  <c r="AY40" i="3"/>
  <c r="AW40" i="3"/>
  <c r="AT40" i="3"/>
  <c r="AR40" i="3"/>
  <c r="AO40" i="3"/>
  <c r="AM40" i="3"/>
  <c r="AJ40" i="3"/>
  <c r="AB40" i="3"/>
  <c r="AA40" i="3"/>
  <c r="Z40" i="3"/>
  <c r="Y40" i="3"/>
  <c r="X40" i="3"/>
  <c r="M40" i="3"/>
  <c r="H40" i="3"/>
  <c r="C40" i="3"/>
  <c r="BL39" i="3"/>
  <c r="BI39" i="3"/>
  <c r="BG39" i="3"/>
  <c r="BD39" i="3"/>
  <c r="BB39" i="3"/>
  <c r="AY39" i="3"/>
  <c r="AW39" i="3"/>
  <c r="AT39" i="3"/>
  <c r="AR39" i="3"/>
  <c r="AO39" i="3"/>
  <c r="AM39" i="3"/>
  <c r="AJ39" i="3"/>
  <c r="AB39" i="3"/>
  <c r="AA39" i="3"/>
  <c r="Z39" i="3"/>
  <c r="Y39" i="3"/>
  <c r="X39" i="3"/>
  <c r="M39" i="3"/>
  <c r="H39" i="3"/>
  <c r="C39" i="3"/>
  <c r="BL38" i="3"/>
  <c r="BI38" i="3"/>
  <c r="BG38" i="3"/>
  <c r="BD38" i="3"/>
  <c r="BB38" i="3"/>
  <c r="AY38" i="3"/>
  <c r="AW38" i="3"/>
  <c r="AT38" i="3"/>
  <c r="AR38" i="3"/>
  <c r="AO38" i="3"/>
  <c r="AM38" i="3"/>
  <c r="AJ38" i="3"/>
  <c r="AB38" i="3"/>
  <c r="AA38" i="3"/>
  <c r="Z38" i="3"/>
  <c r="Y38" i="3"/>
  <c r="X38" i="3"/>
  <c r="M38" i="3"/>
  <c r="H38" i="3"/>
  <c r="C38" i="3"/>
  <c r="BL37" i="3"/>
  <c r="BI37" i="3"/>
  <c r="BG37" i="3"/>
  <c r="BD37" i="3"/>
  <c r="BB37" i="3"/>
  <c r="AY37" i="3"/>
  <c r="AW37" i="3"/>
  <c r="AT37" i="3"/>
  <c r="AR37" i="3"/>
  <c r="AO37" i="3"/>
  <c r="AM37" i="3"/>
  <c r="AJ37" i="3"/>
  <c r="AB37" i="3"/>
  <c r="AA37" i="3"/>
  <c r="Z37" i="3"/>
  <c r="Y37" i="3"/>
  <c r="X37" i="3"/>
  <c r="M37" i="3"/>
  <c r="H37" i="3"/>
  <c r="C37" i="3"/>
  <c r="BL36" i="3"/>
  <c r="BI36" i="3"/>
  <c r="BG36" i="3"/>
  <c r="BD36" i="3"/>
  <c r="BB36" i="3"/>
  <c r="AY36" i="3"/>
  <c r="AW36" i="3"/>
  <c r="AT36" i="3"/>
  <c r="AR36" i="3"/>
  <c r="AO36" i="3"/>
  <c r="AM36" i="3"/>
  <c r="AJ36" i="3"/>
  <c r="AB36" i="3"/>
  <c r="AA36" i="3"/>
  <c r="Z36" i="3"/>
  <c r="Y36" i="3"/>
  <c r="X36" i="3"/>
  <c r="M36" i="3"/>
  <c r="H36" i="3"/>
  <c r="C36" i="3"/>
  <c r="BL35" i="3"/>
  <c r="BI35" i="3"/>
  <c r="BG35" i="3"/>
  <c r="BD35" i="3"/>
  <c r="BB35" i="3"/>
  <c r="AY35" i="3"/>
  <c r="AW35" i="3"/>
  <c r="AT35" i="3"/>
  <c r="AR35" i="3"/>
  <c r="AO35" i="3"/>
  <c r="AM35" i="3"/>
  <c r="AJ35" i="3"/>
  <c r="AB35" i="3"/>
  <c r="AA35" i="3"/>
  <c r="Z35" i="3"/>
  <c r="Y35" i="3"/>
  <c r="X35" i="3"/>
  <c r="M35" i="3"/>
  <c r="H35" i="3"/>
  <c r="C35" i="3"/>
  <c r="BL34" i="3"/>
  <c r="BI34" i="3"/>
  <c r="BG34" i="3"/>
  <c r="BD34" i="3"/>
  <c r="BB34" i="3"/>
  <c r="AY34" i="3"/>
  <c r="AW34" i="3"/>
  <c r="AT34" i="3"/>
  <c r="AR34" i="3"/>
  <c r="AO34" i="3"/>
  <c r="AM34" i="3"/>
  <c r="AJ34" i="3"/>
  <c r="AB34" i="3"/>
  <c r="AA34" i="3"/>
  <c r="Z34" i="3"/>
  <c r="Y34" i="3"/>
  <c r="X34" i="3"/>
  <c r="M34" i="3"/>
  <c r="H34" i="3"/>
  <c r="C34" i="3"/>
  <c r="BL33" i="3"/>
  <c r="BI33" i="3"/>
  <c r="BG33" i="3"/>
  <c r="BD33" i="3"/>
  <c r="BB33" i="3"/>
  <c r="AY33" i="3"/>
  <c r="AW33" i="3"/>
  <c r="AT33" i="3"/>
  <c r="AR33" i="3"/>
  <c r="AO33" i="3"/>
  <c r="AM33" i="3"/>
  <c r="AJ33" i="3"/>
  <c r="AB33" i="3"/>
  <c r="AA33" i="3"/>
  <c r="Z33" i="3"/>
  <c r="Y33" i="3"/>
  <c r="X33" i="3"/>
  <c r="M33" i="3"/>
  <c r="H33" i="3"/>
  <c r="C33" i="3"/>
  <c r="BL32" i="3"/>
  <c r="BI32" i="3"/>
  <c r="BG32" i="3"/>
  <c r="BD32" i="3"/>
  <c r="BB32" i="3"/>
  <c r="AY32" i="3"/>
  <c r="AW32" i="3"/>
  <c r="AT32" i="3"/>
  <c r="AR32" i="3"/>
  <c r="AO32" i="3"/>
  <c r="AM32" i="3"/>
  <c r="AJ32" i="3"/>
  <c r="AB32" i="3"/>
  <c r="AA32" i="3"/>
  <c r="Z32" i="3"/>
  <c r="Y32" i="3"/>
  <c r="X32" i="3"/>
  <c r="M32" i="3"/>
  <c r="H32" i="3"/>
  <c r="C32" i="3"/>
  <c r="BL31" i="3"/>
  <c r="BI31" i="3"/>
  <c r="BG31" i="3"/>
  <c r="BD31" i="3"/>
  <c r="BB31" i="3"/>
  <c r="AY31" i="3"/>
  <c r="AW31" i="3"/>
  <c r="AT31" i="3"/>
  <c r="AR31" i="3"/>
  <c r="AO31" i="3"/>
  <c r="AM31" i="3"/>
  <c r="AJ31" i="3"/>
  <c r="AB31" i="3"/>
  <c r="AA31" i="3"/>
  <c r="Z31" i="3"/>
  <c r="Y31" i="3"/>
  <c r="X31" i="3"/>
  <c r="M31" i="3"/>
  <c r="H31" i="3"/>
  <c r="C31" i="3"/>
  <c r="BL30" i="3"/>
  <c r="BI30" i="3"/>
  <c r="BG30" i="3"/>
  <c r="BD30" i="3"/>
  <c r="BB30" i="3"/>
  <c r="AY30" i="3"/>
  <c r="AW30" i="3"/>
  <c r="AT30" i="3"/>
  <c r="AR30" i="3"/>
  <c r="AO30" i="3"/>
  <c r="AM30" i="3"/>
  <c r="AJ30" i="3"/>
  <c r="AB30" i="3"/>
  <c r="AA30" i="3"/>
  <c r="Z30" i="3"/>
  <c r="Y30" i="3"/>
  <c r="X30" i="3"/>
  <c r="M30" i="3"/>
  <c r="H30" i="3"/>
  <c r="C30" i="3"/>
  <c r="BL29" i="3"/>
  <c r="BI29" i="3"/>
  <c r="BG29" i="3"/>
  <c r="BD29" i="3"/>
  <c r="BB29" i="3"/>
  <c r="AY29" i="3"/>
  <c r="AW29" i="3"/>
  <c r="AT29" i="3"/>
  <c r="AR29" i="3"/>
  <c r="AO29" i="3"/>
  <c r="AM29" i="3"/>
  <c r="AJ29" i="3"/>
  <c r="AB29" i="3"/>
  <c r="AA29" i="3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B28" i="3"/>
  <c r="AA28" i="3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B27" i="3"/>
  <c r="AA27" i="3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B26" i="3"/>
  <c r="AA26" i="3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B25" i="3"/>
  <c r="AA25" i="3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B24" i="3"/>
  <c r="AA24" i="3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B23" i="3"/>
  <c r="AA23" i="3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B22" i="3"/>
  <c r="AA22" i="3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B21" i="3"/>
  <c r="AA21" i="3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B20" i="3"/>
  <c r="AA20" i="3"/>
  <c r="Z20" i="3"/>
  <c r="Y20" i="3"/>
  <c r="X20" i="3"/>
  <c r="M20" i="3"/>
  <c r="H20" i="3"/>
  <c r="C20" i="3"/>
  <c r="BL19" i="3"/>
  <c r="BI19" i="3"/>
  <c r="BG19" i="3"/>
  <c r="BD19" i="3"/>
  <c r="BB19" i="3"/>
  <c r="AY19" i="3"/>
  <c r="AW19" i="3"/>
  <c r="AT19" i="3"/>
  <c r="AR19" i="3"/>
  <c r="AO19" i="3"/>
  <c r="AM19" i="3"/>
  <c r="AJ19" i="3"/>
  <c r="AB19" i="3"/>
  <c r="AA19" i="3"/>
  <c r="Z19" i="3"/>
  <c r="Y19" i="3"/>
  <c r="X19" i="3"/>
  <c r="M19" i="3"/>
  <c r="H19" i="3"/>
  <c r="C19" i="3"/>
  <c r="BL18" i="3"/>
  <c r="BI18" i="3"/>
  <c r="BG18" i="3"/>
  <c r="BD18" i="3"/>
  <c r="BB18" i="3"/>
  <c r="AY18" i="3"/>
  <c r="AW18" i="3"/>
  <c r="AT18" i="3"/>
  <c r="AR18" i="3"/>
  <c r="AO18" i="3"/>
  <c r="AM18" i="3"/>
  <c r="AJ18" i="3"/>
  <c r="AB18" i="3"/>
  <c r="AA18" i="3"/>
  <c r="Z18" i="3"/>
  <c r="Y18" i="3"/>
  <c r="X18" i="3"/>
  <c r="M18" i="3"/>
  <c r="H18" i="3"/>
  <c r="C18" i="3"/>
  <c r="BL17" i="3"/>
  <c r="BI17" i="3"/>
  <c r="BG17" i="3"/>
  <c r="BD17" i="3"/>
  <c r="BB17" i="3"/>
  <c r="AY17" i="3"/>
  <c r="AW17" i="3"/>
  <c r="AT17" i="3"/>
  <c r="AR17" i="3"/>
  <c r="AO17" i="3"/>
  <c r="AM17" i="3"/>
  <c r="AJ17" i="3"/>
  <c r="AB17" i="3"/>
  <c r="AA17" i="3"/>
  <c r="Z17" i="3"/>
  <c r="Y17" i="3"/>
  <c r="X17" i="3"/>
  <c r="M17" i="3"/>
  <c r="H17" i="3"/>
  <c r="C17" i="3"/>
  <c r="BL16" i="3"/>
  <c r="BI16" i="3"/>
  <c r="BG16" i="3"/>
  <c r="BD16" i="3"/>
  <c r="BB16" i="3"/>
  <c r="AY16" i="3"/>
  <c r="AW16" i="3"/>
  <c r="AT16" i="3"/>
  <c r="AR16" i="3"/>
  <c r="AO16" i="3"/>
  <c r="AM16" i="3"/>
  <c r="AJ16" i="3"/>
  <c r="AB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B15" i="3"/>
  <c r="AA15" i="3"/>
  <c r="Z15" i="3"/>
  <c r="Y15" i="3"/>
  <c r="X15" i="3"/>
  <c r="M15" i="3"/>
  <c r="H15" i="3"/>
  <c r="C15" i="3"/>
  <c r="BL14" i="3"/>
  <c r="BI14" i="3"/>
  <c r="BG14" i="3"/>
  <c r="BD14" i="3"/>
  <c r="BB14" i="3"/>
  <c r="AY14" i="3"/>
  <c r="AW14" i="3"/>
  <c r="AT14" i="3"/>
  <c r="AR14" i="3"/>
  <c r="AO14" i="3"/>
  <c r="AM14" i="3"/>
  <c r="AJ14" i="3"/>
  <c r="AB14" i="3"/>
  <c r="AA14" i="3"/>
  <c r="Z14" i="3"/>
  <c r="Y14" i="3"/>
  <c r="X14" i="3"/>
  <c r="M14" i="3"/>
  <c r="H14" i="3"/>
  <c r="C14" i="3"/>
  <c r="BI153" i="3"/>
  <c r="BL153" i="3" s="1"/>
  <c r="BD153" i="3"/>
  <c r="BG153" i="3" s="1"/>
  <c r="AY153" i="3"/>
  <c r="BB153" i="3" s="1"/>
  <c r="AT153" i="3"/>
  <c r="AW153" i="3" s="1"/>
  <c r="AB153" i="3"/>
  <c r="AA153" i="3"/>
  <c r="Z153" i="3"/>
  <c r="Y153" i="3"/>
  <c r="X153" i="3"/>
  <c r="M153" i="3"/>
  <c r="H153" i="3"/>
  <c r="C153" i="3"/>
  <c r="BI152" i="3"/>
  <c r="BL152" i="3" s="1"/>
  <c r="BD152" i="3"/>
  <c r="BG152" i="3" s="1"/>
  <c r="AY152" i="3"/>
  <c r="BB152" i="3" s="1"/>
  <c r="AT152" i="3"/>
  <c r="AW152" i="3" s="1"/>
  <c r="AB152" i="3"/>
  <c r="AA152" i="3"/>
  <c r="Z152" i="3"/>
  <c r="Y152" i="3"/>
  <c r="X152" i="3"/>
  <c r="M152" i="3"/>
  <c r="H152" i="3"/>
  <c r="C152" i="3"/>
  <c r="BI151" i="3"/>
  <c r="BL151" i="3" s="1"/>
  <c r="BD151" i="3"/>
  <c r="BG151" i="3" s="1"/>
  <c r="AY151" i="3"/>
  <c r="BB151" i="3" s="1"/>
  <c r="AT151" i="3"/>
  <c r="AW151" i="3" s="1"/>
  <c r="AB151" i="3"/>
  <c r="AA151" i="3"/>
  <c r="Z151" i="3"/>
  <c r="Y151" i="3"/>
  <c r="X151" i="3"/>
  <c r="M151" i="3"/>
  <c r="H151" i="3"/>
  <c r="C151" i="3"/>
  <c r="BI150" i="3"/>
  <c r="BL150" i="3" s="1"/>
  <c r="BD150" i="3"/>
  <c r="BG150" i="3" s="1"/>
  <c r="AY150" i="3"/>
  <c r="BB150" i="3" s="1"/>
  <c r="AT150" i="3"/>
  <c r="AW150" i="3" s="1"/>
  <c r="AB150" i="3"/>
  <c r="AA150" i="3"/>
  <c r="Z150" i="3"/>
  <c r="Y150" i="3"/>
  <c r="X150" i="3"/>
  <c r="M150" i="3"/>
  <c r="H150" i="3"/>
  <c r="C150" i="3"/>
  <c r="BI149" i="3"/>
  <c r="BL149" i="3" s="1"/>
  <c r="BD149" i="3"/>
  <c r="BG149" i="3" s="1"/>
  <c r="AY149" i="3"/>
  <c r="BB149" i="3" s="1"/>
  <c r="AT149" i="3"/>
  <c r="AW149" i="3" s="1"/>
  <c r="AB149" i="3"/>
  <c r="AA149" i="3"/>
  <c r="Z149" i="3"/>
  <c r="Y149" i="3"/>
  <c r="X149" i="3"/>
  <c r="M149" i="3"/>
  <c r="H149" i="3"/>
  <c r="C149" i="3"/>
  <c r="BI148" i="3"/>
  <c r="BL148" i="3" s="1"/>
  <c r="BD148" i="3"/>
  <c r="BG148" i="3" s="1"/>
  <c r="AY148" i="3"/>
  <c r="BB148" i="3" s="1"/>
  <c r="AT148" i="3"/>
  <c r="AW148" i="3" s="1"/>
  <c r="AB148" i="3"/>
  <c r="AA148" i="3"/>
  <c r="Z148" i="3"/>
  <c r="Y148" i="3"/>
  <c r="X148" i="3"/>
  <c r="M148" i="3"/>
  <c r="H148" i="3"/>
  <c r="C148" i="3"/>
  <c r="BI147" i="3"/>
  <c r="BL147" i="3" s="1"/>
  <c r="BD147" i="3"/>
  <c r="BG147" i="3" s="1"/>
  <c r="AY147" i="3"/>
  <c r="BB147" i="3" s="1"/>
  <c r="AT147" i="3"/>
  <c r="AW147" i="3" s="1"/>
  <c r="AB147" i="3"/>
  <c r="AA147" i="3"/>
  <c r="Z147" i="3"/>
  <c r="Y147" i="3"/>
  <c r="X147" i="3"/>
  <c r="M147" i="3"/>
  <c r="H147" i="3"/>
  <c r="C147" i="3"/>
  <c r="BI146" i="3"/>
  <c r="BL146" i="3" s="1"/>
  <c r="BD146" i="3"/>
  <c r="BG146" i="3" s="1"/>
  <c r="AY146" i="3"/>
  <c r="BB146" i="3" s="1"/>
  <c r="AT146" i="3"/>
  <c r="AW146" i="3" s="1"/>
  <c r="AB146" i="3"/>
  <c r="AA146" i="3"/>
  <c r="Z146" i="3"/>
  <c r="Y146" i="3"/>
  <c r="X146" i="3"/>
  <c r="M146" i="3"/>
  <c r="H146" i="3"/>
  <c r="C146" i="3"/>
  <c r="BI145" i="3"/>
  <c r="BL145" i="3" s="1"/>
  <c r="BD145" i="3"/>
  <c r="BG145" i="3" s="1"/>
  <c r="AY145" i="3"/>
  <c r="BB145" i="3" s="1"/>
  <c r="AT145" i="3"/>
  <c r="AW145" i="3" s="1"/>
  <c r="AB145" i="3"/>
  <c r="AA145" i="3"/>
  <c r="Z145" i="3"/>
  <c r="Y145" i="3"/>
  <c r="X145" i="3"/>
  <c r="M145" i="3"/>
  <c r="H145" i="3"/>
  <c r="C145" i="3"/>
  <c r="BI144" i="3"/>
  <c r="BL144" i="3" s="1"/>
  <c r="BD144" i="3"/>
  <c r="BG144" i="3" s="1"/>
  <c r="AY144" i="3"/>
  <c r="BB144" i="3" s="1"/>
  <c r="AT144" i="3"/>
  <c r="AW144" i="3" s="1"/>
  <c r="AB144" i="3"/>
  <c r="AA144" i="3"/>
  <c r="Z144" i="3"/>
  <c r="Y144" i="3"/>
  <c r="X144" i="3"/>
  <c r="M144" i="3"/>
  <c r="H144" i="3"/>
  <c r="C144" i="3"/>
  <c r="BI143" i="3"/>
  <c r="BL143" i="3" s="1"/>
  <c r="BD143" i="3"/>
  <c r="BG143" i="3" s="1"/>
  <c r="AY143" i="3"/>
  <c r="BB143" i="3" s="1"/>
  <c r="AT143" i="3"/>
  <c r="AW143" i="3" s="1"/>
  <c r="AB143" i="3"/>
  <c r="AA143" i="3"/>
  <c r="Z143" i="3"/>
  <c r="Y143" i="3"/>
  <c r="X143" i="3"/>
  <c r="M143" i="3"/>
  <c r="H143" i="3"/>
  <c r="C143" i="3"/>
  <c r="BI142" i="3"/>
  <c r="BL142" i="3" s="1"/>
  <c r="BD142" i="3"/>
  <c r="BG142" i="3" s="1"/>
  <c r="AY142" i="3"/>
  <c r="BB142" i="3" s="1"/>
  <c r="AT142" i="3"/>
  <c r="AW142" i="3" s="1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BB125" i="3"/>
  <c r="AY125" i="3"/>
  <c r="AT125" i="3"/>
  <c r="AW125" i="3" s="1"/>
  <c r="AR125" i="3"/>
  <c r="AO125" i="3"/>
  <c r="AJ125" i="3"/>
  <c r="AM125" i="3" s="1"/>
  <c r="AB125" i="3"/>
  <c r="AA125" i="3"/>
  <c r="Z125" i="3"/>
  <c r="Y125" i="3"/>
  <c r="X125" i="3"/>
  <c r="M125" i="3"/>
  <c r="H125" i="3"/>
  <c r="C125" i="3"/>
  <c r="BL124" i="3"/>
  <c r="BI124" i="3"/>
  <c r="BD124" i="3"/>
  <c r="BG124" i="3" s="1"/>
  <c r="BB124" i="3"/>
  <c r="AY124" i="3"/>
  <c r="AT124" i="3"/>
  <c r="AW124" i="3" s="1"/>
  <c r="AR124" i="3"/>
  <c r="AO124" i="3"/>
  <c r="AJ124" i="3"/>
  <c r="AM124" i="3" s="1"/>
  <c r="AB124" i="3"/>
  <c r="AA124" i="3"/>
  <c r="Z124" i="3"/>
  <c r="Y124" i="3"/>
  <c r="X124" i="3"/>
  <c r="M124" i="3"/>
  <c r="H124" i="3"/>
  <c r="C124" i="3"/>
  <c r="BL123" i="3"/>
  <c r="BI123" i="3"/>
  <c r="BD123" i="3"/>
  <c r="BG123" i="3" s="1"/>
  <c r="BB123" i="3"/>
  <c r="AY123" i="3"/>
  <c r="AT123" i="3"/>
  <c r="AW123" i="3" s="1"/>
  <c r="AR123" i="3"/>
  <c r="AO123" i="3"/>
  <c r="AJ123" i="3"/>
  <c r="AM123" i="3" s="1"/>
  <c r="AB123" i="3"/>
  <c r="AA123" i="3"/>
  <c r="Z123" i="3"/>
  <c r="Y123" i="3"/>
  <c r="X123" i="3"/>
  <c r="M123" i="3"/>
  <c r="H123" i="3"/>
  <c r="C123" i="3"/>
  <c r="BL122" i="3"/>
  <c r="BI122" i="3"/>
  <c r="BD122" i="3"/>
  <c r="BG122" i="3" s="1"/>
  <c r="BB122" i="3"/>
  <c r="AY122" i="3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L121" i="3"/>
  <c r="BI121" i="3"/>
  <c r="BD121" i="3"/>
  <c r="BG121" i="3" s="1"/>
  <c r="BB121" i="3"/>
  <c r="AY121" i="3"/>
  <c r="AT121" i="3"/>
  <c r="AW121" i="3" s="1"/>
  <c r="AR121" i="3"/>
  <c r="AO121" i="3"/>
  <c r="AJ121" i="3"/>
  <c r="AM121" i="3" s="1"/>
  <c r="AB121" i="3"/>
  <c r="AA121" i="3"/>
  <c r="Z121" i="3"/>
  <c r="Y121" i="3"/>
  <c r="X121" i="3"/>
  <c r="M121" i="3"/>
  <c r="H121" i="3"/>
  <c r="C121" i="3"/>
  <c r="BL120" i="3"/>
  <c r="BI120" i="3"/>
  <c r="BD120" i="3"/>
  <c r="BG120" i="3" s="1"/>
  <c r="BB120" i="3"/>
  <c r="AY120" i="3"/>
  <c r="AT120" i="3"/>
  <c r="AW120" i="3" s="1"/>
  <c r="AR120" i="3"/>
  <c r="AO120" i="3"/>
  <c r="AJ120" i="3"/>
  <c r="AM120" i="3" s="1"/>
  <c r="AB120" i="3"/>
  <c r="AA120" i="3"/>
  <c r="Z120" i="3"/>
  <c r="Y120" i="3"/>
  <c r="X120" i="3"/>
  <c r="M120" i="3"/>
  <c r="H120" i="3"/>
  <c r="C120" i="3"/>
  <c r="BL119" i="3"/>
  <c r="BI119" i="3"/>
  <c r="BD119" i="3"/>
  <c r="BG119" i="3" s="1"/>
  <c r="BB119" i="3"/>
  <c r="AY119" i="3"/>
  <c r="AT119" i="3"/>
  <c r="AW119" i="3" s="1"/>
  <c r="AR119" i="3"/>
  <c r="AO119" i="3"/>
  <c r="AJ119" i="3"/>
  <c r="AM119" i="3" s="1"/>
  <c r="AB119" i="3"/>
  <c r="AA119" i="3"/>
  <c r="Z119" i="3"/>
  <c r="Y119" i="3"/>
  <c r="X119" i="3"/>
  <c r="M119" i="3"/>
  <c r="H119" i="3"/>
  <c r="C119" i="3"/>
  <c r="BL118" i="3"/>
  <c r="BI118" i="3"/>
  <c r="BD118" i="3"/>
  <c r="BG118" i="3" s="1"/>
  <c r="BB118" i="3"/>
  <c r="AY118" i="3"/>
  <c r="AT118" i="3"/>
  <c r="AW118" i="3" s="1"/>
  <c r="AR118" i="3"/>
  <c r="AO118" i="3"/>
  <c r="AJ118" i="3"/>
  <c r="AM118" i="3" s="1"/>
  <c r="AB118" i="3"/>
  <c r="AA118" i="3"/>
  <c r="Z118" i="3"/>
  <c r="Y118" i="3"/>
  <c r="X118" i="3"/>
  <c r="M118" i="3"/>
  <c r="H118" i="3"/>
  <c r="C118" i="3"/>
  <c r="BL117" i="3"/>
  <c r="BI117" i="3"/>
  <c r="BD117" i="3"/>
  <c r="BG117" i="3" s="1"/>
  <c r="BB117" i="3"/>
  <c r="AY117" i="3"/>
  <c r="AT117" i="3"/>
  <c r="AW117" i="3" s="1"/>
  <c r="AR117" i="3"/>
  <c r="AO117" i="3"/>
  <c r="AJ117" i="3"/>
  <c r="AM117" i="3" s="1"/>
  <c r="AB117" i="3"/>
  <c r="AA117" i="3"/>
  <c r="Z117" i="3"/>
  <c r="Y117" i="3"/>
  <c r="X117" i="3"/>
  <c r="M117" i="3"/>
  <c r="H117" i="3"/>
  <c r="C117" i="3"/>
  <c r="BL116" i="3"/>
  <c r="BI116" i="3"/>
  <c r="BD116" i="3"/>
  <c r="BG116" i="3" s="1"/>
  <c r="BB116" i="3"/>
  <c r="AY116" i="3"/>
  <c r="AT116" i="3"/>
  <c r="AW116" i="3" s="1"/>
  <c r="AR116" i="3"/>
  <c r="AO116" i="3"/>
  <c r="AJ116" i="3"/>
  <c r="AM116" i="3" s="1"/>
  <c r="AB116" i="3"/>
  <c r="AA116" i="3"/>
  <c r="Z116" i="3"/>
  <c r="Y116" i="3"/>
  <c r="X116" i="3"/>
  <c r="M116" i="3"/>
  <c r="H116" i="3"/>
  <c r="C116" i="3"/>
  <c r="BL115" i="3"/>
  <c r="BI115" i="3"/>
  <c r="BD115" i="3"/>
  <c r="BG115" i="3" s="1"/>
  <c r="BB115" i="3"/>
  <c r="AY115" i="3"/>
  <c r="AT115" i="3"/>
  <c r="AW115" i="3" s="1"/>
  <c r="AR115" i="3"/>
  <c r="AO115" i="3"/>
  <c r="AJ115" i="3"/>
  <c r="AM115" i="3" s="1"/>
  <c r="AB115" i="3"/>
  <c r="AA115" i="3"/>
  <c r="Z115" i="3"/>
  <c r="Y115" i="3"/>
  <c r="X115" i="3"/>
  <c r="M115" i="3"/>
  <c r="H115" i="3"/>
  <c r="C115" i="3"/>
  <c r="BL114" i="3"/>
  <c r="BI114" i="3"/>
  <c r="BD114" i="3"/>
  <c r="BG114" i="3" s="1"/>
  <c r="BB114" i="3"/>
  <c r="AY114" i="3"/>
  <c r="AT114" i="3"/>
  <c r="AW114" i="3" s="1"/>
  <c r="AR114" i="3"/>
  <c r="AO114" i="3"/>
  <c r="AJ114" i="3"/>
  <c r="AM114" i="3" s="1"/>
  <c r="AB114" i="3"/>
  <c r="AA114" i="3"/>
  <c r="Z114" i="3"/>
  <c r="Y114" i="3"/>
  <c r="X114" i="3"/>
  <c r="M114" i="3"/>
  <c r="H114" i="3"/>
  <c r="C114" i="3"/>
  <c r="BL113" i="3"/>
  <c r="BI113" i="3"/>
  <c r="BD113" i="3"/>
  <c r="BG113" i="3" s="1"/>
  <c r="BB113" i="3"/>
  <c r="AY113" i="3"/>
  <c r="AT113" i="3"/>
  <c r="AW113" i="3" s="1"/>
  <c r="AR113" i="3"/>
  <c r="AO113" i="3"/>
  <c r="AJ113" i="3"/>
  <c r="AM113" i="3" s="1"/>
  <c r="AB113" i="3"/>
  <c r="AA113" i="3"/>
  <c r="Z113" i="3"/>
  <c r="Y113" i="3"/>
  <c r="X113" i="3"/>
  <c r="M113" i="3"/>
  <c r="H113" i="3"/>
  <c r="C113" i="3"/>
  <c r="BL112" i="3"/>
  <c r="BI112" i="3"/>
  <c r="BD112" i="3"/>
  <c r="BG112" i="3" s="1"/>
  <c r="BB112" i="3"/>
  <c r="AY112" i="3"/>
  <c r="AT112" i="3"/>
  <c r="AW112" i="3" s="1"/>
  <c r="AR112" i="3"/>
  <c r="AO112" i="3"/>
  <c r="AJ112" i="3"/>
  <c r="AM112" i="3" s="1"/>
  <c r="AB112" i="3"/>
  <c r="AA112" i="3"/>
  <c r="Z112" i="3"/>
  <c r="Y112" i="3"/>
  <c r="X112" i="3"/>
  <c r="M112" i="3"/>
  <c r="H112" i="3"/>
  <c r="C112" i="3"/>
  <c r="BL111" i="3"/>
  <c r="BI111" i="3"/>
  <c r="BD111" i="3"/>
  <c r="BG111" i="3" s="1"/>
  <c r="BB111" i="3"/>
  <c r="AY111" i="3"/>
  <c r="AT111" i="3"/>
  <c r="AW111" i="3" s="1"/>
  <c r="AR111" i="3"/>
  <c r="AO111" i="3"/>
  <c r="AJ111" i="3"/>
  <c r="AM111" i="3" s="1"/>
  <c r="AB111" i="3"/>
  <c r="AA111" i="3"/>
  <c r="Z111" i="3"/>
  <c r="Y111" i="3"/>
  <c r="X111" i="3"/>
  <c r="M111" i="3"/>
  <c r="H111" i="3"/>
  <c r="C111" i="3"/>
  <c r="BL110" i="3"/>
  <c r="BI110" i="3"/>
  <c r="BD110" i="3"/>
  <c r="BG110" i="3" s="1"/>
  <c r="BB110" i="3"/>
  <c r="AY110" i="3"/>
  <c r="AT110" i="3"/>
  <c r="AW110" i="3" s="1"/>
  <c r="AR110" i="3"/>
  <c r="AO110" i="3"/>
  <c r="AJ110" i="3"/>
  <c r="AM110" i="3" s="1"/>
  <c r="AB110" i="3"/>
  <c r="AA110" i="3"/>
  <c r="Z110" i="3"/>
  <c r="Y110" i="3"/>
  <c r="X110" i="3"/>
  <c r="M110" i="3"/>
  <c r="H110" i="3"/>
  <c r="C110" i="3"/>
  <c r="BL109" i="3"/>
  <c r="BI109" i="3"/>
  <c r="BD109" i="3"/>
  <c r="BG109" i="3" s="1"/>
  <c r="BB109" i="3"/>
  <c r="AY109" i="3"/>
  <c r="AT109" i="3"/>
  <c r="AW109" i="3" s="1"/>
  <c r="AR109" i="3"/>
  <c r="AO109" i="3"/>
  <c r="AJ109" i="3"/>
  <c r="AM109" i="3" s="1"/>
  <c r="AB109" i="3"/>
  <c r="AA109" i="3"/>
  <c r="Z109" i="3"/>
  <c r="Y109" i="3"/>
  <c r="X109" i="3"/>
  <c r="M109" i="3"/>
  <c r="H109" i="3"/>
  <c r="C109" i="3"/>
  <c r="BL108" i="3"/>
  <c r="BI108" i="3"/>
  <c r="BD108" i="3"/>
  <c r="BG108" i="3" s="1"/>
  <c r="BB108" i="3"/>
  <c r="AY108" i="3"/>
  <c r="AT108" i="3"/>
  <c r="AW108" i="3" s="1"/>
  <c r="AR108" i="3"/>
  <c r="AO108" i="3"/>
  <c r="AJ108" i="3"/>
  <c r="AM108" i="3" s="1"/>
  <c r="AB108" i="3"/>
  <c r="AA108" i="3"/>
  <c r="Z108" i="3"/>
  <c r="Y108" i="3"/>
  <c r="X108" i="3"/>
  <c r="M108" i="3"/>
  <c r="H108" i="3"/>
  <c r="C108" i="3"/>
  <c r="BL107" i="3"/>
  <c r="BI107" i="3"/>
  <c r="BD107" i="3"/>
  <c r="BG107" i="3" s="1"/>
  <c r="BB107" i="3"/>
  <c r="AY107" i="3"/>
  <c r="AT107" i="3"/>
  <c r="AW107" i="3" s="1"/>
  <c r="AR107" i="3"/>
  <c r="AO107" i="3"/>
  <c r="AJ107" i="3"/>
  <c r="AM107" i="3" s="1"/>
  <c r="AB107" i="3"/>
  <c r="AA107" i="3"/>
  <c r="Z107" i="3"/>
  <c r="Y107" i="3"/>
  <c r="X107" i="3"/>
  <c r="M107" i="3"/>
  <c r="H107" i="3"/>
  <c r="C107" i="3"/>
  <c r="BL106" i="3"/>
  <c r="BI106" i="3"/>
  <c r="BD106" i="3"/>
  <c r="BG106" i="3" s="1"/>
  <c r="BB106" i="3"/>
  <c r="AY106" i="3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L105" i="3"/>
  <c r="BI105" i="3"/>
  <c r="BD105" i="3"/>
  <c r="BG105" i="3" s="1"/>
  <c r="BB105" i="3"/>
  <c r="AY105" i="3"/>
  <c r="AT105" i="3"/>
  <c r="AW105" i="3" s="1"/>
  <c r="AR105" i="3"/>
  <c r="AO105" i="3"/>
  <c r="AJ105" i="3"/>
  <c r="AM105" i="3" s="1"/>
  <c r="AB105" i="3"/>
  <c r="AA105" i="3"/>
  <c r="Z105" i="3"/>
  <c r="Y105" i="3"/>
  <c r="X105" i="3"/>
  <c r="M105" i="3"/>
  <c r="H105" i="3"/>
  <c r="C105" i="3"/>
  <c r="BL104" i="3"/>
  <c r="BI104" i="3"/>
  <c r="BD104" i="3"/>
  <c r="BG104" i="3" s="1"/>
  <c r="BB104" i="3"/>
  <c r="AY104" i="3"/>
  <c r="AT104" i="3"/>
  <c r="AW104" i="3" s="1"/>
  <c r="AR104" i="3"/>
  <c r="AO104" i="3"/>
  <c r="AJ104" i="3"/>
  <c r="AM104" i="3" s="1"/>
  <c r="AB104" i="3"/>
  <c r="AA104" i="3"/>
  <c r="Z104" i="3"/>
  <c r="Y104" i="3"/>
  <c r="X104" i="3"/>
  <c r="M104" i="3"/>
  <c r="H104" i="3"/>
  <c r="C104" i="3"/>
  <c r="BL103" i="3"/>
  <c r="BI103" i="3"/>
  <c r="BD103" i="3"/>
  <c r="BG103" i="3" s="1"/>
  <c r="BB103" i="3"/>
  <c r="AY103" i="3"/>
  <c r="AT103" i="3"/>
  <c r="AW103" i="3" s="1"/>
  <c r="AR103" i="3"/>
  <c r="AO103" i="3"/>
  <c r="AJ103" i="3"/>
  <c r="AM103" i="3" s="1"/>
  <c r="AB103" i="3"/>
  <c r="AA103" i="3"/>
  <c r="Z103" i="3"/>
  <c r="Y103" i="3"/>
  <c r="X103" i="3"/>
  <c r="M103" i="3"/>
  <c r="H103" i="3"/>
  <c r="C103" i="3"/>
  <c r="BL102" i="3"/>
  <c r="BI102" i="3"/>
  <c r="BD102" i="3"/>
  <c r="BG102" i="3" s="1"/>
  <c r="BB102" i="3"/>
  <c r="AY102" i="3"/>
  <c r="AT102" i="3"/>
  <c r="AW102" i="3" s="1"/>
  <c r="AR102" i="3"/>
  <c r="AO102" i="3"/>
  <c r="AJ102" i="3"/>
  <c r="AM102" i="3" s="1"/>
  <c r="AB102" i="3"/>
  <c r="AA102" i="3"/>
  <c r="Z102" i="3"/>
  <c r="Y102" i="3"/>
  <c r="X102" i="3"/>
  <c r="M102" i="3"/>
  <c r="H102" i="3"/>
  <c r="C102" i="3"/>
  <c r="BL101" i="3"/>
  <c r="BI101" i="3"/>
  <c r="BD101" i="3"/>
  <c r="BG101" i="3" s="1"/>
  <c r="BB101" i="3"/>
  <c r="AY101" i="3"/>
  <c r="AT101" i="3"/>
  <c r="AW101" i="3" s="1"/>
  <c r="AR101" i="3"/>
  <c r="AO101" i="3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BB100" i="3"/>
  <c r="AY100" i="3"/>
  <c r="AT100" i="3"/>
  <c r="AW100" i="3" s="1"/>
  <c r="AR100" i="3"/>
  <c r="AO100" i="3"/>
  <c r="AJ100" i="3"/>
  <c r="AM100" i="3" s="1"/>
  <c r="AB100" i="3"/>
  <c r="AA100" i="3"/>
  <c r="Z100" i="3"/>
  <c r="Y100" i="3"/>
  <c r="X100" i="3"/>
  <c r="M100" i="3"/>
  <c r="H100" i="3"/>
  <c r="C100" i="3"/>
  <c r="BL99" i="3"/>
  <c r="BI99" i="3"/>
  <c r="BD99" i="3"/>
  <c r="BG99" i="3" s="1"/>
  <c r="BB99" i="3"/>
  <c r="AY99" i="3"/>
  <c r="AT99" i="3"/>
  <c r="AW99" i="3" s="1"/>
  <c r="AR99" i="3"/>
  <c r="AO99" i="3"/>
  <c r="AJ99" i="3"/>
  <c r="AM99" i="3" s="1"/>
  <c r="AB99" i="3"/>
  <c r="AA99" i="3"/>
  <c r="Z99" i="3"/>
  <c r="Y99" i="3"/>
  <c r="X99" i="3"/>
  <c r="M99" i="3"/>
  <c r="H99" i="3"/>
  <c r="C99" i="3"/>
  <c r="BL98" i="3"/>
  <c r="BI98" i="3"/>
  <c r="BD98" i="3"/>
  <c r="BG98" i="3" s="1"/>
  <c r="BB98" i="3"/>
  <c r="AY98" i="3"/>
  <c r="AT98" i="3"/>
  <c r="AW98" i="3" s="1"/>
  <c r="AR98" i="3"/>
  <c r="AO98" i="3"/>
  <c r="AJ98" i="3"/>
  <c r="AM98" i="3" s="1"/>
  <c r="AB98" i="3"/>
  <c r="AA98" i="3"/>
  <c r="Z98" i="3"/>
  <c r="Y98" i="3"/>
  <c r="X98" i="3"/>
  <c r="M98" i="3"/>
  <c r="H98" i="3"/>
  <c r="C98" i="3"/>
  <c r="BL97" i="3"/>
  <c r="BI97" i="3"/>
  <c r="BD97" i="3"/>
  <c r="BG97" i="3" s="1"/>
  <c r="BB97" i="3"/>
  <c r="AY97" i="3"/>
  <c r="AT97" i="3"/>
  <c r="AW97" i="3" s="1"/>
  <c r="AR97" i="3"/>
  <c r="AO97" i="3"/>
  <c r="AJ97" i="3"/>
  <c r="AM97" i="3" s="1"/>
  <c r="AB97" i="3"/>
  <c r="AA97" i="3"/>
  <c r="Z97" i="3"/>
  <c r="Y97" i="3"/>
  <c r="X97" i="3"/>
  <c r="M97" i="3"/>
  <c r="H97" i="3"/>
  <c r="C97" i="3"/>
  <c r="BL96" i="3"/>
  <c r="BI96" i="3"/>
  <c r="BD96" i="3"/>
  <c r="BG96" i="3" s="1"/>
  <c r="BB96" i="3"/>
  <c r="AY96" i="3"/>
  <c r="AT96" i="3"/>
  <c r="AW96" i="3" s="1"/>
  <c r="AR96" i="3"/>
  <c r="AO96" i="3"/>
  <c r="AJ96" i="3"/>
  <c r="AM96" i="3" s="1"/>
  <c r="AB96" i="3"/>
  <c r="AA96" i="3"/>
  <c r="Z96" i="3"/>
  <c r="Y96" i="3"/>
  <c r="X96" i="3"/>
  <c r="M96" i="3"/>
  <c r="H96" i="3"/>
  <c r="C96" i="3"/>
  <c r="BL95" i="3"/>
  <c r="BI95" i="3"/>
  <c r="BD95" i="3"/>
  <c r="BG95" i="3" s="1"/>
  <c r="BB95" i="3"/>
  <c r="AY95" i="3"/>
  <c r="AT95" i="3"/>
  <c r="AW95" i="3" s="1"/>
  <c r="AR95" i="3"/>
  <c r="AO95" i="3"/>
  <c r="AJ95" i="3"/>
  <c r="AM95" i="3" s="1"/>
  <c r="AB95" i="3"/>
  <c r="AA95" i="3"/>
  <c r="Z95" i="3"/>
  <c r="Y95" i="3"/>
  <c r="X95" i="3"/>
  <c r="M95" i="3"/>
  <c r="H95" i="3"/>
  <c r="C95" i="3"/>
  <c r="BL94" i="3"/>
  <c r="BI94" i="3"/>
  <c r="BD94" i="3"/>
  <c r="BG94" i="3" s="1"/>
  <c r="BB94" i="3"/>
  <c r="AY94" i="3"/>
  <c r="AT94" i="3"/>
  <c r="AW94" i="3" s="1"/>
  <c r="AR94" i="3"/>
  <c r="AO94" i="3"/>
  <c r="AJ94" i="3"/>
  <c r="AM94" i="3" s="1"/>
  <c r="AB94" i="3"/>
  <c r="AA94" i="3"/>
  <c r="Z94" i="3"/>
  <c r="Y94" i="3"/>
  <c r="X94" i="3"/>
  <c r="M94" i="3"/>
  <c r="H94" i="3"/>
  <c r="C94" i="3"/>
  <c r="BL93" i="3"/>
  <c r="BI93" i="3"/>
  <c r="BD93" i="3"/>
  <c r="BG93" i="3" s="1"/>
  <c r="BB93" i="3"/>
  <c r="AY93" i="3"/>
  <c r="AT93" i="3"/>
  <c r="AW93" i="3" s="1"/>
  <c r="AR93" i="3"/>
  <c r="AO93" i="3"/>
  <c r="AJ93" i="3"/>
  <c r="AM93" i="3" s="1"/>
  <c r="AB93" i="3"/>
  <c r="AA93" i="3"/>
  <c r="Z93" i="3"/>
  <c r="Y93" i="3"/>
  <c r="X93" i="3"/>
  <c r="M93" i="3"/>
  <c r="H93" i="3"/>
  <c r="C93" i="3"/>
  <c r="BL92" i="3"/>
  <c r="BI92" i="3"/>
  <c r="BD92" i="3"/>
  <c r="BG92" i="3" s="1"/>
  <c r="BB92" i="3"/>
  <c r="AY92" i="3"/>
  <c r="AT92" i="3"/>
  <c r="AW92" i="3" s="1"/>
  <c r="AR92" i="3"/>
  <c r="AO92" i="3"/>
  <c r="AJ92" i="3"/>
  <c r="AM92" i="3" s="1"/>
  <c r="AB92" i="3"/>
  <c r="AA92" i="3"/>
  <c r="Z92" i="3"/>
  <c r="Y92" i="3"/>
  <c r="X92" i="3"/>
  <c r="M92" i="3"/>
  <c r="H92" i="3"/>
  <c r="C92" i="3"/>
  <c r="BL91" i="3"/>
  <c r="BI91" i="3"/>
  <c r="BD91" i="3"/>
  <c r="BG91" i="3" s="1"/>
  <c r="BB91" i="3"/>
  <c r="AY91" i="3"/>
  <c r="AT91" i="3"/>
  <c r="AW91" i="3" s="1"/>
  <c r="AR91" i="3"/>
  <c r="AO91" i="3"/>
  <c r="AJ91" i="3"/>
  <c r="AM91" i="3" s="1"/>
  <c r="AB91" i="3"/>
  <c r="AA91" i="3"/>
  <c r="Z91" i="3"/>
  <c r="Y91" i="3"/>
  <c r="X91" i="3"/>
  <c r="M91" i="3"/>
  <c r="H91" i="3"/>
  <c r="C91" i="3"/>
  <c r="BL90" i="3"/>
  <c r="BI90" i="3"/>
  <c r="BD90" i="3"/>
  <c r="BG90" i="3" s="1"/>
  <c r="BB90" i="3"/>
  <c r="AY90" i="3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L89" i="3"/>
  <c r="BI89" i="3"/>
  <c r="BD89" i="3"/>
  <c r="BG89" i="3" s="1"/>
  <c r="BB89" i="3"/>
  <c r="AY89" i="3"/>
  <c r="AT89" i="3"/>
  <c r="AW89" i="3" s="1"/>
  <c r="AR89" i="3"/>
  <c r="AO89" i="3"/>
  <c r="AJ89" i="3"/>
  <c r="AM89" i="3" s="1"/>
  <c r="AB89" i="3"/>
  <c r="AA89" i="3"/>
  <c r="Z89" i="3"/>
  <c r="Y89" i="3"/>
  <c r="X89" i="3"/>
  <c r="M89" i="3"/>
  <c r="H89" i="3"/>
  <c r="C89" i="3"/>
  <c r="BL88" i="3"/>
  <c r="BI88" i="3"/>
  <c r="BD88" i="3"/>
  <c r="BG88" i="3" s="1"/>
  <c r="BB88" i="3"/>
  <c r="AY88" i="3"/>
  <c r="AT88" i="3"/>
  <c r="AW88" i="3" s="1"/>
  <c r="AR88" i="3"/>
  <c r="AO88" i="3"/>
  <c r="AJ88" i="3"/>
  <c r="AM88" i="3" s="1"/>
  <c r="AB88" i="3"/>
  <c r="AA88" i="3"/>
  <c r="Z88" i="3"/>
  <c r="Y88" i="3"/>
  <c r="X88" i="3"/>
  <c r="M88" i="3"/>
  <c r="H88" i="3"/>
  <c r="C88" i="3"/>
  <c r="BL87" i="3"/>
  <c r="BI87" i="3"/>
  <c r="BD87" i="3"/>
  <c r="BG87" i="3" s="1"/>
  <c r="BB87" i="3"/>
  <c r="AY87" i="3"/>
  <c r="AT87" i="3"/>
  <c r="AW87" i="3" s="1"/>
  <c r="AR87" i="3"/>
  <c r="AO87" i="3"/>
  <c r="AJ87" i="3"/>
  <c r="AM87" i="3" s="1"/>
  <c r="AB87" i="3"/>
  <c r="AA87" i="3"/>
  <c r="Z87" i="3"/>
  <c r="Y87" i="3"/>
  <c r="X87" i="3"/>
  <c r="M87" i="3"/>
  <c r="H87" i="3"/>
  <c r="C87" i="3"/>
  <c r="BL86" i="3"/>
  <c r="BI86" i="3"/>
  <c r="BD86" i="3"/>
  <c r="BG86" i="3" s="1"/>
  <c r="BB86" i="3"/>
  <c r="AY86" i="3"/>
  <c r="AT86" i="3"/>
  <c r="AW86" i="3" s="1"/>
  <c r="AR86" i="3"/>
  <c r="AO86" i="3"/>
  <c r="AJ86" i="3"/>
  <c r="AM86" i="3" s="1"/>
  <c r="AB86" i="3"/>
  <c r="AA86" i="3"/>
  <c r="Z86" i="3"/>
  <c r="Y86" i="3"/>
  <c r="X86" i="3"/>
  <c r="M86" i="3"/>
  <c r="H86" i="3"/>
  <c r="C86" i="3"/>
  <c r="BL85" i="3"/>
  <c r="BI85" i="3"/>
  <c r="BD85" i="3"/>
  <c r="BG85" i="3" s="1"/>
  <c r="BB85" i="3"/>
  <c r="AY85" i="3"/>
  <c r="AT85" i="3"/>
  <c r="AW85" i="3" s="1"/>
  <c r="AR85" i="3"/>
  <c r="AO85" i="3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BB84" i="3"/>
  <c r="AY84" i="3"/>
  <c r="AT84" i="3"/>
  <c r="AW84" i="3" s="1"/>
  <c r="AR84" i="3"/>
  <c r="AO84" i="3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P9" i="12" s="1"/>
  <c r="D6" i="12" s="1"/>
  <c r="H10" i="12"/>
  <c r="C10" i="12"/>
  <c r="N3" i="12"/>
  <c r="B3" i="12"/>
  <c r="BI1005" i="3"/>
  <c r="BL1005" i="3" s="1"/>
  <c r="BD1005" i="3"/>
  <c r="BG1005" i="3" s="1"/>
  <c r="AY1005" i="3"/>
  <c r="BB1005" i="3" s="1"/>
  <c r="AT1005" i="3"/>
  <c r="AW1005" i="3" s="1"/>
  <c r="AO1005" i="3"/>
  <c r="AR1005" i="3" s="1"/>
  <c r="BI1004" i="3"/>
  <c r="BL1004" i="3" s="1"/>
  <c r="BG1004" i="3"/>
  <c r="BD1004" i="3"/>
  <c r="AY1004" i="3"/>
  <c r="BB1004" i="3" s="1"/>
  <c r="AT1004" i="3"/>
  <c r="AW1004" i="3" s="1"/>
  <c r="AJ1004" i="3"/>
  <c r="AM1004" i="3" s="1"/>
  <c r="BI1003" i="3"/>
  <c r="BL1003" i="3" s="1"/>
  <c r="BD1003" i="3"/>
  <c r="BG1003" i="3" s="1"/>
  <c r="AY1003" i="3"/>
  <c r="BB1003" i="3" s="1"/>
  <c r="AW1003" i="3"/>
  <c r="AT1003" i="3"/>
  <c r="BI1002" i="3"/>
  <c r="BL1002" i="3" s="1"/>
  <c r="BD1002" i="3"/>
  <c r="BG1002" i="3" s="1"/>
  <c r="AY1002" i="3"/>
  <c r="BB1002" i="3" s="1"/>
  <c r="AT1002" i="3"/>
  <c r="AW1002" i="3" s="1"/>
  <c r="BI1001" i="3"/>
  <c r="BL1001" i="3" s="1"/>
  <c r="BD1001" i="3"/>
  <c r="BG1001" i="3" s="1"/>
  <c r="AY1001" i="3"/>
  <c r="BB1001" i="3" s="1"/>
  <c r="AT1001" i="3"/>
  <c r="AW1001" i="3" s="1"/>
  <c r="AO1001" i="3"/>
  <c r="AR1001" i="3" s="1"/>
  <c r="BI1000" i="3"/>
  <c r="BL1000" i="3" s="1"/>
  <c r="BG1000" i="3"/>
  <c r="BD1000" i="3"/>
  <c r="AY1000" i="3"/>
  <c r="BB1000" i="3" s="1"/>
  <c r="AT1000" i="3"/>
  <c r="AW1000" i="3" s="1"/>
  <c r="BI999" i="3"/>
  <c r="BL999" i="3" s="1"/>
  <c r="BD999" i="3"/>
  <c r="BG999" i="3" s="1"/>
  <c r="AY999" i="3"/>
  <c r="BB999" i="3" s="1"/>
  <c r="AW999" i="3"/>
  <c r="AT999" i="3"/>
  <c r="AO999" i="3"/>
  <c r="AR999" i="3" s="1"/>
  <c r="BI998" i="3"/>
  <c r="BL998" i="3" s="1"/>
  <c r="BD998" i="3"/>
  <c r="BG998" i="3" s="1"/>
  <c r="AY998" i="3"/>
  <c r="BB998" i="3" s="1"/>
  <c r="AT998" i="3"/>
  <c r="AW998" i="3" s="1"/>
  <c r="AO998" i="3"/>
  <c r="AR998" i="3" s="1"/>
  <c r="BI997" i="3"/>
  <c r="BL997" i="3" s="1"/>
  <c r="BD997" i="3"/>
  <c r="BG997" i="3" s="1"/>
  <c r="AY997" i="3"/>
  <c r="BB997" i="3" s="1"/>
  <c r="AT997" i="3"/>
  <c r="AW997" i="3" s="1"/>
  <c r="BI996" i="3"/>
  <c r="BL996" i="3" s="1"/>
  <c r="BG996" i="3"/>
  <c r="BD996" i="3"/>
  <c r="AY996" i="3"/>
  <c r="BB996" i="3" s="1"/>
  <c r="AT996" i="3"/>
  <c r="AW996" i="3" s="1"/>
  <c r="BI995" i="3"/>
  <c r="BL995" i="3" s="1"/>
  <c r="BD995" i="3"/>
  <c r="BG995" i="3" s="1"/>
  <c r="AY995" i="3"/>
  <c r="BB995" i="3" s="1"/>
  <c r="AW995" i="3"/>
  <c r="AT995" i="3"/>
  <c r="BI994" i="3"/>
  <c r="BL994" i="3" s="1"/>
  <c r="BD994" i="3"/>
  <c r="BG994" i="3" s="1"/>
  <c r="AY994" i="3"/>
  <c r="BB994" i="3" s="1"/>
  <c r="AT994" i="3"/>
  <c r="AW994" i="3" s="1"/>
  <c r="BI993" i="3"/>
  <c r="BL993" i="3" s="1"/>
  <c r="BD993" i="3"/>
  <c r="BG993" i="3" s="1"/>
  <c r="AY993" i="3"/>
  <c r="BB993" i="3" s="1"/>
  <c r="AT993" i="3"/>
  <c r="AW993" i="3" s="1"/>
  <c r="AO993" i="3"/>
  <c r="AR993" i="3" s="1"/>
  <c r="BI992" i="3"/>
  <c r="BL992" i="3" s="1"/>
  <c r="BG992" i="3"/>
  <c r="BD992" i="3"/>
  <c r="AY992" i="3"/>
  <c r="BB992" i="3" s="1"/>
  <c r="AT992" i="3"/>
  <c r="AW992" i="3" s="1"/>
  <c r="BI991" i="3"/>
  <c r="BL991" i="3" s="1"/>
  <c r="BD991" i="3"/>
  <c r="BG991" i="3" s="1"/>
  <c r="AY991" i="3"/>
  <c r="BB991" i="3" s="1"/>
  <c r="AW991" i="3"/>
  <c r="AT991" i="3"/>
  <c r="AJ991" i="3"/>
  <c r="AM991" i="3" s="1"/>
  <c r="BI990" i="3"/>
  <c r="BL990" i="3" s="1"/>
  <c r="BD990" i="3"/>
  <c r="BG990" i="3" s="1"/>
  <c r="AY990" i="3"/>
  <c r="BB990" i="3" s="1"/>
  <c r="AT990" i="3"/>
  <c r="AW990" i="3" s="1"/>
  <c r="BI989" i="3"/>
  <c r="BL989" i="3" s="1"/>
  <c r="BD989" i="3"/>
  <c r="BG989" i="3" s="1"/>
  <c r="AY989" i="3"/>
  <c r="BB989" i="3" s="1"/>
  <c r="AT989" i="3"/>
  <c r="AW989" i="3" s="1"/>
  <c r="BI988" i="3"/>
  <c r="BL988" i="3" s="1"/>
  <c r="BG988" i="3"/>
  <c r="BD988" i="3"/>
  <c r="AY988" i="3"/>
  <c r="BB988" i="3" s="1"/>
  <c r="AT988" i="3"/>
  <c r="AW988" i="3" s="1"/>
  <c r="BI987" i="3"/>
  <c r="BL987" i="3" s="1"/>
  <c r="BD987" i="3"/>
  <c r="BG987" i="3" s="1"/>
  <c r="AY987" i="3"/>
  <c r="BB987" i="3" s="1"/>
  <c r="AW987" i="3"/>
  <c r="AT987" i="3"/>
  <c r="BI986" i="3"/>
  <c r="BL986" i="3" s="1"/>
  <c r="BD986" i="3"/>
  <c r="BG986" i="3" s="1"/>
  <c r="AY986" i="3"/>
  <c r="BB986" i="3" s="1"/>
  <c r="AT986" i="3"/>
  <c r="AW986" i="3" s="1"/>
  <c r="BI985" i="3"/>
  <c r="BL985" i="3" s="1"/>
  <c r="BD985" i="3"/>
  <c r="BG985" i="3" s="1"/>
  <c r="AY985" i="3"/>
  <c r="BB985" i="3" s="1"/>
  <c r="AT985" i="3"/>
  <c r="AW985" i="3" s="1"/>
  <c r="AO985" i="3"/>
  <c r="AR985" i="3" s="1"/>
  <c r="BI984" i="3"/>
  <c r="BL984" i="3" s="1"/>
  <c r="BG984" i="3"/>
  <c r="BD984" i="3"/>
  <c r="AY984" i="3"/>
  <c r="BB984" i="3" s="1"/>
  <c r="AT984" i="3"/>
  <c r="AW984" i="3" s="1"/>
  <c r="BI983" i="3"/>
  <c r="BL983" i="3" s="1"/>
  <c r="BD983" i="3"/>
  <c r="BG983" i="3" s="1"/>
  <c r="AY983" i="3"/>
  <c r="BB983" i="3" s="1"/>
  <c r="AW983" i="3"/>
  <c r="AT983" i="3"/>
  <c r="BI982" i="3"/>
  <c r="BL982" i="3" s="1"/>
  <c r="BD982" i="3"/>
  <c r="BG982" i="3" s="1"/>
  <c r="AY982" i="3"/>
  <c r="BB982" i="3" s="1"/>
  <c r="AT982" i="3"/>
  <c r="AW982" i="3" s="1"/>
  <c r="BI981" i="3"/>
  <c r="BL981" i="3" s="1"/>
  <c r="BD981" i="3"/>
  <c r="BG981" i="3" s="1"/>
  <c r="AY981" i="3"/>
  <c r="BB981" i="3" s="1"/>
  <c r="AT981" i="3"/>
  <c r="AW981" i="3" s="1"/>
  <c r="BI980" i="3"/>
  <c r="BL980" i="3" s="1"/>
  <c r="BG980" i="3"/>
  <c r="BD980" i="3"/>
  <c r="AY980" i="3"/>
  <c r="BB980" i="3" s="1"/>
  <c r="AT980" i="3"/>
  <c r="AW980" i="3" s="1"/>
  <c r="BI979" i="3"/>
  <c r="BL979" i="3" s="1"/>
  <c r="BD979" i="3"/>
  <c r="BG979" i="3" s="1"/>
  <c r="AY979" i="3"/>
  <c r="BB979" i="3" s="1"/>
  <c r="AW979" i="3"/>
  <c r="AT979" i="3"/>
  <c r="BI978" i="3"/>
  <c r="BL978" i="3" s="1"/>
  <c r="BD978" i="3"/>
  <c r="BG978" i="3" s="1"/>
  <c r="AY978" i="3"/>
  <c r="BB978" i="3" s="1"/>
  <c r="AT978" i="3"/>
  <c r="AW978" i="3" s="1"/>
  <c r="BI977" i="3"/>
  <c r="BL977" i="3" s="1"/>
  <c r="BD977" i="3"/>
  <c r="BG977" i="3" s="1"/>
  <c r="AY977" i="3"/>
  <c r="BB977" i="3" s="1"/>
  <c r="AT977" i="3"/>
  <c r="AW977" i="3" s="1"/>
  <c r="BI976" i="3"/>
  <c r="BL976" i="3" s="1"/>
  <c r="BG976" i="3"/>
  <c r="BD976" i="3"/>
  <c r="AY976" i="3"/>
  <c r="BB976" i="3" s="1"/>
  <c r="AT976" i="3"/>
  <c r="AW976" i="3" s="1"/>
  <c r="BI975" i="3"/>
  <c r="BL975" i="3" s="1"/>
  <c r="BD975" i="3"/>
  <c r="BG975" i="3" s="1"/>
  <c r="AY975" i="3"/>
  <c r="BB975" i="3" s="1"/>
  <c r="AW975" i="3"/>
  <c r="AT975" i="3"/>
  <c r="BI974" i="3"/>
  <c r="BL974" i="3" s="1"/>
  <c r="BD974" i="3"/>
  <c r="BG974" i="3" s="1"/>
  <c r="AY974" i="3"/>
  <c r="BB974" i="3" s="1"/>
  <c r="AT974" i="3"/>
  <c r="AW974" i="3" s="1"/>
  <c r="BI973" i="3"/>
  <c r="BL973" i="3" s="1"/>
  <c r="BD973" i="3"/>
  <c r="BG973" i="3" s="1"/>
  <c r="AY973" i="3"/>
  <c r="BB973" i="3" s="1"/>
  <c r="AT973" i="3"/>
  <c r="AW973" i="3" s="1"/>
  <c r="BI972" i="3"/>
  <c r="BL972" i="3" s="1"/>
  <c r="BG972" i="3"/>
  <c r="BD972" i="3"/>
  <c r="AY972" i="3"/>
  <c r="BB972" i="3" s="1"/>
  <c r="AT972" i="3"/>
  <c r="AW972" i="3" s="1"/>
  <c r="BI971" i="3"/>
  <c r="BL971" i="3" s="1"/>
  <c r="BD971" i="3"/>
  <c r="BG971" i="3" s="1"/>
  <c r="AY971" i="3"/>
  <c r="BB971" i="3" s="1"/>
  <c r="AT971" i="3"/>
  <c r="AW971" i="3" s="1"/>
  <c r="BI970" i="3"/>
  <c r="BL970" i="3" s="1"/>
  <c r="BG970" i="3"/>
  <c r="BD970" i="3"/>
  <c r="AY970" i="3"/>
  <c r="BB970" i="3" s="1"/>
  <c r="AT970" i="3"/>
  <c r="AW970" i="3" s="1"/>
  <c r="AO970" i="3"/>
  <c r="AR970" i="3" s="1"/>
  <c r="BI969" i="3"/>
  <c r="BL969" i="3" s="1"/>
  <c r="BD969" i="3"/>
  <c r="BG969" i="3" s="1"/>
  <c r="AY969" i="3"/>
  <c r="BB969" i="3" s="1"/>
  <c r="AT969" i="3"/>
  <c r="AW969" i="3" s="1"/>
  <c r="BI968" i="3"/>
  <c r="BL968" i="3" s="1"/>
  <c r="BD968" i="3"/>
  <c r="BG968" i="3" s="1"/>
  <c r="AY968" i="3"/>
  <c r="BB968" i="3" s="1"/>
  <c r="AT968" i="3"/>
  <c r="AW968" i="3" s="1"/>
  <c r="BI967" i="3"/>
  <c r="BL967" i="3" s="1"/>
  <c r="BD967" i="3"/>
  <c r="BG967" i="3" s="1"/>
  <c r="AY967" i="3"/>
  <c r="BB967" i="3" s="1"/>
  <c r="AW967" i="3"/>
  <c r="AT967" i="3"/>
  <c r="AO967" i="3"/>
  <c r="AR967" i="3" s="1"/>
  <c r="BI966" i="3"/>
  <c r="BL966" i="3" s="1"/>
  <c r="BD966" i="3"/>
  <c r="BG966" i="3" s="1"/>
  <c r="AY966" i="3"/>
  <c r="BB966" i="3" s="1"/>
  <c r="AT966" i="3"/>
  <c r="AW966" i="3" s="1"/>
  <c r="AO966" i="3"/>
  <c r="AR966" i="3" s="1"/>
  <c r="BI965" i="3"/>
  <c r="BL965" i="3" s="1"/>
  <c r="BD965" i="3"/>
  <c r="BG965" i="3" s="1"/>
  <c r="AY965" i="3"/>
  <c r="BB965" i="3" s="1"/>
  <c r="AW965" i="3"/>
  <c r="AT965" i="3"/>
  <c r="BI964" i="3"/>
  <c r="BL964" i="3" s="1"/>
  <c r="BD964" i="3"/>
  <c r="BG964" i="3" s="1"/>
  <c r="AY964" i="3"/>
  <c r="BB964" i="3" s="1"/>
  <c r="AT964" i="3"/>
  <c r="AW964" i="3" s="1"/>
  <c r="BI963" i="3"/>
  <c r="BL963" i="3" s="1"/>
  <c r="BD963" i="3"/>
  <c r="BG963" i="3" s="1"/>
  <c r="AY963" i="3"/>
  <c r="BB963" i="3" s="1"/>
  <c r="AT963" i="3"/>
  <c r="AW963" i="3" s="1"/>
  <c r="BI962" i="3"/>
  <c r="BL962" i="3" s="1"/>
  <c r="BD962" i="3"/>
  <c r="BG962" i="3" s="1"/>
  <c r="AY962" i="3"/>
  <c r="BB962" i="3" s="1"/>
  <c r="AT962" i="3"/>
  <c r="AW962" i="3" s="1"/>
  <c r="BI961" i="3"/>
  <c r="BL961" i="3" s="1"/>
  <c r="BD961" i="3"/>
  <c r="BG961" i="3" s="1"/>
  <c r="AY961" i="3"/>
  <c r="BB961" i="3" s="1"/>
  <c r="AT961" i="3"/>
  <c r="AW961" i="3" s="1"/>
  <c r="BI960" i="3"/>
  <c r="BL960" i="3" s="1"/>
  <c r="BD960" i="3"/>
  <c r="BG960" i="3" s="1"/>
  <c r="AY960" i="3"/>
  <c r="BB960" i="3" s="1"/>
  <c r="AT960" i="3"/>
  <c r="AW960" i="3" s="1"/>
  <c r="AO960" i="3"/>
  <c r="AR960" i="3" s="1"/>
  <c r="BI959" i="3"/>
  <c r="BL959" i="3" s="1"/>
  <c r="BD959" i="3"/>
  <c r="BG959" i="3" s="1"/>
  <c r="AY959" i="3"/>
  <c r="BB959" i="3" s="1"/>
  <c r="AT959" i="3"/>
  <c r="AW959" i="3" s="1"/>
  <c r="AO959" i="3"/>
  <c r="AR959" i="3" s="1"/>
  <c r="BI958" i="3"/>
  <c r="BL958" i="3" s="1"/>
  <c r="BD958" i="3"/>
  <c r="BG958" i="3" s="1"/>
  <c r="AY958" i="3"/>
  <c r="BB958" i="3" s="1"/>
  <c r="AT958" i="3"/>
  <c r="AW958" i="3" s="1"/>
  <c r="BI957" i="3"/>
  <c r="BL957" i="3" s="1"/>
  <c r="BD957" i="3"/>
  <c r="BG957" i="3" s="1"/>
  <c r="AY957" i="3"/>
  <c r="BB957" i="3" s="1"/>
  <c r="AT957" i="3"/>
  <c r="AW957" i="3" s="1"/>
  <c r="BI956" i="3"/>
  <c r="BL956" i="3" s="1"/>
  <c r="BG956" i="3"/>
  <c r="BD956" i="3"/>
  <c r="AY956" i="3"/>
  <c r="BB956" i="3" s="1"/>
  <c r="AT956" i="3"/>
  <c r="AW956" i="3" s="1"/>
  <c r="BI955" i="3"/>
  <c r="BL955" i="3" s="1"/>
  <c r="BD955" i="3"/>
  <c r="BG955" i="3" s="1"/>
  <c r="AY955" i="3"/>
  <c r="BB955" i="3" s="1"/>
  <c r="AT955" i="3"/>
  <c r="AW955" i="3" s="1"/>
  <c r="BI954" i="3"/>
  <c r="BL954" i="3" s="1"/>
  <c r="BG954" i="3"/>
  <c r="BD954" i="3"/>
  <c r="AY954" i="3"/>
  <c r="BB954" i="3" s="1"/>
  <c r="AT954" i="3"/>
  <c r="AW954" i="3" s="1"/>
  <c r="AO954" i="3"/>
  <c r="AR954" i="3" s="1"/>
  <c r="AJ954" i="3"/>
  <c r="AM954" i="3" s="1"/>
  <c r="BI953" i="3"/>
  <c r="BL953" i="3" s="1"/>
  <c r="BD953" i="3"/>
  <c r="BG953" i="3" s="1"/>
  <c r="AY953" i="3"/>
  <c r="BB953" i="3" s="1"/>
  <c r="AT953" i="3"/>
  <c r="AW953" i="3" s="1"/>
  <c r="BI952" i="3"/>
  <c r="BL952" i="3" s="1"/>
  <c r="BD952" i="3"/>
  <c r="BG952" i="3" s="1"/>
  <c r="AY952" i="3"/>
  <c r="BB952" i="3" s="1"/>
  <c r="AT952" i="3"/>
  <c r="AW952" i="3" s="1"/>
  <c r="BI951" i="3"/>
  <c r="BL951" i="3" s="1"/>
  <c r="BD951" i="3"/>
  <c r="BG951" i="3" s="1"/>
  <c r="AY951" i="3"/>
  <c r="BB951" i="3" s="1"/>
  <c r="AT951" i="3"/>
  <c r="AW951" i="3" s="1"/>
  <c r="BI950" i="3"/>
  <c r="BL950" i="3" s="1"/>
  <c r="BD950" i="3"/>
  <c r="BG950" i="3" s="1"/>
  <c r="AY950" i="3"/>
  <c r="BB950" i="3" s="1"/>
  <c r="AT950" i="3"/>
  <c r="AW950" i="3" s="1"/>
  <c r="AO950" i="3"/>
  <c r="AR950" i="3" s="1"/>
  <c r="BI949" i="3"/>
  <c r="BL949" i="3" s="1"/>
  <c r="BD949" i="3"/>
  <c r="BG949" i="3" s="1"/>
  <c r="AY949" i="3"/>
  <c r="BB949" i="3" s="1"/>
  <c r="AT949" i="3"/>
  <c r="AW949" i="3" s="1"/>
  <c r="BI948" i="3"/>
  <c r="BL948" i="3" s="1"/>
  <c r="BG948" i="3"/>
  <c r="BD948" i="3"/>
  <c r="AY948" i="3"/>
  <c r="BB948" i="3" s="1"/>
  <c r="AT948" i="3"/>
  <c r="AW948" i="3" s="1"/>
  <c r="BI947" i="3"/>
  <c r="BL947" i="3" s="1"/>
  <c r="BD947" i="3"/>
  <c r="BG947" i="3" s="1"/>
  <c r="AY947" i="3"/>
  <c r="BB947" i="3" s="1"/>
  <c r="AT947" i="3"/>
  <c r="AW947" i="3" s="1"/>
  <c r="BI946" i="3"/>
  <c r="BL946" i="3" s="1"/>
  <c r="BD946" i="3"/>
  <c r="BG946" i="3" s="1"/>
  <c r="AY946" i="3"/>
  <c r="BB946" i="3" s="1"/>
  <c r="AT946" i="3"/>
  <c r="AW946" i="3" s="1"/>
  <c r="BI945" i="3"/>
  <c r="BL945" i="3" s="1"/>
  <c r="BD945" i="3"/>
  <c r="BG945" i="3" s="1"/>
  <c r="AY945" i="3"/>
  <c r="BB945" i="3" s="1"/>
  <c r="AT945" i="3"/>
  <c r="AW945" i="3" s="1"/>
  <c r="AJ945" i="3"/>
  <c r="AM945" i="3" s="1"/>
  <c r="BI944" i="3"/>
  <c r="BL944" i="3" s="1"/>
  <c r="BD944" i="3"/>
  <c r="BG944" i="3" s="1"/>
  <c r="AY944" i="3"/>
  <c r="BB944" i="3" s="1"/>
  <c r="AT944" i="3"/>
  <c r="AW944" i="3" s="1"/>
  <c r="AO944" i="3"/>
  <c r="AR944" i="3" s="1"/>
  <c r="BI943" i="3"/>
  <c r="BL943" i="3" s="1"/>
  <c r="BD943" i="3"/>
  <c r="BG943" i="3" s="1"/>
  <c r="AY943" i="3"/>
  <c r="BB943" i="3" s="1"/>
  <c r="AT943" i="3"/>
  <c r="AW943" i="3" s="1"/>
  <c r="BI942" i="3"/>
  <c r="BL942" i="3" s="1"/>
  <c r="BD942" i="3"/>
  <c r="BG942" i="3" s="1"/>
  <c r="AY942" i="3"/>
  <c r="BB942" i="3" s="1"/>
  <c r="AT942" i="3"/>
  <c r="AW942" i="3" s="1"/>
  <c r="BI941" i="3"/>
  <c r="BL941" i="3" s="1"/>
  <c r="BD941" i="3"/>
  <c r="BG941" i="3" s="1"/>
  <c r="AY941" i="3"/>
  <c r="BB941" i="3" s="1"/>
  <c r="AT941" i="3"/>
  <c r="AW941" i="3" s="1"/>
  <c r="BI940" i="3"/>
  <c r="BL940" i="3" s="1"/>
  <c r="BD940" i="3"/>
  <c r="BG940" i="3" s="1"/>
  <c r="AY940" i="3"/>
  <c r="BB940" i="3" s="1"/>
  <c r="AT940" i="3"/>
  <c r="AW940" i="3" s="1"/>
  <c r="AO940" i="3"/>
  <c r="AR940" i="3" s="1"/>
  <c r="BI939" i="3"/>
  <c r="BL939" i="3" s="1"/>
  <c r="BD939" i="3"/>
  <c r="BG939" i="3" s="1"/>
  <c r="AY939" i="3"/>
  <c r="BB939" i="3" s="1"/>
  <c r="AT939" i="3"/>
  <c r="AW939" i="3" s="1"/>
  <c r="BI938" i="3"/>
  <c r="BL938" i="3" s="1"/>
  <c r="BD938" i="3"/>
  <c r="BG938" i="3" s="1"/>
  <c r="AY938" i="3"/>
  <c r="BB938" i="3" s="1"/>
  <c r="AT938" i="3"/>
  <c r="AW938" i="3" s="1"/>
  <c r="BI937" i="3"/>
  <c r="BL937" i="3" s="1"/>
  <c r="BD937" i="3"/>
  <c r="BG937" i="3" s="1"/>
  <c r="AY937" i="3"/>
  <c r="BB937" i="3" s="1"/>
  <c r="AT937" i="3"/>
  <c r="AW937" i="3" s="1"/>
  <c r="BI936" i="3"/>
  <c r="BL936" i="3" s="1"/>
  <c r="BD936" i="3"/>
  <c r="BG936" i="3" s="1"/>
  <c r="AY936" i="3"/>
  <c r="BB936" i="3" s="1"/>
  <c r="AT936" i="3"/>
  <c r="AW936" i="3" s="1"/>
  <c r="BI935" i="3"/>
  <c r="BL935" i="3" s="1"/>
  <c r="BD935" i="3"/>
  <c r="BG935" i="3" s="1"/>
  <c r="AY935" i="3"/>
  <c r="BB935" i="3" s="1"/>
  <c r="AT935" i="3"/>
  <c r="AW935" i="3" s="1"/>
  <c r="AJ935" i="3"/>
  <c r="AM935" i="3" s="1"/>
  <c r="BI934" i="3"/>
  <c r="BL934" i="3" s="1"/>
  <c r="BD934" i="3"/>
  <c r="BG934" i="3" s="1"/>
  <c r="AY934" i="3"/>
  <c r="BB934" i="3" s="1"/>
  <c r="AT934" i="3"/>
  <c r="AW934" i="3" s="1"/>
  <c r="AO934" i="3"/>
  <c r="AR934" i="3" s="1"/>
  <c r="BI933" i="3"/>
  <c r="BL933" i="3" s="1"/>
  <c r="BD933" i="3"/>
  <c r="BG933" i="3" s="1"/>
  <c r="AY933" i="3"/>
  <c r="BB933" i="3" s="1"/>
  <c r="AT933" i="3"/>
  <c r="AW933" i="3" s="1"/>
  <c r="BI932" i="3"/>
  <c r="BL932" i="3" s="1"/>
  <c r="BD932" i="3"/>
  <c r="BG932" i="3" s="1"/>
  <c r="AY932" i="3"/>
  <c r="BB932" i="3" s="1"/>
  <c r="AT932" i="3"/>
  <c r="AW932" i="3" s="1"/>
  <c r="BI931" i="3"/>
  <c r="BL931" i="3" s="1"/>
  <c r="BD931" i="3"/>
  <c r="BG931" i="3" s="1"/>
  <c r="AY931" i="3"/>
  <c r="BB931" i="3" s="1"/>
  <c r="AT931" i="3"/>
  <c r="AW931" i="3" s="1"/>
  <c r="BI930" i="3"/>
  <c r="BL930" i="3" s="1"/>
  <c r="BD930" i="3"/>
  <c r="BG930" i="3" s="1"/>
  <c r="AY930" i="3"/>
  <c r="BB930" i="3" s="1"/>
  <c r="AT930" i="3"/>
  <c r="AW930" i="3" s="1"/>
  <c r="BI929" i="3"/>
  <c r="BL929" i="3" s="1"/>
  <c r="BD929" i="3"/>
  <c r="BG929" i="3" s="1"/>
  <c r="AY929" i="3"/>
  <c r="BB929" i="3" s="1"/>
  <c r="AT929" i="3"/>
  <c r="AW929" i="3" s="1"/>
  <c r="BI928" i="3"/>
  <c r="BL928" i="3" s="1"/>
  <c r="BD928" i="3"/>
  <c r="BG928" i="3" s="1"/>
  <c r="AY928" i="3"/>
  <c r="BB928" i="3" s="1"/>
  <c r="AT928" i="3"/>
  <c r="AW928" i="3" s="1"/>
  <c r="BI927" i="3"/>
  <c r="BL927" i="3" s="1"/>
  <c r="BD927" i="3"/>
  <c r="BG927" i="3" s="1"/>
  <c r="AY927" i="3"/>
  <c r="BB927" i="3" s="1"/>
  <c r="AT927" i="3"/>
  <c r="AW927" i="3" s="1"/>
  <c r="BI926" i="3"/>
  <c r="BL926" i="3" s="1"/>
  <c r="BD926" i="3"/>
  <c r="BG926" i="3" s="1"/>
  <c r="AY926" i="3"/>
  <c r="BB926" i="3" s="1"/>
  <c r="AT926" i="3"/>
  <c r="AW926" i="3" s="1"/>
  <c r="AO926" i="3"/>
  <c r="AR926" i="3" s="1"/>
  <c r="BI925" i="3"/>
  <c r="BL925" i="3" s="1"/>
  <c r="BD925" i="3"/>
  <c r="BG925" i="3" s="1"/>
  <c r="AY925" i="3"/>
  <c r="BB925" i="3" s="1"/>
  <c r="AT925" i="3"/>
  <c r="AW925" i="3" s="1"/>
  <c r="AO925" i="3"/>
  <c r="AR925" i="3" s="1"/>
  <c r="BI924" i="3"/>
  <c r="BL924" i="3" s="1"/>
  <c r="BD924" i="3"/>
  <c r="BG924" i="3" s="1"/>
  <c r="AY924" i="3"/>
  <c r="BB924" i="3" s="1"/>
  <c r="AT924" i="3"/>
  <c r="AW924" i="3" s="1"/>
  <c r="BI923" i="3"/>
  <c r="BL923" i="3" s="1"/>
  <c r="BD923" i="3"/>
  <c r="BG923" i="3" s="1"/>
  <c r="AY923" i="3"/>
  <c r="BB923" i="3" s="1"/>
  <c r="AT923" i="3"/>
  <c r="AW923" i="3" s="1"/>
  <c r="BI922" i="3"/>
  <c r="BL922" i="3" s="1"/>
  <c r="BD922" i="3"/>
  <c r="BG922" i="3" s="1"/>
  <c r="AY922" i="3"/>
  <c r="BB922" i="3" s="1"/>
  <c r="AT922" i="3"/>
  <c r="AW922" i="3" s="1"/>
  <c r="BI921" i="3"/>
  <c r="BL921" i="3" s="1"/>
  <c r="BD921" i="3"/>
  <c r="BG921" i="3" s="1"/>
  <c r="AY921" i="3"/>
  <c r="BB921" i="3" s="1"/>
  <c r="AT921" i="3"/>
  <c r="AW921" i="3" s="1"/>
  <c r="BI920" i="3"/>
  <c r="BL920" i="3" s="1"/>
  <c r="BD920" i="3"/>
  <c r="BG920" i="3" s="1"/>
  <c r="AY920" i="3"/>
  <c r="BB920" i="3" s="1"/>
  <c r="AT920" i="3"/>
  <c r="AW920" i="3" s="1"/>
  <c r="BI919" i="3"/>
  <c r="BL919" i="3" s="1"/>
  <c r="BD919" i="3"/>
  <c r="BG919" i="3" s="1"/>
  <c r="AY919" i="3"/>
  <c r="BB919" i="3" s="1"/>
  <c r="AT919" i="3"/>
  <c r="AW919" i="3" s="1"/>
  <c r="BI918" i="3"/>
  <c r="BL918" i="3" s="1"/>
  <c r="BD918" i="3"/>
  <c r="BG918" i="3" s="1"/>
  <c r="AY918" i="3"/>
  <c r="BB918" i="3" s="1"/>
  <c r="AT918" i="3"/>
  <c r="AW918" i="3" s="1"/>
  <c r="BI917" i="3"/>
  <c r="BL917" i="3" s="1"/>
  <c r="BD917" i="3"/>
  <c r="BG917" i="3" s="1"/>
  <c r="AY917" i="3"/>
  <c r="BB917" i="3" s="1"/>
  <c r="AT917" i="3"/>
  <c r="AW917" i="3" s="1"/>
  <c r="AO917" i="3"/>
  <c r="AR917" i="3" s="1"/>
  <c r="BI916" i="3"/>
  <c r="BL916" i="3" s="1"/>
  <c r="BD916" i="3"/>
  <c r="BG916" i="3" s="1"/>
  <c r="AY916" i="3"/>
  <c r="BB916" i="3" s="1"/>
  <c r="AT916" i="3"/>
  <c r="AW916" i="3" s="1"/>
  <c r="BI915" i="3"/>
  <c r="BL915" i="3" s="1"/>
  <c r="BD915" i="3"/>
  <c r="BG915" i="3" s="1"/>
  <c r="AY915" i="3"/>
  <c r="BB915" i="3" s="1"/>
  <c r="AT915" i="3"/>
  <c r="AW915" i="3" s="1"/>
  <c r="BI914" i="3"/>
  <c r="BL914" i="3" s="1"/>
  <c r="BD914" i="3"/>
  <c r="BG914" i="3" s="1"/>
  <c r="AY914" i="3"/>
  <c r="BB914" i="3" s="1"/>
  <c r="AT914" i="3"/>
  <c r="AW914" i="3" s="1"/>
  <c r="AO914" i="3"/>
  <c r="AR914" i="3" s="1"/>
  <c r="BI913" i="3"/>
  <c r="BL913" i="3" s="1"/>
  <c r="BD913" i="3"/>
  <c r="BG913" i="3" s="1"/>
  <c r="AY913" i="3"/>
  <c r="BB913" i="3" s="1"/>
  <c r="AT913" i="3"/>
  <c r="AW913" i="3" s="1"/>
  <c r="BI912" i="3"/>
  <c r="BL912" i="3" s="1"/>
  <c r="BG912" i="3"/>
  <c r="BD912" i="3"/>
  <c r="AY912" i="3"/>
  <c r="BB912" i="3" s="1"/>
  <c r="AT912" i="3"/>
  <c r="AW912" i="3" s="1"/>
  <c r="BI911" i="3"/>
  <c r="BL911" i="3" s="1"/>
  <c r="BD911" i="3"/>
  <c r="BG911" i="3" s="1"/>
  <c r="AY911" i="3"/>
  <c r="BB911" i="3" s="1"/>
  <c r="AT911" i="3"/>
  <c r="AW911" i="3" s="1"/>
  <c r="BI910" i="3"/>
  <c r="BL910" i="3" s="1"/>
  <c r="BG910" i="3"/>
  <c r="BD910" i="3"/>
  <c r="AY910" i="3"/>
  <c r="BB910" i="3" s="1"/>
  <c r="AT910" i="3"/>
  <c r="AW910" i="3" s="1"/>
  <c r="BI909" i="3"/>
  <c r="BL909" i="3" s="1"/>
  <c r="BD909" i="3"/>
  <c r="BG909" i="3" s="1"/>
  <c r="AY909" i="3"/>
  <c r="BB909" i="3" s="1"/>
  <c r="AT909" i="3"/>
  <c r="AW909" i="3" s="1"/>
  <c r="BI908" i="3"/>
  <c r="BL908" i="3" s="1"/>
  <c r="BD908" i="3"/>
  <c r="BG908" i="3" s="1"/>
  <c r="AY908" i="3"/>
  <c r="BB908" i="3" s="1"/>
  <c r="AT908" i="3"/>
  <c r="AW908" i="3" s="1"/>
  <c r="BI907" i="3"/>
  <c r="BL907" i="3" s="1"/>
  <c r="BD907" i="3"/>
  <c r="BG907" i="3" s="1"/>
  <c r="AY907" i="3"/>
  <c r="BB907" i="3" s="1"/>
  <c r="AW907" i="3"/>
  <c r="AT907" i="3"/>
  <c r="BI906" i="3"/>
  <c r="BL906" i="3" s="1"/>
  <c r="BD906" i="3"/>
  <c r="BG906" i="3" s="1"/>
  <c r="AY906" i="3"/>
  <c r="BB906" i="3" s="1"/>
  <c r="AT906" i="3"/>
  <c r="AW906" i="3" s="1"/>
  <c r="BI905" i="3"/>
  <c r="BL905" i="3" s="1"/>
  <c r="BD905" i="3"/>
  <c r="BG905" i="3" s="1"/>
  <c r="AY905" i="3"/>
  <c r="BB905" i="3" s="1"/>
  <c r="AW905" i="3"/>
  <c r="AT905" i="3"/>
  <c r="BI904" i="3"/>
  <c r="BL904" i="3" s="1"/>
  <c r="BD904" i="3"/>
  <c r="BG904" i="3" s="1"/>
  <c r="AY904" i="3"/>
  <c r="BB904" i="3" s="1"/>
  <c r="AT904" i="3"/>
  <c r="AW904" i="3" s="1"/>
  <c r="BI903" i="3"/>
  <c r="BL903" i="3" s="1"/>
  <c r="BD903" i="3"/>
  <c r="BG903" i="3" s="1"/>
  <c r="AY903" i="3"/>
  <c r="BB903" i="3" s="1"/>
  <c r="AT903" i="3"/>
  <c r="AW903" i="3" s="1"/>
  <c r="BI902" i="3"/>
  <c r="BL902" i="3" s="1"/>
  <c r="BD902" i="3"/>
  <c r="BG902" i="3" s="1"/>
  <c r="AY902" i="3"/>
  <c r="BB902" i="3" s="1"/>
  <c r="AT902" i="3"/>
  <c r="AW902" i="3" s="1"/>
  <c r="BI901" i="3"/>
  <c r="BL901" i="3" s="1"/>
  <c r="BD901" i="3"/>
  <c r="BG901" i="3" s="1"/>
  <c r="AY901" i="3"/>
  <c r="BB901" i="3" s="1"/>
  <c r="AT901" i="3"/>
  <c r="AW901" i="3" s="1"/>
  <c r="AO901" i="3"/>
  <c r="AR901" i="3" s="1"/>
  <c r="BI900" i="3"/>
  <c r="BL900" i="3" s="1"/>
  <c r="BD900" i="3"/>
  <c r="BG900" i="3" s="1"/>
  <c r="AY900" i="3"/>
  <c r="BB900" i="3" s="1"/>
  <c r="AT900" i="3"/>
  <c r="AW900" i="3" s="1"/>
  <c r="BI899" i="3"/>
  <c r="BL899" i="3" s="1"/>
  <c r="BD899" i="3"/>
  <c r="BG899" i="3" s="1"/>
  <c r="AY899" i="3"/>
  <c r="BB899" i="3" s="1"/>
  <c r="AT899" i="3"/>
  <c r="AW899" i="3" s="1"/>
  <c r="BI898" i="3"/>
  <c r="BL898" i="3" s="1"/>
  <c r="BD898" i="3"/>
  <c r="BG898" i="3" s="1"/>
  <c r="AY898" i="3"/>
  <c r="BB898" i="3" s="1"/>
  <c r="AT898" i="3"/>
  <c r="AW898" i="3" s="1"/>
  <c r="AO898" i="3"/>
  <c r="AR898" i="3" s="1"/>
  <c r="BI897" i="3"/>
  <c r="BL897" i="3" s="1"/>
  <c r="BD897" i="3"/>
  <c r="BG897" i="3" s="1"/>
  <c r="AY897" i="3"/>
  <c r="BB897" i="3" s="1"/>
  <c r="AT897" i="3"/>
  <c r="AW897" i="3" s="1"/>
  <c r="BI896" i="3"/>
  <c r="BL896" i="3" s="1"/>
  <c r="BG896" i="3"/>
  <c r="BD896" i="3"/>
  <c r="AY896" i="3"/>
  <c r="BB896" i="3" s="1"/>
  <c r="AT896" i="3"/>
  <c r="AW896" i="3" s="1"/>
  <c r="BI895" i="3"/>
  <c r="BL895" i="3" s="1"/>
  <c r="BD895" i="3"/>
  <c r="BG895" i="3" s="1"/>
  <c r="AY895" i="3"/>
  <c r="BB895" i="3" s="1"/>
  <c r="AT895" i="3"/>
  <c r="AW895" i="3" s="1"/>
  <c r="AO895" i="3"/>
  <c r="AR895" i="3" s="1"/>
  <c r="BI894" i="3"/>
  <c r="BL894" i="3" s="1"/>
  <c r="BG894" i="3"/>
  <c r="BD894" i="3"/>
  <c r="AY894" i="3"/>
  <c r="BB894" i="3" s="1"/>
  <c r="AT894" i="3"/>
  <c r="AW894" i="3" s="1"/>
  <c r="BI893" i="3"/>
  <c r="BL893" i="3" s="1"/>
  <c r="BD893" i="3"/>
  <c r="BG893" i="3" s="1"/>
  <c r="AY893" i="3"/>
  <c r="BB893" i="3" s="1"/>
  <c r="AT893" i="3"/>
  <c r="AW893" i="3" s="1"/>
  <c r="BI892" i="3"/>
  <c r="BL892" i="3" s="1"/>
  <c r="BD892" i="3"/>
  <c r="BG892" i="3" s="1"/>
  <c r="AY892" i="3"/>
  <c r="BB892" i="3" s="1"/>
  <c r="AT892" i="3"/>
  <c r="AW892" i="3" s="1"/>
  <c r="BI891" i="3"/>
  <c r="BL891" i="3" s="1"/>
  <c r="BD891" i="3"/>
  <c r="BG891" i="3" s="1"/>
  <c r="AY891" i="3"/>
  <c r="BB891" i="3" s="1"/>
  <c r="AW891" i="3"/>
  <c r="AT891" i="3"/>
  <c r="BI890" i="3"/>
  <c r="BL890" i="3" s="1"/>
  <c r="BD890" i="3"/>
  <c r="BG890" i="3" s="1"/>
  <c r="AY890" i="3"/>
  <c r="BB890" i="3" s="1"/>
  <c r="AT890" i="3"/>
  <c r="AW890" i="3" s="1"/>
  <c r="BI889" i="3"/>
  <c r="BL889" i="3" s="1"/>
  <c r="BD889" i="3"/>
  <c r="BG889" i="3" s="1"/>
  <c r="AY889" i="3"/>
  <c r="BB889" i="3" s="1"/>
  <c r="AW889" i="3"/>
  <c r="AT889" i="3"/>
  <c r="AO889" i="3"/>
  <c r="AR889" i="3" s="1"/>
  <c r="BI888" i="3"/>
  <c r="BL888" i="3" s="1"/>
  <c r="BD888" i="3"/>
  <c r="BG888" i="3" s="1"/>
  <c r="AY888" i="3"/>
  <c r="BB888" i="3" s="1"/>
  <c r="AT888" i="3"/>
  <c r="AW888" i="3" s="1"/>
  <c r="BI887" i="3"/>
  <c r="BL887" i="3" s="1"/>
  <c r="BD887" i="3"/>
  <c r="BG887" i="3" s="1"/>
  <c r="AY887" i="3"/>
  <c r="BB887" i="3" s="1"/>
  <c r="AT887" i="3"/>
  <c r="AW887" i="3" s="1"/>
  <c r="BI886" i="3"/>
  <c r="BL886" i="3" s="1"/>
  <c r="BD886" i="3"/>
  <c r="BG886" i="3" s="1"/>
  <c r="AY886" i="3"/>
  <c r="BB886" i="3" s="1"/>
  <c r="AT886" i="3"/>
  <c r="AW886" i="3" s="1"/>
  <c r="BI885" i="3"/>
  <c r="BL885" i="3" s="1"/>
  <c r="BD885" i="3"/>
  <c r="BG885" i="3" s="1"/>
  <c r="AY885" i="3"/>
  <c r="BB885" i="3" s="1"/>
  <c r="AT885" i="3"/>
  <c r="AW885" i="3" s="1"/>
  <c r="BI884" i="3"/>
  <c r="BL884" i="3" s="1"/>
  <c r="BD884" i="3"/>
  <c r="BG884" i="3" s="1"/>
  <c r="AY884" i="3"/>
  <c r="BB884" i="3" s="1"/>
  <c r="AT884" i="3"/>
  <c r="AW884" i="3" s="1"/>
  <c r="BI883" i="3"/>
  <c r="BL883" i="3" s="1"/>
  <c r="BD883" i="3"/>
  <c r="BG883" i="3" s="1"/>
  <c r="AY883" i="3"/>
  <c r="BB883" i="3" s="1"/>
  <c r="AT883" i="3"/>
  <c r="AW883" i="3" s="1"/>
  <c r="BI882" i="3"/>
  <c r="BL882" i="3" s="1"/>
  <c r="BD882" i="3"/>
  <c r="BG882" i="3" s="1"/>
  <c r="AY882" i="3"/>
  <c r="BB882" i="3" s="1"/>
  <c r="AT882" i="3"/>
  <c r="AW882" i="3" s="1"/>
  <c r="BI881" i="3"/>
  <c r="BL881" i="3" s="1"/>
  <c r="BD881" i="3"/>
  <c r="BG881" i="3" s="1"/>
  <c r="AY881" i="3"/>
  <c r="BB881" i="3" s="1"/>
  <c r="AT881" i="3"/>
  <c r="AW881" i="3" s="1"/>
  <c r="AO881" i="3"/>
  <c r="AR881" i="3" s="1"/>
  <c r="BI880" i="3"/>
  <c r="BL880" i="3" s="1"/>
  <c r="BG880" i="3"/>
  <c r="BD880" i="3"/>
  <c r="AY880" i="3"/>
  <c r="BB880" i="3" s="1"/>
  <c r="AT880" i="3"/>
  <c r="AW880" i="3" s="1"/>
  <c r="BI879" i="3"/>
  <c r="BL879" i="3" s="1"/>
  <c r="BD879" i="3"/>
  <c r="BG879" i="3" s="1"/>
  <c r="AY879" i="3"/>
  <c r="BB879" i="3" s="1"/>
  <c r="AT879" i="3"/>
  <c r="AW879" i="3" s="1"/>
  <c r="BI878" i="3"/>
  <c r="BL878" i="3" s="1"/>
  <c r="BD878" i="3"/>
  <c r="BG878" i="3" s="1"/>
  <c r="AY878" i="3"/>
  <c r="BB878" i="3" s="1"/>
  <c r="AT878" i="3"/>
  <c r="AW878" i="3" s="1"/>
  <c r="BI877" i="3"/>
  <c r="BL877" i="3" s="1"/>
  <c r="BD877" i="3"/>
  <c r="BG877" i="3" s="1"/>
  <c r="AY877" i="3"/>
  <c r="BB877" i="3" s="1"/>
  <c r="AT877" i="3"/>
  <c r="AW877" i="3" s="1"/>
  <c r="BI876" i="3"/>
  <c r="BL876" i="3" s="1"/>
  <c r="BD876" i="3"/>
  <c r="BG876" i="3" s="1"/>
  <c r="AY876" i="3"/>
  <c r="BB876" i="3" s="1"/>
  <c r="AT876" i="3"/>
  <c r="AW876" i="3" s="1"/>
  <c r="BI875" i="3"/>
  <c r="BL875" i="3" s="1"/>
  <c r="BD875" i="3"/>
  <c r="BG875" i="3" s="1"/>
  <c r="AY875" i="3"/>
  <c r="BB875" i="3" s="1"/>
  <c r="AT875" i="3"/>
  <c r="AW875" i="3" s="1"/>
  <c r="BI874" i="3"/>
  <c r="BL874" i="3" s="1"/>
  <c r="BD874" i="3"/>
  <c r="BG874" i="3" s="1"/>
  <c r="AY874" i="3"/>
  <c r="BB874" i="3" s="1"/>
  <c r="AT874" i="3"/>
  <c r="AW874" i="3" s="1"/>
  <c r="AO874" i="3"/>
  <c r="AR874" i="3" s="1"/>
  <c r="BI873" i="3"/>
  <c r="BL873" i="3" s="1"/>
  <c r="BD873" i="3"/>
  <c r="BG873" i="3" s="1"/>
  <c r="AY873" i="3"/>
  <c r="BB873" i="3" s="1"/>
  <c r="AW873" i="3"/>
  <c r="AT873" i="3"/>
  <c r="BI872" i="3"/>
  <c r="BL872" i="3" s="1"/>
  <c r="BD872" i="3"/>
  <c r="BG872" i="3" s="1"/>
  <c r="AY872" i="3"/>
  <c r="BB872" i="3" s="1"/>
  <c r="AT872" i="3"/>
  <c r="AW872" i="3" s="1"/>
  <c r="BI871" i="3"/>
  <c r="BL871" i="3" s="1"/>
  <c r="BD871" i="3"/>
  <c r="BG871" i="3" s="1"/>
  <c r="AY871" i="3"/>
  <c r="BB871" i="3" s="1"/>
  <c r="AT871" i="3"/>
  <c r="AW871" i="3" s="1"/>
  <c r="BI870" i="3"/>
  <c r="BL870" i="3" s="1"/>
  <c r="BD870" i="3"/>
  <c r="BG870" i="3" s="1"/>
  <c r="AY870" i="3"/>
  <c r="BB870" i="3" s="1"/>
  <c r="AT870" i="3"/>
  <c r="AW870" i="3" s="1"/>
  <c r="BI869" i="3"/>
  <c r="BL869" i="3" s="1"/>
  <c r="BD869" i="3"/>
  <c r="BG869" i="3" s="1"/>
  <c r="AY869" i="3"/>
  <c r="BB869" i="3" s="1"/>
  <c r="AW869" i="3"/>
  <c r="AT869" i="3"/>
  <c r="BI868" i="3"/>
  <c r="BL868" i="3" s="1"/>
  <c r="BD868" i="3"/>
  <c r="BG868" i="3" s="1"/>
  <c r="AY868" i="3"/>
  <c r="BB868" i="3" s="1"/>
  <c r="AT868" i="3"/>
  <c r="AW868" i="3" s="1"/>
  <c r="AO868" i="3"/>
  <c r="AR868" i="3" s="1"/>
  <c r="BI867" i="3"/>
  <c r="BL867" i="3" s="1"/>
  <c r="BD867" i="3"/>
  <c r="BG867" i="3" s="1"/>
  <c r="AY867" i="3"/>
  <c r="BB867" i="3" s="1"/>
  <c r="AT867" i="3"/>
  <c r="AW867" i="3" s="1"/>
  <c r="BI866" i="3"/>
  <c r="BL866" i="3" s="1"/>
  <c r="BD866" i="3"/>
  <c r="BG866" i="3" s="1"/>
  <c r="AY866" i="3"/>
  <c r="BB866" i="3" s="1"/>
  <c r="AT866" i="3"/>
  <c r="AW866" i="3" s="1"/>
  <c r="BI865" i="3"/>
  <c r="BL865" i="3" s="1"/>
  <c r="BD865" i="3"/>
  <c r="BG865" i="3" s="1"/>
  <c r="AY865" i="3"/>
  <c r="BB865" i="3" s="1"/>
  <c r="AT865" i="3"/>
  <c r="AW865" i="3" s="1"/>
  <c r="BI864" i="3"/>
  <c r="BL864" i="3" s="1"/>
  <c r="BD864" i="3"/>
  <c r="BG864" i="3" s="1"/>
  <c r="AY864" i="3"/>
  <c r="BB864" i="3" s="1"/>
  <c r="AT864" i="3"/>
  <c r="AW864" i="3" s="1"/>
  <c r="BI863" i="3"/>
  <c r="BL863" i="3" s="1"/>
  <c r="BD863" i="3"/>
  <c r="BG863" i="3" s="1"/>
  <c r="AY863" i="3"/>
  <c r="BB863" i="3" s="1"/>
  <c r="AT863" i="3"/>
  <c r="AW863" i="3" s="1"/>
  <c r="BI862" i="3"/>
  <c r="BL862" i="3" s="1"/>
  <c r="BD862" i="3"/>
  <c r="BG862" i="3" s="1"/>
  <c r="AY862" i="3"/>
  <c r="BB862" i="3" s="1"/>
  <c r="AT862" i="3"/>
  <c r="AW862" i="3" s="1"/>
  <c r="BI861" i="3"/>
  <c r="BL861" i="3" s="1"/>
  <c r="BD861" i="3"/>
  <c r="BG861" i="3" s="1"/>
  <c r="AY861" i="3"/>
  <c r="BB861" i="3" s="1"/>
  <c r="AW861" i="3"/>
  <c r="AT861" i="3"/>
  <c r="AO861" i="3"/>
  <c r="AR861" i="3" s="1"/>
  <c r="BI860" i="3"/>
  <c r="BL860" i="3" s="1"/>
  <c r="BD860" i="3"/>
  <c r="BG860" i="3" s="1"/>
  <c r="BB860" i="3"/>
  <c r="AY860" i="3"/>
  <c r="AT860" i="3"/>
  <c r="AW860" i="3" s="1"/>
  <c r="BI859" i="3"/>
  <c r="BL859" i="3" s="1"/>
  <c r="BD859" i="3"/>
  <c r="BG859" i="3" s="1"/>
  <c r="AY859" i="3"/>
  <c r="BB859" i="3" s="1"/>
  <c r="AT859" i="3"/>
  <c r="AW859" i="3" s="1"/>
  <c r="BI858" i="3"/>
  <c r="BL858" i="3" s="1"/>
  <c r="BD858" i="3"/>
  <c r="BG858" i="3" s="1"/>
  <c r="AY858" i="3"/>
  <c r="BB858" i="3" s="1"/>
  <c r="AT858" i="3"/>
  <c r="AW858" i="3" s="1"/>
  <c r="BL857" i="3"/>
  <c r="BI857" i="3"/>
  <c r="BD857" i="3"/>
  <c r="BG857" i="3" s="1"/>
  <c r="AY857" i="3"/>
  <c r="BB857" i="3" s="1"/>
  <c r="AT857" i="3"/>
  <c r="AW857" i="3" s="1"/>
  <c r="BI856" i="3"/>
  <c r="BL856" i="3" s="1"/>
  <c r="BD856" i="3"/>
  <c r="BG856" i="3" s="1"/>
  <c r="AY856" i="3"/>
  <c r="BB856" i="3" s="1"/>
  <c r="AT856" i="3"/>
  <c r="AW856" i="3" s="1"/>
  <c r="AO856" i="3"/>
  <c r="AR856" i="3" s="1"/>
  <c r="BI855" i="3"/>
  <c r="BL855" i="3" s="1"/>
  <c r="BD855" i="3"/>
  <c r="BG855" i="3" s="1"/>
  <c r="AY855" i="3"/>
  <c r="BB855" i="3" s="1"/>
  <c r="AT855" i="3"/>
  <c r="AW855" i="3" s="1"/>
  <c r="BI854" i="3"/>
  <c r="BL854" i="3" s="1"/>
  <c r="BD854" i="3"/>
  <c r="BG854" i="3" s="1"/>
  <c r="AY854" i="3"/>
  <c r="BB854" i="3" s="1"/>
  <c r="AT854" i="3"/>
  <c r="AW854" i="3" s="1"/>
  <c r="BI853" i="3"/>
  <c r="BL853" i="3" s="1"/>
  <c r="BD853" i="3"/>
  <c r="BG853" i="3" s="1"/>
  <c r="AY853" i="3"/>
  <c r="BB853" i="3" s="1"/>
  <c r="AT853" i="3"/>
  <c r="AW853" i="3" s="1"/>
  <c r="BI852" i="3"/>
  <c r="BL852" i="3" s="1"/>
  <c r="BD852" i="3"/>
  <c r="BG852" i="3" s="1"/>
  <c r="BB852" i="3"/>
  <c r="AY852" i="3"/>
  <c r="AT852" i="3"/>
  <c r="AW852" i="3" s="1"/>
  <c r="BI851" i="3"/>
  <c r="BL851" i="3" s="1"/>
  <c r="BD851" i="3"/>
  <c r="BG851" i="3" s="1"/>
  <c r="AY851" i="3"/>
  <c r="BB851" i="3" s="1"/>
  <c r="AT851" i="3"/>
  <c r="AW851" i="3" s="1"/>
  <c r="BI850" i="3"/>
  <c r="BL850" i="3" s="1"/>
  <c r="BD850" i="3"/>
  <c r="BG850" i="3" s="1"/>
  <c r="AY850" i="3"/>
  <c r="BB850" i="3" s="1"/>
  <c r="AT850" i="3"/>
  <c r="AW850" i="3" s="1"/>
  <c r="AO850" i="3"/>
  <c r="AR850" i="3" s="1"/>
  <c r="BI849" i="3"/>
  <c r="BL849" i="3" s="1"/>
  <c r="BD849" i="3"/>
  <c r="BG849" i="3" s="1"/>
  <c r="AY849" i="3"/>
  <c r="BB849" i="3" s="1"/>
  <c r="AT849" i="3"/>
  <c r="AW849" i="3" s="1"/>
  <c r="AO849" i="3"/>
  <c r="AR849" i="3" s="1"/>
  <c r="BI848" i="3"/>
  <c r="BL848" i="3" s="1"/>
  <c r="BD848" i="3"/>
  <c r="BG848" i="3" s="1"/>
  <c r="AY848" i="3"/>
  <c r="BB848" i="3" s="1"/>
  <c r="AT848" i="3"/>
  <c r="AW848" i="3" s="1"/>
  <c r="AJ848" i="3"/>
  <c r="AM848" i="3" s="1"/>
  <c r="BI847" i="3"/>
  <c r="BL847" i="3" s="1"/>
  <c r="BD847" i="3"/>
  <c r="BG847" i="3" s="1"/>
  <c r="AY847" i="3"/>
  <c r="BB847" i="3" s="1"/>
  <c r="AT847" i="3"/>
  <c r="AW847" i="3" s="1"/>
  <c r="BI846" i="3"/>
  <c r="BL846" i="3" s="1"/>
  <c r="BD846" i="3"/>
  <c r="BG846" i="3" s="1"/>
  <c r="AY846" i="3"/>
  <c r="BB846" i="3" s="1"/>
  <c r="AT846" i="3"/>
  <c r="AW846" i="3" s="1"/>
  <c r="AO846" i="3"/>
  <c r="AR846" i="3" s="1"/>
  <c r="BI845" i="3"/>
  <c r="BL845" i="3" s="1"/>
  <c r="BD845" i="3"/>
  <c r="BG845" i="3" s="1"/>
  <c r="AY845" i="3"/>
  <c r="BB845" i="3" s="1"/>
  <c r="AT845" i="3"/>
  <c r="AW845" i="3" s="1"/>
  <c r="BI844" i="3"/>
  <c r="BL844" i="3" s="1"/>
  <c r="BD844" i="3"/>
  <c r="BG844" i="3" s="1"/>
  <c r="AY844" i="3"/>
  <c r="BB844" i="3" s="1"/>
  <c r="AT844" i="3"/>
  <c r="AW844" i="3" s="1"/>
  <c r="BI843" i="3"/>
  <c r="BL843" i="3" s="1"/>
  <c r="BD843" i="3"/>
  <c r="BG843" i="3" s="1"/>
  <c r="AY843" i="3"/>
  <c r="BB843" i="3" s="1"/>
  <c r="AT843" i="3"/>
  <c r="AW843" i="3" s="1"/>
  <c r="AO843" i="3"/>
  <c r="AR843" i="3" s="1"/>
  <c r="BI842" i="3"/>
  <c r="BL842" i="3" s="1"/>
  <c r="BD842" i="3"/>
  <c r="BG842" i="3" s="1"/>
  <c r="AY842" i="3"/>
  <c r="BB842" i="3" s="1"/>
  <c r="AT842" i="3"/>
  <c r="AW842" i="3" s="1"/>
  <c r="BI841" i="3"/>
  <c r="BL841" i="3" s="1"/>
  <c r="BD841" i="3"/>
  <c r="BG841" i="3" s="1"/>
  <c r="AY841" i="3"/>
  <c r="BB841" i="3" s="1"/>
  <c r="AT841" i="3"/>
  <c r="AW841" i="3" s="1"/>
  <c r="BI840" i="3"/>
  <c r="BL840" i="3" s="1"/>
  <c r="BD840" i="3"/>
  <c r="BG840" i="3" s="1"/>
  <c r="AY840" i="3"/>
  <c r="BB840" i="3" s="1"/>
  <c r="AT840" i="3"/>
  <c r="AW840" i="3" s="1"/>
  <c r="BI839" i="3"/>
  <c r="BL839" i="3" s="1"/>
  <c r="BD839" i="3"/>
  <c r="BG839" i="3" s="1"/>
  <c r="AY839" i="3"/>
  <c r="BB839" i="3" s="1"/>
  <c r="AT839" i="3"/>
  <c r="AW839" i="3" s="1"/>
  <c r="BI838" i="3"/>
  <c r="BL838" i="3" s="1"/>
  <c r="BD838" i="3"/>
  <c r="BG838" i="3" s="1"/>
  <c r="BB838" i="3"/>
  <c r="AY838" i="3"/>
  <c r="AT838" i="3"/>
  <c r="AW838" i="3" s="1"/>
  <c r="BL837" i="3"/>
  <c r="BI837" i="3"/>
  <c r="BD837" i="3"/>
  <c r="BG837" i="3" s="1"/>
  <c r="AY837" i="3"/>
  <c r="BB837" i="3" s="1"/>
  <c r="AT837" i="3"/>
  <c r="AW837" i="3" s="1"/>
  <c r="BI836" i="3"/>
  <c r="BL836" i="3" s="1"/>
  <c r="BD836" i="3"/>
  <c r="BG836" i="3" s="1"/>
  <c r="BB836" i="3"/>
  <c r="AY836" i="3"/>
  <c r="AT836" i="3"/>
  <c r="AW836" i="3" s="1"/>
  <c r="AO836" i="3"/>
  <c r="AR836" i="3" s="1"/>
  <c r="BL835" i="3"/>
  <c r="BI835" i="3"/>
  <c r="BD835" i="3"/>
  <c r="BG835" i="3" s="1"/>
  <c r="AY835" i="3"/>
  <c r="BB835" i="3" s="1"/>
  <c r="AT835" i="3"/>
  <c r="AW835" i="3" s="1"/>
  <c r="BI834" i="3"/>
  <c r="BL834" i="3" s="1"/>
  <c r="BD834" i="3"/>
  <c r="BG834" i="3" s="1"/>
  <c r="BB834" i="3"/>
  <c r="AY834" i="3"/>
  <c r="AT834" i="3"/>
  <c r="AW834" i="3" s="1"/>
  <c r="BL833" i="3"/>
  <c r="BI833" i="3"/>
  <c r="BD833" i="3"/>
  <c r="BG833" i="3" s="1"/>
  <c r="AY833" i="3"/>
  <c r="BB833" i="3" s="1"/>
  <c r="AT833" i="3"/>
  <c r="AW833" i="3" s="1"/>
  <c r="BI832" i="3"/>
  <c r="BL832" i="3" s="1"/>
  <c r="BD832" i="3"/>
  <c r="BG832" i="3" s="1"/>
  <c r="BB832" i="3"/>
  <c r="AY832" i="3"/>
  <c r="AT832" i="3"/>
  <c r="AW832" i="3" s="1"/>
  <c r="BL831" i="3"/>
  <c r="BI831" i="3"/>
  <c r="BD831" i="3"/>
  <c r="BG831" i="3" s="1"/>
  <c r="AY831" i="3"/>
  <c r="BB831" i="3" s="1"/>
  <c r="AT831" i="3"/>
  <c r="AW831" i="3" s="1"/>
  <c r="BI830" i="3"/>
  <c r="BL830" i="3" s="1"/>
  <c r="BD830" i="3"/>
  <c r="BG830" i="3" s="1"/>
  <c r="BB830" i="3"/>
  <c r="AY830" i="3"/>
  <c r="AT830" i="3"/>
  <c r="AW830" i="3" s="1"/>
  <c r="BL829" i="3"/>
  <c r="BI829" i="3"/>
  <c r="BD829" i="3"/>
  <c r="BG829" i="3" s="1"/>
  <c r="AY829" i="3"/>
  <c r="BB829" i="3" s="1"/>
  <c r="AT829" i="3"/>
  <c r="AW829" i="3" s="1"/>
  <c r="BI828" i="3"/>
  <c r="BL828" i="3" s="1"/>
  <c r="BD828" i="3"/>
  <c r="BG828" i="3" s="1"/>
  <c r="BB828" i="3"/>
  <c r="AY828" i="3"/>
  <c r="AT828" i="3"/>
  <c r="AW828" i="3" s="1"/>
  <c r="BL827" i="3"/>
  <c r="BI827" i="3"/>
  <c r="BD827" i="3"/>
  <c r="BG827" i="3" s="1"/>
  <c r="AY827" i="3"/>
  <c r="BB827" i="3" s="1"/>
  <c r="AT827" i="3"/>
  <c r="AW827" i="3" s="1"/>
  <c r="BI826" i="3"/>
  <c r="BL826" i="3" s="1"/>
  <c r="BD826" i="3"/>
  <c r="BG826" i="3" s="1"/>
  <c r="AY826" i="3"/>
  <c r="BB826" i="3" s="1"/>
  <c r="AT826" i="3"/>
  <c r="AW826" i="3" s="1"/>
  <c r="BL825" i="3"/>
  <c r="BI825" i="3"/>
  <c r="BD825" i="3"/>
  <c r="BG825" i="3" s="1"/>
  <c r="AY825" i="3"/>
  <c r="BB825" i="3" s="1"/>
  <c r="AT825" i="3"/>
  <c r="AW825" i="3" s="1"/>
  <c r="BI824" i="3"/>
  <c r="BL824" i="3" s="1"/>
  <c r="BD824" i="3"/>
  <c r="BG824" i="3" s="1"/>
  <c r="BB824" i="3"/>
  <c r="AY824" i="3"/>
  <c r="AT824" i="3"/>
  <c r="AW824" i="3" s="1"/>
  <c r="BI823" i="3"/>
  <c r="BL823" i="3" s="1"/>
  <c r="BD823" i="3"/>
  <c r="BG823" i="3" s="1"/>
  <c r="AY823" i="3"/>
  <c r="BB823" i="3" s="1"/>
  <c r="AT823" i="3"/>
  <c r="AW823" i="3" s="1"/>
  <c r="BI822" i="3"/>
  <c r="BL822" i="3" s="1"/>
  <c r="BD822" i="3"/>
  <c r="BG822" i="3" s="1"/>
  <c r="AY822" i="3"/>
  <c r="BB822" i="3" s="1"/>
  <c r="AT822" i="3"/>
  <c r="AW822" i="3" s="1"/>
  <c r="BL821" i="3"/>
  <c r="BI821" i="3"/>
  <c r="BD821" i="3"/>
  <c r="BG821" i="3" s="1"/>
  <c r="AY821" i="3"/>
  <c r="BB821" i="3" s="1"/>
  <c r="AT821" i="3"/>
  <c r="AW821" i="3" s="1"/>
  <c r="AO821" i="3"/>
  <c r="AR821" i="3" s="1"/>
  <c r="BI820" i="3"/>
  <c r="BL820" i="3" s="1"/>
  <c r="BD820" i="3"/>
  <c r="BG820" i="3" s="1"/>
  <c r="BB820" i="3"/>
  <c r="AY820" i="3"/>
  <c r="AT820" i="3"/>
  <c r="AW820" i="3" s="1"/>
  <c r="BI819" i="3"/>
  <c r="BL819" i="3" s="1"/>
  <c r="BD819" i="3"/>
  <c r="BG819" i="3" s="1"/>
  <c r="AY819" i="3"/>
  <c r="BB819" i="3" s="1"/>
  <c r="AT819" i="3"/>
  <c r="AW819" i="3" s="1"/>
  <c r="BI818" i="3"/>
  <c r="BL818" i="3" s="1"/>
  <c r="BD818" i="3"/>
  <c r="BG818" i="3" s="1"/>
  <c r="AY818" i="3"/>
  <c r="BB818" i="3" s="1"/>
  <c r="AT818" i="3"/>
  <c r="AW818" i="3" s="1"/>
  <c r="BL817" i="3"/>
  <c r="BI817" i="3"/>
  <c r="BD817" i="3"/>
  <c r="BG817" i="3" s="1"/>
  <c r="AY817" i="3"/>
  <c r="BB817" i="3" s="1"/>
  <c r="AT817" i="3"/>
  <c r="AW817" i="3" s="1"/>
  <c r="AO817" i="3"/>
  <c r="AR817" i="3" s="1"/>
  <c r="BI816" i="3"/>
  <c r="BL816" i="3" s="1"/>
  <c r="BD816" i="3"/>
  <c r="BG816" i="3" s="1"/>
  <c r="BB816" i="3"/>
  <c r="AY816" i="3"/>
  <c r="AT816" i="3"/>
  <c r="AW816" i="3" s="1"/>
  <c r="BI815" i="3"/>
  <c r="BL815" i="3" s="1"/>
  <c r="BD815" i="3"/>
  <c r="BG815" i="3" s="1"/>
  <c r="AY815" i="3"/>
  <c r="BB815" i="3" s="1"/>
  <c r="AT815" i="3"/>
  <c r="AW815" i="3" s="1"/>
  <c r="BI814" i="3"/>
  <c r="BL814" i="3" s="1"/>
  <c r="BD814" i="3"/>
  <c r="BG814" i="3" s="1"/>
  <c r="AY814" i="3"/>
  <c r="BB814" i="3" s="1"/>
  <c r="AT814" i="3"/>
  <c r="AW814" i="3" s="1"/>
  <c r="BL813" i="3"/>
  <c r="BI813" i="3"/>
  <c r="BD813" i="3"/>
  <c r="BG813" i="3" s="1"/>
  <c r="AY813" i="3"/>
  <c r="BB813" i="3" s="1"/>
  <c r="AT813" i="3"/>
  <c r="AW813" i="3" s="1"/>
  <c r="BI812" i="3"/>
  <c r="BL812" i="3" s="1"/>
  <c r="BD812" i="3"/>
  <c r="BG812" i="3" s="1"/>
  <c r="BB812" i="3"/>
  <c r="AY812" i="3"/>
  <c r="AT812" i="3"/>
  <c r="AW812" i="3" s="1"/>
  <c r="BI811" i="3"/>
  <c r="BL811" i="3" s="1"/>
  <c r="BD811" i="3"/>
  <c r="BG811" i="3" s="1"/>
  <c r="AY811" i="3"/>
  <c r="BB811" i="3" s="1"/>
  <c r="AT811" i="3"/>
  <c r="AW811" i="3" s="1"/>
  <c r="BI810" i="3"/>
  <c r="BL810" i="3" s="1"/>
  <c r="BD810" i="3"/>
  <c r="BG810" i="3" s="1"/>
  <c r="AY810" i="3"/>
  <c r="BB810" i="3" s="1"/>
  <c r="AT810" i="3"/>
  <c r="AW810" i="3" s="1"/>
  <c r="BI809" i="3"/>
  <c r="BL809" i="3" s="1"/>
  <c r="BD809" i="3"/>
  <c r="BG809" i="3" s="1"/>
  <c r="AY809" i="3"/>
  <c r="BB809" i="3" s="1"/>
  <c r="AT809" i="3"/>
  <c r="AW809" i="3" s="1"/>
  <c r="BI808" i="3"/>
  <c r="BL808" i="3" s="1"/>
  <c r="BD808" i="3"/>
  <c r="BG808" i="3" s="1"/>
  <c r="AY808" i="3"/>
  <c r="BB808" i="3" s="1"/>
  <c r="AT808" i="3"/>
  <c r="AW808" i="3" s="1"/>
  <c r="BI807" i="3"/>
  <c r="BL807" i="3" s="1"/>
  <c r="BD807" i="3"/>
  <c r="BG807" i="3" s="1"/>
  <c r="AY807" i="3"/>
  <c r="BB807" i="3" s="1"/>
  <c r="AT807" i="3"/>
  <c r="AW807" i="3" s="1"/>
  <c r="BI806" i="3"/>
  <c r="BL806" i="3" s="1"/>
  <c r="BD806" i="3"/>
  <c r="BG806" i="3" s="1"/>
  <c r="AY806" i="3"/>
  <c r="BB806" i="3" s="1"/>
  <c r="AT806" i="3"/>
  <c r="AW806" i="3" s="1"/>
  <c r="BI805" i="3"/>
  <c r="BL805" i="3" s="1"/>
  <c r="BD805" i="3"/>
  <c r="BG805" i="3" s="1"/>
  <c r="AY805" i="3"/>
  <c r="BB805" i="3" s="1"/>
  <c r="AT805" i="3"/>
  <c r="AW805" i="3" s="1"/>
  <c r="BI804" i="3"/>
  <c r="BL804" i="3" s="1"/>
  <c r="BD804" i="3"/>
  <c r="BG804" i="3" s="1"/>
  <c r="AY804" i="3"/>
  <c r="BB804" i="3" s="1"/>
  <c r="AT804" i="3"/>
  <c r="AW804" i="3" s="1"/>
  <c r="BI803" i="3"/>
  <c r="BL803" i="3" s="1"/>
  <c r="BD803" i="3"/>
  <c r="BG803" i="3" s="1"/>
  <c r="AY803" i="3"/>
  <c r="BB803" i="3" s="1"/>
  <c r="AT803" i="3"/>
  <c r="AW803" i="3" s="1"/>
  <c r="BI802" i="3"/>
  <c r="BL802" i="3" s="1"/>
  <c r="BD802" i="3"/>
  <c r="BG802" i="3" s="1"/>
  <c r="AY802" i="3"/>
  <c r="BB802" i="3" s="1"/>
  <c r="AT802" i="3"/>
  <c r="AW802" i="3" s="1"/>
  <c r="BI801" i="3"/>
  <c r="BL801" i="3" s="1"/>
  <c r="BD801" i="3"/>
  <c r="BG801" i="3" s="1"/>
  <c r="AY801" i="3"/>
  <c r="BB801" i="3" s="1"/>
  <c r="AT801" i="3"/>
  <c r="AW801" i="3" s="1"/>
  <c r="AO801" i="3"/>
  <c r="AR801" i="3" s="1"/>
  <c r="BI800" i="3"/>
  <c r="BL800" i="3" s="1"/>
  <c r="BD800" i="3"/>
  <c r="BG800" i="3" s="1"/>
  <c r="AY800" i="3"/>
  <c r="BB800" i="3" s="1"/>
  <c r="AT800" i="3"/>
  <c r="AW800" i="3" s="1"/>
  <c r="BI799" i="3"/>
  <c r="BL799" i="3" s="1"/>
  <c r="BD799" i="3"/>
  <c r="BG799" i="3" s="1"/>
  <c r="AY799" i="3"/>
  <c r="BB799" i="3" s="1"/>
  <c r="AT799" i="3"/>
  <c r="AW799" i="3" s="1"/>
  <c r="BI798" i="3"/>
  <c r="BL798" i="3" s="1"/>
  <c r="BD798" i="3"/>
  <c r="BG798" i="3" s="1"/>
  <c r="AY798" i="3"/>
  <c r="BB798" i="3" s="1"/>
  <c r="AT798" i="3"/>
  <c r="AW798" i="3" s="1"/>
  <c r="BI797" i="3"/>
  <c r="BL797" i="3" s="1"/>
  <c r="BD797" i="3"/>
  <c r="BG797" i="3" s="1"/>
  <c r="AY797" i="3"/>
  <c r="BB797" i="3" s="1"/>
  <c r="AT797" i="3"/>
  <c r="AW797" i="3" s="1"/>
  <c r="BI796" i="3"/>
  <c r="BL796" i="3" s="1"/>
  <c r="BD796" i="3"/>
  <c r="BG796" i="3" s="1"/>
  <c r="AY796" i="3"/>
  <c r="BB796" i="3" s="1"/>
  <c r="AT796" i="3"/>
  <c r="AW796" i="3" s="1"/>
  <c r="BI795" i="3"/>
  <c r="BL795" i="3" s="1"/>
  <c r="BD795" i="3"/>
  <c r="BG795" i="3" s="1"/>
  <c r="AY795" i="3"/>
  <c r="BB795" i="3" s="1"/>
  <c r="AT795" i="3"/>
  <c r="AW795" i="3" s="1"/>
  <c r="BI794" i="3"/>
  <c r="BL794" i="3" s="1"/>
  <c r="BD794" i="3"/>
  <c r="BG794" i="3" s="1"/>
  <c r="AY794" i="3"/>
  <c r="BB794" i="3" s="1"/>
  <c r="AT794" i="3"/>
  <c r="AW794" i="3" s="1"/>
  <c r="BI793" i="3"/>
  <c r="BL793" i="3" s="1"/>
  <c r="BD793" i="3"/>
  <c r="BG793" i="3" s="1"/>
  <c r="AY793" i="3"/>
  <c r="BB793" i="3" s="1"/>
  <c r="AT793" i="3"/>
  <c r="AW793" i="3" s="1"/>
  <c r="AO793" i="3"/>
  <c r="AR793" i="3" s="1"/>
  <c r="BI792" i="3"/>
  <c r="BL792" i="3" s="1"/>
  <c r="BD792" i="3"/>
  <c r="BG792" i="3" s="1"/>
  <c r="AY792" i="3"/>
  <c r="BB792" i="3" s="1"/>
  <c r="AT792" i="3"/>
  <c r="AW792" i="3" s="1"/>
  <c r="BI791" i="3"/>
  <c r="BL791" i="3" s="1"/>
  <c r="BD791" i="3"/>
  <c r="BG791" i="3" s="1"/>
  <c r="AY791" i="3"/>
  <c r="BB791" i="3" s="1"/>
  <c r="AT791" i="3"/>
  <c r="AW791" i="3" s="1"/>
  <c r="BI790" i="3"/>
  <c r="BL790" i="3" s="1"/>
  <c r="BD790" i="3"/>
  <c r="BG790" i="3" s="1"/>
  <c r="AY790" i="3"/>
  <c r="BB790" i="3" s="1"/>
  <c r="AT790" i="3"/>
  <c r="AW790" i="3" s="1"/>
  <c r="BI789" i="3"/>
  <c r="BL789" i="3" s="1"/>
  <c r="BD789" i="3"/>
  <c r="BG789" i="3" s="1"/>
  <c r="AY789" i="3"/>
  <c r="BB789" i="3" s="1"/>
  <c r="AT789" i="3"/>
  <c r="AW789" i="3" s="1"/>
  <c r="AJ789" i="3"/>
  <c r="AM789" i="3" s="1"/>
  <c r="BI788" i="3"/>
  <c r="BL788" i="3" s="1"/>
  <c r="BD788" i="3"/>
  <c r="BG788" i="3" s="1"/>
  <c r="AY788" i="3"/>
  <c r="BB788" i="3" s="1"/>
  <c r="AT788" i="3"/>
  <c r="AW788" i="3" s="1"/>
  <c r="BI787" i="3"/>
  <c r="BL787" i="3" s="1"/>
  <c r="BD787" i="3"/>
  <c r="BG787" i="3" s="1"/>
  <c r="AY787" i="3"/>
  <c r="BB787" i="3" s="1"/>
  <c r="AT787" i="3"/>
  <c r="AW787" i="3" s="1"/>
  <c r="BI786" i="3"/>
  <c r="BL786" i="3" s="1"/>
  <c r="BD786" i="3"/>
  <c r="BG786" i="3" s="1"/>
  <c r="AY786" i="3"/>
  <c r="BB786" i="3" s="1"/>
  <c r="AT786" i="3"/>
  <c r="AW786" i="3" s="1"/>
  <c r="BI785" i="3"/>
  <c r="BL785" i="3" s="1"/>
  <c r="BD785" i="3"/>
  <c r="BG785" i="3" s="1"/>
  <c r="AY785" i="3"/>
  <c r="BB785" i="3" s="1"/>
  <c r="AT785" i="3"/>
  <c r="AW785" i="3" s="1"/>
  <c r="BI784" i="3"/>
  <c r="BL784" i="3" s="1"/>
  <c r="BD784" i="3"/>
  <c r="BG784" i="3" s="1"/>
  <c r="AY784" i="3"/>
  <c r="BB784" i="3" s="1"/>
  <c r="AT784" i="3"/>
  <c r="AW784" i="3" s="1"/>
  <c r="BI783" i="3"/>
  <c r="BL783" i="3" s="1"/>
  <c r="BD783" i="3"/>
  <c r="BG783" i="3" s="1"/>
  <c r="AY783" i="3"/>
  <c r="BB783" i="3" s="1"/>
  <c r="AT783" i="3"/>
  <c r="AW783" i="3" s="1"/>
  <c r="BI782" i="3"/>
  <c r="BL782" i="3" s="1"/>
  <c r="BD782" i="3"/>
  <c r="BG782" i="3" s="1"/>
  <c r="AY782" i="3"/>
  <c r="BB782" i="3" s="1"/>
  <c r="AT782" i="3"/>
  <c r="AW782" i="3" s="1"/>
  <c r="BI781" i="3"/>
  <c r="BL781" i="3" s="1"/>
  <c r="BD781" i="3"/>
  <c r="BG781" i="3" s="1"/>
  <c r="AY781" i="3"/>
  <c r="BB781" i="3" s="1"/>
  <c r="AT781" i="3"/>
  <c r="AW781" i="3" s="1"/>
  <c r="BI780" i="3"/>
  <c r="BL780" i="3" s="1"/>
  <c r="BD780" i="3"/>
  <c r="BG780" i="3" s="1"/>
  <c r="AY780" i="3"/>
  <c r="BB780" i="3" s="1"/>
  <c r="AT780" i="3"/>
  <c r="AW780" i="3" s="1"/>
  <c r="BI779" i="3"/>
  <c r="BL779" i="3" s="1"/>
  <c r="BD779" i="3"/>
  <c r="BG779" i="3" s="1"/>
  <c r="AY779" i="3"/>
  <c r="BB779" i="3" s="1"/>
  <c r="AT779" i="3"/>
  <c r="AW779" i="3" s="1"/>
  <c r="BI778" i="3"/>
  <c r="BL778" i="3" s="1"/>
  <c r="BD778" i="3"/>
  <c r="BG778" i="3" s="1"/>
  <c r="AY778" i="3"/>
  <c r="BB778" i="3" s="1"/>
  <c r="AT778" i="3"/>
  <c r="AW778" i="3" s="1"/>
  <c r="BI777" i="3"/>
  <c r="BL777" i="3" s="1"/>
  <c r="BD777" i="3"/>
  <c r="BG777" i="3" s="1"/>
  <c r="AY777" i="3"/>
  <c r="BB777" i="3" s="1"/>
  <c r="AT777" i="3"/>
  <c r="AW777" i="3" s="1"/>
  <c r="BI776" i="3"/>
  <c r="BL776" i="3" s="1"/>
  <c r="BD776" i="3"/>
  <c r="BG776" i="3" s="1"/>
  <c r="AY776" i="3"/>
  <c r="BB776" i="3" s="1"/>
  <c r="AT776" i="3"/>
  <c r="AW776" i="3" s="1"/>
  <c r="BI775" i="3"/>
  <c r="BL775" i="3" s="1"/>
  <c r="BD775" i="3"/>
  <c r="BG775" i="3" s="1"/>
  <c r="AY775" i="3"/>
  <c r="BB775" i="3" s="1"/>
  <c r="AT775" i="3"/>
  <c r="AW775" i="3" s="1"/>
  <c r="BI774" i="3"/>
  <c r="BL774" i="3" s="1"/>
  <c r="BD774" i="3"/>
  <c r="BG774" i="3" s="1"/>
  <c r="AY774" i="3"/>
  <c r="BB774" i="3" s="1"/>
  <c r="AT774" i="3"/>
  <c r="AW774" i="3" s="1"/>
  <c r="BI773" i="3"/>
  <c r="BL773" i="3" s="1"/>
  <c r="BD773" i="3"/>
  <c r="BG773" i="3" s="1"/>
  <c r="AY773" i="3"/>
  <c r="BB773" i="3" s="1"/>
  <c r="AT773" i="3"/>
  <c r="AW773" i="3" s="1"/>
  <c r="BI772" i="3"/>
  <c r="BL772" i="3" s="1"/>
  <c r="BD772" i="3"/>
  <c r="BG772" i="3" s="1"/>
  <c r="AY772" i="3"/>
  <c r="BB772" i="3" s="1"/>
  <c r="AT772" i="3"/>
  <c r="AW772" i="3" s="1"/>
  <c r="BI771" i="3"/>
  <c r="BL771" i="3" s="1"/>
  <c r="BD771" i="3"/>
  <c r="BG771" i="3" s="1"/>
  <c r="AY771" i="3"/>
  <c r="BB771" i="3" s="1"/>
  <c r="AT771" i="3"/>
  <c r="AW771" i="3" s="1"/>
  <c r="BI770" i="3"/>
  <c r="BL770" i="3" s="1"/>
  <c r="BD770" i="3"/>
  <c r="BG770" i="3" s="1"/>
  <c r="AY770" i="3"/>
  <c r="BB770" i="3" s="1"/>
  <c r="AT770" i="3"/>
  <c r="AW770" i="3" s="1"/>
  <c r="BI769" i="3"/>
  <c r="BL769" i="3" s="1"/>
  <c r="BD769" i="3"/>
  <c r="BG769" i="3" s="1"/>
  <c r="AY769" i="3"/>
  <c r="BB769" i="3" s="1"/>
  <c r="AT769" i="3"/>
  <c r="AW769" i="3" s="1"/>
  <c r="BI768" i="3"/>
  <c r="BL768" i="3" s="1"/>
  <c r="BD768" i="3"/>
  <c r="BG768" i="3" s="1"/>
  <c r="AY768" i="3"/>
  <c r="BB768" i="3" s="1"/>
  <c r="AT768" i="3"/>
  <c r="AW768" i="3" s="1"/>
  <c r="BI767" i="3"/>
  <c r="BL767" i="3" s="1"/>
  <c r="BD767" i="3"/>
  <c r="BG767" i="3" s="1"/>
  <c r="AY767" i="3"/>
  <c r="BB767" i="3" s="1"/>
  <c r="AT767" i="3"/>
  <c r="AW767" i="3" s="1"/>
  <c r="BI766" i="3"/>
  <c r="BL766" i="3" s="1"/>
  <c r="BD766" i="3"/>
  <c r="BG766" i="3" s="1"/>
  <c r="AY766" i="3"/>
  <c r="BB766" i="3" s="1"/>
  <c r="AT766" i="3"/>
  <c r="AW766" i="3" s="1"/>
  <c r="BI765" i="3"/>
  <c r="BL765" i="3" s="1"/>
  <c r="BD765" i="3"/>
  <c r="BG765" i="3" s="1"/>
  <c r="AY765" i="3"/>
  <c r="BB765" i="3" s="1"/>
  <c r="AT765" i="3"/>
  <c r="AW765" i="3" s="1"/>
  <c r="BI764" i="3"/>
  <c r="BL764" i="3" s="1"/>
  <c r="BD764" i="3"/>
  <c r="BG764" i="3" s="1"/>
  <c r="AY764" i="3"/>
  <c r="BB764" i="3" s="1"/>
  <c r="AT764" i="3"/>
  <c r="AW764" i="3" s="1"/>
  <c r="BI763" i="3"/>
  <c r="BL763" i="3" s="1"/>
  <c r="BD763" i="3"/>
  <c r="BG763" i="3" s="1"/>
  <c r="AY763" i="3"/>
  <c r="BB763" i="3" s="1"/>
  <c r="AT763" i="3"/>
  <c r="AW763" i="3" s="1"/>
  <c r="BI762" i="3"/>
  <c r="BL762" i="3" s="1"/>
  <c r="BD762" i="3"/>
  <c r="BG762" i="3" s="1"/>
  <c r="AY762" i="3"/>
  <c r="BB762" i="3" s="1"/>
  <c r="AT762" i="3"/>
  <c r="AW762" i="3" s="1"/>
  <c r="BI761" i="3"/>
  <c r="BL761" i="3" s="1"/>
  <c r="BD761" i="3"/>
  <c r="BG761" i="3" s="1"/>
  <c r="AY761" i="3"/>
  <c r="BB761" i="3" s="1"/>
  <c r="AT761" i="3"/>
  <c r="AW761" i="3" s="1"/>
  <c r="BI760" i="3"/>
  <c r="BL760" i="3" s="1"/>
  <c r="BD760" i="3"/>
  <c r="BG760" i="3" s="1"/>
  <c r="AY760" i="3"/>
  <c r="BB760" i="3" s="1"/>
  <c r="AT760" i="3"/>
  <c r="AW760" i="3" s="1"/>
  <c r="BI759" i="3"/>
  <c r="BL759" i="3" s="1"/>
  <c r="BD759" i="3"/>
  <c r="BG759" i="3" s="1"/>
  <c r="AY759" i="3"/>
  <c r="BB759" i="3" s="1"/>
  <c r="AT759" i="3"/>
  <c r="AW759" i="3" s="1"/>
  <c r="BI758" i="3"/>
  <c r="BL758" i="3" s="1"/>
  <c r="BD758" i="3"/>
  <c r="BG758" i="3" s="1"/>
  <c r="AY758" i="3"/>
  <c r="BB758" i="3" s="1"/>
  <c r="AT758" i="3"/>
  <c r="AW758" i="3" s="1"/>
  <c r="BI757" i="3"/>
  <c r="BL757" i="3" s="1"/>
  <c r="BD757" i="3"/>
  <c r="BG757" i="3" s="1"/>
  <c r="AY757" i="3"/>
  <c r="BB757" i="3" s="1"/>
  <c r="AW757" i="3"/>
  <c r="AT757" i="3"/>
  <c r="BI756" i="3"/>
  <c r="BL756" i="3" s="1"/>
  <c r="BG756" i="3"/>
  <c r="BD756" i="3"/>
  <c r="AY756" i="3"/>
  <c r="BB756" i="3" s="1"/>
  <c r="AT756" i="3"/>
  <c r="AW756" i="3" s="1"/>
  <c r="BI755" i="3"/>
  <c r="BL755" i="3" s="1"/>
  <c r="BD755" i="3"/>
  <c r="BG755" i="3" s="1"/>
  <c r="AY755" i="3"/>
  <c r="BB755" i="3" s="1"/>
  <c r="AW755" i="3"/>
  <c r="AT755" i="3"/>
  <c r="BI754" i="3"/>
  <c r="BL754" i="3" s="1"/>
  <c r="BG754" i="3"/>
  <c r="BD754" i="3"/>
  <c r="AY754" i="3"/>
  <c r="BB754" i="3" s="1"/>
  <c r="AT754" i="3"/>
  <c r="AW754" i="3" s="1"/>
  <c r="BI753" i="3"/>
  <c r="BL753" i="3" s="1"/>
  <c r="BD753" i="3"/>
  <c r="BG753" i="3" s="1"/>
  <c r="AY753" i="3"/>
  <c r="BB753" i="3" s="1"/>
  <c r="AW753" i="3"/>
  <c r="AT753" i="3"/>
  <c r="BI752" i="3"/>
  <c r="BL752" i="3" s="1"/>
  <c r="BG752" i="3"/>
  <c r="BD752" i="3"/>
  <c r="AY752" i="3"/>
  <c r="BB752" i="3" s="1"/>
  <c r="AT752" i="3"/>
  <c r="AW752" i="3" s="1"/>
  <c r="BI751" i="3"/>
  <c r="BL751" i="3" s="1"/>
  <c r="BD751" i="3"/>
  <c r="BG751" i="3" s="1"/>
  <c r="AY751" i="3"/>
  <c r="BB751" i="3" s="1"/>
  <c r="AW751" i="3"/>
  <c r="AT751" i="3"/>
  <c r="BI750" i="3"/>
  <c r="BL750" i="3" s="1"/>
  <c r="BG750" i="3"/>
  <c r="BD750" i="3"/>
  <c r="AY750" i="3"/>
  <c r="BB750" i="3" s="1"/>
  <c r="AT750" i="3"/>
  <c r="AW750" i="3" s="1"/>
  <c r="BI749" i="3"/>
  <c r="BL749" i="3" s="1"/>
  <c r="BD749" i="3"/>
  <c r="BG749" i="3" s="1"/>
  <c r="AY749" i="3"/>
  <c r="BB749" i="3" s="1"/>
  <c r="AW749" i="3"/>
  <c r="AT749" i="3"/>
  <c r="BI748" i="3"/>
  <c r="BL748" i="3" s="1"/>
  <c r="BG748" i="3"/>
  <c r="BD748" i="3"/>
  <c r="AY748" i="3"/>
  <c r="BB748" i="3" s="1"/>
  <c r="AT748" i="3"/>
  <c r="AW748" i="3" s="1"/>
  <c r="BI747" i="3"/>
  <c r="BL747" i="3" s="1"/>
  <c r="BD747" i="3"/>
  <c r="BG747" i="3" s="1"/>
  <c r="AY747" i="3"/>
  <c r="BB747" i="3" s="1"/>
  <c r="AW747" i="3"/>
  <c r="AT747" i="3"/>
  <c r="BI746" i="3"/>
  <c r="BL746" i="3" s="1"/>
  <c r="BG746" i="3"/>
  <c r="BD746" i="3"/>
  <c r="AY746" i="3"/>
  <c r="BB746" i="3" s="1"/>
  <c r="AT746" i="3"/>
  <c r="AW746" i="3" s="1"/>
  <c r="BI745" i="3"/>
  <c r="BL745" i="3" s="1"/>
  <c r="BD745" i="3"/>
  <c r="BG745" i="3" s="1"/>
  <c r="AY745" i="3"/>
  <c r="BB745" i="3" s="1"/>
  <c r="AW745" i="3"/>
  <c r="AT745" i="3"/>
  <c r="BI744" i="3"/>
  <c r="BL744" i="3" s="1"/>
  <c r="BG744" i="3"/>
  <c r="BD744" i="3"/>
  <c r="AY744" i="3"/>
  <c r="BB744" i="3" s="1"/>
  <c r="AT744" i="3"/>
  <c r="AW744" i="3" s="1"/>
  <c r="BI743" i="3"/>
  <c r="BL743" i="3" s="1"/>
  <c r="BD743" i="3"/>
  <c r="BG743" i="3" s="1"/>
  <c r="AY743" i="3"/>
  <c r="BB743" i="3" s="1"/>
  <c r="AW743" i="3"/>
  <c r="AT743" i="3"/>
  <c r="BI742" i="3"/>
  <c r="BL742" i="3" s="1"/>
  <c r="BG742" i="3"/>
  <c r="BD742" i="3"/>
  <c r="AY742" i="3"/>
  <c r="BB742" i="3" s="1"/>
  <c r="AT742" i="3"/>
  <c r="AW742" i="3" s="1"/>
  <c r="AO742" i="3"/>
  <c r="AR742" i="3" s="1"/>
  <c r="BI741" i="3"/>
  <c r="BL741" i="3" s="1"/>
  <c r="BD741" i="3"/>
  <c r="BG741" i="3" s="1"/>
  <c r="AY741" i="3"/>
  <c r="BB741" i="3" s="1"/>
  <c r="AW741" i="3"/>
  <c r="AT741" i="3"/>
  <c r="BI740" i="3"/>
  <c r="BL740" i="3" s="1"/>
  <c r="BG740" i="3"/>
  <c r="BD740" i="3"/>
  <c r="AY740" i="3"/>
  <c r="BB740" i="3" s="1"/>
  <c r="AT740" i="3"/>
  <c r="AW740" i="3" s="1"/>
  <c r="BI739" i="3"/>
  <c r="BL739" i="3" s="1"/>
  <c r="BD739" i="3"/>
  <c r="BG739" i="3" s="1"/>
  <c r="AY739" i="3"/>
  <c r="BB739" i="3" s="1"/>
  <c r="AW739" i="3"/>
  <c r="AT739" i="3"/>
  <c r="BI738" i="3"/>
  <c r="BL738" i="3" s="1"/>
  <c r="BG738" i="3"/>
  <c r="BD738" i="3"/>
  <c r="AY738" i="3"/>
  <c r="BB738" i="3" s="1"/>
  <c r="AT738" i="3"/>
  <c r="AW738" i="3" s="1"/>
  <c r="BI737" i="3"/>
  <c r="BL737" i="3" s="1"/>
  <c r="BD737" i="3"/>
  <c r="BG737" i="3" s="1"/>
  <c r="AY737" i="3"/>
  <c r="BB737" i="3" s="1"/>
  <c r="AW737" i="3"/>
  <c r="AT737" i="3"/>
  <c r="BI736" i="3"/>
  <c r="BL736" i="3" s="1"/>
  <c r="BG736" i="3"/>
  <c r="BD736" i="3"/>
  <c r="AY736" i="3"/>
  <c r="BB736" i="3" s="1"/>
  <c r="AT736" i="3"/>
  <c r="AW736" i="3" s="1"/>
  <c r="BI735" i="3"/>
  <c r="BL735" i="3" s="1"/>
  <c r="BD735" i="3"/>
  <c r="BG735" i="3" s="1"/>
  <c r="AY735" i="3"/>
  <c r="BB735" i="3" s="1"/>
  <c r="AW735" i="3"/>
  <c r="AT735" i="3"/>
  <c r="BI734" i="3"/>
  <c r="BL734" i="3" s="1"/>
  <c r="BG734" i="3"/>
  <c r="BD734" i="3"/>
  <c r="AY734" i="3"/>
  <c r="BB734" i="3" s="1"/>
  <c r="AT734" i="3"/>
  <c r="AW734" i="3" s="1"/>
  <c r="BI733" i="3"/>
  <c r="BL733" i="3" s="1"/>
  <c r="BD733" i="3"/>
  <c r="BG733" i="3" s="1"/>
  <c r="AY733" i="3"/>
  <c r="BB733" i="3" s="1"/>
  <c r="AW733" i="3"/>
  <c r="AT733" i="3"/>
  <c r="BI732" i="3"/>
  <c r="BL732" i="3" s="1"/>
  <c r="BG732" i="3"/>
  <c r="BD732" i="3"/>
  <c r="AY732" i="3"/>
  <c r="BB732" i="3" s="1"/>
  <c r="AT732" i="3"/>
  <c r="AW732" i="3" s="1"/>
  <c r="BI731" i="3"/>
  <c r="BL731" i="3" s="1"/>
  <c r="BD731" i="3"/>
  <c r="BG731" i="3" s="1"/>
  <c r="AY731" i="3"/>
  <c r="BB731" i="3" s="1"/>
  <c r="AW731" i="3"/>
  <c r="AT731" i="3"/>
  <c r="BI730" i="3"/>
  <c r="BL730" i="3" s="1"/>
  <c r="BG730" i="3"/>
  <c r="BD730" i="3"/>
  <c r="AY730" i="3"/>
  <c r="BB730" i="3" s="1"/>
  <c r="AT730" i="3"/>
  <c r="AW730" i="3" s="1"/>
  <c r="BI729" i="3"/>
  <c r="BL729" i="3" s="1"/>
  <c r="BD729" i="3"/>
  <c r="BG729" i="3" s="1"/>
  <c r="AY729" i="3"/>
  <c r="BB729" i="3" s="1"/>
  <c r="AW729" i="3"/>
  <c r="AT729" i="3"/>
  <c r="BI728" i="3"/>
  <c r="BL728" i="3" s="1"/>
  <c r="BG728" i="3"/>
  <c r="BD728" i="3"/>
  <c r="AY728" i="3"/>
  <c r="BB728" i="3" s="1"/>
  <c r="AT728" i="3"/>
  <c r="AW728" i="3" s="1"/>
  <c r="BI727" i="3"/>
  <c r="BL727" i="3" s="1"/>
  <c r="BD727" i="3"/>
  <c r="BG727" i="3" s="1"/>
  <c r="AY727" i="3"/>
  <c r="BB727" i="3" s="1"/>
  <c r="AW727" i="3"/>
  <c r="AT727" i="3"/>
  <c r="BI726" i="3"/>
  <c r="BL726" i="3" s="1"/>
  <c r="BG726" i="3"/>
  <c r="BD726" i="3"/>
  <c r="AY726" i="3"/>
  <c r="BB726" i="3" s="1"/>
  <c r="AT726" i="3"/>
  <c r="AW726" i="3" s="1"/>
  <c r="BI725" i="3"/>
  <c r="BL725" i="3" s="1"/>
  <c r="BD725" i="3"/>
  <c r="BG725" i="3" s="1"/>
  <c r="AY725" i="3"/>
  <c r="BB725" i="3" s="1"/>
  <c r="AW725" i="3"/>
  <c r="AT725" i="3"/>
  <c r="BI724" i="3"/>
  <c r="BL724" i="3" s="1"/>
  <c r="BG724" i="3"/>
  <c r="BD724" i="3"/>
  <c r="AY724" i="3"/>
  <c r="BB724" i="3" s="1"/>
  <c r="AT724" i="3"/>
  <c r="AW724" i="3" s="1"/>
  <c r="BI723" i="3"/>
  <c r="BL723" i="3" s="1"/>
  <c r="BD723" i="3"/>
  <c r="BG723" i="3" s="1"/>
  <c r="AY723" i="3"/>
  <c r="BB723" i="3" s="1"/>
  <c r="AW723" i="3"/>
  <c r="AT723" i="3"/>
  <c r="BI722" i="3"/>
  <c r="BL722" i="3" s="1"/>
  <c r="BG722" i="3"/>
  <c r="BD722" i="3"/>
  <c r="AY722" i="3"/>
  <c r="BB722" i="3" s="1"/>
  <c r="AT722" i="3"/>
  <c r="AW722" i="3" s="1"/>
  <c r="BI721" i="3"/>
  <c r="BL721" i="3" s="1"/>
  <c r="BD721" i="3"/>
  <c r="BG721" i="3" s="1"/>
  <c r="AY721" i="3"/>
  <c r="BB721" i="3" s="1"/>
  <c r="AW721" i="3"/>
  <c r="AT721" i="3"/>
  <c r="BI720" i="3"/>
  <c r="BL720" i="3" s="1"/>
  <c r="BG720" i="3"/>
  <c r="BD720" i="3"/>
  <c r="AY720" i="3"/>
  <c r="BB720" i="3" s="1"/>
  <c r="AT720" i="3"/>
  <c r="AW720" i="3" s="1"/>
  <c r="BI719" i="3"/>
  <c r="BL719" i="3" s="1"/>
  <c r="BD719" i="3"/>
  <c r="BG719" i="3" s="1"/>
  <c r="AY719" i="3"/>
  <c r="BB719" i="3" s="1"/>
  <c r="AW719" i="3"/>
  <c r="AT719" i="3"/>
  <c r="BI718" i="3"/>
  <c r="BL718" i="3" s="1"/>
  <c r="BG718" i="3"/>
  <c r="BD718" i="3"/>
  <c r="AY718" i="3"/>
  <c r="BB718" i="3" s="1"/>
  <c r="AT718" i="3"/>
  <c r="AW718" i="3" s="1"/>
  <c r="BI717" i="3"/>
  <c r="BL717" i="3" s="1"/>
  <c r="BD717" i="3"/>
  <c r="BG717" i="3" s="1"/>
  <c r="AY717" i="3"/>
  <c r="BB717" i="3" s="1"/>
  <c r="AW717" i="3"/>
  <c r="AT717" i="3"/>
  <c r="BI716" i="3"/>
  <c r="BL716" i="3" s="1"/>
  <c r="BG716" i="3"/>
  <c r="BD716" i="3"/>
  <c r="AY716" i="3"/>
  <c r="BB716" i="3" s="1"/>
  <c r="AT716" i="3"/>
  <c r="AW716" i="3" s="1"/>
  <c r="BI715" i="3"/>
  <c r="BL715" i="3" s="1"/>
  <c r="BD715" i="3"/>
  <c r="BG715" i="3" s="1"/>
  <c r="AY715" i="3"/>
  <c r="BB715" i="3" s="1"/>
  <c r="AW715" i="3"/>
  <c r="AT715" i="3"/>
  <c r="BI714" i="3"/>
  <c r="BL714" i="3" s="1"/>
  <c r="BG714" i="3"/>
  <c r="BD714" i="3"/>
  <c r="AY714" i="3"/>
  <c r="BB714" i="3" s="1"/>
  <c r="AT714" i="3"/>
  <c r="AW714" i="3" s="1"/>
  <c r="BI713" i="3"/>
  <c r="BL713" i="3" s="1"/>
  <c r="BD713" i="3"/>
  <c r="BG713" i="3" s="1"/>
  <c r="AY713" i="3"/>
  <c r="BB713" i="3" s="1"/>
  <c r="AW713" i="3"/>
  <c r="AT713" i="3"/>
  <c r="BI712" i="3"/>
  <c r="BL712" i="3" s="1"/>
  <c r="BG712" i="3"/>
  <c r="BD712" i="3"/>
  <c r="AY712" i="3"/>
  <c r="BB712" i="3" s="1"/>
  <c r="AT712" i="3"/>
  <c r="AW712" i="3" s="1"/>
  <c r="BI711" i="3"/>
  <c r="BL711" i="3" s="1"/>
  <c r="BD711" i="3"/>
  <c r="BG711" i="3" s="1"/>
  <c r="AY711" i="3"/>
  <c r="BB711" i="3" s="1"/>
  <c r="AW711" i="3"/>
  <c r="AT711" i="3"/>
  <c r="BI710" i="3"/>
  <c r="BL710" i="3" s="1"/>
  <c r="BG710" i="3"/>
  <c r="BD710" i="3"/>
  <c r="AY710" i="3"/>
  <c r="BB710" i="3" s="1"/>
  <c r="AT710" i="3"/>
  <c r="AW710" i="3" s="1"/>
  <c r="BI709" i="3"/>
  <c r="BL709" i="3" s="1"/>
  <c r="BD709" i="3"/>
  <c r="BG709" i="3" s="1"/>
  <c r="AY709" i="3"/>
  <c r="BB709" i="3" s="1"/>
  <c r="AW709" i="3"/>
  <c r="AT709" i="3"/>
  <c r="BI708" i="3"/>
  <c r="BL708" i="3" s="1"/>
  <c r="BG708" i="3"/>
  <c r="BD708" i="3"/>
  <c r="AY708" i="3"/>
  <c r="BB708" i="3" s="1"/>
  <c r="AT708" i="3"/>
  <c r="AW708" i="3" s="1"/>
  <c r="BI707" i="3"/>
  <c r="BL707" i="3" s="1"/>
  <c r="BD707" i="3"/>
  <c r="BG707" i="3" s="1"/>
  <c r="AY707" i="3"/>
  <c r="BB707" i="3" s="1"/>
  <c r="AW707" i="3"/>
  <c r="AT707" i="3"/>
  <c r="BI706" i="3"/>
  <c r="BL706" i="3" s="1"/>
  <c r="BG706" i="3"/>
  <c r="BD706" i="3"/>
  <c r="AY706" i="3"/>
  <c r="BB706" i="3" s="1"/>
  <c r="AT706" i="3"/>
  <c r="AW706" i="3" s="1"/>
  <c r="BI705" i="3"/>
  <c r="BL705" i="3" s="1"/>
  <c r="BD705" i="3"/>
  <c r="BG705" i="3" s="1"/>
  <c r="AY705" i="3"/>
  <c r="BB705" i="3" s="1"/>
  <c r="AW705" i="3"/>
  <c r="AT705" i="3"/>
  <c r="BI704" i="3"/>
  <c r="BL704" i="3" s="1"/>
  <c r="BG704" i="3"/>
  <c r="BD704" i="3"/>
  <c r="AY704" i="3"/>
  <c r="BB704" i="3" s="1"/>
  <c r="AT704" i="3"/>
  <c r="AW704" i="3" s="1"/>
  <c r="BI703" i="3"/>
  <c r="BL703" i="3" s="1"/>
  <c r="BD703" i="3"/>
  <c r="BG703" i="3" s="1"/>
  <c r="AY703" i="3"/>
  <c r="BB703" i="3" s="1"/>
  <c r="AW703" i="3"/>
  <c r="AT703" i="3"/>
  <c r="BI702" i="3"/>
  <c r="BL702" i="3" s="1"/>
  <c r="BG702" i="3"/>
  <c r="BD702" i="3"/>
  <c r="AY702" i="3"/>
  <c r="BB702" i="3" s="1"/>
  <c r="AT702" i="3"/>
  <c r="AW702" i="3" s="1"/>
  <c r="BI701" i="3"/>
  <c r="BL701" i="3" s="1"/>
  <c r="BD701" i="3"/>
  <c r="BG701" i="3" s="1"/>
  <c r="AY701" i="3"/>
  <c r="BB701" i="3" s="1"/>
  <c r="AW701" i="3"/>
  <c r="AT701" i="3"/>
  <c r="BI700" i="3"/>
  <c r="BL700" i="3" s="1"/>
  <c r="BD700" i="3"/>
  <c r="BG700" i="3" s="1"/>
  <c r="AY700" i="3"/>
  <c r="BB700" i="3" s="1"/>
  <c r="AT700" i="3"/>
  <c r="AW700" i="3" s="1"/>
  <c r="BI699" i="3"/>
  <c r="BL699" i="3" s="1"/>
  <c r="BD699" i="3"/>
  <c r="BG699" i="3" s="1"/>
  <c r="AY699" i="3"/>
  <c r="BB699" i="3" s="1"/>
  <c r="AT699" i="3"/>
  <c r="AW699" i="3" s="1"/>
  <c r="BI698" i="3"/>
  <c r="BL698" i="3" s="1"/>
  <c r="BD698" i="3"/>
  <c r="BG698" i="3" s="1"/>
  <c r="AY698" i="3"/>
  <c r="BB698" i="3" s="1"/>
  <c r="AT698" i="3"/>
  <c r="AW698" i="3" s="1"/>
  <c r="BI697" i="3"/>
  <c r="BL697" i="3" s="1"/>
  <c r="BD697" i="3"/>
  <c r="BG697" i="3" s="1"/>
  <c r="AY697" i="3"/>
  <c r="BB697" i="3" s="1"/>
  <c r="AT697" i="3"/>
  <c r="AW697" i="3" s="1"/>
  <c r="AO697" i="3"/>
  <c r="AR697" i="3" s="1"/>
  <c r="BI696" i="3"/>
  <c r="BL696" i="3" s="1"/>
  <c r="BD696" i="3"/>
  <c r="BG696" i="3" s="1"/>
  <c r="AY696" i="3"/>
  <c r="BB696" i="3" s="1"/>
  <c r="AT696" i="3"/>
  <c r="AW696" i="3" s="1"/>
  <c r="BI695" i="3"/>
  <c r="BL695" i="3" s="1"/>
  <c r="BD695" i="3"/>
  <c r="BG695" i="3" s="1"/>
  <c r="AY695" i="3"/>
  <c r="BB695" i="3" s="1"/>
  <c r="AT695" i="3"/>
  <c r="AW695" i="3" s="1"/>
  <c r="BI694" i="3"/>
  <c r="BL694" i="3" s="1"/>
  <c r="BD694" i="3"/>
  <c r="BG694" i="3" s="1"/>
  <c r="AY694" i="3"/>
  <c r="BB694" i="3" s="1"/>
  <c r="AT694" i="3"/>
  <c r="AW694" i="3" s="1"/>
  <c r="BI693" i="3"/>
  <c r="BL693" i="3" s="1"/>
  <c r="BD693" i="3"/>
  <c r="BG693" i="3" s="1"/>
  <c r="AY693" i="3"/>
  <c r="BB693" i="3" s="1"/>
  <c r="AT693" i="3"/>
  <c r="AW693" i="3" s="1"/>
  <c r="BI692" i="3"/>
  <c r="BL692" i="3" s="1"/>
  <c r="BD692" i="3"/>
  <c r="BG692" i="3" s="1"/>
  <c r="AY692" i="3"/>
  <c r="BB692" i="3" s="1"/>
  <c r="AT692" i="3"/>
  <c r="AW692" i="3" s="1"/>
  <c r="BI691" i="3"/>
  <c r="BL691" i="3" s="1"/>
  <c r="BD691" i="3"/>
  <c r="BG691" i="3" s="1"/>
  <c r="AY691" i="3"/>
  <c r="BB691" i="3" s="1"/>
  <c r="AT691" i="3"/>
  <c r="AW691" i="3" s="1"/>
  <c r="BI690" i="3"/>
  <c r="BL690" i="3" s="1"/>
  <c r="BD690" i="3"/>
  <c r="BG690" i="3" s="1"/>
  <c r="AY690" i="3"/>
  <c r="BB690" i="3" s="1"/>
  <c r="AT690" i="3"/>
  <c r="AW690" i="3" s="1"/>
  <c r="BI689" i="3"/>
  <c r="BL689" i="3" s="1"/>
  <c r="BD689" i="3"/>
  <c r="BG689" i="3" s="1"/>
  <c r="AY689" i="3"/>
  <c r="BB689" i="3" s="1"/>
  <c r="AT689" i="3"/>
  <c r="AW689" i="3" s="1"/>
  <c r="BI688" i="3"/>
  <c r="BL688" i="3" s="1"/>
  <c r="BD688" i="3"/>
  <c r="BG688" i="3" s="1"/>
  <c r="AY688" i="3"/>
  <c r="BB688" i="3" s="1"/>
  <c r="AT688" i="3"/>
  <c r="AW688" i="3" s="1"/>
  <c r="BI687" i="3"/>
  <c r="BL687" i="3" s="1"/>
  <c r="BD687" i="3"/>
  <c r="BG687" i="3" s="1"/>
  <c r="AY687" i="3"/>
  <c r="BB687" i="3" s="1"/>
  <c r="AT687" i="3"/>
  <c r="AW687" i="3" s="1"/>
  <c r="BI686" i="3"/>
  <c r="BL686" i="3" s="1"/>
  <c r="BD686" i="3"/>
  <c r="BG686" i="3" s="1"/>
  <c r="AY686" i="3"/>
  <c r="BB686" i="3" s="1"/>
  <c r="AT686" i="3"/>
  <c r="AW686" i="3" s="1"/>
  <c r="BI685" i="3"/>
  <c r="BL685" i="3" s="1"/>
  <c r="BD685" i="3"/>
  <c r="BG685" i="3" s="1"/>
  <c r="AY685" i="3"/>
  <c r="BB685" i="3" s="1"/>
  <c r="AT685" i="3"/>
  <c r="AW685" i="3" s="1"/>
  <c r="AO685" i="3"/>
  <c r="AR685" i="3" s="1"/>
  <c r="BI684" i="3"/>
  <c r="BL684" i="3" s="1"/>
  <c r="BD684" i="3"/>
  <c r="BG684" i="3" s="1"/>
  <c r="AY684" i="3"/>
  <c r="BB684" i="3" s="1"/>
  <c r="AT684" i="3"/>
  <c r="AW684" i="3" s="1"/>
  <c r="BI683" i="3"/>
  <c r="BL683" i="3" s="1"/>
  <c r="BD683" i="3"/>
  <c r="BG683" i="3" s="1"/>
  <c r="AY683" i="3"/>
  <c r="BB683" i="3" s="1"/>
  <c r="AT683" i="3"/>
  <c r="AW683" i="3" s="1"/>
  <c r="BI682" i="3"/>
  <c r="BL682" i="3" s="1"/>
  <c r="BD682" i="3"/>
  <c r="BG682" i="3" s="1"/>
  <c r="AY682" i="3"/>
  <c r="BB682" i="3" s="1"/>
  <c r="AT682" i="3"/>
  <c r="AW682" i="3" s="1"/>
  <c r="BI681" i="3"/>
  <c r="BL681" i="3" s="1"/>
  <c r="BD681" i="3"/>
  <c r="BG681" i="3" s="1"/>
  <c r="AY681" i="3"/>
  <c r="BB681" i="3" s="1"/>
  <c r="AT681" i="3"/>
  <c r="AW681" i="3" s="1"/>
  <c r="AO681" i="3"/>
  <c r="AR681" i="3" s="1"/>
  <c r="BI680" i="3"/>
  <c r="BL680" i="3" s="1"/>
  <c r="BD680" i="3"/>
  <c r="BG680" i="3" s="1"/>
  <c r="AY680" i="3"/>
  <c r="BB680" i="3" s="1"/>
  <c r="AT680" i="3"/>
  <c r="AW680" i="3" s="1"/>
  <c r="BI679" i="3"/>
  <c r="BL679" i="3" s="1"/>
  <c r="BD679" i="3"/>
  <c r="BG679" i="3" s="1"/>
  <c r="AY679" i="3"/>
  <c r="BB679" i="3" s="1"/>
  <c r="AT679" i="3"/>
  <c r="AW679" i="3" s="1"/>
  <c r="BI678" i="3"/>
  <c r="BL678" i="3" s="1"/>
  <c r="BD678" i="3"/>
  <c r="BG678" i="3" s="1"/>
  <c r="AY678" i="3"/>
  <c r="BB678" i="3" s="1"/>
  <c r="AT678" i="3"/>
  <c r="AW678" i="3" s="1"/>
  <c r="BI677" i="3"/>
  <c r="BL677" i="3" s="1"/>
  <c r="BD677" i="3"/>
  <c r="BG677" i="3" s="1"/>
  <c r="AY677" i="3"/>
  <c r="BB677" i="3" s="1"/>
  <c r="AT677" i="3"/>
  <c r="AW677" i="3" s="1"/>
  <c r="BI676" i="3"/>
  <c r="BL676" i="3" s="1"/>
  <c r="BD676" i="3"/>
  <c r="BG676" i="3" s="1"/>
  <c r="AY676" i="3"/>
  <c r="BB676" i="3" s="1"/>
  <c r="AT676" i="3"/>
  <c r="AW676" i="3" s="1"/>
  <c r="BI675" i="3"/>
  <c r="BL675" i="3" s="1"/>
  <c r="BD675" i="3"/>
  <c r="BG675" i="3" s="1"/>
  <c r="AY675" i="3"/>
  <c r="BB675" i="3" s="1"/>
  <c r="AT675" i="3"/>
  <c r="AW675" i="3" s="1"/>
  <c r="BI674" i="3"/>
  <c r="BL674" i="3" s="1"/>
  <c r="BD674" i="3"/>
  <c r="BG674" i="3" s="1"/>
  <c r="AY674" i="3"/>
  <c r="BB674" i="3" s="1"/>
  <c r="AT674" i="3"/>
  <c r="AW674" i="3" s="1"/>
  <c r="BI673" i="3"/>
  <c r="BL673" i="3" s="1"/>
  <c r="BD673" i="3"/>
  <c r="BG673" i="3" s="1"/>
  <c r="AY673" i="3"/>
  <c r="BB673" i="3" s="1"/>
  <c r="AT673" i="3"/>
  <c r="AW673" i="3" s="1"/>
  <c r="BI672" i="3"/>
  <c r="BL672" i="3" s="1"/>
  <c r="BD672" i="3"/>
  <c r="BG672" i="3" s="1"/>
  <c r="AY672" i="3"/>
  <c r="BB672" i="3" s="1"/>
  <c r="AT672" i="3"/>
  <c r="AW672" i="3" s="1"/>
  <c r="BI671" i="3"/>
  <c r="BL671" i="3" s="1"/>
  <c r="BD671" i="3"/>
  <c r="BG671" i="3" s="1"/>
  <c r="AY671" i="3"/>
  <c r="BB671" i="3" s="1"/>
  <c r="AT671" i="3"/>
  <c r="AW671" i="3" s="1"/>
  <c r="BI670" i="3"/>
  <c r="BL670" i="3" s="1"/>
  <c r="BD670" i="3"/>
  <c r="BG670" i="3" s="1"/>
  <c r="AY670" i="3"/>
  <c r="BB670" i="3" s="1"/>
  <c r="AT670" i="3"/>
  <c r="AW670" i="3" s="1"/>
  <c r="BI669" i="3"/>
  <c r="BL669" i="3" s="1"/>
  <c r="BD669" i="3"/>
  <c r="BG669" i="3" s="1"/>
  <c r="AY669" i="3"/>
  <c r="BB669" i="3" s="1"/>
  <c r="AT669" i="3"/>
  <c r="AW669" i="3" s="1"/>
  <c r="AO669" i="3"/>
  <c r="AR669" i="3" s="1"/>
  <c r="BI668" i="3"/>
  <c r="BL668" i="3" s="1"/>
  <c r="BD668" i="3"/>
  <c r="BG668" i="3" s="1"/>
  <c r="AY668" i="3"/>
  <c r="BB668" i="3" s="1"/>
  <c r="AT668" i="3"/>
  <c r="AW668" i="3" s="1"/>
  <c r="BI667" i="3"/>
  <c r="BL667" i="3" s="1"/>
  <c r="BD667" i="3"/>
  <c r="BG667" i="3" s="1"/>
  <c r="AY667" i="3"/>
  <c r="BB667" i="3" s="1"/>
  <c r="AT667" i="3"/>
  <c r="AW667" i="3" s="1"/>
  <c r="BI666" i="3"/>
  <c r="BL666" i="3" s="1"/>
  <c r="BD666" i="3"/>
  <c r="BG666" i="3" s="1"/>
  <c r="AY666" i="3"/>
  <c r="BB666" i="3" s="1"/>
  <c r="AT666" i="3"/>
  <c r="AW666" i="3" s="1"/>
  <c r="BI665" i="3"/>
  <c r="BL665" i="3" s="1"/>
  <c r="BD665" i="3"/>
  <c r="BG665" i="3" s="1"/>
  <c r="AY665" i="3"/>
  <c r="BB665" i="3" s="1"/>
  <c r="AT665" i="3"/>
  <c r="AW665" i="3" s="1"/>
  <c r="AO665" i="3"/>
  <c r="AR665" i="3" s="1"/>
  <c r="BI664" i="3"/>
  <c r="BL664" i="3" s="1"/>
  <c r="BD664" i="3"/>
  <c r="BG664" i="3" s="1"/>
  <c r="AY664" i="3"/>
  <c r="BB664" i="3" s="1"/>
  <c r="AT664" i="3"/>
  <c r="AW664" i="3" s="1"/>
  <c r="BI663" i="3"/>
  <c r="BL663" i="3" s="1"/>
  <c r="BD663" i="3"/>
  <c r="BG663" i="3" s="1"/>
  <c r="AY663" i="3"/>
  <c r="BB663" i="3" s="1"/>
  <c r="AT663" i="3"/>
  <c r="AW663" i="3" s="1"/>
  <c r="BI662" i="3"/>
  <c r="BL662" i="3" s="1"/>
  <c r="BG662" i="3"/>
  <c r="BD662" i="3"/>
  <c r="AY662" i="3"/>
  <c r="BB662" i="3" s="1"/>
  <c r="AT662" i="3"/>
  <c r="AW662" i="3" s="1"/>
  <c r="BI661" i="3"/>
  <c r="BL661" i="3" s="1"/>
  <c r="BD661" i="3"/>
  <c r="BG661" i="3" s="1"/>
  <c r="AY661" i="3"/>
  <c r="BB661" i="3" s="1"/>
  <c r="AW661" i="3"/>
  <c r="AT661" i="3"/>
  <c r="BI660" i="3"/>
  <c r="BL660" i="3" s="1"/>
  <c r="BD660" i="3"/>
  <c r="BG660" i="3" s="1"/>
  <c r="AY660" i="3"/>
  <c r="BB660" i="3" s="1"/>
  <c r="AT660" i="3"/>
  <c r="AW660" i="3" s="1"/>
  <c r="BI659" i="3"/>
  <c r="BL659" i="3" s="1"/>
  <c r="BD659" i="3"/>
  <c r="BG659" i="3" s="1"/>
  <c r="AY659" i="3"/>
  <c r="BB659" i="3" s="1"/>
  <c r="AT659" i="3"/>
  <c r="AW659" i="3" s="1"/>
  <c r="BI658" i="3"/>
  <c r="BL658" i="3" s="1"/>
  <c r="BG658" i="3"/>
  <c r="BD658" i="3"/>
  <c r="AY658" i="3"/>
  <c r="BB658" i="3" s="1"/>
  <c r="AT658" i="3"/>
  <c r="AW658" i="3" s="1"/>
  <c r="BI657" i="3"/>
  <c r="BL657" i="3" s="1"/>
  <c r="BD657" i="3"/>
  <c r="BG657" i="3" s="1"/>
  <c r="AY657" i="3"/>
  <c r="BB657" i="3" s="1"/>
  <c r="AW657" i="3"/>
  <c r="AT657" i="3"/>
  <c r="AO657" i="3"/>
  <c r="AR657" i="3" s="1"/>
  <c r="BI656" i="3"/>
  <c r="BL656" i="3" s="1"/>
  <c r="BD656" i="3"/>
  <c r="BG656" i="3" s="1"/>
  <c r="AY656" i="3"/>
  <c r="BB656" i="3" s="1"/>
  <c r="AT656" i="3"/>
  <c r="AW656" i="3" s="1"/>
  <c r="BI655" i="3"/>
  <c r="BL655" i="3" s="1"/>
  <c r="BD655" i="3"/>
  <c r="BG655" i="3" s="1"/>
  <c r="AY655" i="3"/>
  <c r="BB655" i="3" s="1"/>
  <c r="AT655" i="3"/>
  <c r="AW655" i="3" s="1"/>
  <c r="BI654" i="3"/>
  <c r="BL654" i="3" s="1"/>
  <c r="BD654" i="3"/>
  <c r="BG654" i="3" s="1"/>
  <c r="AY654" i="3"/>
  <c r="BB654" i="3" s="1"/>
  <c r="AT654" i="3"/>
  <c r="AW654" i="3" s="1"/>
  <c r="BI653" i="3"/>
  <c r="BL653" i="3" s="1"/>
  <c r="BD653" i="3"/>
  <c r="BG653" i="3" s="1"/>
  <c r="AY653" i="3"/>
  <c r="BB653" i="3" s="1"/>
  <c r="AT653" i="3"/>
  <c r="AW653" i="3" s="1"/>
  <c r="AO653" i="3"/>
  <c r="AR653" i="3" s="1"/>
  <c r="BI652" i="3"/>
  <c r="BL652" i="3" s="1"/>
  <c r="BD652" i="3"/>
  <c r="BG652" i="3" s="1"/>
  <c r="AY652" i="3"/>
  <c r="BB652" i="3" s="1"/>
  <c r="AT652" i="3"/>
  <c r="AW652" i="3" s="1"/>
  <c r="BI651" i="3"/>
  <c r="BL651" i="3" s="1"/>
  <c r="BD651" i="3"/>
  <c r="BG651" i="3" s="1"/>
  <c r="AY651" i="3"/>
  <c r="BB651" i="3" s="1"/>
  <c r="AT651" i="3"/>
  <c r="AW651" i="3" s="1"/>
  <c r="BI650" i="3"/>
  <c r="BL650" i="3" s="1"/>
  <c r="BG650" i="3"/>
  <c r="BD650" i="3"/>
  <c r="AY650" i="3"/>
  <c r="BB650" i="3" s="1"/>
  <c r="AT650" i="3"/>
  <c r="AW650" i="3" s="1"/>
  <c r="BI649" i="3"/>
  <c r="BL649" i="3" s="1"/>
  <c r="BD649" i="3"/>
  <c r="BG649" i="3" s="1"/>
  <c r="AY649" i="3"/>
  <c r="BB649" i="3" s="1"/>
  <c r="AW649" i="3"/>
  <c r="AT649" i="3"/>
  <c r="BI648" i="3"/>
  <c r="BL648" i="3" s="1"/>
  <c r="BD648" i="3"/>
  <c r="BG648" i="3" s="1"/>
  <c r="AY648" i="3"/>
  <c r="BB648" i="3" s="1"/>
  <c r="AT648" i="3"/>
  <c r="AW648" i="3" s="1"/>
  <c r="BI647" i="3"/>
  <c r="BL647" i="3" s="1"/>
  <c r="BD647" i="3"/>
  <c r="BG647" i="3" s="1"/>
  <c r="AY647" i="3"/>
  <c r="BB647" i="3" s="1"/>
  <c r="AT647" i="3"/>
  <c r="AW647" i="3" s="1"/>
  <c r="BI646" i="3"/>
  <c r="BL646" i="3" s="1"/>
  <c r="BG646" i="3"/>
  <c r="BD646" i="3"/>
  <c r="AY646" i="3"/>
  <c r="BB646" i="3" s="1"/>
  <c r="AT646" i="3"/>
  <c r="AW646" i="3" s="1"/>
  <c r="BI645" i="3"/>
  <c r="BL645" i="3" s="1"/>
  <c r="BD645" i="3"/>
  <c r="BG645" i="3" s="1"/>
  <c r="AY645" i="3"/>
  <c r="BB645" i="3" s="1"/>
  <c r="AW645" i="3"/>
  <c r="AT645" i="3"/>
  <c r="AO645" i="3"/>
  <c r="AR645" i="3" s="1"/>
  <c r="BI644" i="3"/>
  <c r="BL644" i="3" s="1"/>
  <c r="BD644" i="3"/>
  <c r="BG644" i="3" s="1"/>
  <c r="AY644" i="3"/>
  <c r="BB644" i="3" s="1"/>
  <c r="AT644" i="3"/>
  <c r="AW644" i="3" s="1"/>
  <c r="BI643" i="3"/>
  <c r="BL643" i="3" s="1"/>
  <c r="BG643" i="3"/>
  <c r="BD643" i="3"/>
  <c r="AY643" i="3"/>
  <c r="BB643" i="3" s="1"/>
  <c r="AT643" i="3"/>
  <c r="AW643" i="3" s="1"/>
  <c r="BI642" i="3"/>
  <c r="BL642" i="3" s="1"/>
  <c r="BG642" i="3"/>
  <c r="BD642" i="3"/>
  <c r="AY642" i="3"/>
  <c r="BB642" i="3" s="1"/>
  <c r="AW642" i="3"/>
  <c r="AT642" i="3"/>
  <c r="BI641" i="3"/>
  <c r="BL641" i="3" s="1"/>
  <c r="BD641" i="3"/>
  <c r="BG641" i="3" s="1"/>
  <c r="AY641" i="3"/>
  <c r="BB641" i="3" s="1"/>
  <c r="AW641" i="3"/>
  <c r="AT641" i="3"/>
  <c r="AO641" i="3"/>
  <c r="AR641" i="3" s="1"/>
  <c r="BI640" i="3"/>
  <c r="BL640" i="3" s="1"/>
  <c r="BG640" i="3"/>
  <c r="BD640" i="3"/>
  <c r="AY640" i="3"/>
  <c r="BB640" i="3" s="1"/>
  <c r="AT640" i="3"/>
  <c r="AW640" i="3" s="1"/>
  <c r="BI639" i="3"/>
  <c r="BL639" i="3" s="1"/>
  <c r="BG639" i="3"/>
  <c r="BD639" i="3"/>
  <c r="AY639" i="3"/>
  <c r="BB639" i="3" s="1"/>
  <c r="AT639" i="3"/>
  <c r="AW639" i="3" s="1"/>
  <c r="BI638" i="3"/>
  <c r="BL638" i="3" s="1"/>
  <c r="BG638" i="3"/>
  <c r="BD638" i="3"/>
  <c r="AY638" i="3"/>
  <c r="BB638" i="3" s="1"/>
  <c r="AT638" i="3"/>
  <c r="AW638" i="3" s="1"/>
  <c r="BI637" i="3"/>
  <c r="BL637" i="3" s="1"/>
  <c r="BD637" i="3"/>
  <c r="BG637" i="3" s="1"/>
  <c r="AY637" i="3"/>
  <c r="BB637" i="3" s="1"/>
  <c r="AW637" i="3"/>
  <c r="AT637" i="3"/>
  <c r="BI636" i="3"/>
  <c r="BL636" i="3" s="1"/>
  <c r="BD636" i="3"/>
  <c r="BG636" i="3" s="1"/>
  <c r="AY636" i="3"/>
  <c r="BB636" i="3" s="1"/>
  <c r="AT636" i="3"/>
  <c r="AW636" i="3" s="1"/>
  <c r="BL635" i="3"/>
  <c r="BI635" i="3"/>
  <c r="BD635" i="3"/>
  <c r="BG635" i="3" s="1"/>
  <c r="AY635" i="3"/>
  <c r="BB635" i="3" s="1"/>
  <c r="AT635" i="3"/>
  <c r="AW635" i="3" s="1"/>
  <c r="BI634" i="3"/>
  <c r="BL634" i="3" s="1"/>
  <c r="BD634" i="3"/>
  <c r="BG634" i="3" s="1"/>
  <c r="BB634" i="3"/>
  <c r="AY634" i="3"/>
  <c r="AT634" i="3"/>
  <c r="AW634" i="3" s="1"/>
  <c r="BL633" i="3"/>
  <c r="BI633" i="3"/>
  <c r="BD633" i="3"/>
  <c r="BG633" i="3" s="1"/>
  <c r="AY633" i="3"/>
  <c r="BB633" i="3" s="1"/>
  <c r="AT633" i="3"/>
  <c r="AW633" i="3" s="1"/>
  <c r="BI632" i="3"/>
  <c r="BL632" i="3" s="1"/>
  <c r="BD632" i="3"/>
  <c r="BG632" i="3" s="1"/>
  <c r="BB632" i="3"/>
  <c r="AY632" i="3"/>
  <c r="AT632" i="3"/>
  <c r="AW632" i="3" s="1"/>
  <c r="BL631" i="3"/>
  <c r="BI631" i="3"/>
  <c r="BD631" i="3"/>
  <c r="BG631" i="3" s="1"/>
  <c r="AY631" i="3"/>
  <c r="BB631" i="3" s="1"/>
  <c r="AT631" i="3"/>
  <c r="AW631" i="3" s="1"/>
  <c r="BI630" i="3"/>
  <c r="BL630" i="3" s="1"/>
  <c r="BD630" i="3"/>
  <c r="BG630" i="3" s="1"/>
  <c r="BB630" i="3"/>
  <c r="AY630" i="3"/>
  <c r="AT630" i="3"/>
  <c r="AW630" i="3" s="1"/>
  <c r="BL629" i="3"/>
  <c r="BI629" i="3"/>
  <c r="BD629" i="3"/>
  <c r="BG629" i="3" s="1"/>
  <c r="AY629" i="3"/>
  <c r="BB629" i="3" s="1"/>
  <c r="AT629" i="3"/>
  <c r="AW629" i="3" s="1"/>
  <c r="BI628" i="3"/>
  <c r="BL628" i="3" s="1"/>
  <c r="BD628" i="3"/>
  <c r="BG628" i="3" s="1"/>
  <c r="BB628" i="3"/>
  <c r="AY628" i="3"/>
  <c r="AT628" i="3"/>
  <c r="AW628" i="3" s="1"/>
  <c r="BL627" i="3"/>
  <c r="BI627" i="3"/>
  <c r="BD627" i="3"/>
  <c r="BG627" i="3" s="1"/>
  <c r="AY627" i="3"/>
  <c r="BB627" i="3" s="1"/>
  <c r="AT627" i="3"/>
  <c r="AW627" i="3" s="1"/>
  <c r="BI626" i="3"/>
  <c r="BL626" i="3" s="1"/>
  <c r="BD626" i="3"/>
  <c r="BG626" i="3" s="1"/>
  <c r="BB626" i="3"/>
  <c r="AY626" i="3"/>
  <c r="AT626" i="3"/>
  <c r="AW626" i="3" s="1"/>
  <c r="BL625" i="3"/>
  <c r="BI625" i="3"/>
  <c r="BD625" i="3"/>
  <c r="BG625" i="3" s="1"/>
  <c r="AY625" i="3"/>
  <c r="BB625" i="3" s="1"/>
  <c r="AT625" i="3"/>
  <c r="AW625" i="3" s="1"/>
  <c r="BI624" i="3"/>
  <c r="BL624" i="3" s="1"/>
  <c r="BD624" i="3"/>
  <c r="BG624" i="3" s="1"/>
  <c r="BB624" i="3"/>
  <c r="AY624" i="3"/>
  <c r="AT624" i="3"/>
  <c r="AW624" i="3" s="1"/>
  <c r="BL623" i="3"/>
  <c r="BI623" i="3"/>
  <c r="BD623" i="3"/>
  <c r="BG623" i="3" s="1"/>
  <c r="AY623" i="3"/>
  <c r="BB623" i="3" s="1"/>
  <c r="AT623" i="3"/>
  <c r="AW623" i="3" s="1"/>
  <c r="BI622" i="3"/>
  <c r="BL622" i="3" s="1"/>
  <c r="BD622" i="3"/>
  <c r="BG622" i="3" s="1"/>
  <c r="BB622" i="3"/>
  <c r="AY622" i="3"/>
  <c r="AT622" i="3"/>
  <c r="AW622" i="3" s="1"/>
  <c r="BL621" i="3"/>
  <c r="BI621" i="3"/>
  <c r="BD621" i="3"/>
  <c r="BG621" i="3" s="1"/>
  <c r="AY621" i="3"/>
  <c r="BB621" i="3" s="1"/>
  <c r="AT621" i="3"/>
  <c r="AW621" i="3" s="1"/>
  <c r="BI620" i="3"/>
  <c r="BL620" i="3" s="1"/>
  <c r="BD620" i="3"/>
  <c r="BG620" i="3" s="1"/>
  <c r="BB620" i="3"/>
  <c r="AY620" i="3"/>
  <c r="AT620" i="3"/>
  <c r="AW620" i="3" s="1"/>
  <c r="BL619" i="3"/>
  <c r="BI619" i="3"/>
  <c r="BD619" i="3"/>
  <c r="BG619" i="3" s="1"/>
  <c r="AY619" i="3"/>
  <c r="BB619" i="3" s="1"/>
  <c r="AT619" i="3"/>
  <c r="AW619" i="3" s="1"/>
  <c r="BI618" i="3"/>
  <c r="BL618" i="3" s="1"/>
  <c r="BD618" i="3"/>
  <c r="BG618" i="3" s="1"/>
  <c r="BB618" i="3"/>
  <c r="AY618" i="3"/>
  <c r="AT618" i="3"/>
  <c r="AW618" i="3" s="1"/>
  <c r="BL617" i="3"/>
  <c r="BI617" i="3"/>
  <c r="BD617" i="3"/>
  <c r="BG617" i="3" s="1"/>
  <c r="AY617" i="3"/>
  <c r="BB617" i="3" s="1"/>
  <c r="AT617" i="3"/>
  <c r="AW617" i="3" s="1"/>
  <c r="AO617" i="3"/>
  <c r="AR617" i="3" s="1"/>
  <c r="BI616" i="3"/>
  <c r="BL616" i="3" s="1"/>
  <c r="BD616" i="3"/>
  <c r="BG616" i="3" s="1"/>
  <c r="BB616" i="3"/>
  <c r="AY616" i="3"/>
  <c r="AT616" i="3"/>
  <c r="AW616" i="3" s="1"/>
  <c r="BL615" i="3"/>
  <c r="BI615" i="3"/>
  <c r="BD615" i="3"/>
  <c r="BG615" i="3" s="1"/>
  <c r="AY615" i="3"/>
  <c r="BB615" i="3" s="1"/>
  <c r="AT615" i="3"/>
  <c r="AW615" i="3" s="1"/>
  <c r="BI614" i="3"/>
  <c r="BL614" i="3" s="1"/>
  <c r="BD614" i="3"/>
  <c r="BG614" i="3" s="1"/>
  <c r="BB614" i="3"/>
  <c r="AY614" i="3"/>
  <c r="AT614" i="3"/>
  <c r="AW614" i="3" s="1"/>
  <c r="BL613" i="3"/>
  <c r="BI613" i="3"/>
  <c r="BD613" i="3"/>
  <c r="BG613" i="3" s="1"/>
  <c r="AY613" i="3"/>
  <c r="BB613" i="3" s="1"/>
  <c r="AT613" i="3"/>
  <c r="AW613" i="3" s="1"/>
  <c r="AO613" i="3"/>
  <c r="AR613" i="3" s="1"/>
  <c r="BI612" i="3"/>
  <c r="BL612" i="3" s="1"/>
  <c r="BD612" i="3"/>
  <c r="BG612" i="3" s="1"/>
  <c r="BB612" i="3"/>
  <c r="AY612" i="3"/>
  <c r="AT612" i="3"/>
  <c r="AW612" i="3" s="1"/>
  <c r="BL611" i="3"/>
  <c r="BI611" i="3"/>
  <c r="BD611" i="3"/>
  <c r="BG611" i="3" s="1"/>
  <c r="AY611" i="3"/>
  <c r="BB611" i="3" s="1"/>
  <c r="AT611" i="3"/>
  <c r="AW611" i="3" s="1"/>
  <c r="BI610" i="3"/>
  <c r="BL610" i="3" s="1"/>
  <c r="BD610" i="3"/>
  <c r="BG610" i="3" s="1"/>
  <c r="BB610" i="3"/>
  <c r="AY610" i="3"/>
  <c r="AT610" i="3"/>
  <c r="AW610" i="3" s="1"/>
  <c r="BL609" i="3"/>
  <c r="BI609" i="3"/>
  <c r="BG609" i="3"/>
  <c r="BD609" i="3"/>
  <c r="BB609" i="3"/>
  <c r="AY609" i="3"/>
  <c r="AW609" i="3"/>
  <c r="AT609" i="3"/>
  <c r="AO609" i="3"/>
  <c r="AR609" i="3" s="1"/>
  <c r="AJ609" i="3"/>
  <c r="AM609" i="3" s="1"/>
  <c r="BL608" i="3"/>
  <c r="BI608" i="3"/>
  <c r="BG608" i="3"/>
  <c r="BD608" i="3"/>
  <c r="BB608" i="3"/>
  <c r="AY608" i="3"/>
  <c r="AW608" i="3"/>
  <c r="AT608" i="3"/>
  <c r="BL607" i="3"/>
  <c r="BI607" i="3"/>
  <c r="BG607" i="3"/>
  <c r="BD607" i="3"/>
  <c r="BB607" i="3"/>
  <c r="AY607" i="3"/>
  <c r="AW607" i="3"/>
  <c r="AT607" i="3"/>
  <c r="BL606" i="3"/>
  <c r="BI606" i="3"/>
  <c r="BG606" i="3"/>
  <c r="BD606" i="3"/>
  <c r="BB606" i="3"/>
  <c r="AY606" i="3"/>
  <c r="AW606" i="3"/>
  <c r="AT606" i="3"/>
  <c r="BL605" i="3"/>
  <c r="BI605" i="3"/>
  <c r="BG605" i="3"/>
  <c r="BD605" i="3"/>
  <c r="BB605" i="3"/>
  <c r="AY605" i="3"/>
  <c r="AW605" i="3"/>
  <c r="AT605" i="3"/>
  <c r="BL604" i="3"/>
  <c r="BI604" i="3"/>
  <c r="BG604" i="3"/>
  <c r="BD604" i="3"/>
  <c r="BB604" i="3"/>
  <c r="AY604" i="3"/>
  <c r="AW604" i="3"/>
  <c r="AT604" i="3"/>
  <c r="BL603" i="3"/>
  <c r="BI603" i="3"/>
  <c r="BG603" i="3"/>
  <c r="BD603" i="3"/>
  <c r="BB603" i="3"/>
  <c r="AY603" i="3"/>
  <c r="AW603" i="3"/>
  <c r="AT603" i="3"/>
  <c r="BL602" i="3"/>
  <c r="BI602" i="3"/>
  <c r="BG602" i="3"/>
  <c r="BD602" i="3"/>
  <c r="BB602" i="3"/>
  <c r="AY602" i="3"/>
  <c r="AW602" i="3"/>
  <c r="AT602" i="3"/>
  <c r="BL601" i="3"/>
  <c r="BI601" i="3"/>
  <c r="BG601" i="3"/>
  <c r="BD601" i="3"/>
  <c r="BB601" i="3"/>
  <c r="AY601" i="3"/>
  <c r="AW601" i="3"/>
  <c r="AT601" i="3"/>
  <c r="AR601" i="3"/>
  <c r="AO601" i="3"/>
  <c r="BL600" i="3"/>
  <c r="BI600" i="3"/>
  <c r="BG600" i="3"/>
  <c r="BD600" i="3"/>
  <c r="BB600" i="3"/>
  <c r="AY600" i="3"/>
  <c r="AW600" i="3"/>
  <c r="AT600" i="3"/>
  <c r="BL599" i="3"/>
  <c r="BI599" i="3"/>
  <c r="BG599" i="3"/>
  <c r="BD599" i="3"/>
  <c r="BB599" i="3"/>
  <c r="AY599" i="3"/>
  <c r="AW599" i="3"/>
  <c r="AT599" i="3"/>
  <c r="BL598" i="3"/>
  <c r="BI598" i="3"/>
  <c r="BG598" i="3"/>
  <c r="BD598" i="3"/>
  <c r="BB598" i="3"/>
  <c r="AY598" i="3"/>
  <c r="AW598" i="3"/>
  <c r="AT598" i="3"/>
  <c r="BL597" i="3"/>
  <c r="BI597" i="3"/>
  <c r="BG597" i="3"/>
  <c r="BD597" i="3"/>
  <c r="BB597" i="3"/>
  <c r="AY597" i="3"/>
  <c r="AW597" i="3"/>
  <c r="AT597" i="3"/>
  <c r="BL596" i="3"/>
  <c r="BI596" i="3"/>
  <c r="BG596" i="3"/>
  <c r="BD596" i="3"/>
  <c r="BB596" i="3"/>
  <c r="AY596" i="3"/>
  <c r="AW596" i="3"/>
  <c r="AT596" i="3"/>
  <c r="BL595" i="3"/>
  <c r="BI595" i="3"/>
  <c r="BG595" i="3"/>
  <c r="BD595" i="3"/>
  <c r="BB595" i="3"/>
  <c r="AY595" i="3"/>
  <c r="AW595" i="3"/>
  <c r="AT595" i="3"/>
  <c r="AR595" i="3"/>
  <c r="BL594" i="3"/>
  <c r="BI594" i="3"/>
  <c r="BG594" i="3"/>
  <c r="BD594" i="3"/>
  <c r="BB594" i="3"/>
  <c r="AY594" i="3"/>
  <c r="AW594" i="3"/>
  <c r="AT594" i="3"/>
  <c r="BL593" i="3"/>
  <c r="BI593" i="3"/>
  <c r="BG593" i="3"/>
  <c r="BD593" i="3"/>
  <c r="BB593" i="3"/>
  <c r="AY593" i="3"/>
  <c r="AW593" i="3"/>
  <c r="AT593" i="3"/>
  <c r="AO593" i="3"/>
  <c r="AR593" i="3" s="1"/>
  <c r="BL592" i="3"/>
  <c r="BI592" i="3"/>
  <c r="BG592" i="3"/>
  <c r="BD592" i="3"/>
  <c r="BB592" i="3"/>
  <c r="AY592" i="3"/>
  <c r="AW592" i="3"/>
  <c r="AT592" i="3"/>
  <c r="BL591" i="3"/>
  <c r="BI591" i="3"/>
  <c r="BG591" i="3"/>
  <c r="BD591" i="3"/>
  <c r="BB591" i="3"/>
  <c r="AY591" i="3"/>
  <c r="AW591" i="3"/>
  <c r="AT591" i="3"/>
  <c r="BL590" i="3"/>
  <c r="BI590" i="3"/>
  <c r="BG590" i="3"/>
  <c r="BD590" i="3"/>
  <c r="BB590" i="3"/>
  <c r="AY590" i="3"/>
  <c r="AW590" i="3"/>
  <c r="AT590" i="3"/>
  <c r="BL589" i="3"/>
  <c r="BI589" i="3"/>
  <c r="BG589" i="3"/>
  <c r="BD589" i="3"/>
  <c r="BB589" i="3"/>
  <c r="AY589" i="3"/>
  <c r="AW589" i="3"/>
  <c r="AT589" i="3"/>
  <c r="BL588" i="3"/>
  <c r="BI588" i="3"/>
  <c r="BG588" i="3"/>
  <c r="BD588" i="3"/>
  <c r="BB588" i="3"/>
  <c r="AY588" i="3"/>
  <c r="AW588" i="3"/>
  <c r="AT588" i="3"/>
  <c r="BL587" i="3"/>
  <c r="BI587" i="3"/>
  <c r="BG587" i="3"/>
  <c r="BD587" i="3"/>
  <c r="BB587" i="3"/>
  <c r="AY587" i="3"/>
  <c r="AW587" i="3"/>
  <c r="AT587" i="3"/>
  <c r="BL586" i="3"/>
  <c r="BI586" i="3"/>
  <c r="BG586" i="3"/>
  <c r="BD586" i="3"/>
  <c r="BB586" i="3"/>
  <c r="AY586" i="3"/>
  <c r="AW586" i="3"/>
  <c r="AT586" i="3"/>
  <c r="BL585" i="3"/>
  <c r="BI585" i="3"/>
  <c r="BG585" i="3"/>
  <c r="BD585" i="3"/>
  <c r="BB585" i="3"/>
  <c r="AY585" i="3"/>
  <c r="AW585" i="3"/>
  <c r="AT585" i="3"/>
  <c r="AR585" i="3"/>
  <c r="AO585" i="3"/>
  <c r="BL584" i="3"/>
  <c r="BI584" i="3"/>
  <c r="BG584" i="3"/>
  <c r="BD584" i="3"/>
  <c r="BB584" i="3"/>
  <c r="AY584" i="3"/>
  <c r="AW584" i="3"/>
  <c r="AT584" i="3"/>
  <c r="BL583" i="3"/>
  <c r="BI583" i="3"/>
  <c r="BG583" i="3"/>
  <c r="BD583" i="3"/>
  <c r="BB583" i="3"/>
  <c r="AY583" i="3"/>
  <c r="AW583" i="3"/>
  <c r="AT583" i="3"/>
  <c r="BL582" i="3"/>
  <c r="BI582" i="3"/>
  <c r="BG582" i="3"/>
  <c r="BD582" i="3"/>
  <c r="BB582" i="3"/>
  <c r="AY582" i="3"/>
  <c r="AW582" i="3"/>
  <c r="AT582" i="3"/>
  <c r="BL581" i="3"/>
  <c r="BI581" i="3"/>
  <c r="BG581" i="3"/>
  <c r="BD581" i="3"/>
  <c r="BB581" i="3"/>
  <c r="AY581" i="3"/>
  <c r="AW581" i="3"/>
  <c r="AT581" i="3"/>
  <c r="BL580" i="3"/>
  <c r="BI580" i="3"/>
  <c r="BG580" i="3"/>
  <c r="BD580" i="3"/>
  <c r="BB580" i="3"/>
  <c r="AY580" i="3"/>
  <c r="AW580" i="3"/>
  <c r="AT580" i="3"/>
  <c r="BL579" i="3"/>
  <c r="BI579" i="3"/>
  <c r="BG579" i="3"/>
  <c r="BD579" i="3"/>
  <c r="BB579" i="3"/>
  <c r="AY579" i="3"/>
  <c r="AW579" i="3"/>
  <c r="AT579" i="3"/>
  <c r="BL578" i="3"/>
  <c r="BI578" i="3"/>
  <c r="BG578" i="3"/>
  <c r="BD578" i="3"/>
  <c r="BB578" i="3"/>
  <c r="AY578" i="3"/>
  <c r="AW578" i="3"/>
  <c r="AT578" i="3"/>
  <c r="BL577" i="3"/>
  <c r="BI577" i="3"/>
  <c r="BG577" i="3"/>
  <c r="BD577" i="3"/>
  <c r="BB577" i="3"/>
  <c r="AY577" i="3"/>
  <c r="AW577" i="3"/>
  <c r="AT577" i="3"/>
  <c r="AR577" i="3"/>
  <c r="AO577" i="3"/>
  <c r="AJ577" i="3"/>
  <c r="AM577" i="3" s="1"/>
  <c r="BL576" i="3"/>
  <c r="BI576" i="3"/>
  <c r="BG576" i="3"/>
  <c r="BD576" i="3"/>
  <c r="BB576" i="3"/>
  <c r="AY576" i="3"/>
  <c r="AW576" i="3"/>
  <c r="AT576" i="3"/>
  <c r="BL575" i="3"/>
  <c r="BI575" i="3"/>
  <c r="BG575" i="3"/>
  <c r="BD575" i="3"/>
  <c r="BB575" i="3"/>
  <c r="AY575" i="3"/>
  <c r="AW575" i="3"/>
  <c r="AT575" i="3"/>
  <c r="BL574" i="3"/>
  <c r="BI574" i="3"/>
  <c r="BG574" i="3"/>
  <c r="BD574" i="3"/>
  <c r="BB574" i="3"/>
  <c r="AY574" i="3"/>
  <c r="AW574" i="3"/>
  <c r="AT574" i="3"/>
  <c r="BL573" i="3"/>
  <c r="BI573" i="3"/>
  <c r="BG573" i="3"/>
  <c r="BD573" i="3"/>
  <c r="BB573" i="3"/>
  <c r="AY573" i="3"/>
  <c r="AW573" i="3"/>
  <c r="AT573" i="3"/>
  <c r="AR573" i="3"/>
  <c r="BL572" i="3"/>
  <c r="BI572" i="3"/>
  <c r="BG572" i="3"/>
  <c r="BD572" i="3"/>
  <c r="BB572" i="3"/>
  <c r="AY572" i="3"/>
  <c r="AW572" i="3"/>
  <c r="AT572" i="3"/>
  <c r="AR572" i="3"/>
  <c r="BL571" i="3"/>
  <c r="BI571" i="3"/>
  <c r="BG571" i="3"/>
  <c r="BD571" i="3"/>
  <c r="BB571" i="3"/>
  <c r="AY571" i="3"/>
  <c r="AW571" i="3"/>
  <c r="AT571" i="3"/>
  <c r="BL570" i="3"/>
  <c r="BI570" i="3"/>
  <c r="BG570" i="3"/>
  <c r="BD570" i="3"/>
  <c r="BB570" i="3"/>
  <c r="AY570" i="3"/>
  <c r="AW570" i="3"/>
  <c r="AT570" i="3"/>
  <c r="BL569" i="3"/>
  <c r="BI569" i="3"/>
  <c r="BG569" i="3"/>
  <c r="BD569" i="3"/>
  <c r="BB569" i="3"/>
  <c r="AY569" i="3"/>
  <c r="AW569" i="3"/>
  <c r="AT569" i="3"/>
  <c r="AR569" i="3"/>
  <c r="BL568" i="3"/>
  <c r="BI568" i="3"/>
  <c r="BG568" i="3"/>
  <c r="BD568" i="3"/>
  <c r="BB568" i="3"/>
  <c r="AY568" i="3"/>
  <c r="AW568" i="3"/>
  <c r="AT568" i="3"/>
  <c r="BL567" i="3"/>
  <c r="BI567" i="3"/>
  <c r="BG567" i="3"/>
  <c r="BD567" i="3"/>
  <c r="BB567" i="3"/>
  <c r="AY567" i="3"/>
  <c r="AW567" i="3"/>
  <c r="AT567" i="3"/>
  <c r="BL566" i="3"/>
  <c r="BI566" i="3"/>
  <c r="BG566" i="3"/>
  <c r="BD566" i="3"/>
  <c r="BB566" i="3"/>
  <c r="AY566" i="3"/>
  <c r="AW566" i="3"/>
  <c r="AT566" i="3"/>
  <c r="BL565" i="3"/>
  <c r="BI565" i="3"/>
  <c r="BG565" i="3"/>
  <c r="BD565" i="3"/>
  <c r="BB565" i="3"/>
  <c r="AY565" i="3"/>
  <c r="AW565" i="3"/>
  <c r="AT565" i="3"/>
  <c r="AR565" i="3"/>
  <c r="BL564" i="3"/>
  <c r="BI564" i="3"/>
  <c r="BG564" i="3"/>
  <c r="BD564" i="3"/>
  <c r="BB564" i="3"/>
  <c r="AY564" i="3"/>
  <c r="AW564" i="3"/>
  <c r="AT564" i="3"/>
  <c r="BL563" i="3"/>
  <c r="BI563" i="3"/>
  <c r="BG563" i="3"/>
  <c r="BD563" i="3"/>
  <c r="BB563" i="3"/>
  <c r="AY563" i="3"/>
  <c r="AW563" i="3"/>
  <c r="AT563" i="3"/>
  <c r="BL562" i="3"/>
  <c r="BI562" i="3"/>
  <c r="BG562" i="3"/>
  <c r="BD562" i="3"/>
  <c r="BB562" i="3"/>
  <c r="AY562" i="3"/>
  <c r="AW562" i="3"/>
  <c r="AT562" i="3"/>
  <c r="BL561" i="3"/>
  <c r="BI561" i="3"/>
  <c r="BG561" i="3"/>
  <c r="BD561" i="3"/>
  <c r="BB561" i="3"/>
  <c r="AY561" i="3"/>
  <c r="AW561" i="3"/>
  <c r="AT561" i="3"/>
  <c r="AR561" i="3"/>
  <c r="BL560" i="3"/>
  <c r="BI560" i="3"/>
  <c r="BG560" i="3"/>
  <c r="BD560" i="3"/>
  <c r="BB560" i="3"/>
  <c r="AY560" i="3"/>
  <c r="AW560" i="3"/>
  <c r="AT560" i="3"/>
  <c r="BL559" i="3"/>
  <c r="BI559" i="3"/>
  <c r="BG559" i="3"/>
  <c r="BD559" i="3"/>
  <c r="BB559" i="3"/>
  <c r="AY559" i="3"/>
  <c r="AW559" i="3"/>
  <c r="AT559" i="3"/>
  <c r="BL558" i="3"/>
  <c r="BI558" i="3"/>
  <c r="BG558" i="3"/>
  <c r="BD558" i="3"/>
  <c r="BB558" i="3"/>
  <c r="AY558" i="3"/>
  <c r="AW558" i="3"/>
  <c r="AT558" i="3"/>
  <c r="BL557" i="3"/>
  <c r="BI557" i="3"/>
  <c r="BG557" i="3"/>
  <c r="BD557" i="3"/>
  <c r="BB557" i="3"/>
  <c r="AY557" i="3"/>
  <c r="AW557" i="3"/>
  <c r="AT557" i="3"/>
  <c r="AR557" i="3"/>
  <c r="BL556" i="3"/>
  <c r="BI556" i="3"/>
  <c r="BG556" i="3"/>
  <c r="BD556" i="3"/>
  <c r="BB556" i="3"/>
  <c r="AY556" i="3"/>
  <c r="AW556" i="3"/>
  <c r="AT556" i="3"/>
  <c r="BL555" i="3"/>
  <c r="BI555" i="3"/>
  <c r="BG555" i="3"/>
  <c r="BD555" i="3"/>
  <c r="BB555" i="3"/>
  <c r="AY555" i="3"/>
  <c r="AW555" i="3"/>
  <c r="AT555" i="3"/>
  <c r="BL554" i="3"/>
  <c r="BI554" i="3"/>
  <c r="BG554" i="3"/>
  <c r="BD554" i="3"/>
  <c r="BB554" i="3"/>
  <c r="AY554" i="3"/>
  <c r="AW554" i="3"/>
  <c r="AT554" i="3"/>
  <c r="BL553" i="3"/>
  <c r="BI553" i="3"/>
  <c r="BG553" i="3"/>
  <c r="BD553" i="3"/>
  <c r="BB553" i="3"/>
  <c r="AY553" i="3"/>
  <c r="AW553" i="3"/>
  <c r="AT553" i="3"/>
  <c r="AR553" i="3"/>
  <c r="BL552" i="3"/>
  <c r="BI552" i="3"/>
  <c r="BG552" i="3"/>
  <c r="BD552" i="3"/>
  <c r="BB552" i="3"/>
  <c r="AY552" i="3"/>
  <c r="AW552" i="3"/>
  <c r="AT552" i="3"/>
  <c r="BL551" i="3"/>
  <c r="BI551" i="3"/>
  <c r="BG551" i="3"/>
  <c r="BD551" i="3"/>
  <c r="BB551" i="3"/>
  <c r="AY551" i="3"/>
  <c r="AW551" i="3"/>
  <c r="AT551" i="3"/>
  <c r="BL550" i="3"/>
  <c r="BI550" i="3"/>
  <c r="BG550" i="3"/>
  <c r="BD550" i="3"/>
  <c r="BB550" i="3"/>
  <c r="AY550" i="3"/>
  <c r="AW550" i="3"/>
  <c r="AT550" i="3"/>
  <c r="BL549" i="3"/>
  <c r="BI549" i="3"/>
  <c r="BG549" i="3"/>
  <c r="BD549" i="3"/>
  <c r="BB549" i="3"/>
  <c r="AY549" i="3"/>
  <c r="AW549" i="3"/>
  <c r="AT549" i="3"/>
  <c r="AR549" i="3"/>
  <c r="BL548" i="3"/>
  <c r="BI548" i="3"/>
  <c r="BG548" i="3"/>
  <c r="BD548" i="3"/>
  <c r="BB548" i="3"/>
  <c r="AY548" i="3"/>
  <c r="AW548" i="3"/>
  <c r="AT548" i="3"/>
  <c r="BL547" i="3"/>
  <c r="BI547" i="3"/>
  <c r="BG547" i="3"/>
  <c r="BD547" i="3"/>
  <c r="BB547" i="3"/>
  <c r="AY547" i="3"/>
  <c r="AW547" i="3"/>
  <c r="AT547" i="3"/>
  <c r="BL546" i="3"/>
  <c r="BI546" i="3"/>
  <c r="BG546" i="3"/>
  <c r="BD546" i="3"/>
  <c r="BB546" i="3"/>
  <c r="AY546" i="3"/>
  <c r="AW546" i="3"/>
  <c r="AT546" i="3"/>
  <c r="BL545" i="3"/>
  <c r="BI545" i="3"/>
  <c r="BG545" i="3"/>
  <c r="BD545" i="3"/>
  <c r="BB545" i="3"/>
  <c r="AY545" i="3"/>
  <c r="AW545" i="3"/>
  <c r="AT545" i="3"/>
  <c r="AR545" i="3"/>
  <c r="AJ545" i="3"/>
  <c r="AM545" i="3" s="1"/>
  <c r="BL544" i="3"/>
  <c r="BI544" i="3"/>
  <c r="BG544" i="3"/>
  <c r="BD544" i="3"/>
  <c r="BB544" i="3"/>
  <c r="AY544" i="3"/>
  <c r="AW544" i="3"/>
  <c r="AT544" i="3"/>
  <c r="AR544" i="3"/>
  <c r="BL543" i="3"/>
  <c r="BI543" i="3"/>
  <c r="BG543" i="3"/>
  <c r="BD543" i="3"/>
  <c r="BB543" i="3"/>
  <c r="AY543" i="3"/>
  <c r="AW543" i="3"/>
  <c r="AT543" i="3"/>
  <c r="BL542" i="3"/>
  <c r="BI542" i="3"/>
  <c r="BG542" i="3"/>
  <c r="BD542" i="3"/>
  <c r="BB542" i="3"/>
  <c r="AY542" i="3"/>
  <c r="AW542" i="3"/>
  <c r="AT542" i="3"/>
  <c r="BL541" i="3"/>
  <c r="BI541" i="3"/>
  <c r="BG541" i="3"/>
  <c r="BD541" i="3"/>
  <c r="BB541" i="3"/>
  <c r="AY541" i="3"/>
  <c r="AW541" i="3"/>
  <c r="AT541" i="3"/>
  <c r="AO541" i="3"/>
  <c r="AR541" i="3" s="1"/>
  <c r="BL540" i="3"/>
  <c r="BI540" i="3"/>
  <c r="BG540" i="3"/>
  <c r="BD540" i="3"/>
  <c r="BB540" i="3"/>
  <c r="AY540" i="3"/>
  <c r="AW540" i="3"/>
  <c r="AT540" i="3"/>
  <c r="BL539" i="3"/>
  <c r="BI539" i="3"/>
  <c r="BG539" i="3"/>
  <c r="BD539" i="3"/>
  <c r="BB539" i="3"/>
  <c r="AY539" i="3"/>
  <c r="AW539" i="3"/>
  <c r="AT539" i="3"/>
  <c r="BL538" i="3"/>
  <c r="BI538" i="3"/>
  <c r="BG538" i="3"/>
  <c r="BD538" i="3"/>
  <c r="BB538" i="3"/>
  <c r="AY538" i="3"/>
  <c r="AW538" i="3"/>
  <c r="AT538" i="3"/>
  <c r="AO538" i="3"/>
  <c r="AR538" i="3" s="1"/>
  <c r="BL537" i="3"/>
  <c r="BI537" i="3"/>
  <c r="BG537" i="3"/>
  <c r="BD537" i="3"/>
  <c r="BB537" i="3"/>
  <c r="AY537" i="3"/>
  <c r="AW537" i="3"/>
  <c r="AT537" i="3"/>
  <c r="BL536" i="3"/>
  <c r="BI536" i="3"/>
  <c r="BG536" i="3"/>
  <c r="BD536" i="3"/>
  <c r="BB536" i="3"/>
  <c r="AY536" i="3"/>
  <c r="AW536" i="3"/>
  <c r="AT536" i="3"/>
  <c r="BL535" i="3"/>
  <c r="BI535" i="3"/>
  <c r="BG535" i="3"/>
  <c r="BD535" i="3"/>
  <c r="BB535" i="3"/>
  <c r="AY535" i="3"/>
  <c r="AW535" i="3"/>
  <c r="AT535" i="3"/>
  <c r="BL534" i="3"/>
  <c r="BI534" i="3"/>
  <c r="BG534" i="3"/>
  <c r="BD534" i="3"/>
  <c r="BB534" i="3"/>
  <c r="AY534" i="3"/>
  <c r="AW534" i="3"/>
  <c r="AT534" i="3"/>
  <c r="BL533" i="3"/>
  <c r="BI533" i="3"/>
  <c r="BG533" i="3"/>
  <c r="BD533" i="3"/>
  <c r="BB533" i="3"/>
  <c r="AY533" i="3"/>
  <c r="AW533" i="3"/>
  <c r="AT533" i="3"/>
  <c r="AO533" i="3"/>
  <c r="AR533" i="3" s="1"/>
  <c r="BL532" i="3"/>
  <c r="BI532" i="3"/>
  <c r="BG532" i="3"/>
  <c r="BD532" i="3"/>
  <c r="BB532" i="3"/>
  <c r="AY532" i="3"/>
  <c r="AW532" i="3"/>
  <c r="AT532" i="3"/>
  <c r="BL531" i="3"/>
  <c r="BI531" i="3"/>
  <c r="BG531" i="3"/>
  <c r="BD531" i="3"/>
  <c r="BB531" i="3"/>
  <c r="AY531" i="3"/>
  <c r="AW531" i="3"/>
  <c r="AT531" i="3"/>
  <c r="BL530" i="3"/>
  <c r="BI530" i="3"/>
  <c r="BG530" i="3"/>
  <c r="BD530" i="3"/>
  <c r="BB530" i="3"/>
  <c r="AY530" i="3"/>
  <c r="AW530" i="3"/>
  <c r="AT530" i="3"/>
  <c r="BL529" i="3"/>
  <c r="BI529" i="3"/>
  <c r="BG529" i="3"/>
  <c r="BD529" i="3"/>
  <c r="BB529" i="3"/>
  <c r="AY529" i="3"/>
  <c r="AW529" i="3"/>
  <c r="AT529" i="3"/>
  <c r="BL528" i="3"/>
  <c r="BI528" i="3"/>
  <c r="BG528" i="3"/>
  <c r="BD528" i="3"/>
  <c r="BB528" i="3"/>
  <c r="AY528" i="3"/>
  <c r="AW528" i="3"/>
  <c r="AT528" i="3"/>
  <c r="BL527" i="3"/>
  <c r="BI527" i="3"/>
  <c r="BG527" i="3"/>
  <c r="BD527" i="3"/>
  <c r="BB527" i="3"/>
  <c r="AY527" i="3"/>
  <c r="AW527" i="3"/>
  <c r="AT527" i="3"/>
  <c r="BL526" i="3"/>
  <c r="BI526" i="3"/>
  <c r="BG526" i="3"/>
  <c r="BD526" i="3"/>
  <c r="BB526" i="3"/>
  <c r="AY526" i="3"/>
  <c r="AW526" i="3"/>
  <c r="AT526" i="3"/>
  <c r="BL525" i="3"/>
  <c r="BI525" i="3"/>
  <c r="BG525" i="3"/>
  <c r="BD525" i="3"/>
  <c r="BB525" i="3"/>
  <c r="AY525" i="3"/>
  <c r="AW525" i="3"/>
  <c r="AT525" i="3"/>
  <c r="AO525" i="3"/>
  <c r="AR525" i="3" s="1"/>
  <c r="BL524" i="3"/>
  <c r="BI524" i="3"/>
  <c r="BG524" i="3"/>
  <c r="BD524" i="3"/>
  <c r="BB524" i="3"/>
  <c r="AY524" i="3"/>
  <c r="AW524" i="3"/>
  <c r="AT524" i="3"/>
  <c r="BL523" i="3"/>
  <c r="BI523" i="3"/>
  <c r="BG523" i="3"/>
  <c r="BD523" i="3"/>
  <c r="BB523" i="3"/>
  <c r="AY523" i="3"/>
  <c r="AW523" i="3"/>
  <c r="AT523" i="3"/>
  <c r="BL522" i="3"/>
  <c r="BI522" i="3"/>
  <c r="BG522" i="3"/>
  <c r="BD522" i="3"/>
  <c r="BB522" i="3"/>
  <c r="AY522" i="3"/>
  <c r="AW522" i="3"/>
  <c r="AT522" i="3"/>
  <c r="BL521" i="3"/>
  <c r="BI521" i="3"/>
  <c r="BG521" i="3"/>
  <c r="BD521" i="3"/>
  <c r="BB521" i="3"/>
  <c r="AY521" i="3"/>
  <c r="AW521" i="3"/>
  <c r="AT521" i="3"/>
  <c r="BL520" i="3"/>
  <c r="BI520" i="3"/>
  <c r="BG520" i="3"/>
  <c r="BD520" i="3"/>
  <c r="BB520" i="3"/>
  <c r="AY520" i="3"/>
  <c r="AW520" i="3"/>
  <c r="AT520" i="3"/>
  <c r="BL519" i="3"/>
  <c r="BI519" i="3"/>
  <c r="BG519" i="3"/>
  <c r="BD519" i="3"/>
  <c r="BB519" i="3"/>
  <c r="AY519" i="3"/>
  <c r="AW519" i="3"/>
  <c r="AT519" i="3"/>
  <c r="BL518" i="3"/>
  <c r="BI518" i="3"/>
  <c r="BG518" i="3"/>
  <c r="BD518" i="3"/>
  <c r="BB518" i="3"/>
  <c r="AY518" i="3"/>
  <c r="AW518" i="3"/>
  <c r="AT518" i="3"/>
  <c r="BL517" i="3"/>
  <c r="BI517" i="3"/>
  <c r="BG517" i="3"/>
  <c r="BD517" i="3"/>
  <c r="BB517" i="3"/>
  <c r="AY517" i="3"/>
  <c r="AW517" i="3"/>
  <c r="AT517" i="3"/>
  <c r="AO517" i="3"/>
  <c r="AR517" i="3" s="1"/>
  <c r="BL516" i="3"/>
  <c r="BI516" i="3"/>
  <c r="BG516" i="3"/>
  <c r="BD516" i="3"/>
  <c r="BB516" i="3"/>
  <c r="AY516" i="3"/>
  <c r="AW516" i="3"/>
  <c r="AT516" i="3"/>
  <c r="BL515" i="3"/>
  <c r="BI515" i="3"/>
  <c r="BG515" i="3"/>
  <c r="BD515" i="3"/>
  <c r="BB515" i="3"/>
  <c r="AY515" i="3"/>
  <c r="AW515" i="3"/>
  <c r="AT515" i="3"/>
  <c r="BL514" i="3"/>
  <c r="BI514" i="3"/>
  <c r="BG514" i="3"/>
  <c r="BD514" i="3"/>
  <c r="BB514" i="3"/>
  <c r="AY514" i="3"/>
  <c r="AW514" i="3"/>
  <c r="AT514" i="3"/>
  <c r="BL513" i="3"/>
  <c r="BI513" i="3"/>
  <c r="BG513" i="3"/>
  <c r="BD513" i="3"/>
  <c r="BB513" i="3"/>
  <c r="AY513" i="3"/>
  <c r="AW513" i="3"/>
  <c r="AT513" i="3"/>
  <c r="AJ513" i="3"/>
  <c r="AM513" i="3" s="1"/>
  <c r="BL512" i="3"/>
  <c r="BI512" i="3"/>
  <c r="BG512" i="3"/>
  <c r="BD512" i="3"/>
  <c r="BB512" i="3"/>
  <c r="AY512" i="3"/>
  <c r="AW512" i="3"/>
  <c r="AT512" i="3"/>
  <c r="BL511" i="3"/>
  <c r="BI511" i="3"/>
  <c r="BG511" i="3"/>
  <c r="BD511" i="3"/>
  <c r="BB511" i="3"/>
  <c r="AY511" i="3"/>
  <c r="AW511" i="3"/>
  <c r="AT511" i="3"/>
  <c r="BL510" i="3"/>
  <c r="BI510" i="3"/>
  <c r="BG510" i="3"/>
  <c r="BD510" i="3"/>
  <c r="BB510" i="3"/>
  <c r="AY510" i="3"/>
  <c r="AW510" i="3"/>
  <c r="AT510" i="3"/>
  <c r="BL509" i="3"/>
  <c r="BI509" i="3"/>
  <c r="BG509" i="3"/>
  <c r="BD509" i="3"/>
  <c r="BB509" i="3"/>
  <c r="AY509" i="3"/>
  <c r="AW509" i="3"/>
  <c r="AT509" i="3"/>
  <c r="AR509" i="3"/>
  <c r="AO509" i="3"/>
  <c r="BL508" i="3"/>
  <c r="BI508" i="3"/>
  <c r="BG508" i="3"/>
  <c r="BD508" i="3"/>
  <c r="BB508" i="3"/>
  <c r="AY508" i="3"/>
  <c r="AW508" i="3"/>
  <c r="AT508" i="3"/>
  <c r="BL507" i="3"/>
  <c r="BI507" i="3"/>
  <c r="BG507" i="3"/>
  <c r="BD507" i="3"/>
  <c r="BB507" i="3"/>
  <c r="AY507" i="3"/>
  <c r="AW507" i="3"/>
  <c r="AT507" i="3"/>
  <c r="BL506" i="3"/>
  <c r="BI506" i="3"/>
  <c r="BG506" i="3"/>
  <c r="BD506" i="3"/>
  <c r="BB506" i="3"/>
  <c r="AY506" i="3"/>
  <c r="AW506" i="3"/>
  <c r="AT506" i="3"/>
  <c r="BL505" i="3"/>
  <c r="BI505" i="3"/>
  <c r="BG505" i="3"/>
  <c r="BD505" i="3"/>
  <c r="BB505" i="3"/>
  <c r="AY505" i="3"/>
  <c r="AW505" i="3"/>
  <c r="AT505" i="3"/>
  <c r="AO505" i="3"/>
  <c r="AR505" i="3" s="1"/>
  <c r="BL504" i="3"/>
  <c r="BI504" i="3"/>
  <c r="BG504" i="3"/>
  <c r="BD504" i="3"/>
  <c r="BB504" i="3"/>
  <c r="AY504" i="3"/>
  <c r="AW504" i="3"/>
  <c r="AT504" i="3"/>
  <c r="BL503" i="3"/>
  <c r="BI503" i="3"/>
  <c r="BG503" i="3"/>
  <c r="BD503" i="3"/>
  <c r="BB503" i="3"/>
  <c r="AY503" i="3"/>
  <c r="AW503" i="3"/>
  <c r="AT503" i="3"/>
  <c r="BL502" i="3"/>
  <c r="BI502" i="3"/>
  <c r="BG502" i="3"/>
  <c r="BD502" i="3"/>
  <c r="BB502" i="3"/>
  <c r="AY502" i="3"/>
  <c r="AW502" i="3"/>
  <c r="AT502" i="3"/>
  <c r="BL501" i="3"/>
  <c r="BI501" i="3"/>
  <c r="BG501" i="3"/>
  <c r="BD501" i="3"/>
  <c r="BB501" i="3"/>
  <c r="AY501" i="3"/>
  <c r="AW501" i="3"/>
  <c r="AT501" i="3"/>
  <c r="AR501" i="3"/>
  <c r="AO501" i="3"/>
  <c r="BL500" i="3"/>
  <c r="BI500" i="3"/>
  <c r="BG500" i="3"/>
  <c r="BD500" i="3"/>
  <c r="BB500" i="3"/>
  <c r="AY500" i="3"/>
  <c r="AW500" i="3"/>
  <c r="AT500" i="3"/>
  <c r="BL499" i="3"/>
  <c r="BI499" i="3"/>
  <c r="BG499" i="3"/>
  <c r="BD499" i="3"/>
  <c r="BB499" i="3"/>
  <c r="AY499" i="3"/>
  <c r="AW499" i="3"/>
  <c r="AT499" i="3"/>
  <c r="BL498" i="3"/>
  <c r="BI498" i="3"/>
  <c r="BG498" i="3"/>
  <c r="BD498" i="3"/>
  <c r="BB498" i="3"/>
  <c r="AY498" i="3"/>
  <c r="AW498" i="3"/>
  <c r="AT498" i="3"/>
  <c r="BL497" i="3"/>
  <c r="BI497" i="3"/>
  <c r="BG497" i="3"/>
  <c r="BD497" i="3"/>
  <c r="BB497" i="3"/>
  <c r="AY497" i="3"/>
  <c r="AW497" i="3"/>
  <c r="AT497" i="3"/>
  <c r="AO497" i="3"/>
  <c r="AR497" i="3" s="1"/>
  <c r="BL496" i="3"/>
  <c r="BI496" i="3"/>
  <c r="BG496" i="3"/>
  <c r="BD496" i="3"/>
  <c r="BB496" i="3"/>
  <c r="AY496" i="3"/>
  <c r="AW496" i="3"/>
  <c r="AT496" i="3"/>
  <c r="BL495" i="3"/>
  <c r="BI495" i="3"/>
  <c r="BG495" i="3"/>
  <c r="BD495" i="3"/>
  <c r="BB495" i="3"/>
  <c r="AY495" i="3"/>
  <c r="AW495" i="3"/>
  <c r="AT495" i="3"/>
  <c r="AR495" i="3"/>
  <c r="BL494" i="3"/>
  <c r="BI494" i="3"/>
  <c r="BG494" i="3"/>
  <c r="BD494" i="3"/>
  <c r="BB494" i="3"/>
  <c r="AY494" i="3"/>
  <c r="AW494" i="3"/>
  <c r="AT494" i="3"/>
  <c r="BL493" i="3"/>
  <c r="BI493" i="3"/>
  <c r="BG493" i="3"/>
  <c r="BD493" i="3"/>
  <c r="BB493" i="3"/>
  <c r="AY493" i="3"/>
  <c r="AW493" i="3"/>
  <c r="AT493" i="3"/>
  <c r="AO493" i="3"/>
  <c r="AR493" i="3" s="1"/>
  <c r="BL492" i="3"/>
  <c r="BI492" i="3"/>
  <c r="BG492" i="3"/>
  <c r="BD492" i="3"/>
  <c r="BB492" i="3"/>
  <c r="AY492" i="3"/>
  <c r="AW492" i="3"/>
  <c r="AT492" i="3"/>
  <c r="BL491" i="3"/>
  <c r="BI491" i="3"/>
  <c r="BG491" i="3"/>
  <c r="BD491" i="3"/>
  <c r="BB491" i="3"/>
  <c r="AY491" i="3"/>
  <c r="AW491" i="3"/>
  <c r="AT491" i="3"/>
  <c r="BL490" i="3"/>
  <c r="BI490" i="3"/>
  <c r="BG490" i="3"/>
  <c r="BD490" i="3"/>
  <c r="BB490" i="3"/>
  <c r="AY490" i="3"/>
  <c r="AW490" i="3"/>
  <c r="AT490" i="3"/>
  <c r="BL489" i="3"/>
  <c r="BI489" i="3"/>
  <c r="BG489" i="3"/>
  <c r="BD489" i="3"/>
  <c r="BB489" i="3"/>
  <c r="AY489" i="3"/>
  <c r="AW489" i="3"/>
  <c r="AT489" i="3"/>
  <c r="AO489" i="3"/>
  <c r="AR489" i="3" s="1"/>
  <c r="BL488" i="3"/>
  <c r="BI488" i="3"/>
  <c r="BG488" i="3"/>
  <c r="BD488" i="3"/>
  <c r="BB488" i="3"/>
  <c r="AY488" i="3"/>
  <c r="AW488" i="3"/>
  <c r="AT488" i="3"/>
  <c r="BL487" i="3"/>
  <c r="BI487" i="3"/>
  <c r="BG487" i="3"/>
  <c r="BD487" i="3"/>
  <c r="BB487" i="3"/>
  <c r="AY487" i="3"/>
  <c r="AW487" i="3"/>
  <c r="AT487" i="3"/>
  <c r="BL486" i="3"/>
  <c r="BI486" i="3"/>
  <c r="BG486" i="3"/>
  <c r="BD486" i="3"/>
  <c r="BB486" i="3"/>
  <c r="AY486" i="3"/>
  <c r="AW486" i="3"/>
  <c r="AT486" i="3"/>
  <c r="BL485" i="3"/>
  <c r="BI485" i="3"/>
  <c r="BG485" i="3"/>
  <c r="BD485" i="3"/>
  <c r="BB485" i="3"/>
  <c r="AY485" i="3"/>
  <c r="AW485" i="3"/>
  <c r="AT485" i="3"/>
  <c r="AR485" i="3"/>
  <c r="AO485" i="3"/>
  <c r="BL484" i="3"/>
  <c r="BI484" i="3"/>
  <c r="BG484" i="3"/>
  <c r="BD484" i="3"/>
  <c r="BB484" i="3"/>
  <c r="AY484" i="3"/>
  <c r="AW484" i="3"/>
  <c r="AT484" i="3"/>
  <c r="BL483" i="3"/>
  <c r="BI483" i="3"/>
  <c r="BG483" i="3"/>
  <c r="BD483" i="3"/>
  <c r="BB483" i="3"/>
  <c r="AY483" i="3"/>
  <c r="AW483" i="3"/>
  <c r="AT483" i="3"/>
  <c r="BL482" i="3"/>
  <c r="BI482" i="3"/>
  <c r="BG482" i="3"/>
  <c r="BD482" i="3"/>
  <c r="BB482" i="3"/>
  <c r="AY482" i="3"/>
  <c r="AW482" i="3"/>
  <c r="AT482" i="3"/>
  <c r="BL481" i="3"/>
  <c r="BI481" i="3"/>
  <c r="BG481" i="3"/>
  <c r="BD481" i="3"/>
  <c r="BB481" i="3"/>
  <c r="AY481" i="3"/>
  <c r="AW481" i="3"/>
  <c r="AT481" i="3"/>
  <c r="AO481" i="3"/>
  <c r="AR481" i="3" s="1"/>
  <c r="BL480" i="3"/>
  <c r="BI480" i="3"/>
  <c r="BG480" i="3"/>
  <c r="BD480" i="3"/>
  <c r="BB480" i="3"/>
  <c r="AY480" i="3"/>
  <c r="AW480" i="3"/>
  <c r="AT480" i="3"/>
  <c r="BL479" i="3"/>
  <c r="BI479" i="3"/>
  <c r="BG479" i="3"/>
  <c r="BD479" i="3"/>
  <c r="BB479" i="3"/>
  <c r="AY479" i="3"/>
  <c r="AW479" i="3"/>
  <c r="AT479" i="3"/>
  <c r="BL478" i="3"/>
  <c r="BI478" i="3"/>
  <c r="BG478" i="3"/>
  <c r="BD478" i="3"/>
  <c r="BB478" i="3"/>
  <c r="AY478" i="3"/>
  <c r="AW478" i="3"/>
  <c r="AT478" i="3"/>
  <c r="BL477" i="3"/>
  <c r="BI477" i="3"/>
  <c r="BG477" i="3"/>
  <c r="BD477" i="3"/>
  <c r="BB477" i="3"/>
  <c r="AY477" i="3"/>
  <c r="AW477" i="3"/>
  <c r="AT477" i="3"/>
  <c r="AR477" i="3"/>
  <c r="AO477" i="3"/>
  <c r="BL476" i="3"/>
  <c r="BI476" i="3"/>
  <c r="BG476" i="3"/>
  <c r="BD476" i="3"/>
  <c r="BB476" i="3"/>
  <c r="AY476" i="3"/>
  <c r="AW476" i="3"/>
  <c r="AT476" i="3"/>
  <c r="BL475" i="3"/>
  <c r="BI475" i="3"/>
  <c r="BG475" i="3"/>
  <c r="BD475" i="3"/>
  <c r="BB475" i="3"/>
  <c r="AY475" i="3"/>
  <c r="AW475" i="3"/>
  <c r="AT475" i="3"/>
  <c r="BL474" i="3"/>
  <c r="BI474" i="3"/>
  <c r="BG474" i="3"/>
  <c r="BD474" i="3"/>
  <c r="BB474" i="3"/>
  <c r="AY474" i="3"/>
  <c r="AW474" i="3"/>
  <c r="AT474" i="3"/>
  <c r="BL473" i="3"/>
  <c r="BI473" i="3"/>
  <c r="BG473" i="3"/>
  <c r="BD473" i="3"/>
  <c r="BB473" i="3"/>
  <c r="AY473" i="3"/>
  <c r="AW473" i="3"/>
  <c r="AT473" i="3"/>
  <c r="AO473" i="3"/>
  <c r="AR473" i="3" s="1"/>
  <c r="BL472" i="3"/>
  <c r="BI472" i="3"/>
  <c r="BG472" i="3"/>
  <c r="BD472" i="3"/>
  <c r="BB472" i="3"/>
  <c r="AY472" i="3"/>
  <c r="AW472" i="3"/>
  <c r="AT472" i="3"/>
  <c r="BL471" i="3"/>
  <c r="BI471" i="3"/>
  <c r="BG471" i="3"/>
  <c r="BD471" i="3"/>
  <c r="BB471" i="3"/>
  <c r="AY471" i="3"/>
  <c r="AW471" i="3"/>
  <c r="AT471" i="3"/>
  <c r="BL470" i="3"/>
  <c r="BI470" i="3"/>
  <c r="BG470" i="3"/>
  <c r="BD470" i="3"/>
  <c r="BB470" i="3"/>
  <c r="AY470" i="3"/>
  <c r="AW470" i="3"/>
  <c r="AT470" i="3"/>
  <c r="BL469" i="3"/>
  <c r="BI469" i="3"/>
  <c r="BG469" i="3"/>
  <c r="BD469" i="3"/>
  <c r="BB469" i="3"/>
  <c r="AY469" i="3"/>
  <c r="AW469" i="3"/>
  <c r="AT469" i="3"/>
  <c r="AR469" i="3"/>
  <c r="AO469" i="3"/>
  <c r="BL468" i="3"/>
  <c r="BI468" i="3"/>
  <c r="BG468" i="3"/>
  <c r="BD468" i="3"/>
  <c r="BB468" i="3"/>
  <c r="AY468" i="3"/>
  <c r="AW468" i="3"/>
  <c r="AT468" i="3"/>
  <c r="BL467" i="3"/>
  <c r="BI467" i="3"/>
  <c r="BG467" i="3"/>
  <c r="BD467" i="3"/>
  <c r="BB467" i="3"/>
  <c r="AY467" i="3"/>
  <c r="AW467" i="3"/>
  <c r="AT467" i="3"/>
  <c r="AO467" i="3"/>
  <c r="AR467" i="3" s="1"/>
  <c r="BL466" i="3"/>
  <c r="BI466" i="3"/>
  <c r="BG466" i="3"/>
  <c r="BD466" i="3"/>
  <c r="BB466" i="3"/>
  <c r="AY466" i="3"/>
  <c r="AW466" i="3"/>
  <c r="AT466" i="3"/>
  <c r="BL465" i="3"/>
  <c r="BI465" i="3"/>
  <c r="BG465" i="3"/>
  <c r="BD465" i="3"/>
  <c r="BB465" i="3"/>
  <c r="AY465" i="3"/>
  <c r="AW465" i="3"/>
  <c r="AT465" i="3"/>
  <c r="AO465" i="3"/>
  <c r="AR465" i="3" s="1"/>
  <c r="BL464" i="3"/>
  <c r="BI464" i="3"/>
  <c r="BG464" i="3"/>
  <c r="BD464" i="3"/>
  <c r="BB464" i="3"/>
  <c r="AY464" i="3"/>
  <c r="AW464" i="3"/>
  <c r="AT464" i="3"/>
  <c r="BL463" i="3"/>
  <c r="BI463" i="3"/>
  <c r="BG463" i="3"/>
  <c r="BD463" i="3"/>
  <c r="BB463" i="3"/>
  <c r="AY463" i="3"/>
  <c r="AW463" i="3"/>
  <c r="AT463" i="3"/>
  <c r="BL462" i="3"/>
  <c r="BI462" i="3"/>
  <c r="BG462" i="3"/>
  <c r="BD462" i="3"/>
  <c r="BB462" i="3"/>
  <c r="AY462" i="3"/>
  <c r="AW462" i="3"/>
  <c r="AT462" i="3"/>
  <c r="BL461" i="3"/>
  <c r="BI461" i="3"/>
  <c r="BG461" i="3"/>
  <c r="BD461" i="3"/>
  <c r="BB461" i="3"/>
  <c r="AY461" i="3"/>
  <c r="AW461" i="3"/>
  <c r="AT461" i="3"/>
  <c r="AO461" i="3"/>
  <c r="AR461" i="3" s="1"/>
  <c r="BL460" i="3"/>
  <c r="BI460" i="3"/>
  <c r="BG460" i="3"/>
  <c r="BD460" i="3"/>
  <c r="BB460" i="3"/>
  <c r="AY460" i="3"/>
  <c r="AW460" i="3"/>
  <c r="AT460" i="3"/>
  <c r="BL459" i="3"/>
  <c r="BI459" i="3"/>
  <c r="BG459" i="3"/>
  <c r="BD459" i="3"/>
  <c r="BB459" i="3"/>
  <c r="AY459" i="3"/>
  <c r="AW459" i="3"/>
  <c r="AT459" i="3"/>
  <c r="BL458" i="3"/>
  <c r="BI458" i="3"/>
  <c r="BG458" i="3"/>
  <c r="BD458" i="3"/>
  <c r="BB458" i="3"/>
  <c r="AY458" i="3"/>
  <c r="AW458" i="3"/>
  <c r="AT458" i="3"/>
  <c r="BL457" i="3"/>
  <c r="BI457" i="3"/>
  <c r="BG457" i="3"/>
  <c r="BD457" i="3"/>
  <c r="BB457" i="3"/>
  <c r="AY457" i="3"/>
  <c r="AW457" i="3"/>
  <c r="AT457" i="3"/>
  <c r="AO457" i="3"/>
  <c r="AR457" i="3" s="1"/>
  <c r="BL456" i="3"/>
  <c r="BI456" i="3"/>
  <c r="BG456" i="3"/>
  <c r="BD456" i="3"/>
  <c r="BB456" i="3"/>
  <c r="AY456" i="3"/>
  <c r="AW456" i="3"/>
  <c r="AT456" i="3"/>
  <c r="BL455" i="3"/>
  <c r="BI455" i="3"/>
  <c r="BG455" i="3"/>
  <c r="BD455" i="3"/>
  <c r="BB455" i="3"/>
  <c r="AY455" i="3"/>
  <c r="AW455" i="3"/>
  <c r="AT455" i="3"/>
  <c r="BL454" i="3"/>
  <c r="BI454" i="3"/>
  <c r="BG454" i="3"/>
  <c r="BD454" i="3"/>
  <c r="BB454" i="3"/>
  <c r="AY454" i="3"/>
  <c r="AW454" i="3"/>
  <c r="AT454" i="3"/>
  <c r="BL453" i="3"/>
  <c r="BI453" i="3"/>
  <c r="BG453" i="3"/>
  <c r="BD453" i="3"/>
  <c r="BB453" i="3"/>
  <c r="AY453" i="3"/>
  <c r="AW453" i="3"/>
  <c r="AT453" i="3"/>
  <c r="AR453" i="3"/>
  <c r="AO453" i="3"/>
  <c r="BL452" i="3"/>
  <c r="BI452" i="3"/>
  <c r="BG452" i="3"/>
  <c r="BD452" i="3"/>
  <c r="BB452" i="3"/>
  <c r="AY452" i="3"/>
  <c r="AW452" i="3"/>
  <c r="AT452" i="3"/>
  <c r="BL451" i="3"/>
  <c r="BI451" i="3"/>
  <c r="BG451" i="3"/>
  <c r="BD451" i="3"/>
  <c r="BB451" i="3"/>
  <c r="AY451" i="3"/>
  <c r="AW451" i="3"/>
  <c r="AT451" i="3"/>
  <c r="BL450" i="3"/>
  <c r="BI450" i="3"/>
  <c r="BG450" i="3"/>
  <c r="BD450" i="3"/>
  <c r="BB450" i="3"/>
  <c r="AY450" i="3"/>
  <c r="AW450" i="3"/>
  <c r="AT450" i="3"/>
  <c r="BL449" i="3"/>
  <c r="BI449" i="3"/>
  <c r="BG449" i="3"/>
  <c r="BD449" i="3"/>
  <c r="BB449" i="3"/>
  <c r="AY449" i="3"/>
  <c r="AW449" i="3"/>
  <c r="AT449" i="3"/>
  <c r="AO449" i="3"/>
  <c r="AR449" i="3" s="1"/>
  <c r="BL448" i="3"/>
  <c r="BI448" i="3"/>
  <c r="BG448" i="3"/>
  <c r="BD448" i="3"/>
  <c r="BB448" i="3"/>
  <c r="AY448" i="3"/>
  <c r="AW448" i="3"/>
  <c r="AT448" i="3"/>
  <c r="BL447" i="3"/>
  <c r="BI447" i="3"/>
  <c r="BG447" i="3"/>
  <c r="BD447" i="3"/>
  <c r="BB447" i="3"/>
  <c r="AY447" i="3"/>
  <c r="AW447" i="3"/>
  <c r="AT447" i="3"/>
  <c r="BL446" i="3"/>
  <c r="BI446" i="3"/>
  <c r="BG446" i="3"/>
  <c r="BD446" i="3"/>
  <c r="BB446" i="3"/>
  <c r="AY446" i="3"/>
  <c r="AW446" i="3"/>
  <c r="AT446" i="3"/>
  <c r="BL445" i="3"/>
  <c r="BI445" i="3"/>
  <c r="BG445" i="3"/>
  <c r="BD445" i="3"/>
  <c r="BB445" i="3"/>
  <c r="AY445" i="3"/>
  <c r="AW445" i="3"/>
  <c r="AT445" i="3"/>
  <c r="AR445" i="3"/>
  <c r="AO445" i="3"/>
  <c r="BL444" i="3"/>
  <c r="BI444" i="3"/>
  <c r="BG444" i="3"/>
  <c r="BD444" i="3"/>
  <c r="BB444" i="3"/>
  <c r="AY444" i="3"/>
  <c r="AW444" i="3"/>
  <c r="AT444" i="3"/>
  <c r="BL443" i="3"/>
  <c r="BI443" i="3"/>
  <c r="BG443" i="3"/>
  <c r="BD443" i="3"/>
  <c r="BB443" i="3"/>
  <c r="AY443" i="3"/>
  <c r="AW443" i="3"/>
  <c r="AT443" i="3"/>
  <c r="BL442" i="3"/>
  <c r="BI442" i="3"/>
  <c r="BG442" i="3"/>
  <c r="BD442" i="3"/>
  <c r="BB442" i="3"/>
  <c r="AY442" i="3"/>
  <c r="AW442" i="3"/>
  <c r="AT442" i="3"/>
  <c r="BL441" i="3"/>
  <c r="BI441" i="3"/>
  <c r="BG441" i="3"/>
  <c r="BD441" i="3"/>
  <c r="BB441" i="3"/>
  <c r="AY441" i="3"/>
  <c r="AW441" i="3"/>
  <c r="AT441" i="3"/>
  <c r="AO441" i="3"/>
  <c r="AR441" i="3" s="1"/>
  <c r="BL440" i="3"/>
  <c r="BI440" i="3"/>
  <c r="BG440" i="3"/>
  <c r="BD440" i="3"/>
  <c r="BB440" i="3"/>
  <c r="AY440" i="3"/>
  <c r="AW440" i="3"/>
  <c r="AT440" i="3"/>
  <c r="BL439" i="3"/>
  <c r="BI439" i="3"/>
  <c r="BG439" i="3"/>
  <c r="BD439" i="3"/>
  <c r="BB439" i="3"/>
  <c r="AY439" i="3"/>
  <c r="AW439" i="3"/>
  <c r="AT439" i="3"/>
  <c r="BL438" i="3"/>
  <c r="BI438" i="3"/>
  <c r="BG438" i="3"/>
  <c r="BD438" i="3"/>
  <c r="BB438" i="3"/>
  <c r="AY438" i="3"/>
  <c r="AW438" i="3"/>
  <c r="AT438" i="3"/>
  <c r="BL437" i="3"/>
  <c r="BI437" i="3"/>
  <c r="BG437" i="3"/>
  <c r="BD437" i="3"/>
  <c r="BB437" i="3"/>
  <c r="AY437" i="3"/>
  <c r="AW437" i="3"/>
  <c r="AT437" i="3"/>
  <c r="AR437" i="3"/>
  <c r="AO437" i="3"/>
  <c r="BL436" i="3"/>
  <c r="BI436" i="3"/>
  <c r="BG436" i="3"/>
  <c r="BD436" i="3"/>
  <c r="BB436" i="3"/>
  <c r="AY436" i="3"/>
  <c r="AW436" i="3"/>
  <c r="AT436" i="3"/>
  <c r="BL435" i="3"/>
  <c r="BI435" i="3"/>
  <c r="BG435" i="3"/>
  <c r="BD435" i="3"/>
  <c r="BB435" i="3"/>
  <c r="AY435" i="3"/>
  <c r="AW435" i="3"/>
  <c r="AT435" i="3"/>
  <c r="BL434" i="3"/>
  <c r="BI434" i="3"/>
  <c r="BG434" i="3"/>
  <c r="BD434" i="3"/>
  <c r="BB434" i="3"/>
  <c r="AY434" i="3"/>
  <c r="AW434" i="3"/>
  <c r="AT434" i="3"/>
  <c r="BL433" i="3"/>
  <c r="BI433" i="3"/>
  <c r="BG433" i="3"/>
  <c r="BD433" i="3"/>
  <c r="BB433" i="3"/>
  <c r="AY433" i="3"/>
  <c r="AW433" i="3"/>
  <c r="AT433" i="3"/>
  <c r="AO433" i="3"/>
  <c r="AR433" i="3" s="1"/>
  <c r="BL432" i="3"/>
  <c r="BI432" i="3"/>
  <c r="BG432" i="3"/>
  <c r="BD432" i="3"/>
  <c r="BB432" i="3"/>
  <c r="AY432" i="3"/>
  <c r="AW432" i="3"/>
  <c r="AT432" i="3"/>
  <c r="AR432" i="3"/>
  <c r="BL431" i="3"/>
  <c r="BI431" i="3"/>
  <c r="BG431" i="3"/>
  <c r="BD431" i="3"/>
  <c r="BB431" i="3"/>
  <c r="AY431" i="3"/>
  <c r="AW431" i="3"/>
  <c r="AT431" i="3"/>
  <c r="BL430" i="3"/>
  <c r="BI430" i="3"/>
  <c r="BG430" i="3"/>
  <c r="BD430" i="3"/>
  <c r="BB430" i="3"/>
  <c r="AY430" i="3"/>
  <c r="AW430" i="3"/>
  <c r="AT430" i="3"/>
  <c r="BL429" i="3"/>
  <c r="BI429" i="3"/>
  <c r="BG429" i="3"/>
  <c r="BD429" i="3"/>
  <c r="BB429" i="3"/>
  <c r="AY429" i="3"/>
  <c r="AW429" i="3"/>
  <c r="AT429" i="3"/>
  <c r="BL428" i="3"/>
  <c r="BI428" i="3"/>
  <c r="BG428" i="3"/>
  <c r="BD428" i="3"/>
  <c r="BB428" i="3"/>
  <c r="AY428" i="3"/>
  <c r="AW428" i="3"/>
  <c r="AT428" i="3"/>
  <c r="BL427" i="3"/>
  <c r="BI427" i="3"/>
  <c r="BG427" i="3"/>
  <c r="BD427" i="3"/>
  <c r="BB427" i="3"/>
  <c r="AY427" i="3"/>
  <c r="AW427" i="3"/>
  <c r="AT427" i="3"/>
  <c r="BL426" i="3"/>
  <c r="BI426" i="3"/>
  <c r="BG426" i="3"/>
  <c r="BD426" i="3"/>
  <c r="BB426" i="3"/>
  <c r="AY426" i="3"/>
  <c r="AW426" i="3"/>
  <c r="AT426" i="3"/>
  <c r="BL425" i="3"/>
  <c r="BI425" i="3"/>
  <c r="BG425" i="3"/>
  <c r="BD425" i="3"/>
  <c r="BB425" i="3"/>
  <c r="AY425" i="3"/>
  <c r="AW425" i="3"/>
  <c r="AT425" i="3"/>
  <c r="BL424" i="3"/>
  <c r="BI424" i="3"/>
  <c r="BG424" i="3"/>
  <c r="BD424" i="3"/>
  <c r="BB424" i="3"/>
  <c r="AY424" i="3"/>
  <c r="AW424" i="3"/>
  <c r="AT424" i="3"/>
  <c r="BL423" i="3"/>
  <c r="BI423" i="3"/>
  <c r="BG423" i="3"/>
  <c r="BD423" i="3"/>
  <c r="BB423" i="3"/>
  <c r="AY423" i="3"/>
  <c r="AW423" i="3"/>
  <c r="AT423" i="3"/>
  <c r="BL422" i="3"/>
  <c r="BI422" i="3"/>
  <c r="BG422" i="3"/>
  <c r="BD422" i="3"/>
  <c r="BB422" i="3"/>
  <c r="AY422" i="3"/>
  <c r="AW422" i="3"/>
  <c r="AT422" i="3"/>
  <c r="BL421" i="3"/>
  <c r="BI421" i="3"/>
  <c r="BG421" i="3"/>
  <c r="BD421" i="3"/>
  <c r="BB421" i="3"/>
  <c r="AY421" i="3"/>
  <c r="AW421" i="3"/>
  <c r="AT421" i="3"/>
  <c r="AO421" i="3"/>
  <c r="AR421" i="3" s="1"/>
  <c r="BL420" i="3"/>
  <c r="BI420" i="3"/>
  <c r="BG420" i="3"/>
  <c r="BD420" i="3"/>
  <c r="BB420" i="3"/>
  <c r="AY420" i="3"/>
  <c r="AW420" i="3"/>
  <c r="AT420" i="3"/>
  <c r="BL419" i="3"/>
  <c r="BI419" i="3"/>
  <c r="BG419" i="3"/>
  <c r="BD419" i="3"/>
  <c r="BB419" i="3"/>
  <c r="AY419" i="3"/>
  <c r="AW419" i="3"/>
  <c r="AT419" i="3"/>
  <c r="BL418" i="3"/>
  <c r="BI418" i="3"/>
  <c r="BG418" i="3"/>
  <c r="BD418" i="3"/>
  <c r="BB418" i="3"/>
  <c r="AY418" i="3"/>
  <c r="AW418" i="3"/>
  <c r="AT418" i="3"/>
  <c r="AR418" i="3"/>
  <c r="BL417" i="3"/>
  <c r="BI417" i="3"/>
  <c r="BG417" i="3"/>
  <c r="BD417" i="3"/>
  <c r="BB417" i="3"/>
  <c r="AY417" i="3"/>
  <c r="AW417" i="3"/>
  <c r="AT417" i="3"/>
  <c r="BL416" i="3"/>
  <c r="BI416" i="3"/>
  <c r="BG416" i="3"/>
  <c r="BD416" i="3"/>
  <c r="BB416" i="3"/>
  <c r="AY416" i="3"/>
  <c r="AW416" i="3"/>
  <c r="AT416" i="3"/>
  <c r="BL415" i="3"/>
  <c r="BI415" i="3"/>
  <c r="BG415" i="3"/>
  <c r="BD415" i="3"/>
  <c r="BB415" i="3"/>
  <c r="AY415" i="3"/>
  <c r="AW415" i="3"/>
  <c r="AT415" i="3"/>
  <c r="BL414" i="3"/>
  <c r="BI414" i="3"/>
  <c r="BG414" i="3"/>
  <c r="BD414" i="3"/>
  <c r="BB414" i="3"/>
  <c r="AY414" i="3"/>
  <c r="AW414" i="3"/>
  <c r="AT414" i="3"/>
  <c r="BL413" i="3"/>
  <c r="BI413" i="3"/>
  <c r="BG413" i="3"/>
  <c r="BD413" i="3"/>
  <c r="BB413" i="3"/>
  <c r="AY413" i="3"/>
  <c r="AW413" i="3"/>
  <c r="AT413" i="3"/>
  <c r="BL412" i="3"/>
  <c r="BI412" i="3"/>
  <c r="BG412" i="3"/>
  <c r="BD412" i="3"/>
  <c r="BB412" i="3"/>
  <c r="AY412" i="3"/>
  <c r="AW412" i="3"/>
  <c r="AT412" i="3"/>
  <c r="BL411" i="3"/>
  <c r="BI411" i="3"/>
  <c r="BG411" i="3"/>
  <c r="BD411" i="3"/>
  <c r="BB411" i="3"/>
  <c r="AY411" i="3"/>
  <c r="AW411" i="3"/>
  <c r="AT411" i="3"/>
  <c r="BL410" i="3"/>
  <c r="BI410" i="3"/>
  <c r="BG410" i="3"/>
  <c r="BD410" i="3"/>
  <c r="BB410" i="3"/>
  <c r="AY410" i="3"/>
  <c r="AW410" i="3"/>
  <c r="AT410" i="3"/>
  <c r="BL409" i="3"/>
  <c r="BI409" i="3"/>
  <c r="BG409" i="3"/>
  <c r="BD409" i="3"/>
  <c r="BB409" i="3"/>
  <c r="AY409" i="3"/>
  <c r="AW409" i="3"/>
  <c r="AT409" i="3"/>
  <c r="BL408" i="3"/>
  <c r="BI408" i="3"/>
  <c r="BG408" i="3"/>
  <c r="BD408" i="3"/>
  <c r="BB408" i="3"/>
  <c r="AY408" i="3"/>
  <c r="AW408" i="3"/>
  <c r="AT408" i="3"/>
  <c r="AR408" i="3"/>
  <c r="BL407" i="3"/>
  <c r="BI407" i="3"/>
  <c r="BG407" i="3"/>
  <c r="BD407" i="3"/>
  <c r="BB407" i="3"/>
  <c r="AY407" i="3"/>
  <c r="AW407" i="3"/>
  <c r="AT407" i="3"/>
  <c r="BL406" i="3"/>
  <c r="BI406" i="3"/>
  <c r="BG406" i="3"/>
  <c r="BD406" i="3"/>
  <c r="BB406" i="3"/>
  <c r="AY406" i="3"/>
  <c r="AW406" i="3"/>
  <c r="AT406" i="3"/>
  <c r="AR406" i="3"/>
  <c r="BL405" i="3"/>
  <c r="BI405" i="3"/>
  <c r="BG405" i="3"/>
  <c r="BD405" i="3"/>
  <c r="BB405" i="3"/>
  <c r="AY405" i="3"/>
  <c r="AW405" i="3"/>
  <c r="AT405" i="3"/>
  <c r="BL404" i="3"/>
  <c r="BI404" i="3"/>
  <c r="BG404" i="3"/>
  <c r="BD404" i="3"/>
  <c r="BB404" i="3"/>
  <c r="AY404" i="3"/>
  <c r="AW404" i="3"/>
  <c r="AT404" i="3"/>
  <c r="BL403" i="3"/>
  <c r="BI403" i="3"/>
  <c r="BG403" i="3"/>
  <c r="BD403" i="3"/>
  <c r="BB403" i="3"/>
  <c r="AY403" i="3"/>
  <c r="AW403" i="3"/>
  <c r="AT403" i="3"/>
  <c r="BL402" i="3"/>
  <c r="BI402" i="3"/>
  <c r="BG402" i="3"/>
  <c r="BD402" i="3"/>
  <c r="BB402" i="3"/>
  <c r="AY402" i="3"/>
  <c r="AW402" i="3"/>
  <c r="AT402" i="3"/>
  <c r="BL401" i="3"/>
  <c r="BI401" i="3"/>
  <c r="BG401" i="3"/>
  <c r="BD401" i="3"/>
  <c r="BB401" i="3"/>
  <c r="AY401" i="3"/>
  <c r="AW401" i="3"/>
  <c r="AT401" i="3"/>
  <c r="BL400" i="3"/>
  <c r="BI400" i="3"/>
  <c r="BG400" i="3"/>
  <c r="BD400" i="3"/>
  <c r="BB400" i="3"/>
  <c r="AY400" i="3"/>
  <c r="AW400" i="3"/>
  <c r="AT400" i="3"/>
  <c r="BL399" i="3"/>
  <c r="BI399" i="3"/>
  <c r="BG399" i="3"/>
  <c r="BD399" i="3"/>
  <c r="BB399" i="3"/>
  <c r="AY399" i="3"/>
  <c r="AW399" i="3"/>
  <c r="AT399" i="3"/>
  <c r="BL398" i="3"/>
  <c r="BI398" i="3"/>
  <c r="BG398" i="3"/>
  <c r="BD398" i="3"/>
  <c r="BB398" i="3"/>
  <c r="AY398" i="3"/>
  <c r="AW398" i="3"/>
  <c r="AT398" i="3"/>
  <c r="BL397" i="3"/>
  <c r="BI397" i="3"/>
  <c r="BG397" i="3"/>
  <c r="BD397" i="3"/>
  <c r="BB397" i="3"/>
  <c r="AY397" i="3"/>
  <c r="AW397" i="3"/>
  <c r="AT397" i="3"/>
  <c r="BL396" i="3"/>
  <c r="BI396" i="3"/>
  <c r="BG396" i="3"/>
  <c r="BD396" i="3"/>
  <c r="BB396" i="3"/>
  <c r="AY396" i="3"/>
  <c r="AW396" i="3"/>
  <c r="AT396" i="3"/>
  <c r="AO396" i="3"/>
  <c r="AR396" i="3" s="1"/>
  <c r="BL395" i="3"/>
  <c r="BI395" i="3"/>
  <c r="BG395" i="3"/>
  <c r="BD395" i="3"/>
  <c r="BB395" i="3"/>
  <c r="AY395" i="3"/>
  <c r="AW395" i="3"/>
  <c r="AT395" i="3"/>
  <c r="BL394" i="3"/>
  <c r="BI394" i="3"/>
  <c r="BG394" i="3"/>
  <c r="BD394" i="3"/>
  <c r="BB394" i="3"/>
  <c r="AY394" i="3"/>
  <c r="AW394" i="3"/>
  <c r="AT394" i="3"/>
  <c r="BL393" i="3"/>
  <c r="BI393" i="3"/>
  <c r="BG393" i="3"/>
  <c r="BD393" i="3"/>
  <c r="BB393" i="3"/>
  <c r="AY393" i="3"/>
  <c r="AW393" i="3"/>
  <c r="AT393" i="3"/>
  <c r="BL392" i="3"/>
  <c r="BI392" i="3"/>
  <c r="BG392" i="3"/>
  <c r="BD392" i="3"/>
  <c r="BB392" i="3"/>
  <c r="AY392" i="3"/>
  <c r="AW392" i="3"/>
  <c r="AT392" i="3"/>
  <c r="BL391" i="3"/>
  <c r="BI391" i="3"/>
  <c r="BG391" i="3"/>
  <c r="BD391" i="3"/>
  <c r="BB391" i="3"/>
  <c r="AY391" i="3"/>
  <c r="AW391" i="3"/>
  <c r="AT391" i="3"/>
  <c r="BL390" i="3"/>
  <c r="BI390" i="3"/>
  <c r="BG390" i="3"/>
  <c r="BD390" i="3"/>
  <c r="BB390" i="3"/>
  <c r="AY390" i="3"/>
  <c r="AW390" i="3"/>
  <c r="AT390" i="3"/>
  <c r="BL389" i="3"/>
  <c r="BI389" i="3"/>
  <c r="BG389" i="3"/>
  <c r="BD389" i="3"/>
  <c r="BB389" i="3"/>
  <c r="AY389" i="3"/>
  <c r="AW389" i="3"/>
  <c r="AT389" i="3"/>
  <c r="BL388" i="3"/>
  <c r="BI388" i="3"/>
  <c r="BG388" i="3"/>
  <c r="BD388" i="3"/>
  <c r="BB388" i="3"/>
  <c r="AY388" i="3"/>
  <c r="AW388" i="3"/>
  <c r="AT388" i="3"/>
  <c r="BL387" i="3"/>
  <c r="BI387" i="3"/>
  <c r="BG387" i="3"/>
  <c r="BD387" i="3"/>
  <c r="BB387" i="3"/>
  <c r="AY387" i="3"/>
  <c r="AW387" i="3"/>
  <c r="AT387" i="3"/>
  <c r="BL386" i="3"/>
  <c r="BI386" i="3"/>
  <c r="BG386" i="3"/>
  <c r="BD386" i="3"/>
  <c r="BB386" i="3"/>
  <c r="AY386" i="3"/>
  <c r="AW386" i="3"/>
  <c r="AT386" i="3"/>
  <c r="BL385" i="3"/>
  <c r="BI385" i="3"/>
  <c r="BG385" i="3"/>
  <c r="BD385" i="3"/>
  <c r="BB385" i="3"/>
  <c r="AY385" i="3"/>
  <c r="AW385" i="3"/>
  <c r="AT385" i="3"/>
  <c r="AR385" i="3"/>
  <c r="BL384" i="3"/>
  <c r="BI384" i="3"/>
  <c r="BG384" i="3"/>
  <c r="BD384" i="3"/>
  <c r="BB384" i="3"/>
  <c r="AY384" i="3"/>
  <c r="AW384" i="3"/>
  <c r="AT384" i="3"/>
  <c r="BL383" i="3"/>
  <c r="BI383" i="3"/>
  <c r="BG383" i="3"/>
  <c r="BD383" i="3"/>
  <c r="BB383" i="3"/>
  <c r="AY383" i="3"/>
  <c r="AW383" i="3"/>
  <c r="AT383" i="3"/>
  <c r="BL382" i="3"/>
  <c r="BI382" i="3"/>
  <c r="BG382" i="3"/>
  <c r="BD382" i="3"/>
  <c r="BB382" i="3"/>
  <c r="AY382" i="3"/>
  <c r="AW382" i="3"/>
  <c r="AT382" i="3"/>
  <c r="BL381" i="3"/>
  <c r="BI381" i="3"/>
  <c r="BG381" i="3"/>
  <c r="BD381" i="3"/>
  <c r="BB381" i="3"/>
  <c r="AY381" i="3"/>
  <c r="AW381" i="3"/>
  <c r="AT381" i="3"/>
  <c r="BL380" i="3"/>
  <c r="BI380" i="3"/>
  <c r="BG380" i="3"/>
  <c r="BD380" i="3"/>
  <c r="BB380" i="3"/>
  <c r="AY380" i="3"/>
  <c r="AW380" i="3"/>
  <c r="AT380" i="3"/>
  <c r="BL379" i="3"/>
  <c r="BI379" i="3"/>
  <c r="BG379" i="3"/>
  <c r="BD379" i="3"/>
  <c r="BB379" i="3"/>
  <c r="AY379" i="3"/>
  <c r="AW379" i="3"/>
  <c r="AT379" i="3"/>
  <c r="BL378" i="3"/>
  <c r="BI378" i="3"/>
  <c r="BG378" i="3"/>
  <c r="BD378" i="3"/>
  <c r="BB378" i="3"/>
  <c r="AY378" i="3"/>
  <c r="AW378" i="3"/>
  <c r="AT378" i="3"/>
  <c r="BL377" i="3"/>
  <c r="BI377" i="3"/>
  <c r="BG377" i="3"/>
  <c r="BD377" i="3"/>
  <c r="BB377" i="3"/>
  <c r="AY377" i="3"/>
  <c r="AW377" i="3"/>
  <c r="AT377" i="3"/>
  <c r="BL376" i="3"/>
  <c r="BI376" i="3"/>
  <c r="BG376" i="3"/>
  <c r="BD376" i="3"/>
  <c r="BB376" i="3"/>
  <c r="AY376" i="3"/>
  <c r="AW376" i="3"/>
  <c r="AT376" i="3"/>
  <c r="AR376" i="3"/>
  <c r="BL375" i="3"/>
  <c r="BI375" i="3"/>
  <c r="BG375" i="3"/>
  <c r="BD375" i="3"/>
  <c r="BB375" i="3"/>
  <c r="AY375" i="3"/>
  <c r="AW375" i="3"/>
  <c r="AT375" i="3"/>
  <c r="BL374" i="3"/>
  <c r="BI374" i="3"/>
  <c r="BG374" i="3"/>
  <c r="BD374" i="3"/>
  <c r="BB374" i="3"/>
  <c r="AY374" i="3"/>
  <c r="AW374" i="3"/>
  <c r="AT374" i="3"/>
  <c r="AR374" i="3"/>
  <c r="BL373" i="3"/>
  <c r="BI373" i="3"/>
  <c r="BG373" i="3"/>
  <c r="BD373" i="3"/>
  <c r="BB373" i="3"/>
  <c r="AY373" i="3"/>
  <c r="AW373" i="3"/>
  <c r="AT373" i="3"/>
  <c r="BL372" i="3"/>
  <c r="BI372" i="3"/>
  <c r="BG372" i="3"/>
  <c r="BD372" i="3"/>
  <c r="BB372" i="3"/>
  <c r="AY372" i="3"/>
  <c r="AW372" i="3"/>
  <c r="AT372" i="3"/>
  <c r="BL371" i="3"/>
  <c r="BI371" i="3"/>
  <c r="BG371" i="3"/>
  <c r="BD371" i="3"/>
  <c r="BB371" i="3"/>
  <c r="AY371" i="3"/>
  <c r="AW371" i="3"/>
  <c r="AT371" i="3"/>
  <c r="AJ371" i="3"/>
  <c r="AM371" i="3" s="1"/>
  <c r="BL370" i="3"/>
  <c r="BI370" i="3"/>
  <c r="BG370" i="3"/>
  <c r="BD370" i="3"/>
  <c r="BB370" i="3"/>
  <c r="AY370" i="3"/>
  <c r="AW370" i="3"/>
  <c r="AT370" i="3"/>
  <c r="BL369" i="3"/>
  <c r="BI369" i="3"/>
  <c r="BG369" i="3"/>
  <c r="BD369" i="3"/>
  <c r="BB369" i="3"/>
  <c r="AY369" i="3"/>
  <c r="AW369" i="3"/>
  <c r="AT369" i="3"/>
  <c r="BL368" i="3"/>
  <c r="BI368" i="3"/>
  <c r="BG368" i="3"/>
  <c r="BD368" i="3"/>
  <c r="BB368" i="3"/>
  <c r="AY368" i="3"/>
  <c r="AW368" i="3"/>
  <c r="AT368" i="3"/>
  <c r="BL367" i="3"/>
  <c r="BI367" i="3"/>
  <c r="BG367" i="3"/>
  <c r="BD367" i="3"/>
  <c r="BB367" i="3"/>
  <c r="AY367" i="3"/>
  <c r="AW367" i="3"/>
  <c r="AT367" i="3"/>
  <c r="BL366" i="3"/>
  <c r="BI366" i="3"/>
  <c r="BG366" i="3"/>
  <c r="BD366" i="3"/>
  <c r="BB366" i="3"/>
  <c r="AY366" i="3"/>
  <c r="AW366" i="3"/>
  <c r="AT366" i="3"/>
  <c r="AR366" i="3"/>
  <c r="BL365" i="3"/>
  <c r="BI365" i="3"/>
  <c r="BG365" i="3"/>
  <c r="BD365" i="3"/>
  <c r="BB365" i="3"/>
  <c r="AY365" i="3"/>
  <c r="AW365" i="3"/>
  <c r="AT365" i="3"/>
  <c r="BL364" i="3"/>
  <c r="BI364" i="3"/>
  <c r="BG364" i="3"/>
  <c r="BD364" i="3"/>
  <c r="BB364" i="3"/>
  <c r="AY364" i="3"/>
  <c r="AW364" i="3"/>
  <c r="AT364" i="3"/>
  <c r="BL363" i="3"/>
  <c r="BI363" i="3"/>
  <c r="BG363" i="3"/>
  <c r="BD363" i="3"/>
  <c r="BB363" i="3"/>
  <c r="AY363" i="3"/>
  <c r="AW363" i="3"/>
  <c r="AT363" i="3"/>
  <c r="AJ363" i="3"/>
  <c r="AM363" i="3" s="1"/>
  <c r="BL362" i="3"/>
  <c r="BI362" i="3"/>
  <c r="BG362" i="3"/>
  <c r="BD362" i="3"/>
  <c r="BB362" i="3"/>
  <c r="AY362" i="3"/>
  <c r="AW362" i="3"/>
  <c r="AT362" i="3"/>
  <c r="BL361" i="3"/>
  <c r="BI361" i="3"/>
  <c r="BG361" i="3"/>
  <c r="BD361" i="3"/>
  <c r="BB361" i="3"/>
  <c r="AY361" i="3"/>
  <c r="AW361" i="3"/>
  <c r="AT361" i="3"/>
  <c r="BL360" i="3"/>
  <c r="BI360" i="3"/>
  <c r="BG360" i="3"/>
  <c r="BD360" i="3"/>
  <c r="BB360" i="3"/>
  <c r="AY360" i="3"/>
  <c r="AW360" i="3"/>
  <c r="AT360" i="3"/>
  <c r="BL359" i="3"/>
  <c r="BI359" i="3"/>
  <c r="BG359" i="3"/>
  <c r="BD359" i="3"/>
  <c r="BB359" i="3"/>
  <c r="AY359" i="3"/>
  <c r="AW359" i="3"/>
  <c r="AT359" i="3"/>
  <c r="BL358" i="3"/>
  <c r="BI358" i="3"/>
  <c r="BG358" i="3"/>
  <c r="BD358" i="3"/>
  <c r="BB358" i="3"/>
  <c r="AY358" i="3"/>
  <c r="AW358" i="3"/>
  <c r="AT358" i="3"/>
  <c r="BL357" i="3"/>
  <c r="BI357" i="3"/>
  <c r="BG357" i="3"/>
  <c r="BD357" i="3"/>
  <c r="BB357" i="3"/>
  <c r="AY357" i="3"/>
  <c r="AW357" i="3"/>
  <c r="AT357" i="3"/>
  <c r="AO357" i="3"/>
  <c r="AR357" i="3" s="1"/>
  <c r="AM357" i="3"/>
  <c r="BL356" i="3"/>
  <c r="BI356" i="3"/>
  <c r="BG356" i="3"/>
  <c r="BD356" i="3"/>
  <c r="BB356" i="3"/>
  <c r="AY356" i="3"/>
  <c r="AW356" i="3"/>
  <c r="AT356" i="3"/>
  <c r="BL355" i="3"/>
  <c r="BI355" i="3"/>
  <c r="BG355" i="3"/>
  <c r="BD355" i="3"/>
  <c r="BB355" i="3"/>
  <c r="AY355" i="3"/>
  <c r="AW355" i="3"/>
  <c r="AT355" i="3"/>
  <c r="BL354" i="3"/>
  <c r="BI354" i="3"/>
  <c r="BG354" i="3"/>
  <c r="BD354" i="3"/>
  <c r="BB354" i="3"/>
  <c r="AY354" i="3"/>
  <c r="AW354" i="3"/>
  <c r="AT354" i="3"/>
  <c r="BL353" i="3"/>
  <c r="BI353" i="3"/>
  <c r="BG353" i="3"/>
  <c r="BD353" i="3"/>
  <c r="BB353" i="3"/>
  <c r="AY353" i="3"/>
  <c r="AW353" i="3"/>
  <c r="AT353" i="3"/>
  <c r="AM353" i="3"/>
  <c r="BL352" i="3"/>
  <c r="BI352" i="3"/>
  <c r="BG352" i="3"/>
  <c r="BD352" i="3"/>
  <c r="BB352" i="3"/>
  <c r="AY352" i="3"/>
  <c r="AW352" i="3"/>
  <c r="AT352" i="3"/>
  <c r="BL351" i="3"/>
  <c r="BI351" i="3"/>
  <c r="BG351" i="3"/>
  <c r="BD351" i="3"/>
  <c r="BB351" i="3"/>
  <c r="AY351" i="3"/>
  <c r="AW351" i="3"/>
  <c r="AT351" i="3"/>
  <c r="BL350" i="3"/>
  <c r="BI350" i="3"/>
  <c r="BG350" i="3"/>
  <c r="BD350" i="3"/>
  <c r="BB350" i="3"/>
  <c r="AY350" i="3"/>
  <c r="AW350" i="3"/>
  <c r="AT350" i="3"/>
  <c r="AO350" i="3"/>
  <c r="AR350" i="3" s="1"/>
  <c r="BL349" i="3"/>
  <c r="BI349" i="3"/>
  <c r="BG349" i="3"/>
  <c r="BD349" i="3"/>
  <c r="BB349" i="3"/>
  <c r="AY349" i="3"/>
  <c r="AW349" i="3"/>
  <c r="AT349" i="3"/>
  <c r="AM349" i="3"/>
  <c r="BL348" i="3"/>
  <c r="BI348" i="3"/>
  <c r="BG348" i="3"/>
  <c r="BD348" i="3"/>
  <c r="BB348" i="3"/>
  <c r="AY348" i="3"/>
  <c r="AW348" i="3"/>
  <c r="AT348" i="3"/>
  <c r="BL347" i="3"/>
  <c r="BI347" i="3"/>
  <c r="BG347" i="3"/>
  <c r="BD347" i="3"/>
  <c r="BB347" i="3"/>
  <c r="AY347" i="3"/>
  <c r="AW347" i="3"/>
  <c r="AT347" i="3"/>
  <c r="BL346" i="3"/>
  <c r="BI346" i="3"/>
  <c r="BG346" i="3"/>
  <c r="BD346" i="3"/>
  <c r="BB346" i="3"/>
  <c r="AY346" i="3"/>
  <c r="AW346" i="3"/>
  <c r="AT346" i="3"/>
  <c r="BL345" i="3"/>
  <c r="BI345" i="3"/>
  <c r="BG345" i="3"/>
  <c r="BD345" i="3"/>
  <c r="BB345" i="3"/>
  <c r="AY345" i="3"/>
  <c r="AW345" i="3"/>
  <c r="AT345" i="3"/>
  <c r="AO345" i="3"/>
  <c r="AR345" i="3" s="1"/>
  <c r="AM345" i="3"/>
  <c r="BL344" i="3"/>
  <c r="BI344" i="3"/>
  <c r="BG344" i="3"/>
  <c r="BD344" i="3"/>
  <c r="BB344" i="3"/>
  <c r="AY344" i="3"/>
  <c r="AW344" i="3"/>
  <c r="AT344" i="3"/>
  <c r="BL343" i="3"/>
  <c r="BI343" i="3"/>
  <c r="BG343" i="3"/>
  <c r="BD343" i="3"/>
  <c r="BB343" i="3"/>
  <c r="AY343" i="3"/>
  <c r="AW343" i="3"/>
  <c r="AT343" i="3"/>
  <c r="BL342" i="3"/>
  <c r="BI342" i="3"/>
  <c r="BG342" i="3"/>
  <c r="BD342" i="3"/>
  <c r="BB342" i="3"/>
  <c r="AY342" i="3"/>
  <c r="AW342" i="3"/>
  <c r="AT342" i="3"/>
  <c r="BL341" i="3"/>
  <c r="BI341" i="3"/>
  <c r="BG341" i="3"/>
  <c r="BD341" i="3"/>
  <c r="BB341" i="3"/>
  <c r="AY341" i="3"/>
  <c r="AW341" i="3"/>
  <c r="AT341" i="3"/>
  <c r="AM341" i="3"/>
  <c r="BL340" i="3"/>
  <c r="BI340" i="3"/>
  <c r="BG340" i="3"/>
  <c r="BD340" i="3"/>
  <c r="BB340" i="3"/>
  <c r="AY340" i="3"/>
  <c r="AW340" i="3"/>
  <c r="AT340" i="3"/>
  <c r="BL339" i="3"/>
  <c r="BI339" i="3"/>
  <c r="BG339" i="3"/>
  <c r="BD339" i="3"/>
  <c r="BB339" i="3"/>
  <c r="AY339" i="3"/>
  <c r="AW339" i="3"/>
  <c r="AT339" i="3"/>
  <c r="BL338" i="3"/>
  <c r="BI338" i="3"/>
  <c r="BG338" i="3"/>
  <c r="BD338" i="3"/>
  <c r="BB338" i="3"/>
  <c r="AY338" i="3"/>
  <c r="AW338" i="3"/>
  <c r="AT338" i="3"/>
  <c r="AO338" i="3"/>
  <c r="AR338" i="3" s="1"/>
  <c r="BL337" i="3"/>
  <c r="BI337" i="3"/>
  <c r="BG337" i="3"/>
  <c r="BD337" i="3"/>
  <c r="BB337" i="3"/>
  <c r="AY337" i="3"/>
  <c r="AW337" i="3"/>
  <c r="AT337" i="3"/>
  <c r="AM337" i="3"/>
  <c r="BL336" i="3"/>
  <c r="BI336" i="3"/>
  <c r="BG336" i="3"/>
  <c r="BD336" i="3"/>
  <c r="BB336" i="3"/>
  <c r="AY336" i="3"/>
  <c r="AW336" i="3"/>
  <c r="AT336" i="3"/>
  <c r="BL335" i="3"/>
  <c r="BI335" i="3"/>
  <c r="BG335" i="3"/>
  <c r="BD335" i="3"/>
  <c r="BB335" i="3"/>
  <c r="AY335" i="3"/>
  <c r="AW335" i="3"/>
  <c r="AT335" i="3"/>
  <c r="BL334" i="3"/>
  <c r="BI334" i="3"/>
  <c r="BG334" i="3"/>
  <c r="BD334" i="3"/>
  <c r="BB334" i="3"/>
  <c r="AY334" i="3"/>
  <c r="AW334" i="3"/>
  <c r="AT334" i="3"/>
  <c r="BL333" i="3"/>
  <c r="BI333" i="3"/>
  <c r="BG333" i="3"/>
  <c r="BD333" i="3"/>
  <c r="BB333" i="3"/>
  <c r="AY333" i="3"/>
  <c r="AW333" i="3"/>
  <c r="AT333" i="3"/>
  <c r="AR333" i="3"/>
  <c r="AM333" i="3"/>
  <c r="BL332" i="3"/>
  <c r="BI332" i="3"/>
  <c r="BG332" i="3"/>
  <c r="BD332" i="3"/>
  <c r="BB332" i="3"/>
  <c r="AY332" i="3"/>
  <c r="AW332" i="3"/>
  <c r="AT332" i="3"/>
  <c r="BL331" i="3"/>
  <c r="BI331" i="3"/>
  <c r="BG331" i="3"/>
  <c r="BD331" i="3"/>
  <c r="BB331" i="3"/>
  <c r="AY331" i="3"/>
  <c r="AW331" i="3"/>
  <c r="AT331" i="3"/>
  <c r="BL330" i="3"/>
  <c r="BI330" i="3"/>
  <c r="BG330" i="3"/>
  <c r="BD330" i="3"/>
  <c r="BB330" i="3"/>
  <c r="AY330" i="3"/>
  <c r="AW330" i="3"/>
  <c r="AT330" i="3"/>
  <c r="BL329" i="3"/>
  <c r="BI329" i="3"/>
  <c r="BG329" i="3"/>
  <c r="BD329" i="3"/>
  <c r="BB329" i="3"/>
  <c r="AY329" i="3"/>
  <c r="AW329" i="3"/>
  <c r="AT329" i="3"/>
  <c r="AM329" i="3"/>
  <c r="BL328" i="3"/>
  <c r="BI328" i="3"/>
  <c r="BG328" i="3"/>
  <c r="BD328" i="3"/>
  <c r="BB328" i="3"/>
  <c r="AY328" i="3"/>
  <c r="AW328" i="3"/>
  <c r="AT328" i="3"/>
  <c r="BL327" i="3"/>
  <c r="BI327" i="3"/>
  <c r="BG327" i="3"/>
  <c r="BD327" i="3"/>
  <c r="BB327" i="3"/>
  <c r="AY327" i="3"/>
  <c r="AW327" i="3"/>
  <c r="AT327" i="3"/>
  <c r="BL326" i="3"/>
  <c r="BI326" i="3"/>
  <c r="BG326" i="3"/>
  <c r="BD326" i="3"/>
  <c r="BB326" i="3"/>
  <c r="AY326" i="3"/>
  <c r="AW326" i="3"/>
  <c r="AT326" i="3"/>
  <c r="BL325" i="3"/>
  <c r="BI325" i="3"/>
  <c r="BG325" i="3"/>
  <c r="BD325" i="3"/>
  <c r="BB325" i="3"/>
  <c r="AY325" i="3"/>
  <c r="AW325" i="3"/>
  <c r="AT325" i="3"/>
  <c r="AM325" i="3"/>
  <c r="BL324" i="3"/>
  <c r="BI324" i="3"/>
  <c r="BG324" i="3"/>
  <c r="BD324" i="3"/>
  <c r="BB324" i="3"/>
  <c r="AY324" i="3"/>
  <c r="AW324" i="3"/>
  <c r="AT324" i="3"/>
  <c r="BL323" i="3"/>
  <c r="BI323" i="3"/>
  <c r="BG323" i="3"/>
  <c r="BD323" i="3"/>
  <c r="BB323" i="3"/>
  <c r="AY323" i="3"/>
  <c r="AW323" i="3"/>
  <c r="AT323" i="3"/>
  <c r="BL322" i="3"/>
  <c r="BI322" i="3"/>
  <c r="BG322" i="3"/>
  <c r="BD322" i="3"/>
  <c r="BB322" i="3"/>
  <c r="AY322" i="3"/>
  <c r="AW322" i="3"/>
  <c r="AT322" i="3"/>
  <c r="BL321" i="3"/>
  <c r="BI321" i="3"/>
  <c r="BG321" i="3"/>
  <c r="BD321" i="3"/>
  <c r="BB321" i="3"/>
  <c r="AY321" i="3"/>
  <c r="AW321" i="3"/>
  <c r="AT321" i="3"/>
  <c r="AR321" i="3"/>
  <c r="AM321" i="3"/>
  <c r="BL320" i="3"/>
  <c r="BI320" i="3"/>
  <c r="BG320" i="3"/>
  <c r="BD320" i="3"/>
  <c r="BB320" i="3"/>
  <c r="AY320" i="3"/>
  <c r="AW320" i="3"/>
  <c r="AT320" i="3"/>
  <c r="BL319" i="3"/>
  <c r="BI319" i="3"/>
  <c r="BG319" i="3"/>
  <c r="BD319" i="3"/>
  <c r="BB319" i="3"/>
  <c r="AY319" i="3"/>
  <c r="AW319" i="3"/>
  <c r="AT319" i="3"/>
  <c r="BL318" i="3"/>
  <c r="BI318" i="3"/>
  <c r="BG318" i="3"/>
  <c r="BD318" i="3"/>
  <c r="BB318" i="3"/>
  <c r="AY318" i="3"/>
  <c r="AW318" i="3"/>
  <c r="AT318" i="3"/>
  <c r="BL317" i="3"/>
  <c r="BI317" i="3"/>
  <c r="BG317" i="3"/>
  <c r="BD317" i="3"/>
  <c r="BB317" i="3"/>
  <c r="AY317" i="3"/>
  <c r="AW317" i="3"/>
  <c r="AT317" i="3"/>
  <c r="AM317" i="3"/>
  <c r="BL316" i="3"/>
  <c r="BI316" i="3"/>
  <c r="BG316" i="3"/>
  <c r="BD316" i="3"/>
  <c r="BB316" i="3"/>
  <c r="AY316" i="3"/>
  <c r="AW316" i="3"/>
  <c r="AT316" i="3"/>
  <c r="BL315" i="3"/>
  <c r="BI315" i="3"/>
  <c r="BG315" i="3"/>
  <c r="BD315" i="3"/>
  <c r="BB315" i="3"/>
  <c r="AY315" i="3"/>
  <c r="AW315" i="3"/>
  <c r="AT315" i="3"/>
  <c r="BL314" i="3"/>
  <c r="BI314" i="3"/>
  <c r="BG314" i="3"/>
  <c r="BD314" i="3"/>
  <c r="BB314" i="3"/>
  <c r="AY314" i="3"/>
  <c r="AW314" i="3"/>
  <c r="AT314" i="3"/>
  <c r="BL313" i="3"/>
  <c r="BI313" i="3"/>
  <c r="BG313" i="3"/>
  <c r="BD313" i="3"/>
  <c r="BB313" i="3"/>
  <c r="AY313" i="3"/>
  <c r="AW313" i="3"/>
  <c r="AT313" i="3"/>
  <c r="AO313" i="3"/>
  <c r="AR313" i="3" s="1"/>
  <c r="AM313" i="3"/>
  <c r="BL312" i="3"/>
  <c r="BI312" i="3"/>
  <c r="BG312" i="3"/>
  <c r="BD312" i="3"/>
  <c r="BB312" i="3"/>
  <c r="AY312" i="3"/>
  <c r="AW312" i="3"/>
  <c r="AT312" i="3"/>
  <c r="BL311" i="3"/>
  <c r="BI311" i="3"/>
  <c r="BG311" i="3"/>
  <c r="BD311" i="3"/>
  <c r="BB311" i="3"/>
  <c r="AY311" i="3"/>
  <c r="AW311" i="3"/>
  <c r="AT311" i="3"/>
  <c r="BL310" i="3"/>
  <c r="BI310" i="3"/>
  <c r="BG310" i="3"/>
  <c r="BD310" i="3"/>
  <c r="BB310" i="3"/>
  <c r="AY310" i="3"/>
  <c r="AW310" i="3"/>
  <c r="AT310" i="3"/>
  <c r="BL309" i="3"/>
  <c r="BI309" i="3"/>
  <c r="BG309" i="3"/>
  <c r="BD309" i="3"/>
  <c r="BB309" i="3"/>
  <c r="AY309" i="3"/>
  <c r="AW309" i="3"/>
  <c r="AT309" i="3"/>
  <c r="AM309" i="3"/>
  <c r="BL308" i="3"/>
  <c r="BI308" i="3"/>
  <c r="BG308" i="3"/>
  <c r="BD308" i="3"/>
  <c r="BB308" i="3"/>
  <c r="AY308" i="3"/>
  <c r="AW308" i="3"/>
  <c r="AT308" i="3"/>
  <c r="AO308" i="3"/>
  <c r="AR308" i="3" s="1"/>
  <c r="BL307" i="3"/>
  <c r="BI307" i="3"/>
  <c r="BG307" i="3"/>
  <c r="BD307" i="3"/>
  <c r="BB307" i="3"/>
  <c r="AY307" i="3"/>
  <c r="AW307" i="3"/>
  <c r="AT307" i="3"/>
  <c r="BL306" i="3"/>
  <c r="BI306" i="3"/>
  <c r="BG306" i="3"/>
  <c r="BD306" i="3"/>
  <c r="BB306" i="3"/>
  <c r="AY306" i="3"/>
  <c r="AW306" i="3"/>
  <c r="AT306" i="3"/>
  <c r="BL305" i="3"/>
  <c r="BI305" i="3"/>
  <c r="BG305" i="3"/>
  <c r="BD305" i="3"/>
  <c r="BB305" i="3"/>
  <c r="AY305" i="3"/>
  <c r="AW305" i="3"/>
  <c r="AT305" i="3"/>
  <c r="AM305" i="3"/>
  <c r="BL304" i="3"/>
  <c r="BI304" i="3"/>
  <c r="BG304" i="3"/>
  <c r="BD304" i="3"/>
  <c r="BB304" i="3"/>
  <c r="AY304" i="3"/>
  <c r="AW304" i="3"/>
  <c r="AT304" i="3"/>
  <c r="AR304" i="3"/>
  <c r="BL303" i="3"/>
  <c r="BI303" i="3"/>
  <c r="BG303" i="3"/>
  <c r="BD303" i="3"/>
  <c r="BB303" i="3"/>
  <c r="AY303" i="3"/>
  <c r="AW303" i="3"/>
  <c r="AT303" i="3"/>
  <c r="BL302" i="3"/>
  <c r="BI302" i="3"/>
  <c r="BG302" i="3"/>
  <c r="BD302" i="3"/>
  <c r="BB302" i="3"/>
  <c r="AY302" i="3"/>
  <c r="AW302" i="3"/>
  <c r="AT302" i="3"/>
  <c r="AO302" i="3"/>
  <c r="AR302" i="3" s="1"/>
  <c r="BL301" i="3"/>
  <c r="BI301" i="3"/>
  <c r="BG301" i="3"/>
  <c r="BD301" i="3"/>
  <c r="BB301" i="3"/>
  <c r="AY301" i="3"/>
  <c r="AW301" i="3"/>
  <c r="AT301" i="3"/>
  <c r="AM301" i="3"/>
  <c r="BL300" i="3"/>
  <c r="BI300" i="3"/>
  <c r="BG300" i="3"/>
  <c r="BD300" i="3"/>
  <c r="BB300" i="3"/>
  <c r="AY300" i="3"/>
  <c r="AW300" i="3"/>
  <c r="AT300" i="3"/>
  <c r="AO300" i="3"/>
  <c r="AR300" i="3" s="1"/>
  <c r="BL299" i="3"/>
  <c r="BI299" i="3"/>
  <c r="BG299" i="3"/>
  <c r="BD299" i="3"/>
  <c r="BB299" i="3"/>
  <c r="AY299" i="3"/>
  <c r="AW299" i="3"/>
  <c r="AT299" i="3"/>
  <c r="BL298" i="3"/>
  <c r="BI298" i="3"/>
  <c r="BG298" i="3"/>
  <c r="BD298" i="3"/>
  <c r="BB298" i="3"/>
  <c r="AY298" i="3"/>
  <c r="AW298" i="3"/>
  <c r="AT298" i="3"/>
  <c r="BL297" i="3"/>
  <c r="BI297" i="3"/>
  <c r="BG297" i="3"/>
  <c r="BD297" i="3"/>
  <c r="BB297" i="3"/>
  <c r="AY297" i="3"/>
  <c r="AW297" i="3"/>
  <c r="AT297" i="3"/>
  <c r="AM297" i="3"/>
  <c r="BL296" i="3"/>
  <c r="BI296" i="3"/>
  <c r="BG296" i="3"/>
  <c r="BD296" i="3"/>
  <c r="BB296" i="3"/>
  <c r="AY296" i="3"/>
  <c r="AW296" i="3"/>
  <c r="AT296" i="3"/>
  <c r="BL295" i="3"/>
  <c r="BI295" i="3"/>
  <c r="BG295" i="3"/>
  <c r="BD295" i="3"/>
  <c r="BB295" i="3"/>
  <c r="AY295" i="3"/>
  <c r="AW295" i="3"/>
  <c r="AT295" i="3"/>
  <c r="BL294" i="3"/>
  <c r="BI294" i="3"/>
  <c r="BG294" i="3"/>
  <c r="BD294" i="3"/>
  <c r="BB294" i="3"/>
  <c r="AY294" i="3"/>
  <c r="AW294" i="3"/>
  <c r="AT294" i="3"/>
  <c r="BL293" i="3"/>
  <c r="BI293" i="3"/>
  <c r="BG293" i="3"/>
  <c r="BD293" i="3"/>
  <c r="BB293" i="3"/>
  <c r="AY293" i="3"/>
  <c r="AW293" i="3"/>
  <c r="AT293" i="3"/>
  <c r="AO293" i="3"/>
  <c r="AR293" i="3" s="1"/>
  <c r="AM293" i="3"/>
  <c r="BL292" i="3"/>
  <c r="BI292" i="3"/>
  <c r="BG292" i="3"/>
  <c r="BD292" i="3"/>
  <c r="BB292" i="3"/>
  <c r="AY292" i="3"/>
  <c r="AW292" i="3"/>
  <c r="AT292" i="3"/>
  <c r="BL291" i="3"/>
  <c r="BI291" i="3"/>
  <c r="BG291" i="3"/>
  <c r="BD291" i="3"/>
  <c r="BB291" i="3"/>
  <c r="AY291" i="3"/>
  <c r="AW291" i="3"/>
  <c r="AT291" i="3"/>
  <c r="BL290" i="3"/>
  <c r="BI290" i="3"/>
  <c r="BG290" i="3"/>
  <c r="BD290" i="3"/>
  <c r="BB290" i="3"/>
  <c r="AY290" i="3"/>
  <c r="AW290" i="3"/>
  <c r="AT290" i="3"/>
  <c r="BL289" i="3"/>
  <c r="BI289" i="3"/>
  <c r="BG289" i="3"/>
  <c r="BD289" i="3"/>
  <c r="BB289" i="3"/>
  <c r="AY289" i="3"/>
  <c r="AW289" i="3"/>
  <c r="AT289" i="3"/>
  <c r="AM289" i="3"/>
  <c r="BL288" i="3"/>
  <c r="BI288" i="3"/>
  <c r="BG288" i="3"/>
  <c r="BD288" i="3"/>
  <c r="BB288" i="3"/>
  <c r="AY288" i="3"/>
  <c r="AW288" i="3"/>
  <c r="AT288" i="3"/>
  <c r="AO288" i="3"/>
  <c r="AR288" i="3" s="1"/>
  <c r="BL287" i="3"/>
  <c r="BI287" i="3"/>
  <c r="BG287" i="3"/>
  <c r="BD287" i="3"/>
  <c r="BB287" i="3"/>
  <c r="AY287" i="3"/>
  <c r="AW287" i="3"/>
  <c r="AT287" i="3"/>
  <c r="BL286" i="3"/>
  <c r="BI286" i="3"/>
  <c r="BG286" i="3"/>
  <c r="BD286" i="3"/>
  <c r="BB286" i="3"/>
  <c r="AY286" i="3"/>
  <c r="AW286" i="3"/>
  <c r="AT286" i="3"/>
  <c r="BL285" i="3"/>
  <c r="BI285" i="3"/>
  <c r="BG285" i="3"/>
  <c r="BD285" i="3"/>
  <c r="BB285" i="3"/>
  <c r="AY285" i="3"/>
  <c r="AW285" i="3"/>
  <c r="AT285" i="3"/>
  <c r="AM285" i="3"/>
  <c r="BL284" i="3"/>
  <c r="BI284" i="3"/>
  <c r="BG284" i="3"/>
  <c r="BD284" i="3"/>
  <c r="BB284" i="3"/>
  <c r="AY284" i="3"/>
  <c r="AW284" i="3"/>
  <c r="AT284" i="3"/>
  <c r="AR284" i="3"/>
  <c r="BL283" i="3"/>
  <c r="BI283" i="3"/>
  <c r="BG283" i="3"/>
  <c r="BD283" i="3"/>
  <c r="BB283" i="3"/>
  <c r="AY283" i="3"/>
  <c r="AW283" i="3"/>
  <c r="AT283" i="3"/>
  <c r="BL282" i="3"/>
  <c r="BI282" i="3"/>
  <c r="BG282" i="3"/>
  <c r="BD282" i="3"/>
  <c r="BB282" i="3"/>
  <c r="AY282" i="3"/>
  <c r="AW282" i="3"/>
  <c r="AT282" i="3"/>
  <c r="AO282" i="3"/>
  <c r="AR282" i="3" s="1"/>
  <c r="BL281" i="3"/>
  <c r="BI281" i="3"/>
  <c r="BG281" i="3"/>
  <c r="BD281" i="3"/>
  <c r="BB281" i="3"/>
  <c r="AY281" i="3"/>
  <c r="AW281" i="3"/>
  <c r="AT281" i="3"/>
  <c r="AM281" i="3"/>
  <c r="BL280" i="3"/>
  <c r="BI280" i="3"/>
  <c r="BG280" i="3"/>
  <c r="BD280" i="3"/>
  <c r="BB280" i="3"/>
  <c r="AY280" i="3"/>
  <c r="AW280" i="3"/>
  <c r="AT280" i="3"/>
  <c r="BL279" i="3"/>
  <c r="BI279" i="3"/>
  <c r="BG279" i="3"/>
  <c r="BD279" i="3"/>
  <c r="BB279" i="3"/>
  <c r="AY279" i="3"/>
  <c r="AW279" i="3"/>
  <c r="AT279" i="3"/>
  <c r="BL278" i="3"/>
  <c r="BI278" i="3"/>
  <c r="BG278" i="3"/>
  <c r="BD278" i="3"/>
  <c r="BB278" i="3"/>
  <c r="AY278" i="3"/>
  <c r="AW278" i="3"/>
  <c r="AT278" i="3"/>
  <c r="BL277" i="3"/>
  <c r="BI277" i="3"/>
  <c r="BG277" i="3"/>
  <c r="BD277" i="3"/>
  <c r="BB277" i="3"/>
  <c r="AY277" i="3"/>
  <c r="AW277" i="3"/>
  <c r="AT277" i="3"/>
  <c r="AM277" i="3"/>
  <c r="BL276" i="3"/>
  <c r="BI276" i="3"/>
  <c r="BG276" i="3"/>
  <c r="BD276" i="3"/>
  <c r="BB276" i="3"/>
  <c r="AY276" i="3"/>
  <c r="AW276" i="3"/>
  <c r="AT276" i="3"/>
  <c r="BL275" i="3"/>
  <c r="BI275" i="3"/>
  <c r="BG275" i="3"/>
  <c r="BD275" i="3"/>
  <c r="BB275" i="3"/>
  <c r="AY275" i="3"/>
  <c r="AW275" i="3"/>
  <c r="AT275" i="3"/>
  <c r="BL274" i="3"/>
  <c r="BI274" i="3"/>
  <c r="BG274" i="3"/>
  <c r="BD274" i="3"/>
  <c r="BB274" i="3"/>
  <c r="AY274" i="3"/>
  <c r="AW274" i="3"/>
  <c r="AT274" i="3"/>
  <c r="AO274" i="3"/>
  <c r="AR274" i="3" s="1"/>
  <c r="BL273" i="3"/>
  <c r="BI273" i="3"/>
  <c r="BG273" i="3"/>
  <c r="BD273" i="3"/>
  <c r="BB273" i="3"/>
  <c r="AY273" i="3"/>
  <c r="AW273" i="3"/>
  <c r="AT273" i="3"/>
  <c r="AM273" i="3"/>
  <c r="BL272" i="3"/>
  <c r="BI272" i="3"/>
  <c r="BG272" i="3"/>
  <c r="BD272" i="3"/>
  <c r="BB272" i="3"/>
  <c r="AY272" i="3"/>
  <c r="AW272" i="3"/>
  <c r="AT272" i="3"/>
  <c r="BL271" i="3"/>
  <c r="BI271" i="3"/>
  <c r="BG271" i="3"/>
  <c r="BD271" i="3"/>
  <c r="BB271" i="3"/>
  <c r="AY271" i="3"/>
  <c r="AW271" i="3"/>
  <c r="AT271" i="3"/>
  <c r="BL270" i="3"/>
  <c r="BI270" i="3"/>
  <c r="BG270" i="3"/>
  <c r="BD270" i="3"/>
  <c r="BB270" i="3"/>
  <c r="AY270" i="3"/>
  <c r="AW270" i="3"/>
  <c r="AT270" i="3"/>
  <c r="AO270" i="3"/>
  <c r="AR270" i="3" s="1"/>
  <c r="BL269" i="3"/>
  <c r="BI269" i="3"/>
  <c r="BG269" i="3"/>
  <c r="BD269" i="3"/>
  <c r="BB269" i="3"/>
  <c r="AY269" i="3"/>
  <c r="AW269" i="3"/>
  <c r="AT269" i="3"/>
  <c r="AM269" i="3"/>
  <c r="BL268" i="3"/>
  <c r="BI268" i="3"/>
  <c r="BG268" i="3"/>
  <c r="BD268" i="3"/>
  <c r="BB268" i="3"/>
  <c r="AY268" i="3"/>
  <c r="AW268" i="3"/>
  <c r="AT268" i="3"/>
  <c r="AO268" i="3"/>
  <c r="AR268" i="3" s="1"/>
  <c r="BL267" i="3"/>
  <c r="BI267" i="3"/>
  <c r="BG267" i="3"/>
  <c r="BD267" i="3"/>
  <c r="BB267" i="3"/>
  <c r="AY267" i="3"/>
  <c r="AW267" i="3"/>
  <c r="AT267" i="3"/>
  <c r="BL266" i="3"/>
  <c r="BI266" i="3"/>
  <c r="BG266" i="3"/>
  <c r="BD266" i="3"/>
  <c r="BB266" i="3"/>
  <c r="AY266" i="3"/>
  <c r="AW266" i="3"/>
  <c r="AT266" i="3"/>
  <c r="AO266" i="3"/>
  <c r="AR266" i="3" s="1"/>
  <c r="BL265" i="3"/>
  <c r="BI265" i="3"/>
  <c r="BG265" i="3"/>
  <c r="BD265" i="3"/>
  <c r="BB265" i="3"/>
  <c r="AY265" i="3"/>
  <c r="AW265" i="3"/>
  <c r="AT265" i="3"/>
  <c r="AM265" i="3"/>
  <c r="BL264" i="3"/>
  <c r="BI264" i="3"/>
  <c r="BG264" i="3"/>
  <c r="BD264" i="3"/>
  <c r="BB264" i="3"/>
  <c r="AY264" i="3"/>
  <c r="AW264" i="3"/>
  <c r="AT264" i="3"/>
  <c r="BL263" i="3"/>
  <c r="BI263" i="3"/>
  <c r="BG263" i="3"/>
  <c r="BD263" i="3"/>
  <c r="BB263" i="3"/>
  <c r="AY263" i="3"/>
  <c r="AW263" i="3"/>
  <c r="AT263" i="3"/>
  <c r="BL262" i="3"/>
  <c r="BI262" i="3"/>
  <c r="BG262" i="3"/>
  <c r="BD262" i="3"/>
  <c r="BB262" i="3"/>
  <c r="AY262" i="3"/>
  <c r="AW262" i="3"/>
  <c r="AT262" i="3"/>
  <c r="BL261" i="3"/>
  <c r="BI261" i="3"/>
  <c r="BG261" i="3"/>
  <c r="BD261" i="3"/>
  <c r="BB261" i="3"/>
  <c r="AY261" i="3"/>
  <c r="AW261" i="3"/>
  <c r="AT261" i="3"/>
  <c r="AM261" i="3"/>
  <c r="BL260" i="3"/>
  <c r="BI260" i="3"/>
  <c r="BG260" i="3"/>
  <c r="BD260" i="3"/>
  <c r="BB260" i="3"/>
  <c r="AY260" i="3"/>
  <c r="AW260" i="3"/>
  <c r="AT260" i="3"/>
  <c r="BL259" i="3"/>
  <c r="BI259" i="3"/>
  <c r="BG259" i="3"/>
  <c r="BD259" i="3"/>
  <c r="BB259" i="3"/>
  <c r="AY259" i="3"/>
  <c r="AW259" i="3"/>
  <c r="AT259" i="3"/>
  <c r="BL258" i="3"/>
  <c r="BI258" i="3"/>
  <c r="BG258" i="3"/>
  <c r="BD258" i="3"/>
  <c r="BB258" i="3"/>
  <c r="AY258" i="3"/>
  <c r="AW258" i="3"/>
  <c r="AT258" i="3"/>
  <c r="AO258" i="3"/>
  <c r="AR258" i="3" s="1"/>
  <c r="BL257" i="3"/>
  <c r="BI257" i="3"/>
  <c r="BG257" i="3"/>
  <c r="BD257" i="3"/>
  <c r="BB257" i="3"/>
  <c r="AY257" i="3"/>
  <c r="AW257" i="3"/>
  <c r="AT257" i="3"/>
  <c r="AM257" i="3"/>
  <c r="BL256" i="3"/>
  <c r="BI256" i="3"/>
  <c r="BG256" i="3"/>
  <c r="BD256" i="3"/>
  <c r="BB256" i="3"/>
  <c r="AY256" i="3"/>
  <c r="AW256" i="3"/>
  <c r="AT256" i="3"/>
  <c r="BL255" i="3"/>
  <c r="BI255" i="3"/>
  <c r="BG255" i="3"/>
  <c r="BD255" i="3"/>
  <c r="BB255" i="3"/>
  <c r="AY255" i="3"/>
  <c r="AW255" i="3"/>
  <c r="AT255" i="3"/>
  <c r="BL254" i="3"/>
  <c r="BI254" i="3"/>
  <c r="BG254" i="3"/>
  <c r="BD254" i="3"/>
  <c r="BB254" i="3"/>
  <c r="AY254" i="3"/>
  <c r="AW254" i="3"/>
  <c r="AT254" i="3"/>
  <c r="AO254" i="3"/>
  <c r="AR254" i="3" s="1"/>
  <c r="BL253" i="3"/>
  <c r="BI253" i="3"/>
  <c r="BG253" i="3"/>
  <c r="BD253" i="3"/>
  <c r="BB253" i="3"/>
  <c r="AY253" i="3"/>
  <c r="AW253" i="3"/>
  <c r="AT253" i="3"/>
  <c r="AM253" i="3"/>
  <c r="BL252" i="3"/>
  <c r="BI252" i="3"/>
  <c r="BG252" i="3"/>
  <c r="BD252" i="3"/>
  <c r="BB252" i="3"/>
  <c r="AY252" i="3"/>
  <c r="AW252" i="3"/>
  <c r="AT252" i="3"/>
  <c r="AO252" i="3"/>
  <c r="AR252" i="3" s="1"/>
  <c r="BL251" i="3"/>
  <c r="BI251" i="3"/>
  <c r="BG251" i="3"/>
  <c r="BD251" i="3"/>
  <c r="BB251" i="3"/>
  <c r="AY251" i="3"/>
  <c r="AW251" i="3"/>
  <c r="AT251" i="3"/>
  <c r="BL250" i="3"/>
  <c r="BI250" i="3"/>
  <c r="BG250" i="3"/>
  <c r="BD250" i="3"/>
  <c r="BB250" i="3"/>
  <c r="AY250" i="3"/>
  <c r="AW250" i="3"/>
  <c r="AT250" i="3"/>
  <c r="AO250" i="3"/>
  <c r="AR250" i="3" s="1"/>
  <c r="BL249" i="3"/>
  <c r="BI249" i="3"/>
  <c r="BG249" i="3"/>
  <c r="BD249" i="3"/>
  <c r="BB249" i="3"/>
  <c r="AY249" i="3"/>
  <c r="AW249" i="3"/>
  <c r="AT249" i="3"/>
  <c r="AM249" i="3"/>
  <c r="BL248" i="3"/>
  <c r="BI248" i="3"/>
  <c r="BG248" i="3"/>
  <c r="BD248" i="3"/>
  <c r="BB248" i="3"/>
  <c r="AY248" i="3"/>
  <c r="AW248" i="3"/>
  <c r="AT248" i="3"/>
  <c r="BL247" i="3"/>
  <c r="BI247" i="3"/>
  <c r="BG247" i="3"/>
  <c r="BD247" i="3"/>
  <c r="BB247" i="3"/>
  <c r="AY247" i="3"/>
  <c r="AW247" i="3"/>
  <c r="AT247" i="3"/>
  <c r="BL246" i="3"/>
  <c r="BI246" i="3"/>
  <c r="BG246" i="3"/>
  <c r="BD246" i="3"/>
  <c r="BB246" i="3"/>
  <c r="AY246" i="3"/>
  <c r="AW246" i="3"/>
  <c r="AT246" i="3"/>
  <c r="BL245" i="3"/>
  <c r="BI245" i="3"/>
  <c r="BG245" i="3"/>
  <c r="BD245" i="3"/>
  <c r="BB245" i="3"/>
  <c r="AY245" i="3"/>
  <c r="AW245" i="3"/>
  <c r="AT245" i="3"/>
  <c r="AM245" i="3"/>
  <c r="BL244" i="3"/>
  <c r="BI244" i="3"/>
  <c r="BG244" i="3"/>
  <c r="BD244" i="3"/>
  <c r="BB244" i="3"/>
  <c r="AY244" i="3"/>
  <c r="AW244" i="3"/>
  <c r="AT244" i="3"/>
  <c r="BL243" i="3"/>
  <c r="BI243" i="3"/>
  <c r="BG243" i="3"/>
  <c r="BD243" i="3"/>
  <c r="BB243" i="3"/>
  <c r="AY243" i="3"/>
  <c r="AW243" i="3"/>
  <c r="AT243" i="3"/>
  <c r="BL242" i="3"/>
  <c r="BI242" i="3"/>
  <c r="BG242" i="3"/>
  <c r="BD242" i="3"/>
  <c r="BB242" i="3"/>
  <c r="AY242" i="3"/>
  <c r="AW242" i="3"/>
  <c r="AT242" i="3"/>
  <c r="AO242" i="3"/>
  <c r="AR242" i="3" s="1"/>
  <c r="BL241" i="3"/>
  <c r="BI241" i="3"/>
  <c r="BG241" i="3"/>
  <c r="BD241" i="3"/>
  <c r="BB241" i="3"/>
  <c r="AY241" i="3"/>
  <c r="AW241" i="3"/>
  <c r="AT241" i="3"/>
  <c r="AM241" i="3"/>
  <c r="BL240" i="3"/>
  <c r="BI240" i="3"/>
  <c r="BG240" i="3"/>
  <c r="BD240" i="3"/>
  <c r="BB240" i="3"/>
  <c r="AY240" i="3"/>
  <c r="AW240" i="3"/>
  <c r="AT240" i="3"/>
  <c r="BL239" i="3"/>
  <c r="BI239" i="3"/>
  <c r="BG239" i="3"/>
  <c r="BD239" i="3"/>
  <c r="BB239" i="3"/>
  <c r="AY239" i="3"/>
  <c r="AW239" i="3"/>
  <c r="AT239" i="3"/>
  <c r="BL238" i="3"/>
  <c r="BI238" i="3"/>
  <c r="BG238" i="3"/>
  <c r="BD238" i="3"/>
  <c r="BB238" i="3"/>
  <c r="AY238" i="3"/>
  <c r="AW238" i="3"/>
  <c r="AT238" i="3"/>
  <c r="AO238" i="3"/>
  <c r="AR238" i="3" s="1"/>
  <c r="BL237" i="3"/>
  <c r="BI237" i="3"/>
  <c r="BG237" i="3"/>
  <c r="BD237" i="3"/>
  <c r="BB237" i="3"/>
  <c r="AY237" i="3"/>
  <c r="AW237" i="3"/>
  <c r="AT237" i="3"/>
  <c r="AM237" i="3"/>
  <c r="BL236" i="3"/>
  <c r="BI236" i="3"/>
  <c r="BG236" i="3"/>
  <c r="BD236" i="3"/>
  <c r="BB236" i="3"/>
  <c r="AY236" i="3"/>
  <c r="AW236" i="3"/>
  <c r="AT236" i="3"/>
  <c r="AO236" i="3"/>
  <c r="AR236" i="3" s="1"/>
  <c r="BL235" i="3"/>
  <c r="BI235" i="3"/>
  <c r="BG235" i="3"/>
  <c r="BD235" i="3"/>
  <c r="BB235" i="3"/>
  <c r="AY235" i="3"/>
  <c r="AW235" i="3"/>
  <c r="AT235" i="3"/>
  <c r="BL234" i="3"/>
  <c r="BI234" i="3"/>
  <c r="BG234" i="3"/>
  <c r="BD234" i="3"/>
  <c r="BB234" i="3"/>
  <c r="AY234" i="3"/>
  <c r="AW234" i="3"/>
  <c r="AT234" i="3"/>
  <c r="AO234" i="3"/>
  <c r="AR234" i="3" s="1"/>
  <c r="BI233" i="3"/>
  <c r="BL233" i="3" s="1"/>
  <c r="BD233" i="3"/>
  <c r="BG233" i="3" s="1"/>
  <c r="AY233" i="3"/>
  <c r="BB233" i="3" s="1"/>
  <c r="AT233" i="3"/>
  <c r="AW233" i="3" s="1"/>
  <c r="BI232" i="3"/>
  <c r="BL232" i="3" s="1"/>
  <c r="BG232" i="3"/>
  <c r="BD232" i="3"/>
  <c r="AY232" i="3"/>
  <c r="BB232" i="3" s="1"/>
  <c r="AT232" i="3"/>
  <c r="AW232" i="3" s="1"/>
  <c r="BI231" i="3"/>
  <c r="BL231" i="3" s="1"/>
  <c r="BD231" i="3"/>
  <c r="BG231" i="3" s="1"/>
  <c r="AY231" i="3"/>
  <c r="BB231" i="3" s="1"/>
  <c r="AW231" i="3"/>
  <c r="AT231" i="3"/>
  <c r="BI230" i="3"/>
  <c r="BL230" i="3" s="1"/>
  <c r="BD230" i="3"/>
  <c r="BG230" i="3" s="1"/>
  <c r="AY230" i="3"/>
  <c r="BB230" i="3" s="1"/>
  <c r="AT230" i="3"/>
  <c r="AW230" i="3" s="1"/>
  <c r="BI229" i="3"/>
  <c r="BL229" i="3" s="1"/>
  <c r="BD229" i="3"/>
  <c r="BG229" i="3" s="1"/>
  <c r="AY229" i="3"/>
  <c r="BB229" i="3" s="1"/>
  <c r="AT229" i="3"/>
  <c r="AW229" i="3" s="1"/>
  <c r="AO229" i="3"/>
  <c r="AR229" i="3" s="1"/>
  <c r="BI228" i="3"/>
  <c r="BL228" i="3" s="1"/>
  <c r="BG228" i="3"/>
  <c r="BD228" i="3"/>
  <c r="AY228" i="3"/>
  <c r="BB228" i="3" s="1"/>
  <c r="AT228" i="3"/>
  <c r="AW228" i="3" s="1"/>
  <c r="BI227" i="3"/>
  <c r="BL227" i="3" s="1"/>
  <c r="BD227" i="3"/>
  <c r="BG227" i="3" s="1"/>
  <c r="AY227" i="3"/>
  <c r="BB227" i="3" s="1"/>
  <c r="AW227" i="3"/>
  <c r="AT227" i="3"/>
  <c r="AB227" i="3"/>
  <c r="AA227" i="3"/>
  <c r="Z227" i="3"/>
  <c r="Y227" i="3"/>
  <c r="BI226" i="3"/>
  <c r="BL226" i="3" s="1"/>
  <c r="BD226" i="3"/>
  <c r="BG226" i="3" s="1"/>
  <c r="AY226" i="3"/>
  <c r="BB226" i="3" s="1"/>
  <c r="AT226" i="3"/>
  <c r="AW226" i="3" s="1"/>
  <c r="AO226" i="3"/>
  <c r="AR226" i="3" s="1"/>
  <c r="AB226" i="3"/>
  <c r="AA226" i="3"/>
  <c r="Z226" i="3"/>
  <c r="Y226" i="3"/>
  <c r="BI225" i="3"/>
  <c r="BL225" i="3" s="1"/>
  <c r="BD225" i="3"/>
  <c r="BG225" i="3" s="1"/>
  <c r="AY225" i="3"/>
  <c r="BB225" i="3" s="1"/>
  <c r="AT225" i="3"/>
  <c r="AW225" i="3" s="1"/>
  <c r="AB225" i="3"/>
  <c r="AA225" i="3"/>
  <c r="Z225" i="3"/>
  <c r="Y225" i="3"/>
  <c r="BI224" i="3"/>
  <c r="BL224" i="3" s="1"/>
  <c r="BG224" i="3"/>
  <c r="BD224" i="3"/>
  <c r="AY224" i="3"/>
  <c r="BB224" i="3" s="1"/>
  <c r="AT224" i="3"/>
  <c r="AW224" i="3" s="1"/>
  <c r="AB224" i="3"/>
  <c r="AA224" i="3"/>
  <c r="Z224" i="3"/>
  <c r="Y224" i="3"/>
  <c r="X224" i="3"/>
  <c r="M224" i="3"/>
  <c r="H224" i="3"/>
  <c r="C224" i="3"/>
  <c r="BI223" i="3"/>
  <c r="BL223" i="3" s="1"/>
  <c r="BD223" i="3"/>
  <c r="BG223" i="3" s="1"/>
  <c r="AY223" i="3"/>
  <c r="BB223" i="3" s="1"/>
  <c r="AW223" i="3"/>
  <c r="AT223" i="3"/>
  <c r="AB223" i="3"/>
  <c r="AA223" i="3"/>
  <c r="Z223" i="3"/>
  <c r="Y223" i="3"/>
  <c r="X223" i="3"/>
  <c r="M223" i="3"/>
  <c r="H223" i="3"/>
  <c r="C223" i="3"/>
  <c r="BI222" i="3"/>
  <c r="BL222" i="3" s="1"/>
  <c r="BD222" i="3"/>
  <c r="BG222" i="3" s="1"/>
  <c r="AY222" i="3"/>
  <c r="BB222" i="3" s="1"/>
  <c r="AT222" i="3"/>
  <c r="AW222" i="3" s="1"/>
  <c r="AB222" i="3"/>
  <c r="AA222" i="3"/>
  <c r="Z222" i="3"/>
  <c r="Y222" i="3"/>
  <c r="X222" i="3"/>
  <c r="M222" i="3"/>
  <c r="H222" i="3"/>
  <c r="C222" i="3"/>
  <c r="BI221" i="3"/>
  <c r="BL221" i="3" s="1"/>
  <c r="BD221" i="3"/>
  <c r="BG221" i="3" s="1"/>
  <c r="AY221" i="3"/>
  <c r="BB221" i="3" s="1"/>
  <c r="AT221" i="3"/>
  <c r="AW221" i="3" s="1"/>
  <c r="AB221" i="3"/>
  <c r="AA221" i="3"/>
  <c r="Z221" i="3"/>
  <c r="Y221" i="3"/>
  <c r="X221" i="3"/>
  <c r="M221" i="3"/>
  <c r="H221" i="3"/>
  <c r="C221" i="3"/>
  <c r="BI220" i="3"/>
  <c r="BL220" i="3" s="1"/>
  <c r="BG220" i="3"/>
  <c r="BD220" i="3"/>
  <c r="AY220" i="3"/>
  <c r="BB220" i="3" s="1"/>
  <c r="AT220" i="3"/>
  <c r="AW220" i="3" s="1"/>
  <c r="AB220" i="3"/>
  <c r="AA220" i="3"/>
  <c r="Z220" i="3"/>
  <c r="Y220" i="3"/>
  <c r="X220" i="3"/>
  <c r="M220" i="3"/>
  <c r="H220" i="3"/>
  <c r="C220" i="3"/>
  <c r="BI219" i="3"/>
  <c r="BL219" i="3" s="1"/>
  <c r="BD219" i="3"/>
  <c r="BG219" i="3" s="1"/>
  <c r="AY219" i="3"/>
  <c r="BB219" i="3" s="1"/>
  <c r="AW219" i="3"/>
  <c r="AT219" i="3"/>
  <c r="AJ219" i="3"/>
  <c r="AM219" i="3" s="1"/>
  <c r="AB219" i="3"/>
  <c r="AA219" i="3"/>
  <c r="Z219" i="3"/>
  <c r="Y219" i="3"/>
  <c r="X219" i="3"/>
  <c r="M219" i="3"/>
  <c r="H219" i="3"/>
  <c r="C219" i="3"/>
  <c r="BI218" i="3"/>
  <c r="BL218" i="3" s="1"/>
  <c r="BD218" i="3"/>
  <c r="BG218" i="3" s="1"/>
  <c r="AY218" i="3"/>
  <c r="BB218" i="3" s="1"/>
  <c r="AT218" i="3"/>
  <c r="AW218" i="3" s="1"/>
  <c r="AB218" i="3"/>
  <c r="AA218" i="3"/>
  <c r="Z218" i="3"/>
  <c r="Y218" i="3"/>
  <c r="X218" i="3"/>
  <c r="M218" i="3"/>
  <c r="H218" i="3"/>
  <c r="C218" i="3"/>
  <c r="BI217" i="3"/>
  <c r="BL217" i="3" s="1"/>
  <c r="BD217" i="3"/>
  <c r="BG217" i="3" s="1"/>
  <c r="AY217" i="3"/>
  <c r="BB217" i="3" s="1"/>
  <c r="AT217" i="3"/>
  <c r="AW217" i="3" s="1"/>
  <c r="AB217" i="3"/>
  <c r="AA217" i="3"/>
  <c r="Z217" i="3"/>
  <c r="Y217" i="3"/>
  <c r="X217" i="3"/>
  <c r="M217" i="3"/>
  <c r="H217" i="3"/>
  <c r="C217" i="3"/>
  <c r="BI216" i="3"/>
  <c r="BL216" i="3" s="1"/>
  <c r="BG216" i="3"/>
  <c r="BD216" i="3"/>
  <c r="AY216" i="3"/>
  <c r="BB216" i="3" s="1"/>
  <c r="AT216" i="3"/>
  <c r="AW216" i="3" s="1"/>
  <c r="AB216" i="3"/>
  <c r="AA216" i="3"/>
  <c r="Z216" i="3"/>
  <c r="Y216" i="3"/>
  <c r="X216" i="3"/>
  <c r="M216" i="3"/>
  <c r="H216" i="3"/>
  <c r="C216" i="3"/>
  <c r="BI215" i="3"/>
  <c r="BL215" i="3" s="1"/>
  <c r="BD215" i="3"/>
  <c r="BG215" i="3" s="1"/>
  <c r="AY215" i="3"/>
  <c r="BB215" i="3" s="1"/>
  <c r="AW215" i="3"/>
  <c r="AT215" i="3"/>
  <c r="AB215" i="3"/>
  <c r="AA215" i="3"/>
  <c r="Z215" i="3"/>
  <c r="Y215" i="3"/>
  <c r="X215" i="3"/>
  <c r="M215" i="3"/>
  <c r="H215" i="3"/>
  <c r="C215" i="3"/>
  <c r="BI214" i="3"/>
  <c r="BL214" i="3" s="1"/>
  <c r="BD214" i="3"/>
  <c r="BG214" i="3" s="1"/>
  <c r="AY214" i="3"/>
  <c r="BB214" i="3" s="1"/>
  <c r="AT214" i="3"/>
  <c r="AW214" i="3" s="1"/>
  <c r="AB214" i="3"/>
  <c r="AA214" i="3"/>
  <c r="Z214" i="3"/>
  <c r="Y214" i="3"/>
  <c r="X214" i="3"/>
  <c r="M214" i="3"/>
  <c r="H214" i="3"/>
  <c r="C214" i="3"/>
  <c r="BI213" i="3"/>
  <c r="BL213" i="3" s="1"/>
  <c r="BD213" i="3"/>
  <c r="BG213" i="3" s="1"/>
  <c r="AY213" i="3"/>
  <c r="BB213" i="3" s="1"/>
  <c r="AT213" i="3"/>
  <c r="AW213" i="3" s="1"/>
  <c r="AO213" i="3"/>
  <c r="AR213" i="3" s="1"/>
  <c r="AB213" i="3"/>
  <c r="AA213" i="3"/>
  <c r="Z213" i="3"/>
  <c r="Y213" i="3"/>
  <c r="X213" i="3"/>
  <c r="M213" i="3"/>
  <c r="H213" i="3"/>
  <c r="C213" i="3"/>
  <c r="BI212" i="3"/>
  <c r="BL212" i="3" s="1"/>
  <c r="BG212" i="3"/>
  <c r="BD212" i="3"/>
  <c r="AY212" i="3"/>
  <c r="BB212" i="3" s="1"/>
  <c r="AT212" i="3"/>
  <c r="AW212" i="3" s="1"/>
  <c r="AB212" i="3"/>
  <c r="AA212" i="3"/>
  <c r="Z212" i="3"/>
  <c r="Y212" i="3"/>
  <c r="X212" i="3"/>
  <c r="M212" i="3"/>
  <c r="H212" i="3"/>
  <c r="C212" i="3"/>
  <c r="BI211" i="3"/>
  <c r="BL211" i="3" s="1"/>
  <c r="BD211" i="3"/>
  <c r="BG211" i="3" s="1"/>
  <c r="AY211" i="3"/>
  <c r="BB211" i="3" s="1"/>
  <c r="AW211" i="3"/>
  <c r="AT211" i="3"/>
  <c r="AB211" i="3"/>
  <c r="AA211" i="3"/>
  <c r="Z211" i="3"/>
  <c r="Y211" i="3"/>
  <c r="X211" i="3"/>
  <c r="M211" i="3"/>
  <c r="H211" i="3"/>
  <c r="C211" i="3"/>
  <c r="BI210" i="3"/>
  <c r="BL210" i="3" s="1"/>
  <c r="BD210" i="3"/>
  <c r="BG210" i="3" s="1"/>
  <c r="AY210" i="3"/>
  <c r="BB210" i="3" s="1"/>
  <c r="AT210" i="3"/>
  <c r="AW210" i="3" s="1"/>
  <c r="AB210" i="3"/>
  <c r="AA210" i="3"/>
  <c r="Z210" i="3"/>
  <c r="Y210" i="3"/>
  <c r="X210" i="3"/>
  <c r="M210" i="3"/>
  <c r="H210" i="3"/>
  <c r="C210" i="3"/>
  <c r="BI209" i="3"/>
  <c r="BL209" i="3" s="1"/>
  <c r="BD209" i="3"/>
  <c r="BG209" i="3" s="1"/>
  <c r="AY209" i="3"/>
  <c r="BB209" i="3" s="1"/>
  <c r="AT209" i="3"/>
  <c r="AW209" i="3" s="1"/>
  <c r="AJ209" i="3"/>
  <c r="AM209" i="3" s="1"/>
  <c r="AB209" i="3"/>
  <c r="AA209" i="3"/>
  <c r="Z209" i="3"/>
  <c r="Y209" i="3"/>
  <c r="X209" i="3"/>
  <c r="M209" i="3"/>
  <c r="H209" i="3"/>
  <c r="C209" i="3"/>
  <c r="BI208" i="3"/>
  <c r="BL208" i="3" s="1"/>
  <c r="BG208" i="3"/>
  <c r="BD208" i="3"/>
  <c r="AY208" i="3"/>
  <c r="BB208" i="3" s="1"/>
  <c r="AT208" i="3"/>
  <c r="AW208" i="3" s="1"/>
  <c r="AB208" i="3"/>
  <c r="AA208" i="3"/>
  <c r="Z208" i="3"/>
  <c r="Y208" i="3"/>
  <c r="X208" i="3"/>
  <c r="M208" i="3"/>
  <c r="H208" i="3"/>
  <c r="C208" i="3"/>
  <c r="BI207" i="3"/>
  <c r="BL207" i="3" s="1"/>
  <c r="BD207" i="3"/>
  <c r="BG207" i="3" s="1"/>
  <c r="AY207" i="3"/>
  <c r="BB207" i="3" s="1"/>
  <c r="AW207" i="3"/>
  <c r="AT207" i="3"/>
  <c r="AB207" i="3"/>
  <c r="AA207" i="3"/>
  <c r="Z207" i="3"/>
  <c r="Y207" i="3"/>
  <c r="X207" i="3"/>
  <c r="M207" i="3"/>
  <c r="H207" i="3"/>
  <c r="C207" i="3"/>
  <c r="BI206" i="3"/>
  <c r="BL206" i="3" s="1"/>
  <c r="BD206" i="3"/>
  <c r="BG206" i="3" s="1"/>
  <c r="AY206" i="3"/>
  <c r="BB206" i="3" s="1"/>
  <c r="AT206" i="3"/>
  <c r="AW206" i="3" s="1"/>
  <c r="AB206" i="3"/>
  <c r="AA206" i="3"/>
  <c r="Z206" i="3"/>
  <c r="Y206" i="3"/>
  <c r="X206" i="3"/>
  <c r="M206" i="3"/>
  <c r="H206" i="3"/>
  <c r="C206" i="3"/>
  <c r="BI205" i="3"/>
  <c r="BL205" i="3" s="1"/>
  <c r="BD205" i="3"/>
  <c r="BG205" i="3" s="1"/>
  <c r="AY205" i="3"/>
  <c r="BB205" i="3" s="1"/>
  <c r="AT205" i="3"/>
  <c r="AW205" i="3" s="1"/>
  <c r="AB205" i="3"/>
  <c r="AA205" i="3"/>
  <c r="Z205" i="3"/>
  <c r="Y205" i="3"/>
  <c r="X205" i="3"/>
  <c r="M205" i="3"/>
  <c r="H205" i="3"/>
  <c r="C205" i="3"/>
  <c r="BI204" i="3"/>
  <c r="BL204" i="3" s="1"/>
  <c r="BG204" i="3"/>
  <c r="BD204" i="3"/>
  <c r="AY204" i="3"/>
  <c r="BB204" i="3" s="1"/>
  <c r="AT204" i="3"/>
  <c r="AW204" i="3" s="1"/>
  <c r="AO204" i="3"/>
  <c r="AR204" i="3" s="1"/>
  <c r="AB204" i="3"/>
  <c r="AA204" i="3"/>
  <c r="Z204" i="3"/>
  <c r="Y204" i="3"/>
  <c r="X204" i="3"/>
  <c r="M204" i="3"/>
  <c r="H204" i="3"/>
  <c r="C204" i="3"/>
  <c r="BI203" i="3"/>
  <c r="BL203" i="3" s="1"/>
  <c r="BD203" i="3"/>
  <c r="BG203" i="3" s="1"/>
  <c r="AY203" i="3"/>
  <c r="BB203" i="3" s="1"/>
  <c r="AW203" i="3"/>
  <c r="AT203" i="3"/>
  <c r="AB203" i="3"/>
  <c r="AA203" i="3"/>
  <c r="Z203" i="3"/>
  <c r="Y203" i="3"/>
  <c r="X203" i="3"/>
  <c r="M203" i="3"/>
  <c r="H203" i="3"/>
  <c r="C203" i="3"/>
  <c r="BI202" i="3"/>
  <c r="BL202" i="3" s="1"/>
  <c r="BD202" i="3"/>
  <c r="BG202" i="3" s="1"/>
  <c r="AY202" i="3"/>
  <c r="BB202" i="3" s="1"/>
  <c r="AT202" i="3"/>
  <c r="AW202" i="3" s="1"/>
  <c r="AB202" i="3"/>
  <c r="AA202" i="3"/>
  <c r="Z202" i="3"/>
  <c r="Y202" i="3"/>
  <c r="X202" i="3"/>
  <c r="M202" i="3"/>
  <c r="H202" i="3"/>
  <c r="C202" i="3"/>
  <c r="BI201" i="3"/>
  <c r="BL201" i="3" s="1"/>
  <c r="BD201" i="3"/>
  <c r="BG201" i="3" s="1"/>
  <c r="AY201" i="3"/>
  <c r="BB201" i="3" s="1"/>
  <c r="AT201" i="3"/>
  <c r="AW201" i="3" s="1"/>
  <c r="AB201" i="3"/>
  <c r="AA201" i="3"/>
  <c r="Z201" i="3"/>
  <c r="Y201" i="3"/>
  <c r="X201" i="3"/>
  <c r="M201" i="3"/>
  <c r="H201" i="3"/>
  <c r="C201" i="3"/>
  <c r="BI200" i="3"/>
  <c r="BL200" i="3" s="1"/>
  <c r="BG200" i="3"/>
  <c r="BD200" i="3"/>
  <c r="AY200" i="3"/>
  <c r="BB200" i="3" s="1"/>
  <c r="AT200" i="3"/>
  <c r="AW200" i="3" s="1"/>
  <c r="AB200" i="3"/>
  <c r="AA200" i="3"/>
  <c r="Z200" i="3"/>
  <c r="Y200" i="3"/>
  <c r="X200" i="3"/>
  <c r="M200" i="3"/>
  <c r="H200" i="3"/>
  <c r="C200" i="3"/>
  <c r="BI199" i="3"/>
  <c r="BL199" i="3" s="1"/>
  <c r="BD199" i="3"/>
  <c r="BG199" i="3" s="1"/>
  <c r="AY199" i="3"/>
  <c r="BB199" i="3" s="1"/>
  <c r="AW199" i="3"/>
  <c r="AT199" i="3"/>
  <c r="AB199" i="3"/>
  <c r="AA199" i="3"/>
  <c r="Z199" i="3"/>
  <c r="Y199" i="3"/>
  <c r="X199" i="3"/>
  <c r="M199" i="3"/>
  <c r="H199" i="3"/>
  <c r="C199" i="3"/>
  <c r="BI198" i="3"/>
  <c r="BL198" i="3" s="1"/>
  <c r="BD198" i="3"/>
  <c r="BG198" i="3" s="1"/>
  <c r="AY198" i="3"/>
  <c r="BB198" i="3" s="1"/>
  <c r="AT198" i="3"/>
  <c r="AW198" i="3" s="1"/>
  <c r="AB198" i="3"/>
  <c r="AA198" i="3"/>
  <c r="Z198" i="3"/>
  <c r="Y198" i="3"/>
  <c r="X198" i="3"/>
  <c r="M198" i="3"/>
  <c r="H198" i="3"/>
  <c r="C198" i="3"/>
  <c r="BI197" i="3"/>
  <c r="BL197" i="3" s="1"/>
  <c r="BD197" i="3"/>
  <c r="BG197" i="3" s="1"/>
  <c r="AY197" i="3"/>
  <c r="BB197" i="3" s="1"/>
  <c r="AT197" i="3"/>
  <c r="AW197" i="3" s="1"/>
  <c r="AB197" i="3"/>
  <c r="AA197" i="3"/>
  <c r="Z197" i="3"/>
  <c r="Y197" i="3"/>
  <c r="X197" i="3"/>
  <c r="M197" i="3"/>
  <c r="H197" i="3"/>
  <c r="C197" i="3"/>
  <c r="BI196" i="3"/>
  <c r="BL196" i="3" s="1"/>
  <c r="BG196" i="3"/>
  <c r="BD196" i="3"/>
  <c r="AY196" i="3"/>
  <c r="BB196" i="3" s="1"/>
  <c r="AT196" i="3"/>
  <c r="AW196" i="3" s="1"/>
  <c r="AB196" i="3"/>
  <c r="AA196" i="3"/>
  <c r="Z196" i="3"/>
  <c r="Y196" i="3"/>
  <c r="X196" i="3"/>
  <c r="M196" i="3"/>
  <c r="H196" i="3"/>
  <c r="C196" i="3"/>
  <c r="BI195" i="3"/>
  <c r="BL195" i="3" s="1"/>
  <c r="BD195" i="3"/>
  <c r="BG195" i="3" s="1"/>
  <c r="AY195" i="3"/>
  <c r="BB195" i="3" s="1"/>
  <c r="AW195" i="3"/>
  <c r="AT195" i="3"/>
  <c r="AJ195" i="3"/>
  <c r="AM195" i="3" s="1"/>
  <c r="AB195" i="3"/>
  <c r="AA195" i="3"/>
  <c r="Z195" i="3"/>
  <c r="Y195" i="3"/>
  <c r="X195" i="3"/>
  <c r="M195" i="3"/>
  <c r="H195" i="3"/>
  <c r="C195" i="3"/>
  <c r="BI194" i="3"/>
  <c r="BL194" i="3" s="1"/>
  <c r="BD194" i="3"/>
  <c r="BG194" i="3" s="1"/>
  <c r="AY194" i="3"/>
  <c r="BB194" i="3" s="1"/>
  <c r="AT194" i="3"/>
  <c r="AW194" i="3" s="1"/>
  <c r="AB194" i="3"/>
  <c r="AA194" i="3"/>
  <c r="Z194" i="3"/>
  <c r="Y194" i="3"/>
  <c r="X194" i="3"/>
  <c r="M194" i="3"/>
  <c r="H194" i="3"/>
  <c r="C194" i="3"/>
  <c r="BI193" i="3"/>
  <c r="BL193" i="3" s="1"/>
  <c r="BD193" i="3"/>
  <c r="BG193" i="3" s="1"/>
  <c r="AY193" i="3"/>
  <c r="BB193" i="3" s="1"/>
  <c r="AT193" i="3"/>
  <c r="AW193" i="3" s="1"/>
  <c r="AB193" i="3"/>
  <c r="AA193" i="3"/>
  <c r="Z193" i="3"/>
  <c r="Y193" i="3"/>
  <c r="X193" i="3"/>
  <c r="M193" i="3"/>
  <c r="H193" i="3"/>
  <c r="C193" i="3"/>
  <c r="BI192" i="3"/>
  <c r="BL192" i="3" s="1"/>
  <c r="BG192" i="3"/>
  <c r="BD192" i="3"/>
  <c r="AY192" i="3"/>
  <c r="BB192" i="3" s="1"/>
  <c r="AT192" i="3"/>
  <c r="AW192" i="3" s="1"/>
  <c r="AO192" i="3"/>
  <c r="AR192" i="3" s="1"/>
  <c r="AB192" i="3"/>
  <c r="AA192" i="3"/>
  <c r="Z192" i="3"/>
  <c r="Y192" i="3"/>
  <c r="X192" i="3"/>
  <c r="M192" i="3"/>
  <c r="H192" i="3"/>
  <c r="C192" i="3"/>
  <c r="BI191" i="3"/>
  <c r="BL191" i="3" s="1"/>
  <c r="BD191" i="3"/>
  <c r="BG191" i="3" s="1"/>
  <c r="AY191" i="3"/>
  <c r="BB191" i="3" s="1"/>
  <c r="AW191" i="3"/>
  <c r="AT191" i="3"/>
  <c r="AB191" i="3"/>
  <c r="AA191" i="3"/>
  <c r="Z191" i="3"/>
  <c r="Y191" i="3"/>
  <c r="X191" i="3"/>
  <c r="M191" i="3"/>
  <c r="H191" i="3"/>
  <c r="C191" i="3"/>
  <c r="BI190" i="3"/>
  <c r="BL190" i="3" s="1"/>
  <c r="BD190" i="3"/>
  <c r="BG190" i="3" s="1"/>
  <c r="AY190" i="3"/>
  <c r="BB190" i="3" s="1"/>
  <c r="AT190" i="3"/>
  <c r="AW190" i="3" s="1"/>
  <c r="AB190" i="3"/>
  <c r="AA190" i="3"/>
  <c r="Z190" i="3"/>
  <c r="Y190" i="3"/>
  <c r="X190" i="3"/>
  <c r="M190" i="3"/>
  <c r="H190" i="3"/>
  <c r="C190" i="3"/>
  <c r="BI189" i="3"/>
  <c r="BL189" i="3" s="1"/>
  <c r="BD189" i="3"/>
  <c r="BG189" i="3" s="1"/>
  <c r="AY189" i="3"/>
  <c r="BB189" i="3" s="1"/>
  <c r="AT189" i="3"/>
  <c r="AW189" i="3" s="1"/>
  <c r="AB189" i="3"/>
  <c r="AA189" i="3"/>
  <c r="Z189" i="3"/>
  <c r="Y189" i="3"/>
  <c r="X189" i="3"/>
  <c r="M189" i="3"/>
  <c r="H189" i="3"/>
  <c r="C189" i="3"/>
  <c r="BI188" i="3"/>
  <c r="BL188" i="3" s="1"/>
  <c r="BG188" i="3"/>
  <c r="BD188" i="3"/>
  <c r="AY188" i="3"/>
  <c r="BB188" i="3" s="1"/>
  <c r="AT188" i="3"/>
  <c r="AW188" i="3" s="1"/>
  <c r="AB188" i="3"/>
  <c r="AA188" i="3"/>
  <c r="Z188" i="3"/>
  <c r="Y188" i="3"/>
  <c r="X188" i="3"/>
  <c r="M188" i="3"/>
  <c r="H188" i="3"/>
  <c r="C188" i="3"/>
  <c r="BI187" i="3"/>
  <c r="BL187" i="3" s="1"/>
  <c r="BD187" i="3"/>
  <c r="BG187" i="3" s="1"/>
  <c r="AY187" i="3"/>
  <c r="BB187" i="3" s="1"/>
  <c r="AW187" i="3"/>
  <c r="AT187" i="3"/>
  <c r="AB187" i="3"/>
  <c r="AA187" i="3"/>
  <c r="Z187" i="3"/>
  <c r="Y187" i="3"/>
  <c r="X187" i="3"/>
  <c r="M187" i="3"/>
  <c r="H187" i="3"/>
  <c r="C187" i="3"/>
  <c r="BI186" i="3"/>
  <c r="BL186" i="3" s="1"/>
  <c r="BD186" i="3"/>
  <c r="BG186" i="3" s="1"/>
  <c r="AY186" i="3"/>
  <c r="BB186" i="3" s="1"/>
  <c r="AT186" i="3"/>
  <c r="AW186" i="3" s="1"/>
  <c r="AO186" i="3"/>
  <c r="AR186" i="3" s="1"/>
  <c r="AB186" i="3"/>
  <c r="AA186" i="3"/>
  <c r="Z186" i="3"/>
  <c r="Y186" i="3"/>
  <c r="X186" i="3"/>
  <c r="M186" i="3"/>
  <c r="H186" i="3"/>
  <c r="C186" i="3"/>
  <c r="BI185" i="3"/>
  <c r="BL185" i="3" s="1"/>
  <c r="BD185" i="3"/>
  <c r="BG185" i="3" s="1"/>
  <c r="AY185" i="3"/>
  <c r="BB185" i="3" s="1"/>
  <c r="AT185" i="3"/>
  <c r="AW185" i="3" s="1"/>
  <c r="AB185" i="3"/>
  <c r="AA185" i="3"/>
  <c r="Z185" i="3"/>
  <c r="Y185" i="3"/>
  <c r="X185" i="3"/>
  <c r="M185" i="3"/>
  <c r="H185" i="3"/>
  <c r="C185" i="3"/>
  <c r="BI184" i="3"/>
  <c r="BL184" i="3" s="1"/>
  <c r="BG184" i="3"/>
  <c r="BD184" i="3"/>
  <c r="AY184" i="3"/>
  <c r="BB184" i="3" s="1"/>
  <c r="AT184" i="3"/>
  <c r="AW184" i="3" s="1"/>
  <c r="AB184" i="3"/>
  <c r="AA184" i="3"/>
  <c r="Z184" i="3"/>
  <c r="Y184" i="3"/>
  <c r="X184" i="3"/>
  <c r="M184" i="3"/>
  <c r="H184" i="3"/>
  <c r="C184" i="3"/>
  <c r="BI183" i="3"/>
  <c r="BL183" i="3" s="1"/>
  <c r="BD183" i="3"/>
  <c r="BG183" i="3" s="1"/>
  <c r="AY183" i="3"/>
  <c r="BB183" i="3" s="1"/>
  <c r="AW183" i="3"/>
  <c r="AT183" i="3"/>
  <c r="AO183" i="3"/>
  <c r="AR183" i="3" s="1"/>
  <c r="AJ183" i="3"/>
  <c r="AM183" i="3" s="1"/>
  <c r="AB183" i="3"/>
  <c r="AA183" i="3"/>
  <c r="Z183" i="3"/>
  <c r="Y183" i="3"/>
  <c r="X183" i="3"/>
  <c r="M183" i="3"/>
  <c r="H183" i="3"/>
  <c r="C183" i="3"/>
  <c r="BI182" i="3"/>
  <c r="BL182" i="3" s="1"/>
  <c r="BD182" i="3"/>
  <c r="BG182" i="3" s="1"/>
  <c r="AY182" i="3"/>
  <c r="BB182" i="3" s="1"/>
  <c r="AT182" i="3"/>
  <c r="AW182" i="3" s="1"/>
  <c r="AB182" i="3"/>
  <c r="AA182" i="3"/>
  <c r="Z182" i="3"/>
  <c r="Y182" i="3"/>
  <c r="X182" i="3"/>
  <c r="M182" i="3"/>
  <c r="H182" i="3"/>
  <c r="C182" i="3"/>
  <c r="BI181" i="3"/>
  <c r="BL181" i="3" s="1"/>
  <c r="BD181" i="3"/>
  <c r="BG181" i="3" s="1"/>
  <c r="AY181" i="3"/>
  <c r="BB181" i="3" s="1"/>
  <c r="AT181" i="3"/>
  <c r="AW181" i="3" s="1"/>
  <c r="AB181" i="3"/>
  <c r="AA181" i="3"/>
  <c r="Z181" i="3"/>
  <c r="Y181" i="3"/>
  <c r="X181" i="3"/>
  <c r="M181" i="3"/>
  <c r="H181" i="3"/>
  <c r="C181" i="3"/>
  <c r="BI180" i="3"/>
  <c r="BL180" i="3" s="1"/>
  <c r="BG180" i="3"/>
  <c r="BD180" i="3"/>
  <c r="AY180" i="3"/>
  <c r="BB180" i="3" s="1"/>
  <c r="AT180" i="3"/>
  <c r="AW180" i="3" s="1"/>
  <c r="AB180" i="3"/>
  <c r="AA180" i="3"/>
  <c r="Z180" i="3"/>
  <c r="Y180" i="3"/>
  <c r="X180" i="3"/>
  <c r="M180" i="3"/>
  <c r="H180" i="3"/>
  <c r="C180" i="3"/>
  <c r="BI179" i="3"/>
  <c r="BL179" i="3" s="1"/>
  <c r="BD179" i="3"/>
  <c r="BG179" i="3" s="1"/>
  <c r="AY179" i="3"/>
  <c r="BB179" i="3" s="1"/>
  <c r="AW179" i="3"/>
  <c r="AT179" i="3"/>
  <c r="AB179" i="3"/>
  <c r="AA179" i="3"/>
  <c r="Z179" i="3"/>
  <c r="Y179" i="3"/>
  <c r="X179" i="3"/>
  <c r="M179" i="3"/>
  <c r="H179" i="3"/>
  <c r="C179" i="3"/>
  <c r="BI178" i="3"/>
  <c r="BL178" i="3" s="1"/>
  <c r="BD178" i="3"/>
  <c r="BG178" i="3" s="1"/>
  <c r="AY178" i="3"/>
  <c r="BB178" i="3" s="1"/>
  <c r="AT178" i="3"/>
  <c r="AW178" i="3" s="1"/>
  <c r="AB178" i="3"/>
  <c r="AA178" i="3"/>
  <c r="Z178" i="3"/>
  <c r="Y178" i="3"/>
  <c r="X178" i="3"/>
  <c r="M178" i="3"/>
  <c r="H178" i="3"/>
  <c r="C178" i="3"/>
  <c r="BI177" i="3"/>
  <c r="BL177" i="3" s="1"/>
  <c r="BD177" i="3"/>
  <c r="BG177" i="3" s="1"/>
  <c r="AY177" i="3"/>
  <c r="BB177" i="3" s="1"/>
  <c r="AT177" i="3"/>
  <c r="AW177" i="3" s="1"/>
  <c r="AB177" i="3"/>
  <c r="AA177" i="3"/>
  <c r="Z177" i="3"/>
  <c r="Y177" i="3"/>
  <c r="X177" i="3"/>
  <c r="M177" i="3"/>
  <c r="H177" i="3"/>
  <c r="C177" i="3"/>
  <c r="BI176" i="3"/>
  <c r="BL176" i="3" s="1"/>
  <c r="BG176" i="3"/>
  <c r="BD176" i="3"/>
  <c r="AY176" i="3"/>
  <c r="BB176" i="3" s="1"/>
  <c r="AT176" i="3"/>
  <c r="AW176" i="3" s="1"/>
  <c r="AB176" i="3"/>
  <c r="AA176" i="3"/>
  <c r="Z176" i="3"/>
  <c r="Y176" i="3"/>
  <c r="X176" i="3"/>
  <c r="M176" i="3"/>
  <c r="H176" i="3"/>
  <c r="C176" i="3"/>
  <c r="BI175" i="3"/>
  <c r="BL175" i="3" s="1"/>
  <c r="BD175" i="3"/>
  <c r="BG175" i="3" s="1"/>
  <c r="AY175" i="3"/>
  <c r="BB175" i="3" s="1"/>
  <c r="AW175" i="3"/>
  <c r="AT175" i="3"/>
  <c r="AB175" i="3"/>
  <c r="AA175" i="3"/>
  <c r="Z175" i="3"/>
  <c r="Y175" i="3"/>
  <c r="X175" i="3"/>
  <c r="M175" i="3"/>
  <c r="H175" i="3"/>
  <c r="C175" i="3"/>
  <c r="BI174" i="3"/>
  <c r="BL174" i="3" s="1"/>
  <c r="BD174" i="3"/>
  <c r="BG174" i="3" s="1"/>
  <c r="AY174" i="3"/>
  <c r="BB174" i="3" s="1"/>
  <c r="AT174" i="3"/>
  <c r="AW174" i="3" s="1"/>
  <c r="AB174" i="3"/>
  <c r="AA174" i="3"/>
  <c r="Z174" i="3"/>
  <c r="Y174" i="3"/>
  <c r="X174" i="3"/>
  <c r="M174" i="3"/>
  <c r="H174" i="3"/>
  <c r="C174" i="3"/>
  <c r="BI173" i="3"/>
  <c r="BL173" i="3" s="1"/>
  <c r="BD173" i="3"/>
  <c r="BG173" i="3" s="1"/>
  <c r="AY173" i="3"/>
  <c r="BB173" i="3" s="1"/>
  <c r="AT173" i="3"/>
  <c r="AW173" i="3" s="1"/>
  <c r="AB173" i="3"/>
  <c r="AA173" i="3"/>
  <c r="Z173" i="3"/>
  <c r="Y173" i="3"/>
  <c r="X173" i="3"/>
  <c r="M173" i="3"/>
  <c r="H173" i="3"/>
  <c r="C173" i="3"/>
  <c r="BI172" i="3"/>
  <c r="BL172" i="3" s="1"/>
  <c r="BG172" i="3"/>
  <c r="BD172" i="3"/>
  <c r="AY172" i="3"/>
  <c r="BB172" i="3" s="1"/>
  <c r="AT172" i="3"/>
  <c r="AW172" i="3" s="1"/>
  <c r="AB172" i="3"/>
  <c r="AA172" i="3"/>
  <c r="Z172" i="3"/>
  <c r="Y172" i="3"/>
  <c r="X172" i="3"/>
  <c r="M172" i="3"/>
  <c r="H172" i="3"/>
  <c r="C172" i="3"/>
  <c r="BI171" i="3"/>
  <c r="BL171" i="3" s="1"/>
  <c r="BD171" i="3"/>
  <c r="BG171" i="3" s="1"/>
  <c r="AY171" i="3"/>
  <c r="BB171" i="3" s="1"/>
  <c r="AW171" i="3"/>
  <c r="AT171" i="3"/>
  <c r="AO171" i="3"/>
  <c r="AR171" i="3" s="1"/>
  <c r="AB171" i="3"/>
  <c r="AA171" i="3"/>
  <c r="Z171" i="3"/>
  <c r="Y171" i="3"/>
  <c r="X171" i="3"/>
  <c r="M171" i="3"/>
  <c r="H171" i="3"/>
  <c r="C171" i="3"/>
  <c r="BI170" i="3"/>
  <c r="BL170" i="3" s="1"/>
  <c r="BD170" i="3"/>
  <c r="BG170" i="3" s="1"/>
  <c r="AY170" i="3"/>
  <c r="BB170" i="3" s="1"/>
  <c r="AT170" i="3"/>
  <c r="AW170" i="3" s="1"/>
  <c r="AJ170" i="3"/>
  <c r="AM170" i="3" s="1"/>
  <c r="AB170" i="3"/>
  <c r="AA170" i="3"/>
  <c r="Z170" i="3"/>
  <c r="Y170" i="3"/>
  <c r="X170" i="3"/>
  <c r="M170" i="3"/>
  <c r="H170" i="3"/>
  <c r="C170" i="3"/>
  <c r="BI169" i="3"/>
  <c r="BL169" i="3" s="1"/>
  <c r="BD169" i="3"/>
  <c r="BG169" i="3" s="1"/>
  <c r="AY169" i="3"/>
  <c r="BB169" i="3" s="1"/>
  <c r="AT169" i="3"/>
  <c r="AW169" i="3" s="1"/>
  <c r="AB169" i="3"/>
  <c r="AA169" i="3"/>
  <c r="Z169" i="3"/>
  <c r="Y169" i="3"/>
  <c r="X169" i="3"/>
  <c r="M169" i="3"/>
  <c r="H169" i="3"/>
  <c r="C169" i="3"/>
  <c r="BI168" i="3"/>
  <c r="BL168" i="3" s="1"/>
  <c r="BG168" i="3"/>
  <c r="BD168" i="3"/>
  <c r="AY168" i="3"/>
  <c r="BB168" i="3" s="1"/>
  <c r="AT168" i="3"/>
  <c r="AW168" i="3" s="1"/>
  <c r="AO168" i="3"/>
  <c r="AR168" i="3" s="1"/>
  <c r="AJ168" i="3"/>
  <c r="AM168" i="3" s="1"/>
  <c r="AB168" i="3"/>
  <c r="AA168" i="3"/>
  <c r="Z168" i="3"/>
  <c r="Y168" i="3"/>
  <c r="X168" i="3"/>
  <c r="M168" i="3"/>
  <c r="H168" i="3"/>
  <c r="C168" i="3"/>
  <c r="BI167" i="3"/>
  <c r="BL167" i="3" s="1"/>
  <c r="BD167" i="3"/>
  <c r="BG167" i="3" s="1"/>
  <c r="AY167" i="3"/>
  <c r="BB167" i="3" s="1"/>
  <c r="AW167" i="3"/>
  <c r="AT167" i="3"/>
  <c r="AO167" i="3"/>
  <c r="AR167" i="3" s="1"/>
  <c r="AB167" i="3"/>
  <c r="AA167" i="3"/>
  <c r="Z167" i="3"/>
  <c r="Y167" i="3"/>
  <c r="X167" i="3"/>
  <c r="M167" i="3"/>
  <c r="H167" i="3"/>
  <c r="C167" i="3"/>
  <c r="BI166" i="3"/>
  <c r="BL166" i="3" s="1"/>
  <c r="BD166" i="3"/>
  <c r="BG166" i="3" s="1"/>
  <c r="AY166" i="3"/>
  <c r="BB166" i="3" s="1"/>
  <c r="AT166" i="3"/>
  <c r="AW166" i="3" s="1"/>
  <c r="AO166" i="3"/>
  <c r="AR166" i="3" s="1"/>
  <c r="AB166" i="3"/>
  <c r="AA166" i="3"/>
  <c r="Z166" i="3"/>
  <c r="Y166" i="3"/>
  <c r="X166" i="3"/>
  <c r="M166" i="3"/>
  <c r="H166" i="3"/>
  <c r="C166" i="3"/>
  <c r="BI165" i="3"/>
  <c r="BL165" i="3" s="1"/>
  <c r="BD165" i="3"/>
  <c r="BG165" i="3" s="1"/>
  <c r="AY165" i="3"/>
  <c r="BB165" i="3" s="1"/>
  <c r="AT165" i="3"/>
  <c r="AW165" i="3" s="1"/>
  <c r="AB165" i="3"/>
  <c r="AA165" i="3"/>
  <c r="Z165" i="3"/>
  <c r="Y165" i="3"/>
  <c r="X165" i="3"/>
  <c r="M165" i="3"/>
  <c r="H165" i="3"/>
  <c r="C165" i="3"/>
  <c r="BI164" i="3"/>
  <c r="BL164" i="3" s="1"/>
  <c r="BG164" i="3"/>
  <c r="BD164" i="3"/>
  <c r="AY164" i="3"/>
  <c r="BB164" i="3" s="1"/>
  <c r="AT164" i="3"/>
  <c r="AW164" i="3" s="1"/>
  <c r="AB164" i="3"/>
  <c r="AA164" i="3"/>
  <c r="Z164" i="3"/>
  <c r="Y164" i="3"/>
  <c r="X164" i="3"/>
  <c r="M164" i="3"/>
  <c r="H164" i="3"/>
  <c r="C164" i="3"/>
  <c r="BI163" i="3"/>
  <c r="BL163" i="3" s="1"/>
  <c r="BD163" i="3"/>
  <c r="BG163" i="3" s="1"/>
  <c r="AY163" i="3"/>
  <c r="BB163" i="3" s="1"/>
  <c r="AW163" i="3"/>
  <c r="AT163" i="3"/>
  <c r="AB163" i="3"/>
  <c r="AA163" i="3"/>
  <c r="Z163" i="3"/>
  <c r="Y163" i="3"/>
  <c r="X163" i="3"/>
  <c r="M163" i="3"/>
  <c r="H163" i="3"/>
  <c r="C163" i="3"/>
  <c r="BI162" i="3"/>
  <c r="BL162" i="3" s="1"/>
  <c r="BD162" i="3"/>
  <c r="BG162" i="3" s="1"/>
  <c r="AY162" i="3"/>
  <c r="BB162" i="3" s="1"/>
  <c r="AT162" i="3"/>
  <c r="AW162" i="3" s="1"/>
  <c r="AB162" i="3"/>
  <c r="AA162" i="3"/>
  <c r="Z162" i="3"/>
  <c r="Y162" i="3"/>
  <c r="X162" i="3"/>
  <c r="M162" i="3"/>
  <c r="H162" i="3"/>
  <c r="C162" i="3"/>
  <c r="BI161" i="3"/>
  <c r="BL161" i="3" s="1"/>
  <c r="BD161" i="3"/>
  <c r="BG161" i="3" s="1"/>
  <c r="AY161" i="3"/>
  <c r="BB161" i="3" s="1"/>
  <c r="AT161" i="3"/>
  <c r="AW161" i="3" s="1"/>
  <c r="AB161" i="3"/>
  <c r="AA161" i="3"/>
  <c r="Z161" i="3"/>
  <c r="Y161" i="3"/>
  <c r="X161" i="3"/>
  <c r="M161" i="3"/>
  <c r="H161" i="3"/>
  <c r="C161" i="3"/>
  <c r="BI160" i="3"/>
  <c r="BL160" i="3" s="1"/>
  <c r="BG160" i="3"/>
  <c r="BD160" i="3"/>
  <c r="AY160" i="3"/>
  <c r="BB160" i="3" s="1"/>
  <c r="AT160" i="3"/>
  <c r="AW160" i="3" s="1"/>
  <c r="AB160" i="3"/>
  <c r="AA160" i="3"/>
  <c r="Z160" i="3"/>
  <c r="Y160" i="3"/>
  <c r="X160" i="3"/>
  <c r="M160" i="3"/>
  <c r="H160" i="3"/>
  <c r="C160" i="3"/>
  <c r="BI159" i="3"/>
  <c r="BL159" i="3" s="1"/>
  <c r="BD159" i="3"/>
  <c r="BG159" i="3" s="1"/>
  <c r="AY159" i="3"/>
  <c r="BB159" i="3" s="1"/>
  <c r="AW159" i="3"/>
  <c r="AT159" i="3"/>
  <c r="AB159" i="3"/>
  <c r="AA159" i="3"/>
  <c r="Z159" i="3"/>
  <c r="Y159" i="3"/>
  <c r="X159" i="3"/>
  <c r="M159" i="3"/>
  <c r="H159" i="3"/>
  <c r="C159" i="3"/>
  <c r="BI158" i="3"/>
  <c r="BL158" i="3" s="1"/>
  <c r="BD158" i="3"/>
  <c r="BG158" i="3" s="1"/>
  <c r="AY158" i="3"/>
  <c r="BB158" i="3" s="1"/>
  <c r="AT158" i="3"/>
  <c r="AW158" i="3" s="1"/>
  <c r="AB158" i="3"/>
  <c r="AA158" i="3"/>
  <c r="Z158" i="3"/>
  <c r="Y158" i="3"/>
  <c r="X158" i="3"/>
  <c r="M158" i="3"/>
  <c r="H158" i="3"/>
  <c r="C158" i="3"/>
  <c r="BI157" i="3"/>
  <c r="BL157" i="3" s="1"/>
  <c r="BD157" i="3"/>
  <c r="BG157" i="3" s="1"/>
  <c r="AY157" i="3"/>
  <c r="BB157" i="3" s="1"/>
  <c r="AT157" i="3"/>
  <c r="AW157" i="3" s="1"/>
  <c r="AB157" i="3"/>
  <c r="AA157" i="3"/>
  <c r="Z157" i="3"/>
  <c r="Y157" i="3"/>
  <c r="X157" i="3"/>
  <c r="M157" i="3"/>
  <c r="H157" i="3"/>
  <c r="C157" i="3"/>
  <c r="BI156" i="3"/>
  <c r="BL156" i="3" s="1"/>
  <c r="BG156" i="3"/>
  <c r="BD156" i="3"/>
  <c r="AY156" i="3"/>
  <c r="BB156" i="3" s="1"/>
  <c r="AT156" i="3"/>
  <c r="AW156" i="3" s="1"/>
  <c r="AB156" i="3"/>
  <c r="AA156" i="3"/>
  <c r="Z156" i="3"/>
  <c r="Y156" i="3"/>
  <c r="X156" i="3"/>
  <c r="M156" i="3"/>
  <c r="H156" i="3"/>
  <c r="C156" i="3"/>
  <c r="BI155" i="3"/>
  <c r="BL155" i="3" s="1"/>
  <c r="BD155" i="3"/>
  <c r="BG155" i="3" s="1"/>
  <c r="AY155" i="3"/>
  <c r="BB155" i="3" s="1"/>
  <c r="AW155" i="3"/>
  <c r="AT155" i="3"/>
  <c r="AB155" i="3"/>
  <c r="AA155" i="3"/>
  <c r="Z155" i="3"/>
  <c r="Y155" i="3"/>
  <c r="X155" i="3"/>
  <c r="M155" i="3"/>
  <c r="H155" i="3"/>
  <c r="C155" i="3"/>
  <c r="BI154" i="3"/>
  <c r="BL154" i="3" s="1"/>
  <c r="BD154" i="3"/>
  <c r="BG154" i="3" s="1"/>
  <c r="AY154" i="3"/>
  <c r="BB154" i="3" s="1"/>
  <c r="AT154" i="3"/>
  <c r="AW154" i="3" s="1"/>
  <c r="AB154" i="3"/>
  <c r="AA154" i="3"/>
  <c r="Z154" i="3"/>
  <c r="Y154" i="3"/>
  <c r="X154" i="3"/>
  <c r="M154" i="3"/>
  <c r="H154" i="3"/>
  <c r="C154" i="3"/>
  <c r="BI13" i="3"/>
  <c r="BL13" i="3" s="1"/>
  <c r="BD13" i="3"/>
  <c r="BG13" i="3" s="1"/>
  <c r="AY13" i="3"/>
  <c r="BB13" i="3" s="1"/>
  <c r="AT13" i="3"/>
  <c r="AW13" i="3" s="1"/>
  <c r="AB13" i="3"/>
  <c r="AA13" i="3"/>
  <c r="Z13" i="3"/>
  <c r="Y13" i="3"/>
  <c r="X13" i="3"/>
  <c r="M13" i="3"/>
  <c r="H13" i="3"/>
  <c r="C13" i="3"/>
  <c r="BI12" i="3"/>
  <c r="BL12" i="3" s="1"/>
  <c r="BG12" i="3"/>
  <c r="BD12" i="3"/>
  <c r="AY12" i="3"/>
  <c r="BB12" i="3" s="1"/>
  <c r="AT12" i="3"/>
  <c r="AW12" i="3" s="1"/>
  <c r="AB12" i="3"/>
  <c r="AA12" i="3"/>
  <c r="Z12" i="3"/>
  <c r="Y12" i="3"/>
  <c r="X12" i="3"/>
  <c r="M12" i="3"/>
  <c r="H12" i="3"/>
  <c r="C12" i="3"/>
  <c r="BI11" i="3"/>
  <c r="BL11" i="3" s="1"/>
  <c r="BD11" i="3"/>
  <c r="BG11" i="3" s="1"/>
  <c r="AY11" i="3"/>
  <c r="BB11" i="3" s="1"/>
  <c r="AW11" i="3"/>
  <c r="AT11" i="3"/>
  <c r="AB11" i="3"/>
  <c r="AA11" i="3"/>
  <c r="Z11" i="3"/>
  <c r="Y11" i="3"/>
  <c r="X11" i="3"/>
  <c r="M11" i="3"/>
  <c r="H11" i="3"/>
  <c r="C11" i="3"/>
  <c r="BI10" i="3"/>
  <c r="BL10" i="3" s="1"/>
  <c r="BD10" i="3"/>
  <c r="BG10" i="3" s="1"/>
  <c r="AY10" i="3"/>
  <c r="BB10" i="3" s="1"/>
  <c r="AT10" i="3"/>
  <c r="AW10" i="3" s="1"/>
  <c r="AA10" i="3"/>
  <c r="Z10" i="3"/>
  <c r="Y10" i="3"/>
  <c r="X10" i="3"/>
  <c r="M10" i="3"/>
  <c r="H10" i="3"/>
  <c r="C10" i="3"/>
  <c r="BI9" i="3"/>
  <c r="BL9" i="3" s="1"/>
  <c r="BD9" i="3"/>
  <c r="BG9" i="3" s="1"/>
  <c r="AY9" i="3"/>
  <c r="BB9" i="3" s="1"/>
  <c r="AT9" i="3"/>
  <c r="AW9" i="3" s="1"/>
  <c r="BI8" i="3"/>
  <c r="BL8" i="3" s="1"/>
  <c r="BD8" i="3"/>
  <c r="BG8" i="3" s="1"/>
  <c r="AY8" i="3"/>
  <c r="BB8" i="3" s="1"/>
  <c r="AT8" i="3"/>
  <c r="AW8" i="3" s="1"/>
  <c r="BI7" i="3"/>
  <c r="BL7" i="3" s="1"/>
  <c r="BD7" i="3"/>
  <c r="BG7" i="3" s="1"/>
  <c r="AY7" i="3"/>
  <c r="BB7" i="3" s="1"/>
  <c r="AT7" i="3"/>
  <c r="AW7" i="3" s="1"/>
  <c r="BI6" i="3"/>
  <c r="BL6" i="3" s="1"/>
  <c r="BD6" i="3"/>
  <c r="BG6" i="3" s="1"/>
  <c r="AY6" i="3"/>
  <c r="BB6" i="3" s="1"/>
  <c r="AT6" i="3"/>
  <c r="AW6" i="3" s="1"/>
  <c r="AF6" i="3"/>
  <c r="BL1" i="3" s="1"/>
  <c r="BI5" i="3"/>
  <c r="BL5" i="3" s="1"/>
  <c r="BD5" i="3"/>
  <c r="BG5" i="3" s="1"/>
  <c r="AY5" i="3"/>
  <c r="BB5" i="3" s="1"/>
  <c r="AT5" i="3"/>
  <c r="AW5" i="3" s="1"/>
  <c r="AF5" i="3"/>
  <c r="BI4" i="3"/>
  <c r="BL4" i="3" s="1"/>
  <c r="BD4" i="3"/>
  <c r="BG4" i="3" s="1"/>
  <c r="BB4" i="3"/>
  <c r="AY4" i="3"/>
  <c r="AT4" i="3"/>
  <c r="AW4" i="3" s="1"/>
  <c r="AF4" i="3"/>
  <c r="BB1" i="3" s="1"/>
  <c r="BI3" i="3"/>
  <c r="BL3" i="3" s="1"/>
  <c r="BD3" i="3"/>
  <c r="BG3" i="3" s="1"/>
  <c r="AY3" i="3"/>
  <c r="BB3" i="3" s="1"/>
  <c r="AT3" i="3"/>
  <c r="AW3" i="3" s="1"/>
  <c r="AF3" i="3"/>
  <c r="AW1" i="3" s="1"/>
  <c r="U3" i="3"/>
  <c r="B3" i="3"/>
  <c r="BI2" i="3"/>
  <c r="BL2" i="3" s="1"/>
  <c r="BD2" i="3"/>
  <c r="BG2" i="3" s="1"/>
  <c r="AY2" i="3"/>
  <c r="BB2" i="3" s="1"/>
  <c r="AW2" i="3"/>
  <c r="AT2" i="3"/>
  <c r="AF2" i="3"/>
  <c r="AR1" i="3" s="1"/>
  <c r="BG1" i="3"/>
  <c r="AF1" i="3"/>
  <c r="AM1" i="3" s="1"/>
  <c r="W865" i="6"/>
  <c r="V865" i="6"/>
  <c r="U865" i="6"/>
  <c r="T865" i="6"/>
  <c r="S865" i="6"/>
  <c r="R865" i="6"/>
  <c r="Q865" i="6"/>
  <c r="P865" i="6"/>
  <c r="O865" i="6"/>
  <c r="N865" i="6"/>
  <c r="M865" i="6"/>
  <c r="L865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W99" i="6"/>
  <c r="V99" i="6"/>
  <c r="U99" i="6"/>
  <c r="T99" i="6"/>
  <c r="S99" i="6"/>
  <c r="R99" i="6"/>
  <c r="Q99" i="6"/>
  <c r="P99" i="6"/>
  <c r="O99" i="6"/>
  <c r="N99" i="6"/>
  <c r="M99" i="6"/>
  <c r="L99" i="6"/>
  <c r="W98" i="6"/>
  <c r="V98" i="6"/>
  <c r="U98" i="6"/>
  <c r="T98" i="6"/>
  <c r="S98" i="6"/>
  <c r="R98" i="6"/>
  <c r="Q98" i="6"/>
  <c r="P98" i="6"/>
  <c r="O98" i="6"/>
  <c r="N98" i="6"/>
  <c r="M98" i="6"/>
  <c r="L98" i="6"/>
  <c r="W97" i="6"/>
  <c r="V97" i="6"/>
  <c r="U97" i="6"/>
  <c r="T97" i="6"/>
  <c r="S97" i="6"/>
  <c r="R97" i="6"/>
  <c r="Q97" i="6"/>
  <c r="P97" i="6"/>
  <c r="O97" i="6"/>
  <c r="N97" i="6"/>
  <c r="M97" i="6"/>
  <c r="L97" i="6"/>
  <c r="W96" i="6"/>
  <c r="V96" i="6"/>
  <c r="U96" i="6"/>
  <c r="T96" i="6"/>
  <c r="S96" i="6"/>
  <c r="R96" i="6"/>
  <c r="Q96" i="6"/>
  <c r="P96" i="6"/>
  <c r="O96" i="6"/>
  <c r="N96" i="6"/>
  <c r="M96" i="6"/>
  <c r="L96" i="6"/>
  <c r="W95" i="6"/>
  <c r="V95" i="6"/>
  <c r="U95" i="6"/>
  <c r="T95" i="6"/>
  <c r="S95" i="6"/>
  <c r="R95" i="6"/>
  <c r="Q95" i="6"/>
  <c r="P95" i="6"/>
  <c r="O95" i="6"/>
  <c r="N95" i="6"/>
  <c r="M95" i="6"/>
  <c r="L95" i="6"/>
  <c r="W94" i="6"/>
  <c r="V94" i="6"/>
  <c r="U94" i="6"/>
  <c r="T94" i="6"/>
  <c r="S94" i="6"/>
  <c r="R94" i="6"/>
  <c r="Q94" i="6"/>
  <c r="P94" i="6"/>
  <c r="O94" i="6"/>
  <c r="N94" i="6"/>
  <c r="M94" i="6"/>
  <c r="L94" i="6"/>
  <c r="W93" i="6"/>
  <c r="V93" i="6"/>
  <c r="U93" i="6"/>
  <c r="T93" i="6"/>
  <c r="S93" i="6"/>
  <c r="R93" i="6"/>
  <c r="Q93" i="6"/>
  <c r="P93" i="6"/>
  <c r="O93" i="6"/>
  <c r="N93" i="6"/>
  <c r="M93" i="6"/>
  <c r="L93" i="6"/>
  <c r="W92" i="6"/>
  <c r="V92" i="6"/>
  <c r="U92" i="6"/>
  <c r="T92" i="6"/>
  <c r="S92" i="6"/>
  <c r="R92" i="6"/>
  <c r="Q92" i="6"/>
  <c r="P92" i="6"/>
  <c r="O92" i="6"/>
  <c r="N92" i="6"/>
  <c r="M92" i="6"/>
  <c r="L92" i="6"/>
  <c r="W91" i="6"/>
  <c r="V91" i="6"/>
  <c r="U91" i="6"/>
  <c r="T91" i="6"/>
  <c r="S91" i="6"/>
  <c r="R91" i="6"/>
  <c r="Q91" i="6"/>
  <c r="P91" i="6"/>
  <c r="O91" i="6"/>
  <c r="N91" i="6"/>
  <c r="M91" i="6"/>
  <c r="L91" i="6"/>
  <c r="W90" i="6"/>
  <c r="V90" i="6"/>
  <c r="U90" i="6"/>
  <c r="T90" i="6"/>
  <c r="S90" i="6"/>
  <c r="R90" i="6"/>
  <c r="Q90" i="6"/>
  <c r="P90" i="6"/>
  <c r="O90" i="6"/>
  <c r="N90" i="6"/>
  <c r="M90" i="6"/>
  <c r="L90" i="6"/>
  <c r="W89" i="6"/>
  <c r="V89" i="6"/>
  <c r="U89" i="6"/>
  <c r="T89" i="6"/>
  <c r="S89" i="6"/>
  <c r="R89" i="6"/>
  <c r="Q89" i="6"/>
  <c r="P89" i="6"/>
  <c r="O89" i="6"/>
  <c r="N89" i="6"/>
  <c r="M89" i="6"/>
  <c r="L89" i="6"/>
  <c r="W88" i="6"/>
  <c r="V88" i="6"/>
  <c r="U88" i="6"/>
  <c r="T88" i="6"/>
  <c r="S88" i="6"/>
  <c r="R88" i="6"/>
  <c r="Q88" i="6"/>
  <c r="P88" i="6"/>
  <c r="O88" i="6"/>
  <c r="N88" i="6"/>
  <c r="M88" i="6"/>
  <c r="L88" i="6"/>
  <c r="W87" i="6"/>
  <c r="V87" i="6"/>
  <c r="U87" i="6"/>
  <c r="T87" i="6"/>
  <c r="S87" i="6"/>
  <c r="R87" i="6"/>
  <c r="Q87" i="6"/>
  <c r="P87" i="6"/>
  <c r="O87" i="6"/>
  <c r="N87" i="6"/>
  <c r="M87" i="6"/>
  <c r="L87" i="6"/>
  <c r="W86" i="6"/>
  <c r="V86" i="6"/>
  <c r="U86" i="6"/>
  <c r="T86" i="6"/>
  <c r="S86" i="6"/>
  <c r="R86" i="6"/>
  <c r="Q86" i="6"/>
  <c r="P86" i="6"/>
  <c r="O86" i="6"/>
  <c r="N86" i="6"/>
  <c r="M86" i="6"/>
  <c r="L86" i="6"/>
  <c r="W85" i="6"/>
  <c r="V85" i="6"/>
  <c r="U85" i="6"/>
  <c r="T85" i="6"/>
  <c r="S85" i="6"/>
  <c r="R85" i="6"/>
  <c r="Q85" i="6"/>
  <c r="P85" i="6"/>
  <c r="O85" i="6"/>
  <c r="N85" i="6"/>
  <c r="M85" i="6"/>
  <c r="L85" i="6"/>
  <c r="W84" i="6"/>
  <c r="V84" i="6"/>
  <c r="U84" i="6"/>
  <c r="T84" i="6"/>
  <c r="S84" i="6"/>
  <c r="R84" i="6"/>
  <c r="Q84" i="6"/>
  <c r="P84" i="6"/>
  <c r="O84" i="6"/>
  <c r="N84" i="6"/>
  <c r="M84" i="6"/>
  <c r="L84" i="6"/>
  <c r="W83" i="6"/>
  <c r="V83" i="6"/>
  <c r="U83" i="6"/>
  <c r="T83" i="6"/>
  <c r="S83" i="6"/>
  <c r="R83" i="6"/>
  <c r="Q83" i="6"/>
  <c r="P83" i="6"/>
  <c r="O83" i="6"/>
  <c r="N83" i="6"/>
  <c r="M83" i="6"/>
  <c r="L83" i="6"/>
  <c r="W82" i="6"/>
  <c r="V82" i="6"/>
  <c r="U82" i="6"/>
  <c r="T82" i="6"/>
  <c r="S82" i="6"/>
  <c r="R82" i="6"/>
  <c r="Q82" i="6"/>
  <c r="P82" i="6"/>
  <c r="O82" i="6"/>
  <c r="N82" i="6"/>
  <c r="M82" i="6"/>
  <c r="L82" i="6"/>
  <c r="W81" i="6"/>
  <c r="V81" i="6"/>
  <c r="U81" i="6"/>
  <c r="T81" i="6"/>
  <c r="S81" i="6"/>
  <c r="R81" i="6"/>
  <c r="Q81" i="6"/>
  <c r="P81" i="6"/>
  <c r="O81" i="6"/>
  <c r="N81" i="6"/>
  <c r="M81" i="6"/>
  <c r="L81" i="6"/>
  <c r="W80" i="6"/>
  <c r="V80" i="6"/>
  <c r="U80" i="6"/>
  <c r="T80" i="6"/>
  <c r="S80" i="6"/>
  <c r="R80" i="6"/>
  <c r="Q80" i="6"/>
  <c r="P80" i="6"/>
  <c r="O80" i="6"/>
  <c r="N80" i="6"/>
  <c r="M80" i="6"/>
  <c r="L80" i="6"/>
  <c r="W79" i="6"/>
  <c r="V79" i="6"/>
  <c r="U79" i="6"/>
  <c r="T79" i="6"/>
  <c r="S79" i="6"/>
  <c r="R79" i="6"/>
  <c r="Q79" i="6"/>
  <c r="P79" i="6"/>
  <c r="O79" i="6"/>
  <c r="N79" i="6"/>
  <c r="M79" i="6"/>
  <c r="L79" i="6"/>
  <c r="W78" i="6"/>
  <c r="V78" i="6"/>
  <c r="U78" i="6"/>
  <c r="T78" i="6"/>
  <c r="S78" i="6"/>
  <c r="R78" i="6"/>
  <c r="Q78" i="6"/>
  <c r="P78" i="6"/>
  <c r="O78" i="6"/>
  <c r="N78" i="6"/>
  <c r="M78" i="6"/>
  <c r="L78" i="6"/>
  <c r="W77" i="6"/>
  <c r="V77" i="6"/>
  <c r="U77" i="6"/>
  <c r="T77" i="6"/>
  <c r="S77" i="6"/>
  <c r="R77" i="6"/>
  <c r="Q77" i="6"/>
  <c r="P77" i="6"/>
  <c r="O77" i="6"/>
  <c r="N77" i="6"/>
  <c r="M77" i="6"/>
  <c r="L77" i="6"/>
  <c r="W76" i="6"/>
  <c r="V76" i="6"/>
  <c r="U76" i="6"/>
  <c r="T76" i="6"/>
  <c r="S76" i="6"/>
  <c r="R76" i="6"/>
  <c r="Q76" i="6"/>
  <c r="P76" i="6"/>
  <c r="O76" i="6"/>
  <c r="N76" i="6"/>
  <c r="M76" i="6"/>
  <c r="L76" i="6"/>
  <c r="W75" i="6"/>
  <c r="V75" i="6"/>
  <c r="U75" i="6"/>
  <c r="T75" i="6"/>
  <c r="S75" i="6"/>
  <c r="R75" i="6"/>
  <c r="Q75" i="6"/>
  <c r="P75" i="6"/>
  <c r="O75" i="6"/>
  <c r="N75" i="6"/>
  <c r="M75" i="6"/>
  <c r="L75" i="6"/>
  <c r="W74" i="6"/>
  <c r="V74" i="6"/>
  <c r="U74" i="6"/>
  <c r="T74" i="6"/>
  <c r="S74" i="6"/>
  <c r="R74" i="6"/>
  <c r="Q74" i="6"/>
  <c r="P74" i="6"/>
  <c r="O74" i="6"/>
  <c r="N74" i="6"/>
  <c r="M74" i="6"/>
  <c r="L74" i="6"/>
  <c r="W73" i="6"/>
  <c r="V73" i="6"/>
  <c r="U73" i="6"/>
  <c r="T73" i="6"/>
  <c r="S73" i="6"/>
  <c r="R73" i="6"/>
  <c r="Q73" i="6"/>
  <c r="P73" i="6"/>
  <c r="O73" i="6"/>
  <c r="N73" i="6"/>
  <c r="M73" i="6"/>
  <c r="L73" i="6"/>
  <c r="W72" i="6"/>
  <c r="V72" i="6"/>
  <c r="U72" i="6"/>
  <c r="T72" i="6"/>
  <c r="S72" i="6"/>
  <c r="R72" i="6"/>
  <c r="Q72" i="6"/>
  <c r="P72" i="6"/>
  <c r="O72" i="6"/>
  <c r="N72" i="6"/>
  <c r="M72" i="6"/>
  <c r="L72" i="6"/>
  <c r="W71" i="6"/>
  <c r="V71" i="6"/>
  <c r="U71" i="6"/>
  <c r="T71" i="6"/>
  <c r="S71" i="6"/>
  <c r="R71" i="6"/>
  <c r="Q71" i="6"/>
  <c r="P71" i="6"/>
  <c r="O71" i="6"/>
  <c r="N71" i="6"/>
  <c r="M71" i="6"/>
  <c r="L71" i="6"/>
  <c r="W70" i="6"/>
  <c r="V70" i="6"/>
  <c r="U70" i="6"/>
  <c r="T70" i="6"/>
  <c r="S70" i="6"/>
  <c r="R70" i="6"/>
  <c r="Q70" i="6"/>
  <c r="P70" i="6"/>
  <c r="O70" i="6"/>
  <c r="N70" i="6"/>
  <c r="M70" i="6"/>
  <c r="L70" i="6"/>
  <c r="W69" i="6"/>
  <c r="V69" i="6"/>
  <c r="U69" i="6"/>
  <c r="T69" i="6"/>
  <c r="S69" i="6"/>
  <c r="R69" i="6"/>
  <c r="Q69" i="6"/>
  <c r="P69" i="6"/>
  <c r="O69" i="6"/>
  <c r="N69" i="6"/>
  <c r="M69" i="6"/>
  <c r="L69" i="6"/>
  <c r="W68" i="6"/>
  <c r="V68" i="6"/>
  <c r="U68" i="6"/>
  <c r="T68" i="6"/>
  <c r="S68" i="6"/>
  <c r="R68" i="6"/>
  <c r="Q68" i="6"/>
  <c r="P68" i="6"/>
  <c r="O68" i="6"/>
  <c r="N68" i="6"/>
  <c r="M68" i="6"/>
  <c r="L68" i="6"/>
  <c r="W67" i="6"/>
  <c r="V67" i="6"/>
  <c r="U67" i="6"/>
  <c r="T67" i="6"/>
  <c r="S67" i="6"/>
  <c r="R67" i="6"/>
  <c r="Q67" i="6"/>
  <c r="P67" i="6"/>
  <c r="O67" i="6"/>
  <c r="N67" i="6"/>
  <c r="M67" i="6"/>
  <c r="L67" i="6"/>
  <c r="W66" i="6"/>
  <c r="V66" i="6"/>
  <c r="U66" i="6"/>
  <c r="T66" i="6"/>
  <c r="S66" i="6"/>
  <c r="R66" i="6"/>
  <c r="Q66" i="6"/>
  <c r="P66" i="6"/>
  <c r="O66" i="6"/>
  <c r="N66" i="6"/>
  <c r="M66" i="6"/>
  <c r="L66" i="6"/>
  <c r="W65" i="6"/>
  <c r="V65" i="6"/>
  <c r="U65" i="6"/>
  <c r="T65" i="6"/>
  <c r="S65" i="6"/>
  <c r="R65" i="6"/>
  <c r="Q65" i="6"/>
  <c r="P65" i="6"/>
  <c r="O65" i="6"/>
  <c r="N65" i="6"/>
  <c r="M65" i="6"/>
  <c r="L65" i="6"/>
  <c r="W64" i="6"/>
  <c r="V64" i="6"/>
  <c r="U64" i="6"/>
  <c r="T64" i="6"/>
  <c r="S64" i="6"/>
  <c r="R64" i="6"/>
  <c r="Q64" i="6"/>
  <c r="P64" i="6"/>
  <c r="O64" i="6"/>
  <c r="N64" i="6"/>
  <c r="M64" i="6"/>
  <c r="L64" i="6"/>
  <c r="W63" i="6"/>
  <c r="V63" i="6"/>
  <c r="U63" i="6"/>
  <c r="T63" i="6"/>
  <c r="S63" i="6"/>
  <c r="R63" i="6"/>
  <c r="Q63" i="6"/>
  <c r="P63" i="6"/>
  <c r="O63" i="6"/>
  <c r="N63" i="6"/>
  <c r="M63" i="6"/>
  <c r="L63" i="6"/>
  <c r="W62" i="6"/>
  <c r="V62" i="6"/>
  <c r="U62" i="6"/>
  <c r="T62" i="6"/>
  <c r="S62" i="6"/>
  <c r="R62" i="6"/>
  <c r="Q62" i="6"/>
  <c r="P62" i="6"/>
  <c r="O62" i="6"/>
  <c r="N62" i="6"/>
  <c r="M62" i="6"/>
  <c r="L62" i="6"/>
  <c r="W61" i="6"/>
  <c r="V61" i="6"/>
  <c r="U61" i="6"/>
  <c r="T61" i="6"/>
  <c r="S61" i="6"/>
  <c r="R61" i="6"/>
  <c r="Q61" i="6"/>
  <c r="P61" i="6"/>
  <c r="O61" i="6"/>
  <c r="N61" i="6"/>
  <c r="M61" i="6"/>
  <c r="L61" i="6"/>
  <c r="W60" i="6"/>
  <c r="V60" i="6"/>
  <c r="U60" i="6"/>
  <c r="T60" i="6"/>
  <c r="S60" i="6"/>
  <c r="R60" i="6"/>
  <c r="Q60" i="6"/>
  <c r="P60" i="6"/>
  <c r="O60" i="6"/>
  <c r="N60" i="6"/>
  <c r="M60" i="6"/>
  <c r="L60" i="6"/>
  <c r="W59" i="6"/>
  <c r="V59" i="6"/>
  <c r="U59" i="6"/>
  <c r="T59" i="6"/>
  <c r="S59" i="6"/>
  <c r="R59" i="6"/>
  <c r="Q59" i="6"/>
  <c r="P59" i="6"/>
  <c r="O59" i="6"/>
  <c r="N59" i="6"/>
  <c r="M59" i="6"/>
  <c r="L59" i="6"/>
  <c r="W58" i="6"/>
  <c r="V58" i="6"/>
  <c r="U58" i="6"/>
  <c r="T58" i="6"/>
  <c r="S58" i="6"/>
  <c r="R58" i="6"/>
  <c r="Q58" i="6"/>
  <c r="P58" i="6"/>
  <c r="O58" i="6"/>
  <c r="N58" i="6"/>
  <c r="M58" i="6"/>
  <c r="L58" i="6"/>
  <c r="W57" i="6"/>
  <c r="V57" i="6"/>
  <c r="U57" i="6"/>
  <c r="T57" i="6"/>
  <c r="S57" i="6"/>
  <c r="R57" i="6"/>
  <c r="Q57" i="6"/>
  <c r="P57" i="6"/>
  <c r="O57" i="6"/>
  <c r="N57" i="6"/>
  <c r="M57" i="6"/>
  <c r="L57" i="6"/>
  <c r="W56" i="6"/>
  <c r="V56" i="6"/>
  <c r="U56" i="6"/>
  <c r="T56" i="6"/>
  <c r="S56" i="6"/>
  <c r="R56" i="6"/>
  <c r="Q56" i="6"/>
  <c r="P56" i="6"/>
  <c r="O56" i="6"/>
  <c r="N56" i="6"/>
  <c r="M56" i="6"/>
  <c r="L56" i="6"/>
  <c r="W55" i="6"/>
  <c r="V55" i="6"/>
  <c r="U55" i="6"/>
  <c r="T55" i="6"/>
  <c r="S55" i="6"/>
  <c r="R55" i="6"/>
  <c r="Q55" i="6"/>
  <c r="P55" i="6"/>
  <c r="O55" i="6"/>
  <c r="N55" i="6"/>
  <c r="M55" i="6"/>
  <c r="L55" i="6"/>
  <c r="W54" i="6"/>
  <c r="V54" i="6"/>
  <c r="U54" i="6"/>
  <c r="T54" i="6"/>
  <c r="S54" i="6"/>
  <c r="R54" i="6"/>
  <c r="Q54" i="6"/>
  <c r="P54" i="6"/>
  <c r="O54" i="6"/>
  <c r="N54" i="6"/>
  <c r="M54" i="6"/>
  <c r="L54" i="6"/>
  <c r="W53" i="6"/>
  <c r="V53" i="6"/>
  <c r="U53" i="6"/>
  <c r="T53" i="6"/>
  <c r="S53" i="6"/>
  <c r="R53" i="6"/>
  <c r="Q53" i="6"/>
  <c r="P53" i="6"/>
  <c r="O53" i="6"/>
  <c r="N53" i="6"/>
  <c r="M53" i="6"/>
  <c r="L53" i="6"/>
  <c r="W52" i="6"/>
  <c r="V52" i="6"/>
  <c r="U52" i="6"/>
  <c r="T52" i="6"/>
  <c r="S52" i="6"/>
  <c r="R52" i="6"/>
  <c r="Q52" i="6"/>
  <c r="P52" i="6"/>
  <c r="O52" i="6"/>
  <c r="N52" i="6"/>
  <c r="M52" i="6"/>
  <c r="L52" i="6"/>
  <c r="W51" i="6"/>
  <c r="V51" i="6"/>
  <c r="U51" i="6"/>
  <c r="T51" i="6"/>
  <c r="S51" i="6"/>
  <c r="R51" i="6"/>
  <c r="Q51" i="6"/>
  <c r="P51" i="6"/>
  <c r="O51" i="6"/>
  <c r="N51" i="6"/>
  <c r="M51" i="6"/>
  <c r="L51" i="6"/>
  <c r="W50" i="6"/>
  <c r="V50" i="6"/>
  <c r="U50" i="6"/>
  <c r="T50" i="6"/>
  <c r="S50" i="6"/>
  <c r="R50" i="6"/>
  <c r="Q50" i="6"/>
  <c r="P50" i="6"/>
  <c r="O50" i="6"/>
  <c r="N50" i="6"/>
  <c r="M50" i="6"/>
  <c r="L50" i="6"/>
  <c r="F50" i="6"/>
  <c r="W49" i="6"/>
  <c r="V49" i="6"/>
  <c r="U49" i="6"/>
  <c r="T49" i="6"/>
  <c r="S49" i="6"/>
  <c r="R49" i="6"/>
  <c r="Q49" i="6"/>
  <c r="P49" i="6"/>
  <c r="O49" i="6"/>
  <c r="N49" i="6"/>
  <c r="M49" i="6"/>
  <c r="L49" i="6"/>
  <c r="W48" i="6"/>
  <c r="V48" i="6"/>
  <c r="U48" i="6"/>
  <c r="T48" i="6"/>
  <c r="S48" i="6"/>
  <c r="R48" i="6"/>
  <c r="Q48" i="6"/>
  <c r="P48" i="6"/>
  <c r="O48" i="6"/>
  <c r="N48" i="6"/>
  <c r="M48" i="6"/>
  <c r="L48" i="6"/>
  <c r="W47" i="6"/>
  <c r="V47" i="6"/>
  <c r="U47" i="6"/>
  <c r="T47" i="6"/>
  <c r="S47" i="6"/>
  <c r="R47" i="6"/>
  <c r="Q47" i="6"/>
  <c r="P47" i="6"/>
  <c r="O47" i="6"/>
  <c r="N47" i="6"/>
  <c r="M47" i="6"/>
  <c r="L47" i="6"/>
  <c r="W46" i="6"/>
  <c r="V46" i="6"/>
  <c r="U46" i="6"/>
  <c r="T46" i="6"/>
  <c r="S46" i="6"/>
  <c r="R46" i="6"/>
  <c r="Q46" i="6"/>
  <c r="P46" i="6"/>
  <c r="O46" i="6"/>
  <c r="N46" i="6"/>
  <c r="M46" i="6"/>
  <c r="L46" i="6"/>
  <c r="W45" i="6"/>
  <c r="V45" i="6"/>
  <c r="U45" i="6"/>
  <c r="T45" i="6"/>
  <c r="S45" i="6"/>
  <c r="R45" i="6"/>
  <c r="Q45" i="6"/>
  <c r="P45" i="6"/>
  <c r="O45" i="6"/>
  <c r="N45" i="6"/>
  <c r="M45" i="6"/>
  <c r="L45" i="6"/>
  <c r="W44" i="6"/>
  <c r="V44" i="6"/>
  <c r="U44" i="6"/>
  <c r="T44" i="6"/>
  <c r="S44" i="6"/>
  <c r="R44" i="6"/>
  <c r="Q44" i="6"/>
  <c r="P44" i="6"/>
  <c r="O44" i="6"/>
  <c r="N44" i="6"/>
  <c r="M44" i="6"/>
  <c r="L44" i="6"/>
  <c r="W43" i="6"/>
  <c r="V43" i="6"/>
  <c r="U43" i="6"/>
  <c r="T43" i="6"/>
  <c r="S43" i="6"/>
  <c r="R43" i="6"/>
  <c r="Q43" i="6"/>
  <c r="P43" i="6"/>
  <c r="O43" i="6"/>
  <c r="N43" i="6"/>
  <c r="M43" i="6"/>
  <c r="L43" i="6"/>
  <c r="F43" i="6"/>
  <c r="W42" i="6"/>
  <c r="V42" i="6"/>
  <c r="U42" i="6"/>
  <c r="T42" i="6"/>
  <c r="S42" i="6"/>
  <c r="R42" i="6"/>
  <c r="Q42" i="6"/>
  <c r="P42" i="6"/>
  <c r="O42" i="6"/>
  <c r="N42" i="6"/>
  <c r="M42" i="6"/>
  <c r="L42" i="6"/>
  <c r="W41" i="6"/>
  <c r="V41" i="6"/>
  <c r="U41" i="6"/>
  <c r="T41" i="6"/>
  <c r="S41" i="6"/>
  <c r="R41" i="6"/>
  <c r="Q41" i="6"/>
  <c r="P41" i="6"/>
  <c r="O41" i="6"/>
  <c r="N41" i="6"/>
  <c r="M41" i="6"/>
  <c r="L41" i="6"/>
  <c r="W40" i="6"/>
  <c r="V40" i="6"/>
  <c r="U40" i="6"/>
  <c r="T40" i="6"/>
  <c r="S40" i="6"/>
  <c r="R40" i="6"/>
  <c r="Q40" i="6"/>
  <c r="P40" i="6"/>
  <c r="O40" i="6"/>
  <c r="N40" i="6"/>
  <c r="M40" i="6"/>
  <c r="L40" i="6"/>
  <c r="W39" i="6"/>
  <c r="V39" i="6"/>
  <c r="U39" i="6"/>
  <c r="T39" i="6"/>
  <c r="S39" i="6"/>
  <c r="R39" i="6"/>
  <c r="Q39" i="6"/>
  <c r="P39" i="6"/>
  <c r="O39" i="6"/>
  <c r="N39" i="6"/>
  <c r="M39" i="6"/>
  <c r="L39" i="6"/>
  <c r="W38" i="6"/>
  <c r="V38" i="6"/>
  <c r="U38" i="6"/>
  <c r="T38" i="6"/>
  <c r="S38" i="6"/>
  <c r="R38" i="6"/>
  <c r="Q38" i="6"/>
  <c r="P38" i="6"/>
  <c r="O38" i="6"/>
  <c r="N38" i="6"/>
  <c r="M38" i="6"/>
  <c r="L38" i="6"/>
  <c r="W37" i="6"/>
  <c r="V37" i="6"/>
  <c r="U37" i="6"/>
  <c r="T37" i="6"/>
  <c r="S37" i="6"/>
  <c r="R37" i="6"/>
  <c r="Q37" i="6"/>
  <c r="P37" i="6"/>
  <c r="O37" i="6"/>
  <c r="N37" i="6"/>
  <c r="M37" i="6"/>
  <c r="L37" i="6"/>
  <c r="W36" i="6"/>
  <c r="V36" i="6"/>
  <c r="U36" i="6"/>
  <c r="T36" i="6"/>
  <c r="S36" i="6"/>
  <c r="R36" i="6"/>
  <c r="Q36" i="6"/>
  <c r="P36" i="6"/>
  <c r="O36" i="6"/>
  <c r="N36" i="6"/>
  <c r="M36" i="6"/>
  <c r="L36" i="6"/>
  <c r="F36" i="6"/>
  <c r="W35" i="6"/>
  <c r="V35" i="6"/>
  <c r="U35" i="6"/>
  <c r="T35" i="6"/>
  <c r="S35" i="6"/>
  <c r="R35" i="6"/>
  <c r="Q35" i="6"/>
  <c r="P35" i="6"/>
  <c r="O35" i="6"/>
  <c r="N35" i="6"/>
  <c r="M35" i="6"/>
  <c r="L35" i="6"/>
  <c r="W34" i="6"/>
  <c r="V34" i="6"/>
  <c r="U34" i="6"/>
  <c r="T34" i="6"/>
  <c r="S34" i="6"/>
  <c r="R34" i="6"/>
  <c r="Q34" i="6"/>
  <c r="P34" i="6"/>
  <c r="O34" i="6"/>
  <c r="N34" i="6"/>
  <c r="M34" i="6"/>
  <c r="L34" i="6"/>
  <c r="W33" i="6"/>
  <c r="V33" i="6"/>
  <c r="U33" i="6"/>
  <c r="T33" i="6"/>
  <c r="S33" i="6"/>
  <c r="R33" i="6"/>
  <c r="Q33" i="6"/>
  <c r="P33" i="6"/>
  <c r="O33" i="6"/>
  <c r="N33" i="6"/>
  <c r="M33" i="6"/>
  <c r="L33" i="6"/>
  <c r="W32" i="6"/>
  <c r="V32" i="6"/>
  <c r="U32" i="6"/>
  <c r="T32" i="6"/>
  <c r="S32" i="6"/>
  <c r="R32" i="6"/>
  <c r="Q32" i="6"/>
  <c r="P32" i="6"/>
  <c r="O32" i="6"/>
  <c r="N32" i="6"/>
  <c r="M32" i="6"/>
  <c r="L32" i="6"/>
  <c r="W31" i="6"/>
  <c r="V31" i="6"/>
  <c r="U31" i="6"/>
  <c r="T31" i="6"/>
  <c r="S31" i="6"/>
  <c r="R31" i="6"/>
  <c r="Q31" i="6"/>
  <c r="P31" i="6"/>
  <c r="O31" i="6"/>
  <c r="N31" i="6"/>
  <c r="M31" i="6"/>
  <c r="L31" i="6"/>
  <c r="W30" i="6"/>
  <c r="V30" i="6"/>
  <c r="U30" i="6"/>
  <c r="T30" i="6"/>
  <c r="S30" i="6"/>
  <c r="R30" i="6"/>
  <c r="Q30" i="6"/>
  <c r="P30" i="6"/>
  <c r="O30" i="6"/>
  <c r="N30" i="6"/>
  <c r="M30" i="6"/>
  <c r="L30" i="6"/>
  <c r="W29" i="6"/>
  <c r="V29" i="6"/>
  <c r="U29" i="6"/>
  <c r="T29" i="6"/>
  <c r="S29" i="6"/>
  <c r="R29" i="6"/>
  <c r="Q29" i="6"/>
  <c r="P29" i="6"/>
  <c r="O29" i="6"/>
  <c r="N29" i="6"/>
  <c r="M29" i="6"/>
  <c r="L29" i="6"/>
  <c r="F29" i="6"/>
  <c r="W28" i="6"/>
  <c r="V28" i="6"/>
  <c r="U28" i="6"/>
  <c r="T28" i="6"/>
  <c r="S28" i="6"/>
  <c r="R28" i="6"/>
  <c r="Q28" i="6"/>
  <c r="P28" i="6"/>
  <c r="O28" i="6"/>
  <c r="N28" i="6"/>
  <c r="M28" i="6"/>
  <c r="L28" i="6"/>
  <c r="W27" i="6"/>
  <c r="V27" i="6"/>
  <c r="U27" i="6"/>
  <c r="T27" i="6"/>
  <c r="S27" i="6"/>
  <c r="R27" i="6"/>
  <c r="Q27" i="6"/>
  <c r="P27" i="6"/>
  <c r="O27" i="6"/>
  <c r="N27" i="6"/>
  <c r="M27" i="6"/>
  <c r="L27" i="6"/>
  <c r="W26" i="6"/>
  <c r="V26" i="6"/>
  <c r="U26" i="6"/>
  <c r="T26" i="6"/>
  <c r="S26" i="6"/>
  <c r="R26" i="6"/>
  <c r="Q26" i="6"/>
  <c r="P26" i="6"/>
  <c r="O26" i="6"/>
  <c r="N26" i="6"/>
  <c r="M26" i="6"/>
  <c r="L26" i="6"/>
  <c r="W25" i="6"/>
  <c r="V25" i="6"/>
  <c r="U25" i="6"/>
  <c r="T25" i="6"/>
  <c r="S25" i="6"/>
  <c r="R25" i="6"/>
  <c r="Q25" i="6"/>
  <c r="P25" i="6"/>
  <c r="O25" i="6"/>
  <c r="N25" i="6"/>
  <c r="M25" i="6"/>
  <c r="L25" i="6"/>
  <c r="W24" i="6"/>
  <c r="V24" i="6"/>
  <c r="U24" i="6"/>
  <c r="T24" i="6"/>
  <c r="S24" i="6"/>
  <c r="R24" i="6"/>
  <c r="Q24" i="6"/>
  <c r="P24" i="6"/>
  <c r="O24" i="6"/>
  <c r="N24" i="6"/>
  <c r="M24" i="6"/>
  <c r="L24" i="6"/>
  <c r="W23" i="6"/>
  <c r="V23" i="6"/>
  <c r="U23" i="6"/>
  <c r="T23" i="6"/>
  <c r="S23" i="6"/>
  <c r="R23" i="6"/>
  <c r="Q23" i="6"/>
  <c r="P23" i="6"/>
  <c r="O23" i="6"/>
  <c r="N23" i="6"/>
  <c r="M23" i="6"/>
  <c r="L23" i="6"/>
  <c r="W22" i="6"/>
  <c r="V22" i="6"/>
  <c r="U22" i="6"/>
  <c r="T22" i="6"/>
  <c r="S22" i="6"/>
  <c r="R22" i="6"/>
  <c r="Q22" i="6"/>
  <c r="P22" i="6"/>
  <c r="O22" i="6"/>
  <c r="N22" i="6"/>
  <c r="M22" i="6"/>
  <c r="L22" i="6"/>
  <c r="F22" i="6"/>
  <c r="W21" i="6"/>
  <c r="V21" i="6"/>
  <c r="U21" i="6"/>
  <c r="T21" i="6"/>
  <c r="S21" i="6"/>
  <c r="R21" i="6"/>
  <c r="Q21" i="6"/>
  <c r="P21" i="6"/>
  <c r="O21" i="6"/>
  <c r="N21" i="6"/>
  <c r="M21" i="6"/>
  <c r="L21" i="6"/>
  <c r="W20" i="6"/>
  <c r="V20" i="6"/>
  <c r="U20" i="6"/>
  <c r="T20" i="6"/>
  <c r="S20" i="6"/>
  <c r="R20" i="6"/>
  <c r="Q20" i="6"/>
  <c r="P20" i="6"/>
  <c r="O20" i="6"/>
  <c r="N20" i="6"/>
  <c r="M20" i="6"/>
  <c r="L20" i="6"/>
  <c r="W19" i="6"/>
  <c r="V19" i="6"/>
  <c r="U19" i="6"/>
  <c r="T19" i="6"/>
  <c r="S19" i="6"/>
  <c r="R19" i="6"/>
  <c r="Q19" i="6"/>
  <c r="P19" i="6"/>
  <c r="O19" i="6"/>
  <c r="N19" i="6"/>
  <c r="M19" i="6"/>
  <c r="L19" i="6"/>
  <c r="W18" i="6"/>
  <c r="V18" i="6"/>
  <c r="U18" i="6"/>
  <c r="T18" i="6"/>
  <c r="S18" i="6"/>
  <c r="R18" i="6"/>
  <c r="Q18" i="6"/>
  <c r="P18" i="6"/>
  <c r="O18" i="6"/>
  <c r="N18" i="6"/>
  <c r="M18" i="6"/>
  <c r="L18" i="6"/>
  <c r="W17" i="6"/>
  <c r="V17" i="6"/>
  <c r="U17" i="6"/>
  <c r="T17" i="6"/>
  <c r="S17" i="6"/>
  <c r="R17" i="6"/>
  <c r="Q17" i="6"/>
  <c r="P17" i="6"/>
  <c r="O17" i="6"/>
  <c r="N17" i="6"/>
  <c r="M17" i="6"/>
  <c r="L17" i="6"/>
  <c r="W16" i="6"/>
  <c r="V16" i="6"/>
  <c r="U16" i="6"/>
  <c r="T16" i="6"/>
  <c r="S16" i="6"/>
  <c r="R16" i="6"/>
  <c r="Q16" i="6"/>
  <c r="P16" i="6"/>
  <c r="O16" i="6"/>
  <c r="N16" i="6"/>
  <c r="M16" i="6"/>
  <c r="L16" i="6"/>
  <c r="W15" i="6"/>
  <c r="V15" i="6"/>
  <c r="U15" i="6"/>
  <c r="T15" i="6"/>
  <c r="S15" i="6"/>
  <c r="R15" i="6"/>
  <c r="Q15" i="6"/>
  <c r="P15" i="6"/>
  <c r="O15" i="6"/>
  <c r="N15" i="6"/>
  <c r="M15" i="6"/>
  <c r="L15" i="6"/>
  <c r="F15" i="6"/>
  <c r="W14" i="6"/>
  <c r="V14" i="6"/>
  <c r="U14" i="6"/>
  <c r="T14" i="6"/>
  <c r="S14" i="6"/>
  <c r="R14" i="6"/>
  <c r="Q14" i="6"/>
  <c r="P14" i="6"/>
  <c r="O14" i="6"/>
  <c r="N14" i="6"/>
  <c r="M14" i="6"/>
  <c r="L14" i="6"/>
  <c r="W13" i="6"/>
  <c r="V13" i="6"/>
  <c r="U13" i="6"/>
  <c r="T13" i="6"/>
  <c r="S13" i="6"/>
  <c r="R13" i="6"/>
  <c r="Q13" i="6"/>
  <c r="P13" i="6"/>
  <c r="O13" i="6"/>
  <c r="N13" i="6"/>
  <c r="M13" i="6"/>
  <c r="L13" i="6"/>
  <c r="W12" i="6"/>
  <c r="V12" i="6"/>
  <c r="U12" i="6"/>
  <c r="T12" i="6"/>
  <c r="S12" i="6"/>
  <c r="R12" i="6"/>
  <c r="Q12" i="6"/>
  <c r="P12" i="6"/>
  <c r="O12" i="6"/>
  <c r="N12" i="6"/>
  <c r="M12" i="6"/>
  <c r="L12" i="6"/>
  <c r="W11" i="6"/>
  <c r="V11" i="6"/>
  <c r="U11" i="6"/>
  <c r="T11" i="6"/>
  <c r="S11" i="6"/>
  <c r="R11" i="6"/>
  <c r="Q11" i="6"/>
  <c r="P11" i="6"/>
  <c r="O11" i="6"/>
  <c r="N11" i="6"/>
  <c r="M11" i="6"/>
  <c r="L11" i="6"/>
  <c r="W10" i="6"/>
  <c r="V10" i="6"/>
  <c r="U10" i="6"/>
  <c r="T10" i="6"/>
  <c r="S10" i="6"/>
  <c r="R10" i="6"/>
  <c r="Q10" i="6"/>
  <c r="P10" i="6"/>
  <c r="O10" i="6"/>
  <c r="N10" i="6"/>
  <c r="M10" i="6"/>
  <c r="L10" i="6"/>
  <c r="W9" i="6"/>
  <c r="V9" i="6"/>
  <c r="U9" i="6"/>
  <c r="T9" i="6"/>
  <c r="S9" i="6"/>
  <c r="R9" i="6"/>
  <c r="Q9" i="6"/>
  <c r="P9" i="6"/>
  <c r="O9" i="6"/>
  <c r="N9" i="6"/>
  <c r="M9" i="6"/>
  <c r="L9" i="6"/>
  <c r="W8" i="6"/>
  <c r="V8" i="6"/>
  <c r="U8" i="6"/>
  <c r="T8" i="6"/>
  <c r="S8" i="6"/>
  <c r="R8" i="6"/>
  <c r="Q8" i="6"/>
  <c r="P8" i="6"/>
  <c r="O8" i="6"/>
  <c r="N8" i="6"/>
  <c r="M8" i="6"/>
  <c r="L8" i="6"/>
  <c r="W7" i="6"/>
  <c r="V7" i="6"/>
  <c r="U7" i="6"/>
  <c r="T7" i="6"/>
  <c r="S7" i="6"/>
  <c r="R7" i="6"/>
  <c r="Q7" i="6"/>
  <c r="P7" i="6"/>
  <c r="O7" i="6"/>
  <c r="N7" i="6"/>
  <c r="M7" i="6"/>
  <c r="L7" i="6"/>
  <c r="W6" i="6"/>
  <c r="V6" i="6"/>
  <c r="U6" i="6"/>
  <c r="T6" i="6"/>
  <c r="S6" i="6"/>
  <c r="R6" i="6"/>
  <c r="Q6" i="6"/>
  <c r="P6" i="6"/>
  <c r="O6" i="6"/>
  <c r="N6" i="6"/>
  <c r="M6" i="6"/>
  <c r="L6" i="6"/>
  <c r="W5" i="6"/>
  <c r="V5" i="6"/>
  <c r="U5" i="6"/>
  <c r="T5" i="6"/>
  <c r="S5" i="6"/>
  <c r="R5" i="6"/>
  <c r="Q5" i="6"/>
  <c r="P5" i="6"/>
  <c r="O5" i="6"/>
  <c r="N5" i="6"/>
  <c r="M5" i="6"/>
  <c r="L5" i="6"/>
  <c r="W4" i="6"/>
  <c r="V4" i="6"/>
  <c r="U4" i="6"/>
  <c r="T4" i="6"/>
  <c r="S4" i="6"/>
  <c r="R4" i="6"/>
  <c r="Q4" i="6"/>
  <c r="P4" i="6"/>
  <c r="O4" i="6"/>
  <c r="N4" i="6"/>
  <c r="M4" i="6"/>
  <c r="L4" i="6"/>
  <c r="W3" i="6"/>
  <c r="V3" i="6"/>
  <c r="U3" i="6"/>
  <c r="T3" i="6"/>
  <c r="S3" i="6"/>
  <c r="R3" i="6"/>
  <c r="Q3" i="6"/>
  <c r="P3" i="6"/>
  <c r="O3" i="6"/>
  <c r="N3" i="6"/>
  <c r="M3" i="6"/>
  <c r="L3" i="6"/>
  <c r="E3" i="6"/>
  <c r="B3" i="6"/>
  <c r="W2" i="6"/>
  <c r="V2" i="6"/>
  <c r="U2" i="6"/>
  <c r="T2" i="6"/>
  <c r="S2" i="6"/>
  <c r="R2" i="6"/>
  <c r="Q2" i="6"/>
  <c r="P2" i="6"/>
  <c r="O2" i="6"/>
  <c r="N2" i="6"/>
  <c r="M2" i="6"/>
  <c r="L2" i="6"/>
  <c r="W865" i="2"/>
  <c r="V865" i="2"/>
  <c r="U865" i="2"/>
  <c r="T865" i="2"/>
  <c r="S865" i="2"/>
  <c r="R865" i="2"/>
  <c r="Q865" i="2"/>
  <c r="P865" i="2"/>
  <c r="O865" i="2"/>
  <c r="N865" i="2"/>
  <c r="M865" i="2"/>
  <c r="L865" i="2"/>
  <c r="AJ1005" i="3" s="1"/>
  <c r="AM1005" i="3" s="1"/>
  <c r="W864" i="2"/>
  <c r="V864" i="2"/>
  <c r="U864" i="2"/>
  <c r="T864" i="2"/>
  <c r="S864" i="2"/>
  <c r="R864" i="2"/>
  <c r="Q864" i="2"/>
  <c r="P864" i="2"/>
  <c r="O864" i="2"/>
  <c r="N864" i="2"/>
  <c r="AO1004" i="3" s="1"/>
  <c r="AR1004" i="3" s="1"/>
  <c r="M864" i="2"/>
  <c r="L864" i="2"/>
  <c r="W863" i="2"/>
  <c r="V863" i="2"/>
  <c r="U863" i="2"/>
  <c r="T863" i="2"/>
  <c r="S863" i="2"/>
  <c r="R863" i="2"/>
  <c r="Q863" i="2"/>
  <c r="P863" i="2"/>
  <c r="O863" i="2"/>
  <c r="N863" i="2"/>
  <c r="AO1003" i="3" s="1"/>
  <c r="AR1003" i="3" s="1"/>
  <c r="M863" i="2"/>
  <c r="L863" i="2"/>
  <c r="AJ1003" i="3" s="1"/>
  <c r="AM1003" i="3" s="1"/>
  <c r="W862" i="2"/>
  <c r="V862" i="2"/>
  <c r="U862" i="2"/>
  <c r="T862" i="2"/>
  <c r="S862" i="2"/>
  <c r="R862" i="2"/>
  <c r="Q862" i="2"/>
  <c r="P862" i="2"/>
  <c r="O862" i="2"/>
  <c r="N862" i="2"/>
  <c r="AO1002" i="3" s="1"/>
  <c r="AR1002" i="3" s="1"/>
  <c r="M862" i="2"/>
  <c r="L862" i="2"/>
  <c r="AJ1002" i="3" s="1"/>
  <c r="AM1002" i="3" s="1"/>
  <c r="W861" i="2"/>
  <c r="V861" i="2"/>
  <c r="U861" i="2"/>
  <c r="T861" i="2"/>
  <c r="S861" i="2"/>
  <c r="R861" i="2"/>
  <c r="Q861" i="2"/>
  <c r="P861" i="2"/>
  <c r="O861" i="2"/>
  <c r="N861" i="2"/>
  <c r="M861" i="2"/>
  <c r="L861" i="2"/>
  <c r="AJ1001" i="3" s="1"/>
  <c r="AM1001" i="3" s="1"/>
  <c r="W860" i="2"/>
  <c r="V860" i="2"/>
  <c r="U860" i="2"/>
  <c r="T860" i="2"/>
  <c r="S860" i="2"/>
  <c r="R860" i="2"/>
  <c r="Q860" i="2"/>
  <c r="P860" i="2"/>
  <c r="O860" i="2"/>
  <c r="N860" i="2"/>
  <c r="AO1000" i="3" s="1"/>
  <c r="AR1000" i="3" s="1"/>
  <c r="M860" i="2"/>
  <c r="L860" i="2"/>
  <c r="AJ1000" i="3" s="1"/>
  <c r="AM1000" i="3" s="1"/>
  <c r="W859" i="2"/>
  <c r="V859" i="2"/>
  <c r="U859" i="2"/>
  <c r="T859" i="2"/>
  <c r="S859" i="2"/>
  <c r="R859" i="2"/>
  <c r="Q859" i="2"/>
  <c r="P859" i="2"/>
  <c r="O859" i="2"/>
  <c r="N859" i="2"/>
  <c r="M859" i="2"/>
  <c r="L859" i="2"/>
  <c r="AJ999" i="3" s="1"/>
  <c r="AM999" i="3" s="1"/>
  <c r="W858" i="2"/>
  <c r="V858" i="2"/>
  <c r="U858" i="2"/>
  <c r="T858" i="2"/>
  <c r="S858" i="2"/>
  <c r="R858" i="2"/>
  <c r="Q858" i="2"/>
  <c r="P858" i="2"/>
  <c r="O858" i="2"/>
  <c r="N858" i="2"/>
  <c r="M858" i="2"/>
  <c r="L858" i="2"/>
  <c r="AJ998" i="3" s="1"/>
  <c r="AM998" i="3" s="1"/>
  <c r="W857" i="2"/>
  <c r="V857" i="2"/>
  <c r="U857" i="2"/>
  <c r="T857" i="2"/>
  <c r="S857" i="2"/>
  <c r="R857" i="2"/>
  <c r="Q857" i="2"/>
  <c r="P857" i="2"/>
  <c r="O857" i="2"/>
  <c r="N857" i="2"/>
  <c r="AO997" i="3" s="1"/>
  <c r="AR997" i="3" s="1"/>
  <c r="M857" i="2"/>
  <c r="L857" i="2"/>
  <c r="AJ997" i="3" s="1"/>
  <c r="AM997" i="3" s="1"/>
  <c r="W856" i="2"/>
  <c r="V856" i="2"/>
  <c r="U856" i="2"/>
  <c r="T856" i="2"/>
  <c r="S856" i="2"/>
  <c r="R856" i="2"/>
  <c r="Q856" i="2"/>
  <c r="P856" i="2"/>
  <c r="O856" i="2"/>
  <c r="N856" i="2"/>
  <c r="AO996" i="3" s="1"/>
  <c r="AR996" i="3" s="1"/>
  <c r="M856" i="2"/>
  <c r="L856" i="2"/>
  <c r="AJ996" i="3" s="1"/>
  <c r="AM996" i="3" s="1"/>
  <c r="W855" i="2"/>
  <c r="V855" i="2"/>
  <c r="U855" i="2"/>
  <c r="T855" i="2"/>
  <c r="S855" i="2"/>
  <c r="R855" i="2"/>
  <c r="Q855" i="2"/>
  <c r="P855" i="2"/>
  <c r="O855" i="2"/>
  <c r="N855" i="2"/>
  <c r="AO995" i="3" s="1"/>
  <c r="AR995" i="3" s="1"/>
  <c r="M855" i="2"/>
  <c r="L855" i="2"/>
  <c r="AJ995" i="3" s="1"/>
  <c r="AM995" i="3" s="1"/>
  <c r="W854" i="2"/>
  <c r="V854" i="2"/>
  <c r="U854" i="2"/>
  <c r="T854" i="2"/>
  <c r="S854" i="2"/>
  <c r="R854" i="2"/>
  <c r="Q854" i="2"/>
  <c r="P854" i="2"/>
  <c r="O854" i="2"/>
  <c r="N854" i="2"/>
  <c r="AO994" i="3" s="1"/>
  <c r="AR994" i="3" s="1"/>
  <c r="M854" i="2"/>
  <c r="L854" i="2"/>
  <c r="AJ994" i="3" s="1"/>
  <c r="AM994" i="3" s="1"/>
  <c r="W853" i="2"/>
  <c r="V853" i="2"/>
  <c r="U853" i="2"/>
  <c r="T853" i="2"/>
  <c r="S853" i="2"/>
  <c r="R853" i="2"/>
  <c r="Q853" i="2"/>
  <c r="P853" i="2"/>
  <c r="O853" i="2"/>
  <c r="N853" i="2"/>
  <c r="M853" i="2"/>
  <c r="L853" i="2"/>
  <c r="AJ993" i="3" s="1"/>
  <c r="AM993" i="3" s="1"/>
  <c r="W852" i="2"/>
  <c r="V852" i="2"/>
  <c r="U852" i="2"/>
  <c r="T852" i="2"/>
  <c r="S852" i="2"/>
  <c r="R852" i="2"/>
  <c r="Q852" i="2"/>
  <c r="P852" i="2"/>
  <c r="O852" i="2"/>
  <c r="N852" i="2"/>
  <c r="AO992" i="3" s="1"/>
  <c r="AR992" i="3" s="1"/>
  <c r="M852" i="2"/>
  <c r="L852" i="2"/>
  <c r="AJ992" i="3" s="1"/>
  <c r="AM992" i="3" s="1"/>
  <c r="W851" i="2"/>
  <c r="V851" i="2"/>
  <c r="U851" i="2"/>
  <c r="T851" i="2"/>
  <c r="S851" i="2"/>
  <c r="R851" i="2"/>
  <c r="Q851" i="2"/>
  <c r="P851" i="2"/>
  <c r="O851" i="2"/>
  <c r="N851" i="2"/>
  <c r="AO991" i="3" s="1"/>
  <c r="AR991" i="3" s="1"/>
  <c r="M851" i="2"/>
  <c r="L851" i="2"/>
  <c r="W850" i="2"/>
  <c r="V850" i="2"/>
  <c r="U850" i="2"/>
  <c r="T850" i="2"/>
  <c r="S850" i="2"/>
  <c r="R850" i="2"/>
  <c r="Q850" i="2"/>
  <c r="P850" i="2"/>
  <c r="O850" i="2"/>
  <c r="N850" i="2"/>
  <c r="AO990" i="3" s="1"/>
  <c r="AR990" i="3" s="1"/>
  <c r="M850" i="2"/>
  <c r="L850" i="2"/>
  <c r="AJ990" i="3" s="1"/>
  <c r="AM990" i="3" s="1"/>
  <c r="W849" i="2"/>
  <c r="V849" i="2"/>
  <c r="U849" i="2"/>
  <c r="T849" i="2"/>
  <c r="S849" i="2"/>
  <c r="R849" i="2"/>
  <c r="Q849" i="2"/>
  <c r="P849" i="2"/>
  <c r="O849" i="2"/>
  <c r="N849" i="2"/>
  <c r="AO989" i="3" s="1"/>
  <c r="AR989" i="3" s="1"/>
  <c r="M849" i="2"/>
  <c r="L849" i="2"/>
  <c r="AJ989" i="3" s="1"/>
  <c r="AM989" i="3" s="1"/>
  <c r="W848" i="2"/>
  <c r="V848" i="2"/>
  <c r="U848" i="2"/>
  <c r="T848" i="2"/>
  <c r="S848" i="2"/>
  <c r="R848" i="2"/>
  <c r="Q848" i="2"/>
  <c r="P848" i="2"/>
  <c r="O848" i="2"/>
  <c r="N848" i="2"/>
  <c r="AO988" i="3" s="1"/>
  <c r="AR988" i="3" s="1"/>
  <c r="M848" i="2"/>
  <c r="L848" i="2"/>
  <c r="AJ988" i="3" s="1"/>
  <c r="AM988" i="3" s="1"/>
  <c r="W847" i="2"/>
  <c r="V847" i="2"/>
  <c r="U847" i="2"/>
  <c r="T847" i="2"/>
  <c r="S847" i="2"/>
  <c r="R847" i="2"/>
  <c r="Q847" i="2"/>
  <c r="P847" i="2"/>
  <c r="O847" i="2"/>
  <c r="N847" i="2"/>
  <c r="AO987" i="3" s="1"/>
  <c r="AR987" i="3" s="1"/>
  <c r="M847" i="2"/>
  <c r="L847" i="2"/>
  <c r="AJ987" i="3" s="1"/>
  <c r="AM987" i="3" s="1"/>
  <c r="W846" i="2"/>
  <c r="V846" i="2"/>
  <c r="U846" i="2"/>
  <c r="T846" i="2"/>
  <c r="S846" i="2"/>
  <c r="R846" i="2"/>
  <c r="Q846" i="2"/>
  <c r="P846" i="2"/>
  <c r="O846" i="2"/>
  <c r="N846" i="2"/>
  <c r="AO986" i="3" s="1"/>
  <c r="AR986" i="3" s="1"/>
  <c r="M846" i="2"/>
  <c r="L846" i="2"/>
  <c r="AJ986" i="3" s="1"/>
  <c r="AM986" i="3" s="1"/>
  <c r="W845" i="2"/>
  <c r="V845" i="2"/>
  <c r="U845" i="2"/>
  <c r="T845" i="2"/>
  <c r="S845" i="2"/>
  <c r="R845" i="2"/>
  <c r="Q845" i="2"/>
  <c r="P845" i="2"/>
  <c r="O845" i="2"/>
  <c r="N845" i="2"/>
  <c r="M845" i="2"/>
  <c r="L845" i="2"/>
  <c r="AJ985" i="3" s="1"/>
  <c r="AM985" i="3" s="1"/>
  <c r="W844" i="2"/>
  <c r="V844" i="2"/>
  <c r="U844" i="2"/>
  <c r="T844" i="2"/>
  <c r="S844" i="2"/>
  <c r="R844" i="2"/>
  <c r="Q844" i="2"/>
  <c r="P844" i="2"/>
  <c r="O844" i="2"/>
  <c r="N844" i="2"/>
  <c r="AO984" i="3" s="1"/>
  <c r="AR984" i="3" s="1"/>
  <c r="M844" i="2"/>
  <c r="L844" i="2"/>
  <c r="AJ984" i="3" s="1"/>
  <c r="AM984" i="3" s="1"/>
  <c r="W843" i="2"/>
  <c r="V843" i="2"/>
  <c r="U843" i="2"/>
  <c r="T843" i="2"/>
  <c r="S843" i="2"/>
  <c r="R843" i="2"/>
  <c r="Q843" i="2"/>
  <c r="P843" i="2"/>
  <c r="O843" i="2"/>
  <c r="N843" i="2"/>
  <c r="AO983" i="3" s="1"/>
  <c r="AR983" i="3" s="1"/>
  <c r="M843" i="2"/>
  <c r="L843" i="2"/>
  <c r="AJ983" i="3" s="1"/>
  <c r="AM983" i="3" s="1"/>
  <c r="W842" i="2"/>
  <c r="V842" i="2"/>
  <c r="U842" i="2"/>
  <c r="T842" i="2"/>
  <c r="S842" i="2"/>
  <c r="R842" i="2"/>
  <c r="Q842" i="2"/>
  <c r="P842" i="2"/>
  <c r="O842" i="2"/>
  <c r="N842" i="2"/>
  <c r="AO982" i="3" s="1"/>
  <c r="AR982" i="3" s="1"/>
  <c r="M842" i="2"/>
  <c r="L842" i="2"/>
  <c r="AJ982" i="3" s="1"/>
  <c r="AM982" i="3" s="1"/>
  <c r="W841" i="2"/>
  <c r="V841" i="2"/>
  <c r="U841" i="2"/>
  <c r="T841" i="2"/>
  <c r="S841" i="2"/>
  <c r="R841" i="2"/>
  <c r="Q841" i="2"/>
  <c r="P841" i="2"/>
  <c r="O841" i="2"/>
  <c r="N841" i="2"/>
  <c r="AO981" i="3" s="1"/>
  <c r="AR981" i="3" s="1"/>
  <c r="M841" i="2"/>
  <c r="L841" i="2"/>
  <c r="AJ981" i="3" s="1"/>
  <c r="AM981" i="3" s="1"/>
  <c r="W840" i="2"/>
  <c r="V840" i="2"/>
  <c r="U840" i="2"/>
  <c r="T840" i="2"/>
  <c r="S840" i="2"/>
  <c r="R840" i="2"/>
  <c r="Q840" i="2"/>
  <c r="P840" i="2"/>
  <c r="O840" i="2"/>
  <c r="N840" i="2"/>
  <c r="AO980" i="3" s="1"/>
  <c r="AR980" i="3" s="1"/>
  <c r="M840" i="2"/>
  <c r="L840" i="2"/>
  <c r="AJ980" i="3" s="1"/>
  <c r="AM980" i="3" s="1"/>
  <c r="W839" i="2"/>
  <c r="V839" i="2"/>
  <c r="U839" i="2"/>
  <c r="T839" i="2"/>
  <c r="S839" i="2"/>
  <c r="R839" i="2"/>
  <c r="Q839" i="2"/>
  <c r="P839" i="2"/>
  <c r="O839" i="2"/>
  <c r="N839" i="2"/>
  <c r="AO979" i="3" s="1"/>
  <c r="AR979" i="3" s="1"/>
  <c r="M839" i="2"/>
  <c r="L839" i="2"/>
  <c r="AJ979" i="3" s="1"/>
  <c r="AM979" i="3" s="1"/>
  <c r="W838" i="2"/>
  <c r="V838" i="2"/>
  <c r="U838" i="2"/>
  <c r="T838" i="2"/>
  <c r="S838" i="2"/>
  <c r="R838" i="2"/>
  <c r="Q838" i="2"/>
  <c r="P838" i="2"/>
  <c r="O838" i="2"/>
  <c r="N838" i="2"/>
  <c r="AO978" i="3" s="1"/>
  <c r="AR978" i="3" s="1"/>
  <c r="M838" i="2"/>
  <c r="L838" i="2"/>
  <c r="AJ978" i="3" s="1"/>
  <c r="AM978" i="3" s="1"/>
  <c r="W837" i="2"/>
  <c r="V837" i="2"/>
  <c r="U837" i="2"/>
  <c r="T837" i="2"/>
  <c r="S837" i="2"/>
  <c r="R837" i="2"/>
  <c r="Q837" i="2"/>
  <c r="P837" i="2"/>
  <c r="O837" i="2"/>
  <c r="N837" i="2"/>
  <c r="AO977" i="3" s="1"/>
  <c r="AR977" i="3" s="1"/>
  <c r="M837" i="2"/>
  <c r="L837" i="2"/>
  <c r="AJ977" i="3" s="1"/>
  <c r="AM977" i="3" s="1"/>
  <c r="W836" i="2"/>
  <c r="V836" i="2"/>
  <c r="U836" i="2"/>
  <c r="T836" i="2"/>
  <c r="S836" i="2"/>
  <c r="R836" i="2"/>
  <c r="Q836" i="2"/>
  <c r="P836" i="2"/>
  <c r="O836" i="2"/>
  <c r="N836" i="2"/>
  <c r="AO976" i="3" s="1"/>
  <c r="AR976" i="3" s="1"/>
  <c r="M836" i="2"/>
  <c r="L836" i="2"/>
  <c r="AJ976" i="3" s="1"/>
  <c r="AM976" i="3" s="1"/>
  <c r="W835" i="2"/>
  <c r="V835" i="2"/>
  <c r="U835" i="2"/>
  <c r="T835" i="2"/>
  <c r="S835" i="2"/>
  <c r="R835" i="2"/>
  <c r="Q835" i="2"/>
  <c r="P835" i="2"/>
  <c r="O835" i="2"/>
  <c r="N835" i="2"/>
  <c r="AO975" i="3" s="1"/>
  <c r="AR975" i="3" s="1"/>
  <c r="M835" i="2"/>
  <c r="L835" i="2"/>
  <c r="AJ975" i="3" s="1"/>
  <c r="AM975" i="3" s="1"/>
  <c r="W834" i="2"/>
  <c r="V834" i="2"/>
  <c r="U834" i="2"/>
  <c r="T834" i="2"/>
  <c r="S834" i="2"/>
  <c r="R834" i="2"/>
  <c r="Q834" i="2"/>
  <c r="P834" i="2"/>
  <c r="O834" i="2"/>
  <c r="N834" i="2"/>
  <c r="AO974" i="3" s="1"/>
  <c r="AR974" i="3" s="1"/>
  <c r="M834" i="2"/>
  <c r="L834" i="2"/>
  <c r="AJ974" i="3" s="1"/>
  <c r="AM974" i="3" s="1"/>
  <c r="W833" i="2"/>
  <c r="V833" i="2"/>
  <c r="U833" i="2"/>
  <c r="T833" i="2"/>
  <c r="S833" i="2"/>
  <c r="R833" i="2"/>
  <c r="Q833" i="2"/>
  <c r="P833" i="2"/>
  <c r="O833" i="2"/>
  <c r="N833" i="2"/>
  <c r="AO973" i="3" s="1"/>
  <c r="AR973" i="3" s="1"/>
  <c r="M833" i="2"/>
  <c r="L833" i="2"/>
  <c r="AJ973" i="3" s="1"/>
  <c r="AM973" i="3" s="1"/>
  <c r="W832" i="2"/>
  <c r="V832" i="2"/>
  <c r="U832" i="2"/>
  <c r="T832" i="2"/>
  <c r="S832" i="2"/>
  <c r="R832" i="2"/>
  <c r="Q832" i="2"/>
  <c r="P832" i="2"/>
  <c r="O832" i="2"/>
  <c r="N832" i="2"/>
  <c r="AO972" i="3" s="1"/>
  <c r="AR972" i="3" s="1"/>
  <c r="M832" i="2"/>
  <c r="L832" i="2"/>
  <c r="AJ972" i="3" s="1"/>
  <c r="AM972" i="3" s="1"/>
  <c r="W831" i="2"/>
  <c r="V831" i="2"/>
  <c r="U831" i="2"/>
  <c r="T831" i="2"/>
  <c r="S831" i="2"/>
  <c r="R831" i="2"/>
  <c r="Q831" i="2"/>
  <c r="P831" i="2"/>
  <c r="O831" i="2"/>
  <c r="N831" i="2"/>
  <c r="AO971" i="3" s="1"/>
  <c r="AR971" i="3" s="1"/>
  <c r="M831" i="2"/>
  <c r="L831" i="2"/>
  <c r="AJ971" i="3" s="1"/>
  <c r="AM971" i="3" s="1"/>
  <c r="W830" i="2"/>
  <c r="V830" i="2"/>
  <c r="U830" i="2"/>
  <c r="T830" i="2"/>
  <c r="S830" i="2"/>
  <c r="R830" i="2"/>
  <c r="Q830" i="2"/>
  <c r="P830" i="2"/>
  <c r="O830" i="2"/>
  <c r="N830" i="2"/>
  <c r="M830" i="2"/>
  <c r="L830" i="2"/>
  <c r="AJ970" i="3" s="1"/>
  <c r="AM970" i="3" s="1"/>
  <c r="W829" i="2"/>
  <c r="V829" i="2"/>
  <c r="U829" i="2"/>
  <c r="T829" i="2"/>
  <c r="S829" i="2"/>
  <c r="R829" i="2"/>
  <c r="Q829" i="2"/>
  <c r="P829" i="2"/>
  <c r="O829" i="2"/>
  <c r="N829" i="2"/>
  <c r="AO969" i="3" s="1"/>
  <c r="AR969" i="3" s="1"/>
  <c r="M829" i="2"/>
  <c r="L829" i="2"/>
  <c r="AJ969" i="3" s="1"/>
  <c r="AM969" i="3" s="1"/>
  <c r="W828" i="2"/>
  <c r="V828" i="2"/>
  <c r="U828" i="2"/>
  <c r="T828" i="2"/>
  <c r="S828" i="2"/>
  <c r="R828" i="2"/>
  <c r="Q828" i="2"/>
  <c r="P828" i="2"/>
  <c r="O828" i="2"/>
  <c r="N828" i="2"/>
  <c r="AO968" i="3" s="1"/>
  <c r="AR968" i="3" s="1"/>
  <c r="M828" i="2"/>
  <c r="L828" i="2"/>
  <c r="AJ968" i="3" s="1"/>
  <c r="AM968" i="3" s="1"/>
  <c r="W827" i="2"/>
  <c r="V827" i="2"/>
  <c r="U827" i="2"/>
  <c r="T827" i="2"/>
  <c r="S827" i="2"/>
  <c r="R827" i="2"/>
  <c r="Q827" i="2"/>
  <c r="P827" i="2"/>
  <c r="O827" i="2"/>
  <c r="N827" i="2"/>
  <c r="M827" i="2"/>
  <c r="L827" i="2"/>
  <c r="AJ967" i="3" s="1"/>
  <c r="AM967" i="3" s="1"/>
  <c r="W826" i="2"/>
  <c r="V826" i="2"/>
  <c r="U826" i="2"/>
  <c r="T826" i="2"/>
  <c r="S826" i="2"/>
  <c r="R826" i="2"/>
  <c r="Q826" i="2"/>
  <c r="P826" i="2"/>
  <c r="O826" i="2"/>
  <c r="N826" i="2"/>
  <c r="M826" i="2"/>
  <c r="L826" i="2"/>
  <c r="AJ966" i="3" s="1"/>
  <c r="AM966" i="3" s="1"/>
  <c r="W825" i="2"/>
  <c r="V825" i="2"/>
  <c r="U825" i="2"/>
  <c r="T825" i="2"/>
  <c r="S825" i="2"/>
  <c r="R825" i="2"/>
  <c r="Q825" i="2"/>
  <c r="P825" i="2"/>
  <c r="O825" i="2"/>
  <c r="N825" i="2"/>
  <c r="AO965" i="3" s="1"/>
  <c r="AR965" i="3" s="1"/>
  <c r="M825" i="2"/>
  <c r="L825" i="2"/>
  <c r="AJ965" i="3" s="1"/>
  <c r="AM965" i="3" s="1"/>
  <c r="W824" i="2"/>
  <c r="V824" i="2"/>
  <c r="U824" i="2"/>
  <c r="T824" i="2"/>
  <c r="S824" i="2"/>
  <c r="R824" i="2"/>
  <c r="Q824" i="2"/>
  <c r="P824" i="2"/>
  <c r="O824" i="2"/>
  <c r="N824" i="2"/>
  <c r="AO964" i="3" s="1"/>
  <c r="AR964" i="3" s="1"/>
  <c r="M824" i="2"/>
  <c r="L824" i="2"/>
  <c r="AJ964" i="3" s="1"/>
  <c r="AM964" i="3" s="1"/>
  <c r="W823" i="2"/>
  <c r="V823" i="2"/>
  <c r="U823" i="2"/>
  <c r="T823" i="2"/>
  <c r="S823" i="2"/>
  <c r="R823" i="2"/>
  <c r="Q823" i="2"/>
  <c r="P823" i="2"/>
  <c r="O823" i="2"/>
  <c r="N823" i="2"/>
  <c r="AO963" i="3" s="1"/>
  <c r="AR963" i="3" s="1"/>
  <c r="M823" i="2"/>
  <c r="L823" i="2"/>
  <c r="AJ963" i="3" s="1"/>
  <c r="AM963" i="3" s="1"/>
  <c r="W822" i="2"/>
  <c r="V822" i="2"/>
  <c r="U822" i="2"/>
  <c r="T822" i="2"/>
  <c r="S822" i="2"/>
  <c r="R822" i="2"/>
  <c r="Q822" i="2"/>
  <c r="P822" i="2"/>
  <c r="O822" i="2"/>
  <c r="N822" i="2"/>
  <c r="AO962" i="3" s="1"/>
  <c r="AR962" i="3" s="1"/>
  <c r="M822" i="2"/>
  <c r="L822" i="2"/>
  <c r="AJ962" i="3" s="1"/>
  <c r="AM962" i="3" s="1"/>
  <c r="W821" i="2"/>
  <c r="V821" i="2"/>
  <c r="U821" i="2"/>
  <c r="T821" i="2"/>
  <c r="S821" i="2"/>
  <c r="R821" i="2"/>
  <c r="Q821" i="2"/>
  <c r="P821" i="2"/>
  <c r="O821" i="2"/>
  <c r="N821" i="2"/>
  <c r="AO961" i="3" s="1"/>
  <c r="AR961" i="3" s="1"/>
  <c r="M821" i="2"/>
  <c r="L821" i="2"/>
  <c r="AJ961" i="3" s="1"/>
  <c r="AM961" i="3" s="1"/>
  <c r="W820" i="2"/>
  <c r="V820" i="2"/>
  <c r="U820" i="2"/>
  <c r="T820" i="2"/>
  <c r="S820" i="2"/>
  <c r="R820" i="2"/>
  <c r="Q820" i="2"/>
  <c r="P820" i="2"/>
  <c r="O820" i="2"/>
  <c r="N820" i="2"/>
  <c r="M820" i="2"/>
  <c r="L820" i="2"/>
  <c r="AJ960" i="3" s="1"/>
  <c r="AM960" i="3" s="1"/>
  <c r="W819" i="2"/>
  <c r="V819" i="2"/>
  <c r="U819" i="2"/>
  <c r="T819" i="2"/>
  <c r="S819" i="2"/>
  <c r="R819" i="2"/>
  <c r="Q819" i="2"/>
  <c r="P819" i="2"/>
  <c r="O819" i="2"/>
  <c r="N819" i="2"/>
  <c r="M819" i="2"/>
  <c r="L819" i="2"/>
  <c r="AJ959" i="3" s="1"/>
  <c r="AM959" i="3" s="1"/>
  <c r="W818" i="2"/>
  <c r="V818" i="2"/>
  <c r="U818" i="2"/>
  <c r="T818" i="2"/>
  <c r="S818" i="2"/>
  <c r="R818" i="2"/>
  <c r="Q818" i="2"/>
  <c r="P818" i="2"/>
  <c r="O818" i="2"/>
  <c r="N818" i="2"/>
  <c r="AO958" i="3" s="1"/>
  <c r="AR958" i="3" s="1"/>
  <c r="M818" i="2"/>
  <c r="L818" i="2"/>
  <c r="AJ958" i="3" s="1"/>
  <c r="AM958" i="3" s="1"/>
  <c r="W817" i="2"/>
  <c r="V817" i="2"/>
  <c r="U817" i="2"/>
  <c r="T817" i="2"/>
  <c r="S817" i="2"/>
  <c r="R817" i="2"/>
  <c r="Q817" i="2"/>
  <c r="P817" i="2"/>
  <c r="O817" i="2"/>
  <c r="N817" i="2"/>
  <c r="AO957" i="3" s="1"/>
  <c r="AR957" i="3" s="1"/>
  <c r="M817" i="2"/>
  <c r="L817" i="2"/>
  <c r="AJ957" i="3" s="1"/>
  <c r="AM957" i="3" s="1"/>
  <c r="W816" i="2"/>
  <c r="V816" i="2"/>
  <c r="U816" i="2"/>
  <c r="T816" i="2"/>
  <c r="S816" i="2"/>
  <c r="R816" i="2"/>
  <c r="Q816" i="2"/>
  <c r="P816" i="2"/>
  <c r="O816" i="2"/>
  <c r="N816" i="2"/>
  <c r="AO956" i="3" s="1"/>
  <c r="AR956" i="3" s="1"/>
  <c r="M816" i="2"/>
  <c r="L816" i="2"/>
  <c r="AJ956" i="3" s="1"/>
  <c r="AM956" i="3" s="1"/>
  <c r="W815" i="2"/>
  <c r="V815" i="2"/>
  <c r="U815" i="2"/>
  <c r="T815" i="2"/>
  <c r="S815" i="2"/>
  <c r="R815" i="2"/>
  <c r="Q815" i="2"/>
  <c r="P815" i="2"/>
  <c r="O815" i="2"/>
  <c r="N815" i="2"/>
  <c r="AO955" i="3" s="1"/>
  <c r="AR955" i="3" s="1"/>
  <c r="M815" i="2"/>
  <c r="L815" i="2"/>
  <c r="AJ955" i="3" s="1"/>
  <c r="AM955" i="3" s="1"/>
  <c r="W814" i="2"/>
  <c r="V814" i="2"/>
  <c r="U814" i="2"/>
  <c r="T814" i="2"/>
  <c r="S814" i="2"/>
  <c r="R814" i="2"/>
  <c r="Q814" i="2"/>
  <c r="P814" i="2"/>
  <c r="O814" i="2"/>
  <c r="N814" i="2"/>
  <c r="M814" i="2"/>
  <c r="L814" i="2"/>
  <c r="W813" i="2"/>
  <c r="V813" i="2"/>
  <c r="U813" i="2"/>
  <c r="T813" i="2"/>
  <c r="S813" i="2"/>
  <c r="R813" i="2"/>
  <c r="Q813" i="2"/>
  <c r="P813" i="2"/>
  <c r="O813" i="2"/>
  <c r="N813" i="2"/>
  <c r="AO953" i="3" s="1"/>
  <c r="AR953" i="3" s="1"/>
  <c r="M813" i="2"/>
  <c r="L813" i="2"/>
  <c r="AJ953" i="3" s="1"/>
  <c r="AM953" i="3" s="1"/>
  <c r="W812" i="2"/>
  <c r="V812" i="2"/>
  <c r="U812" i="2"/>
  <c r="T812" i="2"/>
  <c r="S812" i="2"/>
  <c r="R812" i="2"/>
  <c r="Q812" i="2"/>
  <c r="P812" i="2"/>
  <c r="O812" i="2"/>
  <c r="N812" i="2"/>
  <c r="AO952" i="3" s="1"/>
  <c r="AR952" i="3" s="1"/>
  <c r="M812" i="2"/>
  <c r="L812" i="2"/>
  <c r="AJ952" i="3" s="1"/>
  <c r="AM952" i="3" s="1"/>
  <c r="W811" i="2"/>
  <c r="V811" i="2"/>
  <c r="U811" i="2"/>
  <c r="T811" i="2"/>
  <c r="S811" i="2"/>
  <c r="R811" i="2"/>
  <c r="Q811" i="2"/>
  <c r="P811" i="2"/>
  <c r="O811" i="2"/>
  <c r="N811" i="2"/>
  <c r="AO951" i="3" s="1"/>
  <c r="AR951" i="3" s="1"/>
  <c r="M811" i="2"/>
  <c r="L811" i="2"/>
  <c r="AJ951" i="3" s="1"/>
  <c r="AM951" i="3" s="1"/>
  <c r="W810" i="2"/>
  <c r="V810" i="2"/>
  <c r="U810" i="2"/>
  <c r="T810" i="2"/>
  <c r="S810" i="2"/>
  <c r="R810" i="2"/>
  <c r="Q810" i="2"/>
  <c r="P810" i="2"/>
  <c r="O810" i="2"/>
  <c r="N810" i="2"/>
  <c r="M810" i="2"/>
  <c r="L810" i="2"/>
  <c r="AJ950" i="3" s="1"/>
  <c r="AM950" i="3" s="1"/>
  <c r="W809" i="2"/>
  <c r="V809" i="2"/>
  <c r="U809" i="2"/>
  <c r="T809" i="2"/>
  <c r="S809" i="2"/>
  <c r="R809" i="2"/>
  <c r="Q809" i="2"/>
  <c r="P809" i="2"/>
  <c r="O809" i="2"/>
  <c r="N809" i="2"/>
  <c r="AO949" i="3" s="1"/>
  <c r="AR949" i="3" s="1"/>
  <c r="M809" i="2"/>
  <c r="L809" i="2"/>
  <c r="AJ949" i="3" s="1"/>
  <c r="AM949" i="3" s="1"/>
  <c r="W808" i="2"/>
  <c r="V808" i="2"/>
  <c r="U808" i="2"/>
  <c r="T808" i="2"/>
  <c r="S808" i="2"/>
  <c r="R808" i="2"/>
  <c r="Q808" i="2"/>
  <c r="P808" i="2"/>
  <c r="O808" i="2"/>
  <c r="N808" i="2"/>
  <c r="AO948" i="3" s="1"/>
  <c r="AR948" i="3" s="1"/>
  <c r="M808" i="2"/>
  <c r="L808" i="2"/>
  <c r="AJ948" i="3" s="1"/>
  <c r="AM948" i="3" s="1"/>
  <c r="W807" i="2"/>
  <c r="V807" i="2"/>
  <c r="U807" i="2"/>
  <c r="T807" i="2"/>
  <c r="S807" i="2"/>
  <c r="R807" i="2"/>
  <c r="Q807" i="2"/>
  <c r="P807" i="2"/>
  <c r="O807" i="2"/>
  <c r="N807" i="2"/>
  <c r="AO947" i="3" s="1"/>
  <c r="AR947" i="3" s="1"/>
  <c r="M807" i="2"/>
  <c r="L807" i="2"/>
  <c r="AJ947" i="3" s="1"/>
  <c r="AM947" i="3" s="1"/>
  <c r="W806" i="2"/>
  <c r="V806" i="2"/>
  <c r="U806" i="2"/>
  <c r="T806" i="2"/>
  <c r="S806" i="2"/>
  <c r="R806" i="2"/>
  <c r="Q806" i="2"/>
  <c r="P806" i="2"/>
  <c r="O806" i="2"/>
  <c r="N806" i="2"/>
  <c r="AO946" i="3" s="1"/>
  <c r="AR946" i="3" s="1"/>
  <c r="M806" i="2"/>
  <c r="L806" i="2"/>
  <c r="AJ946" i="3" s="1"/>
  <c r="AM946" i="3" s="1"/>
  <c r="W805" i="2"/>
  <c r="V805" i="2"/>
  <c r="U805" i="2"/>
  <c r="T805" i="2"/>
  <c r="S805" i="2"/>
  <c r="R805" i="2"/>
  <c r="Q805" i="2"/>
  <c r="P805" i="2"/>
  <c r="O805" i="2"/>
  <c r="N805" i="2"/>
  <c r="AO945" i="3" s="1"/>
  <c r="AR945" i="3" s="1"/>
  <c r="M805" i="2"/>
  <c r="L805" i="2"/>
  <c r="W804" i="2"/>
  <c r="V804" i="2"/>
  <c r="U804" i="2"/>
  <c r="T804" i="2"/>
  <c r="S804" i="2"/>
  <c r="R804" i="2"/>
  <c r="Q804" i="2"/>
  <c r="P804" i="2"/>
  <c r="O804" i="2"/>
  <c r="N804" i="2"/>
  <c r="M804" i="2"/>
  <c r="L804" i="2"/>
  <c r="AJ944" i="3" s="1"/>
  <c r="AM944" i="3" s="1"/>
  <c r="W803" i="2"/>
  <c r="V803" i="2"/>
  <c r="U803" i="2"/>
  <c r="T803" i="2"/>
  <c r="S803" i="2"/>
  <c r="R803" i="2"/>
  <c r="Q803" i="2"/>
  <c r="P803" i="2"/>
  <c r="O803" i="2"/>
  <c r="N803" i="2"/>
  <c r="AO943" i="3" s="1"/>
  <c r="AR943" i="3" s="1"/>
  <c r="M803" i="2"/>
  <c r="L803" i="2"/>
  <c r="AJ943" i="3" s="1"/>
  <c r="AM943" i="3" s="1"/>
  <c r="W802" i="2"/>
  <c r="V802" i="2"/>
  <c r="U802" i="2"/>
  <c r="T802" i="2"/>
  <c r="S802" i="2"/>
  <c r="R802" i="2"/>
  <c r="Q802" i="2"/>
  <c r="P802" i="2"/>
  <c r="O802" i="2"/>
  <c r="N802" i="2"/>
  <c r="AO942" i="3" s="1"/>
  <c r="AR942" i="3" s="1"/>
  <c r="M802" i="2"/>
  <c r="L802" i="2"/>
  <c r="AJ942" i="3" s="1"/>
  <c r="AM942" i="3" s="1"/>
  <c r="W801" i="2"/>
  <c r="V801" i="2"/>
  <c r="U801" i="2"/>
  <c r="T801" i="2"/>
  <c r="S801" i="2"/>
  <c r="R801" i="2"/>
  <c r="Q801" i="2"/>
  <c r="P801" i="2"/>
  <c r="O801" i="2"/>
  <c r="N801" i="2"/>
  <c r="AO941" i="3" s="1"/>
  <c r="AR941" i="3" s="1"/>
  <c r="M801" i="2"/>
  <c r="L801" i="2"/>
  <c r="AJ941" i="3" s="1"/>
  <c r="AM941" i="3" s="1"/>
  <c r="W800" i="2"/>
  <c r="V800" i="2"/>
  <c r="U800" i="2"/>
  <c r="T800" i="2"/>
  <c r="S800" i="2"/>
  <c r="R800" i="2"/>
  <c r="Q800" i="2"/>
  <c r="P800" i="2"/>
  <c r="O800" i="2"/>
  <c r="N800" i="2"/>
  <c r="M800" i="2"/>
  <c r="L800" i="2"/>
  <c r="AJ940" i="3" s="1"/>
  <c r="AM940" i="3" s="1"/>
  <c r="W799" i="2"/>
  <c r="V799" i="2"/>
  <c r="U799" i="2"/>
  <c r="T799" i="2"/>
  <c r="S799" i="2"/>
  <c r="R799" i="2"/>
  <c r="Q799" i="2"/>
  <c r="P799" i="2"/>
  <c r="O799" i="2"/>
  <c r="N799" i="2"/>
  <c r="AO939" i="3" s="1"/>
  <c r="AR939" i="3" s="1"/>
  <c r="M799" i="2"/>
  <c r="L799" i="2"/>
  <c r="AJ939" i="3" s="1"/>
  <c r="AM939" i="3" s="1"/>
  <c r="W798" i="2"/>
  <c r="V798" i="2"/>
  <c r="U798" i="2"/>
  <c r="T798" i="2"/>
  <c r="S798" i="2"/>
  <c r="R798" i="2"/>
  <c r="Q798" i="2"/>
  <c r="P798" i="2"/>
  <c r="O798" i="2"/>
  <c r="N798" i="2"/>
  <c r="AO938" i="3" s="1"/>
  <c r="AR938" i="3" s="1"/>
  <c r="M798" i="2"/>
  <c r="L798" i="2"/>
  <c r="AJ938" i="3" s="1"/>
  <c r="AM938" i="3" s="1"/>
  <c r="W797" i="2"/>
  <c r="V797" i="2"/>
  <c r="U797" i="2"/>
  <c r="T797" i="2"/>
  <c r="S797" i="2"/>
  <c r="R797" i="2"/>
  <c r="Q797" i="2"/>
  <c r="P797" i="2"/>
  <c r="O797" i="2"/>
  <c r="N797" i="2"/>
  <c r="AO937" i="3" s="1"/>
  <c r="AR937" i="3" s="1"/>
  <c r="M797" i="2"/>
  <c r="L797" i="2"/>
  <c r="AJ937" i="3" s="1"/>
  <c r="AM937" i="3" s="1"/>
  <c r="W796" i="2"/>
  <c r="V796" i="2"/>
  <c r="U796" i="2"/>
  <c r="T796" i="2"/>
  <c r="S796" i="2"/>
  <c r="R796" i="2"/>
  <c r="Q796" i="2"/>
  <c r="P796" i="2"/>
  <c r="O796" i="2"/>
  <c r="N796" i="2"/>
  <c r="AO936" i="3" s="1"/>
  <c r="AR936" i="3" s="1"/>
  <c r="M796" i="2"/>
  <c r="L796" i="2"/>
  <c r="AJ936" i="3" s="1"/>
  <c r="AM936" i="3" s="1"/>
  <c r="W795" i="2"/>
  <c r="V795" i="2"/>
  <c r="U795" i="2"/>
  <c r="T795" i="2"/>
  <c r="S795" i="2"/>
  <c r="R795" i="2"/>
  <c r="Q795" i="2"/>
  <c r="P795" i="2"/>
  <c r="O795" i="2"/>
  <c r="N795" i="2"/>
  <c r="AO935" i="3" s="1"/>
  <c r="AR935" i="3" s="1"/>
  <c r="M795" i="2"/>
  <c r="L795" i="2"/>
  <c r="W794" i="2"/>
  <c r="V794" i="2"/>
  <c r="U794" i="2"/>
  <c r="T794" i="2"/>
  <c r="S794" i="2"/>
  <c r="R794" i="2"/>
  <c r="Q794" i="2"/>
  <c r="P794" i="2"/>
  <c r="O794" i="2"/>
  <c r="N794" i="2"/>
  <c r="M794" i="2"/>
  <c r="L794" i="2"/>
  <c r="AJ934" i="3" s="1"/>
  <c r="AM934" i="3" s="1"/>
  <c r="W793" i="2"/>
  <c r="V793" i="2"/>
  <c r="U793" i="2"/>
  <c r="T793" i="2"/>
  <c r="S793" i="2"/>
  <c r="R793" i="2"/>
  <c r="Q793" i="2"/>
  <c r="P793" i="2"/>
  <c r="O793" i="2"/>
  <c r="N793" i="2"/>
  <c r="AO933" i="3" s="1"/>
  <c r="AR933" i="3" s="1"/>
  <c r="M793" i="2"/>
  <c r="L793" i="2"/>
  <c r="AJ933" i="3" s="1"/>
  <c r="AM933" i="3" s="1"/>
  <c r="W792" i="2"/>
  <c r="V792" i="2"/>
  <c r="U792" i="2"/>
  <c r="T792" i="2"/>
  <c r="S792" i="2"/>
  <c r="R792" i="2"/>
  <c r="Q792" i="2"/>
  <c r="P792" i="2"/>
  <c r="O792" i="2"/>
  <c r="N792" i="2"/>
  <c r="AO932" i="3" s="1"/>
  <c r="AR932" i="3" s="1"/>
  <c r="M792" i="2"/>
  <c r="L792" i="2"/>
  <c r="AJ932" i="3" s="1"/>
  <c r="AM932" i="3" s="1"/>
  <c r="W791" i="2"/>
  <c r="V791" i="2"/>
  <c r="U791" i="2"/>
  <c r="T791" i="2"/>
  <c r="S791" i="2"/>
  <c r="R791" i="2"/>
  <c r="Q791" i="2"/>
  <c r="P791" i="2"/>
  <c r="O791" i="2"/>
  <c r="N791" i="2"/>
  <c r="AO931" i="3" s="1"/>
  <c r="AR931" i="3" s="1"/>
  <c r="M791" i="2"/>
  <c r="L791" i="2"/>
  <c r="AJ931" i="3" s="1"/>
  <c r="AM931" i="3" s="1"/>
  <c r="W790" i="2"/>
  <c r="V790" i="2"/>
  <c r="U790" i="2"/>
  <c r="T790" i="2"/>
  <c r="S790" i="2"/>
  <c r="R790" i="2"/>
  <c r="Q790" i="2"/>
  <c r="P790" i="2"/>
  <c r="O790" i="2"/>
  <c r="N790" i="2"/>
  <c r="AO930" i="3" s="1"/>
  <c r="AR930" i="3" s="1"/>
  <c r="M790" i="2"/>
  <c r="L790" i="2"/>
  <c r="AJ930" i="3" s="1"/>
  <c r="AM930" i="3" s="1"/>
  <c r="W789" i="2"/>
  <c r="V789" i="2"/>
  <c r="U789" i="2"/>
  <c r="T789" i="2"/>
  <c r="S789" i="2"/>
  <c r="R789" i="2"/>
  <c r="Q789" i="2"/>
  <c r="P789" i="2"/>
  <c r="O789" i="2"/>
  <c r="N789" i="2"/>
  <c r="AO929" i="3" s="1"/>
  <c r="AR929" i="3" s="1"/>
  <c r="M789" i="2"/>
  <c r="L789" i="2"/>
  <c r="AJ929" i="3" s="1"/>
  <c r="AM929" i="3" s="1"/>
  <c r="W788" i="2"/>
  <c r="V788" i="2"/>
  <c r="U788" i="2"/>
  <c r="T788" i="2"/>
  <c r="S788" i="2"/>
  <c r="R788" i="2"/>
  <c r="Q788" i="2"/>
  <c r="P788" i="2"/>
  <c r="O788" i="2"/>
  <c r="N788" i="2"/>
  <c r="AO928" i="3" s="1"/>
  <c r="AR928" i="3" s="1"/>
  <c r="M788" i="2"/>
  <c r="L788" i="2"/>
  <c r="AJ928" i="3" s="1"/>
  <c r="AM928" i="3" s="1"/>
  <c r="W787" i="2"/>
  <c r="V787" i="2"/>
  <c r="U787" i="2"/>
  <c r="T787" i="2"/>
  <c r="S787" i="2"/>
  <c r="R787" i="2"/>
  <c r="Q787" i="2"/>
  <c r="P787" i="2"/>
  <c r="O787" i="2"/>
  <c r="N787" i="2"/>
  <c r="AO927" i="3" s="1"/>
  <c r="AR927" i="3" s="1"/>
  <c r="M787" i="2"/>
  <c r="L787" i="2"/>
  <c r="AJ927" i="3" s="1"/>
  <c r="AM927" i="3" s="1"/>
  <c r="W786" i="2"/>
  <c r="V786" i="2"/>
  <c r="U786" i="2"/>
  <c r="T786" i="2"/>
  <c r="S786" i="2"/>
  <c r="R786" i="2"/>
  <c r="Q786" i="2"/>
  <c r="P786" i="2"/>
  <c r="O786" i="2"/>
  <c r="N786" i="2"/>
  <c r="M786" i="2"/>
  <c r="L786" i="2"/>
  <c r="AJ926" i="3" s="1"/>
  <c r="AM926" i="3" s="1"/>
  <c r="W785" i="2"/>
  <c r="V785" i="2"/>
  <c r="U785" i="2"/>
  <c r="T785" i="2"/>
  <c r="S785" i="2"/>
  <c r="R785" i="2"/>
  <c r="Q785" i="2"/>
  <c r="P785" i="2"/>
  <c r="O785" i="2"/>
  <c r="N785" i="2"/>
  <c r="M785" i="2"/>
  <c r="L785" i="2"/>
  <c r="AJ925" i="3" s="1"/>
  <c r="AM925" i="3" s="1"/>
  <c r="W784" i="2"/>
  <c r="V784" i="2"/>
  <c r="U784" i="2"/>
  <c r="T784" i="2"/>
  <c r="S784" i="2"/>
  <c r="R784" i="2"/>
  <c r="Q784" i="2"/>
  <c r="P784" i="2"/>
  <c r="O784" i="2"/>
  <c r="N784" i="2"/>
  <c r="AO924" i="3" s="1"/>
  <c r="AR924" i="3" s="1"/>
  <c r="M784" i="2"/>
  <c r="L784" i="2"/>
  <c r="AJ924" i="3" s="1"/>
  <c r="AM924" i="3" s="1"/>
  <c r="W783" i="2"/>
  <c r="V783" i="2"/>
  <c r="U783" i="2"/>
  <c r="T783" i="2"/>
  <c r="S783" i="2"/>
  <c r="R783" i="2"/>
  <c r="Q783" i="2"/>
  <c r="P783" i="2"/>
  <c r="O783" i="2"/>
  <c r="N783" i="2"/>
  <c r="AO923" i="3" s="1"/>
  <c r="AR923" i="3" s="1"/>
  <c r="M783" i="2"/>
  <c r="L783" i="2"/>
  <c r="AJ923" i="3" s="1"/>
  <c r="AM923" i="3" s="1"/>
  <c r="W782" i="2"/>
  <c r="V782" i="2"/>
  <c r="U782" i="2"/>
  <c r="T782" i="2"/>
  <c r="S782" i="2"/>
  <c r="R782" i="2"/>
  <c r="Q782" i="2"/>
  <c r="P782" i="2"/>
  <c r="O782" i="2"/>
  <c r="N782" i="2"/>
  <c r="AO922" i="3" s="1"/>
  <c r="AR922" i="3" s="1"/>
  <c r="M782" i="2"/>
  <c r="L782" i="2"/>
  <c r="AJ922" i="3" s="1"/>
  <c r="AM922" i="3" s="1"/>
  <c r="W781" i="2"/>
  <c r="V781" i="2"/>
  <c r="U781" i="2"/>
  <c r="T781" i="2"/>
  <c r="S781" i="2"/>
  <c r="R781" i="2"/>
  <c r="Q781" i="2"/>
  <c r="P781" i="2"/>
  <c r="O781" i="2"/>
  <c r="N781" i="2"/>
  <c r="AO921" i="3" s="1"/>
  <c r="AR921" i="3" s="1"/>
  <c r="M781" i="2"/>
  <c r="L781" i="2"/>
  <c r="AJ921" i="3" s="1"/>
  <c r="AM921" i="3" s="1"/>
  <c r="W780" i="2"/>
  <c r="V780" i="2"/>
  <c r="U780" i="2"/>
  <c r="T780" i="2"/>
  <c r="S780" i="2"/>
  <c r="R780" i="2"/>
  <c r="Q780" i="2"/>
  <c r="P780" i="2"/>
  <c r="O780" i="2"/>
  <c r="N780" i="2"/>
  <c r="AO920" i="3" s="1"/>
  <c r="AR920" i="3" s="1"/>
  <c r="M780" i="2"/>
  <c r="L780" i="2"/>
  <c r="AJ920" i="3" s="1"/>
  <c r="AM920" i="3" s="1"/>
  <c r="W779" i="2"/>
  <c r="V779" i="2"/>
  <c r="U779" i="2"/>
  <c r="T779" i="2"/>
  <c r="S779" i="2"/>
  <c r="R779" i="2"/>
  <c r="Q779" i="2"/>
  <c r="P779" i="2"/>
  <c r="O779" i="2"/>
  <c r="N779" i="2"/>
  <c r="AO919" i="3" s="1"/>
  <c r="AR919" i="3" s="1"/>
  <c r="M779" i="2"/>
  <c r="L779" i="2"/>
  <c r="AJ919" i="3" s="1"/>
  <c r="AM919" i="3" s="1"/>
  <c r="W778" i="2"/>
  <c r="V778" i="2"/>
  <c r="U778" i="2"/>
  <c r="T778" i="2"/>
  <c r="S778" i="2"/>
  <c r="R778" i="2"/>
  <c r="Q778" i="2"/>
  <c r="P778" i="2"/>
  <c r="O778" i="2"/>
  <c r="N778" i="2"/>
  <c r="AO918" i="3" s="1"/>
  <c r="AR918" i="3" s="1"/>
  <c r="M778" i="2"/>
  <c r="L778" i="2"/>
  <c r="AJ918" i="3" s="1"/>
  <c r="AM918" i="3" s="1"/>
  <c r="W777" i="2"/>
  <c r="V777" i="2"/>
  <c r="U777" i="2"/>
  <c r="T777" i="2"/>
  <c r="S777" i="2"/>
  <c r="R777" i="2"/>
  <c r="Q777" i="2"/>
  <c r="P777" i="2"/>
  <c r="O777" i="2"/>
  <c r="N777" i="2"/>
  <c r="M777" i="2"/>
  <c r="L777" i="2"/>
  <c r="AJ917" i="3" s="1"/>
  <c r="AM917" i="3" s="1"/>
  <c r="W776" i="2"/>
  <c r="V776" i="2"/>
  <c r="U776" i="2"/>
  <c r="T776" i="2"/>
  <c r="S776" i="2"/>
  <c r="R776" i="2"/>
  <c r="Q776" i="2"/>
  <c r="P776" i="2"/>
  <c r="O776" i="2"/>
  <c r="N776" i="2"/>
  <c r="AO916" i="3" s="1"/>
  <c r="AR916" i="3" s="1"/>
  <c r="M776" i="2"/>
  <c r="L776" i="2"/>
  <c r="AJ916" i="3" s="1"/>
  <c r="AM916" i="3" s="1"/>
  <c r="W775" i="2"/>
  <c r="V775" i="2"/>
  <c r="U775" i="2"/>
  <c r="T775" i="2"/>
  <c r="S775" i="2"/>
  <c r="R775" i="2"/>
  <c r="Q775" i="2"/>
  <c r="P775" i="2"/>
  <c r="O775" i="2"/>
  <c r="N775" i="2"/>
  <c r="AO915" i="3" s="1"/>
  <c r="AR915" i="3" s="1"/>
  <c r="M775" i="2"/>
  <c r="L775" i="2"/>
  <c r="AJ915" i="3" s="1"/>
  <c r="AM915" i="3" s="1"/>
  <c r="W774" i="2"/>
  <c r="V774" i="2"/>
  <c r="U774" i="2"/>
  <c r="T774" i="2"/>
  <c r="S774" i="2"/>
  <c r="R774" i="2"/>
  <c r="Q774" i="2"/>
  <c r="P774" i="2"/>
  <c r="O774" i="2"/>
  <c r="N774" i="2"/>
  <c r="M774" i="2"/>
  <c r="L774" i="2"/>
  <c r="AJ914" i="3" s="1"/>
  <c r="AM914" i="3" s="1"/>
  <c r="W773" i="2"/>
  <c r="V773" i="2"/>
  <c r="U773" i="2"/>
  <c r="T773" i="2"/>
  <c r="S773" i="2"/>
  <c r="R773" i="2"/>
  <c r="Q773" i="2"/>
  <c r="P773" i="2"/>
  <c r="O773" i="2"/>
  <c r="N773" i="2"/>
  <c r="AO913" i="3" s="1"/>
  <c r="AR913" i="3" s="1"/>
  <c r="M773" i="2"/>
  <c r="L773" i="2"/>
  <c r="AJ913" i="3" s="1"/>
  <c r="AM913" i="3" s="1"/>
  <c r="W772" i="2"/>
  <c r="V772" i="2"/>
  <c r="U772" i="2"/>
  <c r="T772" i="2"/>
  <c r="S772" i="2"/>
  <c r="R772" i="2"/>
  <c r="Q772" i="2"/>
  <c r="P772" i="2"/>
  <c r="O772" i="2"/>
  <c r="N772" i="2"/>
  <c r="AO912" i="3" s="1"/>
  <c r="AR912" i="3" s="1"/>
  <c r="M772" i="2"/>
  <c r="L772" i="2"/>
  <c r="AJ912" i="3" s="1"/>
  <c r="AM912" i="3" s="1"/>
  <c r="W771" i="2"/>
  <c r="V771" i="2"/>
  <c r="U771" i="2"/>
  <c r="T771" i="2"/>
  <c r="S771" i="2"/>
  <c r="R771" i="2"/>
  <c r="Q771" i="2"/>
  <c r="P771" i="2"/>
  <c r="O771" i="2"/>
  <c r="N771" i="2"/>
  <c r="AO911" i="3" s="1"/>
  <c r="AR911" i="3" s="1"/>
  <c r="M771" i="2"/>
  <c r="L771" i="2"/>
  <c r="AJ911" i="3" s="1"/>
  <c r="AM911" i="3" s="1"/>
  <c r="W770" i="2"/>
  <c r="V770" i="2"/>
  <c r="U770" i="2"/>
  <c r="T770" i="2"/>
  <c r="S770" i="2"/>
  <c r="R770" i="2"/>
  <c r="Q770" i="2"/>
  <c r="P770" i="2"/>
  <c r="O770" i="2"/>
  <c r="N770" i="2"/>
  <c r="AO910" i="3" s="1"/>
  <c r="AR910" i="3" s="1"/>
  <c r="M770" i="2"/>
  <c r="L770" i="2"/>
  <c r="AJ910" i="3" s="1"/>
  <c r="AM910" i="3" s="1"/>
  <c r="W769" i="2"/>
  <c r="V769" i="2"/>
  <c r="U769" i="2"/>
  <c r="T769" i="2"/>
  <c r="S769" i="2"/>
  <c r="R769" i="2"/>
  <c r="Q769" i="2"/>
  <c r="P769" i="2"/>
  <c r="O769" i="2"/>
  <c r="N769" i="2"/>
  <c r="AO909" i="3" s="1"/>
  <c r="AR909" i="3" s="1"/>
  <c r="M769" i="2"/>
  <c r="L769" i="2"/>
  <c r="AJ909" i="3" s="1"/>
  <c r="AM909" i="3" s="1"/>
  <c r="W768" i="2"/>
  <c r="V768" i="2"/>
  <c r="U768" i="2"/>
  <c r="T768" i="2"/>
  <c r="S768" i="2"/>
  <c r="R768" i="2"/>
  <c r="Q768" i="2"/>
  <c r="P768" i="2"/>
  <c r="O768" i="2"/>
  <c r="N768" i="2"/>
  <c r="AO908" i="3" s="1"/>
  <c r="AR908" i="3" s="1"/>
  <c r="M768" i="2"/>
  <c r="L768" i="2"/>
  <c r="AJ908" i="3" s="1"/>
  <c r="AM908" i="3" s="1"/>
  <c r="W767" i="2"/>
  <c r="V767" i="2"/>
  <c r="U767" i="2"/>
  <c r="T767" i="2"/>
  <c r="S767" i="2"/>
  <c r="R767" i="2"/>
  <c r="Q767" i="2"/>
  <c r="P767" i="2"/>
  <c r="O767" i="2"/>
  <c r="N767" i="2"/>
  <c r="AO907" i="3" s="1"/>
  <c r="AR907" i="3" s="1"/>
  <c r="M767" i="2"/>
  <c r="L767" i="2"/>
  <c r="AJ907" i="3" s="1"/>
  <c r="AM907" i="3" s="1"/>
  <c r="W766" i="2"/>
  <c r="V766" i="2"/>
  <c r="U766" i="2"/>
  <c r="T766" i="2"/>
  <c r="S766" i="2"/>
  <c r="R766" i="2"/>
  <c r="Q766" i="2"/>
  <c r="P766" i="2"/>
  <c r="O766" i="2"/>
  <c r="N766" i="2"/>
  <c r="AO906" i="3" s="1"/>
  <c r="AR906" i="3" s="1"/>
  <c r="M766" i="2"/>
  <c r="L766" i="2"/>
  <c r="AJ906" i="3" s="1"/>
  <c r="AM906" i="3" s="1"/>
  <c r="W765" i="2"/>
  <c r="V765" i="2"/>
  <c r="U765" i="2"/>
  <c r="T765" i="2"/>
  <c r="S765" i="2"/>
  <c r="R765" i="2"/>
  <c r="Q765" i="2"/>
  <c r="P765" i="2"/>
  <c r="O765" i="2"/>
  <c r="N765" i="2"/>
  <c r="AO905" i="3" s="1"/>
  <c r="AR905" i="3" s="1"/>
  <c r="M765" i="2"/>
  <c r="L765" i="2"/>
  <c r="AJ905" i="3" s="1"/>
  <c r="AM905" i="3" s="1"/>
  <c r="W764" i="2"/>
  <c r="V764" i="2"/>
  <c r="U764" i="2"/>
  <c r="T764" i="2"/>
  <c r="S764" i="2"/>
  <c r="R764" i="2"/>
  <c r="Q764" i="2"/>
  <c r="P764" i="2"/>
  <c r="O764" i="2"/>
  <c r="N764" i="2"/>
  <c r="AO904" i="3" s="1"/>
  <c r="AR904" i="3" s="1"/>
  <c r="M764" i="2"/>
  <c r="L764" i="2"/>
  <c r="AJ904" i="3" s="1"/>
  <c r="AM904" i="3" s="1"/>
  <c r="W763" i="2"/>
  <c r="V763" i="2"/>
  <c r="U763" i="2"/>
  <c r="T763" i="2"/>
  <c r="S763" i="2"/>
  <c r="R763" i="2"/>
  <c r="Q763" i="2"/>
  <c r="P763" i="2"/>
  <c r="O763" i="2"/>
  <c r="N763" i="2"/>
  <c r="AO903" i="3" s="1"/>
  <c r="AR903" i="3" s="1"/>
  <c r="M763" i="2"/>
  <c r="L763" i="2"/>
  <c r="AJ903" i="3" s="1"/>
  <c r="AM903" i="3" s="1"/>
  <c r="W762" i="2"/>
  <c r="V762" i="2"/>
  <c r="U762" i="2"/>
  <c r="T762" i="2"/>
  <c r="S762" i="2"/>
  <c r="R762" i="2"/>
  <c r="Q762" i="2"/>
  <c r="P762" i="2"/>
  <c r="O762" i="2"/>
  <c r="N762" i="2"/>
  <c r="AO902" i="3" s="1"/>
  <c r="AR902" i="3" s="1"/>
  <c r="M762" i="2"/>
  <c r="L762" i="2"/>
  <c r="AJ902" i="3" s="1"/>
  <c r="AM902" i="3" s="1"/>
  <c r="W761" i="2"/>
  <c r="V761" i="2"/>
  <c r="U761" i="2"/>
  <c r="T761" i="2"/>
  <c r="S761" i="2"/>
  <c r="R761" i="2"/>
  <c r="Q761" i="2"/>
  <c r="P761" i="2"/>
  <c r="O761" i="2"/>
  <c r="N761" i="2"/>
  <c r="M761" i="2"/>
  <c r="L761" i="2"/>
  <c r="AJ901" i="3" s="1"/>
  <c r="AM901" i="3" s="1"/>
  <c r="W760" i="2"/>
  <c r="V760" i="2"/>
  <c r="U760" i="2"/>
  <c r="T760" i="2"/>
  <c r="S760" i="2"/>
  <c r="R760" i="2"/>
  <c r="Q760" i="2"/>
  <c r="P760" i="2"/>
  <c r="O760" i="2"/>
  <c r="N760" i="2"/>
  <c r="AO900" i="3" s="1"/>
  <c r="AR900" i="3" s="1"/>
  <c r="M760" i="2"/>
  <c r="L760" i="2"/>
  <c r="AJ900" i="3" s="1"/>
  <c r="AM900" i="3" s="1"/>
  <c r="W759" i="2"/>
  <c r="V759" i="2"/>
  <c r="U759" i="2"/>
  <c r="T759" i="2"/>
  <c r="S759" i="2"/>
  <c r="R759" i="2"/>
  <c r="Q759" i="2"/>
  <c r="P759" i="2"/>
  <c r="O759" i="2"/>
  <c r="N759" i="2"/>
  <c r="AO899" i="3" s="1"/>
  <c r="AR899" i="3" s="1"/>
  <c r="M759" i="2"/>
  <c r="L759" i="2"/>
  <c r="AJ899" i="3" s="1"/>
  <c r="AM899" i="3" s="1"/>
  <c r="W758" i="2"/>
  <c r="V758" i="2"/>
  <c r="U758" i="2"/>
  <c r="T758" i="2"/>
  <c r="S758" i="2"/>
  <c r="R758" i="2"/>
  <c r="Q758" i="2"/>
  <c r="P758" i="2"/>
  <c r="O758" i="2"/>
  <c r="N758" i="2"/>
  <c r="M758" i="2"/>
  <c r="L758" i="2"/>
  <c r="AJ898" i="3" s="1"/>
  <c r="AM898" i="3" s="1"/>
  <c r="W757" i="2"/>
  <c r="V757" i="2"/>
  <c r="U757" i="2"/>
  <c r="T757" i="2"/>
  <c r="S757" i="2"/>
  <c r="R757" i="2"/>
  <c r="Q757" i="2"/>
  <c r="P757" i="2"/>
  <c r="O757" i="2"/>
  <c r="N757" i="2"/>
  <c r="AO897" i="3" s="1"/>
  <c r="AR897" i="3" s="1"/>
  <c r="M757" i="2"/>
  <c r="L757" i="2"/>
  <c r="AJ897" i="3" s="1"/>
  <c r="AM897" i="3" s="1"/>
  <c r="W756" i="2"/>
  <c r="V756" i="2"/>
  <c r="U756" i="2"/>
  <c r="T756" i="2"/>
  <c r="S756" i="2"/>
  <c r="R756" i="2"/>
  <c r="Q756" i="2"/>
  <c r="P756" i="2"/>
  <c r="O756" i="2"/>
  <c r="N756" i="2"/>
  <c r="AO896" i="3" s="1"/>
  <c r="AR896" i="3" s="1"/>
  <c r="M756" i="2"/>
  <c r="L756" i="2"/>
  <c r="AJ896" i="3" s="1"/>
  <c r="AM896" i="3" s="1"/>
  <c r="W755" i="2"/>
  <c r="V755" i="2"/>
  <c r="U755" i="2"/>
  <c r="T755" i="2"/>
  <c r="S755" i="2"/>
  <c r="R755" i="2"/>
  <c r="Q755" i="2"/>
  <c r="P755" i="2"/>
  <c r="O755" i="2"/>
  <c r="N755" i="2"/>
  <c r="M755" i="2"/>
  <c r="L755" i="2"/>
  <c r="AJ895" i="3" s="1"/>
  <c r="AM895" i="3" s="1"/>
  <c r="W754" i="2"/>
  <c r="V754" i="2"/>
  <c r="U754" i="2"/>
  <c r="T754" i="2"/>
  <c r="S754" i="2"/>
  <c r="R754" i="2"/>
  <c r="Q754" i="2"/>
  <c r="P754" i="2"/>
  <c r="O754" i="2"/>
  <c r="N754" i="2"/>
  <c r="AO894" i="3" s="1"/>
  <c r="AR894" i="3" s="1"/>
  <c r="M754" i="2"/>
  <c r="L754" i="2"/>
  <c r="AJ894" i="3" s="1"/>
  <c r="AM894" i="3" s="1"/>
  <c r="W753" i="2"/>
  <c r="V753" i="2"/>
  <c r="U753" i="2"/>
  <c r="T753" i="2"/>
  <c r="S753" i="2"/>
  <c r="R753" i="2"/>
  <c r="Q753" i="2"/>
  <c r="P753" i="2"/>
  <c r="O753" i="2"/>
  <c r="N753" i="2"/>
  <c r="AO893" i="3" s="1"/>
  <c r="AR893" i="3" s="1"/>
  <c r="M753" i="2"/>
  <c r="L753" i="2"/>
  <c r="AJ893" i="3" s="1"/>
  <c r="AM893" i="3" s="1"/>
  <c r="W752" i="2"/>
  <c r="V752" i="2"/>
  <c r="U752" i="2"/>
  <c r="T752" i="2"/>
  <c r="S752" i="2"/>
  <c r="R752" i="2"/>
  <c r="Q752" i="2"/>
  <c r="P752" i="2"/>
  <c r="O752" i="2"/>
  <c r="N752" i="2"/>
  <c r="AO892" i="3" s="1"/>
  <c r="AR892" i="3" s="1"/>
  <c r="M752" i="2"/>
  <c r="L752" i="2"/>
  <c r="AJ892" i="3" s="1"/>
  <c r="AM892" i="3" s="1"/>
  <c r="W751" i="2"/>
  <c r="V751" i="2"/>
  <c r="U751" i="2"/>
  <c r="T751" i="2"/>
  <c r="S751" i="2"/>
  <c r="R751" i="2"/>
  <c r="Q751" i="2"/>
  <c r="P751" i="2"/>
  <c r="O751" i="2"/>
  <c r="N751" i="2"/>
  <c r="AO891" i="3" s="1"/>
  <c r="AR891" i="3" s="1"/>
  <c r="M751" i="2"/>
  <c r="L751" i="2"/>
  <c r="AJ891" i="3" s="1"/>
  <c r="AM891" i="3" s="1"/>
  <c r="W750" i="2"/>
  <c r="V750" i="2"/>
  <c r="U750" i="2"/>
  <c r="T750" i="2"/>
  <c r="S750" i="2"/>
  <c r="R750" i="2"/>
  <c r="Q750" i="2"/>
  <c r="P750" i="2"/>
  <c r="O750" i="2"/>
  <c r="N750" i="2"/>
  <c r="AO890" i="3" s="1"/>
  <c r="AR890" i="3" s="1"/>
  <c r="M750" i="2"/>
  <c r="L750" i="2"/>
  <c r="AJ890" i="3" s="1"/>
  <c r="AM890" i="3" s="1"/>
  <c r="W749" i="2"/>
  <c r="V749" i="2"/>
  <c r="U749" i="2"/>
  <c r="T749" i="2"/>
  <c r="S749" i="2"/>
  <c r="R749" i="2"/>
  <c r="Q749" i="2"/>
  <c r="P749" i="2"/>
  <c r="O749" i="2"/>
  <c r="N749" i="2"/>
  <c r="M749" i="2"/>
  <c r="L749" i="2"/>
  <c r="AJ889" i="3" s="1"/>
  <c r="AM889" i="3" s="1"/>
  <c r="W748" i="2"/>
  <c r="V748" i="2"/>
  <c r="U748" i="2"/>
  <c r="T748" i="2"/>
  <c r="S748" i="2"/>
  <c r="R748" i="2"/>
  <c r="Q748" i="2"/>
  <c r="P748" i="2"/>
  <c r="O748" i="2"/>
  <c r="N748" i="2"/>
  <c r="AO888" i="3" s="1"/>
  <c r="AR888" i="3" s="1"/>
  <c r="M748" i="2"/>
  <c r="L748" i="2"/>
  <c r="AJ888" i="3" s="1"/>
  <c r="AM888" i="3" s="1"/>
  <c r="W747" i="2"/>
  <c r="V747" i="2"/>
  <c r="U747" i="2"/>
  <c r="T747" i="2"/>
  <c r="S747" i="2"/>
  <c r="R747" i="2"/>
  <c r="Q747" i="2"/>
  <c r="P747" i="2"/>
  <c r="O747" i="2"/>
  <c r="N747" i="2"/>
  <c r="AO887" i="3" s="1"/>
  <c r="AR887" i="3" s="1"/>
  <c r="M747" i="2"/>
  <c r="L747" i="2"/>
  <c r="AJ887" i="3" s="1"/>
  <c r="AM887" i="3" s="1"/>
  <c r="W746" i="2"/>
  <c r="V746" i="2"/>
  <c r="U746" i="2"/>
  <c r="T746" i="2"/>
  <c r="S746" i="2"/>
  <c r="R746" i="2"/>
  <c r="Q746" i="2"/>
  <c r="P746" i="2"/>
  <c r="O746" i="2"/>
  <c r="N746" i="2"/>
  <c r="AO886" i="3" s="1"/>
  <c r="AR886" i="3" s="1"/>
  <c r="M746" i="2"/>
  <c r="L746" i="2"/>
  <c r="AJ886" i="3" s="1"/>
  <c r="AM886" i="3" s="1"/>
  <c r="W745" i="2"/>
  <c r="V745" i="2"/>
  <c r="U745" i="2"/>
  <c r="T745" i="2"/>
  <c r="S745" i="2"/>
  <c r="R745" i="2"/>
  <c r="Q745" i="2"/>
  <c r="P745" i="2"/>
  <c r="O745" i="2"/>
  <c r="N745" i="2"/>
  <c r="AO885" i="3" s="1"/>
  <c r="AR885" i="3" s="1"/>
  <c r="M745" i="2"/>
  <c r="L745" i="2"/>
  <c r="AJ885" i="3" s="1"/>
  <c r="AM885" i="3" s="1"/>
  <c r="W744" i="2"/>
  <c r="V744" i="2"/>
  <c r="U744" i="2"/>
  <c r="T744" i="2"/>
  <c r="S744" i="2"/>
  <c r="R744" i="2"/>
  <c r="Q744" i="2"/>
  <c r="P744" i="2"/>
  <c r="O744" i="2"/>
  <c r="N744" i="2"/>
  <c r="AO884" i="3" s="1"/>
  <c r="AR884" i="3" s="1"/>
  <c r="M744" i="2"/>
  <c r="L744" i="2"/>
  <c r="AJ884" i="3" s="1"/>
  <c r="AM884" i="3" s="1"/>
  <c r="W743" i="2"/>
  <c r="V743" i="2"/>
  <c r="U743" i="2"/>
  <c r="T743" i="2"/>
  <c r="S743" i="2"/>
  <c r="R743" i="2"/>
  <c r="Q743" i="2"/>
  <c r="P743" i="2"/>
  <c r="O743" i="2"/>
  <c r="N743" i="2"/>
  <c r="AO883" i="3" s="1"/>
  <c r="AR883" i="3" s="1"/>
  <c r="M743" i="2"/>
  <c r="L743" i="2"/>
  <c r="AJ883" i="3" s="1"/>
  <c r="AM883" i="3" s="1"/>
  <c r="W742" i="2"/>
  <c r="V742" i="2"/>
  <c r="U742" i="2"/>
  <c r="T742" i="2"/>
  <c r="S742" i="2"/>
  <c r="R742" i="2"/>
  <c r="Q742" i="2"/>
  <c r="P742" i="2"/>
  <c r="O742" i="2"/>
  <c r="N742" i="2"/>
  <c r="AO882" i="3" s="1"/>
  <c r="AR882" i="3" s="1"/>
  <c r="M742" i="2"/>
  <c r="L742" i="2"/>
  <c r="AJ882" i="3" s="1"/>
  <c r="AM882" i="3" s="1"/>
  <c r="W741" i="2"/>
  <c r="V741" i="2"/>
  <c r="U741" i="2"/>
  <c r="T741" i="2"/>
  <c r="S741" i="2"/>
  <c r="R741" i="2"/>
  <c r="Q741" i="2"/>
  <c r="P741" i="2"/>
  <c r="O741" i="2"/>
  <c r="N741" i="2"/>
  <c r="M741" i="2"/>
  <c r="L741" i="2"/>
  <c r="AJ881" i="3" s="1"/>
  <c r="AM881" i="3" s="1"/>
  <c r="W740" i="2"/>
  <c r="V740" i="2"/>
  <c r="U740" i="2"/>
  <c r="T740" i="2"/>
  <c r="S740" i="2"/>
  <c r="R740" i="2"/>
  <c r="Q740" i="2"/>
  <c r="P740" i="2"/>
  <c r="O740" i="2"/>
  <c r="N740" i="2"/>
  <c r="AO880" i="3" s="1"/>
  <c r="AR880" i="3" s="1"/>
  <c r="M740" i="2"/>
  <c r="L740" i="2"/>
  <c r="AJ880" i="3" s="1"/>
  <c r="AM880" i="3" s="1"/>
  <c r="W739" i="2"/>
  <c r="V739" i="2"/>
  <c r="U739" i="2"/>
  <c r="T739" i="2"/>
  <c r="S739" i="2"/>
  <c r="R739" i="2"/>
  <c r="Q739" i="2"/>
  <c r="P739" i="2"/>
  <c r="O739" i="2"/>
  <c r="N739" i="2"/>
  <c r="AO879" i="3" s="1"/>
  <c r="AR879" i="3" s="1"/>
  <c r="M739" i="2"/>
  <c r="L739" i="2"/>
  <c r="AJ879" i="3" s="1"/>
  <c r="AM879" i="3" s="1"/>
  <c r="W738" i="2"/>
  <c r="V738" i="2"/>
  <c r="U738" i="2"/>
  <c r="T738" i="2"/>
  <c r="S738" i="2"/>
  <c r="R738" i="2"/>
  <c r="Q738" i="2"/>
  <c r="P738" i="2"/>
  <c r="O738" i="2"/>
  <c r="N738" i="2"/>
  <c r="AO878" i="3" s="1"/>
  <c r="AR878" i="3" s="1"/>
  <c r="M738" i="2"/>
  <c r="L738" i="2"/>
  <c r="AJ878" i="3" s="1"/>
  <c r="AM878" i="3" s="1"/>
  <c r="W737" i="2"/>
  <c r="V737" i="2"/>
  <c r="U737" i="2"/>
  <c r="T737" i="2"/>
  <c r="S737" i="2"/>
  <c r="R737" i="2"/>
  <c r="Q737" i="2"/>
  <c r="P737" i="2"/>
  <c r="O737" i="2"/>
  <c r="N737" i="2"/>
  <c r="AO877" i="3" s="1"/>
  <c r="AR877" i="3" s="1"/>
  <c r="M737" i="2"/>
  <c r="L737" i="2"/>
  <c r="AJ877" i="3" s="1"/>
  <c r="AM877" i="3" s="1"/>
  <c r="W736" i="2"/>
  <c r="V736" i="2"/>
  <c r="U736" i="2"/>
  <c r="T736" i="2"/>
  <c r="S736" i="2"/>
  <c r="R736" i="2"/>
  <c r="Q736" i="2"/>
  <c r="P736" i="2"/>
  <c r="O736" i="2"/>
  <c r="N736" i="2"/>
  <c r="AO876" i="3" s="1"/>
  <c r="AR876" i="3" s="1"/>
  <c r="M736" i="2"/>
  <c r="L736" i="2"/>
  <c r="AJ876" i="3" s="1"/>
  <c r="AM876" i="3" s="1"/>
  <c r="W735" i="2"/>
  <c r="V735" i="2"/>
  <c r="U735" i="2"/>
  <c r="T735" i="2"/>
  <c r="S735" i="2"/>
  <c r="R735" i="2"/>
  <c r="Q735" i="2"/>
  <c r="P735" i="2"/>
  <c r="O735" i="2"/>
  <c r="N735" i="2"/>
  <c r="AO875" i="3" s="1"/>
  <c r="AR875" i="3" s="1"/>
  <c r="M735" i="2"/>
  <c r="L735" i="2"/>
  <c r="AJ875" i="3" s="1"/>
  <c r="AM875" i="3" s="1"/>
  <c r="W734" i="2"/>
  <c r="V734" i="2"/>
  <c r="U734" i="2"/>
  <c r="T734" i="2"/>
  <c r="S734" i="2"/>
  <c r="R734" i="2"/>
  <c r="Q734" i="2"/>
  <c r="P734" i="2"/>
  <c r="O734" i="2"/>
  <c r="N734" i="2"/>
  <c r="M734" i="2"/>
  <c r="L734" i="2"/>
  <c r="AJ874" i="3" s="1"/>
  <c r="AM874" i="3" s="1"/>
  <c r="W733" i="2"/>
  <c r="V733" i="2"/>
  <c r="U733" i="2"/>
  <c r="T733" i="2"/>
  <c r="S733" i="2"/>
  <c r="R733" i="2"/>
  <c r="Q733" i="2"/>
  <c r="P733" i="2"/>
  <c r="O733" i="2"/>
  <c r="N733" i="2"/>
  <c r="AO873" i="3" s="1"/>
  <c r="AR873" i="3" s="1"/>
  <c r="M733" i="2"/>
  <c r="L733" i="2"/>
  <c r="AJ873" i="3" s="1"/>
  <c r="AM873" i="3" s="1"/>
  <c r="W732" i="2"/>
  <c r="V732" i="2"/>
  <c r="U732" i="2"/>
  <c r="T732" i="2"/>
  <c r="S732" i="2"/>
  <c r="R732" i="2"/>
  <c r="Q732" i="2"/>
  <c r="P732" i="2"/>
  <c r="O732" i="2"/>
  <c r="N732" i="2"/>
  <c r="AO872" i="3" s="1"/>
  <c r="AR872" i="3" s="1"/>
  <c r="M732" i="2"/>
  <c r="L732" i="2"/>
  <c r="AJ872" i="3" s="1"/>
  <c r="AM872" i="3" s="1"/>
  <c r="W731" i="2"/>
  <c r="V731" i="2"/>
  <c r="U731" i="2"/>
  <c r="T731" i="2"/>
  <c r="S731" i="2"/>
  <c r="R731" i="2"/>
  <c r="Q731" i="2"/>
  <c r="P731" i="2"/>
  <c r="O731" i="2"/>
  <c r="N731" i="2"/>
  <c r="AO871" i="3" s="1"/>
  <c r="AR871" i="3" s="1"/>
  <c r="M731" i="2"/>
  <c r="L731" i="2"/>
  <c r="AJ871" i="3" s="1"/>
  <c r="AM871" i="3" s="1"/>
  <c r="W730" i="2"/>
  <c r="V730" i="2"/>
  <c r="U730" i="2"/>
  <c r="T730" i="2"/>
  <c r="S730" i="2"/>
  <c r="R730" i="2"/>
  <c r="Q730" i="2"/>
  <c r="P730" i="2"/>
  <c r="O730" i="2"/>
  <c r="N730" i="2"/>
  <c r="AO870" i="3" s="1"/>
  <c r="AR870" i="3" s="1"/>
  <c r="M730" i="2"/>
  <c r="L730" i="2"/>
  <c r="AJ870" i="3" s="1"/>
  <c r="AM870" i="3" s="1"/>
  <c r="W729" i="2"/>
  <c r="V729" i="2"/>
  <c r="U729" i="2"/>
  <c r="T729" i="2"/>
  <c r="S729" i="2"/>
  <c r="R729" i="2"/>
  <c r="Q729" i="2"/>
  <c r="P729" i="2"/>
  <c r="O729" i="2"/>
  <c r="N729" i="2"/>
  <c r="AO869" i="3" s="1"/>
  <c r="AR869" i="3" s="1"/>
  <c r="M729" i="2"/>
  <c r="L729" i="2"/>
  <c r="AJ869" i="3" s="1"/>
  <c r="AM869" i="3" s="1"/>
  <c r="W728" i="2"/>
  <c r="V728" i="2"/>
  <c r="U728" i="2"/>
  <c r="T728" i="2"/>
  <c r="S728" i="2"/>
  <c r="R728" i="2"/>
  <c r="Q728" i="2"/>
  <c r="P728" i="2"/>
  <c r="O728" i="2"/>
  <c r="N728" i="2"/>
  <c r="M728" i="2"/>
  <c r="L728" i="2"/>
  <c r="AJ868" i="3" s="1"/>
  <c r="AM868" i="3" s="1"/>
  <c r="W727" i="2"/>
  <c r="V727" i="2"/>
  <c r="U727" i="2"/>
  <c r="T727" i="2"/>
  <c r="S727" i="2"/>
  <c r="R727" i="2"/>
  <c r="Q727" i="2"/>
  <c r="P727" i="2"/>
  <c r="O727" i="2"/>
  <c r="N727" i="2"/>
  <c r="AO867" i="3" s="1"/>
  <c r="AR867" i="3" s="1"/>
  <c r="M727" i="2"/>
  <c r="L727" i="2"/>
  <c r="AJ867" i="3" s="1"/>
  <c r="AM867" i="3" s="1"/>
  <c r="W726" i="2"/>
  <c r="V726" i="2"/>
  <c r="U726" i="2"/>
  <c r="T726" i="2"/>
  <c r="S726" i="2"/>
  <c r="R726" i="2"/>
  <c r="Q726" i="2"/>
  <c r="P726" i="2"/>
  <c r="O726" i="2"/>
  <c r="N726" i="2"/>
  <c r="AO866" i="3" s="1"/>
  <c r="AR866" i="3" s="1"/>
  <c r="M726" i="2"/>
  <c r="L726" i="2"/>
  <c r="AJ866" i="3" s="1"/>
  <c r="AM866" i="3" s="1"/>
  <c r="W725" i="2"/>
  <c r="V725" i="2"/>
  <c r="U725" i="2"/>
  <c r="T725" i="2"/>
  <c r="S725" i="2"/>
  <c r="R725" i="2"/>
  <c r="Q725" i="2"/>
  <c r="P725" i="2"/>
  <c r="O725" i="2"/>
  <c r="N725" i="2"/>
  <c r="AO865" i="3" s="1"/>
  <c r="AR865" i="3" s="1"/>
  <c r="M725" i="2"/>
  <c r="L725" i="2"/>
  <c r="AJ865" i="3" s="1"/>
  <c r="AM865" i="3" s="1"/>
  <c r="W724" i="2"/>
  <c r="V724" i="2"/>
  <c r="U724" i="2"/>
  <c r="T724" i="2"/>
  <c r="S724" i="2"/>
  <c r="R724" i="2"/>
  <c r="Q724" i="2"/>
  <c r="P724" i="2"/>
  <c r="O724" i="2"/>
  <c r="N724" i="2"/>
  <c r="AO864" i="3" s="1"/>
  <c r="AR864" i="3" s="1"/>
  <c r="M724" i="2"/>
  <c r="L724" i="2"/>
  <c r="AJ864" i="3" s="1"/>
  <c r="AM864" i="3" s="1"/>
  <c r="W723" i="2"/>
  <c r="V723" i="2"/>
  <c r="U723" i="2"/>
  <c r="T723" i="2"/>
  <c r="S723" i="2"/>
  <c r="R723" i="2"/>
  <c r="Q723" i="2"/>
  <c r="P723" i="2"/>
  <c r="O723" i="2"/>
  <c r="N723" i="2"/>
  <c r="AO863" i="3" s="1"/>
  <c r="AR863" i="3" s="1"/>
  <c r="M723" i="2"/>
  <c r="L723" i="2"/>
  <c r="AJ863" i="3" s="1"/>
  <c r="AM863" i="3" s="1"/>
  <c r="W722" i="2"/>
  <c r="V722" i="2"/>
  <c r="U722" i="2"/>
  <c r="T722" i="2"/>
  <c r="S722" i="2"/>
  <c r="R722" i="2"/>
  <c r="Q722" i="2"/>
  <c r="P722" i="2"/>
  <c r="O722" i="2"/>
  <c r="N722" i="2"/>
  <c r="AO862" i="3" s="1"/>
  <c r="AR862" i="3" s="1"/>
  <c r="M722" i="2"/>
  <c r="L722" i="2"/>
  <c r="AJ862" i="3" s="1"/>
  <c r="AM862" i="3" s="1"/>
  <c r="W721" i="2"/>
  <c r="V721" i="2"/>
  <c r="U721" i="2"/>
  <c r="T721" i="2"/>
  <c r="S721" i="2"/>
  <c r="R721" i="2"/>
  <c r="Q721" i="2"/>
  <c r="P721" i="2"/>
  <c r="O721" i="2"/>
  <c r="N721" i="2"/>
  <c r="M721" i="2"/>
  <c r="L721" i="2"/>
  <c r="AJ861" i="3" s="1"/>
  <c r="AM861" i="3" s="1"/>
  <c r="W720" i="2"/>
  <c r="V720" i="2"/>
  <c r="U720" i="2"/>
  <c r="T720" i="2"/>
  <c r="S720" i="2"/>
  <c r="R720" i="2"/>
  <c r="Q720" i="2"/>
  <c r="P720" i="2"/>
  <c r="O720" i="2"/>
  <c r="N720" i="2"/>
  <c r="AO860" i="3" s="1"/>
  <c r="AR860" i="3" s="1"/>
  <c r="M720" i="2"/>
  <c r="L720" i="2"/>
  <c r="AJ860" i="3" s="1"/>
  <c r="AM860" i="3" s="1"/>
  <c r="W719" i="2"/>
  <c r="V719" i="2"/>
  <c r="U719" i="2"/>
  <c r="T719" i="2"/>
  <c r="S719" i="2"/>
  <c r="R719" i="2"/>
  <c r="Q719" i="2"/>
  <c r="P719" i="2"/>
  <c r="O719" i="2"/>
  <c r="N719" i="2"/>
  <c r="AO859" i="3" s="1"/>
  <c r="AR859" i="3" s="1"/>
  <c r="M719" i="2"/>
  <c r="L719" i="2"/>
  <c r="AJ859" i="3" s="1"/>
  <c r="AM859" i="3" s="1"/>
  <c r="W718" i="2"/>
  <c r="V718" i="2"/>
  <c r="U718" i="2"/>
  <c r="T718" i="2"/>
  <c r="S718" i="2"/>
  <c r="R718" i="2"/>
  <c r="Q718" i="2"/>
  <c r="P718" i="2"/>
  <c r="O718" i="2"/>
  <c r="N718" i="2"/>
  <c r="AO858" i="3" s="1"/>
  <c r="AR858" i="3" s="1"/>
  <c r="M718" i="2"/>
  <c r="L718" i="2"/>
  <c r="AJ858" i="3" s="1"/>
  <c r="AM858" i="3" s="1"/>
  <c r="W717" i="2"/>
  <c r="V717" i="2"/>
  <c r="U717" i="2"/>
  <c r="T717" i="2"/>
  <c r="S717" i="2"/>
  <c r="R717" i="2"/>
  <c r="Q717" i="2"/>
  <c r="P717" i="2"/>
  <c r="O717" i="2"/>
  <c r="N717" i="2"/>
  <c r="AO857" i="3" s="1"/>
  <c r="AR857" i="3" s="1"/>
  <c r="M717" i="2"/>
  <c r="L717" i="2"/>
  <c r="AJ857" i="3" s="1"/>
  <c r="AM857" i="3" s="1"/>
  <c r="W716" i="2"/>
  <c r="V716" i="2"/>
  <c r="U716" i="2"/>
  <c r="T716" i="2"/>
  <c r="S716" i="2"/>
  <c r="R716" i="2"/>
  <c r="Q716" i="2"/>
  <c r="P716" i="2"/>
  <c r="O716" i="2"/>
  <c r="N716" i="2"/>
  <c r="M716" i="2"/>
  <c r="L716" i="2"/>
  <c r="AJ856" i="3" s="1"/>
  <c r="AM856" i="3" s="1"/>
  <c r="W715" i="2"/>
  <c r="V715" i="2"/>
  <c r="U715" i="2"/>
  <c r="T715" i="2"/>
  <c r="S715" i="2"/>
  <c r="R715" i="2"/>
  <c r="Q715" i="2"/>
  <c r="P715" i="2"/>
  <c r="O715" i="2"/>
  <c r="N715" i="2"/>
  <c r="AO855" i="3" s="1"/>
  <c r="AR855" i="3" s="1"/>
  <c r="M715" i="2"/>
  <c r="L715" i="2"/>
  <c r="AJ855" i="3" s="1"/>
  <c r="AM855" i="3" s="1"/>
  <c r="W714" i="2"/>
  <c r="V714" i="2"/>
  <c r="U714" i="2"/>
  <c r="T714" i="2"/>
  <c r="S714" i="2"/>
  <c r="R714" i="2"/>
  <c r="Q714" i="2"/>
  <c r="P714" i="2"/>
  <c r="O714" i="2"/>
  <c r="N714" i="2"/>
  <c r="AO854" i="3" s="1"/>
  <c r="AR854" i="3" s="1"/>
  <c r="M714" i="2"/>
  <c r="L714" i="2"/>
  <c r="AJ854" i="3" s="1"/>
  <c r="AM854" i="3" s="1"/>
  <c r="W713" i="2"/>
  <c r="V713" i="2"/>
  <c r="U713" i="2"/>
  <c r="T713" i="2"/>
  <c r="S713" i="2"/>
  <c r="R713" i="2"/>
  <c r="Q713" i="2"/>
  <c r="P713" i="2"/>
  <c r="O713" i="2"/>
  <c r="N713" i="2"/>
  <c r="AO853" i="3" s="1"/>
  <c r="AR853" i="3" s="1"/>
  <c r="M713" i="2"/>
  <c r="L713" i="2"/>
  <c r="AJ853" i="3" s="1"/>
  <c r="AM853" i="3" s="1"/>
  <c r="W712" i="2"/>
  <c r="V712" i="2"/>
  <c r="U712" i="2"/>
  <c r="T712" i="2"/>
  <c r="S712" i="2"/>
  <c r="R712" i="2"/>
  <c r="Q712" i="2"/>
  <c r="P712" i="2"/>
  <c r="O712" i="2"/>
  <c r="N712" i="2"/>
  <c r="AO852" i="3" s="1"/>
  <c r="AR852" i="3" s="1"/>
  <c r="M712" i="2"/>
  <c r="L712" i="2"/>
  <c r="AJ852" i="3" s="1"/>
  <c r="AM852" i="3" s="1"/>
  <c r="W711" i="2"/>
  <c r="V711" i="2"/>
  <c r="U711" i="2"/>
  <c r="T711" i="2"/>
  <c r="S711" i="2"/>
  <c r="R711" i="2"/>
  <c r="Q711" i="2"/>
  <c r="P711" i="2"/>
  <c r="O711" i="2"/>
  <c r="N711" i="2"/>
  <c r="AO851" i="3" s="1"/>
  <c r="AR851" i="3" s="1"/>
  <c r="M711" i="2"/>
  <c r="L711" i="2"/>
  <c r="AJ851" i="3" s="1"/>
  <c r="AM851" i="3" s="1"/>
  <c r="W710" i="2"/>
  <c r="V710" i="2"/>
  <c r="U710" i="2"/>
  <c r="T710" i="2"/>
  <c r="S710" i="2"/>
  <c r="R710" i="2"/>
  <c r="Q710" i="2"/>
  <c r="P710" i="2"/>
  <c r="O710" i="2"/>
  <c r="N710" i="2"/>
  <c r="M710" i="2"/>
  <c r="L710" i="2"/>
  <c r="AJ850" i="3" s="1"/>
  <c r="AM850" i="3" s="1"/>
  <c r="W709" i="2"/>
  <c r="V709" i="2"/>
  <c r="U709" i="2"/>
  <c r="T709" i="2"/>
  <c r="S709" i="2"/>
  <c r="R709" i="2"/>
  <c r="Q709" i="2"/>
  <c r="P709" i="2"/>
  <c r="O709" i="2"/>
  <c r="N709" i="2"/>
  <c r="M709" i="2"/>
  <c r="L709" i="2"/>
  <c r="AJ849" i="3" s="1"/>
  <c r="AM849" i="3" s="1"/>
  <c r="W708" i="2"/>
  <c r="V708" i="2"/>
  <c r="U708" i="2"/>
  <c r="T708" i="2"/>
  <c r="S708" i="2"/>
  <c r="R708" i="2"/>
  <c r="Q708" i="2"/>
  <c r="P708" i="2"/>
  <c r="O708" i="2"/>
  <c r="N708" i="2"/>
  <c r="AO848" i="3" s="1"/>
  <c r="AR848" i="3" s="1"/>
  <c r="M708" i="2"/>
  <c r="L708" i="2"/>
  <c r="W707" i="2"/>
  <c r="V707" i="2"/>
  <c r="U707" i="2"/>
  <c r="T707" i="2"/>
  <c r="S707" i="2"/>
  <c r="R707" i="2"/>
  <c r="Q707" i="2"/>
  <c r="P707" i="2"/>
  <c r="O707" i="2"/>
  <c r="N707" i="2"/>
  <c r="AO847" i="3" s="1"/>
  <c r="AR847" i="3" s="1"/>
  <c r="M707" i="2"/>
  <c r="L707" i="2"/>
  <c r="AJ847" i="3" s="1"/>
  <c r="AM847" i="3" s="1"/>
  <c r="W706" i="2"/>
  <c r="V706" i="2"/>
  <c r="U706" i="2"/>
  <c r="T706" i="2"/>
  <c r="S706" i="2"/>
  <c r="R706" i="2"/>
  <c r="Q706" i="2"/>
  <c r="P706" i="2"/>
  <c r="O706" i="2"/>
  <c r="N706" i="2"/>
  <c r="M706" i="2"/>
  <c r="L706" i="2"/>
  <c r="AJ846" i="3" s="1"/>
  <c r="AM846" i="3" s="1"/>
  <c r="W705" i="2"/>
  <c r="V705" i="2"/>
  <c r="U705" i="2"/>
  <c r="T705" i="2"/>
  <c r="S705" i="2"/>
  <c r="R705" i="2"/>
  <c r="Q705" i="2"/>
  <c r="P705" i="2"/>
  <c r="O705" i="2"/>
  <c r="N705" i="2"/>
  <c r="AO845" i="3" s="1"/>
  <c r="AR845" i="3" s="1"/>
  <c r="M705" i="2"/>
  <c r="L705" i="2"/>
  <c r="AJ845" i="3" s="1"/>
  <c r="AM845" i="3" s="1"/>
  <c r="W704" i="2"/>
  <c r="V704" i="2"/>
  <c r="U704" i="2"/>
  <c r="T704" i="2"/>
  <c r="S704" i="2"/>
  <c r="R704" i="2"/>
  <c r="Q704" i="2"/>
  <c r="P704" i="2"/>
  <c r="O704" i="2"/>
  <c r="N704" i="2"/>
  <c r="AO844" i="3" s="1"/>
  <c r="AR844" i="3" s="1"/>
  <c r="M704" i="2"/>
  <c r="L704" i="2"/>
  <c r="AJ844" i="3" s="1"/>
  <c r="AM844" i="3" s="1"/>
  <c r="W703" i="2"/>
  <c r="V703" i="2"/>
  <c r="U703" i="2"/>
  <c r="T703" i="2"/>
  <c r="S703" i="2"/>
  <c r="R703" i="2"/>
  <c r="Q703" i="2"/>
  <c r="P703" i="2"/>
  <c r="O703" i="2"/>
  <c r="N703" i="2"/>
  <c r="M703" i="2"/>
  <c r="L703" i="2"/>
  <c r="AJ843" i="3" s="1"/>
  <c r="AM843" i="3" s="1"/>
  <c r="W702" i="2"/>
  <c r="V702" i="2"/>
  <c r="U702" i="2"/>
  <c r="T702" i="2"/>
  <c r="S702" i="2"/>
  <c r="R702" i="2"/>
  <c r="Q702" i="2"/>
  <c r="P702" i="2"/>
  <c r="O702" i="2"/>
  <c r="N702" i="2"/>
  <c r="AO842" i="3" s="1"/>
  <c r="AR842" i="3" s="1"/>
  <c r="M702" i="2"/>
  <c r="L702" i="2"/>
  <c r="AJ842" i="3" s="1"/>
  <c r="AM842" i="3" s="1"/>
  <c r="W701" i="2"/>
  <c r="V701" i="2"/>
  <c r="U701" i="2"/>
  <c r="T701" i="2"/>
  <c r="S701" i="2"/>
  <c r="R701" i="2"/>
  <c r="Q701" i="2"/>
  <c r="P701" i="2"/>
  <c r="O701" i="2"/>
  <c r="N701" i="2"/>
  <c r="AO841" i="3" s="1"/>
  <c r="AR841" i="3" s="1"/>
  <c r="M701" i="2"/>
  <c r="L701" i="2"/>
  <c r="AJ841" i="3" s="1"/>
  <c r="AM841" i="3" s="1"/>
  <c r="W700" i="2"/>
  <c r="V700" i="2"/>
  <c r="U700" i="2"/>
  <c r="T700" i="2"/>
  <c r="S700" i="2"/>
  <c r="R700" i="2"/>
  <c r="Q700" i="2"/>
  <c r="P700" i="2"/>
  <c r="O700" i="2"/>
  <c r="N700" i="2"/>
  <c r="AO840" i="3" s="1"/>
  <c r="AR840" i="3" s="1"/>
  <c r="M700" i="2"/>
  <c r="L700" i="2"/>
  <c r="AJ840" i="3" s="1"/>
  <c r="AM840" i="3" s="1"/>
  <c r="W699" i="2"/>
  <c r="V699" i="2"/>
  <c r="U699" i="2"/>
  <c r="T699" i="2"/>
  <c r="S699" i="2"/>
  <c r="R699" i="2"/>
  <c r="Q699" i="2"/>
  <c r="P699" i="2"/>
  <c r="O699" i="2"/>
  <c r="N699" i="2"/>
  <c r="AO839" i="3" s="1"/>
  <c r="AR839" i="3" s="1"/>
  <c r="M699" i="2"/>
  <c r="L699" i="2"/>
  <c r="AJ839" i="3" s="1"/>
  <c r="AM839" i="3" s="1"/>
  <c r="W698" i="2"/>
  <c r="V698" i="2"/>
  <c r="U698" i="2"/>
  <c r="T698" i="2"/>
  <c r="S698" i="2"/>
  <c r="R698" i="2"/>
  <c r="Q698" i="2"/>
  <c r="P698" i="2"/>
  <c r="O698" i="2"/>
  <c r="N698" i="2"/>
  <c r="AO838" i="3" s="1"/>
  <c r="AR838" i="3" s="1"/>
  <c r="M698" i="2"/>
  <c r="L698" i="2"/>
  <c r="AJ838" i="3" s="1"/>
  <c r="AM838" i="3" s="1"/>
  <c r="W697" i="2"/>
  <c r="V697" i="2"/>
  <c r="U697" i="2"/>
  <c r="T697" i="2"/>
  <c r="S697" i="2"/>
  <c r="R697" i="2"/>
  <c r="Q697" i="2"/>
  <c r="P697" i="2"/>
  <c r="O697" i="2"/>
  <c r="N697" i="2"/>
  <c r="AO837" i="3" s="1"/>
  <c r="AR837" i="3" s="1"/>
  <c r="M697" i="2"/>
  <c r="L697" i="2"/>
  <c r="AJ837" i="3" s="1"/>
  <c r="AM837" i="3" s="1"/>
  <c r="W696" i="2"/>
  <c r="V696" i="2"/>
  <c r="U696" i="2"/>
  <c r="T696" i="2"/>
  <c r="S696" i="2"/>
  <c r="R696" i="2"/>
  <c r="Q696" i="2"/>
  <c r="P696" i="2"/>
  <c r="O696" i="2"/>
  <c r="N696" i="2"/>
  <c r="M696" i="2"/>
  <c r="L696" i="2"/>
  <c r="AJ836" i="3" s="1"/>
  <c r="AM836" i="3" s="1"/>
  <c r="W695" i="2"/>
  <c r="V695" i="2"/>
  <c r="U695" i="2"/>
  <c r="T695" i="2"/>
  <c r="S695" i="2"/>
  <c r="R695" i="2"/>
  <c r="Q695" i="2"/>
  <c r="P695" i="2"/>
  <c r="O695" i="2"/>
  <c r="N695" i="2"/>
  <c r="AO835" i="3" s="1"/>
  <c r="AR835" i="3" s="1"/>
  <c r="M695" i="2"/>
  <c r="L695" i="2"/>
  <c r="AJ835" i="3" s="1"/>
  <c r="AM835" i="3" s="1"/>
  <c r="W694" i="2"/>
  <c r="V694" i="2"/>
  <c r="U694" i="2"/>
  <c r="T694" i="2"/>
  <c r="S694" i="2"/>
  <c r="R694" i="2"/>
  <c r="Q694" i="2"/>
  <c r="P694" i="2"/>
  <c r="O694" i="2"/>
  <c r="N694" i="2"/>
  <c r="AO834" i="3" s="1"/>
  <c r="AR834" i="3" s="1"/>
  <c r="M694" i="2"/>
  <c r="L694" i="2"/>
  <c r="AJ834" i="3" s="1"/>
  <c r="AM834" i="3" s="1"/>
  <c r="W693" i="2"/>
  <c r="V693" i="2"/>
  <c r="U693" i="2"/>
  <c r="T693" i="2"/>
  <c r="S693" i="2"/>
  <c r="R693" i="2"/>
  <c r="Q693" i="2"/>
  <c r="P693" i="2"/>
  <c r="O693" i="2"/>
  <c r="N693" i="2"/>
  <c r="AO833" i="3" s="1"/>
  <c r="AR833" i="3" s="1"/>
  <c r="M693" i="2"/>
  <c r="L693" i="2"/>
  <c r="AJ833" i="3" s="1"/>
  <c r="AM833" i="3" s="1"/>
  <c r="W692" i="2"/>
  <c r="V692" i="2"/>
  <c r="U692" i="2"/>
  <c r="T692" i="2"/>
  <c r="S692" i="2"/>
  <c r="R692" i="2"/>
  <c r="Q692" i="2"/>
  <c r="P692" i="2"/>
  <c r="O692" i="2"/>
  <c r="N692" i="2"/>
  <c r="AO832" i="3" s="1"/>
  <c r="AR832" i="3" s="1"/>
  <c r="M692" i="2"/>
  <c r="L692" i="2"/>
  <c r="AJ832" i="3" s="1"/>
  <c r="AM832" i="3" s="1"/>
  <c r="W691" i="2"/>
  <c r="V691" i="2"/>
  <c r="U691" i="2"/>
  <c r="T691" i="2"/>
  <c r="S691" i="2"/>
  <c r="R691" i="2"/>
  <c r="Q691" i="2"/>
  <c r="P691" i="2"/>
  <c r="O691" i="2"/>
  <c r="N691" i="2"/>
  <c r="AO831" i="3" s="1"/>
  <c r="AR831" i="3" s="1"/>
  <c r="M691" i="2"/>
  <c r="L691" i="2"/>
  <c r="AJ831" i="3" s="1"/>
  <c r="AM831" i="3" s="1"/>
  <c r="W690" i="2"/>
  <c r="V690" i="2"/>
  <c r="U690" i="2"/>
  <c r="T690" i="2"/>
  <c r="S690" i="2"/>
  <c r="R690" i="2"/>
  <c r="Q690" i="2"/>
  <c r="P690" i="2"/>
  <c r="O690" i="2"/>
  <c r="N690" i="2"/>
  <c r="AO830" i="3" s="1"/>
  <c r="AR830" i="3" s="1"/>
  <c r="M690" i="2"/>
  <c r="L690" i="2"/>
  <c r="AJ830" i="3" s="1"/>
  <c r="AM830" i="3" s="1"/>
  <c r="W689" i="2"/>
  <c r="V689" i="2"/>
  <c r="U689" i="2"/>
  <c r="T689" i="2"/>
  <c r="S689" i="2"/>
  <c r="R689" i="2"/>
  <c r="Q689" i="2"/>
  <c r="P689" i="2"/>
  <c r="O689" i="2"/>
  <c r="N689" i="2"/>
  <c r="AO829" i="3" s="1"/>
  <c r="AR829" i="3" s="1"/>
  <c r="L689" i="2"/>
  <c r="AJ829" i="3" s="1"/>
  <c r="AM829" i="3" s="1"/>
  <c r="W688" i="2"/>
  <c r="V688" i="2"/>
  <c r="U688" i="2"/>
  <c r="T688" i="2"/>
  <c r="S688" i="2"/>
  <c r="R688" i="2"/>
  <c r="Q688" i="2"/>
  <c r="P688" i="2"/>
  <c r="O688" i="2"/>
  <c r="N688" i="2"/>
  <c r="AO828" i="3" s="1"/>
  <c r="AR828" i="3" s="1"/>
  <c r="L688" i="2"/>
  <c r="AJ828" i="3" s="1"/>
  <c r="AM828" i="3" s="1"/>
  <c r="W687" i="2"/>
  <c r="V687" i="2"/>
  <c r="U687" i="2"/>
  <c r="T687" i="2"/>
  <c r="S687" i="2"/>
  <c r="R687" i="2"/>
  <c r="Q687" i="2"/>
  <c r="P687" i="2"/>
  <c r="N687" i="2"/>
  <c r="AO827" i="3" s="1"/>
  <c r="AR827" i="3" s="1"/>
  <c r="L687" i="2"/>
  <c r="AJ827" i="3" s="1"/>
  <c r="AM827" i="3" s="1"/>
  <c r="W686" i="2"/>
  <c r="V686" i="2"/>
  <c r="U686" i="2"/>
  <c r="T686" i="2"/>
  <c r="S686" i="2"/>
  <c r="R686" i="2"/>
  <c r="Q686" i="2"/>
  <c r="P686" i="2"/>
  <c r="N686" i="2"/>
  <c r="L686" i="2"/>
  <c r="AJ826" i="3" s="1"/>
  <c r="AM826" i="3" s="1"/>
  <c r="W685" i="2"/>
  <c r="V685" i="2"/>
  <c r="U685" i="2"/>
  <c r="T685" i="2"/>
  <c r="S685" i="2"/>
  <c r="R685" i="2"/>
  <c r="Q685" i="2"/>
  <c r="P685" i="2"/>
  <c r="O685" i="2"/>
  <c r="N685" i="2"/>
  <c r="AO825" i="3" s="1"/>
  <c r="AR825" i="3" s="1"/>
  <c r="L685" i="2"/>
  <c r="AJ825" i="3" s="1"/>
  <c r="AM825" i="3" s="1"/>
  <c r="W684" i="2"/>
  <c r="V684" i="2"/>
  <c r="U684" i="2"/>
  <c r="T684" i="2"/>
  <c r="S684" i="2"/>
  <c r="R684" i="2"/>
  <c r="Q684" i="2"/>
  <c r="P684" i="2"/>
  <c r="N684" i="2"/>
  <c r="AO824" i="3" s="1"/>
  <c r="AR824" i="3" s="1"/>
  <c r="L684" i="2"/>
  <c r="AJ824" i="3" s="1"/>
  <c r="AM824" i="3" s="1"/>
  <c r="W683" i="2"/>
  <c r="V683" i="2"/>
  <c r="U683" i="2"/>
  <c r="T683" i="2"/>
  <c r="S683" i="2"/>
  <c r="R683" i="2"/>
  <c r="Q683" i="2"/>
  <c r="P683" i="2"/>
  <c r="N683" i="2"/>
  <c r="AO823" i="3" s="1"/>
  <c r="AR823" i="3" s="1"/>
  <c r="L683" i="2"/>
  <c r="AJ823" i="3" s="1"/>
  <c r="AM823" i="3" s="1"/>
  <c r="W682" i="2"/>
  <c r="V682" i="2"/>
  <c r="U682" i="2"/>
  <c r="T682" i="2"/>
  <c r="S682" i="2"/>
  <c r="R682" i="2"/>
  <c r="Q682" i="2"/>
  <c r="P682" i="2"/>
  <c r="N682" i="2"/>
  <c r="L682" i="2"/>
  <c r="AJ822" i="3" s="1"/>
  <c r="AM822" i="3" s="1"/>
  <c r="W681" i="2"/>
  <c r="V681" i="2"/>
  <c r="U681" i="2"/>
  <c r="T681" i="2"/>
  <c r="S681" i="2"/>
  <c r="R681" i="2"/>
  <c r="Q681" i="2"/>
  <c r="P681" i="2"/>
  <c r="O681" i="2"/>
  <c r="N681" i="2"/>
  <c r="L681" i="2"/>
  <c r="AJ821" i="3" s="1"/>
  <c r="AM821" i="3" s="1"/>
  <c r="W680" i="2"/>
  <c r="V680" i="2"/>
  <c r="U680" i="2"/>
  <c r="T680" i="2"/>
  <c r="S680" i="2"/>
  <c r="R680" i="2"/>
  <c r="Q680" i="2"/>
  <c r="P680" i="2"/>
  <c r="N680" i="2"/>
  <c r="AO820" i="3" s="1"/>
  <c r="AR820" i="3" s="1"/>
  <c r="L680" i="2"/>
  <c r="AJ820" i="3" s="1"/>
  <c r="AM820" i="3" s="1"/>
  <c r="W679" i="2"/>
  <c r="V679" i="2"/>
  <c r="U679" i="2"/>
  <c r="T679" i="2"/>
  <c r="S679" i="2"/>
  <c r="R679" i="2"/>
  <c r="Q679" i="2"/>
  <c r="P679" i="2"/>
  <c r="O679" i="2"/>
  <c r="N679" i="2"/>
  <c r="AO819" i="3" s="1"/>
  <c r="AR819" i="3" s="1"/>
  <c r="L679" i="2"/>
  <c r="AJ819" i="3" s="1"/>
  <c r="AM819" i="3" s="1"/>
  <c r="W678" i="2"/>
  <c r="V678" i="2"/>
  <c r="U678" i="2"/>
  <c r="T678" i="2"/>
  <c r="S678" i="2"/>
  <c r="R678" i="2"/>
  <c r="Q678" i="2"/>
  <c r="P678" i="2"/>
  <c r="N678" i="2"/>
  <c r="L678" i="2"/>
  <c r="AJ818" i="3" s="1"/>
  <c r="AM818" i="3" s="1"/>
  <c r="W677" i="2"/>
  <c r="V677" i="2"/>
  <c r="U677" i="2"/>
  <c r="T677" i="2"/>
  <c r="S677" i="2"/>
  <c r="R677" i="2"/>
  <c r="Q677" i="2"/>
  <c r="P677" i="2"/>
  <c r="O677" i="2"/>
  <c r="N677" i="2"/>
  <c r="L677" i="2"/>
  <c r="AJ817" i="3" s="1"/>
  <c r="AM817" i="3" s="1"/>
  <c r="W676" i="2"/>
  <c r="V676" i="2"/>
  <c r="U676" i="2"/>
  <c r="T676" i="2"/>
  <c r="S676" i="2"/>
  <c r="R676" i="2"/>
  <c r="Q676" i="2"/>
  <c r="P676" i="2"/>
  <c r="O676" i="2"/>
  <c r="N676" i="2"/>
  <c r="AO816" i="3" s="1"/>
  <c r="AR816" i="3" s="1"/>
  <c r="L676" i="2"/>
  <c r="AJ816" i="3" s="1"/>
  <c r="AM816" i="3" s="1"/>
  <c r="W675" i="2"/>
  <c r="V675" i="2"/>
  <c r="U675" i="2"/>
  <c r="T675" i="2"/>
  <c r="S675" i="2"/>
  <c r="R675" i="2"/>
  <c r="Q675" i="2"/>
  <c r="P675" i="2"/>
  <c r="O675" i="2"/>
  <c r="N675" i="2"/>
  <c r="AO815" i="3" s="1"/>
  <c r="AR815" i="3" s="1"/>
  <c r="L675" i="2"/>
  <c r="AJ815" i="3" s="1"/>
  <c r="AM815" i="3" s="1"/>
  <c r="W674" i="2"/>
  <c r="V674" i="2"/>
  <c r="U674" i="2"/>
  <c r="T674" i="2"/>
  <c r="S674" i="2"/>
  <c r="R674" i="2"/>
  <c r="Q674" i="2"/>
  <c r="P674" i="2"/>
  <c r="N674" i="2"/>
  <c r="L674" i="2"/>
  <c r="AJ814" i="3" s="1"/>
  <c r="AM814" i="3" s="1"/>
  <c r="W673" i="2"/>
  <c r="V673" i="2"/>
  <c r="U673" i="2"/>
  <c r="T673" i="2"/>
  <c r="S673" i="2"/>
  <c r="R673" i="2"/>
  <c r="Q673" i="2"/>
  <c r="P673" i="2"/>
  <c r="O673" i="2"/>
  <c r="N673" i="2"/>
  <c r="AO813" i="3" s="1"/>
  <c r="AR813" i="3" s="1"/>
  <c r="L673" i="2"/>
  <c r="AJ813" i="3" s="1"/>
  <c r="AM813" i="3" s="1"/>
  <c r="W672" i="2"/>
  <c r="V672" i="2"/>
  <c r="U672" i="2"/>
  <c r="T672" i="2"/>
  <c r="S672" i="2"/>
  <c r="R672" i="2"/>
  <c r="Q672" i="2"/>
  <c r="P672" i="2"/>
  <c r="O672" i="2"/>
  <c r="N672" i="2"/>
  <c r="AO812" i="3" s="1"/>
  <c r="AR812" i="3" s="1"/>
  <c r="L672" i="2"/>
  <c r="AJ812" i="3" s="1"/>
  <c r="AM812" i="3" s="1"/>
  <c r="W671" i="2"/>
  <c r="V671" i="2"/>
  <c r="U671" i="2"/>
  <c r="T671" i="2"/>
  <c r="S671" i="2"/>
  <c r="R671" i="2"/>
  <c r="Q671" i="2"/>
  <c r="P671" i="2"/>
  <c r="N671" i="2"/>
  <c r="AO811" i="3" s="1"/>
  <c r="AR811" i="3" s="1"/>
  <c r="L671" i="2"/>
  <c r="AJ811" i="3" s="1"/>
  <c r="AM811" i="3" s="1"/>
  <c r="W670" i="2"/>
  <c r="V670" i="2"/>
  <c r="U670" i="2"/>
  <c r="T670" i="2"/>
  <c r="S670" i="2"/>
  <c r="R670" i="2"/>
  <c r="Q670" i="2"/>
  <c r="P670" i="2"/>
  <c r="N670" i="2"/>
  <c r="L670" i="2"/>
  <c r="AJ810" i="3" s="1"/>
  <c r="AM810" i="3" s="1"/>
  <c r="W669" i="2"/>
  <c r="V669" i="2"/>
  <c r="U669" i="2"/>
  <c r="T669" i="2"/>
  <c r="S669" i="2"/>
  <c r="R669" i="2"/>
  <c r="Q669" i="2"/>
  <c r="P669" i="2"/>
  <c r="O669" i="2"/>
  <c r="N669" i="2"/>
  <c r="AO809" i="3" s="1"/>
  <c r="AR809" i="3" s="1"/>
  <c r="L669" i="2"/>
  <c r="AJ809" i="3" s="1"/>
  <c r="AM809" i="3" s="1"/>
  <c r="W668" i="2"/>
  <c r="V668" i="2"/>
  <c r="U668" i="2"/>
  <c r="T668" i="2"/>
  <c r="S668" i="2"/>
  <c r="R668" i="2"/>
  <c r="Q668" i="2"/>
  <c r="P668" i="2"/>
  <c r="N668" i="2"/>
  <c r="AO808" i="3" s="1"/>
  <c r="AR808" i="3" s="1"/>
  <c r="L668" i="2"/>
  <c r="AJ808" i="3" s="1"/>
  <c r="AM808" i="3" s="1"/>
  <c r="W667" i="2"/>
  <c r="V667" i="2"/>
  <c r="U667" i="2"/>
  <c r="T667" i="2"/>
  <c r="S667" i="2"/>
  <c r="R667" i="2"/>
  <c r="Q667" i="2"/>
  <c r="P667" i="2"/>
  <c r="N667" i="2"/>
  <c r="AO807" i="3" s="1"/>
  <c r="AR807" i="3" s="1"/>
  <c r="L667" i="2"/>
  <c r="AJ807" i="3" s="1"/>
  <c r="AM807" i="3" s="1"/>
  <c r="W666" i="2"/>
  <c r="V666" i="2"/>
  <c r="U666" i="2"/>
  <c r="T666" i="2"/>
  <c r="S666" i="2"/>
  <c r="R666" i="2"/>
  <c r="Q666" i="2"/>
  <c r="P666" i="2"/>
  <c r="N666" i="2"/>
  <c r="L666" i="2"/>
  <c r="AJ806" i="3" s="1"/>
  <c r="AM806" i="3" s="1"/>
  <c r="W665" i="2"/>
  <c r="V665" i="2"/>
  <c r="U665" i="2"/>
  <c r="T665" i="2"/>
  <c r="S665" i="2"/>
  <c r="R665" i="2"/>
  <c r="Q665" i="2"/>
  <c r="P665" i="2"/>
  <c r="O665" i="2"/>
  <c r="N665" i="2"/>
  <c r="AO805" i="3" s="1"/>
  <c r="AR805" i="3" s="1"/>
  <c r="L665" i="2"/>
  <c r="AJ805" i="3" s="1"/>
  <c r="AM805" i="3" s="1"/>
  <c r="W664" i="2"/>
  <c r="V664" i="2"/>
  <c r="U664" i="2"/>
  <c r="T664" i="2"/>
  <c r="S664" i="2"/>
  <c r="R664" i="2"/>
  <c r="Q664" i="2"/>
  <c r="P664" i="2"/>
  <c r="N664" i="2"/>
  <c r="AO804" i="3" s="1"/>
  <c r="AR804" i="3" s="1"/>
  <c r="L664" i="2"/>
  <c r="AJ804" i="3" s="1"/>
  <c r="AM804" i="3" s="1"/>
  <c r="W663" i="2"/>
  <c r="V663" i="2"/>
  <c r="U663" i="2"/>
  <c r="T663" i="2"/>
  <c r="S663" i="2"/>
  <c r="R663" i="2"/>
  <c r="Q663" i="2"/>
  <c r="P663" i="2"/>
  <c r="O663" i="2"/>
  <c r="N663" i="2"/>
  <c r="AO803" i="3" s="1"/>
  <c r="AR803" i="3" s="1"/>
  <c r="L663" i="2"/>
  <c r="AJ803" i="3" s="1"/>
  <c r="AM803" i="3" s="1"/>
  <c r="W662" i="2"/>
  <c r="V662" i="2"/>
  <c r="U662" i="2"/>
  <c r="T662" i="2"/>
  <c r="S662" i="2"/>
  <c r="R662" i="2"/>
  <c r="Q662" i="2"/>
  <c r="P662" i="2"/>
  <c r="N662" i="2"/>
  <c r="L662" i="2"/>
  <c r="AJ802" i="3" s="1"/>
  <c r="AM802" i="3" s="1"/>
  <c r="W661" i="2"/>
  <c r="V661" i="2"/>
  <c r="U661" i="2"/>
  <c r="T661" i="2"/>
  <c r="S661" i="2"/>
  <c r="R661" i="2"/>
  <c r="Q661" i="2"/>
  <c r="P661" i="2"/>
  <c r="O661" i="2"/>
  <c r="N661" i="2"/>
  <c r="L661" i="2"/>
  <c r="AJ801" i="3" s="1"/>
  <c r="AM801" i="3" s="1"/>
  <c r="W660" i="2"/>
  <c r="V660" i="2"/>
  <c r="U660" i="2"/>
  <c r="T660" i="2"/>
  <c r="S660" i="2"/>
  <c r="R660" i="2"/>
  <c r="Q660" i="2"/>
  <c r="P660" i="2"/>
  <c r="O660" i="2"/>
  <c r="N660" i="2"/>
  <c r="AO800" i="3" s="1"/>
  <c r="AR800" i="3" s="1"/>
  <c r="L660" i="2"/>
  <c r="AJ800" i="3" s="1"/>
  <c r="AM800" i="3" s="1"/>
  <c r="W659" i="2"/>
  <c r="V659" i="2"/>
  <c r="U659" i="2"/>
  <c r="T659" i="2"/>
  <c r="S659" i="2"/>
  <c r="R659" i="2"/>
  <c r="Q659" i="2"/>
  <c r="P659" i="2"/>
  <c r="O659" i="2"/>
  <c r="N659" i="2"/>
  <c r="AO799" i="3" s="1"/>
  <c r="AR799" i="3" s="1"/>
  <c r="L659" i="2"/>
  <c r="AJ799" i="3" s="1"/>
  <c r="AM799" i="3" s="1"/>
  <c r="W658" i="2"/>
  <c r="V658" i="2"/>
  <c r="U658" i="2"/>
  <c r="T658" i="2"/>
  <c r="S658" i="2"/>
  <c r="R658" i="2"/>
  <c r="Q658" i="2"/>
  <c r="P658" i="2"/>
  <c r="N658" i="2"/>
  <c r="L658" i="2"/>
  <c r="AJ798" i="3" s="1"/>
  <c r="AM798" i="3" s="1"/>
  <c r="W657" i="2"/>
  <c r="V657" i="2"/>
  <c r="U657" i="2"/>
  <c r="T657" i="2"/>
  <c r="S657" i="2"/>
  <c r="R657" i="2"/>
  <c r="Q657" i="2"/>
  <c r="P657" i="2"/>
  <c r="O657" i="2"/>
  <c r="N657" i="2"/>
  <c r="AO797" i="3" s="1"/>
  <c r="AR797" i="3" s="1"/>
  <c r="L657" i="2"/>
  <c r="AJ797" i="3" s="1"/>
  <c r="AM797" i="3" s="1"/>
  <c r="W656" i="2"/>
  <c r="V656" i="2"/>
  <c r="U656" i="2"/>
  <c r="T656" i="2"/>
  <c r="S656" i="2"/>
  <c r="R656" i="2"/>
  <c r="Q656" i="2"/>
  <c r="P656" i="2"/>
  <c r="O656" i="2"/>
  <c r="N656" i="2"/>
  <c r="AO796" i="3" s="1"/>
  <c r="AR796" i="3" s="1"/>
  <c r="L656" i="2"/>
  <c r="AJ796" i="3" s="1"/>
  <c r="AM796" i="3" s="1"/>
  <c r="W655" i="2"/>
  <c r="V655" i="2"/>
  <c r="U655" i="2"/>
  <c r="T655" i="2"/>
  <c r="S655" i="2"/>
  <c r="R655" i="2"/>
  <c r="Q655" i="2"/>
  <c r="P655" i="2"/>
  <c r="N655" i="2"/>
  <c r="AO795" i="3" s="1"/>
  <c r="AR795" i="3" s="1"/>
  <c r="L655" i="2"/>
  <c r="AJ795" i="3" s="1"/>
  <c r="AM795" i="3" s="1"/>
  <c r="W654" i="2"/>
  <c r="V654" i="2"/>
  <c r="U654" i="2"/>
  <c r="T654" i="2"/>
  <c r="S654" i="2"/>
  <c r="R654" i="2"/>
  <c r="Q654" i="2"/>
  <c r="P654" i="2"/>
  <c r="N654" i="2"/>
  <c r="L654" i="2"/>
  <c r="AJ794" i="3" s="1"/>
  <c r="AM794" i="3" s="1"/>
  <c r="W653" i="2"/>
  <c r="V653" i="2"/>
  <c r="U653" i="2"/>
  <c r="T653" i="2"/>
  <c r="S653" i="2"/>
  <c r="R653" i="2"/>
  <c r="Q653" i="2"/>
  <c r="P653" i="2"/>
  <c r="O653" i="2"/>
  <c r="N653" i="2"/>
  <c r="L653" i="2"/>
  <c r="AJ793" i="3" s="1"/>
  <c r="AM793" i="3" s="1"/>
  <c r="W652" i="2"/>
  <c r="V652" i="2"/>
  <c r="U652" i="2"/>
  <c r="T652" i="2"/>
  <c r="S652" i="2"/>
  <c r="R652" i="2"/>
  <c r="Q652" i="2"/>
  <c r="P652" i="2"/>
  <c r="N652" i="2"/>
  <c r="AO792" i="3" s="1"/>
  <c r="AR792" i="3" s="1"/>
  <c r="L652" i="2"/>
  <c r="AJ792" i="3" s="1"/>
  <c r="AM792" i="3" s="1"/>
  <c r="W651" i="2"/>
  <c r="V651" i="2"/>
  <c r="U651" i="2"/>
  <c r="T651" i="2"/>
  <c r="S651" i="2"/>
  <c r="R651" i="2"/>
  <c r="Q651" i="2"/>
  <c r="P651" i="2"/>
  <c r="N651" i="2"/>
  <c r="AO791" i="3" s="1"/>
  <c r="AR791" i="3" s="1"/>
  <c r="L651" i="2"/>
  <c r="AJ791" i="3" s="1"/>
  <c r="AM791" i="3" s="1"/>
  <c r="W650" i="2"/>
  <c r="V650" i="2"/>
  <c r="U650" i="2"/>
  <c r="T650" i="2"/>
  <c r="S650" i="2"/>
  <c r="R650" i="2"/>
  <c r="Q650" i="2"/>
  <c r="P650" i="2"/>
  <c r="N650" i="2"/>
  <c r="L650" i="2"/>
  <c r="AJ790" i="3" s="1"/>
  <c r="AM790" i="3" s="1"/>
  <c r="W649" i="2"/>
  <c r="V649" i="2"/>
  <c r="U649" i="2"/>
  <c r="T649" i="2"/>
  <c r="S649" i="2"/>
  <c r="R649" i="2"/>
  <c r="Q649" i="2"/>
  <c r="P649" i="2"/>
  <c r="O649" i="2"/>
  <c r="N649" i="2"/>
  <c r="AO789" i="3" s="1"/>
  <c r="AR789" i="3" s="1"/>
  <c r="L649" i="2"/>
  <c r="M649" i="2" s="1"/>
  <c r="W648" i="2"/>
  <c r="V648" i="2"/>
  <c r="U648" i="2"/>
  <c r="T648" i="2"/>
  <c r="S648" i="2"/>
  <c r="R648" i="2"/>
  <c r="Q648" i="2"/>
  <c r="P648" i="2"/>
  <c r="N648" i="2"/>
  <c r="AO788" i="3" s="1"/>
  <c r="AR788" i="3" s="1"/>
  <c r="L648" i="2"/>
  <c r="AJ788" i="3" s="1"/>
  <c r="AM788" i="3" s="1"/>
  <c r="W647" i="2"/>
  <c r="V647" i="2"/>
  <c r="U647" i="2"/>
  <c r="T647" i="2"/>
  <c r="S647" i="2"/>
  <c r="R647" i="2"/>
  <c r="Q647" i="2"/>
  <c r="P647" i="2"/>
  <c r="O647" i="2"/>
  <c r="N647" i="2"/>
  <c r="AO787" i="3" s="1"/>
  <c r="AR787" i="3" s="1"/>
  <c r="L647" i="2"/>
  <c r="AJ787" i="3" s="1"/>
  <c r="AM787" i="3" s="1"/>
  <c r="W646" i="2"/>
  <c r="V646" i="2"/>
  <c r="U646" i="2"/>
  <c r="T646" i="2"/>
  <c r="S646" i="2"/>
  <c r="R646" i="2"/>
  <c r="Q646" i="2"/>
  <c r="P646" i="2"/>
  <c r="N646" i="2"/>
  <c r="L646" i="2"/>
  <c r="W645" i="2"/>
  <c r="V645" i="2"/>
  <c r="U645" i="2"/>
  <c r="T645" i="2"/>
  <c r="S645" i="2"/>
  <c r="R645" i="2"/>
  <c r="Q645" i="2"/>
  <c r="P645" i="2"/>
  <c r="O645" i="2"/>
  <c r="N645" i="2"/>
  <c r="AO785" i="3" s="1"/>
  <c r="AR785" i="3" s="1"/>
  <c r="L645" i="2"/>
  <c r="W644" i="2"/>
  <c r="V644" i="2"/>
  <c r="U644" i="2"/>
  <c r="T644" i="2"/>
  <c r="S644" i="2"/>
  <c r="R644" i="2"/>
  <c r="Q644" i="2"/>
  <c r="P644" i="2"/>
  <c r="O644" i="2"/>
  <c r="N644" i="2"/>
  <c r="AO784" i="3" s="1"/>
  <c r="AR784" i="3" s="1"/>
  <c r="L644" i="2"/>
  <c r="W643" i="2"/>
  <c r="V643" i="2"/>
  <c r="U643" i="2"/>
  <c r="T643" i="2"/>
  <c r="S643" i="2"/>
  <c r="R643" i="2"/>
  <c r="Q643" i="2"/>
  <c r="P643" i="2"/>
  <c r="O643" i="2"/>
  <c r="N643" i="2"/>
  <c r="AO783" i="3" s="1"/>
  <c r="AR783" i="3" s="1"/>
  <c r="L643" i="2"/>
  <c r="W642" i="2"/>
  <c r="V642" i="2"/>
  <c r="U642" i="2"/>
  <c r="T642" i="2"/>
  <c r="S642" i="2"/>
  <c r="R642" i="2"/>
  <c r="Q642" i="2"/>
  <c r="P642" i="2"/>
  <c r="N642" i="2"/>
  <c r="L642" i="2"/>
  <c r="W641" i="2"/>
  <c r="V641" i="2"/>
  <c r="U641" i="2"/>
  <c r="T641" i="2"/>
  <c r="S641" i="2"/>
  <c r="R641" i="2"/>
  <c r="Q641" i="2"/>
  <c r="P641" i="2"/>
  <c r="O641" i="2"/>
  <c r="N641" i="2"/>
  <c r="AO781" i="3" s="1"/>
  <c r="AR781" i="3" s="1"/>
  <c r="L641" i="2"/>
  <c r="W640" i="2"/>
  <c r="V640" i="2"/>
  <c r="U640" i="2"/>
  <c r="T640" i="2"/>
  <c r="S640" i="2"/>
  <c r="R640" i="2"/>
  <c r="Q640" i="2"/>
  <c r="P640" i="2"/>
  <c r="O640" i="2"/>
  <c r="N640" i="2"/>
  <c r="AO780" i="3" s="1"/>
  <c r="AR780" i="3" s="1"/>
  <c r="L640" i="2"/>
  <c r="W639" i="2"/>
  <c r="V639" i="2"/>
  <c r="U639" i="2"/>
  <c r="T639" i="2"/>
  <c r="S639" i="2"/>
  <c r="R639" i="2"/>
  <c r="Q639" i="2"/>
  <c r="P639" i="2"/>
  <c r="N639" i="2"/>
  <c r="AO779" i="3" s="1"/>
  <c r="AR779" i="3" s="1"/>
  <c r="L639" i="2"/>
  <c r="W638" i="2"/>
  <c r="V638" i="2"/>
  <c r="U638" i="2"/>
  <c r="T638" i="2"/>
  <c r="S638" i="2"/>
  <c r="R638" i="2"/>
  <c r="Q638" i="2"/>
  <c r="P638" i="2"/>
  <c r="N638" i="2"/>
  <c r="L638" i="2"/>
  <c r="W637" i="2"/>
  <c r="V637" i="2"/>
  <c r="U637" i="2"/>
  <c r="T637" i="2"/>
  <c r="S637" i="2"/>
  <c r="R637" i="2"/>
  <c r="Q637" i="2"/>
  <c r="P637" i="2"/>
  <c r="O637" i="2"/>
  <c r="N637" i="2"/>
  <c r="AO777" i="3" s="1"/>
  <c r="AR777" i="3" s="1"/>
  <c r="L637" i="2"/>
  <c r="W636" i="2"/>
  <c r="V636" i="2"/>
  <c r="U636" i="2"/>
  <c r="T636" i="2"/>
  <c r="S636" i="2"/>
  <c r="R636" i="2"/>
  <c r="Q636" i="2"/>
  <c r="P636" i="2"/>
  <c r="N636" i="2"/>
  <c r="AO776" i="3" s="1"/>
  <c r="AR776" i="3" s="1"/>
  <c r="L636" i="2"/>
  <c r="W635" i="2"/>
  <c r="V635" i="2"/>
  <c r="U635" i="2"/>
  <c r="T635" i="2"/>
  <c r="S635" i="2"/>
  <c r="R635" i="2"/>
  <c r="Q635" i="2"/>
  <c r="P635" i="2"/>
  <c r="N635" i="2"/>
  <c r="AO775" i="3" s="1"/>
  <c r="AR775" i="3" s="1"/>
  <c r="L635" i="2"/>
  <c r="W634" i="2"/>
  <c r="V634" i="2"/>
  <c r="U634" i="2"/>
  <c r="T634" i="2"/>
  <c r="S634" i="2"/>
  <c r="R634" i="2"/>
  <c r="Q634" i="2"/>
  <c r="P634" i="2"/>
  <c r="N634" i="2"/>
  <c r="L634" i="2"/>
  <c r="W633" i="2"/>
  <c r="V633" i="2"/>
  <c r="U633" i="2"/>
  <c r="T633" i="2"/>
  <c r="S633" i="2"/>
  <c r="R633" i="2"/>
  <c r="Q633" i="2"/>
  <c r="P633" i="2"/>
  <c r="O633" i="2"/>
  <c r="N633" i="2"/>
  <c r="AO773" i="3" s="1"/>
  <c r="AR773" i="3" s="1"/>
  <c r="L633" i="2"/>
  <c r="W632" i="2"/>
  <c r="V632" i="2"/>
  <c r="U632" i="2"/>
  <c r="T632" i="2"/>
  <c r="S632" i="2"/>
  <c r="R632" i="2"/>
  <c r="Q632" i="2"/>
  <c r="P632" i="2"/>
  <c r="N632" i="2"/>
  <c r="AO772" i="3" s="1"/>
  <c r="AR772" i="3" s="1"/>
  <c r="L632" i="2"/>
  <c r="W631" i="2"/>
  <c r="V631" i="2"/>
  <c r="U631" i="2"/>
  <c r="T631" i="2"/>
  <c r="S631" i="2"/>
  <c r="R631" i="2"/>
  <c r="Q631" i="2"/>
  <c r="P631" i="2"/>
  <c r="O631" i="2"/>
  <c r="N631" i="2"/>
  <c r="AO771" i="3" s="1"/>
  <c r="AR771" i="3" s="1"/>
  <c r="L631" i="2"/>
  <c r="W630" i="2"/>
  <c r="V630" i="2"/>
  <c r="U630" i="2"/>
  <c r="T630" i="2"/>
  <c r="S630" i="2"/>
  <c r="R630" i="2"/>
  <c r="Q630" i="2"/>
  <c r="P630" i="2"/>
  <c r="N630" i="2"/>
  <c r="L630" i="2"/>
  <c r="W629" i="2"/>
  <c r="V629" i="2"/>
  <c r="U629" i="2"/>
  <c r="T629" i="2"/>
  <c r="S629" i="2"/>
  <c r="R629" i="2"/>
  <c r="Q629" i="2"/>
  <c r="P629" i="2"/>
  <c r="O629" i="2"/>
  <c r="N629" i="2"/>
  <c r="AO769" i="3" s="1"/>
  <c r="AR769" i="3" s="1"/>
  <c r="L629" i="2"/>
  <c r="W628" i="2"/>
  <c r="V628" i="2"/>
  <c r="U628" i="2"/>
  <c r="T628" i="2"/>
  <c r="S628" i="2"/>
  <c r="R628" i="2"/>
  <c r="Q628" i="2"/>
  <c r="P628" i="2"/>
  <c r="O628" i="2"/>
  <c r="N628" i="2"/>
  <c r="AO768" i="3" s="1"/>
  <c r="AR768" i="3" s="1"/>
  <c r="L628" i="2"/>
  <c r="W627" i="2"/>
  <c r="V627" i="2"/>
  <c r="U627" i="2"/>
  <c r="T627" i="2"/>
  <c r="S627" i="2"/>
  <c r="R627" i="2"/>
  <c r="Q627" i="2"/>
  <c r="P627" i="2"/>
  <c r="O627" i="2"/>
  <c r="N627" i="2"/>
  <c r="AO767" i="3" s="1"/>
  <c r="AR767" i="3" s="1"/>
  <c r="L627" i="2"/>
  <c r="W626" i="2"/>
  <c r="V626" i="2"/>
  <c r="U626" i="2"/>
  <c r="T626" i="2"/>
  <c r="S626" i="2"/>
  <c r="R626" i="2"/>
  <c r="Q626" i="2"/>
  <c r="P626" i="2"/>
  <c r="N626" i="2"/>
  <c r="L626" i="2"/>
  <c r="W625" i="2"/>
  <c r="V625" i="2"/>
  <c r="U625" i="2"/>
  <c r="T625" i="2"/>
  <c r="S625" i="2"/>
  <c r="R625" i="2"/>
  <c r="Q625" i="2"/>
  <c r="P625" i="2"/>
  <c r="O625" i="2"/>
  <c r="N625" i="2"/>
  <c r="AO765" i="3" s="1"/>
  <c r="AR765" i="3" s="1"/>
  <c r="L625" i="2"/>
  <c r="W624" i="2"/>
  <c r="V624" i="2"/>
  <c r="U624" i="2"/>
  <c r="T624" i="2"/>
  <c r="S624" i="2"/>
  <c r="R624" i="2"/>
  <c r="Q624" i="2"/>
  <c r="P624" i="2"/>
  <c r="O624" i="2"/>
  <c r="N624" i="2"/>
  <c r="AO764" i="3" s="1"/>
  <c r="AR764" i="3" s="1"/>
  <c r="L624" i="2"/>
  <c r="W623" i="2"/>
  <c r="V623" i="2"/>
  <c r="U623" i="2"/>
  <c r="T623" i="2"/>
  <c r="S623" i="2"/>
  <c r="R623" i="2"/>
  <c r="Q623" i="2"/>
  <c r="P623" i="2"/>
  <c r="N623" i="2"/>
  <c r="AO763" i="3" s="1"/>
  <c r="AR763" i="3" s="1"/>
  <c r="L623" i="2"/>
  <c r="W622" i="2"/>
  <c r="V622" i="2"/>
  <c r="U622" i="2"/>
  <c r="T622" i="2"/>
  <c r="S622" i="2"/>
  <c r="R622" i="2"/>
  <c r="Q622" i="2"/>
  <c r="P622" i="2"/>
  <c r="N622" i="2"/>
  <c r="L622" i="2"/>
  <c r="W621" i="2"/>
  <c r="V621" i="2"/>
  <c r="U621" i="2"/>
  <c r="T621" i="2"/>
  <c r="S621" i="2"/>
  <c r="R621" i="2"/>
  <c r="Q621" i="2"/>
  <c r="P621" i="2"/>
  <c r="O621" i="2"/>
  <c r="N621" i="2"/>
  <c r="AO761" i="3" s="1"/>
  <c r="AR761" i="3" s="1"/>
  <c r="L621" i="2"/>
  <c r="W620" i="2"/>
  <c r="V620" i="2"/>
  <c r="U620" i="2"/>
  <c r="T620" i="2"/>
  <c r="S620" i="2"/>
  <c r="R620" i="2"/>
  <c r="Q620" i="2"/>
  <c r="P620" i="2"/>
  <c r="N620" i="2"/>
  <c r="AO760" i="3" s="1"/>
  <c r="AR760" i="3" s="1"/>
  <c r="L620" i="2"/>
  <c r="W619" i="2"/>
  <c r="V619" i="2"/>
  <c r="U619" i="2"/>
  <c r="T619" i="2"/>
  <c r="S619" i="2"/>
  <c r="R619" i="2"/>
  <c r="Q619" i="2"/>
  <c r="P619" i="2"/>
  <c r="N619" i="2"/>
  <c r="AO759" i="3" s="1"/>
  <c r="AR759" i="3" s="1"/>
  <c r="L619" i="2"/>
  <c r="W618" i="2"/>
  <c r="V618" i="2"/>
  <c r="U618" i="2"/>
  <c r="T618" i="2"/>
  <c r="S618" i="2"/>
  <c r="R618" i="2"/>
  <c r="Q618" i="2"/>
  <c r="P618" i="2"/>
  <c r="N618" i="2"/>
  <c r="L618" i="2"/>
  <c r="W617" i="2"/>
  <c r="V617" i="2"/>
  <c r="U617" i="2"/>
  <c r="T617" i="2"/>
  <c r="S617" i="2"/>
  <c r="R617" i="2"/>
  <c r="Q617" i="2"/>
  <c r="P617" i="2"/>
  <c r="O617" i="2"/>
  <c r="N617" i="2"/>
  <c r="AO757" i="3" s="1"/>
  <c r="AR757" i="3" s="1"/>
  <c r="L617" i="2"/>
  <c r="W616" i="2"/>
  <c r="V616" i="2"/>
  <c r="U616" i="2"/>
  <c r="T616" i="2"/>
  <c r="S616" i="2"/>
  <c r="R616" i="2"/>
  <c r="Q616" i="2"/>
  <c r="P616" i="2"/>
  <c r="N616" i="2"/>
  <c r="AO756" i="3" s="1"/>
  <c r="AR756" i="3" s="1"/>
  <c r="L616" i="2"/>
  <c r="W615" i="2"/>
  <c r="V615" i="2"/>
  <c r="U615" i="2"/>
  <c r="T615" i="2"/>
  <c r="S615" i="2"/>
  <c r="R615" i="2"/>
  <c r="Q615" i="2"/>
  <c r="P615" i="2"/>
  <c r="O615" i="2"/>
  <c r="N615" i="2"/>
  <c r="AO755" i="3" s="1"/>
  <c r="AR755" i="3" s="1"/>
  <c r="L615" i="2"/>
  <c r="W614" i="2"/>
  <c r="V614" i="2"/>
  <c r="U614" i="2"/>
  <c r="T614" i="2"/>
  <c r="S614" i="2"/>
  <c r="R614" i="2"/>
  <c r="Q614" i="2"/>
  <c r="P614" i="2"/>
  <c r="N614" i="2"/>
  <c r="L614" i="2"/>
  <c r="W613" i="2"/>
  <c r="V613" i="2"/>
  <c r="U613" i="2"/>
  <c r="T613" i="2"/>
  <c r="S613" i="2"/>
  <c r="R613" i="2"/>
  <c r="Q613" i="2"/>
  <c r="P613" i="2"/>
  <c r="O613" i="2"/>
  <c r="N613" i="2"/>
  <c r="AO753" i="3" s="1"/>
  <c r="AR753" i="3" s="1"/>
  <c r="L613" i="2"/>
  <c r="W612" i="2"/>
  <c r="V612" i="2"/>
  <c r="U612" i="2"/>
  <c r="T612" i="2"/>
  <c r="S612" i="2"/>
  <c r="R612" i="2"/>
  <c r="Q612" i="2"/>
  <c r="P612" i="2"/>
  <c r="O612" i="2"/>
  <c r="N612" i="2"/>
  <c r="AO752" i="3" s="1"/>
  <c r="AR752" i="3" s="1"/>
  <c r="L612" i="2"/>
  <c r="W611" i="2"/>
  <c r="V611" i="2"/>
  <c r="U611" i="2"/>
  <c r="T611" i="2"/>
  <c r="S611" i="2"/>
  <c r="R611" i="2"/>
  <c r="Q611" i="2"/>
  <c r="P611" i="2"/>
  <c r="O611" i="2"/>
  <c r="N611" i="2"/>
  <c r="AO751" i="3" s="1"/>
  <c r="AR751" i="3" s="1"/>
  <c r="L611" i="2"/>
  <c r="W610" i="2"/>
  <c r="V610" i="2"/>
  <c r="U610" i="2"/>
  <c r="T610" i="2"/>
  <c r="S610" i="2"/>
  <c r="R610" i="2"/>
  <c r="Q610" i="2"/>
  <c r="P610" i="2"/>
  <c r="N610" i="2"/>
  <c r="L610" i="2"/>
  <c r="W609" i="2"/>
  <c r="V609" i="2"/>
  <c r="U609" i="2"/>
  <c r="T609" i="2"/>
  <c r="S609" i="2"/>
  <c r="R609" i="2"/>
  <c r="Q609" i="2"/>
  <c r="P609" i="2"/>
  <c r="O609" i="2"/>
  <c r="N609" i="2"/>
  <c r="AO749" i="3" s="1"/>
  <c r="AR749" i="3" s="1"/>
  <c r="L609" i="2"/>
  <c r="W608" i="2"/>
  <c r="V608" i="2"/>
  <c r="U608" i="2"/>
  <c r="T608" i="2"/>
  <c r="S608" i="2"/>
  <c r="R608" i="2"/>
  <c r="Q608" i="2"/>
  <c r="P608" i="2"/>
  <c r="O608" i="2"/>
  <c r="N608" i="2"/>
  <c r="AO748" i="3" s="1"/>
  <c r="AR748" i="3" s="1"/>
  <c r="L608" i="2"/>
  <c r="W607" i="2"/>
  <c r="V607" i="2"/>
  <c r="U607" i="2"/>
  <c r="T607" i="2"/>
  <c r="S607" i="2"/>
  <c r="R607" i="2"/>
  <c r="Q607" i="2"/>
  <c r="P607" i="2"/>
  <c r="N607" i="2"/>
  <c r="AO747" i="3" s="1"/>
  <c r="AR747" i="3" s="1"/>
  <c r="L607" i="2"/>
  <c r="W606" i="2"/>
  <c r="V606" i="2"/>
  <c r="U606" i="2"/>
  <c r="T606" i="2"/>
  <c r="S606" i="2"/>
  <c r="R606" i="2"/>
  <c r="Q606" i="2"/>
  <c r="P606" i="2"/>
  <c r="N606" i="2"/>
  <c r="L606" i="2"/>
  <c r="W605" i="2"/>
  <c r="V605" i="2"/>
  <c r="U605" i="2"/>
  <c r="T605" i="2"/>
  <c r="S605" i="2"/>
  <c r="R605" i="2"/>
  <c r="Q605" i="2"/>
  <c r="P605" i="2"/>
  <c r="O605" i="2"/>
  <c r="N605" i="2"/>
  <c r="AO745" i="3" s="1"/>
  <c r="AR745" i="3" s="1"/>
  <c r="L605" i="2"/>
  <c r="W604" i="2"/>
  <c r="V604" i="2"/>
  <c r="U604" i="2"/>
  <c r="T604" i="2"/>
  <c r="S604" i="2"/>
  <c r="R604" i="2"/>
  <c r="Q604" i="2"/>
  <c r="P604" i="2"/>
  <c r="N604" i="2"/>
  <c r="AO744" i="3" s="1"/>
  <c r="AR744" i="3" s="1"/>
  <c r="L604" i="2"/>
  <c r="M604" i="2" s="1"/>
  <c r="W603" i="2"/>
  <c r="V603" i="2"/>
  <c r="U603" i="2"/>
  <c r="T603" i="2"/>
  <c r="S603" i="2"/>
  <c r="R603" i="2"/>
  <c r="Q603" i="2"/>
  <c r="P603" i="2"/>
  <c r="N603" i="2"/>
  <c r="AO743" i="3" s="1"/>
  <c r="AR743" i="3" s="1"/>
  <c r="L603" i="2"/>
  <c r="W602" i="2"/>
  <c r="V602" i="2"/>
  <c r="U602" i="2"/>
  <c r="T602" i="2"/>
  <c r="S602" i="2"/>
  <c r="R602" i="2"/>
  <c r="Q602" i="2"/>
  <c r="P602" i="2"/>
  <c r="N602" i="2"/>
  <c r="O602" i="2" s="1"/>
  <c r="L602" i="2"/>
  <c r="W601" i="2"/>
  <c r="V601" i="2"/>
  <c r="U601" i="2"/>
  <c r="T601" i="2"/>
  <c r="S601" i="2"/>
  <c r="R601" i="2"/>
  <c r="Q601" i="2"/>
  <c r="P601" i="2"/>
  <c r="O601" i="2"/>
  <c r="N601" i="2"/>
  <c r="AO741" i="3" s="1"/>
  <c r="AR741" i="3" s="1"/>
  <c r="L601" i="2"/>
  <c r="W600" i="2"/>
  <c r="V600" i="2"/>
  <c r="U600" i="2"/>
  <c r="T600" i="2"/>
  <c r="S600" i="2"/>
  <c r="R600" i="2"/>
  <c r="Q600" i="2"/>
  <c r="P600" i="2"/>
  <c r="N600" i="2"/>
  <c r="AO740" i="3" s="1"/>
  <c r="AR740" i="3" s="1"/>
  <c r="L600" i="2"/>
  <c r="W599" i="2"/>
  <c r="V599" i="2"/>
  <c r="U599" i="2"/>
  <c r="T599" i="2"/>
  <c r="S599" i="2"/>
  <c r="R599" i="2"/>
  <c r="Q599" i="2"/>
  <c r="P599" i="2"/>
  <c r="O599" i="2"/>
  <c r="N599" i="2"/>
  <c r="AO739" i="3" s="1"/>
  <c r="AR739" i="3" s="1"/>
  <c r="L599" i="2"/>
  <c r="W598" i="2"/>
  <c r="V598" i="2"/>
  <c r="U598" i="2"/>
  <c r="T598" i="2"/>
  <c r="S598" i="2"/>
  <c r="R598" i="2"/>
  <c r="Q598" i="2"/>
  <c r="P598" i="2"/>
  <c r="N598" i="2"/>
  <c r="L598" i="2"/>
  <c r="W597" i="2"/>
  <c r="V597" i="2"/>
  <c r="U597" i="2"/>
  <c r="T597" i="2"/>
  <c r="S597" i="2"/>
  <c r="R597" i="2"/>
  <c r="Q597" i="2"/>
  <c r="P597" i="2"/>
  <c r="O597" i="2"/>
  <c r="N597" i="2"/>
  <c r="AO737" i="3" s="1"/>
  <c r="AR737" i="3" s="1"/>
  <c r="L597" i="2"/>
  <c r="M597" i="2" s="1"/>
  <c r="W596" i="2"/>
  <c r="V596" i="2"/>
  <c r="U596" i="2"/>
  <c r="T596" i="2"/>
  <c r="S596" i="2"/>
  <c r="R596" i="2"/>
  <c r="Q596" i="2"/>
  <c r="P596" i="2"/>
  <c r="O596" i="2"/>
  <c r="N596" i="2"/>
  <c r="AO736" i="3" s="1"/>
  <c r="AR736" i="3" s="1"/>
  <c r="L596" i="2"/>
  <c r="W595" i="2"/>
  <c r="V595" i="2"/>
  <c r="U595" i="2"/>
  <c r="T595" i="2"/>
  <c r="S595" i="2"/>
  <c r="R595" i="2"/>
  <c r="Q595" i="2"/>
  <c r="P595" i="2"/>
  <c r="O595" i="2"/>
  <c r="N595" i="2"/>
  <c r="AO735" i="3" s="1"/>
  <c r="AR735" i="3" s="1"/>
  <c r="L595" i="2"/>
  <c r="W594" i="2"/>
  <c r="V594" i="2"/>
  <c r="U594" i="2"/>
  <c r="T594" i="2"/>
  <c r="S594" i="2"/>
  <c r="R594" i="2"/>
  <c r="Q594" i="2"/>
  <c r="P594" i="2"/>
  <c r="N594" i="2"/>
  <c r="L594" i="2"/>
  <c r="W593" i="2"/>
  <c r="V593" i="2"/>
  <c r="U593" i="2"/>
  <c r="T593" i="2"/>
  <c r="S593" i="2"/>
  <c r="R593" i="2"/>
  <c r="Q593" i="2"/>
  <c r="P593" i="2"/>
  <c r="O593" i="2"/>
  <c r="N593" i="2"/>
  <c r="AO733" i="3" s="1"/>
  <c r="AR733" i="3" s="1"/>
  <c r="L593" i="2"/>
  <c r="W592" i="2"/>
  <c r="V592" i="2"/>
  <c r="U592" i="2"/>
  <c r="T592" i="2"/>
  <c r="S592" i="2"/>
  <c r="R592" i="2"/>
  <c r="Q592" i="2"/>
  <c r="P592" i="2"/>
  <c r="O592" i="2"/>
  <c r="N592" i="2"/>
  <c r="AO732" i="3" s="1"/>
  <c r="AR732" i="3" s="1"/>
  <c r="L592" i="2"/>
  <c r="W591" i="2"/>
  <c r="V591" i="2"/>
  <c r="U591" i="2"/>
  <c r="T591" i="2"/>
  <c r="S591" i="2"/>
  <c r="R591" i="2"/>
  <c r="Q591" i="2"/>
  <c r="P591" i="2"/>
  <c r="N591" i="2"/>
  <c r="AO731" i="3" s="1"/>
  <c r="AR731" i="3" s="1"/>
  <c r="L591" i="2"/>
  <c r="W590" i="2"/>
  <c r="V590" i="2"/>
  <c r="U590" i="2"/>
  <c r="T590" i="2"/>
  <c r="S590" i="2"/>
  <c r="R590" i="2"/>
  <c r="Q590" i="2"/>
  <c r="P590" i="2"/>
  <c r="N590" i="2"/>
  <c r="L590" i="2"/>
  <c r="W589" i="2"/>
  <c r="V589" i="2"/>
  <c r="U589" i="2"/>
  <c r="T589" i="2"/>
  <c r="S589" i="2"/>
  <c r="R589" i="2"/>
  <c r="Q589" i="2"/>
  <c r="P589" i="2"/>
  <c r="O589" i="2"/>
  <c r="N589" i="2"/>
  <c r="AO729" i="3" s="1"/>
  <c r="AR729" i="3" s="1"/>
  <c r="L589" i="2"/>
  <c r="W588" i="2"/>
  <c r="V588" i="2"/>
  <c r="U588" i="2"/>
  <c r="T588" i="2"/>
  <c r="S588" i="2"/>
  <c r="R588" i="2"/>
  <c r="Q588" i="2"/>
  <c r="P588" i="2"/>
  <c r="N588" i="2"/>
  <c r="AO728" i="3" s="1"/>
  <c r="AR728" i="3" s="1"/>
  <c r="L588" i="2"/>
  <c r="W587" i="2"/>
  <c r="V587" i="2"/>
  <c r="U587" i="2"/>
  <c r="T587" i="2"/>
  <c r="S587" i="2"/>
  <c r="R587" i="2"/>
  <c r="Q587" i="2"/>
  <c r="P587" i="2"/>
  <c r="N587" i="2"/>
  <c r="AO727" i="3" s="1"/>
  <c r="AR727" i="3" s="1"/>
  <c r="L587" i="2"/>
  <c r="W586" i="2"/>
  <c r="V586" i="2"/>
  <c r="U586" i="2"/>
  <c r="T586" i="2"/>
  <c r="S586" i="2"/>
  <c r="R586" i="2"/>
  <c r="Q586" i="2"/>
  <c r="P586" i="2"/>
  <c r="N586" i="2"/>
  <c r="L586" i="2"/>
  <c r="M586" i="2" s="1"/>
  <c r="W585" i="2"/>
  <c r="V585" i="2"/>
  <c r="U585" i="2"/>
  <c r="T585" i="2"/>
  <c r="S585" i="2"/>
  <c r="R585" i="2"/>
  <c r="Q585" i="2"/>
  <c r="P585" i="2"/>
  <c r="O585" i="2"/>
  <c r="N585" i="2"/>
  <c r="AO725" i="3" s="1"/>
  <c r="AR725" i="3" s="1"/>
  <c r="L585" i="2"/>
  <c r="W584" i="2"/>
  <c r="V584" i="2"/>
  <c r="U584" i="2"/>
  <c r="T584" i="2"/>
  <c r="S584" i="2"/>
  <c r="R584" i="2"/>
  <c r="Q584" i="2"/>
  <c r="P584" i="2"/>
  <c r="N584" i="2"/>
  <c r="AO724" i="3" s="1"/>
  <c r="AR724" i="3" s="1"/>
  <c r="L584" i="2"/>
  <c r="W583" i="2"/>
  <c r="V583" i="2"/>
  <c r="U583" i="2"/>
  <c r="T583" i="2"/>
  <c r="S583" i="2"/>
  <c r="R583" i="2"/>
  <c r="Q583" i="2"/>
  <c r="P583" i="2"/>
  <c r="O583" i="2"/>
  <c r="N583" i="2"/>
  <c r="AO723" i="3" s="1"/>
  <c r="AR723" i="3" s="1"/>
  <c r="L583" i="2"/>
  <c r="W582" i="2"/>
  <c r="V582" i="2"/>
  <c r="U582" i="2"/>
  <c r="T582" i="2"/>
  <c r="S582" i="2"/>
  <c r="R582" i="2"/>
  <c r="Q582" i="2"/>
  <c r="P582" i="2"/>
  <c r="N582" i="2"/>
  <c r="L582" i="2"/>
  <c r="W581" i="2"/>
  <c r="V581" i="2"/>
  <c r="U581" i="2"/>
  <c r="T581" i="2"/>
  <c r="S581" i="2"/>
  <c r="R581" i="2"/>
  <c r="Q581" i="2"/>
  <c r="P581" i="2"/>
  <c r="O581" i="2"/>
  <c r="N581" i="2"/>
  <c r="AO721" i="3" s="1"/>
  <c r="AR721" i="3" s="1"/>
  <c r="L581" i="2"/>
  <c r="W580" i="2"/>
  <c r="V580" i="2"/>
  <c r="U580" i="2"/>
  <c r="T580" i="2"/>
  <c r="S580" i="2"/>
  <c r="R580" i="2"/>
  <c r="Q580" i="2"/>
  <c r="P580" i="2"/>
  <c r="O580" i="2"/>
  <c r="N580" i="2"/>
  <c r="AO720" i="3" s="1"/>
  <c r="AR720" i="3" s="1"/>
  <c r="L580" i="2"/>
  <c r="W579" i="2"/>
  <c r="V579" i="2"/>
  <c r="U579" i="2"/>
  <c r="T579" i="2"/>
  <c r="S579" i="2"/>
  <c r="R579" i="2"/>
  <c r="Q579" i="2"/>
  <c r="P579" i="2"/>
  <c r="O579" i="2"/>
  <c r="N579" i="2"/>
  <c r="AO719" i="3" s="1"/>
  <c r="AR719" i="3" s="1"/>
  <c r="L579" i="2"/>
  <c r="W578" i="2"/>
  <c r="V578" i="2"/>
  <c r="U578" i="2"/>
  <c r="T578" i="2"/>
  <c r="S578" i="2"/>
  <c r="R578" i="2"/>
  <c r="Q578" i="2"/>
  <c r="P578" i="2"/>
  <c r="N578" i="2"/>
  <c r="L578" i="2"/>
  <c r="W577" i="2"/>
  <c r="V577" i="2"/>
  <c r="U577" i="2"/>
  <c r="T577" i="2"/>
  <c r="S577" i="2"/>
  <c r="R577" i="2"/>
  <c r="Q577" i="2"/>
  <c r="P577" i="2"/>
  <c r="O577" i="2"/>
  <c r="N577" i="2"/>
  <c r="AO717" i="3" s="1"/>
  <c r="AR717" i="3" s="1"/>
  <c r="L577" i="2"/>
  <c r="W576" i="2"/>
  <c r="V576" i="2"/>
  <c r="U576" i="2"/>
  <c r="T576" i="2"/>
  <c r="S576" i="2"/>
  <c r="R576" i="2"/>
  <c r="Q576" i="2"/>
  <c r="P576" i="2"/>
  <c r="O576" i="2"/>
  <c r="N576" i="2"/>
  <c r="AO716" i="3" s="1"/>
  <c r="AR716" i="3" s="1"/>
  <c r="L576" i="2"/>
  <c r="W575" i="2"/>
  <c r="V575" i="2"/>
  <c r="U575" i="2"/>
  <c r="T575" i="2"/>
  <c r="S575" i="2"/>
  <c r="R575" i="2"/>
  <c r="Q575" i="2"/>
  <c r="P575" i="2"/>
  <c r="N575" i="2"/>
  <c r="AO715" i="3" s="1"/>
  <c r="AR715" i="3" s="1"/>
  <c r="L575" i="2"/>
  <c r="W574" i="2"/>
  <c r="V574" i="2"/>
  <c r="U574" i="2"/>
  <c r="T574" i="2"/>
  <c r="S574" i="2"/>
  <c r="R574" i="2"/>
  <c r="Q574" i="2"/>
  <c r="P574" i="2"/>
  <c r="N574" i="2"/>
  <c r="L574" i="2"/>
  <c r="W573" i="2"/>
  <c r="V573" i="2"/>
  <c r="U573" i="2"/>
  <c r="T573" i="2"/>
  <c r="S573" i="2"/>
  <c r="R573" i="2"/>
  <c r="Q573" i="2"/>
  <c r="P573" i="2"/>
  <c r="O573" i="2"/>
  <c r="N573" i="2"/>
  <c r="AO713" i="3" s="1"/>
  <c r="AR713" i="3" s="1"/>
  <c r="L573" i="2"/>
  <c r="W572" i="2"/>
  <c r="V572" i="2"/>
  <c r="U572" i="2"/>
  <c r="T572" i="2"/>
  <c r="S572" i="2"/>
  <c r="R572" i="2"/>
  <c r="Q572" i="2"/>
  <c r="P572" i="2"/>
  <c r="N572" i="2"/>
  <c r="AO712" i="3" s="1"/>
  <c r="AR712" i="3" s="1"/>
  <c r="L572" i="2"/>
  <c r="W571" i="2"/>
  <c r="V571" i="2"/>
  <c r="U571" i="2"/>
  <c r="T571" i="2"/>
  <c r="S571" i="2"/>
  <c r="R571" i="2"/>
  <c r="Q571" i="2"/>
  <c r="P571" i="2"/>
  <c r="N571" i="2"/>
  <c r="AO711" i="3" s="1"/>
  <c r="AR711" i="3" s="1"/>
  <c r="L571" i="2"/>
  <c r="W570" i="2"/>
  <c r="V570" i="2"/>
  <c r="U570" i="2"/>
  <c r="T570" i="2"/>
  <c r="S570" i="2"/>
  <c r="R570" i="2"/>
  <c r="Q570" i="2"/>
  <c r="P570" i="2"/>
  <c r="N570" i="2"/>
  <c r="L570" i="2"/>
  <c r="W569" i="2"/>
  <c r="V569" i="2"/>
  <c r="U569" i="2"/>
  <c r="T569" i="2"/>
  <c r="S569" i="2"/>
  <c r="R569" i="2"/>
  <c r="Q569" i="2"/>
  <c r="P569" i="2"/>
  <c r="O569" i="2"/>
  <c r="N569" i="2"/>
  <c r="AO709" i="3" s="1"/>
  <c r="AR709" i="3" s="1"/>
  <c r="L569" i="2"/>
  <c r="W568" i="2"/>
  <c r="V568" i="2"/>
  <c r="U568" i="2"/>
  <c r="T568" i="2"/>
  <c r="S568" i="2"/>
  <c r="R568" i="2"/>
  <c r="Q568" i="2"/>
  <c r="P568" i="2"/>
  <c r="N568" i="2"/>
  <c r="AO708" i="3" s="1"/>
  <c r="AR708" i="3" s="1"/>
  <c r="L568" i="2"/>
  <c r="W567" i="2"/>
  <c r="V567" i="2"/>
  <c r="U567" i="2"/>
  <c r="T567" i="2"/>
  <c r="S567" i="2"/>
  <c r="R567" i="2"/>
  <c r="Q567" i="2"/>
  <c r="P567" i="2"/>
  <c r="O567" i="2"/>
  <c r="N567" i="2"/>
  <c r="AO707" i="3" s="1"/>
  <c r="AR707" i="3" s="1"/>
  <c r="L567" i="2"/>
  <c r="W566" i="2"/>
  <c r="V566" i="2"/>
  <c r="U566" i="2"/>
  <c r="T566" i="2"/>
  <c r="S566" i="2"/>
  <c r="R566" i="2"/>
  <c r="Q566" i="2"/>
  <c r="P566" i="2"/>
  <c r="N566" i="2"/>
  <c r="L566" i="2"/>
  <c r="W565" i="2"/>
  <c r="V565" i="2"/>
  <c r="U565" i="2"/>
  <c r="T565" i="2"/>
  <c r="S565" i="2"/>
  <c r="R565" i="2"/>
  <c r="Q565" i="2"/>
  <c r="P565" i="2"/>
  <c r="O565" i="2"/>
  <c r="N565" i="2"/>
  <c r="AO705" i="3" s="1"/>
  <c r="AR705" i="3" s="1"/>
  <c r="L565" i="2"/>
  <c r="W564" i="2"/>
  <c r="V564" i="2"/>
  <c r="U564" i="2"/>
  <c r="T564" i="2"/>
  <c r="S564" i="2"/>
  <c r="R564" i="2"/>
  <c r="Q564" i="2"/>
  <c r="P564" i="2"/>
  <c r="O564" i="2"/>
  <c r="N564" i="2"/>
  <c r="AO704" i="3" s="1"/>
  <c r="AR704" i="3" s="1"/>
  <c r="L564" i="2"/>
  <c r="W563" i="2"/>
  <c r="V563" i="2"/>
  <c r="U563" i="2"/>
  <c r="T563" i="2"/>
  <c r="S563" i="2"/>
  <c r="R563" i="2"/>
  <c r="Q563" i="2"/>
  <c r="P563" i="2"/>
  <c r="O563" i="2"/>
  <c r="N563" i="2"/>
  <c r="AO703" i="3" s="1"/>
  <c r="AR703" i="3" s="1"/>
  <c r="L563" i="2"/>
  <c r="W562" i="2"/>
  <c r="V562" i="2"/>
  <c r="U562" i="2"/>
  <c r="T562" i="2"/>
  <c r="S562" i="2"/>
  <c r="R562" i="2"/>
  <c r="Q562" i="2"/>
  <c r="P562" i="2"/>
  <c r="N562" i="2"/>
  <c r="L562" i="2"/>
  <c r="W561" i="2"/>
  <c r="V561" i="2"/>
  <c r="U561" i="2"/>
  <c r="T561" i="2"/>
  <c r="S561" i="2"/>
  <c r="R561" i="2"/>
  <c r="Q561" i="2"/>
  <c r="P561" i="2"/>
  <c r="O561" i="2"/>
  <c r="N561" i="2"/>
  <c r="AO701" i="3" s="1"/>
  <c r="AR701" i="3" s="1"/>
  <c r="L561" i="2"/>
  <c r="W560" i="2"/>
  <c r="V560" i="2"/>
  <c r="U560" i="2"/>
  <c r="T560" i="2"/>
  <c r="S560" i="2"/>
  <c r="R560" i="2"/>
  <c r="Q560" i="2"/>
  <c r="P560" i="2"/>
  <c r="O560" i="2"/>
  <c r="N560" i="2"/>
  <c r="AO700" i="3" s="1"/>
  <c r="AR700" i="3" s="1"/>
  <c r="L560" i="2"/>
  <c r="W559" i="2"/>
  <c r="V559" i="2"/>
  <c r="U559" i="2"/>
  <c r="T559" i="2"/>
  <c r="S559" i="2"/>
  <c r="R559" i="2"/>
  <c r="Q559" i="2"/>
  <c r="P559" i="2"/>
  <c r="N559" i="2"/>
  <c r="AO699" i="3" s="1"/>
  <c r="AR699" i="3" s="1"/>
  <c r="L559" i="2"/>
  <c r="W558" i="2"/>
  <c r="V558" i="2"/>
  <c r="U558" i="2"/>
  <c r="T558" i="2"/>
  <c r="S558" i="2"/>
  <c r="R558" i="2"/>
  <c r="Q558" i="2"/>
  <c r="P558" i="2"/>
  <c r="N558" i="2"/>
  <c r="L558" i="2"/>
  <c r="W557" i="2"/>
  <c r="V557" i="2"/>
  <c r="U557" i="2"/>
  <c r="T557" i="2"/>
  <c r="S557" i="2"/>
  <c r="R557" i="2"/>
  <c r="Q557" i="2"/>
  <c r="P557" i="2"/>
  <c r="O557" i="2"/>
  <c r="N557" i="2"/>
  <c r="L557" i="2"/>
  <c r="W556" i="2"/>
  <c r="V556" i="2"/>
  <c r="U556" i="2"/>
  <c r="T556" i="2"/>
  <c r="S556" i="2"/>
  <c r="R556" i="2"/>
  <c r="Q556" i="2"/>
  <c r="P556" i="2"/>
  <c r="N556" i="2"/>
  <c r="AO696" i="3" s="1"/>
  <c r="AR696" i="3" s="1"/>
  <c r="L556" i="2"/>
  <c r="W555" i="2"/>
  <c r="V555" i="2"/>
  <c r="U555" i="2"/>
  <c r="T555" i="2"/>
  <c r="S555" i="2"/>
  <c r="R555" i="2"/>
  <c r="Q555" i="2"/>
  <c r="P555" i="2"/>
  <c r="N555" i="2"/>
  <c r="AO695" i="3" s="1"/>
  <c r="AR695" i="3" s="1"/>
  <c r="L555" i="2"/>
  <c r="W554" i="2"/>
  <c r="V554" i="2"/>
  <c r="U554" i="2"/>
  <c r="T554" i="2"/>
  <c r="S554" i="2"/>
  <c r="R554" i="2"/>
  <c r="Q554" i="2"/>
  <c r="P554" i="2"/>
  <c r="N554" i="2"/>
  <c r="L554" i="2"/>
  <c r="W553" i="2"/>
  <c r="V553" i="2"/>
  <c r="U553" i="2"/>
  <c r="T553" i="2"/>
  <c r="S553" i="2"/>
  <c r="R553" i="2"/>
  <c r="Q553" i="2"/>
  <c r="P553" i="2"/>
  <c r="O553" i="2"/>
  <c r="N553" i="2"/>
  <c r="AO693" i="3" s="1"/>
  <c r="AR693" i="3" s="1"/>
  <c r="L553" i="2"/>
  <c r="W552" i="2"/>
  <c r="V552" i="2"/>
  <c r="U552" i="2"/>
  <c r="T552" i="2"/>
  <c r="S552" i="2"/>
  <c r="R552" i="2"/>
  <c r="Q552" i="2"/>
  <c r="P552" i="2"/>
  <c r="N552" i="2"/>
  <c r="AO692" i="3" s="1"/>
  <c r="AR692" i="3" s="1"/>
  <c r="L552" i="2"/>
  <c r="W551" i="2"/>
  <c r="V551" i="2"/>
  <c r="U551" i="2"/>
  <c r="T551" i="2"/>
  <c r="S551" i="2"/>
  <c r="R551" i="2"/>
  <c r="Q551" i="2"/>
  <c r="P551" i="2"/>
  <c r="O551" i="2"/>
  <c r="N551" i="2"/>
  <c r="AO691" i="3" s="1"/>
  <c r="AR691" i="3" s="1"/>
  <c r="L551" i="2"/>
  <c r="W550" i="2"/>
  <c r="V550" i="2"/>
  <c r="U550" i="2"/>
  <c r="T550" i="2"/>
  <c r="S550" i="2"/>
  <c r="R550" i="2"/>
  <c r="Q550" i="2"/>
  <c r="P550" i="2"/>
  <c r="N550" i="2"/>
  <c r="L550" i="2"/>
  <c r="W549" i="2"/>
  <c r="V549" i="2"/>
  <c r="U549" i="2"/>
  <c r="T549" i="2"/>
  <c r="S549" i="2"/>
  <c r="R549" i="2"/>
  <c r="Q549" i="2"/>
  <c r="P549" i="2"/>
  <c r="O549" i="2"/>
  <c r="N549" i="2"/>
  <c r="AO689" i="3" s="1"/>
  <c r="AR689" i="3" s="1"/>
  <c r="L549" i="2"/>
  <c r="W548" i="2"/>
  <c r="V548" i="2"/>
  <c r="U548" i="2"/>
  <c r="T548" i="2"/>
  <c r="S548" i="2"/>
  <c r="R548" i="2"/>
  <c r="Q548" i="2"/>
  <c r="P548" i="2"/>
  <c r="O548" i="2"/>
  <c r="N548" i="2"/>
  <c r="AO688" i="3" s="1"/>
  <c r="AR688" i="3" s="1"/>
  <c r="L548" i="2"/>
  <c r="W547" i="2"/>
  <c r="V547" i="2"/>
  <c r="U547" i="2"/>
  <c r="T547" i="2"/>
  <c r="S547" i="2"/>
  <c r="R547" i="2"/>
  <c r="Q547" i="2"/>
  <c r="P547" i="2"/>
  <c r="O547" i="2"/>
  <c r="N547" i="2"/>
  <c r="AO687" i="3" s="1"/>
  <c r="AR687" i="3" s="1"/>
  <c r="L547" i="2"/>
  <c r="W546" i="2"/>
  <c r="V546" i="2"/>
  <c r="U546" i="2"/>
  <c r="T546" i="2"/>
  <c r="S546" i="2"/>
  <c r="R546" i="2"/>
  <c r="Q546" i="2"/>
  <c r="P546" i="2"/>
  <c r="N546" i="2"/>
  <c r="L546" i="2"/>
  <c r="W545" i="2"/>
  <c r="V545" i="2"/>
  <c r="U545" i="2"/>
  <c r="T545" i="2"/>
  <c r="S545" i="2"/>
  <c r="R545" i="2"/>
  <c r="Q545" i="2"/>
  <c r="P545" i="2"/>
  <c r="O545" i="2"/>
  <c r="N545" i="2"/>
  <c r="L545" i="2"/>
  <c r="W544" i="2"/>
  <c r="V544" i="2"/>
  <c r="U544" i="2"/>
  <c r="T544" i="2"/>
  <c r="S544" i="2"/>
  <c r="R544" i="2"/>
  <c r="Q544" i="2"/>
  <c r="P544" i="2"/>
  <c r="O544" i="2"/>
  <c r="N544" i="2"/>
  <c r="AO684" i="3" s="1"/>
  <c r="AR684" i="3" s="1"/>
  <c r="L544" i="2"/>
  <c r="W543" i="2"/>
  <c r="V543" i="2"/>
  <c r="U543" i="2"/>
  <c r="T543" i="2"/>
  <c r="S543" i="2"/>
  <c r="R543" i="2"/>
  <c r="Q543" i="2"/>
  <c r="P543" i="2"/>
  <c r="N543" i="2"/>
  <c r="AO683" i="3" s="1"/>
  <c r="AR683" i="3" s="1"/>
  <c r="L543" i="2"/>
  <c r="W542" i="2"/>
  <c r="V542" i="2"/>
  <c r="U542" i="2"/>
  <c r="T542" i="2"/>
  <c r="S542" i="2"/>
  <c r="R542" i="2"/>
  <c r="Q542" i="2"/>
  <c r="P542" i="2"/>
  <c r="N542" i="2"/>
  <c r="L542" i="2"/>
  <c r="W541" i="2"/>
  <c r="V541" i="2"/>
  <c r="U541" i="2"/>
  <c r="T541" i="2"/>
  <c r="S541" i="2"/>
  <c r="R541" i="2"/>
  <c r="Q541" i="2"/>
  <c r="P541" i="2"/>
  <c r="O541" i="2"/>
  <c r="N541" i="2"/>
  <c r="L541" i="2"/>
  <c r="W540" i="2"/>
  <c r="V540" i="2"/>
  <c r="U540" i="2"/>
  <c r="T540" i="2"/>
  <c r="S540" i="2"/>
  <c r="R540" i="2"/>
  <c r="Q540" i="2"/>
  <c r="P540" i="2"/>
  <c r="N540" i="2"/>
  <c r="AO680" i="3" s="1"/>
  <c r="AR680" i="3" s="1"/>
  <c r="L540" i="2"/>
  <c r="W539" i="2"/>
  <c r="V539" i="2"/>
  <c r="U539" i="2"/>
  <c r="T539" i="2"/>
  <c r="S539" i="2"/>
  <c r="R539" i="2"/>
  <c r="Q539" i="2"/>
  <c r="P539" i="2"/>
  <c r="N539" i="2"/>
  <c r="AO679" i="3" s="1"/>
  <c r="AR679" i="3" s="1"/>
  <c r="L539" i="2"/>
  <c r="W538" i="2"/>
  <c r="V538" i="2"/>
  <c r="U538" i="2"/>
  <c r="T538" i="2"/>
  <c r="S538" i="2"/>
  <c r="R538" i="2"/>
  <c r="Q538" i="2"/>
  <c r="P538" i="2"/>
  <c r="N538" i="2"/>
  <c r="L538" i="2"/>
  <c r="W537" i="2"/>
  <c r="V537" i="2"/>
  <c r="U537" i="2"/>
  <c r="T537" i="2"/>
  <c r="S537" i="2"/>
  <c r="R537" i="2"/>
  <c r="Q537" i="2"/>
  <c r="P537" i="2"/>
  <c r="O537" i="2"/>
  <c r="N537" i="2"/>
  <c r="AO677" i="3" s="1"/>
  <c r="AR677" i="3" s="1"/>
  <c r="L537" i="2"/>
  <c r="W536" i="2"/>
  <c r="V536" i="2"/>
  <c r="U536" i="2"/>
  <c r="T536" i="2"/>
  <c r="S536" i="2"/>
  <c r="R536" i="2"/>
  <c r="Q536" i="2"/>
  <c r="P536" i="2"/>
  <c r="N536" i="2"/>
  <c r="AO676" i="3" s="1"/>
  <c r="AR676" i="3" s="1"/>
  <c r="L536" i="2"/>
  <c r="W535" i="2"/>
  <c r="V535" i="2"/>
  <c r="U535" i="2"/>
  <c r="T535" i="2"/>
  <c r="S535" i="2"/>
  <c r="R535" i="2"/>
  <c r="Q535" i="2"/>
  <c r="P535" i="2"/>
  <c r="O535" i="2"/>
  <c r="N535" i="2"/>
  <c r="AO675" i="3" s="1"/>
  <c r="AR675" i="3" s="1"/>
  <c r="L535" i="2"/>
  <c r="W534" i="2"/>
  <c r="V534" i="2"/>
  <c r="U534" i="2"/>
  <c r="T534" i="2"/>
  <c r="S534" i="2"/>
  <c r="R534" i="2"/>
  <c r="Q534" i="2"/>
  <c r="P534" i="2"/>
  <c r="N534" i="2"/>
  <c r="L534" i="2"/>
  <c r="W533" i="2"/>
  <c r="V533" i="2"/>
  <c r="U533" i="2"/>
  <c r="T533" i="2"/>
  <c r="S533" i="2"/>
  <c r="R533" i="2"/>
  <c r="Q533" i="2"/>
  <c r="P533" i="2"/>
  <c r="O533" i="2"/>
  <c r="N533" i="2"/>
  <c r="AO673" i="3" s="1"/>
  <c r="AR673" i="3" s="1"/>
  <c r="L533" i="2"/>
  <c r="W532" i="2"/>
  <c r="V532" i="2"/>
  <c r="U532" i="2"/>
  <c r="T532" i="2"/>
  <c r="S532" i="2"/>
  <c r="R532" i="2"/>
  <c r="Q532" i="2"/>
  <c r="P532" i="2"/>
  <c r="O532" i="2"/>
  <c r="N532" i="2"/>
  <c r="AO672" i="3" s="1"/>
  <c r="AR672" i="3" s="1"/>
  <c r="L532" i="2"/>
  <c r="W531" i="2"/>
  <c r="V531" i="2"/>
  <c r="U531" i="2"/>
  <c r="T531" i="2"/>
  <c r="S531" i="2"/>
  <c r="R531" i="2"/>
  <c r="Q531" i="2"/>
  <c r="P531" i="2"/>
  <c r="O531" i="2"/>
  <c r="N531" i="2"/>
  <c r="AO671" i="3" s="1"/>
  <c r="AR671" i="3" s="1"/>
  <c r="L531" i="2"/>
  <c r="W530" i="2"/>
  <c r="V530" i="2"/>
  <c r="U530" i="2"/>
  <c r="T530" i="2"/>
  <c r="S530" i="2"/>
  <c r="R530" i="2"/>
  <c r="Q530" i="2"/>
  <c r="P530" i="2"/>
  <c r="N530" i="2"/>
  <c r="O530" i="2" s="1"/>
  <c r="L530" i="2"/>
  <c r="M530" i="2" s="1"/>
  <c r="W529" i="2"/>
  <c r="V529" i="2"/>
  <c r="U529" i="2"/>
  <c r="T529" i="2"/>
  <c r="S529" i="2"/>
  <c r="R529" i="2"/>
  <c r="Q529" i="2"/>
  <c r="P529" i="2"/>
  <c r="O529" i="2"/>
  <c r="N529" i="2"/>
  <c r="L529" i="2"/>
  <c r="W528" i="2"/>
  <c r="V528" i="2"/>
  <c r="U528" i="2"/>
  <c r="T528" i="2"/>
  <c r="S528" i="2"/>
  <c r="R528" i="2"/>
  <c r="Q528" i="2"/>
  <c r="P528" i="2"/>
  <c r="O528" i="2"/>
  <c r="N528" i="2"/>
  <c r="AO668" i="3" s="1"/>
  <c r="AR668" i="3" s="1"/>
  <c r="L528" i="2"/>
  <c r="W527" i="2"/>
  <c r="V527" i="2"/>
  <c r="U527" i="2"/>
  <c r="T527" i="2"/>
  <c r="S527" i="2"/>
  <c r="R527" i="2"/>
  <c r="Q527" i="2"/>
  <c r="P527" i="2"/>
  <c r="N527" i="2"/>
  <c r="AO667" i="3" s="1"/>
  <c r="AR667" i="3" s="1"/>
  <c r="L527" i="2"/>
  <c r="W526" i="2"/>
  <c r="V526" i="2"/>
  <c r="U526" i="2"/>
  <c r="T526" i="2"/>
  <c r="S526" i="2"/>
  <c r="R526" i="2"/>
  <c r="Q526" i="2"/>
  <c r="P526" i="2"/>
  <c r="N526" i="2"/>
  <c r="L526" i="2"/>
  <c r="W525" i="2"/>
  <c r="V525" i="2"/>
  <c r="U525" i="2"/>
  <c r="T525" i="2"/>
  <c r="S525" i="2"/>
  <c r="R525" i="2"/>
  <c r="Q525" i="2"/>
  <c r="P525" i="2"/>
  <c r="O525" i="2"/>
  <c r="N525" i="2"/>
  <c r="L525" i="2"/>
  <c r="W524" i="2"/>
  <c r="V524" i="2"/>
  <c r="U524" i="2"/>
  <c r="T524" i="2"/>
  <c r="S524" i="2"/>
  <c r="R524" i="2"/>
  <c r="Q524" i="2"/>
  <c r="P524" i="2"/>
  <c r="N524" i="2"/>
  <c r="AO664" i="3" s="1"/>
  <c r="AR664" i="3" s="1"/>
  <c r="L524" i="2"/>
  <c r="W523" i="2"/>
  <c r="V523" i="2"/>
  <c r="U523" i="2"/>
  <c r="T523" i="2"/>
  <c r="S523" i="2"/>
  <c r="R523" i="2"/>
  <c r="Q523" i="2"/>
  <c r="P523" i="2"/>
  <c r="N523" i="2"/>
  <c r="AO663" i="3" s="1"/>
  <c r="AR663" i="3" s="1"/>
  <c r="L523" i="2"/>
  <c r="M523" i="2" s="1"/>
  <c r="W522" i="2"/>
  <c r="V522" i="2"/>
  <c r="U522" i="2"/>
  <c r="T522" i="2"/>
  <c r="S522" i="2"/>
  <c r="R522" i="2"/>
  <c r="Q522" i="2"/>
  <c r="P522" i="2"/>
  <c r="N522" i="2"/>
  <c r="L522" i="2"/>
  <c r="W521" i="2"/>
  <c r="V521" i="2"/>
  <c r="U521" i="2"/>
  <c r="T521" i="2"/>
  <c r="S521" i="2"/>
  <c r="R521" i="2"/>
  <c r="Q521" i="2"/>
  <c r="P521" i="2"/>
  <c r="O521" i="2"/>
  <c r="N521" i="2"/>
  <c r="AO661" i="3" s="1"/>
  <c r="AR661" i="3" s="1"/>
  <c r="L521" i="2"/>
  <c r="W520" i="2"/>
  <c r="V520" i="2"/>
  <c r="U520" i="2"/>
  <c r="T520" i="2"/>
  <c r="S520" i="2"/>
  <c r="R520" i="2"/>
  <c r="Q520" i="2"/>
  <c r="P520" i="2"/>
  <c r="N520" i="2"/>
  <c r="AO660" i="3" s="1"/>
  <c r="AR660" i="3" s="1"/>
  <c r="L520" i="2"/>
  <c r="W519" i="2"/>
  <c r="V519" i="2"/>
  <c r="U519" i="2"/>
  <c r="T519" i="2"/>
  <c r="S519" i="2"/>
  <c r="R519" i="2"/>
  <c r="Q519" i="2"/>
  <c r="P519" i="2"/>
  <c r="O519" i="2"/>
  <c r="N519" i="2"/>
  <c r="AO659" i="3" s="1"/>
  <c r="AR659" i="3" s="1"/>
  <c r="L519" i="2"/>
  <c r="W518" i="2"/>
  <c r="V518" i="2"/>
  <c r="U518" i="2"/>
  <c r="T518" i="2"/>
  <c r="S518" i="2"/>
  <c r="R518" i="2"/>
  <c r="Q518" i="2"/>
  <c r="P518" i="2"/>
  <c r="N518" i="2"/>
  <c r="L518" i="2"/>
  <c r="W517" i="2"/>
  <c r="V517" i="2"/>
  <c r="U517" i="2"/>
  <c r="T517" i="2"/>
  <c r="S517" i="2"/>
  <c r="R517" i="2"/>
  <c r="Q517" i="2"/>
  <c r="P517" i="2"/>
  <c r="O517" i="2"/>
  <c r="N517" i="2"/>
  <c r="L517" i="2"/>
  <c r="W516" i="2"/>
  <c r="V516" i="2"/>
  <c r="U516" i="2"/>
  <c r="T516" i="2"/>
  <c r="S516" i="2"/>
  <c r="R516" i="2"/>
  <c r="Q516" i="2"/>
  <c r="P516" i="2"/>
  <c r="O516" i="2"/>
  <c r="N516" i="2"/>
  <c r="AO656" i="3" s="1"/>
  <c r="AR656" i="3" s="1"/>
  <c r="L516" i="2"/>
  <c r="W515" i="2"/>
  <c r="V515" i="2"/>
  <c r="U515" i="2"/>
  <c r="T515" i="2"/>
  <c r="S515" i="2"/>
  <c r="R515" i="2"/>
  <c r="Q515" i="2"/>
  <c r="P515" i="2"/>
  <c r="O515" i="2"/>
  <c r="N515" i="2"/>
  <c r="AO655" i="3" s="1"/>
  <c r="AR655" i="3" s="1"/>
  <c r="L515" i="2"/>
  <c r="W514" i="2"/>
  <c r="V514" i="2"/>
  <c r="U514" i="2"/>
  <c r="T514" i="2"/>
  <c r="S514" i="2"/>
  <c r="R514" i="2"/>
  <c r="Q514" i="2"/>
  <c r="P514" i="2"/>
  <c r="N514" i="2"/>
  <c r="L514" i="2"/>
  <c r="W513" i="2"/>
  <c r="V513" i="2"/>
  <c r="U513" i="2"/>
  <c r="T513" i="2"/>
  <c r="S513" i="2"/>
  <c r="R513" i="2"/>
  <c r="Q513" i="2"/>
  <c r="P513" i="2"/>
  <c r="O513" i="2"/>
  <c r="N513" i="2"/>
  <c r="L513" i="2"/>
  <c r="W512" i="2"/>
  <c r="V512" i="2"/>
  <c r="U512" i="2"/>
  <c r="T512" i="2"/>
  <c r="S512" i="2"/>
  <c r="R512" i="2"/>
  <c r="Q512" i="2"/>
  <c r="P512" i="2"/>
  <c r="O512" i="2"/>
  <c r="N512" i="2"/>
  <c r="AO652" i="3" s="1"/>
  <c r="AR652" i="3" s="1"/>
  <c r="L512" i="2"/>
  <c r="W511" i="2"/>
  <c r="V511" i="2"/>
  <c r="U511" i="2"/>
  <c r="T511" i="2"/>
  <c r="S511" i="2"/>
  <c r="R511" i="2"/>
  <c r="Q511" i="2"/>
  <c r="P511" i="2"/>
  <c r="N511" i="2"/>
  <c r="AO651" i="3" s="1"/>
  <c r="AR651" i="3" s="1"/>
  <c r="L511" i="2"/>
  <c r="W510" i="2"/>
  <c r="V510" i="2"/>
  <c r="U510" i="2"/>
  <c r="T510" i="2"/>
  <c r="S510" i="2"/>
  <c r="R510" i="2"/>
  <c r="Q510" i="2"/>
  <c r="P510" i="2"/>
  <c r="N510" i="2"/>
  <c r="L510" i="2"/>
  <c r="W509" i="2"/>
  <c r="V509" i="2"/>
  <c r="U509" i="2"/>
  <c r="T509" i="2"/>
  <c r="S509" i="2"/>
  <c r="R509" i="2"/>
  <c r="Q509" i="2"/>
  <c r="P509" i="2"/>
  <c r="O509" i="2"/>
  <c r="N509" i="2"/>
  <c r="AO649" i="3" s="1"/>
  <c r="AR649" i="3" s="1"/>
  <c r="L509" i="2"/>
  <c r="W508" i="2"/>
  <c r="V508" i="2"/>
  <c r="U508" i="2"/>
  <c r="T508" i="2"/>
  <c r="S508" i="2"/>
  <c r="R508" i="2"/>
  <c r="Q508" i="2"/>
  <c r="P508" i="2"/>
  <c r="N508" i="2"/>
  <c r="AO648" i="3" s="1"/>
  <c r="AR648" i="3" s="1"/>
  <c r="L508" i="2"/>
  <c r="W507" i="2"/>
  <c r="V507" i="2"/>
  <c r="U507" i="2"/>
  <c r="T507" i="2"/>
  <c r="S507" i="2"/>
  <c r="R507" i="2"/>
  <c r="Q507" i="2"/>
  <c r="P507" i="2"/>
  <c r="N507" i="2"/>
  <c r="AO647" i="3" s="1"/>
  <c r="AR647" i="3" s="1"/>
  <c r="L507" i="2"/>
  <c r="W506" i="2"/>
  <c r="V506" i="2"/>
  <c r="U506" i="2"/>
  <c r="T506" i="2"/>
  <c r="S506" i="2"/>
  <c r="R506" i="2"/>
  <c r="Q506" i="2"/>
  <c r="P506" i="2"/>
  <c r="N506" i="2"/>
  <c r="L506" i="2"/>
  <c r="W505" i="2"/>
  <c r="V505" i="2"/>
  <c r="U505" i="2"/>
  <c r="T505" i="2"/>
  <c r="S505" i="2"/>
  <c r="R505" i="2"/>
  <c r="Q505" i="2"/>
  <c r="P505" i="2"/>
  <c r="O505" i="2"/>
  <c r="N505" i="2"/>
  <c r="L505" i="2"/>
  <c r="M505" i="2" s="1"/>
  <c r="W504" i="2"/>
  <c r="V504" i="2"/>
  <c r="U504" i="2"/>
  <c r="T504" i="2"/>
  <c r="S504" i="2"/>
  <c r="R504" i="2"/>
  <c r="Q504" i="2"/>
  <c r="P504" i="2"/>
  <c r="N504" i="2"/>
  <c r="AO644" i="3" s="1"/>
  <c r="AR644" i="3" s="1"/>
  <c r="L504" i="2"/>
  <c r="W503" i="2"/>
  <c r="V503" i="2"/>
  <c r="U503" i="2"/>
  <c r="T503" i="2"/>
  <c r="S503" i="2"/>
  <c r="R503" i="2"/>
  <c r="Q503" i="2"/>
  <c r="P503" i="2"/>
  <c r="O503" i="2"/>
  <c r="N503" i="2"/>
  <c r="AO643" i="3" s="1"/>
  <c r="AR643" i="3" s="1"/>
  <c r="L503" i="2"/>
  <c r="M503" i="2" s="1"/>
  <c r="W502" i="2"/>
  <c r="V502" i="2"/>
  <c r="U502" i="2"/>
  <c r="T502" i="2"/>
  <c r="S502" i="2"/>
  <c r="R502" i="2"/>
  <c r="Q502" i="2"/>
  <c r="P502" i="2"/>
  <c r="N502" i="2"/>
  <c r="L502" i="2"/>
  <c r="M502" i="2" s="1"/>
  <c r="W501" i="2"/>
  <c r="V501" i="2"/>
  <c r="U501" i="2"/>
  <c r="T501" i="2"/>
  <c r="S501" i="2"/>
  <c r="R501" i="2"/>
  <c r="Q501" i="2"/>
  <c r="P501" i="2"/>
  <c r="O501" i="2"/>
  <c r="N501" i="2"/>
  <c r="L501" i="2"/>
  <c r="W500" i="2"/>
  <c r="V500" i="2"/>
  <c r="U500" i="2"/>
  <c r="T500" i="2"/>
  <c r="S500" i="2"/>
  <c r="R500" i="2"/>
  <c r="Q500" i="2"/>
  <c r="P500" i="2"/>
  <c r="O500" i="2"/>
  <c r="N500" i="2"/>
  <c r="AO640" i="3" s="1"/>
  <c r="AR640" i="3" s="1"/>
  <c r="L500" i="2"/>
  <c r="AJ640" i="3" s="1"/>
  <c r="AM640" i="3" s="1"/>
  <c r="W499" i="2"/>
  <c r="V499" i="2"/>
  <c r="U499" i="2"/>
  <c r="T499" i="2"/>
  <c r="S499" i="2"/>
  <c r="R499" i="2"/>
  <c r="Q499" i="2"/>
  <c r="P499" i="2"/>
  <c r="O499" i="2"/>
  <c r="N499" i="2"/>
  <c r="AO639" i="3" s="1"/>
  <c r="AR639" i="3" s="1"/>
  <c r="L499" i="2"/>
  <c r="AJ639" i="3" s="1"/>
  <c r="AM639" i="3" s="1"/>
  <c r="W498" i="2"/>
  <c r="V498" i="2"/>
  <c r="U498" i="2"/>
  <c r="T498" i="2"/>
  <c r="S498" i="2"/>
  <c r="R498" i="2"/>
  <c r="Q498" i="2"/>
  <c r="P498" i="2"/>
  <c r="N498" i="2"/>
  <c r="L498" i="2"/>
  <c r="AJ638" i="3" s="1"/>
  <c r="AM638" i="3" s="1"/>
  <c r="W497" i="2"/>
  <c r="V497" i="2"/>
  <c r="U497" i="2"/>
  <c r="T497" i="2"/>
  <c r="S497" i="2"/>
  <c r="R497" i="2"/>
  <c r="Q497" i="2"/>
  <c r="P497" i="2"/>
  <c r="O497" i="2"/>
  <c r="N497" i="2"/>
  <c r="AO637" i="3" s="1"/>
  <c r="AR637" i="3" s="1"/>
  <c r="L497" i="2"/>
  <c r="AJ637" i="3" s="1"/>
  <c r="AM637" i="3" s="1"/>
  <c r="W496" i="2"/>
  <c r="V496" i="2"/>
  <c r="U496" i="2"/>
  <c r="T496" i="2"/>
  <c r="S496" i="2"/>
  <c r="R496" i="2"/>
  <c r="Q496" i="2"/>
  <c r="P496" i="2"/>
  <c r="O496" i="2"/>
  <c r="N496" i="2"/>
  <c r="AO636" i="3" s="1"/>
  <c r="AR636" i="3" s="1"/>
  <c r="L496" i="2"/>
  <c r="AJ636" i="3" s="1"/>
  <c r="AM636" i="3" s="1"/>
  <c r="W495" i="2"/>
  <c r="V495" i="2"/>
  <c r="U495" i="2"/>
  <c r="T495" i="2"/>
  <c r="S495" i="2"/>
  <c r="R495" i="2"/>
  <c r="Q495" i="2"/>
  <c r="P495" i="2"/>
  <c r="N495" i="2"/>
  <c r="AO635" i="3" s="1"/>
  <c r="AR635" i="3" s="1"/>
  <c r="L495" i="2"/>
  <c r="AJ635" i="3" s="1"/>
  <c r="AM635" i="3" s="1"/>
  <c r="W494" i="2"/>
  <c r="V494" i="2"/>
  <c r="U494" i="2"/>
  <c r="T494" i="2"/>
  <c r="S494" i="2"/>
  <c r="R494" i="2"/>
  <c r="Q494" i="2"/>
  <c r="P494" i="2"/>
  <c r="N494" i="2"/>
  <c r="L494" i="2"/>
  <c r="AJ634" i="3" s="1"/>
  <c r="AM634" i="3" s="1"/>
  <c r="W493" i="2"/>
  <c r="V493" i="2"/>
  <c r="U493" i="2"/>
  <c r="T493" i="2"/>
  <c r="S493" i="2"/>
  <c r="R493" i="2"/>
  <c r="Q493" i="2"/>
  <c r="P493" i="2"/>
  <c r="O493" i="2"/>
  <c r="N493" i="2"/>
  <c r="AO633" i="3" s="1"/>
  <c r="AR633" i="3" s="1"/>
  <c r="L493" i="2"/>
  <c r="AJ633" i="3" s="1"/>
  <c r="AM633" i="3" s="1"/>
  <c r="W492" i="2"/>
  <c r="V492" i="2"/>
  <c r="U492" i="2"/>
  <c r="T492" i="2"/>
  <c r="S492" i="2"/>
  <c r="R492" i="2"/>
  <c r="Q492" i="2"/>
  <c r="P492" i="2"/>
  <c r="N492" i="2"/>
  <c r="AO632" i="3" s="1"/>
  <c r="AR632" i="3" s="1"/>
  <c r="L492" i="2"/>
  <c r="AJ632" i="3" s="1"/>
  <c r="AM632" i="3" s="1"/>
  <c r="W491" i="2"/>
  <c r="V491" i="2"/>
  <c r="U491" i="2"/>
  <c r="T491" i="2"/>
  <c r="S491" i="2"/>
  <c r="R491" i="2"/>
  <c r="Q491" i="2"/>
  <c r="P491" i="2"/>
  <c r="N491" i="2"/>
  <c r="AO631" i="3" s="1"/>
  <c r="AR631" i="3" s="1"/>
  <c r="L491" i="2"/>
  <c r="AJ631" i="3" s="1"/>
  <c r="AM631" i="3" s="1"/>
  <c r="W490" i="2"/>
  <c r="V490" i="2"/>
  <c r="U490" i="2"/>
  <c r="T490" i="2"/>
  <c r="S490" i="2"/>
  <c r="R490" i="2"/>
  <c r="Q490" i="2"/>
  <c r="P490" i="2"/>
  <c r="N490" i="2"/>
  <c r="L490" i="2"/>
  <c r="AJ630" i="3" s="1"/>
  <c r="AM630" i="3" s="1"/>
  <c r="W489" i="2"/>
  <c r="V489" i="2"/>
  <c r="U489" i="2"/>
  <c r="T489" i="2"/>
  <c r="S489" i="2"/>
  <c r="R489" i="2"/>
  <c r="Q489" i="2"/>
  <c r="P489" i="2"/>
  <c r="O489" i="2"/>
  <c r="N489" i="2"/>
  <c r="AO629" i="3" s="1"/>
  <c r="AR629" i="3" s="1"/>
  <c r="L489" i="2"/>
  <c r="AJ629" i="3" s="1"/>
  <c r="AM629" i="3" s="1"/>
  <c r="W488" i="2"/>
  <c r="V488" i="2"/>
  <c r="U488" i="2"/>
  <c r="T488" i="2"/>
  <c r="S488" i="2"/>
  <c r="R488" i="2"/>
  <c r="Q488" i="2"/>
  <c r="P488" i="2"/>
  <c r="N488" i="2"/>
  <c r="AO628" i="3" s="1"/>
  <c r="AR628" i="3" s="1"/>
  <c r="L488" i="2"/>
  <c r="AJ628" i="3" s="1"/>
  <c r="AM628" i="3" s="1"/>
  <c r="W487" i="2"/>
  <c r="V487" i="2"/>
  <c r="U487" i="2"/>
  <c r="T487" i="2"/>
  <c r="S487" i="2"/>
  <c r="R487" i="2"/>
  <c r="Q487" i="2"/>
  <c r="P487" i="2"/>
  <c r="O487" i="2"/>
  <c r="N487" i="2"/>
  <c r="AO627" i="3" s="1"/>
  <c r="AR627" i="3" s="1"/>
  <c r="L487" i="2"/>
  <c r="AJ627" i="3" s="1"/>
  <c r="AM627" i="3" s="1"/>
  <c r="W486" i="2"/>
  <c r="V486" i="2"/>
  <c r="U486" i="2"/>
  <c r="T486" i="2"/>
  <c r="S486" i="2"/>
  <c r="R486" i="2"/>
  <c r="Q486" i="2"/>
  <c r="P486" i="2"/>
  <c r="N486" i="2"/>
  <c r="L486" i="2"/>
  <c r="AJ626" i="3" s="1"/>
  <c r="AM626" i="3" s="1"/>
  <c r="W485" i="2"/>
  <c r="V485" i="2"/>
  <c r="U485" i="2"/>
  <c r="T485" i="2"/>
  <c r="S485" i="2"/>
  <c r="R485" i="2"/>
  <c r="Q485" i="2"/>
  <c r="P485" i="2"/>
  <c r="O485" i="2"/>
  <c r="N485" i="2"/>
  <c r="AO625" i="3" s="1"/>
  <c r="AR625" i="3" s="1"/>
  <c r="L485" i="2"/>
  <c r="AJ625" i="3" s="1"/>
  <c r="AM625" i="3" s="1"/>
  <c r="W484" i="2"/>
  <c r="V484" i="2"/>
  <c r="U484" i="2"/>
  <c r="T484" i="2"/>
  <c r="S484" i="2"/>
  <c r="R484" i="2"/>
  <c r="Q484" i="2"/>
  <c r="P484" i="2"/>
  <c r="O484" i="2"/>
  <c r="N484" i="2"/>
  <c r="AO624" i="3" s="1"/>
  <c r="AR624" i="3" s="1"/>
  <c r="L484" i="2"/>
  <c r="AJ624" i="3" s="1"/>
  <c r="AM624" i="3" s="1"/>
  <c r="W483" i="2"/>
  <c r="V483" i="2"/>
  <c r="U483" i="2"/>
  <c r="T483" i="2"/>
  <c r="S483" i="2"/>
  <c r="R483" i="2"/>
  <c r="Q483" i="2"/>
  <c r="P483" i="2"/>
  <c r="O483" i="2"/>
  <c r="N483" i="2"/>
  <c r="AO623" i="3" s="1"/>
  <c r="AR623" i="3" s="1"/>
  <c r="L483" i="2"/>
  <c r="AJ623" i="3" s="1"/>
  <c r="AM623" i="3" s="1"/>
  <c r="W482" i="2"/>
  <c r="V482" i="2"/>
  <c r="U482" i="2"/>
  <c r="T482" i="2"/>
  <c r="S482" i="2"/>
  <c r="R482" i="2"/>
  <c r="Q482" i="2"/>
  <c r="P482" i="2"/>
  <c r="N482" i="2"/>
  <c r="L482" i="2"/>
  <c r="AJ622" i="3" s="1"/>
  <c r="AM622" i="3" s="1"/>
  <c r="W481" i="2"/>
  <c r="V481" i="2"/>
  <c r="U481" i="2"/>
  <c r="T481" i="2"/>
  <c r="S481" i="2"/>
  <c r="R481" i="2"/>
  <c r="Q481" i="2"/>
  <c r="P481" i="2"/>
  <c r="O481" i="2"/>
  <c r="N481" i="2"/>
  <c r="AO621" i="3" s="1"/>
  <c r="AR621" i="3" s="1"/>
  <c r="L481" i="2"/>
  <c r="AJ621" i="3" s="1"/>
  <c r="AM621" i="3" s="1"/>
  <c r="W480" i="2"/>
  <c r="V480" i="2"/>
  <c r="U480" i="2"/>
  <c r="T480" i="2"/>
  <c r="S480" i="2"/>
  <c r="R480" i="2"/>
  <c r="Q480" i="2"/>
  <c r="P480" i="2"/>
  <c r="O480" i="2"/>
  <c r="N480" i="2"/>
  <c r="AO620" i="3" s="1"/>
  <c r="AR620" i="3" s="1"/>
  <c r="L480" i="2"/>
  <c r="AJ620" i="3" s="1"/>
  <c r="AM620" i="3" s="1"/>
  <c r="W479" i="2"/>
  <c r="V479" i="2"/>
  <c r="U479" i="2"/>
  <c r="T479" i="2"/>
  <c r="S479" i="2"/>
  <c r="R479" i="2"/>
  <c r="Q479" i="2"/>
  <c r="P479" i="2"/>
  <c r="N479" i="2"/>
  <c r="AO619" i="3" s="1"/>
  <c r="AR619" i="3" s="1"/>
  <c r="L479" i="2"/>
  <c r="AJ619" i="3" s="1"/>
  <c r="AM619" i="3" s="1"/>
  <c r="W478" i="2"/>
  <c r="V478" i="2"/>
  <c r="U478" i="2"/>
  <c r="T478" i="2"/>
  <c r="S478" i="2"/>
  <c r="R478" i="2"/>
  <c r="Q478" i="2"/>
  <c r="P478" i="2"/>
  <c r="N478" i="2"/>
  <c r="L478" i="2"/>
  <c r="AJ618" i="3" s="1"/>
  <c r="AM618" i="3" s="1"/>
  <c r="W477" i="2"/>
  <c r="V477" i="2"/>
  <c r="U477" i="2"/>
  <c r="T477" i="2"/>
  <c r="S477" i="2"/>
  <c r="R477" i="2"/>
  <c r="Q477" i="2"/>
  <c r="P477" i="2"/>
  <c r="O477" i="2"/>
  <c r="N477" i="2"/>
  <c r="L477" i="2"/>
  <c r="AJ617" i="3" s="1"/>
  <c r="AM617" i="3" s="1"/>
  <c r="W476" i="2"/>
  <c r="V476" i="2"/>
  <c r="U476" i="2"/>
  <c r="T476" i="2"/>
  <c r="S476" i="2"/>
  <c r="R476" i="2"/>
  <c r="Q476" i="2"/>
  <c r="P476" i="2"/>
  <c r="N476" i="2"/>
  <c r="AO616" i="3" s="1"/>
  <c r="AR616" i="3" s="1"/>
  <c r="L476" i="2"/>
  <c r="AJ616" i="3" s="1"/>
  <c r="AM616" i="3" s="1"/>
  <c r="W475" i="2"/>
  <c r="V475" i="2"/>
  <c r="U475" i="2"/>
  <c r="T475" i="2"/>
  <c r="S475" i="2"/>
  <c r="R475" i="2"/>
  <c r="Q475" i="2"/>
  <c r="P475" i="2"/>
  <c r="N475" i="2"/>
  <c r="AO615" i="3" s="1"/>
  <c r="AR615" i="3" s="1"/>
  <c r="L475" i="2"/>
  <c r="AJ615" i="3" s="1"/>
  <c r="AM615" i="3" s="1"/>
  <c r="W474" i="2"/>
  <c r="V474" i="2"/>
  <c r="U474" i="2"/>
  <c r="T474" i="2"/>
  <c r="S474" i="2"/>
  <c r="R474" i="2"/>
  <c r="Q474" i="2"/>
  <c r="P474" i="2"/>
  <c r="N474" i="2"/>
  <c r="L474" i="2"/>
  <c r="AJ614" i="3" s="1"/>
  <c r="AM614" i="3" s="1"/>
  <c r="W473" i="2"/>
  <c r="V473" i="2"/>
  <c r="U473" i="2"/>
  <c r="T473" i="2"/>
  <c r="S473" i="2"/>
  <c r="R473" i="2"/>
  <c r="Q473" i="2"/>
  <c r="P473" i="2"/>
  <c r="O473" i="2"/>
  <c r="N473" i="2"/>
  <c r="L473" i="2"/>
  <c r="AJ613" i="3" s="1"/>
  <c r="AM613" i="3" s="1"/>
  <c r="W472" i="2"/>
  <c r="V472" i="2"/>
  <c r="U472" i="2"/>
  <c r="T472" i="2"/>
  <c r="S472" i="2"/>
  <c r="R472" i="2"/>
  <c r="Q472" i="2"/>
  <c r="P472" i="2"/>
  <c r="N472" i="2"/>
  <c r="AO612" i="3" s="1"/>
  <c r="AR612" i="3" s="1"/>
  <c r="L472" i="2"/>
  <c r="AJ612" i="3" s="1"/>
  <c r="AM612" i="3" s="1"/>
  <c r="W471" i="2"/>
  <c r="V471" i="2"/>
  <c r="U471" i="2"/>
  <c r="T471" i="2"/>
  <c r="S471" i="2"/>
  <c r="R471" i="2"/>
  <c r="Q471" i="2"/>
  <c r="P471" i="2"/>
  <c r="O471" i="2"/>
  <c r="N471" i="2"/>
  <c r="AO611" i="3" s="1"/>
  <c r="AR611" i="3" s="1"/>
  <c r="L471" i="2"/>
  <c r="AJ611" i="3" s="1"/>
  <c r="AM611" i="3" s="1"/>
  <c r="W470" i="2"/>
  <c r="V470" i="2"/>
  <c r="U470" i="2"/>
  <c r="T470" i="2"/>
  <c r="S470" i="2"/>
  <c r="R470" i="2"/>
  <c r="Q470" i="2"/>
  <c r="P470" i="2"/>
  <c r="N470" i="2"/>
  <c r="L470" i="2"/>
  <c r="AJ610" i="3" s="1"/>
  <c r="AM610" i="3" s="1"/>
  <c r="W469" i="2"/>
  <c r="V469" i="2"/>
  <c r="U469" i="2"/>
  <c r="T469" i="2"/>
  <c r="S469" i="2"/>
  <c r="R469" i="2"/>
  <c r="Q469" i="2"/>
  <c r="P469" i="2"/>
  <c r="O469" i="2"/>
  <c r="N469" i="2"/>
  <c r="L469" i="2"/>
  <c r="M469" i="2" s="1"/>
  <c r="W468" i="2"/>
  <c r="V468" i="2"/>
  <c r="U468" i="2"/>
  <c r="T468" i="2"/>
  <c r="S468" i="2"/>
  <c r="R468" i="2"/>
  <c r="Q468" i="2"/>
  <c r="P468" i="2"/>
  <c r="O468" i="2"/>
  <c r="N468" i="2"/>
  <c r="AO608" i="3" s="1"/>
  <c r="AR608" i="3" s="1"/>
  <c r="L468" i="2"/>
  <c r="AJ608" i="3" s="1"/>
  <c r="AM608" i="3" s="1"/>
  <c r="W467" i="2"/>
  <c r="V467" i="2"/>
  <c r="U467" i="2"/>
  <c r="T467" i="2"/>
  <c r="S467" i="2"/>
  <c r="R467" i="2"/>
  <c r="Q467" i="2"/>
  <c r="P467" i="2"/>
  <c r="O467" i="2"/>
  <c r="N467" i="2"/>
  <c r="AO607" i="3" s="1"/>
  <c r="AR607" i="3" s="1"/>
  <c r="L467" i="2"/>
  <c r="AJ607" i="3" s="1"/>
  <c r="AM607" i="3" s="1"/>
  <c r="W466" i="2"/>
  <c r="V466" i="2"/>
  <c r="U466" i="2"/>
  <c r="T466" i="2"/>
  <c r="S466" i="2"/>
  <c r="R466" i="2"/>
  <c r="Q466" i="2"/>
  <c r="P466" i="2"/>
  <c r="N466" i="2"/>
  <c r="O466" i="2" s="1"/>
  <c r="L466" i="2"/>
  <c r="AJ606" i="3" s="1"/>
  <c r="AM606" i="3" s="1"/>
  <c r="W465" i="2"/>
  <c r="V465" i="2"/>
  <c r="U465" i="2"/>
  <c r="T465" i="2"/>
  <c r="S465" i="2"/>
  <c r="R465" i="2"/>
  <c r="Q465" i="2"/>
  <c r="P465" i="2"/>
  <c r="O465" i="2"/>
  <c r="N465" i="2"/>
  <c r="AO605" i="3" s="1"/>
  <c r="AR605" i="3" s="1"/>
  <c r="L465" i="2"/>
  <c r="AJ605" i="3" s="1"/>
  <c r="AM605" i="3" s="1"/>
  <c r="W464" i="2"/>
  <c r="V464" i="2"/>
  <c r="U464" i="2"/>
  <c r="T464" i="2"/>
  <c r="S464" i="2"/>
  <c r="R464" i="2"/>
  <c r="Q464" i="2"/>
  <c r="P464" i="2"/>
  <c r="O464" i="2"/>
  <c r="N464" i="2"/>
  <c r="AO604" i="3" s="1"/>
  <c r="AR604" i="3" s="1"/>
  <c r="L464" i="2"/>
  <c r="AJ604" i="3" s="1"/>
  <c r="AM604" i="3" s="1"/>
  <c r="W463" i="2"/>
  <c r="V463" i="2"/>
  <c r="U463" i="2"/>
  <c r="T463" i="2"/>
  <c r="S463" i="2"/>
  <c r="R463" i="2"/>
  <c r="Q463" i="2"/>
  <c r="P463" i="2"/>
  <c r="N463" i="2"/>
  <c r="AO603" i="3" s="1"/>
  <c r="AR603" i="3" s="1"/>
  <c r="L463" i="2"/>
  <c r="AJ603" i="3" s="1"/>
  <c r="AM603" i="3" s="1"/>
  <c r="W462" i="2"/>
  <c r="V462" i="2"/>
  <c r="U462" i="2"/>
  <c r="T462" i="2"/>
  <c r="S462" i="2"/>
  <c r="R462" i="2"/>
  <c r="Q462" i="2"/>
  <c r="P462" i="2"/>
  <c r="N462" i="2"/>
  <c r="L462" i="2"/>
  <c r="AJ602" i="3" s="1"/>
  <c r="AM602" i="3" s="1"/>
  <c r="W461" i="2"/>
  <c r="V461" i="2"/>
  <c r="U461" i="2"/>
  <c r="T461" i="2"/>
  <c r="S461" i="2"/>
  <c r="R461" i="2"/>
  <c r="Q461" i="2"/>
  <c r="P461" i="2"/>
  <c r="O461" i="2"/>
  <c r="N461" i="2"/>
  <c r="L461" i="2"/>
  <c r="AJ601" i="3" s="1"/>
  <c r="AM601" i="3" s="1"/>
  <c r="W460" i="2"/>
  <c r="V460" i="2"/>
  <c r="U460" i="2"/>
  <c r="T460" i="2"/>
  <c r="S460" i="2"/>
  <c r="R460" i="2"/>
  <c r="Q460" i="2"/>
  <c r="P460" i="2"/>
  <c r="N460" i="2"/>
  <c r="AO600" i="3" s="1"/>
  <c r="AR600" i="3" s="1"/>
  <c r="L460" i="2"/>
  <c r="M460" i="2" s="1"/>
  <c r="W459" i="2"/>
  <c r="V459" i="2"/>
  <c r="U459" i="2"/>
  <c r="T459" i="2"/>
  <c r="S459" i="2"/>
  <c r="R459" i="2"/>
  <c r="Q459" i="2"/>
  <c r="P459" i="2"/>
  <c r="N459" i="2"/>
  <c r="AO599" i="3" s="1"/>
  <c r="AR599" i="3" s="1"/>
  <c r="L459" i="2"/>
  <c r="AJ599" i="3" s="1"/>
  <c r="AM599" i="3" s="1"/>
  <c r="W458" i="2"/>
  <c r="V458" i="2"/>
  <c r="U458" i="2"/>
  <c r="T458" i="2"/>
  <c r="S458" i="2"/>
  <c r="R458" i="2"/>
  <c r="Q458" i="2"/>
  <c r="P458" i="2"/>
  <c r="N458" i="2"/>
  <c r="L458" i="2"/>
  <c r="AJ598" i="3" s="1"/>
  <c r="AM598" i="3" s="1"/>
  <c r="W457" i="2"/>
  <c r="V457" i="2"/>
  <c r="U457" i="2"/>
  <c r="T457" i="2"/>
  <c r="S457" i="2"/>
  <c r="R457" i="2"/>
  <c r="Q457" i="2"/>
  <c r="P457" i="2"/>
  <c r="O457" i="2"/>
  <c r="N457" i="2"/>
  <c r="AO597" i="3" s="1"/>
  <c r="AR597" i="3" s="1"/>
  <c r="L457" i="2"/>
  <c r="AJ597" i="3" s="1"/>
  <c r="AM597" i="3" s="1"/>
  <c r="W456" i="2"/>
  <c r="V456" i="2"/>
  <c r="U456" i="2"/>
  <c r="T456" i="2"/>
  <c r="S456" i="2"/>
  <c r="R456" i="2"/>
  <c r="Q456" i="2"/>
  <c r="P456" i="2"/>
  <c r="N456" i="2"/>
  <c r="AO596" i="3" s="1"/>
  <c r="AR596" i="3" s="1"/>
  <c r="L456" i="2"/>
  <c r="AJ596" i="3" s="1"/>
  <c r="AM596" i="3" s="1"/>
  <c r="W455" i="2"/>
  <c r="V455" i="2"/>
  <c r="U455" i="2"/>
  <c r="T455" i="2"/>
  <c r="S455" i="2"/>
  <c r="R455" i="2"/>
  <c r="Q455" i="2"/>
  <c r="P455" i="2"/>
  <c r="O455" i="2"/>
  <c r="N455" i="2"/>
  <c r="AO595" i="3" s="1"/>
  <c r="L455" i="2"/>
  <c r="AJ595" i="3" s="1"/>
  <c r="AM595" i="3" s="1"/>
  <c r="W454" i="2"/>
  <c r="V454" i="2"/>
  <c r="U454" i="2"/>
  <c r="T454" i="2"/>
  <c r="S454" i="2"/>
  <c r="R454" i="2"/>
  <c r="Q454" i="2"/>
  <c r="P454" i="2"/>
  <c r="N454" i="2"/>
  <c r="L454" i="2"/>
  <c r="AJ594" i="3" s="1"/>
  <c r="AM594" i="3" s="1"/>
  <c r="W453" i="2"/>
  <c r="V453" i="2"/>
  <c r="U453" i="2"/>
  <c r="T453" i="2"/>
  <c r="S453" i="2"/>
  <c r="R453" i="2"/>
  <c r="Q453" i="2"/>
  <c r="P453" i="2"/>
  <c r="O453" i="2"/>
  <c r="N453" i="2"/>
  <c r="L453" i="2"/>
  <c r="AJ593" i="3" s="1"/>
  <c r="AM593" i="3" s="1"/>
  <c r="W452" i="2"/>
  <c r="V452" i="2"/>
  <c r="U452" i="2"/>
  <c r="T452" i="2"/>
  <c r="S452" i="2"/>
  <c r="R452" i="2"/>
  <c r="Q452" i="2"/>
  <c r="P452" i="2"/>
  <c r="O452" i="2"/>
  <c r="N452" i="2"/>
  <c r="AO592" i="3" s="1"/>
  <c r="AR592" i="3" s="1"/>
  <c r="L452" i="2"/>
  <c r="AJ592" i="3" s="1"/>
  <c r="AM592" i="3" s="1"/>
  <c r="W451" i="2"/>
  <c r="V451" i="2"/>
  <c r="U451" i="2"/>
  <c r="T451" i="2"/>
  <c r="S451" i="2"/>
  <c r="R451" i="2"/>
  <c r="Q451" i="2"/>
  <c r="P451" i="2"/>
  <c r="O451" i="2"/>
  <c r="N451" i="2"/>
  <c r="AO591" i="3" s="1"/>
  <c r="AR591" i="3" s="1"/>
  <c r="L451" i="2"/>
  <c r="AJ591" i="3" s="1"/>
  <c r="AM591" i="3" s="1"/>
  <c r="W450" i="2"/>
  <c r="V450" i="2"/>
  <c r="U450" i="2"/>
  <c r="T450" i="2"/>
  <c r="S450" i="2"/>
  <c r="R450" i="2"/>
  <c r="Q450" i="2"/>
  <c r="P450" i="2"/>
  <c r="N450" i="2"/>
  <c r="L450" i="2"/>
  <c r="AJ590" i="3" s="1"/>
  <c r="AM590" i="3" s="1"/>
  <c r="W449" i="2"/>
  <c r="V449" i="2"/>
  <c r="U449" i="2"/>
  <c r="T449" i="2"/>
  <c r="S449" i="2"/>
  <c r="R449" i="2"/>
  <c r="Q449" i="2"/>
  <c r="P449" i="2"/>
  <c r="O449" i="2"/>
  <c r="N449" i="2"/>
  <c r="AO589" i="3" s="1"/>
  <c r="AR589" i="3" s="1"/>
  <c r="L449" i="2"/>
  <c r="AJ589" i="3" s="1"/>
  <c r="AM589" i="3" s="1"/>
  <c r="W448" i="2"/>
  <c r="V448" i="2"/>
  <c r="U448" i="2"/>
  <c r="T448" i="2"/>
  <c r="S448" i="2"/>
  <c r="R448" i="2"/>
  <c r="Q448" i="2"/>
  <c r="P448" i="2"/>
  <c r="O448" i="2"/>
  <c r="N448" i="2"/>
  <c r="AO588" i="3" s="1"/>
  <c r="AR588" i="3" s="1"/>
  <c r="L448" i="2"/>
  <c r="AJ588" i="3" s="1"/>
  <c r="AM588" i="3" s="1"/>
  <c r="W447" i="2"/>
  <c r="V447" i="2"/>
  <c r="U447" i="2"/>
  <c r="T447" i="2"/>
  <c r="S447" i="2"/>
  <c r="R447" i="2"/>
  <c r="Q447" i="2"/>
  <c r="P447" i="2"/>
  <c r="N447" i="2"/>
  <c r="AO587" i="3" s="1"/>
  <c r="AR587" i="3" s="1"/>
  <c r="L447" i="2"/>
  <c r="AJ587" i="3" s="1"/>
  <c r="AM587" i="3" s="1"/>
  <c r="W446" i="2"/>
  <c r="V446" i="2"/>
  <c r="U446" i="2"/>
  <c r="T446" i="2"/>
  <c r="S446" i="2"/>
  <c r="R446" i="2"/>
  <c r="Q446" i="2"/>
  <c r="P446" i="2"/>
  <c r="N446" i="2"/>
  <c r="L446" i="2"/>
  <c r="AJ586" i="3" s="1"/>
  <c r="AM586" i="3" s="1"/>
  <c r="W445" i="2"/>
  <c r="V445" i="2"/>
  <c r="U445" i="2"/>
  <c r="T445" i="2"/>
  <c r="S445" i="2"/>
  <c r="R445" i="2"/>
  <c r="Q445" i="2"/>
  <c r="P445" i="2"/>
  <c r="O445" i="2"/>
  <c r="N445" i="2"/>
  <c r="L445" i="2"/>
  <c r="AJ585" i="3" s="1"/>
  <c r="AM585" i="3" s="1"/>
  <c r="W444" i="2"/>
  <c r="V444" i="2"/>
  <c r="U444" i="2"/>
  <c r="T444" i="2"/>
  <c r="S444" i="2"/>
  <c r="R444" i="2"/>
  <c r="Q444" i="2"/>
  <c r="P444" i="2"/>
  <c r="N444" i="2"/>
  <c r="AO584" i="3" s="1"/>
  <c r="AR584" i="3" s="1"/>
  <c r="L444" i="2"/>
  <c r="M444" i="2" s="1"/>
  <c r="W443" i="2"/>
  <c r="V443" i="2"/>
  <c r="U443" i="2"/>
  <c r="T443" i="2"/>
  <c r="S443" i="2"/>
  <c r="R443" i="2"/>
  <c r="Q443" i="2"/>
  <c r="P443" i="2"/>
  <c r="N443" i="2"/>
  <c r="AO583" i="3" s="1"/>
  <c r="AR583" i="3" s="1"/>
  <c r="L443" i="2"/>
  <c r="AJ583" i="3" s="1"/>
  <c r="AM583" i="3" s="1"/>
  <c r="W442" i="2"/>
  <c r="V442" i="2"/>
  <c r="U442" i="2"/>
  <c r="T442" i="2"/>
  <c r="S442" i="2"/>
  <c r="R442" i="2"/>
  <c r="Q442" i="2"/>
  <c r="P442" i="2"/>
  <c r="N442" i="2"/>
  <c r="O442" i="2" s="1"/>
  <c r="L442" i="2"/>
  <c r="AJ582" i="3" s="1"/>
  <c r="AM582" i="3" s="1"/>
  <c r="W441" i="2"/>
  <c r="V441" i="2"/>
  <c r="U441" i="2"/>
  <c r="T441" i="2"/>
  <c r="S441" i="2"/>
  <c r="R441" i="2"/>
  <c r="Q441" i="2"/>
  <c r="P441" i="2"/>
  <c r="O441" i="2"/>
  <c r="N441" i="2"/>
  <c r="AO581" i="3" s="1"/>
  <c r="AR581" i="3" s="1"/>
  <c r="L441" i="2"/>
  <c r="AJ581" i="3" s="1"/>
  <c r="AM581" i="3" s="1"/>
  <c r="W440" i="2"/>
  <c r="V440" i="2"/>
  <c r="U440" i="2"/>
  <c r="T440" i="2"/>
  <c r="S440" i="2"/>
  <c r="R440" i="2"/>
  <c r="Q440" i="2"/>
  <c r="P440" i="2"/>
  <c r="N440" i="2"/>
  <c r="AO580" i="3" s="1"/>
  <c r="AR580" i="3" s="1"/>
  <c r="L440" i="2"/>
  <c r="AJ580" i="3" s="1"/>
  <c r="AM580" i="3" s="1"/>
  <c r="W439" i="2"/>
  <c r="V439" i="2"/>
  <c r="U439" i="2"/>
  <c r="T439" i="2"/>
  <c r="S439" i="2"/>
  <c r="R439" i="2"/>
  <c r="Q439" i="2"/>
  <c r="P439" i="2"/>
  <c r="O439" i="2"/>
  <c r="N439" i="2"/>
  <c r="AO579" i="3" s="1"/>
  <c r="AR579" i="3" s="1"/>
  <c r="L439" i="2"/>
  <c r="AJ579" i="3" s="1"/>
  <c r="AM579" i="3" s="1"/>
  <c r="W438" i="2"/>
  <c r="V438" i="2"/>
  <c r="U438" i="2"/>
  <c r="T438" i="2"/>
  <c r="S438" i="2"/>
  <c r="R438" i="2"/>
  <c r="Q438" i="2"/>
  <c r="P438" i="2"/>
  <c r="N438" i="2"/>
  <c r="L438" i="2"/>
  <c r="AJ578" i="3" s="1"/>
  <c r="AM578" i="3" s="1"/>
  <c r="W437" i="2"/>
  <c r="V437" i="2"/>
  <c r="U437" i="2"/>
  <c r="T437" i="2"/>
  <c r="S437" i="2"/>
  <c r="R437" i="2"/>
  <c r="Q437" i="2"/>
  <c r="P437" i="2"/>
  <c r="O437" i="2"/>
  <c r="N437" i="2"/>
  <c r="L437" i="2"/>
  <c r="M437" i="2" s="1"/>
  <c r="W436" i="2"/>
  <c r="V436" i="2"/>
  <c r="U436" i="2"/>
  <c r="T436" i="2"/>
  <c r="S436" i="2"/>
  <c r="R436" i="2"/>
  <c r="Q436" i="2"/>
  <c r="P436" i="2"/>
  <c r="O436" i="2"/>
  <c r="N436" i="2"/>
  <c r="AO576" i="3" s="1"/>
  <c r="AR576" i="3" s="1"/>
  <c r="L436" i="2"/>
  <c r="AJ576" i="3" s="1"/>
  <c r="AM576" i="3" s="1"/>
  <c r="W435" i="2"/>
  <c r="V435" i="2"/>
  <c r="U435" i="2"/>
  <c r="T435" i="2"/>
  <c r="S435" i="2"/>
  <c r="R435" i="2"/>
  <c r="Q435" i="2"/>
  <c r="P435" i="2"/>
  <c r="O435" i="2"/>
  <c r="N435" i="2"/>
  <c r="AO575" i="3" s="1"/>
  <c r="AR575" i="3" s="1"/>
  <c r="L435" i="2"/>
  <c r="AJ575" i="3" s="1"/>
  <c r="AM575" i="3" s="1"/>
  <c r="W434" i="2"/>
  <c r="V434" i="2"/>
  <c r="U434" i="2"/>
  <c r="T434" i="2"/>
  <c r="S434" i="2"/>
  <c r="R434" i="2"/>
  <c r="Q434" i="2"/>
  <c r="P434" i="2"/>
  <c r="N434" i="2"/>
  <c r="L434" i="2"/>
  <c r="AJ574" i="3" s="1"/>
  <c r="AM574" i="3" s="1"/>
  <c r="W433" i="2"/>
  <c r="V433" i="2"/>
  <c r="U433" i="2"/>
  <c r="T433" i="2"/>
  <c r="S433" i="2"/>
  <c r="R433" i="2"/>
  <c r="Q433" i="2"/>
  <c r="P433" i="2"/>
  <c r="O433" i="2"/>
  <c r="N433" i="2"/>
  <c r="AO573" i="3" s="1"/>
  <c r="L433" i="2"/>
  <c r="AJ573" i="3" s="1"/>
  <c r="AM573" i="3" s="1"/>
  <c r="W432" i="2"/>
  <c r="V432" i="2"/>
  <c r="U432" i="2"/>
  <c r="T432" i="2"/>
  <c r="S432" i="2"/>
  <c r="R432" i="2"/>
  <c r="Q432" i="2"/>
  <c r="P432" i="2"/>
  <c r="O432" i="2"/>
  <c r="N432" i="2"/>
  <c r="AO572" i="3" s="1"/>
  <c r="L432" i="2"/>
  <c r="AJ572" i="3" s="1"/>
  <c r="AM572" i="3" s="1"/>
  <c r="W431" i="2"/>
  <c r="V431" i="2"/>
  <c r="U431" i="2"/>
  <c r="T431" i="2"/>
  <c r="S431" i="2"/>
  <c r="R431" i="2"/>
  <c r="Q431" i="2"/>
  <c r="P431" i="2"/>
  <c r="N431" i="2"/>
  <c r="AO571" i="3" s="1"/>
  <c r="AR571" i="3" s="1"/>
  <c r="L431" i="2"/>
  <c r="AJ571" i="3" s="1"/>
  <c r="AM571" i="3" s="1"/>
  <c r="W430" i="2"/>
  <c r="V430" i="2"/>
  <c r="U430" i="2"/>
  <c r="T430" i="2"/>
  <c r="S430" i="2"/>
  <c r="R430" i="2"/>
  <c r="Q430" i="2"/>
  <c r="P430" i="2"/>
  <c r="N430" i="2"/>
  <c r="L430" i="2"/>
  <c r="AJ570" i="3" s="1"/>
  <c r="AM570" i="3" s="1"/>
  <c r="W429" i="2"/>
  <c r="V429" i="2"/>
  <c r="U429" i="2"/>
  <c r="T429" i="2"/>
  <c r="S429" i="2"/>
  <c r="R429" i="2"/>
  <c r="Q429" i="2"/>
  <c r="P429" i="2"/>
  <c r="O429" i="2"/>
  <c r="N429" i="2"/>
  <c r="AO569" i="3" s="1"/>
  <c r="L429" i="2"/>
  <c r="AJ569" i="3" s="1"/>
  <c r="AM569" i="3" s="1"/>
  <c r="W428" i="2"/>
  <c r="V428" i="2"/>
  <c r="U428" i="2"/>
  <c r="T428" i="2"/>
  <c r="S428" i="2"/>
  <c r="R428" i="2"/>
  <c r="Q428" i="2"/>
  <c r="P428" i="2"/>
  <c r="N428" i="2"/>
  <c r="AO568" i="3" s="1"/>
  <c r="AR568" i="3" s="1"/>
  <c r="L428" i="2"/>
  <c r="M428" i="2" s="1"/>
  <c r="W427" i="2"/>
  <c r="V427" i="2"/>
  <c r="U427" i="2"/>
  <c r="T427" i="2"/>
  <c r="S427" i="2"/>
  <c r="R427" i="2"/>
  <c r="Q427" i="2"/>
  <c r="P427" i="2"/>
  <c r="N427" i="2"/>
  <c r="AO567" i="3" s="1"/>
  <c r="AR567" i="3" s="1"/>
  <c r="L427" i="2"/>
  <c r="AJ567" i="3" s="1"/>
  <c r="AM567" i="3" s="1"/>
  <c r="W426" i="2"/>
  <c r="V426" i="2"/>
  <c r="U426" i="2"/>
  <c r="T426" i="2"/>
  <c r="S426" i="2"/>
  <c r="R426" i="2"/>
  <c r="Q426" i="2"/>
  <c r="P426" i="2"/>
  <c r="N426" i="2"/>
  <c r="L426" i="2"/>
  <c r="AJ566" i="3" s="1"/>
  <c r="AM566" i="3" s="1"/>
  <c r="W425" i="2"/>
  <c r="V425" i="2"/>
  <c r="U425" i="2"/>
  <c r="T425" i="2"/>
  <c r="S425" i="2"/>
  <c r="R425" i="2"/>
  <c r="Q425" i="2"/>
  <c r="P425" i="2"/>
  <c r="O425" i="2"/>
  <c r="N425" i="2"/>
  <c r="AO565" i="3" s="1"/>
  <c r="L425" i="2"/>
  <c r="AJ565" i="3" s="1"/>
  <c r="AM565" i="3" s="1"/>
  <c r="W424" i="2"/>
  <c r="V424" i="2"/>
  <c r="U424" i="2"/>
  <c r="T424" i="2"/>
  <c r="S424" i="2"/>
  <c r="R424" i="2"/>
  <c r="Q424" i="2"/>
  <c r="P424" i="2"/>
  <c r="N424" i="2"/>
  <c r="AO564" i="3" s="1"/>
  <c r="AR564" i="3" s="1"/>
  <c r="L424" i="2"/>
  <c r="AJ564" i="3" s="1"/>
  <c r="AM564" i="3" s="1"/>
  <c r="W423" i="2"/>
  <c r="V423" i="2"/>
  <c r="U423" i="2"/>
  <c r="T423" i="2"/>
  <c r="S423" i="2"/>
  <c r="R423" i="2"/>
  <c r="Q423" i="2"/>
  <c r="P423" i="2"/>
  <c r="O423" i="2"/>
  <c r="N423" i="2"/>
  <c r="AO563" i="3" s="1"/>
  <c r="AR563" i="3" s="1"/>
  <c r="L423" i="2"/>
  <c r="AJ563" i="3" s="1"/>
  <c r="AM563" i="3" s="1"/>
  <c r="W422" i="2"/>
  <c r="V422" i="2"/>
  <c r="U422" i="2"/>
  <c r="T422" i="2"/>
  <c r="S422" i="2"/>
  <c r="R422" i="2"/>
  <c r="Q422" i="2"/>
  <c r="P422" i="2"/>
  <c r="N422" i="2"/>
  <c r="L422" i="2"/>
  <c r="AJ562" i="3" s="1"/>
  <c r="AM562" i="3" s="1"/>
  <c r="W421" i="2"/>
  <c r="V421" i="2"/>
  <c r="U421" i="2"/>
  <c r="T421" i="2"/>
  <c r="S421" i="2"/>
  <c r="R421" i="2"/>
  <c r="Q421" i="2"/>
  <c r="P421" i="2"/>
  <c r="O421" i="2"/>
  <c r="N421" i="2"/>
  <c r="AO561" i="3" s="1"/>
  <c r="L421" i="2"/>
  <c r="AJ561" i="3" s="1"/>
  <c r="AM561" i="3" s="1"/>
  <c r="W420" i="2"/>
  <c r="V420" i="2"/>
  <c r="U420" i="2"/>
  <c r="T420" i="2"/>
  <c r="S420" i="2"/>
  <c r="R420" i="2"/>
  <c r="Q420" i="2"/>
  <c r="P420" i="2"/>
  <c r="O420" i="2"/>
  <c r="N420" i="2"/>
  <c r="AO560" i="3" s="1"/>
  <c r="AR560" i="3" s="1"/>
  <c r="L420" i="2"/>
  <c r="AJ560" i="3" s="1"/>
  <c r="AM560" i="3" s="1"/>
  <c r="W419" i="2"/>
  <c r="V419" i="2"/>
  <c r="U419" i="2"/>
  <c r="T419" i="2"/>
  <c r="S419" i="2"/>
  <c r="R419" i="2"/>
  <c r="Q419" i="2"/>
  <c r="P419" i="2"/>
  <c r="O419" i="2"/>
  <c r="N419" i="2"/>
  <c r="AO559" i="3" s="1"/>
  <c r="AR559" i="3" s="1"/>
  <c r="L419" i="2"/>
  <c r="AJ559" i="3" s="1"/>
  <c r="AM559" i="3" s="1"/>
  <c r="W418" i="2"/>
  <c r="V418" i="2"/>
  <c r="U418" i="2"/>
  <c r="T418" i="2"/>
  <c r="S418" i="2"/>
  <c r="R418" i="2"/>
  <c r="Q418" i="2"/>
  <c r="P418" i="2"/>
  <c r="N418" i="2"/>
  <c r="L418" i="2"/>
  <c r="AJ558" i="3" s="1"/>
  <c r="AM558" i="3" s="1"/>
  <c r="W417" i="2"/>
  <c r="V417" i="2"/>
  <c r="U417" i="2"/>
  <c r="T417" i="2"/>
  <c r="S417" i="2"/>
  <c r="R417" i="2"/>
  <c r="Q417" i="2"/>
  <c r="P417" i="2"/>
  <c r="O417" i="2"/>
  <c r="N417" i="2"/>
  <c r="AO557" i="3" s="1"/>
  <c r="L417" i="2"/>
  <c r="AJ557" i="3" s="1"/>
  <c r="AM557" i="3" s="1"/>
  <c r="W416" i="2"/>
  <c r="V416" i="2"/>
  <c r="U416" i="2"/>
  <c r="T416" i="2"/>
  <c r="S416" i="2"/>
  <c r="R416" i="2"/>
  <c r="Q416" i="2"/>
  <c r="P416" i="2"/>
  <c r="O416" i="2"/>
  <c r="N416" i="2"/>
  <c r="AO556" i="3" s="1"/>
  <c r="AR556" i="3" s="1"/>
  <c r="L416" i="2"/>
  <c r="AJ556" i="3" s="1"/>
  <c r="AM556" i="3" s="1"/>
  <c r="W415" i="2"/>
  <c r="V415" i="2"/>
  <c r="U415" i="2"/>
  <c r="T415" i="2"/>
  <c r="S415" i="2"/>
  <c r="R415" i="2"/>
  <c r="Q415" i="2"/>
  <c r="P415" i="2"/>
  <c r="N415" i="2"/>
  <c r="AO555" i="3" s="1"/>
  <c r="AR555" i="3" s="1"/>
  <c r="L415" i="2"/>
  <c r="AJ555" i="3" s="1"/>
  <c r="AM555" i="3" s="1"/>
  <c r="W414" i="2"/>
  <c r="V414" i="2"/>
  <c r="U414" i="2"/>
  <c r="T414" i="2"/>
  <c r="S414" i="2"/>
  <c r="R414" i="2"/>
  <c r="Q414" i="2"/>
  <c r="P414" i="2"/>
  <c r="N414" i="2"/>
  <c r="O414" i="2" s="1"/>
  <c r="L414" i="2"/>
  <c r="AJ554" i="3" s="1"/>
  <c r="AM554" i="3" s="1"/>
  <c r="W413" i="2"/>
  <c r="V413" i="2"/>
  <c r="U413" i="2"/>
  <c r="T413" i="2"/>
  <c r="S413" i="2"/>
  <c r="R413" i="2"/>
  <c r="Q413" i="2"/>
  <c r="P413" i="2"/>
  <c r="O413" i="2"/>
  <c r="N413" i="2"/>
  <c r="AO553" i="3" s="1"/>
  <c r="L413" i="2"/>
  <c r="AJ553" i="3" s="1"/>
  <c r="AM553" i="3" s="1"/>
  <c r="W412" i="2"/>
  <c r="V412" i="2"/>
  <c r="U412" i="2"/>
  <c r="T412" i="2"/>
  <c r="S412" i="2"/>
  <c r="R412" i="2"/>
  <c r="Q412" i="2"/>
  <c r="P412" i="2"/>
  <c r="N412" i="2"/>
  <c r="AO552" i="3" s="1"/>
  <c r="AR552" i="3" s="1"/>
  <c r="L412" i="2"/>
  <c r="M412" i="2" s="1"/>
  <c r="W411" i="2"/>
  <c r="V411" i="2"/>
  <c r="U411" i="2"/>
  <c r="T411" i="2"/>
  <c r="S411" i="2"/>
  <c r="R411" i="2"/>
  <c r="Q411" i="2"/>
  <c r="P411" i="2"/>
  <c r="N411" i="2"/>
  <c r="AO551" i="3" s="1"/>
  <c r="AR551" i="3" s="1"/>
  <c r="L411" i="2"/>
  <c r="AJ551" i="3" s="1"/>
  <c r="AM551" i="3" s="1"/>
  <c r="W410" i="2"/>
  <c r="V410" i="2"/>
  <c r="U410" i="2"/>
  <c r="T410" i="2"/>
  <c r="S410" i="2"/>
  <c r="R410" i="2"/>
  <c r="Q410" i="2"/>
  <c r="P410" i="2"/>
  <c r="N410" i="2"/>
  <c r="L410" i="2"/>
  <c r="AJ550" i="3" s="1"/>
  <c r="AM550" i="3" s="1"/>
  <c r="W409" i="2"/>
  <c r="V409" i="2"/>
  <c r="U409" i="2"/>
  <c r="T409" i="2"/>
  <c r="S409" i="2"/>
  <c r="R409" i="2"/>
  <c r="Q409" i="2"/>
  <c r="P409" i="2"/>
  <c r="O409" i="2"/>
  <c r="N409" i="2"/>
  <c r="AO549" i="3" s="1"/>
  <c r="L409" i="2"/>
  <c r="AJ549" i="3" s="1"/>
  <c r="AM549" i="3" s="1"/>
  <c r="W408" i="2"/>
  <c r="V408" i="2"/>
  <c r="U408" i="2"/>
  <c r="T408" i="2"/>
  <c r="S408" i="2"/>
  <c r="R408" i="2"/>
  <c r="Q408" i="2"/>
  <c r="P408" i="2"/>
  <c r="N408" i="2"/>
  <c r="AO548" i="3" s="1"/>
  <c r="AR548" i="3" s="1"/>
  <c r="L408" i="2"/>
  <c r="AJ548" i="3" s="1"/>
  <c r="AM548" i="3" s="1"/>
  <c r="W407" i="2"/>
  <c r="V407" i="2"/>
  <c r="U407" i="2"/>
  <c r="T407" i="2"/>
  <c r="S407" i="2"/>
  <c r="R407" i="2"/>
  <c r="Q407" i="2"/>
  <c r="P407" i="2"/>
  <c r="O407" i="2"/>
  <c r="N407" i="2"/>
  <c r="AO547" i="3" s="1"/>
  <c r="AR547" i="3" s="1"/>
  <c r="L407" i="2"/>
  <c r="AJ547" i="3" s="1"/>
  <c r="AM547" i="3" s="1"/>
  <c r="W406" i="2"/>
  <c r="V406" i="2"/>
  <c r="U406" i="2"/>
  <c r="T406" i="2"/>
  <c r="S406" i="2"/>
  <c r="R406" i="2"/>
  <c r="Q406" i="2"/>
  <c r="P406" i="2"/>
  <c r="N406" i="2"/>
  <c r="L406" i="2"/>
  <c r="AJ546" i="3" s="1"/>
  <c r="AM546" i="3" s="1"/>
  <c r="W405" i="2"/>
  <c r="V405" i="2"/>
  <c r="U405" i="2"/>
  <c r="T405" i="2"/>
  <c r="S405" i="2"/>
  <c r="R405" i="2"/>
  <c r="Q405" i="2"/>
  <c r="P405" i="2"/>
  <c r="O405" i="2"/>
  <c r="N405" i="2"/>
  <c r="AO545" i="3" s="1"/>
  <c r="L405" i="2"/>
  <c r="M405" i="2" s="1"/>
  <c r="W404" i="2"/>
  <c r="V404" i="2"/>
  <c r="U404" i="2"/>
  <c r="T404" i="2"/>
  <c r="S404" i="2"/>
  <c r="R404" i="2"/>
  <c r="Q404" i="2"/>
  <c r="P404" i="2"/>
  <c r="O404" i="2"/>
  <c r="N404" i="2"/>
  <c r="AO544" i="3" s="1"/>
  <c r="L404" i="2"/>
  <c r="AJ544" i="3" s="1"/>
  <c r="AM544" i="3" s="1"/>
  <c r="W403" i="2"/>
  <c r="V403" i="2"/>
  <c r="U403" i="2"/>
  <c r="T403" i="2"/>
  <c r="S403" i="2"/>
  <c r="R403" i="2"/>
  <c r="Q403" i="2"/>
  <c r="P403" i="2"/>
  <c r="O403" i="2"/>
  <c r="N403" i="2"/>
  <c r="AO543" i="3" s="1"/>
  <c r="AR543" i="3" s="1"/>
  <c r="L403" i="2"/>
  <c r="AJ543" i="3" s="1"/>
  <c r="AM543" i="3" s="1"/>
  <c r="W402" i="2"/>
  <c r="V402" i="2"/>
  <c r="U402" i="2"/>
  <c r="T402" i="2"/>
  <c r="S402" i="2"/>
  <c r="R402" i="2"/>
  <c r="Q402" i="2"/>
  <c r="P402" i="2"/>
  <c r="N402" i="2"/>
  <c r="L402" i="2"/>
  <c r="AJ542" i="3" s="1"/>
  <c r="AM542" i="3" s="1"/>
  <c r="W401" i="2"/>
  <c r="V401" i="2"/>
  <c r="U401" i="2"/>
  <c r="T401" i="2"/>
  <c r="S401" i="2"/>
  <c r="R401" i="2"/>
  <c r="Q401" i="2"/>
  <c r="P401" i="2"/>
  <c r="O401" i="2"/>
  <c r="N401" i="2"/>
  <c r="L401" i="2"/>
  <c r="AJ541" i="3" s="1"/>
  <c r="AM541" i="3" s="1"/>
  <c r="W400" i="2"/>
  <c r="V400" i="2"/>
  <c r="U400" i="2"/>
  <c r="T400" i="2"/>
  <c r="S400" i="2"/>
  <c r="R400" i="2"/>
  <c r="Q400" i="2"/>
  <c r="P400" i="2"/>
  <c r="O400" i="2"/>
  <c r="N400" i="2"/>
  <c r="AO540" i="3" s="1"/>
  <c r="AR540" i="3" s="1"/>
  <c r="L400" i="2"/>
  <c r="AJ540" i="3" s="1"/>
  <c r="AM540" i="3" s="1"/>
  <c r="W399" i="2"/>
  <c r="V399" i="2"/>
  <c r="U399" i="2"/>
  <c r="T399" i="2"/>
  <c r="S399" i="2"/>
  <c r="R399" i="2"/>
  <c r="Q399" i="2"/>
  <c r="P399" i="2"/>
  <c r="N399" i="2"/>
  <c r="AO539" i="3" s="1"/>
  <c r="AR539" i="3" s="1"/>
  <c r="L399" i="2"/>
  <c r="AJ539" i="3" s="1"/>
  <c r="AM539" i="3" s="1"/>
  <c r="W398" i="2"/>
  <c r="V398" i="2"/>
  <c r="U398" i="2"/>
  <c r="T398" i="2"/>
  <c r="S398" i="2"/>
  <c r="R398" i="2"/>
  <c r="Q398" i="2"/>
  <c r="P398" i="2"/>
  <c r="N398" i="2"/>
  <c r="O398" i="2" s="1"/>
  <c r="L398" i="2"/>
  <c r="AJ538" i="3" s="1"/>
  <c r="AM538" i="3" s="1"/>
  <c r="W397" i="2"/>
  <c r="V397" i="2"/>
  <c r="U397" i="2"/>
  <c r="T397" i="2"/>
  <c r="S397" i="2"/>
  <c r="R397" i="2"/>
  <c r="Q397" i="2"/>
  <c r="P397" i="2"/>
  <c r="O397" i="2"/>
  <c r="N397" i="2"/>
  <c r="AO537" i="3" s="1"/>
  <c r="AR537" i="3" s="1"/>
  <c r="L397" i="2"/>
  <c r="AJ537" i="3" s="1"/>
  <c r="AM537" i="3" s="1"/>
  <c r="W396" i="2"/>
  <c r="V396" i="2"/>
  <c r="U396" i="2"/>
  <c r="T396" i="2"/>
  <c r="S396" i="2"/>
  <c r="R396" i="2"/>
  <c r="Q396" i="2"/>
  <c r="P396" i="2"/>
  <c r="N396" i="2"/>
  <c r="AO536" i="3" s="1"/>
  <c r="AR536" i="3" s="1"/>
  <c r="L396" i="2"/>
  <c r="M396" i="2" s="1"/>
  <c r="W395" i="2"/>
  <c r="V395" i="2"/>
  <c r="U395" i="2"/>
  <c r="T395" i="2"/>
  <c r="S395" i="2"/>
  <c r="R395" i="2"/>
  <c r="Q395" i="2"/>
  <c r="P395" i="2"/>
  <c r="N395" i="2"/>
  <c r="AO535" i="3" s="1"/>
  <c r="AR535" i="3" s="1"/>
  <c r="L395" i="2"/>
  <c r="AJ535" i="3" s="1"/>
  <c r="AM535" i="3" s="1"/>
  <c r="W394" i="2"/>
  <c r="V394" i="2"/>
  <c r="U394" i="2"/>
  <c r="T394" i="2"/>
  <c r="S394" i="2"/>
  <c r="R394" i="2"/>
  <c r="Q394" i="2"/>
  <c r="P394" i="2"/>
  <c r="N394" i="2"/>
  <c r="L394" i="2"/>
  <c r="AJ534" i="3" s="1"/>
  <c r="AM534" i="3" s="1"/>
  <c r="W393" i="2"/>
  <c r="V393" i="2"/>
  <c r="U393" i="2"/>
  <c r="T393" i="2"/>
  <c r="S393" i="2"/>
  <c r="R393" i="2"/>
  <c r="Q393" i="2"/>
  <c r="P393" i="2"/>
  <c r="O393" i="2"/>
  <c r="N393" i="2"/>
  <c r="L393" i="2"/>
  <c r="AJ533" i="3" s="1"/>
  <c r="AM533" i="3" s="1"/>
  <c r="W392" i="2"/>
  <c r="V392" i="2"/>
  <c r="U392" i="2"/>
  <c r="T392" i="2"/>
  <c r="S392" i="2"/>
  <c r="R392" i="2"/>
  <c r="Q392" i="2"/>
  <c r="P392" i="2"/>
  <c r="N392" i="2"/>
  <c r="AO532" i="3" s="1"/>
  <c r="AR532" i="3" s="1"/>
  <c r="L392" i="2"/>
  <c r="AJ532" i="3" s="1"/>
  <c r="AM532" i="3" s="1"/>
  <c r="W391" i="2"/>
  <c r="V391" i="2"/>
  <c r="U391" i="2"/>
  <c r="T391" i="2"/>
  <c r="S391" i="2"/>
  <c r="R391" i="2"/>
  <c r="Q391" i="2"/>
  <c r="P391" i="2"/>
  <c r="O391" i="2"/>
  <c r="N391" i="2"/>
  <c r="AO531" i="3" s="1"/>
  <c r="AR531" i="3" s="1"/>
  <c r="L391" i="2"/>
  <c r="AJ531" i="3" s="1"/>
  <c r="AM531" i="3" s="1"/>
  <c r="W390" i="2"/>
  <c r="V390" i="2"/>
  <c r="U390" i="2"/>
  <c r="T390" i="2"/>
  <c r="S390" i="2"/>
  <c r="R390" i="2"/>
  <c r="Q390" i="2"/>
  <c r="P390" i="2"/>
  <c r="N390" i="2"/>
  <c r="L390" i="2"/>
  <c r="AJ530" i="3" s="1"/>
  <c r="AM530" i="3" s="1"/>
  <c r="W389" i="2"/>
  <c r="V389" i="2"/>
  <c r="U389" i="2"/>
  <c r="T389" i="2"/>
  <c r="S389" i="2"/>
  <c r="R389" i="2"/>
  <c r="Q389" i="2"/>
  <c r="P389" i="2"/>
  <c r="O389" i="2"/>
  <c r="N389" i="2"/>
  <c r="AO529" i="3" s="1"/>
  <c r="AR529" i="3" s="1"/>
  <c r="L389" i="2"/>
  <c r="AJ529" i="3" s="1"/>
  <c r="AM529" i="3" s="1"/>
  <c r="W388" i="2"/>
  <c r="V388" i="2"/>
  <c r="U388" i="2"/>
  <c r="T388" i="2"/>
  <c r="S388" i="2"/>
  <c r="R388" i="2"/>
  <c r="Q388" i="2"/>
  <c r="P388" i="2"/>
  <c r="O388" i="2"/>
  <c r="N388" i="2"/>
  <c r="AO528" i="3" s="1"/>
  <c r="AR528" i="3" s="1"/>
  <c r="L388" i="2"/>
  <c r="AJ528" i="3" s="1"/>
  <c r="AM528" i="3" s="1"/>
  <c r="W387" i="2"/>
  <c r="V387" i="2"/>
  <c r="U387" i="2"/>
  <c r="T387" i="2"/>
  <c r="S387" i="2"/>
  <c r="R387" i="2"/>
  <c r="Q387" i="2"/>
  <c r="P387" i="2"/>
  <c r="O387" i="2"/>
  <c r="N387" i="2"/>
  <c r="AO527" i="3" s="1"/>
  <c r="AR527" i="3" s="1"/>
  <c r="L387" i="2"/>
  <c r="AJ527" i="3" s="1"/>
  <c r="AM527" i="3" s="1"/>
  <c r="W386" i="2"/>
  <c r="V386" i="2"/>
  <c r="U386" i="2"/>
  <c r="T386" i="2"/>
  <c r="S386" i="2"/>
  <c r="R386" i="2"/>
  <c r="Q386" i="2"/>
  <c r="P386" i="2"/>
  <c r="N386" i="2"/>
  <c r="L386" i="2"/>
  <c r="AJ526" i="3" s="1"/>
  <c r="AM526" i="3" s="1"/>
  <c r="W385" i="2"/>
  <c r="V385" i="2"/>
  <c r="U385" i="2"/>
  <c r="T385" i="2"/>
  <c r="S385" i="2"/>
  <c r="R385" i="2"/>
  <c r="Q385" i="2"/>
  <c r="P385" i="2"/>
  <c r="O385" i="2"/>
  <c r="N385" i="2"/>
  <c r="L385" i="2"/>
  <c r="AJ525" i="3" s="1"/>
  <c r="AM525" i="3" s="1"/>
  <c r="W384" i="2"/>
  <c r="V384" i="2"/>
  <c r="U384" i="2"/>
  <c r="T384" i="2"/>
  <c r="S384" i="2"/>
  <c r="R384" i="2"/>
  <c r="Q384" i="2"/>
  <c r="P384" i="2"/>
  <c r="O384" i="2"/>
  <c r="N384" i="2"/>
  <c r="AO524" i="3" s="1"/>
  <c r="AR524" i="3" s="1"/>
  <c r="L384" i="2"/>
  <c r="AJ524" i="3" s="1"/>
  <c r="AM524" i="3" s="1"/>
  <c r="W383" i="2"/>
  <c r="V383" i="2"/>
  <c r="U383" i="2"/>
  <c r="T383" i="2"/>
  <c r="S383" i="2"/>
  <c r="R383" i="2"/>
  <c r="Q383" i="2"/>
  <c r="P383" i="2"/>
  <c r="N383" i="2"/>
  <c r="AO523" i="3" s="1"/>
  <c r="AR523" i="3" s="1"/>
  <c r="L383" i="2"/>
  <c r="AJ523" i="3" s="1"/>
  <c r="AM523" i="3" s="1"/>
  <c r="W382" i="2"/>
  <c r="V382" i="2"/>
  <c r="U382" i="2"/>
  <c r="T382" i="2"/>
  <c r="S382" i="2"/>
  <c r="R382" i="2"/>
  <c r="Q382" i="2"/>
  <c r="P382" i="2"/>
  <c r="N382" i="2"/>
  <c r="L382" i="2"/>
  <c r="AJ522" i="3" s="1"/>
  <c r="AM522" i="3" s="1"/>
  <c r="W381" i="2"/>
  <c r="V381" i="2"/>
  <c r="U381" i="2"/>
  <c r="T381" i="2"/>
  <c r="S381" i="2"/>
  <c r="R381" i="2"/>
  <c r="Q381" i="2"/>
  <c r="P381" i="2"/>
  <c r="O381" i="2"/>
  <c r="N381" i="2"/>
  <c r="AO521" i="3" s="1"/>
  <c r="AR521" i="3" s="1"/>
  <c r="L381" i="2"/>
  <c r="AJ521" i="3" s="1"/>
  <c r="AM521" i="3" s="1"/>
  <c r="W380" i="2"/>
  <c r="V380" i="2"/>
  <c r="U380" i="2"/>
  <c r="T380" i="2"/>
  <c r="S380" i="2"/>
  <c r="R380" i="2"/>
  <c r="Q380" i="2"/>
  <c r="P380" i="2"/>
  <c r="N380" i="2"/>
  <c r="AO520" i="3" s="1"/>
  <c r="AR520" i="3" s="1"/>
  <c r="L380" i="2"/>
  <c r="M380" i="2" s="1"/>
  <c r="W379" i="2"/>
  <c r="V379" i="2"/>
  <c r="U379" i="2"/>
  <c r="T379" i="2"/>
  <c r="S379" i="2"/>
  <c r="R379" i="2"/>
  <c r="Q379" i="2"/>
  <c r="P379" i="2"/>
  <c r="N379" i="2"/>
  <c r="AO519" i="3" s="1"/>
  <c r="AR519" i="3" s="1"/>
  <c r="L379" i="2"/>
  <c r="AJ519" i="3" s="1"/>
  <c r="AM519" i="3" s="1"/>
  <c r="W378" i="2"/>
  <c r="V378" i="2"/>
  <c r="U378" i="2"/>
  <c r="T378" i="2"/>
  <c r="S378" i="2"/>
  <c r="R378" i="2"/>
  <c r="Q378" i="2"/>
  <c r="P378" i="2"/>
  <c r="N378" i="2"/>
  <c r="L378" i="2"/>
  <c r="AJ518" i="3" s="1"/>
  <c r="AM518" i="3" s="1"/>
  <c r="W377" i="2"/>
  <c r="V377" i="2"/>
  <c r="U377" i="2"/>
  <c r="T377" i="2"/>
  <c r="S377" i="2"/>
  <c r="R377" i="2"/>
  <c r="Q377" i="2"/>
  <c r="P377" i="2"/>
  <c r="O377" i="2"/>
  <c r="N377" i="2"/>
  <c r="L377" i="2"/>
  <c r="AJ517" i="3" s="1"/>
  <c r="AM517" i="3" s="1"/>
  <c r="W376" i="2"/>
  <c r="V376" i="2"/>
  <c r="U376" i="2"/>
  <c r="T376" i="2"/>
  <c r="S376" i="2"/>
  <c r="R376" i="2"/>
  <c r="Q376" i="2"/>
  <c r="P376" i="2"/>
  <c r="N376" i="2"/>
  <c r="AO516" i="3" s="1"/>
  <c r="AR516" i="3" s="1"/>
  <c r="L376" i="2"/>
  <c r="AJ516" i="3" s="1"/>
  <c r="AM516" i="3" s="1"/>
  <c r="W375" i="2"/>
  <c r="V375" i="2"/>
  <c r="U375" i="2"/>
  <c r="T375" i="2"/>
  <c r="S375" i="2"/>
  <c r="R375" i="2"/>
  <c r="Q375" i="2"/>
  <c r="P375" i="2"/>
  <c r="O375" i="2"/>
  <c r="N375" i="2"/>
  <c r="AO515" i="3" s="1"/>
  <c r="AR515" i="3" s="1"/>
  <c r="L375" i="2"/>
  <c r="AJ515" i="3" s="1"/>
  <c r="AM515" i="3" s="1"/>
  <c r="W374" i="2"/>
  <c r="V374" i="2"/>
  <c r="U374" i="2"/>
  <c r="T374" i="2"/>
  <c r="S374" i="2"/>
  <c r="R374" i="2"/>
  <c r="Q374" i="2"/>
  <c r="P374" i="2"/>
  <c r="N374" i="2"/>
  <c r="O374" i="2" s="1"/>
  <c r="L374" i="2"/>
  <c r="AJ514" i="3" s="1"/>
  <c r="AM514" i="3" s="1"/>
  <c r="W373" i="2"/>
  <c r="V373" i="2"/>
  <c r="U373" i="2"/>
  <c r="T373" i="2"/>
  <c r="S373" i="2"/>
  <c r="R373" i="2"/>
  <c r="Q373" i="2"/>
  <c r="P373" i="2"/>
  <c r="O373" i="2"/>
  <c r="N373" i="2"/>
  <c r="AO513" i="3" s="1"/>
  <c r="AR513" i="3" s="1"/>
  <c r="L373" i="2"/>
  <c r="M373" i="2" s="1"/>
  <c r="W372" i="2"/>
  <c r="V372" i="2"/>
  <c r="U372" i="2"/>
  <c r="T372" i="2"/>
  <c r="S372" i="2"/>
  <c r="R372" i="2"/>
  <c r="Q372" i="2"/>
  <c r="P372" i="2"/>
  <c r="O372" i="2"/>
  <c r="N372" i="2"/>
  <c r="AO512" i="3" s="1"/>
  <c r="AR512" i="3" s="1"/>
  <c r="L372" i="2"/>
  <c r="AJ512" i="3" s="1"/>
  <c r="AM512" i="3" s="1"/>
  <c r="W371" i="2"/>
  <c r="V371" i="2"/>
  <c r="U371" i="2"/>
  <c r="T371" i="2"/>
  <c r="S371" i="2"/>
  <c r="R371" i="2"/>
  <c r="Q371" i="2"/>
  <c r="P371" i="2"/>
  <c r="O371" i="2"/>
  <c r="N371" i="2"/>
  <c r="AO511" i="3" s="1"/>
  <c r="AR511" i="3" s="1"/>
  <c r="L371" i="2"/>
  <c r="AJ511" i="3" s="1"/>
  <c r="AM511" i="3" s="1"/>
  <c r="W370" i="2"/>
  <c r="V370" i="2"/>
  <c r="U370" i="2"/>
  <c r="T370" i="2"/>
  <c r="S370" i="2"/>
  <c r="R370" i="2"/>
  <c r="Q370" i="2"/>
  <c r="P370" i="2"/>
  <c r="N370" i="2"/>
  <c r="L370" i="2"/>
  <c r="AJ510" i="3" s="1"/>
  <c r="AM510" i="3" s="1"/>
  <c r="W369" i="2"/>
  <c r="V369" i="2"/>
  <c r="U369" i="2"/>
  <c r="T369" i="2"/>
  <c r="S369" i="2"/>
  <c r="R369" i="2"/>
  <c r="Q369" i="2"/>
  <c r="P369" i="2"/>
  <c r="O369" i="2"/>
  <c r="N369" i="2"/>
  <c r="L369" i="2"/>
  <c r="AJ509" i="3" s="1"/>
  <c r="AM509" i="3" s="1"/>
  <c r="W368" i="2"/>
  <c r="V368" i="2"/>
  <c r="U368" i="2"/>
  <c r="T368" i="2"/>
  <c r="S368" i="2"/>
  <c r="R368" i="2"/>
  <c r="Q368" i="2"/>
  <c r="P368" i="2"/>
  <c r="O368" i="2"/>
  <c r="N368" i="2"/>
  <c r="AO508" i="3" s="1"/>
  <c r="AR508" i="3" s="1"/>
  <c r="L368" i="2"/>
  <c r="AJ508" i="3" s="1"/>
  <c r="AM508" i="3" s="1"/>
  <c r="W367" i="2"/>
  <c r="V367" i="2"/>
  <c r="U367" i="2"/>
  <c r="T367" i="2"/>
  <c r="S367" i="2"/>
  <c r="R367" i="2"/>
  <c r="Q367" i="2"/>
  <c r="P367" i="2"/>
  <c r="N367" i="2"/>
  <c r="AO507" i="3" s="1"/>
  <c r="AR507" i="3" s="1"/>
  <c r="L367" i="2"/>
  <c r="AJ507" i="3" s="1"/>
  <c r="AM507" i="3" s="1"/>
  <c r="W366" i="2"/>
  <c r="V366" i="2"/>
  <c r="U366" i="2"/>
  <c r="T366" i="2"/>
  <c r="S366" i="2"/>
  <c r="R366" i="2"/>
  <c r="Q366" i="2"/>
  <c r="P366" i="2"/>
  <c r="N366" i="2"/>
  <c r="L366" i="2"/>
  <c r="AJ506" i="3" s="1"/>
  <c r="AM506" i="3" s="1"/>
  <c r="W365" i="2"/>
  <c r="V365" i="2"/>
  <c r="U365" i="2"/>
  <c r="T365" i="2"/>
  <c r="S365" i="2"/>
  <c r="R365" i="2"/>
  <c r="Q365" i="2"/>
  <c r="P365" i="2"/>
  <c r="O365" i="2"/>
  <c r="N365" i="2"/>
  <c r="L365" i="2"/>
  <c r="AJ505" i="3" s="1"/>
  <c r="AM505" i="3" s="1"/>
  <c r="W364" i="2"/>
  <c r="V364" i="2"/>
  <c r="U364" i="2"/>
  <c r="T364" i="2"/>
  <c r="S364" i="2"/>
  <c r="R364" i="2"/>
  <c r="Q364" i="2"/>
  <c r="P364" i="2"/>
  <c r="N364" i="2"/>
  <c r="AO504" i="3" s="1"/>
  <c r="AR504" i="3" s="1"/>
  <c r="L364" i="2"/>
  <c r="M364" i="2" s="1"/>
  <c r="W363" i="2"/>
  <c r="V363" i="2"/>
  <c r="U363" i="2"/>
  <c r="T363" i="2"/>
  <c r="S363" i="2"/>
  <c r="R363" i="2"/>
  <c r="Q363" i="2"/>
  <c r="P363" i="2"/>
  <c r="N363" i="2"/>
  <c r="AO503" i="3" s="1"/>
  <c r="AR503" i="3" s="1"/>
  <c r="L363" i="2"/>
  <c r="AJ503" i="3" s="1"/>
  <c r="AM503" i="3" s="1"/>
  <c r="W362" i="2"/>
  <c r="V362" i="2"/>
  <c r="U362" i="2"/>
  <c r="T362" i="2"/>
  <c r="S362" i="2"/>
  <c r="R362" i="2"/>
  <c r="Q362" i="2"/>
  <c r="P362" i="2"/>
  <c r="N362" i="2"/>
  <c r="L362" i="2"/>
  <c r="AJ502" i="3" s="1"/>
  <c r="AM502" i="3" s="1"/>
  <c r="W361" i="2"/>
  <c r="V361" i="2"/>
  <c r="U361" i="2"/>
  <c r="T361" i="2"/>
  <c r="S361" i="2"/>
  <c r="R361" i="2"/>
  <c r="Q361" i="2"/>
  <c r="P361" i="2"/>
  <c r="O361" i="2"/>
  <c r="N361" i="2"/>
  <c r="L361" i="2"/>
  <c r="AJ501" i="3" s="1"/>
  <c r="AM501" i="3" s="1"/>
  <c r="W360" i="2"/>
  <c r="V360" i="2"/>
  <c r="U360" i="2"/>
  <c r="T360" i="2"/>
  <c r="S360" i="2"/>
  <c r="R360" i="2"/>
  <c r="Q360" i="2"/>
  <c r="P360" i="2"/>
  <c r="N360" i="2"/>
  <c r="AO500" i="3" s="1"/>
  <c r="AR500" i="3" s="1"/>
  <c r="L360" i="2"/>
  <c r="AJ500" i="3" s="1"/>
  <c r="AM500" i="3" s="1"/>
  <c r="W359" i="2"/>
  <c r="V359" i="2"/>
  <c r="U359" i="2"/>
  <c r="T359" i="2"/>
  <c r="S359" i="2"/>
  <c r="R359" i="2"/>
  <c r="Q359" i="2"/>
  <c r="P359" i="2"/>
  <c r="O359" i="2"/>
  <c r="N359" i="2"/>
  <c r="AO499" i="3" s="1"/>
  <c r="AR499" i="3" s="1"/>
  <c r="L359" i="2"/>
  <c r="AJ499" i="3" s="1"/>
  <c r="AM499" i="3" s="1"/>
  <c r="W358" i="2"/>
  <c r="V358" i="2"/>
  <c r="U358" i="2"/>
  <c r="T358" i="2"/>
  <c r="S358" i="2"/>
  <c r="R358" i="2"/>
  <c r="Q358" i="2"/>
  <c r="P358" i="2"/>
  <c r="N358" i="2"/>
  <c r="L358" i="2"/>
  <c r="AJ498" i="3" s="1"/>
  <c r="AM498" i="3" s="1"/>
  <c r="W357" i="2"/>
  <c r="V357" i="2"/>
  <c r="U357" i="2"/>
  <c r="T357" i="2"/>
  <c r="S357" i="2"/>
  <c r="R357" i="2"/>
  <c r="Q357" i="2"/>
  <c r="P357" i="2"/>
  <c r="O357" i="2"/>
  <c r="N357" i="2"/>
  <c r="L357" i="2"/>
  <c r="AJ497" i="3" s="1"/>
  <c r="AM497" i="3" s="1"/>
  <c r="W356" i="2"/>
  <c r="V356" i="2"/>
  <c r="U356" i="2"/>
  <c r="T356" i="2"/>
  <c r="S356" i="2"/>
  <c r="R356" i="2"/>
  <c r="Q356" i="2"/>
  <c r="P356" i="2"/>
  <c r="O356" i="2"/>
  <c r="N356" i="2"/>
  <c r="AO496" i="3" s="1"/>
  <c r="AR496" i="3" s="1"/>
  <c r="L356" i="2"/>
  <c r="AJ496" i="3" s="1"/>
  <c r="AM496" i="3" s="1"/>
  <c r="W355" i="2"/>
  <c r="V355" i="2"/>
  <c r="U355" i="2"/>
  <c r="T355" i="2"/>
  <c r="S355" i="2"/>
  <c r="R355" i="2"/>
  <c r="Q355" i="2"/>
  <c r="P355" i="2"/>
  <c r="O355" i="2"/>
  <c r="N355" i="2"/>
  <c r="AO495" i="3" s="1"/>
  <c r="L355" i="2"/>
  <c r="AJ495" i="3" s="1"/>
  <c r="AM495" i="3" s="1"/>
  <c r="W354" i="2"/>
  <c r="V354" i="2"/>
  <c r="U354" i="2"/>
  <c r="T354" i="2"/>
  <c r="S354" i="2"/>
  <c r="R354" i="2"/>
  <c r="Q354" i="2"/>
  <c r="P354" i="2"/>
  <c r="N354" i="2"/>
  <c r="L354" i="2"/>
  <c r="AJ494" i="3" s="1"/>
  <c r="AM494" i="3" s="1"/>
  <c r="W353" i="2"/>
  <c r="V353" i="2"/>
  <c r="U353" i="2"/>
  <c r="T353" i="2"/>
  <c r="S353" i="2"/>
  <c r="R353" i="2"/>
  <c r="Q353" i="2"/>
  <c r="P353" i="2"/>
  <c r="O353" i="2"/>
  <c r="N353" i="2"/>
  <c r="L353" i="2"/>
  <c r="AJ493" i="3" s="1"/>
  <c r="AM493" i="3" s="1"/>
  <c r="W352" i="2"/>
  <c r="V352" i="2"/>
  <c r="U352" i="2"/>
  <c r="T352" i="2"/>
  <c r="S352" i="2"/>
  <c r="R352" i="2"/>
  <c r="Q352" i="2"/>
  <c r="P352" i="2"/>
  <c r="O352" i="2"/>
  <c r="N352" i="2"/>
  <c r="AO492" i="3" s="1"/>
  <c r="AR492" i="3" s="1"/>
  <c r="L352" i="2"/>
  <c r="AJ492" i="3" s="1"/>
  <c r="AM492" i="3" s="1"/>
  <c r="W351" i="2"/>
  <c r="V351" i="2"/>
  <c r="U351" i="2"/>
  <c r="T351" i="2"/>
  <c r="S351" i="2"/>
  <c r="R351" i="2"/>
  <c r="Q351" i="2"/>
  <c r="P351" i="2"/>
  <c r="N351" i="2"/>
  <c r="AO491" i="3" s="1"/>
  <c r="AR491" i="3" s="1"/>
  <c r="L351" i="2"/>
  <c r="AJ491" i="3" s="1"/>
  <c r="AM491" i="3" s="1"/>
  <c r="W350" i="2"/>
  <c r="V350" i="2"/>
  <c r="U350" i="2"/>
  <c r="T350" i="2"/>
  <c r="S350" i="2"/>
  <c r="R350" i="2"/>
  <c r="Q350" i="2"/>
  <c r="P350" i="2"/>
  <c r="N350" i="2"/>
  <c r="L350" i="2"/>
  <c r="AJ490" i="3" s="1"/>
  <c r="AM490" i="3" s="1"/>
  <c r="W349" i="2"/>
  <c r="V349" i="2"/>
  <c r="U349" i="2"/>
  <c r="T349" i="2"/>
  <c r="S349" i="2"/>
  <c r="R349" i="2"/>
  <c r="Q349" i="2"/>
  <c r="P349" i="2"/>
  <c r="O349" i="2"/>
  <c r="N349" i="2"/>
  <c r="L349" i="2"/>
  <c r="AJ489" i="3" s="1"/>
  <c r="AM489" i="3" s="1"/>
  <c r="W348" i="2"/>
  <c r="V348" i="2"/>
  <c r="U348" i="2"/>
  <c r="T348" i="2"/>
  <c r="S348" i="2"/>
  <c r="R348" i="2"/>
  <c r="Q348" i="2"/>
  <c r="P348" i="2"/>
  <c r="N348" i="2"/>
  <c r="AO488" i="3" s="1"/>
  <c r="AR488" i="3" s="1"/>
  <c r="L348" i="2"/>
  <c r="AJ488" i="3" s="1"/>
  <c r="AM488" i="3" s="1"/>
  <c r="W347" i="2"/>
  <c r="V347" i="2"/>
  <c r="U347" i="2"/>
  <c r="T347" i="2"/>
  <c r="S347" i="2"/>
  <c r="R347" i="2"/>
  <c r="Q347" i="2"/>
  <c r="P347" i="2"/>
  <c r="N347" i="2"/>
  <c r="AO487" i="3" s="1"/>
  <c r="AR487" i="3" s="1"/>
  <c r="L347" i="2"/>
  <c r="AJ487" i="3" s="1"/>
  <c r="AM487" i="3" s="1"/>
  <c r="W346" i="2"/>
  <c r="V346" i="2"/>
  <c r="U346" i="2"/>
  <c r="T346" i="2"/>
  <c r="S346" i="2"/>
  <c r="R346" i="2"/>
  <c r="Q346" i="2"/>
  <c r="P346" i="2"/>
  <c r="N346" i="2"/>
  <c r="L346" i="2"/>
  <c r="AJ486" i="3" s="1"/>
  <c r="AM486" i="3" s="1"/>
  <c r="W345" i="2"/>
  <c r="V345" i="2"/>
  <c r="U345" i="2"/>
  <c r="T345" i="2"/>
  <c r="S345" i="2"/>
  <c r="R345" i="2"/>
  <c r="Q345" i="2"/>
  <c r="P345" i="2"/>
  <c r="O345" i="2"/>
  <c r="N345" i="2"/>
  <c r="L345" i="2"/>
  <c r="AJ485" i="3" s="1"/>
  <c r="AM485" i="3" s="1"/>
  <c r="W344" i="2"/>
  <c r="V344" i="2"/>
  <c r="U344" i="2"/>
  <c r="T344" i="2"/>
  <c r="S344" i="2"/>
  <c r="R344" i="2"/>
  <c r="Q344" i="2"/>
  <c r="P344" i="2"/>
  <c r="N344" i="2"/>
  <c r="AO484" i="3" s="1"/>
  <c r="AR484" i="3" s="1"/>
  <c r="L344" i="2"/>
  <c r="AJ484" i="3" s="1"/>
  <c r="AM484" i="3" s="1"/>
  <c r="W343" i="2"/>
  <c r="V343" i="2"/>
  <c r="U343" i="2"/>
  <c r="T343" i="2"/>
  <c r="S343" i="2"/>
  <c r="R343" i="2"/>
  <c r="Q343" i="2"/>
  <c r="P343" i="2"/>
  <c r="O343" i="2"/>
  <c r="N343" i="2"/>
  <c r="AO483" i="3" s="1"/>
  <c r="AR483" i="3" s="1"/>
  <c r="L343" i="2"/>
  <c r="AJ483" i="3" s="1"/>
  <c r="AM483" i="3" s="1"/>
  <c r="W342" i="2"/>
  <c r="V342" i="2"/>
  <c r="U342" i="2"/>
  <c r="T342" i="2"/>
  <c r="S342" i="2"/>
  <c r="R342" i="2"/>
  <c r="Q342" i="2"/>
  <c r="P342" i="2"/>
  <c r="N342" i="2"/>
  <c r="L342" i="2"/>
  <c r="AJ482" i="3" s="1"/>
  <c r="AM482" i="3" s="1"/>
  <c r="W341" i="2"/>
  <c r="V341" i="2"/>
  <c r="U341" i="2"/>
  <c r="T341" i="2"/>
  <c r="S341" i="2"/>
  <c r="R341" i="2"/>
  <c r="Q341" i="2"/>
  <c r="P341" i="2"/>
  <c r="O341" i="2"/>
  <c r="N341" i="2"/>
  <c r="L341" i="2"/>
  <c r="AJ481" i="3" s="1"/>
  <c r="AM481" i="3" s="1"/>
  <c r="W340" i="2"/>
  <c r="V340" i="2"/>
  <c r="U340" i="2"/>
  <c r="T340" i="2"/>
  <c r="S340" i="2"/>
  <c r="R340" i="2"/>
  <c r="Q340" i="2"/>
  <c r="P340" i="2"/>
  <c r="O340" i="2"/>
  <c r="N340" i="2"/>
  <c r="AO480" i="3" s="1"/>
  <c r="AR480" i="3" s="1"/>
  <c r="L340" i="2"/>
  <c r="AJ480" i="3" s="1"/>
  <c r="AM480" i="3" s="1"/>
  <c r="W339" i="2"/>
  <c r="V339" i="2"/>
  <c r="U339" i="2"/>
  <c r="T339" i="2"/>
  <c r="S339" i="2"/>
  <c r="R339" i="2"/>
  <c r="Q339" i="2"/>
  <c r="P339" i="2"/>
  <c r="O339" i="2"/>
  <c r="N339" i="2"/>
  <c r="AO479" i="3" s="1"/>
  <c r="AR479" i="3" s="1"/>
  <c r="L339" i="2"/>
  <c r="AJ479" i="3" s="1"/>
  <c r="AM479" i="3" s="1"/>
  <c r="W338" i="2"/>
  <c r="V338" i="2"/>
  <c r="U338" i="2"/>
  <c r="T338" i="2"/>
  <c r="S338" i="2"/>
  <c r="R338" i="2"/>
  <c r="Q338" i="2"/>
  <c r="P338" i="2"/>
  <c r="N338" i="2"/>
  <c r="L338" i="2"/>
  <c r="AJ478" i="3" s="1"/>
  <c r="AM478" i="3" s="1"/>
  <c r="W337" i="2"/>
  <c r="V337" i="2"/>
  <c r="U337" i="2"/>
  <c r="T337" i="2"/>
  <c r="S337" i="2"/>
  <c r="R337" i="2"/>
  <c r="Q337" i="2"/>
  <c r="P337" i="2"/>
  <c r="O337" i="2"/>
  <c r="N337" i="2"/>
  <c r="L337" i="2"/>
  <c r="AJ477" i="3" s="1"/>
  <c r="AM477" i="3" s="1"/>
  <c r="W336" i="2"/>
  <c r="V336" i="2"/>
  <c r="U336" i="2"/>
  <c r="T336" i="2"/>
  <c r="S336" i="2"/>
  <c r="R336" i="2"/>
  <c r="Q336" i="2"/>
  <c r="P336" i="2"/>
  <c r="O336" i="2"/>
  <c r="N336" i="2"/>
  <c r="AO476" i="3" s="1"/>
  <c r="AR476" i="3" s="1"/>
  <c r="L336" i="2"/>
  <c r="AJ476" i="3" s="1"/>
  <c r="AM476" i="3" s="1"/>
  <c r="W335" i="2"/>
  <c r="V335" i="2"/>
  <c r="U335" i="2"/>
  <c r="T335" i="2"/>
  <c r="S335" i="2"/>
  <c r="R335" i="2"/>
  <c r="Q335" i="2"/>
  <c r="P335" i="2"/>
  <c r="N335" i="2"/>
  <c r="AO475" i="3" s="1"/>
  <c r="AR475" i="3" s="1"/>
  <c r="L335" i="2"/>
  <c r="AJ475" i="3" s="1"/>
  <c r="AM475" i="3" s="1"/>
  <c r="W334" i="2"/>
  <c r="V334" i="2"/>
  <c r="U334" i="2"/>
  <c r="T334" i="2"/>
  <c r="S334" i="2"/>
  <c r="R334" i="2"/>
  <c r="Q334" i="2"/>
  <c r="P334" i="2"/>
  <c r="N334" i="2"/>
  <c r="L334" i="2"/>
  <c r="AJ474" i="3" s="1"/>
  <c r="AM474" i="3" s="1"/>
  <c r="W333" i="2"/>
  <c r="V333" i="2"/>
  <c r="U333" i="2"/>
  <c r="T333" i="2"/>
  <c r="S333" i="2"/>
  <c r="R333" i="2"/>
  <c r="Q333" i="2"/>
  <c r="P333" i="2"/>
  <c r="O333" i="2"/>
  <c r="N333" i="2"/>
  <c r="L333" i="2"/>
  <c r="AJ473" i="3" s="1"/>
  <c r="AM473" i="3" s="1"/>
  <c r="W332" i="2"/>
  <c r="V332" i="2"/>
  <c r="U332" i="2"/>
  <c r="T332" i="2"/>
  <c r="S332" i="2"/>
  <c r="R332" i="2"/>
  <c r="Q332" i="2"/>
  <c r="P332" i="2"/>
  <c r="N332" i="2"/>
  <c r="AO472" i="3" s="1"/>
  <c r="AR472" i="3" s="1"/>
  <c r="L332" i="2"/>
  <c r="AJ472" i="3" s="1"/>
  <c r="AM472" i="3" s="1"/>
  <c r="W331" i="2"/>
  <c r="V331" i="2"/>
  <c r="U331" i="2"/>
  <c r="T331" i="2"/>
  <c r="S331" i="2"/>
  <c r="R331" i="2"/>
  <c r="Q331" i="2"/>
  <c r="P331" i="2"/>
  <c r="N331" i="2"/>
  <c r="AO471" i="3" s="1"/>
  <c r="AR471" i="3" s="1"/>
  <c r="L331" i="2"/>
  <c r="AJ471" i="3" s="1"/>
  <c r="AM471" i="3" s="1"/>
  <c r="W330" i="2"/>
  <c r="V330" i="2"/>
  <c r="U330" i="2"/>
  <c r="T330" i="2"/>
  <c r="S330" i="2"/>
  <c r="R330" i="2"/>
  <c r="Q330" i="2"/>
  <c r="P330" i="2"/>
  <c r="N330" i="2"/>
  <c r="L330" i="2"/>
  <c r="AJ470" i="3" s="1"/>
  <c r="AM470" i="3" s="1"/>
  <c r="W329" i="2"/>
  <c r="V329" i="2"/>
  <c r="U329" i="2"/>
  <c r="T329" i="2"/>
  <c r="S329" i="2"/>
  <c r="R329" i="2"/>
  <c r="Q329" i="2"/>
  <c r="P329" i="2"/>
  <c r="O329" i="2"/>
  <c r="N329" i="2"/>
  <c r="L329" i="2"/>
  <c r="AJ469" i="3" s="1"/>
  <c r="AM469" i="3" s="1"/>
  <c r="W328" i="2"/>
  <c r="V328" i="2"/>
  <c r="U328" i="2"/>
  <c r="T328" i="2"/>
  <c r="S328" i="2"/>
  <c r="R328" i="2"/>
  <c r="Q328" i="2"/>
  <c r="P328" i="2"/>
  <c r="N328" i="2"/>
  <c r="AO468" i="3" s="1"/>
  <c r="AR468" i="3" s="1"/>
  <c r="L328" i="2"/>
  <c r="AJ468" i="3" s="1"/>
  <c r="AM468" i="3" s="1"/>
  <c r="W327" i="2"/>
  <c r="V327" i="2"/>
  <c r="U327" i="2"/>
  <c r="T327" i="2"/>
  <c r="S327" i="2"/>
  <c r="R327" i="2"/>
  <c r="Q327" i="2"/>
  <c r="P327" i="2"/>
  <c r="O327" i="2"/>
  <c r="N327" i="2"/>
  <c r="L327" i="2"/>
  <c r="AJ467" i="3" s="1"/>
  <c r="AM467" i="3" s="1"/>
  <c r="W326" i="2"/>
  <c r="V326" i="2"/>
  <c r="U326" i="2"/>
  <c r="T326" i="2"/>
  <c r="S326" i="2"/>
  <c r="R326" i="2"/>
  <c r="Q326" i="2"/>
  <c r="P326" i="2"/>
  <c r="N326" i="2"/>
  <c r="L326" i="2"/>
  <c r="AJ466" i="3" s="1"/>
  <c r="AM466" i="3" s="1"/>
  <c r="W325" i="2"/>
  <c r="V325" i="2"/>
  <c r="U325" i="2"/>
  <c r="T325" i="2"/>
  <c r="S325" i="2"/>
  <c r="R325" i="2"/>
  <c r="Q325" i="2"/>
  <c r="P325" i="2"/>
  <c r="O325" i="2"/>
  <c r="N325" i="2"/>
  <c r="L325" i="2"/>
  <c r="AJ465" i="3" s="1"/>
  <c r="AM465" i="3" s="1"/>
  <c r="W324" i="2"/>
  <c r="V324" i="2"/>
  <c r="U324" i="2"/>
  <c r="T324" i="2"/>
  <c r="S324" i="2"/>
  <c r="R324" i="2"/>
  <c r="Q324" i="2"/>
  <c r="P324" i="2"/>
  <c r="O324" i="2"/>
  <c r="N324" i="2"/>
  <c r="AO464" i="3" s="1"/>
  <c r="AR464" i="3" s="1"/>
  <c r="L324" i="2"/>
  <c r="AJ464" i="3" s="1"/>
  <c r="AM464" i="3" s="1"/>
  <c r="W323" i="2"/>
  <c r="V323" i="2"/>
  <c r="U323" i="2"/>
  <c r="T323" i="2"/>
  <c r="S323" i="2"/>
  <c r="R323" i="2"/>
  <c r="Q323" i="2"/>
  <c r="P323" i="2"/>
  <c r="O323" i="2"/>
  <c r="N323" i="2"/>
  <c r="AO463" i="3" s="1"/>
  <c r="AR463" i="3" s="1"/>
  <c r="L323" i="2"/>
  <c r="AJ463" i="3" s="1"/>
  <c r="AM463" i="3" s="1"/>
  <c r="W322" i="2"/>
  <c r="V322" i="2"/>
  <c r="U322" i="2"/>
  <c r="T322" i="2"/>
  <c r="S322" i="2"/>
  <c r="R322" i="2"/>
  <c r="Q322" i="2"/>
  <c r="P322" i="2"/>
  <c r="N322" i="2"/>
  <c r="L322" i="2"/>
  <c r="AJ462" i="3" s="1"/>
  <c r="AM462" i="3" s="1"/>
  <c r="W321" i="2"/>
  <c r="V321" i="2"/>
  <c r="U321" i="2"/>
  <c r="T321" i="2"/>
  <c r="S321" i="2"/>
  <c r="R321" i="2"/>
  <c r="Q321" i="2"/>
  <c r="P321" i="2"/>
  <c r="O321" i="2"/>
  <c r="N321" i="2"/>
  <c r="L321" i="2"/>
  <c r="AJ461" i="3" s="1"/>
  <c r="AM461" i="3" s="1"/>
  <c r="W320" i="2"/>
  <c r="V320" i="2"/>
  <c r="U320" i="2"/>
  <c r="T320" i="2"/>
  <c r="S320" i="2"/>
  <c r="R320" i="2"/>
  <c r="Q320" i="2"/>
  <c r="P320" i="2"/>
  <c r="O320" i="2"/>
  <c r="N320" i="2"/>
  <c r="AO460" i="3" s="1"/>
  <c r="AR460" i="3" s="1"/>
  <c r="L320" i="2"/>
  <c r="AJ460" i="3" s="1"/>
  <c r="AM460" i="3" s="1"/>
  <c r="W319" i="2"/>
  <c r="V319" i="2"/>
  <c r="U319" i="2"/>
  <c r="T319" i="2"/>
  <c r="S319" i="2"/>
  <c r="R319" i="2"/>
  <c r="Q319" i="2"/>
  <c r="P319" i="2"/>
  <c r="N319" i="2"/>
  <c r="AO459" i="3" s="1"/>
  <c r="AR459" i="3" s="1"/>
  <c r="L319" i="2"/>
  <c r="AJ459" i="3" s="1"/>
  <c r="AM459" i="3" s="1"/>
  <c r="W318" i="2"/>
  <c r="V318" i="2"/>
  <c r="U318" i="2"/>
  <c r="T318" i="2"/>
  <c r="S318" i="2"/>
  <c r="R318" i="2"/>
  <c r="Q318" i="2"/>
  <c r="P318" i="2"/>
  <c r="N318" i="2"/>
  <c r="L318" i="2"/>
  <c r="AJ458" i="3" s="1"/>
  <c r="AM458" i="3" s="1"/>
  <c r="W317" i="2"/>
  <c r="V317" i="2"/>
  <c r="U317" i="2"/>
  <c r="T317" i="2"/>
  <c r="S317" i="2"/>
  <c r="R317" i="2"/>
  <c r="Q317" i="2"/>
  <c r="P317" i="2"/>
  <c r="O317" i="2"/>
  <c r="N317" i="2"/>
  <c r="L317" i="2"/>
  <c r="AJ457" i="3" s="1"/>
  <c r="AM457" i="3" s="1"/>
  <c r="W316" i="2"/>
  <c r="V316" i="2"/>
  <c r="U316" i="2"/>
  <c r="T316" i="2"/>
  <c r="S316" i="2"/>
  <c r="R316" i="2"/>
  <c r="Q316" i="2"/>
  <c r="P316" i="2"/>
  <c r="N316" i="2"/>
  <c r="AO456" i="3" s="1"/>
  <c r="AR456" i="3" s="1"/>
  <c r="L316" i="2"/>
  <c r="AJ456" i="3" s="1"/>
  <c r="AM456" i="3" s="1"/>
  <c r="W315" i="2"/>
  <c r="V315" i="2"/>
  <c r="U315" i="2"/>
  <c r="T315" i="2"/>
  <c r="S315" i="2"/>
  <c r="R315" i="2"/>
  <c r="Q315" i="2"/>
  <c r="P315" i="2"/>
  <c r="N315" i="2"/>
  <c r="AO455" i="3" s="1"/>
  <c r="AR455" i="3" s="1"/>
  <c r="L315" i="2"/>
  <c r="AJ455" i="3" s="1"/>
  <c r="AM455" i="3" s="1"/>
  <c r="W314" i="2"/>
  <c r="V314" i="2"/>
  <c r="U314" i="2"/>
  <c r="T314" i="2"/>
  <c r="S314" i="2"/>
  <c r="R314" i="2"/>
  <c r="Q314" i="2"/>
  <c r="P314" i="2"/>
  <c r="N314" i="2"/>
  <c r="L314" i="2"/>
  <c r="AJ454" i="3" s="1"/>
  <c r="AM454" i="3" s="1"/>
  <c r="W313" i="2"/>
  <c r="V313" i="2"/>
  <c r="U313" i="2"/>
  <c r="T313" i="2"/>
  <c r="S313" i="2"/>
  <c r="R313" i="2"/>
  <c r="Q313" i="2"/>
  <c r="P313" i="2"/>
  <c r="O313" i="2"/>
  <c r="N313" i="2"/>
  <c r="L313" i="2"/>
  <c r="AJ453" i="3" s="1"/>
  <c r="AM453" i="3" s="1"/>
  <c r="W312" i="2"/>
  <c r="V312" i="2"/>
  <c r="U312" i="2"/>
  <c r="T312" i="2"/>
  <c r="S312" i="2"/>
  <c r="R312" i="2"/>
  <c r="Q312" i="2"/>
  <c r="P312" i="2"/>
  <c r="N312" i="2"/>
  <c r="AO452" i="3" s="1"/>
  <c r="AR452" i="3" s="1"/>
  <c r="L312" i="2"/>
  <c r="AJ452" i="3" s="1"/>
  <c r="AM452" i="3" s="1"/>
  <c r="W311" i="2"/>
  <c r="V311" i="2"/>
  <c r="U311" i="2"/>
  <c r="T311" i="2"/>
  <c r="S311" i="2"/>
  <c r="R311" i="2"/>
  <c r="Q311" i="2"/>
  <c r="P311" i="2"/>
  <c r="O311" i="2"/>
  <c r="N311" i="2"/>
  <c r="AO451" i="3" s="1"/>
  <c r="AR451" i="3" s="1"/>
  <c r="L311" i="2"/>
  <c r="AJ451" i="3" s="1"/>
  <c r="AM451" i="3" s="1"/>
  <c r="W310" i="2"/>
  <c r="V310" i="2"/>
  <c r="U310" i="2"/>
  <c r="T310" i="2"/>
  <c r="S310" i="2"/>
  <c r="R310" i="2"/>
  <c r="Q310" i="2"/>
  <c r="P310" i="2"/>
  <c r="N310" i="2"/>
  <c r="L310" i="2"/>
  <c r="AJ450" i="3" s="1"/>
  <c r="AM450" i="3" s="1"/>
  <c r="W309" i="2"/>
  <c r="V309" i="2"/>
  <c r="U309" i="2"/>
  <c r="T309" i="2"/>
  <c r="S309" i="2"/>
  <c r="R309" i="2"/>
  <c r="Q309" i="2"/>
  <c r="P309" i="2"/>
  <c r="O309" i="2"/>
  <c r="N309" i="2"/>
  <c r="L309" i="2"/>
  <c r="AJ449" i="3" s="1"/>
  <c r="AM449" i="3" s="1"/>
  <c r="W308" i="2"/>
  <c r="V308" i="2"/>
  <c r="U308" i="2"/>
  <c r="T308" i="2"/>
  <c r="S308" i="2"/>
  <c r="R308" i="2"/>
  <c r="Q308" i="2"/>
  <c r="P308" i="2"/>
  <c r="O308" i="2"/>
  <c r="N308" i="2"/>
  <c r="AO448" i="3" s="1"/>
  <c r="AR448" i="3" s="1"/>
  <c r="L308" i="2"/>
  <c r="AJ448" i="3" s="1"/>
  <c r="AM448" i="3" s="1"/>
  <c r="W307" i="2"/>
  <c r="V307" i="2"/>
  <c r="U307" i="2"/>
  <c r="T307" i="2"/>
  <c r="S307" i="2"/>
  <c r="R307" i="2"/>
  <c r="Q307" i="2"/>
  <c r="P307" i="2"/>
  <c r="O307" i="2"/>
  <c r="N307" i="2"/>
  <c r="AO447" i="3" s="1"/>
  <c r="AR447" i="3" s="1"/>
  <c r="L307" i="2"/>
  <c r="AJ447" i="3" s="1"/>
  <c r="AM447" i="3" s="1"/>
  <c r="W306" i="2"/>
  <c r="V306" i="2"/>
  <c r="U306" i="2"/>
  <c r="T306" i="2"/>
  <c r="S306" i="2"/>
  <c r="R306" i="2"/>
  <c r="Q306" i="2"/>
  <c r="P306" i="2"/>
  <c r="N306" i="2"/>
  <c r="L306" i="2"/>
  <c r="AJ446" i="3" s="1"/>
  <c r="AM446" i="3" s="1"/>
  <c r="W305" i="2"/>
  <c r="V305" i="2"/>
  <c r="U305" i="2"/>
  <c r="T305" i="2"/>
  <c r="S305" i="2"/>
  <c r="R305" i="2"/>
  <c r="Q305" i="2"/>
  <c r="P305" i="2"/>
  <c r="O305" i="2"/>
  <c r="N305" i="2"/>
  <c r="L305" i="2"/>
  <c r="AJ445" i="3" s="1"/>
  <c r="AM445" i="3" s="1"/>
  <c r="W304" i="2"/>
  <c r="V304" i="2"/>
  <c r="U304" i="2"/>
  <c r="T304" i="2"/>
  <c r="S304" i="2"/>
  <c r="R304" i="2"/>
  <c r="Q304" i="2"/>
  <c r="P304" i="2"/>
  <c r="O304" i="2"/>
  <c r="N304" i="2"/>
  <c r="AO444" i="3" s="1"/>
  <c r="AR444" i="3" s="1"/>
  <c r="L304" i="2"/>
  <c r="AJ444" i="3" s="1"/>
  <c r="AM444" i="3" s="1"/>
  <c r="W303" i="2"/>
  <c r="V303" i="2"/>
  <c r="U303" i="2"/>
  <c r="T303" i="2"/>
  <c r="S303" i="2"/>
  <c r="R303" i="2"/>
  <c r="Q303" i="2"/>
  <c r="P303" i="2"/>
  <c r="N303" i="2"/>
  <c r="AO443" i="3" s="1"/>
  <c r="AR443" i="3" s="1"/>
  <c r="L303" i="2"/>
  <c r="AJ443" i="3" s="1"/>
  <c r="AM443" i="3" s="1"/>
  <c r="W302" i="2"/>
  <c r="V302" i="2"/>
  <c r="U302" i="2"/>
  <c r="T302" i="2"/>
  <c r="S302" i="2"/>
  <c r="R302" i="2"/>
  <c r="Q302" i="2"/>
  <c r="P302" i="2"/>
  <c r="N302" i="2"/>
  <c r="L302" i="2"/>
  <c r="AJ442" i="3" s="1"/>
  <c r="AM442" i="3" s="1"/>
  <c r="W301" i="2"/>
  <c r="V301" i="2"/>
  <c r="U301" i="2"/>
  <c r="T301" i="2"/>
  <c r="S301" i="2"/>
  <c r="R301" i="2"/>
  <c r="Q301" i="2"/>
  <c r="P301" i="2"/>
  <c r="O301" i="2"/>
  <c r="N301" i="2"/>
  <c r="L301" i="2"/>
  <c r="AJ441" i="3" s="1"/>
  <c r="AM441" i="3" s="1"/>
  <c r="W300" i="2"/>
  <c r="V300" i="2"/>
  <c r="U300" i="2"/>
  <c r="T300" i="2"/>
  <c r="S300" i="2"/>
  <c r="R300" i="2"/>
  <c r="Q300" i="2"/>
  <c r="P300" i="2"/>
  <c r="N300" i="2"/>
  <c r="AO440" i="3" s="1"/>
  <c r="AR440" i="3" s="1"/>
  <c r="L300" i="2"/>
  <c r="AJ440" i="3" s="1"/>
  <c r="AM440" i="3" s="1"/>
  <c r="W299" i="2"/>
  <c r="V299" i="2"/>
  <c r="U299" i="2"/>
  <c r="T299" i="2"/>
  <c r="S299" i="2"/>
  <c r="R299" i="2"/>
  <c r="Q299" i="2"/>
  <c r="P299" i="2"/>
  <c r="N299" i="2"/>
  <c r="AO439" i="3" s="1"/>
  <c r="AR439" i="3" s="1"/>
  <c r="L299" i="2"/>
  <c r="AJ439" i="3" s="1"/>
  <c r="AM439" i="3" s="1"/>
  <c r="W298" i="2"/>
  <c r="V298" i="2"/>
  <c r="U298" i="2"/>
  <c r="T298" i="2"/>
  <c r="S298" i="2"/>
  <c r="R298" i="2"/>
  <c r="Q298" i="2"/>
  <c r="P298" i="2"/>
  <c r="N298" i="2"/>
  <c r="L298" i="2"/>
  <c r="AJ438" i="3" s="1"/>
  <c r="AM438" i="3" s="1"/>
  <c r="W297" i="2"/>
  <c r="V297" i="2"/>
  <c r="U297" i="2"/>
  <c r="T297" i="2"/>
  <c r="S297" i="2"/>
  <c r="R297" i="2"/>
  <c r="Q297" i="2"/>
  <c r="P297" i="2"/>
  <c r="O297" i="2"/>
  <c r="N297" i="2"/>
  <c r="L297" i="2"/>
  <c r="AJ437" i="3" s="1"/>
  <c r="AM437" i="3" s="1"/>
  <c r="W296" i="2"/>
  <c r="V296" i="2"/>
  <c r="U296" i="2"/>
  <c r="T296" i="2"/>
  <c r="S296" i="2"/>
  <c r="R296" i="2"/>
  <c r="Q296" i="2"/>
  <c r="P296" i="2"/>
  <c r="N296" i="2"/>
  <c r="AO436" i="3" s="1"/>
  <c r="AR436" i="3" s="1"/>
  <c r="L296" i="2"/>
  <c r="AJ436" i="3" s="1"/>
  <c r="AM436" i="3" s="1"/>
  <c r="W295" i="2"/>
  <c r="V295" i="2"/>
  <c r="U295" i="2"/>
  <c r="T295" i="2"/>
  <c r="S295" i="2"/>
  <c r="R295" i="2"/>
  <c r="Q295" i="2"/>
  <c r="P295" i="2"/>
  <c r="O295" i="2"/>
  <c r="N295" i="2"/>
  <c r="AO435" i="3" s="1"/>
  <c r="AR435" i="3" s="1"/>
  <c r="L295" i="2"/>
  <c r="AJ435" i="3" s="1"/>
  <c r="AM435" i="3" s="1"/>
  <c r="W294" i="2"/>
  <c r="V294" i="2"/>
  <c r="U294" i="2"/>
  <c r="T294" i="2"/>
  <c r="S294" i="2"/>
  <c r="R294" i="2"/>
  <c r="Q294" i="2"/>
  <c r="P294" i="2"/>
  <c r="N294" i="2"/>
  <c r="L294" i="2"/>
  <c r="AJ434" i="3" s="1"/>
  <c r="AM434" i="3" s="1"/>
  <c r="W293" i="2"/>
  <c r="V293" i="2"/>
  <c r="U293" i="2"/>
  <c r="T293" i="2"/>
  <c r="S293" i="2"/>
  <c r="R293" i="2"/>
  <c r="Q293" i="2"/>
  <c r="P293" i="2"/>
  <c r="O293" i="2"/>
  <c r="N293" i="2"/>
  <c r="L293" i="2"/>
  <c r="AJ433" i="3" s="1"/>
  <c r="AM433" i="3" s="1"/>
  <c r="W292" i="2"/>
  <c r="V292" i="2"/>
  <c r="U292" i="2"/>
  <c r="T292" i="2"/>
  <c r="S292" i="2"/>
  <c r="R292" i="2"/>
  <c r="Q292" i="2"/>
  <c r="P292" i="2"/>
  <c r="O292" i="2"/>
  <c r="N292" i="2"/>
  <c r="AO432" i="3" s="1"/>
  <c r="L292" i="2"/>
  <c r="AJ432" i="3" s="1"/>
  <c r="AM432" i="3" s="1"/>
  <c r="W291" i="2"/>
  <c r="V291" i="2"/>
  <c r="U291" i="2"/>
  <c r="T291" i="2"/>
  <c r="S291" i="2"/>
  <c r="R291" i="2"/>
  <c r="Q291" i="2"/>
  <c r="P291" i="2"/>
  <c r="O291" i="2"/>
  <c r="N291" i="2"/>
  <c r="AO431" i="3" s="1"/>
  <c r="AR431" i="3" s="1"/>
  <c r="L291" i="2"/>
  <c r="AJ431" i="3" s="1"/>
  <c r="AM431" i="3" s="1"/>
  <c r="W290" i="2"/>
  <c r="V290" i="2"/>
  <c r="U290" i="2"/>
  <c r="T290" i="2"/>
  <c r="S290" i="2"/>
  <c r="R290" i="2"/>
  <c r="Q290" i="2"/>
  <c r="P290" i="2"/>
  <c r="N290" i="2"/>
  <c r="L290" i="2"/>
  <c r="AJ430" i="3" s="1"/>
  <c r="AM430" i="3" s="1"/>
  <c r="W289" i="2"/>
  <c r="V289" i="2"/>
  <c r="U289" i="2"/>
  <c r="T289" i="2"/>
  <c r="S289" i="2"/>
  <c r="R289" i="2"/>
  <c r="Q289" i="2"/>
  <c r="P289" i="2"/>
  <c r="O289" i="2"/>
  <c r="N289" i="2"/>
  <c r="AO429" i="3" s="1"/>
  <c r="AR429" i="3" s="1"/>
  <c r="L289" i="2"/>
  <c r="AJ429" i="3" s="1"/>
  <c r="AM429" i="3" s="1"/>
  <c r="W288" i="2"/>
  <c r="V288" i="2"/>
  <c r="U288" i="2"/>
  <c r="T288" i="2"/>
  <c r="S288" i="2"/>
  <c r="R288" i="2"/>
  <c r="Q288" i="2"/>
  <c r="P288" i="2"/>
  <c r="O288" i="2"/>
  <c r="N288" i="2"/>
  <c r="AO428" i="3" s="1"/>
  <c r="AR428" i="3" s="1"/>
  <c r="L288" i="2"/>
  <c r="AJ428" i="3" s="1"/>
  <c r="AM428" i="3" s="1"/>
  <c r="W287" i="2"/>
  <c r="V287" i="2"/>
  <c r="U287" i="2"/>
  <c r="T287" i="2"/>
  <c r="S287" i="2"/>
  <c r="R287" i="2"/>
  <c r="Q287" i="2"/>
  <c r="P287" i="2"/>
  <c r="N287" i="2"/>
  <c r="AO427" i="3" s="1"/>
  <c r="AR427" i="3" s="1"/>
  <c r="L287" i="2"/>
  <c r="AJ427" i="3" s="1"/>
  <c r="AM427" i="3" s="1"/>
  <c r="W286" i="2"/>
  <c r="V286" i="2"/>
  <c r="U286" i="2"/>
  <c r="T286" i="2"/>
  <c r="S286" i="2"/>
  <c r="R286" i="2"/>
  <c r="Q286" i="2"/>
  <c r="P286" i="2"/>
  <c r="N286" i="2"/>
  <c r="AO426" i="3" s="1"/>
  <c r="AR426" i="3" s="1"/>
  <c r="L286" i="2"/>
  <c r="AJ426" i="3" s="1"/>
  <c r="AM426" i="3" s="1"/>
  <c r="W285" i="2"/>
  <c r="V285" i="2"/>
  <c r="U285" i="2"/>
  <c r="T285" i="2"/>
  <c r="S285" i="2"/>
  <c r="R285" i="2"/>
  <c r="Q285" i="2"/>
  <c r="P285" i="2"/>
  <c r="O285" i="2"/>
  <c r="N285" i="2"/>
  <c r="AO425" i="3" s="1"/>
  <c r="AR425" i="3" s="1"/>
  <c r="L285" i="2"/>
  <c r="AJ425" i="3" s="1"/>
  <c r="AM425" i="3" s="1"/>
  <c r="W284" i="2"/>
  <c r="V284" i="2"/>
  <c r="U284" i="2"/>
  <c r="T284" i="2"/>
  <c r="S284" i="2"/>
  <c r="R284" i="2"/>
  <c r="Q284" i="2"/>
  <c r="P284" i="2"/>
  <c r="O284" i="2"/>
  <c r="N284" i="2"/>
  <c r="AO424" i="3" s="1"/>
  <c r="AR424" i="3" s="1"/>
  <c r="L284" i="2"/>
  <c r="AJ424" i="3" s="1"/>
  <c r="AM424" i="3" s="1"/>
  <c r="W283" i="2"/>
  <c r="V283" i="2"/>
  <c r="U283" i="2"/>
  <c r="T283" i="2"/>
  <c r="S283" i="2"/>
  <c r="R283" i="2"/>
  <c r="Q283" i="2"/>
  <c r="P283" i="2"/>
  <c r="N283" i="2"/>
  <c r="AO423" i="3" s="1"/>
  <c r="AR423" i="3" s="1"/>
  <c r="L283" i="2"/>
  <c r="AJ423" i="3" s="1"/>
  <c r="AM423" i="3" s="1"/>
  <c r="W282" i="2"/>
  <c r="V282" i="2"/>
  <c r="U282" i="2"/>
  <c r="T282" i="2"/>
  <c r="S282" i="2"/>
  <c r="R282" i="2"/>
  <c r="Q282" i="2"/>
  <c r="P282" i="2"/>
  <c r="N282" i="2"/>
  <c r="AO422" i="3" s="1"/>
  <c r="AR422" i="3" s="1"/>
  <c r="L282" i="2"/>
  <c r="AJ422" i="3" s="1"/>
  <c r="AM422" i="3" s="1"/>
  <c r="W281" i="2"/>
  <c r="V281" i="2"/>
  <c r="U281" i="2"/>
  <c r="T281" i="2"/>
  <c r="S281" i="2"/>
  <c r="R281" i="2"/>
  <c r="Q281" i="2"/>
  <c r="P281" i="2"/>
  <c r="O281" i="2"/>
  <c r="N281" i="2"/>
  <c r="L281" i="2"/>
  <c r="AJ421" i="3" s="1"/>
  <c r="AM421" i="3" s="1"/>
  <c r="W280" i="2"/>
  <c r="V280" i="2"/>
  <c r="U280" i="2"/>
  <c r="T280" i="2"/>
  <c r="S280" i="2"/>
  <c r="R280" i="2"/>
  <c r="Q280" i="2"/>
  <c r="P280" i="2"/>
  <c r="O280" i="2"/>
  <c r="N280" i="2"/>
  <c r="AO420" i="3" s="1"/>
  <c r="AR420" i="3" s="1"/>
  <c r="L280" i="2"/>
  <c r="AJ420" i="3" s="1"/>
  <c r="AM420" i="3" s="1"/>
  <c r="W279" i="2"/>
  <c r="V279" i="2"/>
  <c r="U279" i="2"/>
  <c r="T279" i="2"/>
  <c r="S279" i="2"/>
  <c r="R279" i="2"/>
  <c r="Q279" i="2"/>
  <c r="P279" i="2"/>
  <c r="N279" i="2"/>
  <c r="AO419" i="3" s="1"/>
  <c r="AR419" i="3" s="1"/>
  <c r="L279" i="2"/>
  <c r="AJ419" i="3" s="1"/>
  <c r="AM419" i="3" s="1"/>
  <c r="W278" i="2"/>
  <c r="V278" i="2"/>
  <c r="U278" i="2"/>
  <c r="T278" i="2"/>
  <c r="S278" i="2"/>
  <c r="R278" i="2"/>
  <c r="Q278" i="2"/>
  <c r="P278" i="2"/>
  <c r="N278" i="2"/>
  <c r="AO418" i="3" s="1"/>
  <c r="L278" i="2"/>
  <c r="AJ418" i="3" s="1"/>
  <c r="AM418" i="3" s="1"/>
  <c r="W277" i="2"/>
  <c r="V277" i="2"/>
  <c r="U277" i="2"/>
  <c r="T277" i="2"/>
  <c r="S277" i="2"/>
  <c r="R277" i="2"/>
  <c r="Q277" i="2"/>
  <c r="P277" i="2"/>
  <c r="O277" i="2"/>
  <c r="N277" i="2"/>
  <c r="AO417" i="3" s="1"/>
  <c r="AR417" i="3" s="1"/>
  <c r="L277" i="2"/>
  <c r="AJ417" i="3" s="1"/>
  <c r="AM417" i="3" s="1"/>
  <c r="W276" i="2"/>
  <c r="V276" i="2"/>
  <c r="U276" i="2"/>
  <c r="T276" i="2"/>
  <c r="S276" i="2"/>
  <c r="R276" i="2"/>
  <c r="Q276" i="2"/>
  <c r="P276" i="2"/>
  <c r="O276" i="2"/>
  <c r="N276" i="2"/>
  <c r="AO416" i="3" s="1"/>
  <c r="AR416" i="3" s="1"/>
  <c r="L276" i="2"/>
  <c r="AJ416" i="3" s="1"/>
  <c r="AM416" i="3" s="1"/>
  <c r="W275" i="2"/>
  <c r="V275" i="2"/>
  <c r="U275" i="2"/>
  <c r="T275" i="2"/>
  <c r="S275" i="2"/>
  <c r="R275" i="2"/>
  <c r="Q275" i="2"/>
  <c r="P275" i="2"/>
  <c r="N275" i="2"/>
  <c r="AO415" i="3" s="1"/>
  <c r="AR415" i="3" s="1"/>
  <c r="L275" i="2"/>
  <c r="AJ415" i="3" s="1"/>
  <c r="AM415" i="3" s="1"/>
  <c r="W274" i="2"/>
  <c r="V274" i="2"/>
  <c r="U274" i="2"/>
  <c r="T274" i="2"/>
  <c r="S274" i="2"/>
  <c r="R274" i="2"/>
  <c r="Q274" i="2"/>
  <c r="P274" i="2"/>
  <c r="N274" i="2"/>
  <c r="AO414" i="3" s="1"/>
  <c r="AR414" i="3" s="1"/>
  <c r="L274" i="2"/>
  <c r="AJ414" i="3" s="1"/>
  <c r="AM414" i="3" s="1"/>
  <c r="W273" i="2"/>
  <c r="V273" i="2"/>
  <c r="U273" i="2"/>
  <c r="T273" i="2"/>
  <c r="S273" i="2"/>
  <c r="R273" i="2"/>
  <c r="Q273" i="2"/>
  <c r="P273" i="2"/>
  <c r="O273" i="2"/>
  <c r="N273" i="2"/>
  <c r="AO413" i="3" s="1"/>
  <c r="AR413" i="3" s="1"/>
  <c r="L273" i="2"/>
  <c r="AJ413" i="3" s="1"/>
  <c r="AM413" i="3" s="1"/>
  <c r="W272" i="2"/>
  <c r="V272" i="2"/>
  <c r="U272" i="2"/>
  <c r="T272" i="2"/>
  <c r="S272" i="2"/>
  <c r="R272" i="2"/>
  <c r="Q272" i="2"/>
  <c r="P272" i="2"/>
  <c r="O272" i="2"/>
  <c r="N272" i="2"/>
  <c r="AO412" i="3" s="1"/>
  <c r="AR412" i="3" s="1"/>
  <c r="L272" i="2"/>
  <c r="AJ412" i="3" s="1"/>
  <c r="AM412" i="3" s="1"/>
  <c r="W271" i="2"/>
  <c r="V271" i="2"/>
  <c r="U271" i="2"/>
  <c r="T271" i="2"/>
  <c r="S271" i="2"/>
  <c r="R271" i="2"/>
  <c r="Q271" i="2"/>
  <c r="P271" i="2"/>
  <c r="N271" i="2"/>
  <c r="AO411" i="3" s="1"/>
  <c r="AR411" i="3" s="1"/>
  <c r="L271" i="2"/>
  <c r="AJ411" i="3" s="1"/>
  <c r="AM411" i="3" s="1"/>
  <c r="W270" i="2"/>
  <c r="V270" i="2"/>
  <c r="U270" i="2"/>
  <c r="T270" i="2"/>
  <c r="S270" i="2"/>
  <c r="R270" i="2"/>
  <c r="Q270" i="2"/>
  <c r="P270" i="2"/>
  <c r="N270" i="2"/>
  <c r="AO410" i="3" s="1"/>
  <c r="AR410" i="3" s="1"/>
  <c r="L270" i="2"/>
  <c r="AJ410" i="3" s="1"/>
  <c r="AM410" i="3" s="1"/>
  <c r="W269" i="2"/>
  <c r="V269" i="2"/>
  <c r="U269" i="2"/>
  <c r="T269" i="2"/>
  <c r="S269" i="2"/>
  <c r="R269" i="2"/>
  <c r="Q269" i="2"/>
  <c r="P269" i="2"/>
  <c r="O269" i="2"/>
  <c r="N269" i="2"/>
  <c r="AO409" i="3" s="1"/>
  <c r="AR409" i="3" s="1"/>
  <c r="L269" i="2"/>
  <c r="AJ409" i="3" s="1"/>
  <c r="AM409" i="3" s="1"/>
  <c r="W268" i="2"/>
  <c r="V268" i="2"/>
  <c r="U268" i="2"/>
  <c r="T268" i="2"/>
  <c r="S268" i="2"/>
  <c r="R268" i="2"/>
  <c r="Q268" i="2"/>
  <c r="P268" i="2"/>
  <c r="O268" i="2"/>
  <c r="N268" i="2"/>
  <c r="AO408" i="3" s="1"/>
  <c r="L268" i="2"/>
  <c r="AJ408" i="3" s="1"/>
  <c r="AM408" i="3" s="1"/>
  <c r="W267" i="2"/>
  <c r="V267" i="2"/>
  <c r="U267" i="2"/>
  <c r="T267" i="2"/>
  <c r="S267" i="2"/>
  <c r="R267" i="2"/>
  <c r="Q267" i="2"/>
  <c r="P267" i="2"/>
  <c r="N267" i="2"/>
  <c r="AO407" i="3" s="1"/>
  <c r="AR407" i="3" s="1"/>
  <c r="L267" i="2"/>
  <c r="AJ407" i="3" s="1"/>
  <c r="AM407" i="3" s="1"/>
  <c r="W266" i="2"/>
  <c r="V266" i="2"/>
  <c r="U266" i="2"/>
  <c r="T266" i="2"/>
  <c r="S266" i="2"/>
  <c r="R266" i="2"/>
  <c r="Q266" i="2"/>
  <c r="P266" i="2"/>
  <c r="N266" i="2"/>
  <c r="AO406" i="3" s="1"/>
  <c r="L266" i="2"/>
  <c r="AJ406" i="3" s="1"/>
  <c r="AM406" i="3" s="1"/>
  <c r="W265" i="2"/>
  <c r="V265" i="2"/>
  <c r="U265" i="2"/>
  <c r="T265" i="2"/>
  <c r="S265" i="2"/>
  <c r="R265" i="2"/>
  <c r="Q265" i="2"/>
  <c r="P265" i="2"/>
  <c r="O265" i="2"/>
  <c r="N265" i="2"/>
  <c r="AO405" i="3" s="1"/>
  <c r="AR405" i="3" s="1"/>
  <c r="L265" i="2"/>
  <c r="AJ405" i="3" s="1"/>
  <c r="AM405" i="3" s="1"/>
  <c r="W264" i="2"/>
  <c r="V264" i="2"/>
  <c r="U264" i="2"/>
  <c r="T264" i="2"/>
  <c r="S264" i="2"/>
  <c r="R264" i="2"/>
  <c r="Q264" i="2"/>
  <c r="P264" i="2"/>
  <c r="O264" i="2"/>
  <c r="N264" i="2"/>
  <c r="AO404" i="3" s="1"/>
  <c r="AR404" i="3" s="1"/>
  <c r="L264" i="2"/>
  <c r="AJ404" i="3" s="1"/>
  <c r="AM404" i="3" s="1"/>
  <c r="W263" i="2"/>
  <c r="V263" i="2"/>
  <c r="U263" i="2"/>
  <c r="T263" i="2"/>
  <c r="S263" i="2"/>
  <c r="R263" i="2"/>
  <c r="Q263" i="2"/>
  <c r="P263" i="2"/>
  <c r="N263" i="2"/>
  <c r="AO403" i="3" s="1"/>
  <c r="AR403" i="3" s="1"/>
  <c r="L263" i="2"/>
  <c r="AJ403" i="3" s="1"/>
  <c r="AM403" i="3" s="1"/>
  <c r="W262" i="2"/>
  <c r="V262" i="2"/>
  <c r="U262" i="2"/>
  <c r="T262" i="2"/>
  <c r="S262" i="2"/>
  <c r="R262" i="2"/>
  <c r="Q262" i="2"/>
  <c r="P262" i="2"/>
  <c r="N262" i="2"/>
  <c r="AO402" i="3" s="1"/>
  <c r="AR402" i="3" s="1"/>
  <c r="L262" i="2"/>
  <c r="AJ402" i="3" s="1"/>
  <c r="AM402" i="3" s="1"/>
  <c r="W261" i="2"/>
  <c r="V261" i="2"/>
  <c r="U261" i="2"/>
  <c r="T261" i="2"/>
  <c r="S261" i="2"/>
  <c r="R261" i="2"/>
  <c r="Q261" i="2"/>
  <c r="P261" i="2"/>
  <c r="O261" i="2"/>
  <c r="N261" i="2"/>
  <c r="AO401" i="3" s="1"/>
  <c r="AR401" i="3" s="1"/>
  <c r="L261" i="2"/>
  <c r="AJ401" i="3" s="1"/>
  <c r="AM401" i="3" s="1"/>
  <c r="W260" i="2"/>
  <c r="V260" i="2"/>
  <c r="U260" i="2"/>
  <c r="T260" i="2"/>
  <c r="S260" i="2"/>
  <c r="R260" i="2"/>
  <c r="Q260" i="2"/>
  <c r="P260" i="2"/>
  <c r="O260" i="2"/>
  <c r="N260" i="2"/>
  <c r="AO400" i="3" s="1"/>
  <c r="AR400" i="3" s="1"/>
  <c r="L260" i="2"/>
  <c r="AJ400" i="3" s="1"/>
  <c r="AM400" i="3" s="1"/>
  <c r="W259" i="2"/>
  <c r="V259" i="2"/>
  <c r="U259" i="2"/>
  <c r="T259" i="2"/>
  <c r="S259" i="2"/>
  <c r="R259" i="2"/>
  <c r="Q259" i="2"/>
  <c r="P259" i="2"/>
  <c r="N259" i="2"/>
  <c r="AO399" i="3" s="1"/>
  <c r="AR399" i="3" s="1"/>
  <c r="L259" i="2"/>
  <c r="AJ399" i="3" s="1"/>
  <c r="AM399" i="3" s="1"/>
  <c r="W258" i="2"/>
  <c r="V258" i="2"/>
  <c r="U258" i="2"/>
  <c r="T258" i="2"/>
  <c r="S258" i="2"/>
  <c r="R258" i="2"/>
  <c r="Q258" i="2"/>
  <c r="P258" i="2"/>
  <c r="N258" i="2"/>
  <c r="O258" i="2" s="1"/>
  <c r="L258" i="2"/>
  <c r="AJ398" i="3" s="1"/>
  <c r="AM398" i="3" s="1"/>
  <c r="W257" i="2"/>
  <c r="V257" i="2"/>
  <c r="U257" i="2"/>
  <c r="T257" i="2"/>
  <c r="S257" i="2"/>
  <c r="R257" i="2"/>
  <c r="Q257" i="2"/>
  <c r="P257" i="2"/>
  <c r="O257" i="2"/>
  <c r="N257" i="2"/>
  <c r="AO397" i="3" s="1"/>
  <c r="AR397" i="3" s="1"/>
  <c r="L257" i="2"/>
  <c r="AJ397" i="3" s="1"/>
  <c r="AM397" i="3" s="1"/>
  <c r="W256" i="2"/>
  <c r="V256" i="2"/>
  <c r="U256" i="2"/>
  <c r="T256" i="2"/>
  <c r="S256" i="2"/>
  <c r="R256" i="2"/>
  <c r="Q256" i="2"/>
  <c r="P256" i="2"/>
  <c r="O256" i="2"/>
  <c r="N256" i="2"/>
  <c r="L256" i="2"/>
  <c r="AJ396" i="3" s="1"/>
  <c r="AM396" i="3" s="1"/>
  <c r="W255" i="2"/>
  <c r="V255" i="2"/>
  <c r="U255" i="2"/>
  <c r="T255" i="2"/>
  <c r="S255" i="2"/>
  <c r="R255" i="2"/>
  <c r="Q255" i="2"/>
  <c r="P255" i="2"/>
  <c r="N255" i="2"/>
  <c r="AO395" i="3" s="1"/>
  <c r="AR395" i="3" s="1"/>
  <c r="L255" i="2"/>
  <c r="AJ395" i="3" s="1"/>
  <c r="AM395" i="3" s="1"/>
  <c r="W254" i="2"/>
  <c r="V254" i="2"/>
  <c r="U254" i="2"/>
  <c r="T254" i="2"/>
  <c r="S254" i="2"/>
  <c r="R254" i="2"/>
  <c r="Q254" i="2"/>
  <c r="P254" i="2"/>
  <c r="N254" i="2"/>
  <c r="AO394" i="3" s="1"/>
  <c r="AR394" i="3" s="1"/>
  <c r="L254" i="2"/>
  <c r="AJ394" i="3" s="1"/>
  <c r="AM394" i="3" s="1"/>
  <c r="W253" i="2"/>
  <c r="V253" i="2"/>
  <c r="U253" i="2"/>
  <c r="T253" i="2"/>
  <c r="S253" i="2"/>
  <c r="R253" i="2"/>
  <c r="Q253" i="2"/>
  <c r="P253" i="2"/>
  <c r="O253" i="2"/>
  <c r="N253" i="2"/>
  <c r="AO393" i="3" s="1"/>
  <c r="AR393" i="3" s="1"/>
  <c r="L253" i="2"/>
  <c r="AJ393" i="3" s="1"/>
  <c r="AM393" i="3" s="1"/>
  <c r="W252" i="2"/>
  <c r="V252" i="2"/>
  <c r="U252" i="2"/>
  <c r="T252" i="2"/>
  <c r="S252" i="2"/>
  <c r="R252" i="2"/>
  <c r="Q252" i="2"/>
  <c r="P252" i="2"/>
  <c r="O252" i="2"/>
  <c r="N252" i="2"/>
  <c r="AO392" i="3" s="1"/>
  <c r="AR392" i="3" s="1"/>
  <c r="L252" i="2"/>
  <c r="AJ392" i="3" s="1"/>
  <c r="AM392" i="3" s="1"/>
  <c r="W251" i="2"/>
  <c r="V251" i="2"/>
  <c r="U251" i="2"/>
  <c r="T251" i="2"/>
  <c r="S251" i="2"/>
  <c r="R251" i="2"/>
  <c r="Q251" i="2"/>
  <c r="P251" i="2"/>
  <c r="N251" i="2"/>
  <c r="AO391" i="3" s="1"/>
  <c r="AR391" i="3" s="1"/>
  <c r="L251" i="2"/>
  <c r="AJ391" i="3" s="1"/>
  <c r="AM391" i="3" s="1"/>
  <c r="W250" i="2"/>
  <c r="V250" i="2"/>
  <c r="U250" i="2"/>
  <c r="T250" i="2"/>
  <c r="S250" i="2"/>
  <c r="R250" i="2"/>
  <c r="Q250" i="2"/>
  <c r="P250" i="2"/>
  <c r="N250" i="2"/>
  <c r="AO390" i="3" s="1"/>
  <c r="AR390" i="3" s="1"/>
  <c r="L250" i="2"/>
  <c r="AJ390" i="3" s="1"/>
  <c r="AM390" i="3" s="1"/>
  <c r="W249" i="2"/>
  <c r="V249" i="2"/>
  <c r="U249" i="2"/>
  <c r="T249" i="2"/>
  <c r="S249" i="2"/>
  <c r="R249" i="2"/>
  <c r="Q249" i="2"/>
  <c r="P249" i="2"/>
  <c r="O249" i="2"/>
  <c r="N249" i="2"/>
  <c r="AO389" i="3" s="1"/>
  <c r="AR389" i="3" s="1"/>
  <c r="L249" i="2"/>
  <c r="AJ389" i="3" s="1"/>
  <c r="AM389" i="3" s="1"/>
  <c r="W248" i="2"/>
  <c r="V248" i="2"/>
  <c r="U248" i="2"/>
  <c r="T248" i="2"/>
  <c r="S248" i="2"/>
  <c r="R248" i="2"/>
  <c r="Q248" i="2"/>
  <c r="P248" i="2"/>
  <c r="O248" i="2"/>
  <c r="N248" i="2"/>
  <c r="AO388" i="3" s="1"/>
  <c r="AR388" i="3" s="1"/>
  <c r="L248" i="2"/>
  <c r="AJ388" i="3" s="1"/>
  <c r="AM388" i="3" s="1"/>
  <c r="W247" i="2"/>
  <c r="V247" i="2"/>
  <c r="U247" i="2"/>
  <c r="T247" i="2"/>
  <c r="S247" i="2"/>
  <c r="R247" i="2"/>
  <c r="Q247" i="2"/>
  <c r="P247" i="2"/>
  <c r="N247" i="2"/>
  <c r="AO387" i="3" s="1"/>
  <c r="AR387" i="3" s="1"/>
  <c r="L247" i="2"/>
  <c r="AJ387" i="3" s="1"/>
  <c r="AM387" i="3" s="1"/>
  <c r="W246" i="2"/>
  <c r="V246" i="2"/>
  <c r="U246" i="2"/>
  <c r="T246" i="2"/>
  <c r="S246" i="2"/>
  <c r="R246" i="2"/>
  <c r="Q246" i="2"/>
  <c r="P246" i="2"/>
  <c r="N246" i="2"/>
  <c r="AO386" i="3" s="1"/>
  <c r="AR386" i="3" s="1"/>
  <c r="L246" i="2"/>
  <c r="AJ386" i="3" s="1"/>
  <c r="AM386" i="3" s="1"/>
  <c r="W245" i="2"/>
  <c r="V245" i="2"/>
  <c r="U245" i="2"/>
  <c r="T245" i="2"/>
  <c r="S245" i="2"/>
  <c r="R245" i="2"/>
  <c r="Q245" i="2"/>
  <c r="P245" i="2"/>
  <c r="O245" i="2"/>
  <c r="N245" i="2"/>
  <c r="AO385" i="3" s="1"/>
  <c r="L245" i="2"/>
  <c r="AJ385" i="3" s="1"/>
  <c r="AM385" i="3" s="1"/>
  <c r="W244" i="2"/>
  <c r="V244" i="2"/>
  <c r="U244" i="2"/>
  <c r="T244" i="2"/>
  <c r="S244" i="2"/>
  <c r="R244" i="2"/>
  <c r="Q244" i="2"/>
  <c r="P244" i="2"/>
  <c r="O244" i="2"/>
  <c r="N244" i="2"/>
  <c r="AO384" i="3" s="1"/>
  <c r="AR384" i="3" s="1"/>
  <c r="L244" i="2"/>
  <c r="AJ384" i="3" s="1"/>
  <c r="AM384" i="3" s="1"/>
  <c r="W243" i="2"/>
  <c r="V243" i="2"/>
  <c r="U243" i="2"/>
  <c r="T243" i="2"/>
  <c r="S243" i="2"/>
  <c r="R243" i="2"/>
  <c r="Q243" i="2"/>
  <c r="P243" i="2"/>
  <c r="N243" i="2"/>
  <c r="AO383" i="3" s="1"/>
  <c r="AR383" i="3" s="1"/>
  <c r="L243" i="2"/>
  <c r="AJ383" i="3" s="1"/>
  <c r="AM383" i="3" s="1"/>
  <c r="W242" i="2"/>
  <c r="V242" i="2"/>
  <c r="U242" i="2"/>
  <c r="T242" i="2"/>
  <c r="S242" i="2"/>
  <c r="R242" i="2"/>
  <c r="Q242" i="2"/>
  <c r="P242" i="2"/>
  <c r="N242" i="2"/>
  <c r="AO382" i="3" s="1"/>
  <c r="AR382" i="3" s="1"/>
  <c r="L242" i="2"/>
  <c r="AJ382" i="3" s="1"/>
  <c r="AM382" i="3" s="1"/>
  <c r="W241" i="2"/>
  <c r="V241" i="2"/>
  <c r="U241" i="2"/>
  <c r="T241" i="2"/>
  <c r="S241" i="2"/>
  <c r="R241" i="2"/>
  <c r="Q241" i="2"/>
  <c r="P241" i="2"/>
  <c r="O241" i="2"/>
  <c r="N241" i="2"/>
  <c r="AO381" i="3" s="1"/>
  <c r="AR381" i="3" s="1"/>
  <c r="L241" i="2"/>
  <c r="AJ381" i="3" s="1"/>
  <c r="AM381" i="3" s="1"/>
  <c r="W240" i="2"/>
  <c r="V240" i="2"/>
  <c r="U240" i="2"/>
  <c r="T240" i="2"/>
  <c r="S240" i="2"/>
  <c r="R240" i="2"/>
  <c r="Q240" i="2"/>
  <c r="P240" i="2"/>
  <c r="O240" i="2"/>
  <c r="N240" i="2"/>
  <c r="AO380" i="3" s="1"/>
  <c r="AR380" i="3" s="1"/>
  <c r="L240" i="2"/>
  <c r="AJ380" i="3" s="1"/>
  <c r="AM380" i="3" s="1"/>
  <c r="W239" i="2"/>
  <c r="V239" i="2"/>
  <c r="U239" i="2"/>
  <c r="T239" i="2"/>
  <c r="S239" i="2"/>
  <c r="R239" i="2"/>
  <c r="Q239" i="2"/>
  <c r="P239" i="2"/>
  <c r="N239" i="2"/>
  <c r="AO379" i="3" s="1"/>
  <c r="AR379" i="3" s="1"/>
  <c r="L239" i="2"/>
  <c r="AJ379" i="3" s="1"/>
  <c r="AM379" i="3" s="1"/>
  <c r="W238" i="2"/>
  <c r="V238" i="2"/>
  <c r="U238" i="2"/>
  <c r="T238" i="2"/>
  <c r="S238" i="2"/>
  <c r="R238" i="2"/>
  <c r="Q238" i="2"/>
  <c r="P238" i="2"/>
  <c r="N238" i="2"/>
  <c r="AO378" i="3" s="1"/>
  <c r="AR378" i="3" s="1"/>
  <c r="L238" i="2"/>
  <c r="AJ378" i="3" s="1"/>
  <c r="AM378" i="3" s="1"/>
  <c r="W237" i="2"/>
  <c r="V237" i="2"/>
  <c r="U237" i="2"/>
  <c r="T237" i="2"/>
  <c r="S237" i="2"/>
  <c r="R237" i="2"/>
  <c r="Q237" i="2"/>
  <c r="P237" i="2"/>
  <c r="O237" i="2"/>
  <c r="N237" i="2"/>
  <c r="AO377" i="3" s="1"/>
  <c r="AR377" i="3" s="1"/>
  <c r="L237" i="2"/>
  <c r="AJ377" i="3" s="1"/>
  <c r="AM377" i="3" s="1"/>
  <c r="W236" i="2"/>
  <c r="V236" i="2"/>
  <c r="U236" i="2"/>
  <c r="T236" i="2"/>
  <c r="S236" i="2"/>
  <c r="R236" i="2"/>
  <c r="Q236" i="2"/>
  <c r="P236" i="2"/>
  <c r="O236" i="2"/>
  <c r="N236" i="2"/>
  <c r="AO376" i="3" s="1"/>
  <c r="L236" i="2"/>
  <c r="AJ376" i="3" s="1"/>
  <c r="AM376" i="3" s="1"/>
  <c r="W235" i="2"/>
  <c r="V235" i="2"/>
  <c r="U235" i="2"/>
  <c r="T235" i="2"/>
  <c r="S235" i="2"/>
  <c r="R235" i="2"/>
  <c r="Q235" i="2"/>
  <c r="P235" i="2"/>
  <c r="N235" i="2"/>
  <c r="AO375" i="3" s="1"/>
  <c r="AR375" i="3" s="1"/>
  <c r="L235" i="2"/>
  <c r="AJ375" i="3" s="1"/>
  <c r="AM375" i="3" s="1"/>
  <c r="W234" i="2"/>
  <c r="V234" i="2"/>
  <c r="U234" i="2"/>
  <c r="T234" i="2"/>
  <c r="S234" i="2"/>
  <c r="R234" i="2"/>
  <c r="Q234" i="2"/>
  <c r="P234" i="2"/>
  <c r="N234" i="2"/>
  <c r="AO374" i="3" s="1"/>
  <c r="L234" i="2"/>
  <c r="M234" i="2" s="1"/>
  <c r="W233" i="2"/>
  <c r="V233" i="2"/>
  <c r="U233" i="2"/>
  <c r="T233" i="2"/>
  <c r="S233" i="2"/>
  <c r="R233" i="2"/>
  <c r="Q233" i="2"/>
  <c r="P233" i="2"/>
  <c r="O233" i="2"/>
  <c r="N233" i="2"/>
  <c r="AO373" i="3" s="1"/>
  <c r="AR373" i="3" s="1"/>
  <c r="L233" i="2"/>
  <c r="AJ373" i="3" s="1"/>
  <c r="AM373" i="3" s="1"/>
  <c r="W232" i="2"/>
  <c r="V232" i="2"/>
  <c r="U232" i="2"/>
  <c r="T232" i="2"/>
  <c r="S232" i="2"/>
  <c r="R232" i="2"/>
  <c r="Q232" i="2"/>
  <c r="P232" i="2"/>
  <c r="O232" i="2"/>
  <c r="N232" i="2"/>
  <c r="AO372" i="3" s="1"/>
  <c r="AR372" i="3" s="1"/>
  <c r="L232" i="2"/>
  <c r="AJ372" i="3" s="1"/>
  <c r="AM372" i="3" s="1"/>
  <c r="W231" i="2"/>
  <c r="V231" i="2"/>
  <c r="U231" i="2"/>
  <c r="T231" i="2"/>
  <c r="S231" i="2"/>
  <c r="R231" i="2"/>
  <c r="Q231" i="2"/>
  <c r="P231" i="2"/>
  <c r="N231" i="2"/>
  <c r="AO371" i="3" s="1"/>
  <c r="AR371" i="3" s="1"/>
  <c r="L231" i="2"/>
  <c r="M231" i="2" s="1"/>
  <c r="W230" i="2"/>
  <c r="V230" i="2"/>
  <c r="U230" i="2"/>
  <c r="T230" i="2"/>
  <c r="S230" i="2"/>
  <c r="R230" i="2"/>
  <c r="Q230" i="2"/>
  <c r="P230" i="2"/>
  <c r="N230" i="2"/>
  <c r="AO370" i="3" s="1"/>
  <c r="AR370" i="3" s="1"/>
  <c r="L230" i="2"/>
  <c r="M230" i="2" s="1"/>
  <c r="W229" i="2"/>
  <c r="V229" i="2"/>
  <c r="U229" i="2"/>
  <c r="T229" i="2"/>
  <c r="S229" i="2"/>
  <c r="R229" i="2"/>
  <c r="Q229" i="2"/>
  <c r="P229" i="2"/>
  <c r="O229" i="2"/>
  <c r="N229" i="2"/>
  <c r="AO369" i="3" s="1"/>
  <c r="AR369" i="3" s="1"/>
  <c r="L229" i="2"/>
  <c r="AJ369" i="3" s="1"/>
  <c r="AM369" i="3" s="1"/>
  <c r="W228" i="2"/>
  <c r="V228" i="2"/>
  <c r="U228" i="2"/>
  <c r="T228" i="2"/>
  <c r="S228" i="2"/>
  <c r="R228" i="2"/>
  <c r="Q228" i="2"/>
  <c r="P228" i="2"/>
  <c r="O228" i="2"/>
  <c r="N228" i="2"/>
  <c r="AO368" i="3" s="1"/>
  <c r="AR368" i="3" s="1"/>
  <c r="L228" i="2"/>
  <c r="AJ368" i="3" s="1"/>
  <c r="AM368" i="3" s="1"/>
  <c r="W227" i="2"/>
  <c r="V227" i="2"/>
  <c r="U227" i="2"/>
  <c r="T227" i="2"/>
  <c r="S227" i="2"/>
  <c r="R227" i="2"/>
  <c r="Q227" i="2"/>
  <c r="P227" i="2"/>
  <c r="N227" i="2"/>
  <c r="AO367" i="3" s="1"/>
  <c r="AR367" i="3" s="1"/>
  <c r="L227" i="2"/>
  <c r="AJ367" i="3" s="1"/>
  <c r="AM367" i="3" s="1"/>
  <c r="W226" i="2"/>
  <c r="V226" i="2"/>
  <c r="U226" i="2"/>
  <c r="T226" i="2"/>
  <c r="S226" i="2"/>
  <c r="R226" i="2"/>
  <c r="Q226" i="2"/>
  <c r="P226" i="2"/>
  <c r="N226" i="2"/>
  <c r="AO366" i="3" s="1"/>
  <c r="L226" i="2"/>
  <c r="M226" i="2" s="1"/>
  <c r="W225" i="2"/>
  <c r="V225" i="2"/>
  <c r="U225" i="2"/>
  <c r="T225" i="2"/>
  <c r="S225" i="2"/>
  <c r="R225" i="2"/>
  <c r="Q225" i="2"/>
  <c r="P225" i="2"/>
  <c r="O225" i="2"/>
  <c r="N225" i="2"/>
  <c r="AO365" i="3" s="1"/>
  <c r="AR365" i="3" s="1"/>
  <c r="L225" i="2"/>
  <c r="AJ365" i="3" s="1"/>
  <c r="AM365" i="3" s="1"/>
  <c r="W224" i="2"/>
  <c r="V224" i="2"/>
  <c r="U224" i="2"/>
  <c r="T224" i="2"/>
  <c r="S224" i="2"/>
  <c r="R224" i="2"/>
  <c r="Q224" i="2"/>
  <c r="P224" i="2"/>
  <c r="O224" i="2"/>
  <c r="N224" i="2"/>
  <c r="AO364" i="3" s="1"/>
  <c r="AR364" i="3" s="1"/>
  <c r="L224" i="2"/>
  <c r="AJ364" i="3" s="1"/>
  <c r="AM364" i="3" s="1"/>
  <c r="W223" i="2"/>
  <c r="V223" i="2"/>
  <c r="U223" i="2"/>
  <c r="T223" i="2"/>
  <c r="S223" i="2"/>
  <c r="R223" i="2"/>
  <c r="Q223" i="2"/>
  <c r="P223" i="2"/>
  <c r="N223" i="2"/>
  <c r="AO363" i="3" s="1"/>
  <c r="AR363" i="3" s="1"/>
  <c r="L223" i="2"/>
  <c r="M223" i="2" s="1"/>
  <c r="W222" i="2"/>
  <c r="V222" i="2"/>
  <c r="U222" i="2"/>
  <c r="T222" i="2"/>
  <c r="S222" i="2"/>
  <c r="R222" i="2"/>
  <c r="Q222" i="2"/>
  <c r="P222" i="2"/>
  <c r="N222" i="2"/>
  <c r="AO362" i="3" s="1"/>
  <c r="AR362" i="3" s="1"/>
  <c r="L222" i="2"/>
  <c r="M222" i="2" s="1"/>
  <c r="W221" i="2"/>
  <c r="V221" i="2"/>
  <c r="U221" i="2"/>
  <c r="T221" i="2"/>
  <c r="S221" i="2"/>
  <c r="R221" i="2"/>
  <c r="Q221" i="2"/>
  <c r="P221" i="2"/>
  <c r="O221" i="2"/>
  <c r="N221" i="2"/>
  <c r="AO361" i="3" s="1"/>
  <c r="AR361" i="3" s="1"/>
  <c r="L221" i="2"/>
  <c r="AJ361" i="3" s="1"/>
  <c r="AM361" i="3" s="1"/>
  <c r="W220" i="2"/>
  <c r="V220" i="2"/>
  <c r="U220" i="2"/>
  <c r="T220" i="2"/>
  <c r="S220" i="2"/>
  <c r="R220" i="2"/>
  <c r="Q220" i="2"/>
  <c r="P220" i="2"/>
  <c r="O220" i="2"/>
  <c r="N220" i="2"/>
  <c r="AO360" i="3" s="1"/>
  <c r="AR360" i="3" s="1"/>
  <c r="L220" i="2"/>
  <c r="AJ360" i="3" s="1"/>
  <c r="AM360" i="3" s="1"/>
  <c r="W219" i="2"/>
  <c r="V219" i="2"/>
  <c r="U219" i="2"/>
  <c r="T219" i="2"/>
  <c r="S219" i="2"/>
  <c r="R219" i="2"/>
  <c r="Q219" i="2"/>
  <c r="P219" i="2"/>
  <c r="N219" i="2"/>
  <c r="AO359" i="3" s="1"/>
  <c r="AR359" i="3" s="1"/>
  <c r="L219" i="2"/>
  <c r="AJ359" i="3" s="1"/>
  <c r="AM359" i="3" s="1"/>
  <c r="W218" i="2"/>
  <c r="V218" i="2"/>
  <c r="U218" i="2"/>
  <c r="T218" i="2"/>
  <c r="S218" i="2"/>
  <c r="R218" i="2"/>
  <c r="Q218" i="2"/>
  <c r="P218" i="2"/>
  <c r="N218" i="2"/>
  <c r="AO358" i="3" s="1"/>
  <c r="AR358" i="3" s="1"/>
  <c r="L218" i="2"/>
  <c r="AJ358" i="3" s="1"/>
  <c r="AM358" i="3" s="1"/>
  <c r="W217" i="2"/>
  <c r="V217" i="2"/>
  <c r="U217" i="2"/>
  <c r="T217" i="2"/>
  <c r="S217" i="2"/>
  <c r="R217" i="2"/>
  <c r="Q217" i="2"/>
  <c r="P217" i="2"/>
  <c r="O217" i="2"/>
  <c r="N217" i="2"/>
  <c r="L217" i="2"/>
  <c r="AJ357" i="3" s="1"/>
  <c r="W216" i="2"/>
  <c r="V216" i="2"/>
  <c r="U216" i="2"/>
  <c r="T216" i="2"/>
  <c r="S216" i="2"/>
  <c r="R216" i="2"/>
  <c r="Q216" i="2"/>
  <c r="P216" i="2"/>
  <c r="O216" i="2"/>
  <c r="N216" i="2"/>
  <c r="AO356" i="3" s="1"/>
  <c r="AR356" i="3" s="1"/>
  <c r="L216" i="2"/>
  <c r="AJ356" i="3" s="1"/>
  <c r="AM356" i="3" s="1"/>
  <c r="W215" i="2"/>
  <c r="V215" i="2"/>
  <c r="U215" i="2"/>
  <c r="T215" i="2"/>
  <c r="S215" i="2"/>
  <c r="R215" i="2"/>
  <c r="Q215" i="2"/>
  <c r="P215" i="2"/>
  <c r="N215" i="2"/>
  <c r="AO355" i="3" s="1"/>
  <c r="AR355" i="3" s="1"/>
  <c r="L215" i="2"/>
  <c r="AJ355" i="3" s="1"/>
  <c r="AM355" i="3" s="1"/>
  <c r="W214" i="2"/>
  <c r="V214" i="2"/>
  <c r="U214" i="2"/>
  <c r="T214" i="2"/>
  <c r="S214" i="2"/>
  <c r="R214" i="2"/>
  <c r="Q214" i="2"/>
  <c r="P214" i="2"/>
  <c r="N214" i="2"/>
  <c r="AO354" i="3" s="1"/>
  <c r="AR354" i="3" s="1"/>
  <c r="L214" i="2"/>
  <c r="AJ354" i="3" s="1"/>
  <c r="AM354" i="3" s="1"/>
  <c r="W213" i="2"/>
  <c r="V213" i="2"/>
  <c r="U213" i="2"/>
  <c r="T213" i="2"/>
  <c r="S213" i="2"/>
  <c r="R213" i="2"/>
  <c r="Q213" i="2"/>
  <c r="P213" i="2"/>
  <c r="O213" i="2"/>
  <c r="N213" i="2"/>
  <c r="AO353" i="3" s="1"/>
  <c r="AR353" i="3" s="1"/>
  <c r="L213" i="2"/>
  <c r="AJ353" i="3" s="1"/>
  <c r="W212" i="2"/>
  <c r="V212" i="2"/>
  <c r="U212" i="2"/>
  <c r="T212" i="2"/>
  <c r="S212" i="2"/>
  <c r="R212" i="2"/>
  <c r="Q212" i="2"/>
  <c r="P212" i="2"/>
  <c r="O212" i="2"/>
  <c r="N212" i="2"/>
  <c r="AO352" i="3" s="1"/>
  <c r="AR352" i="3" s="1"/>
  <c r="L212" i="2"/>
  <c r="AJ352" i="3" s="1"/>
  <c r="AM352" i="3" s="1"/>
  <c r="W211" i="2"/>
  <c r="V211" i="2"/>
  <c r="U211" i="2"/>
  <c r="T211" i="2"/>
  <c r="S211" i="2"/>
  <c r="R211" i="2"/>
  <c r="Q211" i="2"/>
  <c r="P211" i="2"/>
  <c r="N211" i="2"/>
  <c r="AO351" i="3" s="1"/>
  <c r="AR351" i="3" s="1"/>
  <c r="L211" i="2"/>
  <c r="AJ351" i="3" s="1"/>
  <c r="AM351" i="3" s="1"/>
  <c r="W210" i="2"/>
  <c r="V210" i="2"/>
  <c r="U210" i="2"/>
  <c r="T210" i="2"/>
  <c r="S210" i="2"/>
  <c r="R210" i="2"/>
  <c r="Q210" i="2"/>
  <c r="P210" i="2"/>
  <c r="N210" i="2"/>
  <c r="O210" i="2" s="1"/>
  <c r="L210" i="2"/>
  <c r="AJ350" i="3" s="1"/>
  <c r="AM350" i="3" s="1"/>
  <c r="W209" i="2"/>
  <c r="V209" i="2"/>
  <c r="U209" i="2"/>
  <c r="T209" i="2"/>
  <c r="S209" i="2"/>
  <c r="R209" i="2"/>
  <c r="Q209" i="2"/>
  <c r="P209" i="2"/>
  <c r="O209" i="2"/>
  <c r="N209" i="2"/>
  <c r="AO349" i="3" s="1"/>
  <c r="AR349" i="3" s="1"/>
  <c r="L209" i="2"/>
  <c r="AJ349" i="3" s="1"/>
  <c r="W208" i="2"/>
  <c r="V208" i="2"/>
  <c r="U208" i="2"/>
  <c r="T208" i="2"/>
  <c r="S208" i="2"/>
  <c r="R208" i="2"/>
  <c r="Q208" i="2"/>
  <c r="P208" i="2"/>
  <c r="O208" i="2"/>
  <c r="N208" i="2"/>
  <c r="AO348" i="3" s="1"/>
  <c r="AR348" i="3" s="1"/>
  <c r="L208" i="2"/>
  <c r="AJ348" i="3" s="1"/>
  <c r="AM348" i="3" s="1"/>
  <c r="W207" i="2"/>
  <c r="V207" i="2"/>
  <c r="U207" i="2"/>
  <c r="T207" i="2"/>
  <c r="S207" i="2"/>
  <c r="R207" i="2"/>
  <c r="Q207" i="2"/>
  <c r="P207" i="2"/>
  <c r="N207" i="2"/>
  <c r="AO347" i="3" s="1"/>
  <c r="AR347" i="3" s="1"/>
  <c r="L207" i="2"/>
  <c r="AJ347" i="3" s="1"/>
  <c r="AM347" i="3" s="1"/>
  <c r="W206" i="2"/>
  <c r="V206" i="2"/>
  <c r="U206" i="2"/>
  <c r="T206" i="2"/>
  <c r="S206" i="2"/>
  <c r="R206" i="2"/>
  <c r="Q206" i="2"/>
  <c r="P206" i="2"/>
  <c r="N206" i="2"/>
  <c r="AO346" i="3" s="1"/>
  <c r="AR346" i="3" s="1"/>
  <c r="L206" i="2"/>
  <c r="AJ346" i="3" s="1"/>
  <c r="AM346" i="3" s="1"/>
  <c r="W205" i="2"/>
  <c r="V205" i="2"/>
  <c r="U205" i="2"/>
  <c r="T205" i="2"/>
  <c r="S205" i="2"/>
  <c r="R205" i="2"/>
  <c r="Q205" i="2"/>
  <c r="P205" i="2"/>
  <c r="O205" i="2"/>
  <c r="N205" i="2"/>
  <c r="L205" i="2"/>
  <c r="AJ345" i="3" s="1"/>
  <c r="W204" i="2"/>
  <c r="V204" i="2"/>
  <c r="U204" i="2"/>
  <c r="T204" i="2"/>
  <c r="S204" i="2"/>
  <c r="R204" i="2"/>
  <c r="Q204" i="2"/>
  <c r="P204" i="2"/>
  <c r="O204" i="2"/>
  <c r="N204" i="2"/>
  <c r="AO344" i="3" s="1"/>
  <c r="AR344" i="3" s="1"/>
  <c r="L204" i="2"/>
  <c r="AJ344" i="3" s="1"/>
  <c r="AM344" i="3" s="1"/>
  <c r="W203" i="2"/>
  <c r="V203" i="2"/>
  <c r="U203" i="2"/>
  <c r="T203" i="2"/>
  <c r="S203" i="2"/>
  <c r="R203" i="2"/>
  <c r="Q203" i="2"/>
  <c r="P203" i="2"/>
  <c r="N203" i="2"/>
  <c r="AO343" i="3" s="1"/>
  <c r="AR343" i="3" s="1"/>
  <c r="L203" i="2"/>
  <c r="AJ343" i="3" s="1"/>
  <c r="AM343" i="3" s="1"/>
  <c r="W202" i="2"/>
  <c r="V202" i="2"/>
  <c r="U202" i="2"/>
  <c r="T202" i="2"/>
  <c r="S202" i="2"/>
  <c r="R202" i="2"/>
  <c r="Q202" i="2"/>
  <c r="P202" i="2"/>
  <c r="N202" i="2"/>
  <c r="AO342" i="3" s="1"/>
  <c r="AR342" i="3" s="1"/>
  <c r="L202" i="2"/>
  <c r="AJ342" i="3" s="1"/>
  <c r="AM342" i="3" s="1"/>
  <c r="W201" i="2"/>
  <c r="V201" i="2"/>
  <c r="U201" i="2"/>
  <c r="T201" i="2"/>
  <c r="S201" i="2"/>
  <c r="R201" i="2"/>
  <c r="Q201" i="2"/>
  <c r="P201" i="2"/>
  <c r="O201" i="2"/>
  <c r="N201" i="2"/>
  <c r="AO341" i="3" s="1"/>
  <c r="AR341" i="3" s="1"/>
  <c r="L201" i="2"/>
  <c r="AJ341" i="3" s="1"/>
  <c r="W200" i="2"/>
  <c r="V200" i="2"/>
  <c r="U200" i="2"/>
  <c r="T200" i="2"/>
  <c r="S200" i="2"/>
  <c r="R200" i="2"/>
  <c r="Q200" i="2"/>
  <c r="P200" i="2"/>
  <c r="O200" i="2"/>
  <c r="N200" i="2"/>
  <c r="AO340" i="3" s="1"/>
  <c r="AR340" i="3" s="1"/>
  <c r="L200" i="2"/>
  <c r="AJ340" i="3" s="1"/>
  <c r="AM340" i="3" s="1"/>
  <c r="W199" i="2"/>
  <c r="V199" i="2"/>
  <c r="U199" i="2"/>
  <c r="T199" i="2"/>
  <c r="S199" i="2"/>
  <c r="R199" i="2"/>
  <c r="Q199" i="2"/>
  <c r="P199" i="2"/>
  <c r="N199" i="2"/>
  <c r="AO339" i="3" s="1"/>
  <c r="AR339" i="3" s="1"/>
  <c r="L199" i="2"/>
  <c r="AJ339" i="3" s="1"/>
  <c r="AM339" i="3" s="1"/>
  <c r="W198" i="2"/>
  <c r="V198" i="2"/>
  <c r="U198" i="2"/>
  <c r="T198" i="2"/>
  <c r="S198" i="2"/>
  <c r="R198" i="2"/>
  <c r="Q198" i="2"/>
  <c r="P198" i="2"/>
  <c r="N198" i="2"/>
  <c r="O198" i="2" s="1"/>
  <c r="L198" i="2"/>
  <c r="AJ338" i="3" s="1"/>
  <c r="AM338" i="3" s="1"/>
  <c r="W197" i="2"/>
  <c r="V197" i="2"/>
  <c r="U197" i="2"/>
  <c r="T197" i="2"/>
  <c r="S197" i="2"/>
  <c r="R197" i="2"/>
  <c r="Q197" i="2"/>
  <c r="P197" i="2"/>
  <c r="O197" i="2"/>
  <c r="N197" i="2"/>
  <c r="AO337" i="3" s="1"/>
  <c r="AR337" i="3" s="1"/>
  <c r="L197" i="2"/>
  <c r="AJ337" i="3" s="1"/>
  <c r="W196" i="2"/>
  <c r="V196" i="2"/>
  <c r="U196" i="2"/>
  <c r="T196" i="2"/>
  <c r="S196" i="2"/>
  <c r="R196" i="2"/>
  <c r="Q196" i="2"/>
  <c r="P196" i="2"/>
  <c r="O196" i="2"/>
  <c r="N196" i="2"/>
  <c r="AO336" i="3" s="1"/>
  <c r="AR336" i="3" s="1"/>
  <c r="L196" i="2"/>
  <c r="AJ336" i="3" s="1"/>
  <c r="AM336" i="3" s="1"/>
  <c r="W195" i="2"/>
  <c r="V195" i="2"/>
  <c r="U195" i="2"/>
  <c r="T195" i="2"/>
  <c r="S195" i="2"/>
  <c r="R195" i="2"/>
  <c r="Q195" i="2"/>
  <c r="P195" i="2"/>
  <c r="N195" i="2"/>
  <c r="AO335" i="3" s="1"/>
  <c r="AR335" i="3" s="1"/>
  <c r="L195" i="2"/>
  <c r="AJ335" i="3" s="1"/>
  <c r="AM335" i="3" s="1"/>
  <c r="W194" i="2"/>
  <c r="V194" i="2"/>
  <c r="U194" i="2"/>
  <c r="T194" i="2"/>
  <c r="S194" i="2"/>
  <c r="R194" i="2"/>
  <c r="Q194" i="2"/>
  <c r="P194" i="2"/>
  <c r="N194" i="2"/>
  <c r="AO334" i="3" s="1"/>
  <c r="AR334" i="3" s="1"/>
  <c r="L194" i="2"/>
  <c r="AJ334" i="3" s="1"/>
  <c r="AM334" i="3" s="1"/>
  <c r="W193" i="2"/>
  <c r="V193" i="2"/>
  <c r="U193" i="2"/>
  <c r="T193" i="2"/>
  <c r="S193" i="2"/>
  <c r="R193" i="2"/>
  <c r="Q193" i="2"/>
  <c r="P193" i="2"/>
  <c r="O193" i="2"/>
  <c r="N193" i="2"/>
  <c r="AO333" i="3" s="1"/>
  <c r="L193" i="2"/>
  <c r="AJ333" i="3" s="1"/>
  <c r="W192" i="2"/>
  <c r="V192" i="2"/>
  <c r="U192" i="2"/>
  <c r="T192" i="2"/>
  <c r="S192" i="2"/>
  <c r="R192" i="2"/>
  <c r="Q192" i="2"/>
  <c r="P192" i="2"/>
  <c r="O192" i="2"/>
  <c r="N192" i="2"/>
  <c r="AO332" i="3" s="1"/>
  <c r="AR332" i="3" s="1"/>
  <c r="L192" i="2"/>
  <c r="AJ332" i="3" s="1"/>
  <c r="AM332" i="3" s="1"/>
  <c r="W191" i="2"/>
  <c r="V191" i="2"/>
  <c r="U191" i="2"/>
  <c r="T191" i="2"/>
  <c r="S191" i="2"/>
  <c r="R191" i="2"/>
  <c r="Q191" i="2"/>
  <c r="P191" i="2"/>
  <c r="N191" i="2"/>
  <c r="AO331" i="3" s="1"/>
  <c r="AR331" i="3" s="1"/>
  <c r="L191" i="2"/>
  <c r="AJ331" i="3" s="1"/>
  <c r="AM331" i="3" s="1"/>
  <c r="W190" i="2"/>
  <c r="V190" i="2"/>
  <c r="U190" i="2"/>
  <c r="T190" i="2"/>
  <c r="S190" i="2"/>
  <c r="R190" i="2"/>
  <c r="Q190" i="2"/>
  <c r="P190" i="2"/>
  <c r="N190" i="2"/>
  <c r="AO330" i="3" s="1"/>
  <c r="AR330" i="3" s="1"/>
  <c r="L190" i="2"/>
  <c r="AJ330" i="3" s="1"/>
  <c r="AM330" i="3" s="1"/>
  <c r="W189" i="2"/>
  <c r="V189" i="2"/>
  <c r="U189" i="2"/>
  <c r="T189" i="2"/>
  <c r="S189" i="2"/>
  <c r="R189" i="2"/>
  <c r="Q189" i="2"/>
  <c r="P189" i="2"/>
  <c r="O189" i="2"/>
  <c r="N189" i="2"/>
  <c r="AO329" i="3" s="1"/>
  <c r="AR329" i="3" s="1"/>
  <c r="L189" i="2"/>
  <c r="AJ329" i="3" s="1"/>
  <c r="W188" i="2"/>
  <c r="V188" i="2"/>
  <c r="U188" i="2"/>
  <c r="T188" i="2"/>
  <c r="S188" i="2"/>
  <c r="R188" i="2"/>
  <c r="Q188" i="2"/>
  <c r="P188" i="2"/>
  <c r="O188" i="2"/>
  <c r="N188" i="2"/>
  <c r="AO328" i="3" s="1"/>
  <c r="AR328" i="3" s="1"/>
  <c r="L188" i="2"/>
  <c r="AJ328" i="3" s="1"/>
  <c r="AM328" i="3" s="1"/>
  <c r="W187" i="2"/>
  <c r="V187" i="2"/>
  <c r="U187" i="2"/>
  <c r="T187" i="2"/>
  <c r="S187" i="2"/>
  <c r="R187" i="2"/>
  <c r="Q187" i="2"/>
  <c r="P187" i="2"/>
  <c r="N187" i="2"/>
  <c r="AO327" i="3" s="1"/>
  <c r="AR327" i="3" s="1"/>
  <c r="L187" i="2"/>
  <c r="AJ327" i="3" s="1"/>
  <c r="AM327" i="3" s="1"/>
  <c r="W186" i="2"/>
  <c r="V186" i="2"/>
  <c r="U186" i="2"/>
  <c r="T186" i="2"/>
  <c r="S186" i="2"/>
  <c r="R186" i="2"/>
  <c r="Q186" i="2"/>
  <c r="P186" i="2"/>
  <c r="N186" i="2"/>
  <c r="AO326" i="3" s="1"/>
  <c r="AR326" i="3" s="1"/>
  <c r="L186" i="2"/>
  <c r="AJ326" i="3" s="1"/>
  <c r="AM326" i="3" s="1"/>
  <c r="W185" i="2"/>
  <c r="V185" i="2"/>
  <c r="U185" i="2"/>
  <c r="T185" i="2"/>
  <c r="S185" i="2"/>
  <c r="R185" i="2"/>
  <c r="Q185" i="2"/>
  <c r="P185" i="2"/>
  <c r="O185" i="2"/>
  <c r="N185" i="2"/>
  <c r="AO325" i="3" s="1"/>
  <c r="AR325" i="3" s="1"/>
  <c r="L185" i="2"/>
  <c r="AJ325" i="3" s="1"/>
  <c r="W184" i="2"/>
  <c r="V184" i="2"/>
  <c r="U184" i="2"/>
  <c r="T184" i="2"/>
  <c r="S184" i="2"/>
  <c r="R184" i="2"/>
  <c r="Q184" i="2"/>
  <c r="P184" i="2"/>
  <c r="O184" i="2"/>
  <c r="N184" i="2"/>
  <c r="AO324" i="3" s="1"/>
  <c r="AR324" i="3" s="1"/>
  <c r="L184" i="2"/>
  <c r="AJ324" i="3" s="1"/>
  <c r="AM324" i="3" s="1"/>
  <c r="W183" i="2"/>
  <c r="V183" i="2"/>
  <c r="U183" i="2"/>
  <c r="T183" i="2"/>
  <c r="S183" i="2"/>
  <c r="R183" i="2"/>
  <c r="Q183" i="2"/>
  <c r="P183" i="2"/>
  <c r="N183" i="2"/>
  <c r="AO323" i="3" s="1"/>
  <c r="AR323" i="3" s="1"/>
  <c r="L183" i="2"/>
  <c r="AJ323" i="3" s="1"/>
  <c r="AM323" i="3" s="1"/>
  <c r="W182" i="2"/>
  <c r="V182" i="2"/>
  <c r="U182" i="2"/>
  <c r="T182" i="2"/>
  <c r="S182" i="2"/>
  <c r="R182" i="2"/>
  <c r="Q182" i="2"/>
  <c r="P182" i="2"/>
  <c r="N182" i="2"/>
  <c r="O182" i="2" s="1"/>
  <c r="L182" i="2"/>
  <c r="AJ322" i="3" s="1"/>
  <c r="AM322" i="3" s="1"/>
  <c r="W181" i="2"/>
  <c r="V181" i="2"/>
  <c r="U181" i="2"/>
  <c r="T181" i="2"/>
  <c r="S181" i="2"/>
  <c r="R181" i="2"/>
  <c r="Q181" i="2"/>
  <c r="P181" i="2"/>
  <c r="O181" i="2"/>
  <c r="N181" i="2"/>
  <c r="AO321" i="3" s="1"/>
  <c r="L181" i="2"/>
  <c r="AJ321" i="3" s="1"/>
  <c r="W180" i="2"/>
  <c r="V180" i="2"/>
  <c r="U180" i="2"/>
  <c r="T180" i="2"/>
  <c r="S180" i="2"/>
  <c r="R180" i="2"/>
  <c r="Q180" i="2"/>
  <c r="P180" i="2"/>
  <c r="O180" i="2"/>
  <c r="N180" i="2"/>
  <c r="AO320" i="3" s="1"/>
  <c r="AR320" i="3" s="1"/>
  <c r="L180" i="2"/>
  <c r="AJ320" i="3" s="1"/>
  <c r="AM320" i="3" s="1"/>
  <c r="W179" i="2"/>
  <c r="V179" i="2"/>
  <c r="U179" i="2"/>
  <c r="T179" i="2"/>
  <c r="S179" i="2"/>
  <c r="R179" i="2"/>
  <c r="Q179" i="2"/>
  <c r="P179" i="2"/>
  <c r="N179" i="2"/>
  <c r="AO319" i="3" s="1"/>
  <c r="AR319" i="3" s="1"/>
  <c r="L179" i="2"/>
  <c r="AJ319" i="3" s="1"/>
  <c r="AM319" i="3" s="1"/>
  <c r="W178" i="2"/>
  <c r="V178" i="2"/>
  <c r="U178" i="2"/>
  <c r="T178" i="2"/>
  <c r="S178" i="2"/>
  <c r="R178" i="2"/>
  <c r="Q178" i="2"/>
  <c r="P178" i="2"/>
  <c r="N178" i="2"/>
  <c r="AO318" i="3" s="1"/>
  <c r="AR318" i="3" s="1"/>
  <c r="L178" i="2"/>
  <c r="AJ318" i="3" s="1"/>
  <c r="AM318" i="3" s="1"/>
  <c r="W177" i="2"/>
  <c r="V177" i="2"/>
  <c r="U177" i="2"/>
  <c r="T177" i="2"/>
  <c r="S177" i="2"/>
  <c r="R177" i="2"/>
  <c r="Q177" i="2"/>
  <c r="P177" i="2"/>
  <c r="O177" i="2"/>
  <c r="N177" i="2"/>
  <c r="AO317" i="3" s="1"/>
  <c r="AR317" i="3" s="1"/>
  <c r="L177" i="2"/>
  <c r="AJ317" i="3" s="1"/>
  <c r="W176" i="2"/>
  <c r="V176" i="2"/>
  <c r="U176" i="2"/>
  <c r="T176" i="2"/>
  <c r="S176" i="2"/>
  <c r="R176" i="2"/>
  <c r="Q176" i="2"/>
  <c r="P176" i="2"/>
  <c r="O176" i="2"/>
  <c r="N176" i="2"/>
  <c r="AO316" i="3" s="1"/>
  <c r="AR316" i="3" s="1"/>
  <c r="L176" i="2"/>
  <c r="AJ316" i="3" s="1"/>
  <c r="AM316" i="3" s="1"/>
  <c r="W175" i="2"/>
  <c r="V175" i="2"/>
  <c r="U175" i="2"/>
  <c r="T175" i="2"/>
  <c r="S175" i="2"/>
  <c r="R175" i="2"/>
  <c r="Q175" i="2"/>
  <c r="P175" i="2"/>
  <c r="N175" i="2"/>
  <c r="AO315" i="3" s="1"/>
  <c r="AR315" i="3" s="1"/>
  <c r="L175" i="2"/>
  <c r="AJ315" i="3" s="1"/>
  <c r="AM315" i="3" s="1"/>
  <c r="W174" i="2"/>
  <c r="V174" i="2"/>
  <c r="U174" i="2"/>
  <c r="T174" i="2"/>
  <c r="S174" i="2"/>
  <c r="R174" i="2"/>
  <c r="Q174" i="2"/>
  <c r="P174" i="2"/>
  <c r="N174" i="2"/>
  <c r="AO314" i="3" s="1"/>
  <c r="AR314" i="3" s="1"/>
  <c r="L174" i="2"/>
  <c r="AJ314" i="3" s="1"/>
  <c r="AM314" i="3" s="1"/>
  <c r="W173" i="2"/>
  <c r="V173" i="2"/>
  <c r="U173" i="2"/>
  <c r="T173" i="2"/>
  <c r="S173" i="2"/>
  <c r="R173" i="2"/>
  <c r="Q173" i="2"/>
  <c r="P173" i="2"/>
  <c r="O173" i="2"/>
  <c r="N173" i="2"/>
  <c r="L173" i="2"/>
  <c r="AJ313" i="3" s="1"/>
  <c r="W172" i="2"/>
  <c r="V172" i="2"/>
  <c r="U172" i="2"/>
  <c r="T172" i="2"/>
  <c r="S172" i="2"/>
  <c r="R172" i="2"/>
  <c r="Q172" i="2"/>
  <c r="P172" i="2"/>
  <c r="O172" i="2"/>
  <c r="N172" i="2"/>
  <c r="AO312" i="3" s="1"/>
  <c r="AR312" i="3" s="1"/>
  <c r="L172" i="2"/>
  <c r="AJ312" i="3" s="1"/>
  <c r="AM312" i="3" s="1"/>
  <c r="W171" i="2"/>
  <c r="V171" i="2"/>
  <c r="U171" i="2"/>
  <c r="T171" i="2"/>
  <c r="S171" i="2"/>
  <c r="R171" i="2"/>
  <c r="Q171" i="2"/>
  <c r="P171" i="2"/>
  <c r="N171" i="2"/>
  <c r="AO311" i="3" s="1"/>
  <c r="AR311" i="3" s="1"/>
  <c r="L171" i="2"/>
  <c r="AJ311" i="3" s="1"/>
  <c r="AM311" i="3" s="1"/>
  <c r="W170" i="2"/>
  <c r="V170" i="2"/>
  <c r="U170" i="2"/>
  <c r="T170" i="2"/>
  <c r="S170" i="2"/>
  <c r="R170" i="2"/>
  <c r="Q170" i="2"/>
  <c r="P170" i="2"/>
  <c r="N170" i="2"/>
  <c r="AO310" i="3" s="1"/>
  <c r="AR310" i="3" s="1"/>
  <c r="L170" i="2"/>
  <c r="AJ310" i="3" s="1"/>
  <c r="AM310" i="3" s="1"/>
  <c r="W169" i="2"/>
  <c r="V169" i="2"/>
  <c r="U169" i="2"/>
  <c r="T169" i="2"/>
  <c r="S169" i="2"/>
  <c r="R169" i="2"/>
  <c r="Q169" i="2"/>
  <c r="P169" i="2"/>
  <c r="O169" i="2"/>
  <c r="N169" i="2"/>
  <c r="AO309" i="3" s="1"/>
  <c r="AR309" i="3" s="1"/>
  <c r="L169" i="2"/>
  <c r="AJ309" i="3" s="1"/>
  <c r="W168" i="2"/>
  <c r="V168" i="2"/>
  <c r="U168" i="2"/>
  <c r="T168" i="2"/>
  <c r="S168" i="2"/>
  <c r="R168" i="2"/>
  <c r="Q168" i="2"/>
  <c r="P168" i="2"/>
  <c r="O168" i="2"/>
  <c r="N168" i="2"/>
  <c r="L168" i="2"/>
  <c r="AJ308" i="3" s="1"/>
  <c r="AM308" i="3" s="1"/>
  <c r="W167" i="2"/>
  <c r="V167" i="2"/>
  <c r="U167" i="2"/>
  <c r="T167" i="2"/>
  <c r="S167" i="2"/>
  <c r="R167" i="2"/>
  <c r="Q167" i="2"/>
  <c r="P167" i="2"/>
  <c r="N167" i="2"/>
  <c r="AO307" i="3" s="1"/>
  <c r="AR307" i="3" s="1"/>
  <c r="L167" i="2"/>
  <c r="AJ307" i="3" s="1"/>
  <c r="AM307" i="3" s="1"/>
  <c r="W166" i="2"/>
  <c r="V166" i="2"/>
  <c r="U166" i="2"/>
  <c r="T166" i="2"/>
  <c r="S166" i="2"/>
  <c r="R166" i="2"/>
  <c r="Q166" i="2"/>
  <c r="P166" i="2"/>
  <c r="N166" i="2"/>
  <c r="AO306" i="3" s="1"/>
  <c r="AR306" i="3" s="1"/>
  <c r="L166" i="2"/>
  <c r="AJ306" i="3" s="1"/>
  <c r="AM306" i="3" s="1"/>
  <c r="W165" i="2"/>
  <c r="V165" i="2"/>
  <c r="U165" i="2"/>
  <c r="T165" i="2"/>
  <c r="S165" i="2"/>
  <c r="R165" i="2"/>
  <c r="Q165" i="2"/>
  <c r="P165" i="2"/>
  <c r="O165" i="2"/>
  <c r="N165" i="2"/>
  <c r="AO305" i="3" s="1"/>
  <c r="AR305" i="3" s="1"/>
  <c r="L165" i="2"/>
  <c r="AJ305" i="3" s="1"/>
  <c r="W164" i="2"/>
  <c r="V164" i="2"/>
  <c r="U164" i="2"/>
  <c r="T164" i="2"/>
  <c r="S164" i="2"/>
  <c r="R164" i="2"/>
  <c r="Q164" i="2"/>
  <c r="P164" i="2"/>
  <c r="O164" i="2"/>
  <c r="N164" i="2"/>
  <c r="AO304" i="3" s="1"/>
  <c r="L164" i="2"/>
  <c r="AJ304" i="3" s="1"/>
  <c r="AM304" i="3" s="1"/>
  <c r="W163" i="2"/>
  <c r="V163" i="2"/>
  <c r="U163" i="2"/>
  <c r="T163" i="2"/>
  <c r="S163" i="2"/>
  <c r="R163" i="2"/>
  <c r="Q163" i="2"/>
  <c r="P163" i="2"/>
  <c r="N163" i="2"/>
  <c r="AO303" i="3" s="1"/>
  <c r="AR303" i="3" s="1"/>
  <c r="L163" i="2"/>
  <c r="AJ303" i="3" s="1"/>
  <c r="AM303" i="3" s="1"/>
  <c r="W162" i="2"/>
  <c r="V162" i="2"/>
  <c r="U162" i="2"/>
  <c r="T162" i="2"/>
  <c r="S162" i="2"/>
  <c r="R162" i="2"/>
  <c r="Q162" i="2"/>
  <c r="P162" i="2"/>
  <c r="N162" i="2"/>
  <c r="O162" i="2" s="1"/>
  <c r="L162" i="2"/>
  <c r="AJ302" i="3" s="1"/>
  <c r="AM302" i="3" s="1"/>
  <c r="W161" i="2"/>
  <c r="V161" i="2"/>
  <c r="U161" i="2"/>
  <c r="T161" i="2"/>
  <c r="S161" i="2"/>
  <c r="R161" i="2"/>
  <c r="Q161" i="2"/>
  <c r="P161" i="2"/>
  <c r="O161" i="2"/>
  <c r="N161" i="2"/>
  <c r="AO301" i="3" s="1"/>
  <c r="AR301" i="3" s="1"/>
  <c r="L161" i="2"/>
  <c r="AJ301" i="3" s="1"/>
  <c r="W160" i="2"/>
  <c r="V160" i="2"/>
  <c r="U160" i="2"/>
  <c r="T160" i="2"/>
  <c r="S160" i="2"/>
  <c r="R160" i="2"/>
  <c r="Q160" i="2"/>
  <c r="P160" i="2"/>
  <c r="O160" i="2"/>
  <c r="N160" i="2"/>
  <c r="L160" i="2"/>
  <c r="AJ300" i="3" s="1"/>
  <c r="AM300" i="3" s="1"/>
  <c r="W159" i="2"/>
  <c r="V159" i="2"/>
  <c r="U159" i="2"/>
  <c r="T159" i="2"/>
  <c r="S159" i="2"/>
  <c r="R159" i="2"/>
  <c r="Q159" i="2"/>
  <c r="P159" i="2"/>
  <c r="N159" i="2"/>
  <c r="O159" i="2" s="1"/>
  <c r="L159" i="2"/>
  <c r="AJ299" i="3" s="1"/>
  <c r="AM299" i="3" s="1"/>
  <c r="W158" i="2"/>
  <c r="V158" i="2"/>
  <c r="U158" i="2"/>
  <c r="T158" i="2"/>
  <c r="S158" i="2"/>
  <c r="R158" i="2"/>
  <c r="Q158" i="2"/>
  <c r="P158" i="2"/>
  <c r="N158" i="2"/>
  <c r="AO298" i="3" s="1"/>
  <c r="AR298" i="3" s="1"/>
  <c r="L158" i="2"/>
  <c r="AJ298" i="3" s="1"/>
  <c r="AM298" i="3" s="1"/>
  <c r="W157" i="2"/>
  <c r="V157" i="2"/>
  <c r="U157" i="2"/>
  <c r="T157" i="2"/>
  <c r="S157" i="2"/>
  <c r="R157" i="2"/>
  <c r="Q157" i="2"/>
  <c r="P157" i="2"/>
  <c r="O157" i="2"/>
  <c r="N157" i="2"/>
  <c r="AO297" i="3" s="1"/>
  <c r="AR297" i="3" s="1"/>
  <c r="L157" i="2"/>
  <c r="AJ297" i="3" s="1"/>
  <c r="W156" i="2"/>
  <c r="V156" i="2"/>
  <c r="U156" i="2"/>
  <c r="T156" i="2"/>
  <c r="S156" i="2"/>
  <c r="R156" i="2"/>
  <c r="Q156" i="2"/>
  <c r="P156" i="2"/>
  <c r="O156" i="2"/>
  <c r="N156" i="2"/>
  <c r="AO296" i="3" s="1"/>
  <c r="AR296" i="3" s="1"/>
  <c r="L156" i="2"/>
  <c r="AJ296" i="3" s="1"/>
  <c r="AM296" i="3" s="1"/>
  <c r="W155" i="2"/>
  <c r="V155" i="2"/>
  <c r="U155" i="2"/>
  <c r="T155" i="2"/>
  <c r="S155" i="2"/>
  <c r="R155" i="2"/>
  <c r="Q155" i="2"/>
  <c r="P155" i="2"/>
  <c r="N155" i="2"/>
  <c r="AO295" i="3" s="1"/>
  <c r="AR295" i="3" s="1"/>
  <c r="L155" i="2"/>
  <c r="AJ295" i="3" s="1"/>
  <c r="AM295" i="3" s="1"/>
  <c r="W154" i="2"/>
  <c r="V154" i="2"/>
  <c r="U154" i="2"/>
  <c r="T154" i="2"/>
  <c r="S154" i="2"/>
  <c r="R154" i="2"/>
  <c r="Q154" i="2"/>
  <c r="P154" i="2"/>
  <c r="N154" i="2"/>
  <c r="AO294" i="3" s="1"/>
  <c r="AR294" i="3" s="1"/>
  <c r="L154" i="2"/>
  <c r="AJ294" i="3" s="1"/>
  <c r="AM294" i="3" s="1"/>
  <c r="W153" i="2"/>
  <c r="V153" i="2"/>
  <c r="U153" i="2"/>
  <c r="T153" i="2"/>
  <c r="S153" i="2"/>
  <c r="R153" i="2"/>
  <c r="Q153" i="2"/>
  <c r="P153" i="2"/>
  <c r="O153" i="2"/>
  <c r="N153" i="2"/>
  <c r="L153" i="2"/>
  <c r="AJ293" i="3" s="1"/>
  <c r="W152" i="2"/>
  <c r="V152" i="2"/>
  <c r="U152" i="2"/>
  <c r="T152" i="2"/>
  <c r="S152" i="2"/>
  <c r="R152" i="2"/>
  <c r="Q152" i="2"/>
  <c r="P152" i="2"/>
  <c r="O152" i="2"/>
  <c r="N152" i="2"/>
  <c r="AO292" i="3" s="1"/>
  <c r="AR292" i="3" s="1"/>
  <c r="L152" i="2"/>
  <c r="AJ292" i="3" s="1"/>
  <c r="AM292" i="3" s="1"/>
  <c r="W151" i="2"/>
  <c r="V151" i="2"/>
  <c r="U151" i="2"/>
  <c r="T151" i="2"/>
  <c r="S151" i="2"/>
  <c r="R151" i="2"/>
  <c r="Q151" i="2"/>
  <c r="P151" i="2"/>
  <c r="N151" i="2"/>
  <c r="AO291" i="3" s="1"/>
  <c r="AR291" i="3" s="1"/>
  <c r="L151" i="2"/>
  <c r="AJ291" i="3" s="1"/>
  <c r="AM291" i="3" s="1"/>
  <c r="W150" i="2"/>
  <c r="V150" i="2"/>
  <c r="U150" i="2"/>
  <c r="T150" i="2"/>
  <c r="S150" i="2"/>
  <c r="R150" i="2"/>
  <c r="Q150" i="2"/>
  <c r="P150" i="2"/>
  <c r="N150" i="2"/>
  <c r="AO290" i="3" s="1"/>
  <c r="AR290" i="3" s="1"/>
  <c r="L150" i="2"/>
  <c r="AJ290" i="3" s="1"/>
  <c r="AM290" i="3" s="1"/>
  <c r="W149" i="2"/>
  <c r="V149" i="2"/>
  <c r="U149" i="2"/>
  <c r="T149" i="2"/>
  <c r="S149" i="2"/>
  <c r="R149" i="2"/>
  <c r="Q149" i="2"/>
  <c r="P149" i="2"/>
  <c r="O149" i="2"/>
  <c r="N149" i="2"/>
  <c r="AO289" i="3" s="1"/>
  <c r="AR289" i="3" s="1"/>
  <c r="L149" i="2"/>
  <c r="AJ289" i="3" s="1"/>
  <c r="W148" i="2"/>
  <c r="V148" i="2"/>
  <c r="U148" i="2"/>
  <c r="T148" i="2"/>
  <c r="S148" i="2"/>
  <c r="R148" i="2"/>
  <c r="Q148" i="2"/>
  <c r="P148" i="2"/>
  <c r="O148" i="2"/>
  <c r="N148" i="2"/>
  <c r="L148" i="2"/>
  <c r="AJ288" i="3" s="1"/>
  <c r="AM288" i="3" s="1"/>
  <c r="W147" i="2"/>
  <c r="V147" i="2"/>
  <c r="U147" i="2"/>
  <c r="T147" i="2"/>
  <c r="S147" i="2"/>
  <c r="R147" i="2"/>
  <c r="Q147" i="2"/>
  <c r="P147" i="2"/>
  <c r="N147" i="2"/>
  <c r="AO287" i="3" s="1"/>
  <c r="AR287" i="3" s="1"/>
  <c r="L147" i="2"/>
  <c r="AJ287" i="3" s="1"/>
  <c r="AM287" i="3" s="1"/>
  <c r="W146" i="2"/>
  <c r="V146" i="2"/>
  <c r="U146" i="2"/>
  <c r="T146" i="2"/>
  <c r="S146" i="2"/>
  <c r="R146" i="2"/>
  <c r="Q146" i="2"/>
  <c r="P146" i="2"/>
  <c r="N146" i="2"/>
  <c r="AO286" i="3" s="1"/>
  <c r="AR286" i="3" s="1"/>
  <c r="L146" i="2"/>
  <c r="AJ286" i="3" s="1"/>
  <c r="AM286" i="3" s="1"/>
  <c r="W145" i="2"/>
  <c r="V145" i="2"/>
  <c r="U145" i="2"/>
  <c r="T145" i="2"/>
  <c r="S145" i="2"/>
  <c r="R145" i="2"/>
  <c r="Q145" i="2"/>
  <c r="P145" i="2"/>
  <c r="O145" i="2"/>
  <c r="N145" i="2"/>
  <c r="AO285" i="3" s="1"/>
  <c r="AR285" i="3" s="1"/>
  <c r="L145" i="2"/>
  <c r="AJ285" i="3" s="1"/>
  <c r="W144" i="2"/>
  <c r="V144" i="2"/>
  <c r="U144" i="2"/>
  <c r="T144" i="2"/>
  <c r="S144" i="2"/>
  <c r="R144" i="2"/>
  <c r="Q144" i="2"/>
  <c r="P144" i="2"/>
  <c r="O144" i="2"/>
  <c r="N144" i="2"/>
  <c r="AO284" i="3" s="1"/>
  <c r="L144" i="2"/>
  <c r="AJ284" i="3" s="1"/>
  <c r="AM284" i="3" s="1"/>
  <c r="W143" i="2"/>
  <c r="V143" i="2"/>
  <c r="U143" i="2"/>
  <c r="T143" i="2"/>
  <c r="S143" i="2"/>
  <c r="R143" i="2"/>
  <c r="Q143" i="2"/>
  <c r="P143" i="2"/>
  <c r="N143" i="2"/>
  <c r="AO283" i="3" s="1"/>
  <c r="AR283" i="3" s="1"/>
  <c r="L143" i="2"/>
  <c r="AJ283" i="3" s="1"/>
  <c r="AM283" i="3" s="1"/>
  <c r="W142" i="2"/>
  <c r="V142" i="2"/>
  <c r="U142" i="2"/>
  <c r="T142" i="2"/>
  <c r="S142" i="2"/>
  <c r="R142" i="2"/>
  <c r="Q142" i="2"/>
  <c r="P142" i="2"/>
  <c r="N142" i="2"/>
  <c r="O142" i="2" s="1"/>
  <c r="L142" i="2"/>
  <c r="AJ282" i="3" s="1"/>
  <c r="AM282" i="3" s="1"/>
  <c r="W141" i="2"/>
  <c r="V141" i="2"/>
  <c r="U141" i="2"/>
  <c r="T141" i="2"/>
  <c r="S141" i="2"/>
  <c r="R141" i="2"/>
  <c r="Q141" i="2"/>
  <c r="P141" i="2"/>
  <c r="O141" i="2"/>
  <c r="N141" i="2"/>
  <c r="AO281" i="3" s="1"/>
  <c r="AR281" i="3" s="1"/>
  <c r="L141" i="2"/>
  <c r="AJ281" i="3" s="1"/>
  <c r="W140" i="2"/>
  <c r="V140" i="2"/>
  <c r="U140" i="2"/>
  <c r="T140" i="2"/>
  <c r="S140" i="2"/>
  <c r="R140" i="2"/>
  <c r="Q140" i="2"/>
  <c r="P140" i="2"/>
  <c r="O140" i="2"/>
  <c r="N140" i="2"/>
  <c r="AO280" i="3" s="1"/>
  <c r="AR280" i="3" s="1"/>
  <c r="L140" i="2"/>
  <c r="AJ280" i="3" s="1"/>
  <c r="AM280" i="3" s="1"/>
  <c r="W139" i="2"/>
  <c r="V139" i="2"/>
  <c r="U139" i="2"/>
  <c r="T139" i="2"/>
  <c r="S139" i="2"/>
  <c r="R139" i="2"/>
  <c r="Q139" i="2"/>
  <c r="P139" i="2"/>
  <c r="N139" i="2"/>
  <c r="O139" i="2" s="1"/>
  <c r="L139" i="2"/>
  <c r="AJ279" i="3" s="1"/>
  <c r="AM279" i="3" s="1"/>
  <c r="W138" i="2"/>
  <c r="V138" i="2"/>
  <c r="U138" i="2"/>
  <c r="T138" i="2"/>
  <c r="S138" i="2"/>
  <c r="R138" i="2"/>
  <c r="Q138" i="2"/>
  <c r="P138" i="2"/>
  <c r="N138" i="2"/>
  <c r="AO278" i="3" s="1"/>
  <c r="AR278" i="3" s="1"/>
  <c r="L138" i="2"/>
  <c r="AJ278" i="3" s="1"/>
  <c r="AM278" i="3" s="1"/>
  <c r="W137" i="2"/>
  <c r="V137" i="2"/>
  <c r="U137" i="2"/>
  <c r="T137" i="2"/>
  <c r="S137" i="2"/>
  <c r="R137" i="2"/>
  <c r="Q137" i="2"/>
  <c r="P137" i="2"/>
  <c r="O137" i="2"/>
  <c r="N137" i="2"/>
  <c r="AO277" i="3" s="1"/>
  <c r="AR277" i="3" s="1"/>
  <c r="L137" i="2"/>
  <c r="AJ277" i="3" s="1"/>
  <c r="W136" i="2"/>
  <c r="V136" i="2"/>
  <c r="U136" i="2"/>
  <c r="T136" i="2"/>
  <c r="S136" i="2"/>
  <c r="R136" i="2"/>
  <c r="Q136" i="2"/>
  <c r="P136" i="2"/>
  <c r="O136" i="2"/>
  <c r="N136" i="2"/>
  <c r="AO276" i="3" s="1"/>
  <c r="AR276" i="3" s="1"/>
  <c r="L136" i="2"/>
  <c r="AJ276" i="3" s="1"/>
  <c r="AM276" i="3" s="1"/>
  <c r="W135" i="2"/>
  <c r="V135" i="2"/>
  <c r="U135" i="2"/>
  <c r="T135" i="2"/>
  <c r="S135" i="2"/>
  <c r="R135" i="2"/>
  <c r="Q135" i="2"/>
  <c r="P135" i="2"/>
  <c r="N135" i="2"/>
  <c r="AO275" i="3" s="1"/>
  <c r="AR275" i="3" s="1"/>
  <c r="L135" i="2"/>
  <c r="AJ275" i="3" s="1"/>
  <c r="AM275" i="3" s="1"/>
  <c r="W134" i="2"/>
  <c r="V134" i="2"/>
  <c r="U134" i="2"/>
  <c r="T134" i="2"/>
  <c r="S134" i="2"/>
  <c r="R134" i="2"/>
  <c r="Q134" i="2"/>
  <c r="P134" i="2"/>
  <c r="N134" i="2"/>
  <c r="O134" i="2" s="1"/>
  <c r="L134" i="2"/>
  <c r="AJ274" i="3" s="1"/>
  <c r="AM274" i="3" s="1"/>
  <c r="W133" i="2"/>
  <c r="V133" i="2"/>
  <c r="U133" i="2"/>
  <c r="T133" i="2"/>
  <c r="S133" i="2"/>
  <c r="R133" i="2"/>
  <c r="Q133" i="2"/>
  <c r="P133" i="2"/>
  <c r="O133" i="2"/>
  <c r="N133" i="2"/>
  <c r="AO273" i="3" s="1"/>
  <c r="AR273" i="3" s="1"/>
  <c r="L133" i="2"/>
  <c r="AJ273" i="3" s="1"/>
  <c r="W132" i="2"/>
  <c r="V132" i="2"/>
  <c r="U132" i="2"/>
  <c r="T132" i="2"/>
  <c r="S132" i="2"/>
  <c r="R132" i="2"/>
  <c r="Q132" i="2"/>
  <c r="P132" i="2"/>
  <c r="O132" i="2"/>
  <c r="N132" i="2"/>
  <c r="AO272" i="3" s="1"/>
  <c r="AR272" i="3" s="1"/>
  <c r="L132" i="2"/>
  <c r="AJ272" i="3" s="1"/>
  <c r="AM272" i="3" s="1"/>
  <c r="W131" i="2"/>
  <c r="V131" i="2"/>
  <c r="U131" i="2"/>
  <c r="T131" i="2"/>
  <c r="S131" i="2"/>
  <c r="R131" i="2"/>
  <c r="Q131" i="2"/>
  <c r="P131" i="2"/>
  <c r="N131" i="2"/>
  <c r="AO271" i="3" s="1"/>
  <c r="AR271" i="3" s="1"/>
  <c r="L131" i="2"/>
  <c r="AJ271" i="3" s="1"/>
  <c r="AM271" i="3" s="1"/>
  <c r="W130" i="2"/>
  <c r="V130" i="2"/>
  <c r="U130" i="2"/>
  <c r="T130" i="2"/>
  <c r="S130" i="2"/>
  <c r="R130" i="2"/>
  <c r="Q130" i="2"/>
  <c r="P130" i="2"/>
  <c r="N130" i="2"/>
  <c r="O130" i="2" s="1"/>
  <c r="L130" i="2"/>
  <c r="AJ270" i="3" s="1"/>
  <c r="AM270" i="3" s="1"/>
  <c r="W129" i="2"/>
  <c r="V129" i="2"/>
  <c r="U129" i="2"/>
  <c r="T129" i="2"/>
  <c r="S129" i="2"/>
  <c r="R129" i="2"/>
  <c r="Q129" i="2"/>
  <c r="P129" i="2"/>
  <c r="O129" i="2"/>
  <c r="N129" i="2"/>
  <c r="AO269" i="3" s="1"/>
  <c r="AR269" i="3" s="1"/>
  <c r="L129" i="2"/>
  <c r="AJ269" i="3" s="1"/>
  <c r="W128" i="2"/>
  <c r="V128" i="2"/>
  <c r="U128" i="2"/>
  <c r="T128" i="2"/>
  <c r="S128" i="2"/>
  <c r="R128" i="2"/>
  <c r="Q128" i="2"/>
  <c r="P128" i="2"/>
  <c r="O128" i="2"/>
  <c r="N128" i="2"/>
  <c r="L128" i="2"/>
  <c r="AJ268" i="3" s="1"/>
  <c r="AM268" i="3" s="1"/>
  <c r="W127" i="2"/>
  <c r="V127" i="2"/>
  <c r="U127" i="2"/>
  <c r="T127" i="2"/>
  <c r="S127" i="2"/>
  <c r="R127" i="2"/>
  <c r="Q127" i="2"/>
  <c r="P127" i="2"/>
  <c r="N127" i="2"/>
  <c r="AO267" i="3" s="1"/>
  <c r="AR267" i="3" s="1"/>
  <c r="L127" i="2"/>
  <c r="AJ267" i="3" s="1"/>
  <c r="AM267" i="3" s="1"/>
  <c r="W126" i="2"/>
  <c r="V126" i="2"/>
  <c r="U126" i="2"/>
  <c r="T126" i="2"/>
  <c r="S126" i="2"/>
  <c r="R126" i="2"/>
  <c r="Q126" i="2"/>
  <c r="P126" i="2"/>
  <c r="N126" i="2"/>
  <c r="O126" i="2" s="1"/>
  <c r="L126" i="2"/>
  <c r="AJ266" i="3" s="1"/>
  <c r="AM266" i="3" s="1"/>
  <c r="W125" i="2"/>
  <c r="V125" i="2"/>
  <c r="U125" i="2"/>
  <c r="T125" i="2"/>
  <c r="S125" i="2"/>
  <c r="R125" i="2"/>
  <c r="Q125" i="2"/>
  <c r="P125" i="2"/>
  <c r="O125" i="2"/>
  <c r="N125" i="2"/>
  <c r="AO265" i="3" s="1"/>
  <c r="AR265" i="3" s="1"/>
  <c r="L125" i="2"/>
  <c r="AJ265" i="3" s="1"/>
  <c r="W124" i="2"/>
  <c r="V124" i="2"/>
  <c r="U124" i="2"/>
  <c r="T124" i="2"/>
  <c r="S124" i="2"/>
  <c r="R124" i="2"/>
  <c r="Q124" i="2"/>
  <c r="P124" i="2"/>
  <c r="O124" i="2"/>
  <c r="N124" i="2"/>
  <c r="AO264" i="3" s="1"/>
  <c r="AR264" i="3" s="1"/>
  <c r="L124" i="2"/>
  <c r="AJ264" i="3" s="1"/>
  <c r="AM264" i="3" s="1"/>
  <c r="W123" i="2"/>
  <c r="V123" i="2"/>
  <c r="U123" i="2"/>
  <c r="T123" i="2"/>
  <c r="S123" i="2"/>
  <c r="R123" i="2"/>
  <c r="Q123" i="2"/>
  <c r="P123" i="2"/>
  <c r="N123" i="2"/>
  <c r="O123" i="2" s="1"/>
  <c r="L123" i="2"/>
  <c r="AJ263" i="3" s="1"/>
  <c r="AM263" i="3" s="1"/>
  <c r="W122" i="2"/>
  <c r="V122" i="2"/>
  <c r="U122" i="2"/>
  <c r="T122" i="2"/>
  <c r="S122" i="2"/>
  <c r="R122" i="2"/>
  <c r="Q122" i="2"/>
  <c r="P122" i="2"/>
  <c r="N122" i="2"/>
  <c r="AO262" i="3" s="1"/>
  <c r="AR262" i="3" s="1"/>
  <c r="L122" i="2"/>
  <c r="AJ262" i="3" s="1"/>
  <c r="AM262" i="3" s="1"/>
  <c r="W121" i="2"/>
  <c r="V121" i="2"/>
  <c r="U121" i="2"/>
  <c r="T121" i="2"/>
  <c r="S121" i="2"/>
  <c r="R121" i="2"/>
  <c r="Q121" i="2"/>
  <c r="P121" i="2"/>
  <c r="O121" i="2"/>
  <c r="N121" i="2"/>
  <c r="AO261" i="3" s="1"/>
  <c r="AR261" i="3" s="1"/>
  <c r="L121" i="2"/>
  <c r="AJ261" i="3" s="1"/>
  <c r="W120" i="2"/>
  <c r="V120" i="2"/>
  <c r="U120" i="2"/>
  <c r="T120" i="2"/>
  <c r="S120" i="2"/>
  <c r="R120" i="2"/>
  <c r="Q120" i="2"/>
  <c r="P120" i="2"/>
  <c r="O120" i="2"/>
  <c r="N120" i="2"/>
  <c r="AO260" i="3" s="1"/>
  <c r="AR260" i="3" s="1"/>
  <c r="L120" i="2"/>
  <c r="AJ260" i="3" s="1"/>
  <c r="AM260" i="3" s="1"/>
  <c r="W119" i="2"/>
  <c r="V119" i="2"/>
  <c r="U119" i="2"/>
  <c r="T119" i="2"/>
  <c r="S119" i="2"/>
  <c r="R119" i="2"/>
  <c r="Q119" i="2"/>
  <c r="P119" i="2"/>
  <c r="N119" i="2"/>
  <c r="AO259" i="3" s="1"/>
  <c r="AR259" i="3" s="1"/>
  <c r="L119" i="2"/>
  <c r="AJ259" i="3" s="1"/>
  <c r="AM259" i="3" s="1"/>
  <c r="W118" i="2"/>
  <c r="V118" i="2"/>
  <c r="U118" i="2"/>
  <c r="T118" i="2"/>
  <c r="S118" i="2"/>
  <c r="R118" i="2"/>
  <c r="Q118" i="2"/>
  <c r="P118" i="2"/>
  <c r="N118" i="2"/>
  <c r="O118" i="2" s="1"/>
  <c r="L118" i="2"/>
  <c r="AJ258" i="3" s="1"/>
  <c r="AM258" i="3" s="1"/>
  <c r="W117" i="2"/>
  <c r="V117" i="2"/>
  <c r="U117" i="2"/>
  <c r="T117" i="2"/>
  <c r="S117" i="2"/>
  <c r="R117" i="2"/>
  <c r="Q117" i="2"/>
  <c r="P117" i="2"/>
  <c r="O117" i="2"/>
  <c r="N117" i="2"/>
  <c r="AO257" i="3" s="1"/>
  <c r="AR257" i="3" s="1"/>
  <c r="L117" i="2"/>
  <c r="AJ257" i="3" s="1"/>
  <c r="W116" i="2"/>
  <c r="V116" i="2"/>
  <c r="U116" i="2"/>
  <c r="T116" i="2"/>
  <c r="S116" i="2"/>
  <c r="R116" i="2"/>
  <c r="Q116" i="2"/>
  <c r="P116" i="2"/>
  <c r="O116" i="2"/>
  <c r="N116" i="2"/>
  <c r="AO256" i="3" s="1"/>
  <c r="AR256" i="3" s="1"/>
  <c r="L116" i="2"/>
  <c r="AJ256" i="3" s="1"/>
  <c r="AM256" i="3" s="1"/>
  <c r="W115" i="2"/>
  <c r="V115" i="2"/>
  <c r="U115" i="2"/>
  <c r="T115" i="2"/>
  <c r="S115" i="2"/>
  <c r="R115" i="2"/>
  <c r="Q115" i="2"/>
  <c r="P115" i="2"/>
  <c r="N115" i="2"/>
  <c r="AO255" i="3" s="1"/>
  <c r="AR255" i="3" s="1"/>
  <c r="L115" i="2"/>
  <c r="AJ255" i="3" s="1"/>
  <c r="AM255" i="3" s="1"/>
  <c r="W114" i="2"/>
  <c r="V114" i="2"/>
  <c r="U114" i="2"/>
  <c r="T114" i="2"/>
  <c r="S114" i="2"/>
  <c r="R114" i="2"/>
  <c r="Q114" i="2"/>
  <c r="P114" i="2"/>
  <c r="N114" i="2"/>
  <c r="O114" i="2" s="1"/>
  <c r="L114" i="2"/>
  <c r="AJ254" i="3" s="1"/>
  <c r="AM254" i="3" s="1"/>
  <c r="W113" i="2"/>
  <c r="V113" i="2"/>
  <c r="U113" i="2"/>
  <c r="T113" i="2"/>
  <c r="S113" i="2"/>
  <c r="R113" i="2"/>
  <c r="Q113" i="2"/>
  <c r="P113" i="2"/>
  <c r="O113" i="2"/>
  <c r="N113" i="2"/>
  <c r="AO253" i="3" s="1"/>
  <c r="AR253" i="3" s="1"/>
  <c r="L113" i="2"/>
  <c r="AJ253" i="3" s="1"/>
  <c r="W112" i="2"/>
  <c r="V112" i="2"/>
  <c r="U112" i="2"/>
  <c r="T112" i="2"/>
  <c r="S112" i="2"/>
  <c r="R112" i="2"/>
  <c r="Q112" i="2"/>
  <c r="P112" i="2"/>
  <c r="O112" i="2"/>
  <c r="N112" i="2"/>
  <c r="L112" i="2"/>
  <c r="AJ252" i="3" s="1"/>
  <c r="AM252" i="3" s="1"/>
  <c r="W111" i="2"/>
  <c r="V111" i="2"/>
  <c r="U111" i="2"/>
  <c r="T111" i="2"/>
  <c r="S111" i="2"/>
  <c r="R111" i="2"/>
  <c r="Q111" i="2"/>
  <c r="P111" i="2"/>
  <c r="N111" i="2"/>
  <c r="AO251" i="3" s="1"/>
  <c r="AR251" i="3" s="1"/>
  <c r="L111" i="2"/>
  <c r="AJ251" i="3" s="1"/>
  <c r="AM251" i="3" s="1"/>
  <c r="W110" i="2"/>
  <c r="V110" i="2"/>
  <c r="U110" i="2"/>
  <c r="T110" i="2"/>
  <c r="S110" i="2"/>
  <c r="R110" i="2"/>
  <c r="Q110" i="2"/>
  <c r="P110" i="2"/>
  <c r="N110" i="2"/>
  <c r="O110" i="2" s="1"/>
  <c r="L110" i="2"/>
  <c r="AJ250" i="3" s="1"/>
  <c r="AM250" i="3" s="1"/>
  <c r="W109" i="2"/>
  <c r="V109" i="2"/>
  <c r="U109" i="2"/>
  <c r="T109" i="2"/>
  <c r="S109" i="2"/>
  <c r="R109" i="2"/>
  <c r="Q109" i="2"/>
  <c r="P109" i="2"/>
  <c r="O109" i="2"/>
  <c r="N109" i="2"/>
  <c r="AO249" i="3" s="1"/>
  <c r="AR249" i="3" s="1"/>
  <c r="L109" i="2"/>
  <c r="AJ249" i="3" s="1"/>
  <c r="W108" i="2"/>
  <c r="V108" i="2"/>
  <c r="U108" i="2"/>
  <c r="T108" i="2"/>
  <c r="S108" i="2"/>
  <c r="R108" i="2"/>
  <c r="Q108" i="2"/>
  <c r="P108" i="2"/>
  <c r="O108" i="2"/>
  <c r="N108" i="2"/>
  <c r="AO248" i="3" s="1"/>
  <c r="AR248" i="3" s="1"/>
  <c r="L108" i="2"/>
  <c r="AJ248" i="3" s="1"/>
  <c r="AM248" i="3" s="1"/>
  <c r="W107" i="2"/>
  <c r="V107" i="2"/>
  <c r="U107" i="2"/>
  <c r="T107" i="2"/>
  <c r="S107" i="2"/>
  <c r="R107" i="2"/>
  <c r="Q107" i="2"/>
  <c r="P107" i="2"/>
  <c r="N107" i="2"/>
  <c r="O107" i="2" s="1"/>
  <c r="L107" i="2"/>
  <c r="AJ247" i="3" s="1"/>
  <c r="AM247" i="3" s="1"/>
  <c r="W106" i="2"/>
  <c r="V106" i="2"/>
  <c r="U106" i="2"/>
  <c r="T106" i="2"/>
  <c r="S106" i="2"/>
  <c r="R106" i="2"/>
  <c r="Q106" i="2"/>
  <c r="P106" i="2"/>
  <c r="N106" i="2"/>
  <c r="AO246" i="3" s="1"/>
  <c r="AR246" i="3" s="1"/>
  <c r="L106" i="2"/>
  <c r="AJ246" i="3" s="1"/>
  <c r="AM246" i="3" s="1"/>
  <c r="W105" i="2"/>
  <c r="V105" i="2"/>
  <c r="U105" i="2"/>
  <c r="T105" i="2"/>
  <c r="S105" i="2"/>
  <c r="R105" i="2"/>
  <c r="Q105" i="2"/>
  <c r="P105" i="2"/>
  <c r="O105" i="2"/>
  <c r="N105" i="2"/>
  <c r="AO245" i="3" s="1"/>
  <c r="AR245" i="3" s="1"/>
  <c r="L105" i="2"/>
  <c r="AJ245" i="3" s="1"/>
  <c r="W104" i="2"/>
  <c r="V104" i="2"/>
  <c r="U104" i="2"/>
  <c r="T104" i="2"/>
  <c r="S104" i="2"/>
  <c r="R104" i="2"/>
  <c r="Q104" i="2"/>
  <c r="P104" i="2"/>
  <c r="O104" i="2"/>
  <c r="N104" i="2"/>
  <c r="AO244" i="3" s="1"/>
  <c r="AR244" i="3" s="1"/>
  <c r="L104" i="2"/>
  <c r="AJ244" i="3" s="1"/>
  <c r="AM244" i="3" s="1"/>
  <c r="W103" i="2"/>
  <c r="V103" i="2"/>
  <c r="U103" i="2"/>
  <c r="T103" i="2"/>
  <c r="S103" i="2"/>
  <c r="R103" i="2"/>
  <c r="Q103" i="2"/>
  <c r="P103" i="2"/>
  <c r="N103" i="2"/>
  <c r="AO243" i="3" s="1"/>
  <c r="AR243" i="3" s="1"/>
  <c r="L103" i="2"/>
  <c r="AJ243" i="3" s="1"/>
  <c r="AM243" i="3" s="1"/>
  <c r="W102" i="2"/>
  <c r="V102" i="2"/>
  <c r="U102" i="2"/>
  <c r="T102" i="2"/>
  <c r="S102" i="2"/>
  <c r="R102" i="2"/>
  <c r="Q102" i="2"/>
  <c r="P102" i="2"/>
  <c r="N102" i="2"/>
  <c r="O102" i="2" s="1"/>
  <c r="L102" i="2"/>
  <c r="AJ242" i="3" s="1"/>
  <c r="AM242" i="3" s="1"/>
  <c r="W101" i="2"/>
  <c r="V101" i="2"/>
  <c r="U101" i="2"/>
  <c r="T101" i="2"/>
  <c r="S101" i="2"/>
  <c r="R101" i="2"/>
  <c r="Q101" i="2"/>
  <c r="P101" i="2"/>
  <c r="O101" i="2"/>
  <c r="N101" i="2"/>
  <c r="AO241" i="3" s="1"/>
  <c r="AR241" i="3" s="1"/>
  <c r="L101" i="2"/>
  <c r="AJ241" i="3" s="1"/>
  <c r="W100" i="2"/>
  <c r="V100" i="2"/>
  <c r="U100" i="2"/>
  <c r="T100" i="2"/>
  <c r="S100" i="2"/>
  <c r="R100" i="2"/>
  <c r="Q100" i="2"/>
  <c r="P100" i="2"/>
  <c r="O100" i="2"/>
  <c r="N100" i="2"/>
  <c r="AO240" i="3" s="1"/>
  <c r="AR240" i="3" s="1"/>
  <c r="L100" i="2"/>
  <c r="AJ240" i="3" s="1"/>
  <c r="AM240" i="3" s="1"/>
  <c r="W99" i="2"/>
  <c r="V99" i="2"/>
  <c r="U99" i="2"/>
  <c r="T99" i="2"/>
  <c r="S99" i="2"/>
  <c r="R99" i="2"/>
  <c r="Q99" i="2"/>
  <c r="P99" i="2"/>
  <c r="N99" i="2"/>
  <c r="AO239" i="3" s="1"/>
  <c r="AR239" i="3" s="1"/>
  <c r="L99" i="2"/>
  <c r="AJ239" i="3" s="1"/>
  <c r="AM239" i="3" s="1"/>
  <c r="W98" i="2"/>
  <c r="V98" i="2"/>
  <c r="U98" i="2"/>
  <c r="T98" i="2"/>
  <c r="S98" i="2"/>
  <c r="R98" i="2"/>
  <c r="Q98" i="2"/>
  <c r="P98" i="2"/>
  <c r="N98" i="2"/>
  <c r="O98" i="2" s="1"/>
  <c r="L98" i="2"/>
  <c r="AJ238" i="3" s="1"/>
  <c r="AM238" i="3" s="1"/>
  <c r="W97" i="2"/>
  <c r="V97" i="2"/>
  <c r="U97" i="2"/>
  <c r="T97" i="2"/>
  <c r="S97" i="2"/>
  <c r="R97" i="2"/>
  <c r="Q97" i="2"/>
  <c r="P97" i="2"/>
  <c r="O97" i="2"/>
  <c r="N97" i="2"/>
  <c r="AO237" i="3" s="1"/>
  <c r="AR237" i="3" s="1"/>
  <c r="L97" i="2"/>
  <c r="AJ237" i="3" s="1"/>
  <c r="W96" i="2"/>
  <c r="V96" i="2"/>
  <c r="U96" i="2"/>
  <c r="T96" i="2"/>
  <c r="S96" i="2"/>
  <c r="R96" i="2"/>
  <c r="Q96" i="2"/>
  <c r="P96" i="2"/>
  <c r="O96" i="2"/>
  <c r="N96" i="2"/>
  <c r="L96" i="2"/>
  <c r="AJ236" i="3" s="1"/>
  <c r="AM236" i="3" s="1"/>
  <c r="W95" i="2"/>
  <c r="V95" i="2"/>
  <c r="U95" i="2"/>
  <c r="T95" i="2"/>
  <c r="S95" i="2"/>
  <c r="R95" i="2"/>
  <c r="Q95" i="2"/>
  <c r="P95" i="2"/>
  <c r="N95" i="2"/>
  <c r="AO235" i="3" s="1"/>
  <c r="AR235" i="3" s="1"/>
  <c r="L95" i="2"/>
  <c r="AJ235" i="3" s="1"/>
  <c r="AM235" i="3" s="1"/>
  <c r="W94" i="2"/>
  <c r="V94" i="2"/>
  <c r="U94" i="2"/>
  <c r="T94" i="2"/>
  <c r="S94" i="2"/>
  <c r="R94" i="2"/>
  <c r="Q94" i="2"/>
  <c r="P94" i="2"/>
  <c r="N94" i="2"/>
  <c r="O94" i="2" s="1"/>
  <c r="L94" i="2"/>
  <c r="AJ234" i="3" s="1"/>
  <c r="AM234" i="3" s="1"/>
  <c r="W93" i="2"/>
  <c r="V93" i="2"/>
  <c r="U93" i="2"/>
  <c r="T93" i="2"/>
  <c r="S93" i="2"/>
  <c r="R93" i="2"/>
  <c r="Q93" i="2"/>
  <c r="P93" i="2"/>
  <c r="O93" i="2"/>
  <c r="N93" i="2"/>
  <c r="AO233" i="3" s="1"/>
  <c r="AR233" i="3" s="1"/>
  <c r="L93" i="2"/>
  <c r="AJ233" i="3" s="1"/>
  <c r="AM233" i="3" s="1"/>
  <c r="W92" i="2"/>
  <c r="V92" i="2"/>
  <c r="U92" i="2"/>
  <c r="T92" i="2"/>
  <c r="S92" i="2"/>
  <c r="R92" i="2"/>
  <c r="Q92" i="2"/>
  <c r="P92" i="2"/>
  <c r="O92" i="2"/>
  <c r="N92" i="2"/>
  <c r="AO232" i="3" s="1"/>
  <c r="AR232" i="3" s="1"/>
  <c r="L92" i="2"/>
  <c r="AJ232" i="3" s="1"/>
  <c r="AM232" i="3" s="1"/>
  <c r="W91" i="2"/>
  <c r="V91" i="2"/>
  <c r="U91" i="2"/>
  <c r="T91" i="2"/>
  <c r="S91" i="2"/>
  <c r="R91" i="2"/>
  <c r="Q91" i="2"/>
  <c r="P91" i="2"/>
  <c r="N91" i="2"/>
  <c r="AO231" i="3" s="1"/>
  <c r="AR231" i="3" s="1"/>
  <c r="L91" i="2"/>
  <c r="M91" i="2" s="1"/>
  <c r="W90" i="2"/>
  <c r="V90" i="2"/>
  <c r="U90" i="2"/>
  <c r="T90" i="2"/>
  <c r="S90" i="2"/>
  <c r="R90" i="2"/>
  <c r="Q90" i="2"/>
  <c r="P90" i="2"/>
  <c r="N90" i="2"/>
  <c r="O90" i="2" s="1"/>
  <c r="L90" i="2"/>
  <c r="AJ230" i="3" s="1"/>
  <c r="AM230" i="3" s="1"/>
  <c r="W89" i="2"/>
  <c r="V89" i="2"/>
  <c r="U89" i="2"/>
  <c r="T89" i="2"/>
  <c r="S89" i="2"/>
  <c r="R89" i="2"/>
  <c r="Q89" i="2"/>
  <c r="P89" i="2"/>
  <c r="O89" i="2"/>
  <c r="N89" i="2"/>
  <c r="L89" i="2"/>
  <c r="AJ229" i="3" s="1"/>
  <c r="AM229" i="3" s="1"/>
  <c r="W88" i="2"/>
  <c r="V88" i="2"/>
  <c r="U88" i="2"/>
  <c r="T88" i="2"/>
  <c r="S88" i="2"/>
  <c r="R88" i="2"/>
  <c r="Q88" i="2"/>
  <c r="P88" i="2"/>
  <c r="O88" i="2"/>
  <c r="N88" i="2"/>
  <c r="AO228" i="3" s="1"/>
  <c r="AR228" i="3" s="1"/>
  <c r="L88" i="2"/>
  <c r="AJ228" i="3" s="1"/>
  <c r="AM228" i="3" s="1"/>
  <c r="W87" i="2"/>
  <c r="V87" i="2"/>
  <c r="U87" i="2"/>
  <c r="T87" i="2"/>
  <c r="S87" i="2"/>
  <c r="R87" i="2"/>
  <c r="Q87" i="2"/>
  <c r="P87" i="2"/>
  <c r="N87" i="2"/>
  <c r="AO227" i="3" s="1"/>
  <c r="AR227" i="3" s="1"/>
  <c r="L87" i="2"/>
  <c r="AJ227" i="3" s="1"/>
  <c r="AM227" i="3" s="1"/>
  <c r="W86" i="2"/>
  <c r="V86" i="2"/>
  <c r="U86" i="2"/>
  <c r="T86" i="2"/>
  <c r="S86" i="2"/>
  <c r="R86" i="2"/>
  <c r="Q86" i="2"/>
  <c r="P86" i="2"/>
  <c r="N86" i="2"/>
  <c r="O86" i="2" s="1"/>
  <c r="L86" i="2"/>
  <c r="AJ226" i="3" s="1"/>
  <c r="AM226" i="3" s="1"/>
  <c r="W85" i="2"/>
  <c r="V85" i="2"/>
  <c r="U85" i="2"/>
  <c r="T85" i="2"/>
  <c r="S85" i="2"/>
  <c r="R85" i="2"/>
  <c r="Q85" i="2"/>
  <c r="P85" i="2"/>
  <c r="O85" i="2"/>
  <c r="N85" i="2"/>
  <c r="AO225" i="3" s="1"/>
  <c r="AR225" i="3" s="1"/>
  <c r="L85" i="2"/>
  <c r="AJ225" i="3" s="1"/>
  <c r="AM225" i="3" s="1"/>
  <c r="W84" i="2"/>
  <c r="V84" i="2"/>
  <c r="U84" i="2"/>
  <c r="T84" i="2"/>
  <c r="S84" i="2"/>
  <c r="R84" i="2"/>
  <c r="Q84" i="2"/>
  <c r="P84" i="2"/>
  <c r="O84" i="2"/>
  <c r="N84" i="2"/>
  <c r="AO224" i="3" s="1"/>
  <c r="AR224" i="3" s="1"/>
  <c r="L84" i="2"/>
  <c r="AJ224" i="3" s="1"/>
  <c r="AM224" i="3" s="1"/>
  <c r="W83" i="2"/>
  <c r="V83" i="2"/>
  <c r="U83" i="2"/>
  <c r="T83" i="2"/>
  <c r="S83" i="2"/>
  <c r="R83" i="2"/>
  <c r="Q83" i="2"/>
  <c r="P83" i="2"/>
  <c r="N83" i="2"/>
  <c r="AO223" i="3" s="1"/>
  <c r="AR223" i="3" s="1"/>
  <c r="L83" i="2"/>
  <c r="AJ223" i="3" s="1"/>
  <c r="AM223" i="3" s="1"/>
  <c r="W82" i="2"/>
  <c r="V82" i="2"/>
  <c r="U82" i="2"/>
  <c r="T82" i="2"/>
  <c r="S82" i="2"/>
  <c r="R82" i="2"/>
  <c r="Q82" i="2"/>
  <c r="P82" i="2"/>
  <c r="N82" i="2"/>
  <c r="O82" i="2" s="1"/>
  <c r="L82" i="2"/>
  <c r="AJ222" i="3" s="1"/>
  <c r="AM222" i="3" s="1"/>
  <c r="W81" i="2"/>
  <c r="V81" i="2"/>
  <c r="U81" i="2"/>
  <c r="T81" i="2"/>
  <c r="S81" i="2"/>
  <c r="R81" i="2"/>
  <c r="Q81" i="2"/>
  <c r="P81" i="2"/>
  <c r="O81" i="2"/>
  <c r="N81" i="2"/>
  <c r="AO221" i="3" s="1"/>
  <c r="AR221" i="3" s="1"/>
  <c r="L81" i="2"/>
  <c r="M81" i="2" s="1"/>
  <c r="W80" i="2"/>
  <c r="V80" i="2"/>
  <c r="U80" i="2"/>
  <c r="T80" i="2"/>
  <c r="S80" i="2"/>
  <c r="R80" i="2"/>
  <c r="Q80" i="2"/>
  <c r="P80" i="2"/>
  <c r="O80" i="2"/>
  <c r="N80" i="2"/>
  <c r="AO220" i="3" s="1"/>
  <c r="AR220" i="3" s="1"/>
  <c r="L80" i="2"/>
  <c r="AJ220" i="3" s="1"/>
  <c r="AM220" i="3" s="1"/>
  <c r="W79" i="2"/>
  <c r="V79" i="2"/>
  <c r="U79" i="2"/>
  <c r="T79" i="2"/>
  <c r="S79" i="2"/>
  <c r="R79" i="2"/>
  <c r="Q79" i="2"/>
  <c r="P79" i="2"/>
  <c r="N79" i="2"/>
  <c r="AO219" i="3" s="1"/>
  <c r="AR219" i="3" s="1"/>
  <c r="L79" i="2"/>
  <c r="M79" i="2" s="1"/>
  <c r="W78" i="2"/>
  <c r="V78" i="2"/>
  <c r="U78" i="2"/>
  <c r="T78" i="2"/>
  <c r="S78" i="2"/>
  <c r="R78" i="2"/>
  <c r="Q78" i="2"/>
  <c r="P78" i="2"/>
  <c r="N78" i="2"/>
  <c r="AO218" i="3" s="1"/>
  <c r="AR218" i="3" s="1"/>
  <c r="L78" i="2"/>
  <c r="AJ218" i="3" s="1"/>
  <c r="AM218" i="3" s="1"/>
  <c r="W77" i="2"/>
  <c r="V77" i="2"/>
  <c r="U77" i="2"/>
  <c r="T77" i="2"/>
  <c r="S77" i="2"/>
  <c r="R77" i="2"/>
  <c r="Q77" i="2"/>
  <c r="P77" i="2"/>
  <c r="O77" i="2"/>
  <c r="N77" i="2"/>
  <c r="AO217" i="3" s="1"/>
  <c r="AR217" i="3" s="1"/>
  <c r="L77" i="2"/>
  <c r="AJ217" i="3" s="1"/>
  <c r="AM217" i="3" s="1"/>
  <c r="W76" i="2"/>
  <c r="V76" i="2"/>
  <c r="U76" i="2"/>
  <c r="T76" i="2"/>
  <c r="S76" i="2"/>
  <c r="R76" i="2"/>
  <c r="Q76" i="2"/>
  <c r="P76" i="2"/>
  <c r="O76" i="2"/>
  <c r="N76" i="2"/>
  <c r="AO216" i="3" s="1"/>
  <c r="AR216" i="3" s="1"/>
  <c r="L76" i="2"/>
  <c r="AJ216" i="3" s="1"/>
  <c r="AM216" i="3" s="1"/>
  <c r="W75" i="2"/>
  <c r="V75" i="2"/>
  <c r="U75" i="2"/>
  <c r="T75" i="2"/>
  <c r="S75" i="2"/>
  <c r="R75" i="2"/>
  <c r="Q75" i="2"/>
  <c r="P75" i="2"/>
  <c r="N75" i="2"/>
  <c r="AO215" i="3" s="1"/>
  <c r="AR215" i="3" s="1"/>
  <c r="L75" i="2"/>
  <c r="AJ215" i="3" s="1"/>
  <c r="AM215" i="3" s="1"/>
  <c r="W74" i="2"/>
  <c r="V74" i="2"/>
  <c r="U74" i="2"/>
  <c r="T74" i="2"/>
  <c r="S74" i="2"/>
  <c r="R74" i="2"/>
  <c r="Q74" i="2"/>
  <c r="P74" i="2"/>
  <c r="N74" i="2"/>
  <c r="O74" i="2" s="1"/>
  <c r="L74" i="2"/>
  <c r="AJ214" i="3" s="1"/>
  <c r="AM214" i="3" s="1"/>
  <c r="W73" i="2"/>
  <c r="V73" i="2"/>
  <c r="U73" i="2"/>
  <c r="T73" i="2"/>
  <c r="S73" i="2"/>
  <c r="R73" i="2"/>
  <c r="Q73" i="2"/>
  <c r="P73" i="2"/>
  <c r="O73" i="2"/>
  <c r="N73" i="2"/>
  <c r="L73" i="2"/>
  <c r="AJ213" i="3" s="1"/>
  <c r="AM213" i="3" s="1"/>
  <c r="W72" i="2"/>
  <c r="V72" i="2"/>
  <c r="U72" i="2"/>
  <c r="T72" i="2"/>
  <c r="S72" i="2"/>
  <c r="R72" i="2"/>
  <c r="Q72" i="2"/>
  <c r="P72" i="2"/>
  <c r="O72" i="2"/>
  <c r="N72" i="2"/>
  <c r="AO212" i="3" s="1"/>
  <c r="AR212" i="3" s="1"/>
  <c r="L72" i="2"/>
  <c r="AJ212" i="3" s="1"/>
  <c r="AM212" i="3" s="1"/>
  <c r="W71" i="2"/>
  <c r="V71" i="2"/>
  <c r="U71" i="2"/>
  <c r="T71" i="2"/>
  <c r="S71" i="2"/>
  <c r="R71" i="2"/>
  <c r="Q71" i="2"/>
  <c r="P71" i="2"/>
  <c r="N71" i="2"/>
  <c r="AO211" i="3" s="1"/>
  <c r="AR211" i="3" s="1"/>
  <c r="L71" i="2"/>
  <c r="AJ211" i="3" s="1"/>
  <c r="AM211" i="3" s="1"/>
  <c r="W70" i="2"/>
  <c r="V70" i="2"/>
  <c r="U70" i="2"/>
  <c r="T70" i="2"/>
  <c r="S70" i="2"/>
  <c r="R70" i="2"/>
  <c r="Q70" i="2"/>
  <c r="P70" i="2"/>
  <c r="N70" i="2"/>
  <c r="AO210" i="3" s="1"/>
  <c r="AR210" i="3" s="1"/>
  <c r="L70" i="2"/>
  <c r="AJ210" i="3" s="1"/>
  <c r="AM210" i="3" s="1"/>
  <c r="W69" i="2"/>
  <c r="V69" i="2"/>
  <c r="U69" i="2"/>
  <c r="T69" i="2"/>
  <c r="S69" i="2"/>
  <c r="R69" i="2"/>
  <c r="Q69" i="2"/>
  <c r="P69" i="2"/>
  <c r="O69" i="2"/>
  <c r="N69" i="2"/>
  <c r="AO209" i="3" s="1"/>
  <c r="AR209" i="3" s="1"/>
  <c r="L69" i="2"/>
  <c r="M69" i="2" s="1"/>
  <c r="W68" i="2"/>
  <c r="V68" i="2"/>
  <c r="U68" i="2"/>
  <c r="T68" i="2"/>
  <c r="S68" i="2"/>
  <c r="R68" i="2"/>
  <c r="Q68" i="2"/>
  <c r="P68" i="2"/>
  <c r="O68" i="2"/>
  <c r="N68" i="2"/>
  <c r="AO208" i="3" s="1"/>
  <c r="AR208" i="3" s="1"/>
  <c r="L68" i="2"/>
  <c r="AJ208" i="3" s="1"/>
  <c r="AM208" i="3" s="1"/>
  <c r="W67" i="2"/>
  <c r="V67" i="2"/>
  <c r="U67" i="2"/>
  <c r="T67" i="2"/>
  <c r="S67" i="2"/>
  <c r="R67" i="2"/>
  <c r="Q67" i="2"/>
  <c r="P67" i="2"/>
  <c r="N67" i="2"/>
  <c r="AO207" i="3" s="1"/>
  <c r="AR207" i="3" s="1"/>
  <c r="L67" i="2"/>
  <c r="AJ207" i="3" s="1"/>
  <c r="AM207" i="3" s="1"/>
  <c r="W66" i="2"/>
  <c r="V66" i="2"/>
  <c r="U66" i="2"/>
  <c r="T66" i="2"/>
  <c r="S66" i="2"/>
  <c r="R66" i="2"/>
  <c r="Q66" i="2"/>
  <c r="P66" i="2"/>
  <c r="N66" i="2"/>
  <c r="AO206" i="3" s="1"/>
  <c r="AR206" i="3" s="1"/>
  <c r="L66" i="2"/>
  <c r="AJ206" i="3" s="1"/>
  <c r="AM206" i="3" s="1"/>
  <c r="W65" i="2"/>
  <c r="V65" i="2"/>
  <c r="U65" i="2"/>
  <c r="T65" i="2"/>
  <c r="S65" i="2"/>
  <c r="R65" i="2"/>
  <c r="Q65" i="2"/>
  <c r="P65" i="2"/>
  <c r="O65" i="2"/>
  <c r="N65" i="2"/>
  <c r="AO205" i="3" s="1"/>
  <c r="AR205" i="3" s="1"/>
  <c r="L65" i="2"/>
  <c r="AJ205" i="3" s="1"/>
  <c r="AM205" i="3" s="1"/>
  <c r="W64" i="2"/>
  <c r="V64" i="2"/>
  <c r="U64" i="2"/>
  <c r="T64" i="2"/>
  <c r="S64" i="2"/>
  <c r="R64" i="2"/>
  <c r="Q64" i="2"/>
  <c r="P64" i="2"/>
  <c r="O64" i="2"/>
  <c r="N64" i="2"/>
  <c r="L64" i="2"/>
  <c r="AJ204" i="3" s="1"/>
  <c r="AM204" i="3" s="1"/>
  <c r="W63" i="2"/>
  <c r="V63" i="2"/>
  <c r="U63" i="2"/>
  <c r="T63" i="2"/>
  <c r="S63" i="2"/>
  <c r="R63" i="2"/>
  <c r="Q63" i="2"/>
  <c r="P63" i="2"/>
  <c r="N63" i="2"/>
  <c r="AO203" i="3" s="1"/>
  <c r="AR203" i="3" s="1"/>
  <c r="L63" i="2"/>
  <c r="AJ203" i="3" s="1"/>
  <c r="AM203" i="3" s="1"/>
  <c r="W62" i="2"/>
  <c r="V62" i="2"/>
  <c r="U62" i="2"/>
  <c r="T62" i="2"/>
  <c r="S62" i="2"/>
  <c r="R62" i="2"/>
  <c r="Q62" i="2"/>
  <c r="P62" i="2"/>
  <c r="N62" i="2"/>
  <c r="AO202" i="3" s="1"/>
  <c r="AR202" i="3" s="1"/>
  <c r="L62" i="2"/>
  <c r="AJ202" i="3" s="1"/>
  <c r="AM202" i="3" s="1"/>
  <c r="W61" i="2"/>
  <c r="V61" i="2"/>
  <c r="U61" i="2"/>
  <c r="T61" i="2"/>
  <c r="S61" i="2"/>
  <c r="R61" i="2"/>
  <c r="Q61" i="2"/>
  <c r="P61" i="2"/>
  <c r="O61" i="2"/>
  <c r="N61" i="2"/>
  <c r="AO201" i="3" s="1"/>
  <c r="AR201" i="3" s="1"/>
  <c r="L61" i="2"/>
  <c r="AJ201" i="3" s="1"/>
  <c r="AM201" i="3" s="1"/>
  <c r="W60" i="2"/>
  <c r="V60" i="2"/>
  <c r="U60" i="2"/>
  <c r="T60" i="2"/>
  <c r="S60" i="2"/>
  <c r="R60" i="2"/>
  <c r="Q60" i="2"/>
  <c r="P60" i="2"/>
  <c r="O60" i="2"/>
  <c r="N60" i="2"/>
  <c r="AO200" i="3" s="1"/>
  <c r="AR200" i="3" s="1"/>
  <c r="L60" i="2"/>
  <c r="AJ200" i="3" s="1"/>
  <c r="AM200" i="3" s="1"/>
  <c r="W59" i="2"/>
  <c r="V59" i="2"/>
  <c r="U59" i="2"/>
  <c r="T59" i="2"/>
  <c r="S59" i="2"/>
  <c r="R59" i="2"/>
  <c r="Q59" i="2"/>
  <c r="P59" i="2"/>
  <c r="N59" i="2"/>
  <c r="AO199" i="3" s="1"/>
  <c r="AR199" i="3" s="1"/>
  <c r="L59" i="2"/>
  <c r="AJ199" i="3" s="1"/>
  <c r="AM199" i="3" s="1"/>
  <c r="W58" i="2"/>
  <c r="V58" i="2"/>
  <c r="U58" i="2"/>
  <c r="T58" i="2"/>
  <c r="S58" i="2"/>
  <c r="R58" i="2"/>
  <c r="Q58" i="2"/>
  <c r="P58" i="2"/>
  <c r="N58" i="2"/>
  <c r="AO198" i="3" s="1"/>
  <c r="AR198" i="3" s="1"/>
  <c r="L58" i="2"/>
  <c r="AJ198" i="3" s="1"/>
  <c r="AM198" i="3" s="1"/>
  <c r="W57" i="2"/>
  <c r="V57" i="2"/>
  <c r="U57" i="2"/>
  <c r="T57" i="2"/>
  <c r="S57" i="2"/>
  <c r="R57" i="2"/>
  <c r="Q57" i="2"/>
  <c r="P57" i="2"/>
  <c r="O57" i="2"/>
  <c r="N57" i="2"/>
  <c r="AO197" i="3" s="1"/>
  <c r="AR197" i="3" s="1"/>
  <c r="L57" i="2"/>
  <c r="AJ197" i="3" s="1"/>
  <c r="AM197" i="3" s="1"/>
  <c r="W56" i="2"/>
  <c r="V56" i="2"/>
  <c r="U56" i="2"/>
  <c r="T56" i="2"/>
  <c r="S56" i="2"/>
  <c r="R56" i="2"/>
  <c r="Q56" i="2"/>
  <c r="P56" i="2"/>
  <c r="O56" i="2"/>
  <c r="N56" i="2"/>
  <c r="AO196" i="3" s="1"/>
  <c r="AR196" i="3" s="1"/>
  <c r="L56" i="2"/>
  <c r="AJ196" i="3" s="1"/>
  <c r="AM196" i="3" s="1"/>
  <c r="W55" i="2"/>
  <c r="V55" i="2"/>
  <c r="U55" i="2"/>
  <c r="T55" i="2"/>
  <c r="S55" i="2"/>
  <c r="R55" i="2"/>
  <c r="Q55" i="2"/>
  <c r="P55" i="2"/>
  <c r="N55" i="2"/>
  <c r="AO195" i="3" s="1"/>
  <c r="AR195" i="3" s="1"/>
  <c r="L55" i="2"/>
  <c r="M55" i="2" s="1"/>
  <c r="W54" i="2"/>
  <c r="V54" i="2"/>
  <c r="U54" i="2"/>
  <c r="T54" i="2"/>
  <c r="S54" i="2"/>
  <c r="R54" i="2"/>
  <c r="Q54" i="2"/>
  <c r="P54" i="2"/>
  <c r="N54" i="2"/>
  <c r="AO194" i="3" s="1"/>
  <c r="AR194" i="3" s="1"/>
  <c r="L54" i="2"/>
  <c r="AJ194" i="3" s="1"/>
  <c r="AM194" i="3" s="1"/>
  <c r="W53" i="2"/>
  <c r="V53" i="2"/>
  <c r="U53" i="2"/>
  <c r="T53" i="2"/>
  <c r="S53" i="2"/>
  <c r="R53" i="2"/>
  <c r="Q53" i="2"/>
  <c r="P53" i="2"/>
  <c r="O53" i="2"/>
  <c r="N53" i="2"/>
  <c r="AO193" i="3" s="1"/>
  <c r="AR193" i="3" s="1"/>
  <c r="L53" i="2"/>
  <c r="AJ193" i="3" s="1"/>
  <c r="AM193" i="3" s="1"/>
  <c r="W52" i="2"/>
  <c r="V52" i="2"/>
  <c r="U52" i="2"/>
  <c r="T52" i="2"/>
  <c r="S52" i="2"/>
  <c r="R52" i="2"/>
  <c r="Q52" i="2"/>
  <c r="P52" i="2"/>
  <c r="O52" i="2"/>
  <c r="N52" i="2"/>
  <c r="L52" i="2"/>
  <c r="AJ192" i="3" s="1"/>
  <c r="AM192" i="3" s="1"/>
  <c r="W51" i="2"/>
  <c r="V51" i="2"/>
  <c r="U51" i="2"/>
  <c r="T51" i="2"/>
  <c r="S51" i="2"/>
  <c r="R51" i="2"/>
  <c r="Q51" i="2"/>
  <c r="P51" i="2"/>
  <c r="N51" i="2"/>
  <c r="AO191" i="3" s="1"/>
  <c r="AR191" i="3" s="1"/>
  <c r="L51" i="2"/>
  <c r="AJ191" i="3" s="1"/>
  <c r="AM191" i="3" s="1"/>
  <c r="W50" i="2"/>
  <c r="V50" i="2"/>
  <c r="U50" i="2"/>
  <c r="T50" i="2"/>
  <c r="S50" i="2"/>
  <c r="R50" i="2"/>
  <c r="Q50" i="2"/>
  <c r="P50" i="2"/>
  <c r="N50" i="2"/>
  <c r="AO190" i="3" s="1"/>
  <c r="AR190" i="3" s="1"/>
  <c r="L50" i="2"/>
  <c r="AJ190" i="3" s="1"/>
  <c r="AM190" i="3" s="1"/>
  <c r="F50" i="2"/>
  <c r="W49" i="2"/>
  <c r="V49" i="2"/>
  <c r="U49" i="2"/>
  <c r="T49" i="2"/>
  <c r="S49" i="2"/>
  <c r="R49" i="2"/>
  <c r="Q49" i="2"/>
  <c r="P49" i="2"/>
  <c r="N49" i="2"/>
  <c r="AO189" i="3" s="1"/>
  <c r="AR189" i="3" s="1"/>
  <c r="M49" i="2"/>
  <c r="L49" i="2"/>
  <c r="AJ189" i="3" s="1"/>
  <c r="AM189" i="3" s="1"/>
  <c r="W48" i="2"/>
  <c r="V48" i="2"/>
  <c r="U48" i="2"/>
  <c r="T48" i="2"/>
  <c r="S48" i="2"/>
  <c r="R48" i="2"/>
  <c r="Q48" i="2"/>
  <c r="P48" i="2"/>
  <c r="N48" i="2"/>
  <c r="AO188" i="3" s="1"/>
  <c r="AR188" i="3" s="1"/>
  <c r="M48" i="2"/>
  <c r="L48" i="2"/>
  <c r="AJ188" i="3" s="1"/>
  <c r="AM188" i="3" s="1"/>
  <c r="W47" i="2"/>
  <c r="V47" i="2"/>
  <c r="U47" i="2"/>
  <c r="T47" i="2"/>
  <c r="S47" i="2"/>
  <c r="R47" i="2"/>
  <c r="Q47" i="2"/>
  <c r="P47" i="2"/>
  <c r="N47" i="2"/>
  <c r="AO187" i="3" s="1"/>
  <c r="AR187" i="3" s="1"/>
  <c r="M47" i="2"/>
  <c r="L47" i="2"/>
  <c r="AJ187" i="3" s="1"/>
  <c r="AM187" i="3" s="1"/>
  <c r="W46" i="2"/>
  <c r="V46" i="2"/>
  <c r="U46" i="2"/>
  <c r="T46" i="2"/>
  <c r="S46" i="2"/>
  <c r="R46" i="2"/>
  <c r="Q46" i="2"/>
  <c r="P46" i="2"/>
  <c r="N46" i="2"/>
  <c r="O46" i="2" s="1"/>
  <c r="M46" i="2"/>
  <c r="L46" i="2"/>
  <c r="AJ186" i="3" s="1"/>
  <c r="AM186" i="3" s="1"/>
  <c r="W45" i="2"/>
  <c r="V45" i="2"/>
  <c r="U45" i="2"/>
  <c r="T45" i="2"/>
  <c r="S45" i="2"/>
  <c r="R45" i="2"/>
  <c r="Q45" i="2"/>
  <c r="P45" i="2"/>
  <c r="N45" i="2"/>
  <c r="AO185" i="3" s="1"/>
  <c r="AR185" i="3" s="1"/>
  <c r="M45" i="2"/>
  <c r="L45" i="2"/>
  <c r="AJ185" i="3" s="1"/>
  <c r="AM185" i="3" s="1"/>
  <c r="W44" i="2"/>
  <c r="V44" i="2"/>
  <c r="U44" i="2"/>
  <c r="T44" i="2"/>
  <c r="S44" i="2"/>
  <c r="R44" i="2"/>
  <c r="Q44" i="2"/>
  <c r="P44" i="2"/>
  <c r="N44" i="2"/>
  <c r="AO184" i="3" s="1"/>
  <c r="AR184" i="3" s="1"/>
  <c r="M44" i="2"/>
  <c r="L44" i="2"/>
  <c r="AJ184" i="3" s="1"/>
  <c r="AM184" i="3" s="1"/>
  <c r="W43" i="2"/>
  <c r="V43" i="2"/>
  <c r="U43" i="2"/>
  <c r="T43" i="2"/>
  <c r="S43" i="2"/>
  <c r="R43" i="2"/>
  <c r="Q43" i="2"/>
  <c r="P43" i="2"/>
  <c r="N43" i="2"/>
  <c r="O43" i="2" s="1"/>
  <c r="M43" i="2"/>
  <c r="L43" i="2"/>
  <c r="F43" i="2"/>
  <c r="W42" i="2"/>
  <c r="V42" i="2"/>
  <c r="U42" i="2"/>
  <c r="T42" i="2"/>
  <c r="S42" i="2"/>
  <c r="R42" i="2"/>
  <c r="Q42" i="2"/>
  <c r="P42" i="2"/>
  <c r="N42" i="2"/>
  <c r="AO182" i="3" s="1"/>
  <c r="AR182" i="3" s="1"/>
  <c r="L42" i="2"/>
  <c r="W41" i="2"/>
  <c r="V41" i="2"/>
  <c r="U41" i="2"/>
  <c r="T41" i="2"/>
  <c r="S41" i="2"/>
  <c r="R41" i="2"/>
  <c r="Q41" i="2"/>
  <c r="P41" i="2"/>
  <c r="N41" i="2"/>
  <c r="AO181" i="3" s="1"/>
  <c r="AR181" i="3" s="1"/>
  <c r="L41" i="2"/>
  <c r="W40" i="2"/>
  <c r="V40" i="2"/>
  <c r="U40" i="2"/>
  <c r="T40" i="2"/>
  <c r="S40" i="2"/>
  <c r="R40" i="2"/>
  <c r="Q40" i="2"/>
  <c r="P40" i="2"/>
  <c r="O40" i="2"/>
  <c r="N40" i="2"/>
  <c r="AO180" i="3" s="1"/>
  <c r="AR180" i="3" s="1"/>
  <c r="L40" i="2"/>
  <c r="M40" i="2" s="1"/>
  <c r="W39" i="2"/>
  <c r="V39" i="2"/>
  <c r="U39" i="2"/>
  <c r="T39" i="2"/>
  <c r="S39" i="2"/>
  <c r="R39" i="2"/>
  <c r="Q39" i="2"/>
  <c r="P39" i="2"/>
  <c r="O39" i="2"/>
  <c r="N39" i="2"/>
  <c r="AO179" i="3" s="1"/>
  <c r="AR179" i="3" s="1"/>
  <c r="L39" i="2"/>
  <c r="W38" i="2"/>
  <c r="V38" i="2"/>
  <c r="U38" i="2"/>
  <c r="T38" i="2"/>
  <c r="S38" i="2"/>
  <c r="R38" i="2"/>
  <c r="Q38" i="2"/>
  <c r="P38" i="2"/>
  <c r="N38" i="2"/>
  <c r="AO178" i="3" s="1"/>
  <c r="AR178" i="3" s="1"/>
  <c r="M38" i="2"/>
  <c r="L38" i="2"/>
  <c r="AJ178" i="3" s="1"/>
  <c r="AM178" i="3" s="1"/>
  <c r="W37" i="2"/>
  <c r="V37" i="2"/>
  <c r="U37" i="2"/>
  <c r="T37" i="2"/>
  <c r="S37" i="2"/>
  <c r="R37" i="2"/>
  <c r="Q37" i="2"/>
  <c r="P37" i="2"/>
  <c r="N37" i="2"/>
  <c r="AO177" i="3" s="1"/>
  <c r="AR177" i="3" s="1"/>
  <c r="M37" i="2"/>
  <c r="L37" i="2"/>
  <c r="AJ177" i="3" s="1"/>
  <c r="AM177" i="3" s="1"/>
  <c r="W36" i="2"/>
  <c r="V36" i="2"/>
  <c r="U36" i="2"/>
  <c r="T36" i="2"/>
  <c r="S36" i="2"/>
  <c r="R36" i="2"/>
  <c r="Q36" i="2"/>
  <c r="P36" i="2"/>
  <c r="N36" i="2"/>
  <c r="AO176" i="3" s="1"/>
  <c r="AR176" i="3" s="1"/>
  <c r="M36" i="2"/>
  <c r="L36" i="2"/>
  <c r="AJ176" i="3" s="1"/>
  <c r="AM176" i="3" s="1"/>
  <c r="F36" i="2"/>
  <c r="W35" i="2"/>
  <c r="V35" i="2"/>
  <c r="U35" i="2"/>
  <c r="T35" i="2"/>
  <c r="S35" i="2"/>
  <c r="R35" i="2"/>
  <c r="Q35" i="2"/>
  <c r="P35" i="2"/>
  <c r="O35" i="2"/>
  <c r="N35" i="2"/>
  <c r="AO175" i="3" s="1"/>
  <c r="AR175" i="3" s="1"/>
  <c r="L35" i="2"/>
  <c r="AJ175" i="3" s="1"/>
  <c r="AM175" i="3" s="1"/>
  <c r="W34" i="2"/>
  <c r="V34" i="2"/>
  <c r="U34" i="2"/>
  <c r="T34" i="2"/>
  <c r="S34" i="2"/>
  <c r="R34" i="2"/>
  <c r="Q34" i="2"/>
  <c r="P34" i="2"/>
  <c r="N34" i="2"/>
  <c r="O34" i="2" s="1"/>
  <c r="L34" i="2"/>
  <c r="AJ174" i="3" s="1"/>
  <c r="AM174" i="3" s="1"/>
  <c r="W33" i="2"/>
  <c r="V33" i="2"/>
  <c r="U33" i="2"/>
  <c r="T33" i="2"/>
  <c r="S33" i="2"/>
  <c r="R33" i="2"/>
  <c r="Q33" i="2"/>
  <c r="P33" i="2"/>
  <c r="N33" i="2"/>
  <c r="AO173" i="3" s="1"/>
  <c r="AR173" i="3" s="1"/>
  <c r="L33" i="2"/>
  <c r="AJ173" i="3" s="1"/>
  <c r="AM173" i="3" s="1"/>
  <c r="W32" i="2"/>
  <c r="V32" i="2"/>
  <c r="U32" i="2"/>
  <c r="T32" i="2"/>
  <c r="S32" i="2"/>
  <c r="R32" i="2"/>
  <c r="Q32" i="2"/>
  <c r="P32" i="2"/>
  <c r="O32" i="2"/>
  <c r="N32" i="2"/>
  <c r="AO172" i="3" s="1"/>
  <c r="AR172" i="3" s="1"/>
  <c r="L32" i="2"/>
  <c r="AJ172" i="3" s="1"/>
  <c r="AM172" i="3" s="1"/>
  <c r="W31" i="2"/>
  <c r="V31" i="2"/>
  <c r="U31" i="2"/>
  <c r="T31" i="2"/>
  <c r="S31" i="2"/>
  <c r="R31" i="2"/>
  <c r="Q31" i="2"/>
  <c r="P31" i="2"/>
  <c r="O31" i="2"/>
  <c r="N31" i="2"/>
  <c r="L31" i="2"/>
  <c r="AJ171" i="3" s="1"/>
  <c r="AM171" i="3" s="1"/>
  <c r="W30" i="2"/>
  <c r="V30" i="2"/>
  <c r="U30" i="2"/>
  <c r="T30" i="2"/>
  <c r="S30" i="2"/>
  <c r="R30" i="2"/>
  <c r="Q30" i="2"/>
  <c r="P30" i="2"/>
  <c r="N30" i="2"/>
  <c r="AO170" i="3" s="1"/>
  <c r="AR170" i="3" s="1"/>
  <c r="L30" i="2"/>
  <c r="M30" i="2" s="1"/>
  <c r="W29" i="2"/>
  <c r="V29" i="2"/>
  <c r="U29" i="2"/>
  <c r="T29" i="2"/>
  <c r="S29" i="2"/>
  <c r="R29" i="2"/>
  <c r="Q29" i="2"/>
  <c r="P29" i="2"/>
  <c r="N29" i="2"/>
  <c r="AO169" i="3" s="1"/>
  <c r="AR169" i="3" s="1"/>
  <c r="L29" i="2"/>
  <c r="AJ169" i="3" s="1"/>
  <c r="AM169" i="3" s="1"/>
  <c r="F29" i="2"/>
  <c r="W28" i="2"/>
  <c r="V28" i="2"/>
  <c r="U28" i="2"/>
  <c r="T28" i="2"/>
  <c r="S28" i="2"/>
  <c r="R28" i="2"/>
  <c r="Q28" i="2"/>
  <c r="P28" i="2"/>
  <c r="N28" i="2"/>
  <c r="O28" i="2" s="1"/>
  <c r="L28" i="2"/>
  <c r="M28" i="2" s="1"/>
  <c r="W27" i="2"/>
  <c r="V27" i="2"/>
  <c r="U27" i="2"/>
  <c r="T27" i="2"/>
  <c r="S27" i="2"/>
  <c r="R27" i="2"/>
  <c r="Q27" i="2"/>
  <c r="P27" i="2"/>
  <c r="O27" i="2"/>
  <c r="N27" i="2"/>
  <c r="L27" i="2"/>
  <c r="AJ167" i="3" s="1"/>
  <c r="AM167" i="3" s="1"/>
  <c r="W26" i="2"/>
  <c r="V26" i="2"/>
  <c r="U26" i="2"/>
  <c r="T26" i="2"/>
  <c r="S26" i="2"/>
  <c r="R26" i="2"/>
  <c r="Q26" i="2"/>
  <c r="P26" i="2"/>
  <c r="O26" i="2"/>
  <c r="N26" i="2"/>
  <c r="L26" i="2"/>
  <c r="AJ166" i="3" s="1"/>
  <c r="AM166" i="3" s="1"/>
  <c r="W25" i="2"/>
  <c r="V25" i="2"/>
  <c r="U25" i="2"/>
  <c r="T25" i="2"/>
  <c r="S25" i="2"/>
  <c r="R25" i="2"/>
  <c r="Q25" i="2"/>
  <c r="P25" i="2"/>
  <c r="N25" i="2"/>
  <c r="O25" i="2" s="1"/>
  <c r="L25" i="2"/>
  <c r="W24" i="2"/>
  <c r="V24" i="2"/>
  <c r="U24" i="2"/>
  <c r="T24" i="2"/>
  <c r="S24" i="2"/>
  <c r="R24" i="2"/>
  <c r="Q24" i="2"/>
  <c r="P24" i="2"/>
  <c r="N24" i="2"/>
  <c r="L24" i="2"/>
  <c r="W23" i="2"/>
  <c r="V23" i="2"/>
  <c r="U23" i="2"/>
  <c r="T23" i="2"/>
  <c r="S23" i="2"/>
  <c r="R23" i="2"/>
  <c r="Q23" i="2"/>
  <c r="P23" i="2"/>
  <c r="O23" i="2"/>
  <c r="N23" i="2"/>
  <c r="L23" i="2"/>
  <c r="W22" i="2"/>
  <c r="V22" i="2"/>
  <c r="U22" i="2"/>
  <c r="T22" i="2"/>
  <c r="S22" i="2"/>
  <c r="R22" i="2"/>
  <c r="Q22" i="2"/>
  <c r="P22" i="2"/>
  <c r="O22" i="2"/>
  <c r="AO162" i="3" s="1"/>
  <c r="AR162" i="3" s="1"/>
  <c r="N22" i="2"/>
  <c r="L22" i="2"/>
  <c r="F22" i="2"/>
  <c r="W21" i="2"/>
  <c r="V21" i="2"/>
  <c r="U21" i="2"/>
  <c r="T21" i="2"/>
  <c r="S21" i="2"/>
  <c r="R21" i="2"/>
  <c r="Q21" i="2"/>
  <c r="P21" i="2"/>
  <c r="O21" i="2"/>
  <c r="N21" i="2"/>
  <c r="L21" i="2"/>
  <c r="W20" i="2"/>
  <c r="V20" i="2"/>
  <c r="U20" i="2"/>
  <c r="T20" i="2"/>
  <c r="S20" i="2"/>
  <c r="R20" i="2"/>
  <c r="Q20" i="2"/>
  <c r="P20" i="2"/>
  <c r="N20" i="2"/>
  <c r="O20" i="2" s="1"/>
  <c r="L20" i="2"/>
  <c r="W19" i="2"/>
  <c r="V19" i="2"/>
  <c r="U19" i="2"/>
  <c r="T19" i="2"/>
  <c r="S19" i="2"/>
  <c r="R19" i="2"/>
  <c r="Q19" i="2"/>
  <c r="P19" i="2"/>
  <c r="N19" i="2"/>
  <c r="L19" i="2"/>
  <c r="W18" i="2"/>
  <c r="V18" i="2"/>
  <c r="U18" i="2"/>
  <c r="T18" i="2"/>
  <c r="S18" i="2"/>
  <c r="R18" i="2"/>
  <c r="Q18" i="2"/>
  <c r="P18" i="2"/>
  <c r="O18" i="2"/>
  <c r="N18" i="2"/>
  <c r="L18" i="2"/>
  <c r="W17" i="2"/>
  <c r="V17" i="2"/>
  <c r="U17" i="2"/>
  <c r="T17" i="2"/>
  <c r="S17" i="2"/>
  <c r="R17" i="2"/>
  <c r="Q17" i="2"/>
  <c r="P17" i="2"/>
  <c r="O17" i="2"/>
  <c r="N17" i="2"/>
  <c r="L17" i="2"/>
  <c r="W16" i="2"/>
  <c r="V16" i="2"/>
  <c r="U16" i="2"/>
  <c r="T16" i="2"/>
  <c r="S16" i="2"/>
  <c r="R16" i="2"/>
  <c r="Q16" i="2"/>
  <c r="P16" i="2"/>
  <c r="N16" i="2"/>
  <c r="O16" i="2" s="1"/>
  <c r="L16" i="2"/>
  <c r="M16" i="2" s="1"/>
  <c r="W15" i="2"/>
  <c r="V15" i="2"/>
  <c r="U15" i="2"/>
  <c r="T15" i="2"/>
  <c r="S15" i="2"/>
  <c r="R15" i="2"/>
  <c r="Q15" i="2"/>
  <c r="P15" i="2"/>
  <c r="N15" i="2"/>
  <c r="L15" i="2"/>
  <c r="F15" i="2"/>
  <c r="W14" i="2"/>
  <c r="V14" i="2"/>
  <c r="U14" i="2"/>
  <c r="T14" i="2"/>
  <c r="S14" i="2"/>
  <c r="R14" i="2"/>
  <c r="Q14" i="2"/>
  <c r="P14" i="2"/>
  <c r="N14" i="2"/>
  <c r="M14" i="2"/>
  <c r="L14" i="2"/>
  <c r="AJ154" i="3" s="1"/>
  <c r="AM154" i="3" s="1"/>
  <c r="W13" i="2"/>
  <c r="V13" i="2"/>
  <c r="U13" i="2"/>
  <c r="T13" i="2"/>
  <c r="S13" i="2"/>
  <c r="R13" i="2"/>
  <c r="Q13" i="2"/>
  <c r="P13" i="2"/>
  <c r="N13" i="2"/>
  <c r="M13" i="2"/>
  <c r="L13" i="2"/>
  <c r="W12" i="2"/>
  <c r="V12" i="2"/>
  <c r="U12" i="2"/>
  <c r="T12" i="2"/>
  <c r="S12" i="2"/>
  <c r="R12" i="2"/>
  <c r="Q12" i="2"/>
  <c r="P12" i="2"/>
  <c r="N12" i="2"/>
  <c r="M12" i="2"/>
  <c r="L12" i="2"/>
  <c r="W11" i="2"/>
  <c r="V11" i="2"/>
  <c r="U11" i="2"/>
  <c r="T11" i="2"/>
  <c r="S11" i="2"/>
  <c r="R11" i="2"/>
  <c r="Q11" i="2"/>
  <c r="P11" i="2"/>
  <c r="N11" i="2"/>
  <c r="M11" i="2"/>
  <c r="AJ11" i="3" s="1"/>
  <c r="AM11" i="3" s="1"/>
  <c r="L11" i="2"/>
  <c r="W10" i="2"/>
  <c r="V10" i="2"/>
  <c r="U10" i="2"/>
  <c r="T10" i="2"/>
  <c r="S10" i="2"/>
  <c r="R10" i="2"/>
  <c r="Q10" i="2"/>
  <c r="P10" i="2"/>
  <c r="N10" i="2"/>
  <c r="M10" i="2"/>
  <c r="L10" i="2"/>
  <c r="W9" i="2"/>
  <c r="V9" i="2"/>
  <c r="U9" i="2"/>
  <c r="T9" i="2"/>
  <c r="S9" i="2"/>
  <c r="R9" i="2"/>
  <c r="Q9" i="2"/>
  <c r="P9" i="2"/>
  <c r="N9" i="2"/>
  <c r="M9" i="2"/>
  <c r="L9" i="2"/>
  <c r="W8" i="2"/>
  <c r="V8" i="2"/>
  <c r="U8" i="2"/>
  <c r="T8" i="2"/>
  <c r="S8" i="2"/>
  <c r="R8" i="2"/>
  <c r="Q8" i="2"/>
  <c r="P8" i="2"/>
  <c r="N8" i="2"/>
  <c r="M8" i="2"/>
  <c r="L8" i="2"/>
  <c r="W7" i="2"/>
  <c r="V7" i="2"/>
  <c r="U7" i="2"/>
  <c r="T7" i="2"/>
  <c r="S7" i="2"/>
  <c r="R7" i="2"/>
  <c r="Q7" i="2"/>
  <c r="P7" i="2"/>
  <c r="N7" i="2"/>
  <c r="M7" i="2"/>
  <c r="L7" i="2"/>
  <c r="W6" i="2"/>
  <c r="V6" i="2"/>
  <c r="U6" i="2"/>
  <c r="T6" i="2"/>
  <c r="S6" i="2"/>
  <c r="R6" i="2"/>
  <c r="Q6" i="2"/>
  <c r="P6" i="2"/>
  <c r="N6" i="2"/>
  <c r="M6" i="2"/>
  <c r="L6" i="2"/>
  <c r="W5" i="2"/>
  <c r="V5" i="2"/>
  <c r="U5" i="2"/>
  <c r="T5" i="2"/>
  <c r="S5" i="2"/>
  <c r="R5" i="2"/>
  <c r="Q5" i="2"/>
  <c r="P5" i="2"/>
  <c r="N5" i="2"/>
  <c r="M5" i="2"/>
  <c r="L5" i="2"/>
  <c r="W4" i="2"/>
  <c r="V4" i="2"/>
  <c r="U4" i="2"/>
  <c r="T4" i="2"/>
  <c r="S4" i="2"/>
  <c r="R4" i="2"/>
  <c r="Q4" i="2"/>
  <c r="P4" i="2"/>
  <c r="N4" i="2"/>
  <c r="M4" i="2"/>
  <c r="L4" i="2"/>
  <c r="W3" i="2"/>
  <c r="V3" i="2"/>
  <c r="U3" i="2"/>
  <c r="T3" i="2"/>
  <c r="S3" i="2"/>
  <c r="R3" i="2"/>
  <c r="Q3" i="2"/>
  <c r="P3" i="2"/>
  <c r="N3" i="2"/>
  <c r="M3" i="2"/>
  <c r="L3" i="2"/>
  <c r="E3" i="2"/>
  <c r="B3" i="2"/>
  <c r="W2" i="2"/>
  <c r="V2" i="2"/>
  <c r="U2" i="2"/>
  <c r="T2" i="2"/>
  <c r="S2" i="2"/>
  <c r="R2" i="2"/>
  <c r="Q2" i="2"/>
  <c r="P2" i="2"/>
  <c r="O2" i="2"/>
  <c r="N2" i="2"/>
  <c r="L2" i="2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S82" i="5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C67" i="5"/>
  <c r="W66" i="5"/>
  <c r="S66" i="5"/>
  <c r="U66" i="5" s="1"/>
  <c r="R66" i="5"/>
  <c r="C66" i="5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O38" i="5"/>
  <c r="N38" i="5"/>
  <c r="J38" i="5"/>
  <c r="W37" i="5"/>
  <c r="S37" i="5"/>
  <c r="U37" i="5" s="1"/>
  <c r="R37" i="5"/>
  <c r="O37" i="5"/>
  <c r="N37" i="5"/>
  <c r="J37" i="5"/>
  <c r="W36" i="5"/>
  <c r="S36" i="5"/>
  <c r="U36" i="5" s="1"/>
  <c r="R36" i="5"/>
  <c r="O36" i="5"/>
  <c r="N36" i="5"/>
  <c r="J36" i="5"/>
  <c r="W35" i="5"/>
  <c r="S35" i="5"/>
  <c r="U35" i="5" s="1"/>
  <c r="R35" i="5"/>
  <c r="O35" i="5"/>
  <c r="N35" i="5"/>
  <c r="J35" i="5"/>
  <c r="W34" i="5"/>
  <c r="S34" i="5"/>
  <c r="U34" i="5" s="1"/>
  <c r="R34" i="5"/>
  <c r="O34" i="5"/>
  <c r="N34" i="5"/>
  <c r="J34" i="5"/>
  <c r="W33" i="5"/>
  <c r="S33" i="5"/>
  <c r="U33" i="5" s="1"/>
  <c r="R33" i="5"/>
  <c r="J33" i="5"/>
  <c r="J31" i="5" s="1"/>
  <c r="O31" i="5" s="1"/>
  <c r="W32" i="5"/>
  <c r="S32" i="5"/>
  <c r="U32" i="5" s="1"/>
  <c r="R32" i="5"/>
  <c r="O32" i="5"/>
  <c r="J32" i="5"/>
  <c r="N32" i="5" s="1"/>
  <c r="W31" i="5"/>
  <c r="S31" i="5"/>
  <c r="U31" i="5" s="1"/>
  <c r="R31" i="5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W22" i="5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M16" i="5"/>
  <c r="O16" i="5" s="1"/>
  <c r="W82" i="5" s="1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AB10" i="3" l="1"/>
  <c r="AO610" i="3"/>
  <c r="AR610" i="3" s="1"/>
  <c r="O470" i="2"/>
  <c r="AO626" i="3"/>
  <c r="AR626" i="3" s="1"/>
  <c r="O486" i="2"/>
  <c r="AO642" i="3"/>
  <c r="AR642" i="3" s="1"/>
  <c r="O502" i="2"/>
  <c r="AO658" i="3"/>
  <c r="AR658" i="3" s="1"/>
  <c r="O518" i="2"/>
  <c r="O534" i="2"/>
  <c r="AO674" i="3"/>
  <c r="AR674" i="3" s="1"/>
  <c r="O550" i="2"/>
  <c r="AO690" i="3"/>
  <c r="AR690" i="3" s="1"/>
  <c r="AO706" i="3"/>
  <c r="AR706" i="3" s="1"/>
  <c r="O566" i="2"/>
  <c r="AO722" i="3"/>
  <c r="AR722" i="3" s="1"/>
  <c r="O582" i="2"/>
  <c r="O598" i="2"/>
  <c r="AO738" i="3"/>
  <c r="AR738" i="3" s="1"/>
  <c r="AO754" i="3"/>
  <c r="AR754" i="3" s="1"/>
  <c r="O614" i="2"/>
  <c r="AO770" i="3"/>
  <c r="AR770" i="3" s="1"/>
  <c r="O630" i="2"/>
  <c r="O646" i="2"/>
  <c r="AO786" i="3"/>
  <c r="AR786" i="3" s="1"/>
  <c r="O662" i="2"/>
  <c r="AO802" i="3"/>
  <c r="AR802" i="3" s="1"/>
  <c r="AO818" i="3"/>
  <c r="AR818" i="3" s="1"/>
  <c r="O678" i="2"/>
  <c r="AO156" i="3"/>
  <c r="AR156" i="3" s="1"/>
  <c r="AO174" i="3"/>
  <c r="AR174" i="3" s="1"/>
  <c r="AO247" i="3"/>
  <c r="AR247" i="3" s="1"/>
  <c r="AO263" i="3"/>
  <c r="AR263" i="3" s="1"/>
  <c r="AO279" i="3"/>
  <c r="AR279" i="3" s="1"/>
  <c r="AO299" i="3"/>
  <c r="AR299" i="3" s="1"/>
  <c r="AO145" i="3"/>
  <c r="AR145" i="3" s="1"/>
  <c r="AO146" i="3"/>
  <c r="AR146" i="3" s="1"/>
  <c r="AO149" i="3"/>
  <c r="AR149" i="3" s="1"/>
  <c r="AO9" i="3"/>
  <c r="AR9" i="3" s="1"/>
  <c r="AO153" i="3"/>
  <c r="AR153" i="3" s="1"/>
  <c r="AO13" i="3"/>
  <c r="AR13" i="3" s="1"/>
  <c r="O30" i="2"/>
  <c r="O36" i="2"/>
  <c r="O37" i="2"/>
  <c r="O38" i="2"/>
  <c r="O42" i="2"/>
  <c r="O51" i="2"/>
  <c r="O55" i="2"/>
  <c r="O59" i="2"/>
  <c r="O63" i="2"/>
  <c r="O67" i="2"/>
  <c r="O71" i="2"/>
  <c r="O75" i="2"/>
  <c r="O79" i="2"/>
  <c r="O83" i="2"/>
  <c r="O87" i="2"/>
  <c r="O91" i="2"/>
  <c r="O95" i="2"/>
  <c r="O99" i="2"/>
  <c r="O103" i="2"/>
  <c r="O111" i="2"/>
  <c r="O115" i="2"/>
  <c r="O119" i="2"/>
  <c r="O127" i="2"/>
  <c r="O131" i="2"/>
  <c r="O135" i="2"/>
  <c r="O143" i="2"/>
  <c r="O147" i="2"/>
  <c r="O151" i="2"/>
  <c r="O155" i="2"/>
  <c r="O163" i="2"/>
  <c r="O167" i="2"/>
  <c r="O171" i="2"/>
  <c r="O175" i="2"/>
  <c r="O179" i="2"/>
  <c r="O183" i="2"/>
  <c r="O187" i="2"/>
  <c r="O191" i="2"/>
  <c r="O195" i="2"/>
  <c r="O199" i="2"/>
  <c r="O203" i="2"/>
  <c r="O207" i="2"/>
  <c r="O211" i="2"/>
  <c r="O215" i="2"/>
  <c r="O219" i="2"/>
  <c r="O223" i="2"/>
  <c r="O227" i="2"/>
  <c r="O231" i="2"/>
  <c r="O235" i="2"/>
  <c r="O239" i="2"/>
  <c r="O243" i="2"/>
  <c r="O247" i="2"/>
  <c r="O251" i="2"/>
  <c r="O255" i="2"/>
  <c r="O259" i="2"/>
  <c r="O263" i="2"/>
  <c r="O267" i="2"/>
  <c r="O271" i="2"/>
  <c r="O275" i="2"/>
  <c r="O279" i="2"/>
  <c r="O283" i="2"/>
  <c r="O287" i="2"/>
  <c r="AO430" i="3"/>
  <c r="AR430" i="3" s="1"/>
  <c r="O290" i="2"/>
  <c r="O300" i="2"/>
  <c r="O303" i="2"/>
  <c r="AO446" i="3"/>
  <c r="AR446" i="3" s="1"/>
  <c r="O306" i="2"/>
  <c r="O316" i="2"/>
  <c r="O319" i="2"/>
  <c r="AO462" i="3"/>
  <c r="AR462" i="3" s="1"/>
  <c r="O322" i="2"/>
  <c r="O332" i="2"/>
  <c r="O335" i="2"/>
  <c r="AO478" i="3"/>
  <c r="AR478" i="3" s="1"/>
  <c r="O338" i="2"/>
  <c r="O348" i="2"/>
  <c r="O351" i="2"/>
  <c r="AO494" i="3"/>
  <c r="AR494" i="3" s="1"/>
  <c r="O354" i="2"/>
  <c r="O364" i="2"/>
  <c r="O367" i="2"/>
  <c r="AO510" i="3"/>
  <c r="AR510" i="3" s="1"/>
  <c r="O370" i="2"/>
  <c r="O380" i="2"/>
  <c r="O383" i="2"/>
  <c r="O386" i="2"/>
  <c r="AO526" i="3"/>
  <c r="AR526" i="3" s="1"/>
  <c r="O396" i="2"/>
  <c r="O399" i="2"/>
  <c r="O402" i="2"/>
  <c r="AO542" i="3"/>
  <c r="AR542" i="3" s="1"/>
  <c r="O412" i="2"/>
  <c r="O415" i="2"/>
  <c r="AO558" i="3"/>
  <c r="AR558" i="3" s="1"/>
  <c r="O418" i="2"/>
  <c r="O428" i="2"/>
  <c r="O431" i="2"/>
  <c r="AO574" i="3"/>
  <c r="AR574" i="3" s="1"/>
  <c r="O434" i="2"/>
  <c r="O444" i="2"/>
  <c r="O447" i="2"/>
  <c r="O450" i="2"/>
  <c r="AO590" i="3"/>
  <c r="AR590" i="3" s="1"/>
  <c r="O460" i="2"/>
  <c r="O463" i="2"/>
  <c r="O476" i="2"/>
  <c r="O479" i="2"/>
  <c r="O482" i="2"/>
  <c r="AO622" i="3"/>
  <c r="AR622" i="3" s="1"/>
  <c r="O492" i="2"/>
  <c r="O495" i="2"/>
  <c r="AO638" i="3"/>
  <c r="AR638" i="3" s="1"/>
  <c r="O498" i="2"/>
  <c r="O508" i="2"/>
  <c r="O511" i="2"/>
  <c r="AO654" i="3"/>
  <c r="AR654" i="3" s="1"/>
  <c r="O514" i="2"/>
  <c r="O524" i="2"/>
  <c r="O527" i="2"/>
  <c r="O540" i="2"/>
  <c r="O543" i="2"/>
  <c r="O546" i="2"/>
  <c r="AO686" i="3"/>
  <c r="AR686" i="3" s="1"/>
  <c r="O556" i="2"/>
  <c r="O559" i="2"/>
  <c r="O562" i="2"/>
  <c r="AO702" i="3"/>
  <c r="AR702" i="3" s="1"/>
  <c r="O572" i="2"/>
  <c r="O575" i="2"/>
  <c r="O578" i="2"/>
  <c r="AO718" i="3"/>
  <c r="AR718" i="3" s="1"/>
  <c r="O588" i="2"/>
  <c r="O591" i="2"/>
  <c r="AO734" i="3"/>
  <c r="AR734" i="3" s="1"/>
  <c r="O594" i="2"/>
  <c r="O604" i="2"/>
  <c r="O607" i="2"/>
  <c r="O610" i="2"/>
  <c r="AO750" i="3"/>
  <c r="AR750" i="3" s="1"/>
  <c r="O620" i="2"/>
  <c r="O623" i="2"/>
  <c r="AO766" i="3"/>
  <c r="AR766" i="3" s="1"/>
  <c r="O626" i="2"/>
  <c r="O636" i="2"/>
  <c r="O639" i="2"/>
  <c r="O642" i="2"/>
  <c r="AO782" i="3"/>
  <c r="AR782" i="3" s="1"/>
  <c r="O652" i="2"/>
  <c r="O655" i="2"/>
  <c r="AO798" i="3"/>
  <c r="AR798" i="3" s="1"/>
  <c r="O658" i="2"/>
  <c r="O668" i="2"/>
  <c r="O671" i="2"/>
  <c r="AO814" i="3"/>
  <c r="AR814" i="3" s="1"/>
  <c r="O674" i="2"/>
  <c r="O684" i="2"/>
  <c r="O687" i="2"/>
  <c r="AO214" i="3"/>
  <c r="AR214" i="3" s="1"/>
  <c r="AO222" i="3"/>
  <c r="AR222" i="3" s="1"/>
  <c r="AO230" i="3"/>
  <c r="AR230" i="3" s="1"/>
  <c r="AO322" i="3"/>
  <c r="AR322" i="3" s="1"/>
  <c r="AO398" i="3"/>
  <c r="AR398" i="3" s="1"/>
  <c r="AO514" i="3"/>
  <c r="AR514" i="3" s="1"/>
  <c r="AO606" i="3"/>
  <c r="AR606" i="3" s="1"/>
  <c r="O3" i="2"/>
  <c r="AO3" i="3" s="1"/>
  <c r="AR3" i="3" s="1"/>
  <c r="O4" i="2"/>
  <c r="AO144" i="3" s="1"/>
  <c r="AR144" i="3" s="1"/>
  <c r="O5" i="2"/>
  <c r="AO5" i="3" s="1"/>
  <c r="AR5" i="3" s="1"/>
  <c r="O6" i="2"/>
  <c r="AO6" i="3" s="1"/>
  <c r="AR6" i="3" s="1"/>
  <c r="O7" i="2"/>
  <c r="AO147" i="3" s="1"/>
  <c r="AR147" i="3" s="1"/>
  <c r="O8" i="2"/>
  <c r="AO8" i="3" s="1"/>
  <c r="AR8" i="3" s="1"/>
  <c r="O9" i="2"/>
  <c r="O10" i="2"/>
  <c r="AO150" i="3" s="1"/>
  <c r="AR150" i="3" s="1"/>
  <c r="O11" i="2"/>
  <c r="AO151" i="3" s="1"/>
  <c r="AR151" i="3" s="1"/>
  <c r="O12" i="2"/>
  <c r="AO152" i="3" s="1"/>
  <c r="AR152" i="3" s="1"/>
  <c r="O13" i="2"/>
  <c r="O14" i="2"/>
  <c r="AO154" i="3" s="1"/>
  <c r="AR154" i="3" s="1"/>
  <c r="O15" i="2"/>
  <c r="AO155" i="3" s="1"/>
  <c r="AR155" i="3" s="1"/>
  <c r="AO158" i="3"/>
  <c r="AR158" i="3" s="1"/>
  <c r="O19" i="2"/>
  <c r="AO159" i="3" s="1"/>
  <c r="AR159" i="3" s="1"/>
  <c r="AO163" i="3"/>
  <c r="AR163" i="3" s="1"/>
  <c r="O24" i="2"/>
  <c r="AO164" i="3" s="1"/>
  <c r="AR164" i="3" s="1"/>
  <c r="O29" i="2"/>
  <c r="O33" i="2"/>
  <c r="O41" i="2"/>
  <c r="O44" i="2"/>
  <c r="O45" i="2"/>
  <c r="O47" i="2"/>
  <c r="O48" i="2"/>
  <c r="O49" i="2"/>
  <c r="O50" i="2"/>
  <c r="O54" i="2"/>
  <c r="O58" i="2"/>
  <c r="O62" i="2"/>
  <c r="O66" i="2"/>
  <c r="O70" i="2"/>
  <c r="O78" i="2"/>
  <c r="O106" i="2"/>
  <c r="O122" i="2"/>
  <c r="O138" i="2"/>
  <c r="O146" i="2"/>
  <c r="O150" i="2"/>
  <c r="O154" i="2"/>
  <c r="O158" i="2"/>
  <c r="O166" i="2"/>
  <c r="O170" i="2"/>
  <c r="O174" i="2"/>
  <c r="O178" i="2"/>
  <c r="O186" i="2"/>
  <c r="O190" i="2"/>
  <c r="O194" i="2"/>
  <c r="O202" i="2"/>
  <c r="O206" i="2"/>
  <c r="O214" i="2"/>
  <c r="O218" i="2"/>
  <c r="O222" i="2"/>
  <c r="O226" i="2"/>
  <c r="O230" i="2"/>
  <c r="O234" i="2"/>
  <c r="O238" i="2"/>
  <c r="O242" i="2"/>
  <c r="O246" i="2"/>
  <c r="O250" i="2"/>
  <c r="O254" i="2"/>
  <c r="O262" i="2"/>
  <c r="O266" i="2"/>
  <c r="O270" i="2"/>
  <c r="O274" i="2"/>
  <c r="O278" i="2"/>
  <c r="O282" i="2"/>
  <c r="O286" i="2"/>
  <c r="O296" i="2"/>
  <c r="O299" i="2"/>
  <c r="AO442" i="3"/>
  <c r="AR442" i="3" s="1"/>
  <c r="O302" i="2"/>
  <c r="O312" i="2"/>
  <c r="O315" i="2"/>
  <c r="AO458" i="3"/>
  <c r="AR458" i="3" s="1"/>
  <c r="O318" i="2"/>
  <c r="O328" i="2"/>
  <c r="O331" i="2"/>
  <c r="AO474" i="3"/>
  <c r="AR474" i="3" s="1"/>
  <c r="O334" i="2"/>
  <c r="O344" i="2"/>
  <c r="O347" i="2"/>
  <c r="AO490" i="3"/>
  <c r="AR490" i="3" s="1"/>
  <c r="O350" i="2"/>
  <c r="O360" i="2"/>
  <c r="O363" i="2"/>
  <c r="AO506" i="3"/>
  <c r="AR506" i="3" s="1"/>
  <c r="O366" i="2"/>
  <c r="O376" i="2"/>
  <c r="O379" i="2"/>
  <c r="O382" i="2"/>
  <c r="AO522" i="3"/>
  <c r="AR522" i="3" s="1"/>
  <c r="O392" i="2"/>
  <c r="O395" i="2"/>
  <c r="O408" i="2"/>
  <c r="O411" i="2"/>
  <c r="O424" i="2"/>
  <c r="O427" i="2"/>
  <c r="O430" i="2"/>
  <c r="AO570" i="3"/>
  <c r="AR570" i="3" s="1"/>
  <c r="O440" i="2"/>
  <c r="O443" i="2"/>
  <c r="AO586" i="3"/>
  <c r="AR586" i="3" s="1"/>
  <c r="O446" i="2"/>
  <c r="O456" i="2"/>
  <c r="O459" i="2"/>
  <c r="AO602" i="3"/>
  <c r="AR602" i="3" s="1"/>
  <c r="O462" i="2"/>
  <c r="O472" i="2"/>
  <c r="O475" i="2"/>
  <c r="AO618" i="3"/>
  <c r="AR618" i="3" s="1"/>
  <c r="O478" i="2"/>
  <c r="O488" i="2"/>
  <c r="O491" i="2"/>
  <c r="AO634" i="3"/>
  <c r="AR634" i="3" s="1"/>
  <c r="O494" i="2"/>
  <c r="O504" i="2"/>
  <c r="O507" i="2"/>
  <c r="AO650" i="3"/>
  <c r="AR650" i="3" s="1"/>
  <c r="O510" i="2"/>
  <c r="O520" i="2"/>
  <c r="O523" i="2"/>
  <c r="AO666" i="3"/>
  <c r="AR666" i="3" s="1"/>
  <c r="O526" i="2"/>
  <c r="O536" i="2"/>
  <c r="O539" i="2"/>
  <c r="AO682" i="3"/>
  <c r="AR682" i="3" s="1"/>
  <c r="O542" i="2"/>
  <c r="O552" i="2"/>
  <c r="O555" i="2"/>
  <c r="AO698" i="3"/>
  <c r="AR698" i="3" s="1"/>
  <c r="O558" i="2"/>
  <c r="O568" i="2"/>
  <c r="O571" i="2"/>
  <c r="AO714" i="3"/>
  <c r="AR714" i="3" s="1"/>
  <c r="O574" i="2"/>
  <c r="O584" i="2"/>
  <c r="O587" i="2"/>
  <c r="O590" i="2"/>
  <c r="AO730" i="3"/>
  <c r="AR730" i="3" s="1"/>
  <c r="O600" i="2"/>
  <c r="O603" i="2"/>
  <c r="AO746" i="3"/>
  <c r="AR746" i="3" s="1"/>
  <c r="O606" i="2"/>
  <c r="O616" i="2"/>
  <c r="O619" i="2"/>
  <c r="O622" i="2"/>
  <c r="AO762" i="3"/>
  <c r="AR762" i="3" s="1"/>
  <c r="O632" i="2"/>
  <c r="O635" i="2"/>
  <c r="AO778" i="3"/>
  <c r="AR778" i="3" s="1"/>
  <c r="O638" i="2"/>
  <c r="O648" i="2"/>
  <c r="O651" i="2"/>
  <c r="AO794" i="3"/>
  <c r="AR794" i="3" s="1"/>
  <c r="O654" i="2"/>
  <c r="O664" i="2"/>
  <c r="O667" i="2"/>
  <c r="O670" i="2"/>
  <c r="AO810" i="3"/>
  <c r="AR810" i="3" s="1"/>
  <c r="O680" i="2"/>
  <c r="O683" i="2"/>
  <c r="AO826" i="3"/>
  <c r="AR826" i="3" s="1"/>
  <c r="O686" i="2"/>
  <c r="AO554" i="3"/>
  <c r="AR554" i="3" s="1"/>
  <c r="AO160" i="3"/>
  <c r="AR160" i="3" s="1"/>
  <c r="AO165" i="3"/>
  <c r="AR165" i="3" s="1"/>
  <c r="AO434" i="3"/>
  <c r="AR434" i="3" s="1"/>
  <c r="O294" i="2"/>
  <c r="AO450" i="3"/>
  <c r="AR450" i="3" s="1"/>
  <c r="O310" i="2"/>
  <c r="AO466" i="3"/>
  <c r="AR466" i="3" s="1"/>
  <c r="O326" i="2"/>
  <c r="AO482" i="3"/>
  <c r="AR482" i="3" s="1"/>
  <c r="O342" i="2"/>
  <c r="AO498" i="3"/>
  <c r="AR498" i="3" s="1"/>
  <c r="O358" i="2"/>
  <c r="O390" i="2"/>
  <c r="AO530" i="3"/>
  <c r="AR530" i="3" s="1"/>
  <c r="O406" i="2"/>
  <c r="AO546" i="3"/>
  <c r="AR546" i="3" s="1"/>
  <c r="O422" i="2"/>
  <c r="AO562" i="3"/>
  <c r="AR562" i="3" s="1"/>
  <c r="AO578" i="3"/>
  <c r="AR578" i="3" s="1"/>
  <c r="O438" i="2"/>
  <c r="AO594" i="3"/>
  <c r="AR594" i="3" s="1"/>
  <c r="O454" i="2"/>
  <c r="AO142" i="3"/>
  <c r="AR142" i="3" s="1"/>
  <c r="AO157" i="3"/>
  <c r="AR157" i="3" s="1"/>
  <c r="AO161" i="3"/>
  <c r="AR161" i="3" s="1"/>
  <c r="AO438" i="3"/>
  <c r="AR438" i="3" s="1"/>
  <c r="O298" i="2"/>
  <c r="AO454" i="3"/>
  <c r="AR454" i="3" s="1"/>
  <c r="O314" i="2"/>
  <c r="AO470" i="3"/>
  <c r="AR470" i="3" s="1"/>
  <c r="O330" i="2"/>
  <c r="AO486" i="3"/>
  <c r="AR486" i="3" s="1"/>
  <c r="O346" i="2"/>
  <c r="AO502" i="3"/>
  <c r="AR502" i="3" s="1"/>
  <c r="O362" i="2"/>
  <c r="O378" i="2"/>
  <c r="AO518" i="3"/>
  <c r="AR518" i="3" s="1"/>
  <c r="O394" i="2"/>
  <c r="AO534" i="3"/>
  <c r="AR534" i="3" s="1"/>
  <c r="AO550" i="3"/>
  <c r="AR550" i="3" s="1"/>
  <c r="O410" i="2"/>
  <c r="AO566" i="3"/>
  <c r="AR566" i="3" s="1"/>
  <c r="O426" i="2"/>
  <c r="O458" i="2"/>
  <c r="AO598" i="3"/>
  <c r="AR598" i="3" s="1"/>
  <c r="O474" i="2"/>
  <c r="AO614" i="3"/>
  <c r="AR614" i="3" s="1"/>
  <c r="O490" i="2"/>
  <c r="AO630" i="3"/>
  <c r="AR630" i="3" s="1"/>
  <c r="AO646" i="3"/>
  <c r="AR646" i="3" s="1"/>
  <c r="O506" i="2"/>
  <c r="AO662" i="3"/>
  <c r="AR662" i="3" s="1"/>
  <c r="O522" i="2"/>
  <c r="AO678" i="3"/>
  <c r="AR678" i="3" s="1"/>
  <c r="O538" i="2"/>
  <c r="AO694" i="3"/>
  <c r="AR694" i="3" s="1"/>
  <c r="O554" i="2"/>
  <c r="O570" i="2"/>
  <c r="AO710" i="3"/>
  <c r="AR710" i="3" s="1"/>
  <c r="AO726" i="3"/>
  <c r="AR726" i="3" s="1"/>
  <c r="O586" i="2"/>
  <c r="AO758" i="3"/>
  <c r="AR758" i="3" s="1"/>
  <c r="O618" i="2"/>
  <c r="O634" i="2"/>
  <c r="AO774" i="3"/>
  <c r="AR774" i="3" s="1"/>
  <c r="O650" i="2"/>
  <c r="AO790" i="3"/>
  <c r="AR790" i="3" s="1"/>
  <c r="AO806" i="3"/>
  <c r="AR806" i="3" s="1"/>
  <c r="O666" i="2"/>
  <c r="AO822" i="3"/>
  <c r="AR822" i="3" s="1"/>
  <c r="O682" i="2"/>
  <c r="AO2" i="3"/>
  <c r="AR2" i="3" s="1"/>
  <c r="AO7" i="3"/>
  <c r="AR7" i="3" s="1"/>
  <c r="AO582" i="3"/>
  <c r="AR582" i="3" s="1"/>
  <c r="AO670" i="3"/>
  <c r="AR670" i="3" s="1"/>
  <c r="N33" i="5"/>
  <c r="O33" i="5"/>
  <c r="AJ159" i="3"/>
  <c r="AM159" i="3" s="1"/>
  <c r="AJ182" i="3"/>
  <c r="AM182" i="3" s="1"/>
  <c r="M42" i="2"/>
  <c r="AJ646" i="3"/>
  <c r="AM646" i="3" s="1"/>
  <c r="M506" i="2"/>
  <c r="AJ654" i="3"/>
  <c r="AM654" i="3" s="1"/>
  <c r="M514" i="2"/>
  <c r="AJ666" i="3"/>
  <c r="AM666" i="3" s="1"/>
  <c r="M526" i="2"/>
  <c r="AJ674" i="3"/>
  <c r="AM674" i="3" s="1"/>
  <c r="M534" i="2"/>
  <c r="AJ678" i="3"/>
  <c r="AM678" i="3" s="1"/>
  <c r="M538" i="2"/>
  <c r="AJ686" i="3"/>
  <c r="AM686" i="3" s="1"/>
  <c r="M546" i="2"/>
  <c r="AJ690" i="3"/>
  <c r="AM690" i="3" s="1"/>
  <c r="M550" i="2"/>
  <c r="AJ694" i="3"/>
  <c r="AM694" i="3" s="1"/>
  <c r="M554" i="2"/>
  <c r="AJ706" i="3"/>
  <c r="AM706" i="3" s="1"/>
  <c r="M566" i="2"/>
  <c r="AJ710" i="3"/>
  <c r="AM710" i="3" s="1"/>
  <c r="M570" i="2"/>
  <c r="AJ718" i="3"/>
  <c r="AM718" i="3" s="1"/>
  <c r="M578" i="2"/>
  <c r="AJ734" i="3"/>
  <c r="AM734" i="3" s="1"/>
  <c r="M594" i="2"/>
  <c r="AJ742" i="3"/>
  <c r="AM742" i="3" s="1"/>
  <c r="M602" i="2"/>
  <c r="AJ746" i="3"/>
  <c r="AM746" i="3" s="1"/>
  <c r="M606" i="2"/>
  <c r="AJ750" i="3"/>
  <c r="AM750" i="3" s="1"/>
  <c r="M610" i="2"/>
  <c r="AJ758" i="3"/>
  <c r="AM758" i="3" s="1"/>
  <c r="M618" i="2"/>
  <c r="AJ762" i="3"/>
  <c r="AM762" i="3" s="1"/>
  <c r="M622" i="2"/>
  <c r="AJ770" i="3"/>
  <c r="AM770" i="3" s="1"/>
  <c r="M630" i="2"/>
  <c r="AJ782" i="3"/>
  <c r="AM782" i="3" s="1"/>
  <c r="M642" i="2"/>
  <c r="AJ726" i="3"/>
  <c r="AM726" i="3" s="1"/>
  <c r="AJ165" i="3"/>
  <c r="AM165" i="3" s="1"/>
  <c r="AJ653" i="3"/>
  <c r="AM653" i="3" s="1"/>
  <c r="M513" i="2"/>
  <c r="AJ657" i="3"/>
  <c r="AM657" i="3" s="1"/>
  <c r="M517" i="2"/>
  <c r="AJ665" i="3"/>
  <c r="AM665" i="3" s="1"/>
  <c r="M525" i="2"/>
  <c r="AJ673" i="3"/>
  <c r="AM673" i="3" s="1"/>
  <c r="M533" i="2"/>
  <c r="AJ677" i="3"/>
  <c r="AM677" i="3" s="1"/>
  <c r="M537" i="2"/>
  <c r="AJ685" i="3"/>
  <c r="AM685" i="3" s="1"/>
  <c r="M545" i="2"/>
  <c r="AJ693" i="3"/>
  <c r="AM693" i="3" s="1"/>
  <c r="M553" i="2"/>
  <c r="AJ697" i="3"/>
  <c r="AM697" i="3" s="1"/>
  <c r="M557" i="2"/>
  <c r="AJ705" i="3"/>
  <c r="AM705" i="3" s="1"/>
  <c r="M565" i="2"/>
  <c r="AJ713" i="3"/>
  <c r="AM713" i="3" s="1"/>
  <c r="M573" i="2"/>
  <c r="AJ725" i="3"/>
  <c r="AM725" i="3" s="1"/>
  <c r="M585" i="2"/>
  <c r="AJ729" i="3"/>
  <c r="AM729" i="3" s="1"/>
  <c r="M589" i="2"/>
  <c r="AJ733" i="3"/>
  <c r="AM733" i="3" s="1"/>
  <c r="M593" i="2"/>
  <c r="AJ741" i="3"/>
  <c r="AM741" i="3" s="1"/>
  <c r="M601" i="2"/>
  <c r="AJ745" i="3"/>
  <c r="AM745" i="3" s="1"/>
  <c r="M605" i="2"/>
  <c r="AJ749" i="3"/>
  <c r="AM749" i="3" s="1"/>
  <c r="M609" i="2"/>
  <c r="AJ757" i="3"/>
  <c r="AM757" i="3" s="1"/>
  <c r="M617" i="2"/>
  <c r="AJ761" i="3"/>
  <c r="AM761" i="3" s="1"/>
  <c r="M621" i="2"/>
  <c r="AJ765" i="3"/>
  <c r="AM765" i="3" s="1"/>
  <c r="M625" i="2"/>
  <c r="AJ773" i="3"/>
  <c r="AM773" i="3" s="1"/>
  <c r="M633" i="2"/>
  <c r="AJ781" i="3"/>
  <c r="AM781" i="3" s="1"/>
  <c r="M641" i="2"/>
  <c r="AJ785" i="3"/>
  <c r="AM785" i="3" s="1"/>
  <c r="M645" i="2"/>
  <c r="AJ221" i="3"/>
  <c r="AM221" i="3" s="1"/>
  <c r="AJ362" i="3"/>
  <c r="AM362" i="3" s="1"/>
  <c r="AJ504" i="3"/>
  <c r="AM504" i="3" s="1"/>
  <c r="AJ536" i="3"/>
  <c r="AM536" i="3" s="1"/>
  <c r="AJ568" i="3"/>
  <c r="AM568" i="3" s="1"/>
  <c r="AJ600" i="3"/>
  <c r="AM600" i="3" s="1"/>
  <c r="M23" i="2"/>
  <c r="AJ163" i="3" s="1"/>
  <c r="AM163" i="3" s="1"/>
  <c r="M50" i="2"/>
  <c r="M52" i="2"/>
  <c r="M53" i="2"/>
  <c r="M54" i="2"/>
  <c r="M56" i="2"/>
  <c r="M59" i="2"/>
  <c r="M60" i="2"/>
  <c r="M62" i="2"/>
  <c r="M63" i="2"/>
  <c r="M64" i="2"/>
  <c r="M66" i="2"/>
  <c r="M67" i="2"/>
  <c r="M71" i="2"/>
  <c r="M72" i="2"/>
  <c r="M74" i="2"/>
  <c r="M77" i="2"/>
  <c r="M82" i="2"/>
  <c r="M83" i="2"/>
  <c r="M85" i="2"/>
  <c r="M87" i="2"/>
  <c r="M88" i="2"/>
  <c r="M90" i="2"/>
  <c r="M92" i="2"/>
  <c r="M93" i="2"/>
  <c r="M94" i="2"/>
  <c r="M95" i="2"/>
  <c r="M97" i="2"/>
  <c r="M99" i="2"/>
  <c r="M101" i="2"/>
  <c r="M102" i="2"/>
  <c r="M103" i="2"/>
  <c r="M105" i="2"/>
  <c r="M107" i="2"/>
  <c r="M108" i="2"/>
  <c r="M110" i="2"/>
  <c r="M111" i="2"/>
  <c r="M113" i="2"/>
  <c r="M114" i="2"/>
  <c r="M115" i="2"/>
  <c r="M116" i="2"/>
  <c r="M118" i="2"/>
  <c r="M120" i="2"/>
  <c r="M121" i="2"/>
  <c r="M122" i="2"/>
  <c r="M123" i="2"/>
  <c r="M125" i="2"/>
  <c r="M126" i="2"/>
  <c r="M127" i="2"/>
  <c r="M129" i="2"/>
  <c r="M132" i="2"/>
  <c r="M133" i="2"/>
  <c r="M134" i="2"/>
  <c r="M135" i="2"/>
  <c r="M137" i="2"/>
  <c r="M138" i="2"/>
  <c r="M140" i="2"/>
  <c r="M141" i="2"/>
  <c r="M142" i="2"/>
  <c r="M143" i="2"/>
  <c r="M145" i="2"/>
  <c r="M146" i="2"/>
  <c r="M148" i="2"/>
  <c r="M149" i="2"/>
  <c r="M150" i="2"/>
  <c r="M152" i="2"/>
  <c r="M153" i="2"/>
  <c r="M154" i="2"/>
  <c r="M156" i="2"/>
  <c r="M157" i="2"/>
  <c r="M159" i="2"/>
  <c r="M161" i="2"/>
  <c r="M162" i="2"/>
  <c r="M164" i="2"/>
  <c r="M167" i="2"/>
  <c r="AJ143" i="3"/>
  <c r="AM143" i="3" s="1"/>
  <c r="AJ3" i="3"/>
  <c r="AM3" i="3" s="1"/>
  <c r="AJ144" i="3"/>
  <c r="AM144" i="3" s="1"/>
  <c r="AJ4" i="3"/>
  <c r="AM4" i="3" s="1"/>
  <c r="AJ145" i="3"/>
  <c r="AM145" i="3" s="1"/>
  <c r="AJ5" i="3"/>
  <c r="AM5" i="3" s="1"/>
  <c r="AJ146" i="3"/>
  <c r="AM146" i="3" s="1"/>
  <c r="AJ6" i="3"/>
  <c r="AM6" i="3" s="1"/>
  <c r="AJ147" i="3"/>
  <c r="AM147" i="3" s="1"/>
  <c r="AJ7" i="3"/>
  <c r="AM7" i="3" s="1"/>
  <c r="AJ148" i="3"/>
  <c r="AM148" i="3" s="1"/>
  <c r="AJ8" i="3"/>
  <c r="AM8" i="3" s="1"/>
  <c r="AJ149" i="3"/>
  <c r="AM149" i="3" s="1"/>
  <c r="AJ9" i="3"/>
  <c r="AM9" i="3" s="1"/>
  <c r="AJ150" i="3"/>
  <c r="AM150" i="3" s="1"/>
  <c r="AJ10" i="3"/>
  <c r="AM10" i="3" s="1"/>
  <c r="AJ151" i="3"/>
  <c r="AM151" i="3" s="1"/>
  <c r="AJ152" i="3"/>
  <c r="AM152" i="3" s="1"/>
  <c r="AJ153" i="3"/>
  <c r="AM153" i="3" s="1"/>
  <c r="AJ13" i="3"/>
  <c r="AM13" i="3" s="1"/>
  <c r="M29" i="2"/>
  <c r="M31" i="2"/>
  <c r="M32" i="2"/>
  <c r="M33" i="2"/>
  <c r="M34" i="2"/>
  <c r="M35" i="2"/>
  <c r="AJ179" i="3"/>
  <c r="AM179" i="3" s="1"/>
  <c r="M39" i="2"/>
  <c r="AJ647" i="3"/>
  <c r="AM647" i="3" s="1"/>
  <c r="M507" i="2"/>
  <c r="AJ651" i="3"/>
  <c r="AM651" i="3" s="1"/>
  <c r="M511" i="2"/>
  <c r="AJ655" i="3"/>
  <c r="AM655" i="3" s="1"/>
  <c r="M515" i="2"/>
  <c r="AJ659" i="3"/>
  <c r="AM659" i="3" s="1"/>
  <c r="M519" i="2"/>
  <c r="AJ667" i="3"/>
  <c r="AM667" i="3" s="1"/>
  <c r="M527" i="2"/>
  <c r="AJ671" i="3"/>
  <c r="AM671" i="3" s="1"/>
  <c r="M531" i="2"/>
  <c r="AJ675" i="3"/>
  <c r="AM675" i="3" s="1"/>
  <c r="M535" i="2"/>
  <c r="AJ679" i="3"/>
  <c r="AM679" i="3" s="1"/>
  <c r="M539" i="2"/>
  <c r="AJ683" i="3"/>
  <c r="AM683" i="3" s="1"/>
  <c r="M543" i="2"/>
  <c r="AJ687" i="3"/>
  <c r="AM687" i="3" s="1"/>
  <c r="M547" i="2"/>
  <c r="AJ691" i="3"/>
  <c r="AM691" i="3" s="1"/>
  <c r="M551" i="2"/>
  <c r="AJ695" i="3"/>
  <c r="AM695" i="3" s="1"/>
  <c r="M555" i="2"/>
  <c r="AJ699" i="3"/>
  <c r="AM699" i="3" s="1"/>
  <c r="M559" i="2"/>
  <c r="AJ703" i="3"/>
  <c r="AM703" i="3" s="1"/>
  <c r="M563" i="2"/>
  <c r="AJ707" i="3"/>
  <c r="AM707" i="3" s="1"/>
  <c r="M567" i="2"/>
  <c r="AJ711" i="3"/>
  <c r="AM711" i="3" s="1"/>
  <c r="M571" i="2"/>
  <c r="AJ715" i="3"/>
  <c r="AM715" i="3" s="1"/>
  <c r="M575" i="2"/>
  <c r="AJ719" i="3"/>
  <c r="AM719" i="3" s="1"/>
  <c r="M579" i="2"/>
  <c r="M583" i="2"/>
  <c r="AJ723" i="3"/>
  <c r="AM723" i="3" s="1"/>
  <c r="AJ727" i="3"/>
  <c r="AM727" i="3" s="1"/>
  <c r="M587" i="2"/>
  <c r="AJ731" i="3"/>
  <c r="AM731" i="3" s="1"/>
  <c r="M591" i="2"/>
  <c r="AJ735" i="3"/>
  <c r="AM735" i="3" s="1"/>
  <c r="M595" i="2"/>
  <c r="AJ739" i="3"/>
  <c r="AM739" i="3" s="1"/>
  <c r="M599" i="2"/>
  <c r="AJ743" i="3"/>
  <c r="AM743" i="3" s="1"/>
  <c r="M603" i="2"/>
  <c r="AJ747" i="3"/>
  <c r="AM747" i="3" s="1"/>
  <c r="M607" i="2"/>
  <c r="AJ751" i="3"/>
  <c r="AM751" i="3" s="1"/>
  <c r="M611" i="2"/>
  <c r="AJ755" i="3"/>
  <c r="AM755" i="3" s="1"/>
  <c r="M615" i="2"/>
  <c r="AJ759" i="3"/>
  <c r="AM759" i="3" s="1"/>
  <c r="M619" i="2"/>
  <c r="AJ763" i="3"/>
  <c r="AM763" i="3" s="1"/>
  <c r="M623" i="2"/>
  <c r="M627" i="2"/>
  <c r="AJ767" i="3"/>
  <c r="AM767" i="3" s="1"/>
  <c r="AJ771" i="3"/>
  <c r="AM771" i="3" s="1"/>
  <c r="M631" i="2"/>
  <c r="AJ775" i="3"/>
  <c r="AM775" i="3" s="1"/>
  <c r="M635" i="2"/>
  <c r="AJ779" i="3"/>
  <c r="AM779" i="3" s="1"/>
  <c r="M639" i="2"/>
  <c r="AJ783" i="3"/>
  <c r="AM783" i="3" s="1"/>
  <c r="M643" i="2"/>
  <c r="AJ12" i="3"/>
  <c r="AM12" i="3" s="1"/>
  <c r="AJ366" i="3"/>
  <c r="AM366" i="3" s="1"/>
  <c r="AJ374" i="3"/>
  <c r="AM374" i="3" s="1"/>
  <c r="AJ520" i="3"/>
  <c r="AM520" i="3" s="1"/>
  <c r="AJ552" i="3"/>
  <c r="AM552" i="3" s="1"/>
  <c r="AJ584" i="3"/>
  <c r="AM584" i="3" s="1"/>
  <c r="AJ642" i="3"/>
  <c r="AM642" i="3" s="1"/>
  <c r="AJ643" i="3"/>
  <c r="AM643" i="3" s="1"/>
  <c r="AJ645" i="3"/>
  <c r="AM645" i="3" s="1"/>
  <c r="AJ737" i="3"/>
  <c r="AM737" i="3" s="1"/>
  <c r="AJ156" i="3"/>
  <c r="AM156" i="3" s="1"/>
  <c r="AJ650" i="3"/>
  <c r="AM650" i="3" s="1"/>
  <c r="M510" i="2"/>
  <c r="AJ658" i="3"/>
  <c r="AM658" i="3" s="1"/>
  <c r="M518" i="2"/>
  <c r="AJ662" i="3"/>
  <c r="AM662" i="3" s="1"/>
  <c r="M522" i="2"/>
  <c r="AJ682" i="3"/>
  <c r="AM682" i="3" s="1"/>
  <c r="M542" i="2"/>
  <c r="AJ698" i="3"/>
  <c r="AM698" i="3" s="1"/>
  <c r="M558" i="2"/>
  <c r="AJ702" i="3"/>
  <c r="AM702" i="3" s="1"/>
  <c r="M562" i="2"/>
  <c r="AJ714" i="3"/>
  <c r="AM714" i="3" s="1"/>
  <c r="M574" i="2"/>
  <c r="AJ722" i="3"/>
  <c r="AM722" i="3" s="1"/>
  <c r="M582" i="2"/>
  <c r="AJ730" i="3"/>
  <c r="AM730" i="3" s="1"/>
  <c r="M590" i="2"/>
  <c r="AJ738" i="3"/>
  <c r="AM738" i="3" s="1"/>
  <c r="M598" i="2"/>
  <c r="AJ754" i="3"/>
  <c r="AM754" i="3" s="1"/>
  <c r="M614" i="2"/>
  <c r="AJ766" i="3"/>
  <c r="AM766" i="3" s="1"/>
  <c r="M626" i="2"/>
  <c r="AJ774" i="3"/>
  <c r="AM774" i="3" s="1"/>
  <c r="M634" i="2"/>
  <c r="AJ778" i="3"/>
  <c r="AM778" i="3" s="1"/>
  <c r="M638" i="2"/>
  <c r="AJ786" i="3"/>
  <c r="AM786" i="3" s="1"/>
  <c r="M646" i="2"/>
  <c r="M15" i="2"/>
  <c r="AJ155" i="3" s="1"/>
  <c r="AM155" i="3" s="1"/>
  <c r="M17" i="2"/>
  <c r="AJ157" i="3" s="1"/>
  <c r="AM157" i="3" s="1"/>
  <c r="M18" i="2"/>
  <c r="AJ158" i="3" s="1"/>
  <c r="AM158" i="3" s="1"/>
  <c r="M19" i="2"/>
  <c r="M20" i="2"/>
  <c r="AJ160" i="3" s="1"/>
  <c r="AM160" i="3" s="1"/>
  <c r="M21" i="2"/>
  <c r="AJ161" i="3" s="1"/>
  <c r="AM161" i="3" s="1"/>
  <c r="M41" i="2"/>
  <c r="AJ181" i="3"/>
  <c r="AM181" i="3" s="1"/>
  <c r="M501" i="2"/>
  <c r="AJ641" i="3"/>
  <c r="AM641" i="3" s="1"/>
  <c r="AJ649" i="3"/>
  <c r="AM649" i="3" s="1"/>
  <c r="M509" i="2"/>
  <c r="AJ661" i="3"/>
  <c r="AM661" i="3" s="1"/>
  <c r="M521" i="2"/>
  <c r="AJ669" i="3"/>
  <c r="AM669" i="3" s="1"/>
  <c r="M529" i="2"/>
  <c r="AJ681" i="3"/>
  <c r="AM681" i="3" s="1"/>
  <c r="M541" i="2"/>
  <c r="AJ689" i="3"/>
  <c r="AM689" i="3" s="1"/>
  <c r="M549" i="2"/>
  <c r="AJ701" i="3"/>
  <c r="AM701" i="3" s="1"/>
  <c r="M561" i="2"/>
  <c r="AJ709" i="3"/>
  <c r="AM709" i="3" s="1"/>
  <c r="M569" i="2"/>
  <c r="AJ717" i="3"/>
  <c r="AM717" i="3" s="1"/>
  <c r="M577" i="2"/>
  <c r="AJ721" i="3"/>
  <c r="AM721" i="3" s="1"/>
  <c r="M581" i="2"/>
  <c r="AJ753" i="3"/>
  <c r="AM753" i="3" s="1"/>
  <c r="M613" i="2"/>
  <c r="AJ769" i="3"/>
  <c r="AM769" i="3" s="1"/>
  <c r="M629" i="2"/>
  <c r="AJ777" i="3"/>
  <c r="AM777" i="3" s="1"/>
  <c r="M637" i="2"/>
  <c r="AJ231" i="3"/>
  <c r="AM231" i="3" s="1"/>
  <c r="AJ370" i="3"/>
  <c r="AM370" i="3" s="1"/>
  <c r="M2" i="2"/>
  <c r="AJ142" i="3" s="1"/>
  <c r="AM142" i="3" s="1"/>
  <c r="M22" i="2"/>
  <c r="AJ162" i="3" s="1"/>
  <c r="AM162" i="3" s="1"/>
  <c r="M24" i="2"/>
  <c r="AJ164" i="3" s="1"/>
  <c r="AM164" i="3" s="1"/>
  <c r="M25" i="2"/>
  <c r="M26" i="2"/>
  <c r="M27" i="2"/>
  <c r="M51" i="2"/>
  <c r="M57" i="2"/>
  <c r="M58" i="2"/>
  <c r="M61" i="2"/>
  <c r="M65" i="2"/>
  <c r="M68" i="2"/>
  <c r="M70" i="2"/>
  <c r="M73" i="2"/>
  <c r="M75" i="2"/>
  <c r="M76" i="2"/>
  <c r="M78" i="2"/>
  <c r="M80" i="2"/>
  <c r="M84" i="2"/>
  <c r="M86" i="2"/>
  <c r="M89" i="2"/>
  <c r="M96" i="2"/>
  <c r="M98" i="2"/>
  <c r="M100" i="2"/>
  <c r="M104" i="2"/>
  <c r="M106" i="2"/>
  <c r="M109" i="2"/>
  <c r="M112" i="2"/>
  <c r="M117" i="2"/>
  <c r="M119" i="2"/>
  <c r="M124" i="2"/>
  <c r="M128" i="2"/>
  <c r="M130" i="2"/>
  <c r="M131" i="2"/>
  <c r="M136" i="2"/>
  <c r="M139" i="2"/>
  <c r="M144" i="2"/>
  <c r="M147" i="2"/>
  <c r="M151" i="2"/>
  <c r="M155" i="2"/>
  <c r="M158" i="2"/>
  <c r="M160" i="2"/>
  <c r="M163" i="2"/>
  <c r="M165" i="2"/>
  <c r="M166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4" i="2"/>
  <c r="M225" i="2"/>
  <c r="M227" i="2"/>
  <c r="M228" i="2"/>
  <c r="M229" i="2"/>
  <c r="M232" i="2"/>
  <c r="M233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5" i="2"/>
  <c r="M366" i="2"/>
  <c r="M367" i="2"/>
  <c r="M368" i="2"/>
  <c r="M369" i="2"/>
  <c r="M370" i="2"/>
  <c r="M371" i="2"/>
  <c r="M372" i="2"/>
  <c r="M374" i="2"/>
  <c r="M375" i="2"/>
  <c r="M376" i="2"/>
  <c r="M377" i="2"/>
  <c r="M378" i="2"/>
  <c r="M379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7" i="2"/>
  <c r="M398" i="2"/>
  <c r="M399" i="2"/>
  <c r="M400" i="2"/>
  <c r="M401" i="2"/>
  <c r="M402" i="2"/>
  <c r="M403" i="2"/>
  <c r="M404" i="2"/>
  <c r="M406" i="2"/>
  <c r="M407" i="2"/>
  <c r="M408" i="2"/>
  <c r="M409" i="2"/>
  <c r="M410" i="2"/>
  <c r="M411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9" i="2"/>
  <c r="M430" i="2"/>
  <c r="M431" i="2"/>
  <c r="M432" i="2"/>
  <c r="M433" i="2"/>
  <c r="M434" i="2"/>
  <c r="M435" i="2"/>
  <c r="M436" i="2"/>
  <c r="M438" i="2"/>
  <c r="M439" i="2"/>
  <c r="M440" i="2"/>
  <c r="M441" i="2"/>
  <c r="M442" i="2"/>
  <c r="M443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1" i="2"/>
  <c r="M462" i="2"/>
  <c r="M463" i="2"/>
  <c r="M464" i="2"/>
  <c r="M465" i="2"/>
  <c r="M466" i="2"/>
  <c r="M467" i="2"/>
  <c r="M468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AJ644" i="3"/>
  <c r="AM644" i="3" s="1"/>
  <c r="M504" i="2"/>
  <c r="AJ648" i="3"/>
  <c r="AM648" i="3" s="1"/>
  <c r="M508" i="2"/>
  <c r="AJ652" i="3"/>
  <c r="AM652" i="3" s="1"/>
  <c r="M512" i="2"/>
  <c r="AJ656" i="3"/>
  <c r="AM656" i="3" s="1"/>
  <c r="M516" i="2"/>
  <c r="AJ660" i="3"/>
  <c r="AM660" i="3" s="1"/>
  <c r="M520" i="2"/>
  <c r="AJ664" i="3"/>
  <c r="AM664" i="3" s="1"/>
  <c r="M524" i="2"/>
  <c r="AJ668" i="3"/>
  <c r="AM668" i="3" s="1"/>
  <c r="M528" i="2"/>
  <c r="AJ672" i="3"/>
  <c r="AM672" i="3" s="1"/>
  <c r="M532" i="2"/>
  <c r="AJ676" i="3"/>
  <c r="AM676" i="3" s="1"/>
  <c r="M536" i="2"/>
  <c r="AJ680" i="3"/>
  <c r="AM680" i="3" s="1"/>
  <c r="M540" i="2"/>
  <c r="AJ684" i="3"/>
  <c r="AM684" i="3" s="1"/>
  <c r="M544" i="2"/>
  <c r="AJ688" i="3"/>
  <c r="AM688" i="3" s="1"/>
  <c r="M548" i="2"/>
  <c r="AJ692" i="3"/>
  <c r="AM692" i="3" s="1"/>
  <c r="M552" i="2"/>
  <c r="AJ696" i="3"/>
  <c r="AM696" i="3" s="1"/>
  <c r="M556" i="2"/>
  <c r="AJ700" i="3"/>
  <c r="AM700" i="3" s="1"/>
  <c r="M560" i="2"/>
  <c r="AJ704" i="3"/>
  <c r="AM704" i="3" s="1"/>
  <c r="M564" i="2"/>
  <c r="AJ708" i="3"/>
  <c r="AM708" i="3" s="1"/>
  <c r="M568" i="2"/>
  <c r="AJ712" i="3"/>
  <c r="AM712" i="3" s="1"/>
  <c r="M572" i="2"/>
  <c r="AJ716" i="3"/>
  <c r="AM716" i="3" s="1"/>
  <c r="M576" i="2"/>
  <c r="AJ720" i="3"/>
  <c r="AM720" i="3" s="1"/>
  <c r="M580" i="2"/>
  <c r="AJ724" i="3"/>
  <c r="AM724" i="3" s="1"/>
  <c r="M584" i="2"/>
  <c r="AJ728" i="3"/>
  <c r="AM728" i="3" s="1"/>
  <c r="M588" i="2"/>
  <c r="AJ732" i="3"/>
  <c r="AM732" i="3" s="1"/>
  <c r="M592" i="2"/>
  <c r="M596" i="2"/>
  <c r="AJ736" i="3"/>
  <c r="AM736" i="3" s="1"/>
  <c r="AJ740" i="3"/>
  <c r="AM740" i="3" s="1"/>
  <c r="M600" i="2"/>
  <c r="AJ748" i="3"/>
  <c r="AM748" i="3" s="1"/>
  <c r="M608" i="2"/>
  <c r="AJ752" i="3"/>
  <c r="AM752" i="3" s="1"/>
  <c r="M612" i="2"/>
  <c r="AJ756" i="3"/>
  <c r="AM756" i="3" s="1"/>
  <c r="M616" i="2"/>
  <c r="AJ760" i="3"/>
  <c r="AM760" i="3" s="1"/>
  <c r="M620" i="2"/>
  <c r="AJ764" i="3"/>
  <c r="AM764" i="3" s="1"/>
  <c r="M624" i="2"/>
  <c r="AJ768" i="3"/>
  <c r="AM768" i="3" s="1"/>
  <c r="M628" i="2"/>
  <c r="AJ772" i="3"/>
  <c r="AM772" i="3" s="1"/>
  <c r="M632" i="2"/>
  <c r="AJ776" i="3"/>
  <c r="AM776" i="3" s="1"/>
  <c r="M636" i="2"/>
  <c r="AJ780" i="3"/>
  <c r="AM780" i="3" s="1"/>
  <c r="M640" i="2"/>
  <c r="AJ784" i="3"/>
  <c r="AM784" i="3" s="1"/>
  <c r="M644" i="2"/>
  <c r="AJ180" i="3"/>
  <c r="AM180" i="3" s="1"/>
  <c r="AJ663" i="3"/>
  <c r="AM663" i="3" s="1"/>
  <c r="AJ670" i="3"/>
  <c r="AM670" i="3" s="1"/>
  <c r="AJ744" i="3"/>
  <c r="AM744" i="3" s="1"/>
  <c r="M647" i="2"/>
  <c r="M648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N31" i="5"/>
  <c r="T2" i="5"/>
  <c r="T3" i="5" s="1"/>
  <c r="T4" i="5" s="1"/>
  <c r="T5" i="5" s="1"/>
  <c r="T6" i="5" s="1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Z14" i="5"/>
  <c r="M3" i="5"/>
  <c r="M1" i="5"/>
  <c r="Z16" i="5"/>
  <c r="Z18" i="5"/>
  <c r="Z20" i="5"/>
  <c r="Z22" i="5"/>
  <c r="Z30" i="5"/>
  <c r="U2" i="5"/>
  <c r="Z32" i="5"/>
  <c r="Z34" i="5"/>
  <c r="Z11" i="5"/>
  <c r="Z37" i="5"/>
  <c r="Z33" i="5"/>
  <c r="Z35" i="5"/>
  <c r="Z31" i="5"/>
  <c r="Z8" i="5"/>
  <c r="Z10" i="5"/>
  <c r="Z13" i="5"/>
  <c r="Z17" i="5"/>
  <c r="Z21" i="5"/>
  <c r="Z9" i="5"/>
  <c r="Z12" i="5"/>
  <c r="Z15" i="5"/>
  <c r="Z19" i="5"/>
  <c r="Z23" i="5"/>
  <c r="Z24" i="5"/>
  <c r="Z25" i="5"/>
  <c r="Z26" i="5"/>
  <c r="Z27" i="5"/>
  <c r="Z28" i="5"/>
  <c r="Z29" i="5"/>
  <c r="Z36" i="5"/>
  <c r="Y9" i="3"/>
  <c r="D6" i="3" s="1"/>
  <c r="AB9" i="3"/>
  <c r="G5" i="3" s="1"/>
  <c r="Z9" i="3"/>
  <c r="I6" i="3" s="1"/>
  <c r="AO11" i="3" l="1"/>
  <c r="AR11" i="3" s="1"/>
  <c r="AO12" i="3"/>
  <c r="AR12" i="3" s="1"/>
  <c r="AO10" i="3"/>
  <c r="AR10" i="3" s="1"/>
  <c r="AO148" i="3"/>
  <c r="AR148" i="3" s="1"/>
  <c r="AO4" i="3"/>
  <c r="AR4" i="3" s="1"/>
  <c r="AO143" i="3"/>
  <c r="AR143" i="3" s="1"/>
  <c r="AJ2" i="3"/>
  <c r="AM2" i="3" s="1"/>
  <c r="X2" i="5"/>
  <c r="AA8" i="5" s="1"/>
  <c r="AI8" i="5" s="1"/>
  <c r="X5" i="5"/>
  <c r="AD8" i="5" s="1"/>
  <c r="X4" i="5"/>
  <c r="AC8" i="5" s="1"/>
  <c r="X3" i="5"/>
  <c r="AB8" i="5" s="1"/>
  <c r="T7" i="5"/>
  <c r="X6" i="5"/>
  <c r="AE8" i="5" s="1"/>
  <c r="T8" i="5" l="1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B37" i="5" l="1"/>
  <c r="T35" i="5"/>
  <c r="X34" i="5"/>
  <c r="AC13" i="5" s="1"/>
  <c r="T36" i="5" l="1"/>
  <c r="X35" i="5"/>
  <c r="AD13" i="5" s="1"/>
  <c r="C37" i="5"/>
  <c r="D37" i="5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U82" i="5" s="1"/>
  <c r="X81" i="5"/>
  <c r="AB21" i="5" s="1"/>
  <c r="P16" i="5" l="1"/>
  <c r="H13" i="5" s="1"/>
  <c r="U1" i="5"/>
  <c r="D19" i="5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B31" i="5" s="1"/>
  <c r="C31" i="5" s="1"/>
  <c r="T154" i="5"/>
  <c r="X153" i="5"/>
  <c r="AB33" i="5" s="1"/>
  <c r="AI33" i="5"/>
  <c r="D31" i="5" l="1"/>
  <c r="T155" i="5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s="1"/>
  <c r="C36" i="5" l="1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<sst xmlns="http://schemas.openxmlformats.org/spreadsheetml/2006/main" count="920" uniqueCount="169">
  <si>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</si>
  <si>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</si>
  <si>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</si>
  <si>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</si>
  <si>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</si>
  <si>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</si>
  <si>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</si>
  <si>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</si>
  <si>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</si>
  <si>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</si>
  <si>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</si>
  <si>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</si>
  <si>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</si>
  <si>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</si>
  <si>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</si>
  <si>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</si>
  <si>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</si>
  <si>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</si>
  <si>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</si>
  <si>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</si>
  <si>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</si>
  <si>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</si>
  <si>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</si>
  <si>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</si>
  <si>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</si>
  <si>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</si>
  <si>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</si>
  <si>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</si>
  <si>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</si>
  <si>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</si>
  <si>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</si>
  <si>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</si>
  <si>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</si>
  <si>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</si>
  <si>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</si>
  <si>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</si>
  <si>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</si>
  <si>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</si>
  <si>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</si>
  <si>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</si>
  <si>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</si>
  <si>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</si>
  <si>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</si>
  <si>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</si>
  <si>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</si>
  <si>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</si>
  <si>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</si>
  <si>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</si>
  <si>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</si>
  <si>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</si>
  <si>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</si>
  <si>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</si>
  <si>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</si>
  <si>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</si>
  <si>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</si>
  <si>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</si>
  <si>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</si>
  <si>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</si>
  <si>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</si>
  <si>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</si>
  <si>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</si>
  <si>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</si>
  <si>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</si>
  <si>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</si>
  <si>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</si>
  <si>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</si>
  <si>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</si>
  <si>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</si>
  <si>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</si>
  <si>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</si>
  <si>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</si>
  <si>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</si>
  <si>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</si>
  <si>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</si>
  <si>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</si>
  <si>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</si>
  <si>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</si>
  <si>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</si>
  <si>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</si>
  <si>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</si>
  <si>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</si>
  <si>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</si>
  <si>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</si>
  <si>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</si>
  <si>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</si>
  <si>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</si>
  <si>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</si>
  <si>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</si>
  <si>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</si>
  <si>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</si>
  <si>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</si>
  <si>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</si>
  <si>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</si>
  <si>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</si>
  <si>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</si>
  <si>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</si>
  <si>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</si>
  <si>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</si>
  <si>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</si>
  <si>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</si>
  <si>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</si>
  <si>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</si>
  <si>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</si>
  <si>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</si>
  <si>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</si>
  <si>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</si>
  <si>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</si>
  <si>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</si>
  <si>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</si>
  <si>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</si>
  <si>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</si>
  <si>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</si>
  <si>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</si>
  <si>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</si>
  <si>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</si>
  <si>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</si>
  <si>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</si>
  <si>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</si>
  <si>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</si>
  <si>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</si>
  <si>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</si>
  <si>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</si>
  <si>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</si>
  <si>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</si>
  <si>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</si>
  <si>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</si>
  <si>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</si>
  <si>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</si>
  <si>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</si>
  <si>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</si>
  <si>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</si>
  <si>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</si>
  <si>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</si>
  <si>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</si>
  <si>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</si>
  <si>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</si>
  <si>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</si>
  <si>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</si>
  <si>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</si>
  <si>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</si>
  <si>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</si>
  <si>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</si>
  <si>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</si>
  <si>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</si>
  <si>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</si>
  <si>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</si>
  <si>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</si>
  <si>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</si>
  <si>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</si>
  <si>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</si>
  <si>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</si>
  <si>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>101736</t>
  </si>
  <si>
    <t>ZAYO-ENT-S-1</t>
  </si>
  <si>
    <t>4629 Tchulahoma Rd</t>
  </si>
  <si>
    <t>Tchulahoma, TN</t>
  </si>
  <si>
    <t>458179/Cell Site</t>
  </si>
  <si>
    <t>VZW Rack</t>
  </si>
  <si>
    <t>11/17/2016 MM</t>
  </si>
  <si>
    <t>Steve Sanders</t>
  </si>
  <si>
    <t>458179: ZAYO-ENT-S-1</t>
  </si>
  <si>
    <t>Unk</t>
  </si>
  <si>
    <t>Pigtail</t>
  </si>
  <si>
    <t>1</t>
  </si>
  <si>
    <t xml:space="preserve">Clearfield </t>
  </si>
  <si>
    <t>ISO-0151654</t>
  </si>
  <si>
    <t>F16T-0020369</t>
  </si>
  <si>
    <t>Zayo 24 Port Clearfield Panel</t>
  </si>
  <si>
    <t>Clearfield Panel</t>
  </si>
  <si>
    <t>1-12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</si>
</sst>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1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3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1531620</xdr:colOff>
          <xdr:row>10</xdr:row>
          <xdr:rowOff>114300</xdr:rowOff>
        </xdr:from>
        <xdr:to>
          <xdr:col>4</xdr:col>
          <xdr:colOff>1341120</xdr:colOff>
          <xdr:row>12</xdr:row>
          <xdr:rowOff>99060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4</xdr:col>
          <xdr:colOff>1516380</xdr:colOff>
          <xdr:row>44</xdr:row>
          <xdr:rowOff>167640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55</xdr:row>
          <xdr:rowOff>0</xdr:rowOff>
        </xdr:from>
        <xdr:to>
          <xdr:col>2</xdr:col>
          <xdr:colOff>1584960</xdr:colOff>
          <xdr:row>56</xdr:row>
          <xdr:rowOff>129540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53</xdr:row>
          <xdr:rowOff>60960</xdr:rowOff>
        </xdr:from>
        <xdr:to>
          <xdr:col>2</xdr:col>
          <xdr:colOff>1584960</xdr:colOff>
          <xdr:row>55</xdr:row>
          <xdr:rowOff>22860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52</xdr:row>
          <xdr:rowOff>152400</xdr:rowOff>
        </xdr:from>
        <xdr:to>
          <xdr:col>1</xdr:col>
          <xdr:colOff>1508760</xdr:colOff>
          <xdr:row>54</xdr:row>
          <xdr:rowOff>152400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402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7620</xdr:rowOff>
        </xdr:from>
        <xdr:to>
          <xdr:col>12</xdr:col>
          <xdr:colOff>2240280</xdr:colOff>
          <xdr:row>43</xdr:row>
          <xdr:rowOff>68580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144780</xdr:rowOff>
        </xdr:from>
        <xdr:to>
          <xdr:col>27</xdr:col>
          <xdr:colOff>601980</xdr:colOff>
          <xdr:row>3</xdr:row>
          <xdr:rowOff>144780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53340</xdr:colOff>
          <xdr:row>2</xdr:row>
          <xdr:rowOff>106680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53340</xdr:colOff>
          <xdr:row>4</xdr:row>
          <xdr:rowOff>137160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</xdr:colOff>
          <xdr:row>4</xdr:row>
          <xdr:rowOff>190500</xdr:rowOff>
        </xdr:from>
        <xdr:to>
          <xdr:col>14</xdr:col>
          <xdr:colOff>457200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388620</xdr:colOff>
          <xdr:row>2</xdr:row>
          <xdr:rowOff>106680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4</xdr:col>
          <xdr:colOff>388620</xdr:colOff>
          <xdr:row>4</xdr:row>
          <xdr:rowOff>137160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lockhart\Documents\Standards%20and%20Guides\CS%20Standards%20Documents\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ColWidth="9.109375" defaultRowHeight="12.6" x14ac:dyDescent="0.25"/>
  <cols>
    <col min="1" max="1" width="9.109375" style="310" customWidth="1"/>
    <col min="2" max="16384" width="9.109375" style="310"/>
  </cols>
  <sheetData>
    <row r="1" spans="1:22" ht="23.25" customHeight="1" x14ac:dyDescent="0.25">
      <c r="A1" s="474" t="s">
        <v>102</v>
      </c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</row>
    <row r="2" spans="1:22" x14ac:dyDescent="0.25">
      <c r="A2" s="474"/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</row>
    <row r="3" spans="1:22" x14ac:dyDescent="0.25">
      <c r="A3" s="474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</row>
    <row r="4" spans="1:22" x14ac:dyDescent="0.25">
      <c r="K4" s="475" t="s">
        <v>103</v>
      </c>
      <c r="L4" s="475"/>
    </row>
    <row r="5" spans="1:22" x14ac:dyDescent="0.25">
      <c r="A5" s="475" t="s">
        <v>104</v>
      </c>
      <c r="B5" s="475"/>
      <c r="K5" s="475"/>
      <c r="L5" s="475"/>
    </row>
    <row r="6" spans="1:22" x14ac:dyDescent="0.25">
      <c r="A6" s="475"/>
      <c r="B6" s="475"/>
    </row>
    <row r="45" spans="1:2" x14ac:dyDescent="0.25">
      <c r="A45" s="475" t="s">
        <v>105</v>
      </c>
      <c r="B45" s="475"/>
    </row>
    <row r="46" spans="1:2" x14ac:dyDescent="0.25">
      <c r="A46" s="475"/>
      <c r="B46" s="475"/>
    </row>
    <row r="60" spans="1:2" x14ac:dyDescent="0.25">
      <c r="A60" s="475" t="s">
        <v>106</v>
      </c>
      <c r="B60" s="475"/>
    </row>
    <row r="61" spans="1:2" x14ac:dyDescent="0.25">
      <c r="A61" s="475"/>
      <c r="B61" s="47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opLeftCell="A28" zoomScale="85" zoomScaleNormal="85" workbookViewId="0">
      <selection activeCell="B47" sqref="B47:C48"/>
    </sheetView>
  </sheetViews>
  <sheetFormatPr defaultRowHeight="13.2" x14ac:dyDescent="0.25"/>
  <cols>
    <col min="1" max="1" width="2.6640625" customWidth="1"/>
    <col min="2" max="2" width="22.6640625" customWidth="1"/>
    <col min="3" max="4" width="24.33203125" customWidth="1"/>
    <col min="5" max="5" width="22.6640625" customWidth="1"/>
    <col min="6" max="6" width="2.6640625" customWidth="1"/>
    <col min="7" max="7" width="4.109375" style="2" customWidth="1"/>
    <col min="8" max="8" width="6.44140625" customWidth="1"/>
    <col min="9" max="9" width="8.33203125" customWidth="1"/>
    <col min="10" max="10" width="23.88671875" customWidth="1"/>
    <col min="11" max="11" width="15" customWidth="1"/>
    <col min="12" max="12" width="13.44140625" customWidth="1"/>
    <col min="13" max="13" width="33.88671875" customWidth="1"/>
    <col min="14" max="14" width="9.109375" style="20"/>
    <col min="15" max="15" width="0" style="16" hidden="1" customWidth="1"/>
    <col min="16" max="16" width="11.10937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09375" style="2"/>
  </cols>
  <sheetData>
    <row r="1" spans="1:59" x14ac:dyDescent="0.25">
      <c r="A1" s="21"/>
      <c r="B1" s="22"/>
      <c r="C1" s="22"/>
      <c r="D1" s="22"/>
      <c r="E1" s="22"/>
      <c r="F1" s="23"/>
      <c r="G1" s="24">
        <v>1</v>
      </c>
      <c r="H1" s="307" t="s">
        <v>150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5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5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5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6" x14ac:dyDescent="0.3">
      <c r="A5" s="27"/>
      <c r="B5" s="28"/>
      <c r="C5" s="28"/>
      <c r="D5" s="30"/>
      <c r="E5" s="30"/>
      <c r="F5" s="29"/>
      <c r="G5" s="31"/>
      <c r="H5" s="510" t="s">
        <v>72</v>
      </c>
      <c r="I5" s="510"/>
      <c r="J5" s="51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5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5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5">
      <c r="A8" s="480" t="s">
        <v>82</v>
      </c>
      <c r="B8" s="481"/>
      <c r="C8" s="481"/>
      <c r="D8" s="481"/>
      <c r="E8" s="481"/>
      <c r="F8" s="482"/>
      <c r="G8" s="31"/>
      <c r="H8" s="119"/>
      <c r="I8" s="120" t="s">
        <v>8</v>
      </c>
      <c r="J8" s="306" t="s">
        <v>151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5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4.4" thickBot="1" x14ac:dyDescent="0.3">
      <c r="A10" s="27"/>
      <c r="B10" s="28"/>
      <c r="C10" s="28"/>
      <c r="D10" s="28"/>
      <c r="E10" s="28"/>
      <c r="F10" s="38"/>
      <c r="G10" s="31"/>
      <c r="H10" s="511" t="s">
        <v>9</v>
      </c>
      <c r="I10" s="512"/>
      <c r="J10" s="210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8" thickBot="1" x14ac:dyDescent="0.3">
      <c r="A11" s="27"/>
      <c r="B11" s="39"/>
      <c r="C11" s="40" t="str">
        <f>IF(F11=1,"WALL FACE DIRECTION:","")</f>
        <v/>
      </c>
      <c r="D11" s="41"/>
      <c r="E11" s="42"/>
      <c r="F11" s="38">
        <v>0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 x14ac:dyDescent="0.25">
      <c r="A12" s="27"/>
      <c r="B12" s="43"/>
      <c r="C12" s="340" t="str">
        <f>IF(E44="","",IF(F11=1,C61,E44))</f>
        <v>VZW Rack</v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513" t="s">
        <v>98</v>
      </c>
      <c r="AY12" s="513"/>
      <c r="AZ12" s="513"/>
      <c r="BA12" s="513"/>
      <c r="BB12" s="513"/>
      <c r="BC12" s="513"/>
      <c r="BD12" s="513"/>
      <c r="BE12" s="513"/>
      <c r="BF12" s="513"/>
      <c r="BG12" s="513"/>
    </row>
    <row r="13" spans="1:59" ht="12.75" customHeight="1" x14ac:dyDescent="0.25">
      <c r="A13" s="27"/>
      <c r="B13" s="46">
        <f>IF($AI$4&gt;0,(IF(AG8&gt;0,AG8,0)),IF(AG14&gt;0,AG14,IF($F$11=1,1,0)))</f>
        <v>0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83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83"/>
      <c r="J13" s="483"/>
      <c r="K13" s="483"/>
      <c r="L13" s="483"/>
      <c r="M13" s="483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513"/>
      <c r="AY13" s="513"/>
      <c r="AZ13" s="513"/>
      <c r="BA13" s="513"/>
      <c r="BB13" s="513"/>
      <c r="BC13" s="513"/>
      <c r="BD13" s="513"/>
      <c r="BE13" s="513"/>
      <c r="BF13" s="513"/>
      <c r="BG13" s="513"/>
    </row>
    <row r="14" spans="1:59" ht="13.5" customHeight="1" thickBot="1" x14ac:dyDescent="0.3">
      <c r="A14" s="27"/>
      <c r="B14" s="46">
        <f t="shared" ref="B14:B37" si="20">IF($AI$4&gt;0,(IF(AG9&gt;0,AG9,0)),IF(AG15&gt;0,AG15,IF($F$11=1,1,0)))</f>
        <v>0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84"/>
      <c r="I14" s="484"/>
      <c r="J14" s="484"/>
      <c r="K14" s="484"/>
      <c r="L14" s="484"/>
      <c r="M14" s="484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513"/>
      <c r="AY14" s="513"/>
      <c r="AZ14" s="513"/>
      <c r="BA14" s="513"/>
      <c r="BB14" s="513"/>
      <c r="BC14" s="513"/>
      <c r="BD14" s="513"/>
      <c r="BE14" s="513"/>
      <c r="BF14" s="513"/>
      <c r="BG14" s="513"/>
    </row>
    <row r="15" spans="1:59" x14ac:dyDescent="0.25">
      <c r="A15" s="27"/>
      <c r="B15" s="46">
        <f t="shared" si="20"/>
        <v>0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 x14ac:dyDescent="0.25">
      <c r="A16" s="27"/>
      <c r="B16" s="46">
        <f t="shared" si="20"/>
        <v>0</v>
      </c>
      <c r="C16" s="116" t="str">
        <f t="shared" si="18"/>
        <v/>
      </c>
      <c r="D16" s="44" t="str">
        <f t="shared" si="19"/>
        <v/>
      </c>
      <c r="E16" s="45"/>
      <c r="F16" s="29"/>
      <c r="G16" s="80"/>
      <c r="H16" s="1"/>
      <c r="I16" s="14" t="s">
        <v>70</v>
      </c>
      <c r="J16" s="12" t="s">
        <v>166</v>
      </c>
      <c r="K16" s="13" t="s">
        <v>152</v>
      </c>
      <c r="L16" s="11"/>
      <c r="M16" s="118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/>
      </c>
      <c r="N16" s="37" t="str">
        <f>CONCATENATE(J16,"  ",K16)</f>
        <v>Zayo 24 Port Clearfield Panel  ZAYO-ENT-S-1</v>
      </c>
      <c r="O16" s="26">
        <f>COUNTBLANK(H16:M16)</f>
        <v>3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 x14ac:dyDescent="0.25">
      <c r="A17" s="27"/>
      <c r="B17" s="46">
        <f t="shared" si="20"/>
        <v>0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x14ac:dyDescent="0.25">
      <c r="A18" s="27"/>
      <c r="B18" s="46">
        <f t="shared" si="20"/>
        <v>0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 x14ac:dyDescent="0.25">
      <c r="A19" s="27"/>
      <c r="B19" s="46">
        <f t="shared" si="20"/>
        <v>0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 x14ac:dyDescent="0.25">
      <c r="A20" s="27"/>
      <c r="B20" s="46">
        <f t="shared" si="20"/>
        <v>0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 x14ac:dyDescent="0.25">
      <c r="A21" s="27"/>
      <c r="B21" s="46">
        <f t="shared" si="20"/>
        <v>0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 x14ac:dyDescent="0.25">
      <c r="A22" s="27"/>
      <c r="B22" s="46">
        <f t="shared" si="20"/>
        <v>0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8" thickBot="1" x14ac:dyDescent="0.3">
      <c r="A23" s="27"/>
      <c r="B23" s="46">
        <f t="shared" si="20"/>
        <v>0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80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5">
      <c r="A24" s="27"/>
      <c r="B24" s="46">
        <f t="shared" si="20"/>
        <v>0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x14ac:dyDescent="0.25">
      <c r="A25" s="27"/>
      <c r="B25" s="46">
        <f t="shared" si="20"/>
        <v>0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5">
      <c r="A26" s="27"/>
      <c r="B26" s="46">
        <f t="shared" si="20"/>
        <v>0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5">
      <c r="A27" s="27"/>
      <c r="B27" s="46">
        <f t="shared" si="20"/>
        <v>0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5">
      <c r="A28" s="27"/>
      <c r="B28" s="46">
        <f t="shared" si="20"/>
        <v>0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5">
      <c r="A29" s="27"/>
      <c r="B29" s="46">
        <f t="shared" si="20"/>
        <v>0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5">
      <c r="A30" s="27"/>
      <c r="B30" s="46">
        <f t="shared" si="20"/>
        <v>0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 x14ac:dyDescent="0.25">
      <c r="A31" s="27"/>
      <c r="B31" s="46">
        <f t="shared" si="20"/>
        <v>0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 x14ac:dyDescent="0.25">
      <c r="A32" s="27"/>
      <c r="B32" s="46">
        <f t="shared" si="20"/>
        <v>0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458179: ZAYO-ENT-S-1</v>
      </c>
      <c r="K32" s="51"/>
      <c r="L32" s="51"/>
      <c r="M32" s="51"/>
      <c r="N32" s="37" t="str">
        <f t="shared" si="22"/>
        <v xml:space="preserve">458179: ZAYO-ENT-S-1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x14ac:dyDescent="0.25">
      <c r="A33" s="27"/>
      <c r="B33" s="46">
        <f t="shared" si="20"/>
        <v>0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>Pigtail</v>
      </c>
      <c r="K33" s="51"/>
      <c r="L33" s="51"/>
      <c r="M33" s="51"/>
      <c r="N33" s="37" t="str">
        <f t="shared" si="22"/>
        <v xml:space="preserve">Pigtail  </v>
      </c>
      <c r="O33" s="26">
        <f t="shared" si="23"/>
        <v>5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x14ac:dyDescent="0.25">
      <c r="A34" s="27"/>
      <c r="B34" s="46">
        <f t="shared" si="20"/>
        <v>0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x14ac:dyDescent="0.25">
      <c r="A35" s="27"/>
      <c r="B35" s="46">
        <f t="shared" si="20"/>
        <v>0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x14ac:dyDescent="0.25">
      <c r="A36" s="27"/>
      <c r="B36" s="46">
        <f t="shared" si="20"/>
        <v>0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x14ac:dyDescent="0.25">
      <c r="A37" s="27"/>
      <c r="B37" s="46">
        <f t="shared" si="20"/>
        <v>0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8" thickBot="1" x14ac:dyDescent="0.3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8" thickBot="1" x14ac:dyDescent="0.3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8" thickTop="1" x14ac:dyDescent="0.25">
      <c r="A40" s="27"/>
      <c r="B40" s="55" t="s">
        <v>136</v>
      </c>
      <c r="C40" s="55" t="s">
        <v>0</v>
      </c>
      <c r="D40" s="55" t="s">
        <v>137</v>
      </c>
      <c r="E40" s="55" t="s">
        <v>148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5">
      <c r="A41" s="27"/>
      <c r="B41" s="485" t="s">
        <v>153</v>
      </c>
      <c r="C41" s="485" t="s">
        <v>154</v>
      </c>
      <c r="D41" s="485">
        <v>1</v>
      </c>
      <c r="E41" s="485"/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8" thickBot="1" x14ac:dyDescent="0.3">
      <c r="A42" s="27"/>
      <c r="B42" s="486"/>
      <c r="C42" s="486"/>
      <c r="D42" s="486"/>
      <c r="E42" s="487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8" thickTop="1" x14ac:dyDescent="0.25">
      <c r="A43" s="27"/>
      <c r="B43" s="58" t="s">
        <v>31</v>
      </c>
      <c r="C43" s="59"/>
      <c r="D43" s="297" t="s">
        <v>138</v>
      </c>
      <c r="E43" s="296" t="str">
        <f>IF(F11=1,"Wall Direction","Rack \ Enclosure")</f>
        <v>Rack \ Enclosure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5">
      <c r="A44" s="60">
        <f>LEN(B44)</f>
        <v>0</v>
      </c>
      <c r="B44" s="490"/>
      <c r="C44" s="491"/>
      <c r="D44" s="508" t="s">
        <v>155</v>
      </c>
      <c r="E44" s="506" t="s">
        <v>156</v>
      </c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8" thickBot="1" x14ac:dyDescent="0.3">
      <c r="A45" s="27"/>
      <c r="B45" s="492"/>
      <c r="C45" s="493"/>
      <c r="D45" s="509"/>
      <c r="E45" s="507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8" thickTop="1" x14ac:dyDescent="0.25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5">
      <c r="A47" s="27"/>
      <c r="B47" s="490" t="s">
        <v>167</v>
      </c>
      <c r="C47" s="491"/>
      <c r="D47" s="494" t="str">
        <f>CONCATENATE('Cable Info'!C11,"  ",'Cable Info'!C18,"   ",'Cable Info'!C25,"  ",'Cable Info'!C32,"   ",'Cable Info'!C39,"   ",'Cable Info'!C46)</f>
        <v xml:space="preserve">458179: ZAYO-ENT-S-1  Pigtail           </v>
      </c>
      <c r="E47" s="495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8" thickBot="1" x14ac:dyDescent="0.3">
      <c r="A48" s="27"/>
      <c r="B48" s="492"/>
      <c r="C48" s="493"/>
      <c r="D48" s="496"/>
      <c r="E48" s="497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8" thickTop="1" x14ac:dyDescent="0.25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5">
      <c r="A50" s="27"/>
      <c r="B50" s="498"/>
      <c r="C50" s="500" t="s">
        <v>157</v>
      </c>
      <c r="D50" s="502" t="s">
        <v>158</v>
      </c>
      <c r="E50" s="503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8" thickBot="1" x14ac:dyDescent="0.3">
      <c r="A51" s="27"/>
      <c r="B51" s="499"/>
      <c r="C51" s="501"/>
      <c r="D51" s="499"/>
      <c r="E51" s="504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4" thickTop="1" thickBot="1" x14ac:dyDescent="0.3">
      <c r="A52" s="27"/>
      <c r="B52" s="488" t="str">
        <f>IF(C54=1,IF(B57=FALSE,"FLOOR SUMMARY NEEDED!","FLOOR SUMMARY"),"")</f>
        <v/>
      </c>
      <c r="C52" s="489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3">
      <c r="A53" s="27"/>
      <c r="B53" s="67" t="s">
        <v>22</v>
      </c>
      <c r="C53" s="68" t="s">
        <v>29</v>
      </c>
      <c r="D53" s="476" t="str">
        <f>J8</f>
        <v>101736</v>
      </c>
      <c r="E53" s="477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 x14ac:dyDescent="0.25">
      <c r="A54" s="27"/>
      <c r="B54" s="505"/>
      <c r="C54" s="81">
        <v>0</v>
      </c>
      <c r="D54" s="476"/>
      <c r="E54" s="477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3">
      <c r="A55" s="27"/>
      <c r="B55" s="505"/>
      <c r="C55" s="82"/>
      <c r="D55" s="476"/>
      <c r="E55" s="477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 x14ac:dyDescent="0.25">
      <c r="A56" s="27"/>
      <c r="B56" s="472" t="s">
        <v>32</v>
      </c>
      <c r="C56" s="204">
        <f>IF(C64=FALSE,IF(C65=FALSE,1,0),0)</f>
        <v>1</v>
      </c>
      <c r="D56" s="476"/>
      <c r="E56" s="477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3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>001</v>
      </c>
      <c r="C57" s="473"/>
      <c r="D57" s="478"/>
      <c r="E57" s="479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5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8" thickBot="1" x14ac:dyDescent="0.3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5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5">
      <c r="A61" s="78"/>
      <c r="B61" s="358">
        <v>10</v>
      </c>
      <c r="C61" s="358"/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5">
      <c r="A62" s="78"/>
      <c r="B62" s="78">
        <v>9</v>
      </c>
      <c r="C62" s="358" t="str">
        <f>IF(C61="","",CONCATENATE("WALL",C61))</f>
        <v/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5">
      <c r="A63" s="78"/>
      <c r="B63" s="358">
        <v>8</v>
      </c>
      <c r="C63" s="359" t="s">
        <v>89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5">
      <c r="A64" s="78"/>
      <c r="B64" s="78">
        <v>7</v>
      </c>
      <c r="C64" s="358" t="b">
        <v>0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5">
      <c r="A65" s="78"/>
      <c r="B65" s="78">
        <v>6</v>
      </c>
      <c r="C65" s="358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5">
      <c r="A66" s="78"/>
      <c r="B66" s="78">
        <v>5</v>
      </c>
      <c r="C66" s="360" t="str">
        <f>IF(C63&lt;0,CONCATENATE("0",C63),IF(LEN(C63)=2,C63,CONCATENATE("0",C63)))</f>
        <v>0Select Checkbox!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5">
      <c r="A67" s="78"/>
      <c r="B67" s="78">
        <v>4</v>
      </c>
      <c r="C67" s="78" t="e">
        <f>C66*(-1)</f>
        <v>#VALUE!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5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5">
      <c r="A69" s="78"/>
      <c r="B69" s="78">
        <v>2</v>
      </c>
      <c r="C69" s="78"/>
      <c r="D69" s="78" t="s">
        <v>101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5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5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5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5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5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5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5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5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5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5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5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5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5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5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5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5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5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5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5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5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5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5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5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5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5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5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5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5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5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5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5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5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5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5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5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5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5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5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5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5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5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5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5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5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5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5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5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5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5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5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5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5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5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5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5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5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5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5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5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5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5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5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5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5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5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BIdWXfmY3Yfl4Of51haCQCPmrDR9q6qD17wBvTlWuwi5zQ63BP2obnv8aICbrEM9qBoPXW10car7zkirqD8/QA==" saltValue="9/k0f1vgloXCjWhyb6nwfQ==" spinCount="100000" sheet="1" objects="1" scenarios="1" selectLockedCells="1"/>
  <mergeCells count="21">
    <mergeCell ref="E44:E45"/>
    <mergeCell ref="D44:D45"/>
    <mergeCell ref="H5:J5"/>
    <mergeCell ref="H10:I10"/>
    <mergeCell ref="AX12:BG14"/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</mergeCells>
  <conditionalFormatting sqref="H16:M23">
    <cfRule type="expression" dxfId="60" priority="50" stopIfTrue="1">
      <formula>$P16="DUPLICATE"</formula>
    </cfRule>
  </conditionalFormatting>
  <conditionalFormatting sqref="H16:M23">
    <cfRule type="expression" dxfId="59" priority="39" stopIfTrue="1">
      <formula>$P16="DUPLICATE"</formula>
    </cfRule>
  </conditionalFormatting>
  <conditionalFormatting sqref="H13">
    <cfRule type="expression" dxfId="58" priority="52" stopIfTrue="1">
      <formula>$H$13="MP OVERLAP.  ADJUST MP TABLE!!! (LOWER MP AFFECTED BY OVER LAP)"</formula>
    </cfRule>
  </conditionalFormatting>
  <conditionalFormatting sqref="B38:E38">
    <cfRule type="expression" dxfId="57" priority="20" stopIfTrue="1">
      <formula>$F$11=1</formula>
    </cfRule>
  </conditionalFormatting>
  <conditionalFormatting sqref="C13:C37">
    <cfRule type="expression" dxfId="56" priority="14" stopIfTrue="1">
      <formula>$B13=1</formula>
    </cfRule>
    <cfRule type="expression" dxfId="55" priority="15" stopIfTrue="1">
      <formula>$B13=0</formula>
    </cfRule>
    <cfRule type="expression" dxfId="54" priority="16" stopIfTrue="1">
      <formula>$B13&lt;&gt;$B12</formula>
    </cfRule>
    <cfRule type="expression" dxfId="53" priority="17" stopIfTrue="1">
      <formula>$B13&lt;&gt;0</formula>
    </cfRule>
  </conditionalFormatting>
  <conditionalFormatting sqref="C12:C37">
    <cfRule type="expression" dxfId="52" priority="18" stopIfTrue="1">
      <formula>$F$11=1</formula>
    </cfRule>
  </conditionalFormatting>
  <conditionalFormatting sqref="C38:E38 C11:E11 D12:E37 B11:B38">
    <cfRule type="expression" dxfId="51" priority="19" stopIfTrue="1">
      <formula>$F$11=1</formula>
    </cfRule>
  </conditionalFormatting>
  <conditionalFormatting sqref="C11">
    <cfRule type="expression" dxfId="50" priority="13" stopIfTrue="1">
      <formula>$F$11=1</formula>
    </cfRule>
  </conditionalFormatting>
  <conditionalFormatting sqref="B52:C52">
    <cfRule type="expression" dxfId="49" priority="8" stopIfTrue="1">
      <formula>$C$54=0</formula>
    </cfRule>
    <cfRule type="expression" dxfId="48" priority="11" stopIfTrue="1">
      <formula>$B$52="FLOOR SUMMARY NEEDED!"</formula>
    </cfRule>
  </conditionalFormatting>
  <conditionalFormatting sqref="B57">
    <cfRule type="expression" dxfId="47" priority="10" stopIfTrue="1">
      <formula>$B$57=FALSE</formula>
    </cfRule>
  </conditionalFormatting>
  <conditionalFormatting sqref="C54:C57">
    <cfRule type="expression" dxfId="46" priority="9" stopIfTrue="1">
      <formula>$C$56=1</formula>
    </cfRule>
  </conditionalFormatting>
  <conditionalFormatting sqref="B53:B55">
    <cfRule type="expression" dxfId="45" priority="7" stopIfTrue="1">
      <formula>$C$54=0</formula>
    </cfRule>
  </conditionalFormatting>
  <conditionalFormatting sqref="C53:C55">
    <cfRule type="expression" dxfId="44" priority="6" stopIfTrue="1">
      <formula>$C$54=0</formula>
    </cfRule>
  </conditionalFormatting>
  <conditionalFormatting sqref="E43">
    <cfRule type="expression" dxfId="43" priority="5" stopIfTrue="1">
      <formula>$D$43="MAKE WALL SELECTION"</formula>
    </cfRule>
    <cfRule type="expression" dxfId="42" priority="12" stopIfTrue="1">
      <formula>$F$11=1</formula>
    </cfRule>
  </conditionalFormatting>
  <conditionalFormatting sqref="C56:C57">
    <cfRule type="expression" dxfId="41" priority="4" stopIfTrue="1">
      <formula>$C$54=0</formula>
    </cfRule>
  </conditionalFormatting>
  <conditionalFormatting sqref="B44:C45">
    <cfRule type="expression" dxfId="40" priority="3">
      <formula>$M$1&gt;0</formula>
    </cfRule>
  </conditionalFormatting>
  <conditionalFormatting sqref="D41:D42">
    <cfRule type="expression" dxfId="39" priority="2">
      <formula>$M$2&gt;0</formula>
    </cfRule>
  </conditionalFormatting>
  <conditionalFormatting sqref="E44">
    <cfRule type="expression" dxfId="38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341" r:id="rId4" name="TextBox1">
          <controlPr autoLine="0" autoPict="0" r:id="rId5">
            <anchor moveWithCells="1">
              <from>
                <xdr:col>6</xdr:col>
                <xdr:colOff>266700</xdr:colOff>
                <xdr:row>24</xdr:row>
                <xdr:rowOff>7620</xdr:rowOff>
              </from>
              <to>
                <xdr:col>12</xdr:col>
                <xdr:colOff>2240280</xdr:colOff>
                <xdr:row>43</xdr:row>
                <xdr:rowOff>68580</xdr:rowOff>
              </to>
            </anchor>
          </controlPr>
        </control>
      </mc:Choice>
      <mc:Fallback>
        <control shapeId="8341" r:id="rId4" name="TextBox1"/>
      </mc:Fallback>
    </mc:AlternateContent>
    <mc:AlternateContent xmlns:mc="http://schemas.openxmlformats.org/markup-compatibility/2006">
      <mc:Choice Requires="x14">
        <control shapeId="8199" r:id="rId6" name="ComboBox2">
          <controlPr defaultSize="0" autoLine="0" linkedCell="C63" listFillRange="B61:B76" r:id="rId7">
            <anchor moveWithCells="1">
              <from>
                <xdr:col>1</xdr:col>
                <xdr:colOff>7620</xdr:colOff>
                <xdr:row>52</xdr:row>
                <xdr:rowOff>152400</xdr:rowOff>
              </from>
              <to>
                <xdr:col>1</xdr:col>
                <xdr:colOff>1508760</xdr:colOff>
                <xdr:row>54</xdr:row>
                <xdr:rowOff>152400</xdr:rowOff>
              </to>
            </anchor>
          </controlPr>
        </control>
      </mc:Choice>
      <mc:Fallback>
        <control shapeId="8199" r:id="rId6" name="ComboBox2"/>
      </mc:Fallback>
    </mc:AlternateContent>
    <mc:AlternateContent xmlns:mc="http://schemas.openxmlformats.org/markup-compatibility/2006">
      <mc:Choice Requires="x14">
        <control shapeId="8198" r:id="rId8" name="CheckBox1">
          <controlPr defaultSize="0" autoLine="0" linkedCell="C64" r:id="rId9">
            <anchor moveWithCells="1">
              <from>
                <xdr:col>2</xdr:col>
                <xdr:colOff>99060</xdr:colOff>
                <xdr:row>53</xdr:row>
                <xdr:rowOff>60960</xdr:rowOff>
              </from>
              <to>
                <xdr:col>2</xdr:col>
                <xdr:colOff>1584960</xdr:colOff>
                <xdr:row>55</xdr:row>
                <xdr:rowOff>22860</xdr:rowOff>
              </to>
            </anchor>
          </controlPr>
        </control>
      </mc:Choice>
      <mc:Fallback>
        <control shapeId="8198" r:id="rId8" name="CheckBox1"/>
      </mc:Fallback>
    </mc:AlternateContent>
    <mc:AlternateContent xmlns:mc="http://schemas.openxmlformats.org/markup-compatibility/2006">
      <mc:Choice Requires="x14">
        <control shapeId="8197" r:id="rId10" name="CheckBox2">
          <controlPr defaultSize="0" autoLine="0" linkedCell="C65" r:id="rId11">
            <anchor moveWithCells="1">
              <from>
                <xdr:col>2</xdr:col>
                <xdr:colOff>99060</xdr:colOff>
                <xdr:row>55</xdr:row>
                <xdr:rowOff>0</xdr:rowOff>
              </from>
              <to>
                <xdr:col>2</xdr:col>
                <xdr:colOff>1584960</xdr:colOff>
                <xdr:row>56</xdr:row>
                <xdr:rowOff>129540</xdr:rowOff>
              </to>
            </anchor>
          </controlPr>
        </control>
      </mc:Choice>
      <mc:Fallback>
        <control shapeId="8197" r:id="rId10" name="CheckBox2"/>
      </mc:Fallback>
    </mc:AlternateContent>
    <mc:AlternateContent xmlns:mc="http://schemas.openxmlformats.org/markup-compatibility/2006">
      <mc:Choice Requires="x14">
        <control shapeId="8195" r:id="rId12" name="ComboBox1">
          <controlPr defaultSize="0" autoLine="0" linkedCell="C61" listFillRange="D61:D69" r:id="rId13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4</xdr:col>
                <xdr:colOff>1516380</xdr:colOff>
                <xdr:row>44</xdr:row>
                <xdr:rowOff>167640</xdr:rowOff>
              </to>
            </anchor>
          </controlPr>
        </control>
      </mc:Choice>
      <mc:Fallback>
        <control shapeId="8195" r:id="rId12" name="ComboBox1"/>
      </mc:Fallback>
    </mc:AlternateContent>
    <mc:AlternateContent xmlns:mc="http://schemas.openxmlformats.org/markup-compatibility/2006">
      <mc:Choice Requires="x14">
        <control shapeId="8193" r:id="rId14" name="ToggleButton1">
          <controlPr defaultSize="0" autoLine="0" r:id="rId15">
            <anchor moveWithCells="1">
              <from>
                <xdr:col>3</xdr:col>
                <xdr:colOff>1531620</xdr:colOff>
                <xdr:row>10</xdr:row>
                <xdr:rowOff>114300</xdr:rowOff>
              </from>
              <to>
                <xdr:col>4</xdr:col>
                <xdr:colOff>1341120</xdr:colOff>
                <xdr:row>12</xdr:row>
                <xdr:rowOff>99060</xdr:rowOff>
              </to>
            </anchor>
          </controlPr>
        </control>
      </mc:Choice>
      <mc:Fallback>
        <control shapeId="8193" r:id="rId14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20" sqref="B20:B22"/>
    </sheetView>
  </sheetViews>
  <sheetFormatPr defaultColWidth="9.109375" defaultRowHeight="13.2" x14ac:dyDescent="0.25"/>
  <cols>
    <col min="1" max="1" width="3.88671875" style="79" customWidth="1"/>
    <col min="2" max="4" width="25" style="79" customWidth="1"/>
    <col min="5" max="6" width="13.33203125" style="79" customWidth="1"/>
    <col min="7" max="7" width="3.88671875" style="79" customWidth="1"/>
    <col min="8" max="8" width="9.109375" style="182" customWidth="1"/>
    <col min="9" max="9" width="14.88671875" style="182" hidden="1" customWidth="1"/>
    <col min="10" max="25" width="9.109375" style="182" hidden="1" customWidth="1"/>
    <col min="26" max="26" width="0" style="182" hidden="1" customWidth="1"/>
    <col min="27" max="147" width="9.109375" style="182"/>
    <col min="148" max="16384" width="9.109375" style="79"/>
  </cols>
  <sheetData>
    <row r="1" spans="1:147" ht="14.4" thickTop="1" thickBot="1" x14ac:dyDescent="0.3">
      <c r="A1" s="83"/>
      <c r="B1" s="84"/>
      <c r="C1" s="84"/>
      <c r="D1" s="84"/>
      <c r="E1" s="84"/>
      <c r="F1" s="84"/>
      <c r="G1" s="85"/>
      <c r="I1" s="182" t="s">
        <v>54</v>
      </c>
      <c r="J1" s="182" t="s">
        <v>56</v>
      </c>
      <c r="L1" s="182" t="s">
        <v>13</v>
      </c>
      <c r="M1" s="183"/>
      <c r="N1" s="183" t="s">
        <v>14</v>
      </c>
      <c r="P1" s="182" t="s">
        <v>50</v>
      </c>
      <c r="R1" s="182" t="s">
        <v>51</v>
      </c>
      <c r="T1" s="182" t="s">
        <v>52</v>
      </c>
      <c r="V1" s="182" t="s">
        <v>53</v>
      </c>
    </row>
    <row r="2" spans="1:147" s="90" customFormat="1" ht="14.4" thickBot="1" x14ac:dyDescent="0.3">
      <c r="A2" s="86"/>
      <c r="B2" s="87" t="s">
        <v>8</v>
      </c>
      <c r="C2" s="88"/>
      <c r="D2" s="88"/>
      <c r="E2" s="528" t="s">
        <v>9</v>
      </c>
      <c r="F2" s="529"/>
      <c r="G2" s="89"/>
      <c r="H2" s="182"/>
      <c r="I2" s="182" t="s">
        <v>45</v>
      </c>
      <c r="J2" s="182" t="s">
        <v>55</v>
      </c>
      <c r="K2" s="182">
        <v>1</v>
      </c>
      <c r="L2" s="182">
        <f>IF($B$13&gt;=K2,K2,"")</f>
        <v>1</v>
      </c>
      <c r="M2" s="182" t="e">
        <f>IF(L2="","",IF(L2&lt;=$E$15,VLOOKUP($E$14,$I$1:$J$4,2,FALSE),VLOOKUP($F$14,$I$1:$J$4,2,FALSE)))</f>
        <v>#N/A</v>
      </c>
      <c r="N2" s="182">
        <f>IF($B$20&gt;=K2,K2,"")</f>
        <v>1</v>
      </c>
      <c r="O2" s="182" t="e">
        <f>IF(N2="","",IF(N2&lt;=$E$22,VLOOKUP($E$21,$I$1:$J$4,2,FALSE),VLOOKUP($F$21,$I$1:$J$4,2,FALSE)))</f>
        <v>#N/A</v>
      </c>
      <c r="P2" s="182" t="str">
        <f>IF($B$27&gt;=K2,K2,"")</f>
        <v/>
      </c>
      <c r="Q2" s="182" t="str">
        <f>IF(P2="","",IF(P2&lt;=$E$29,VLOOKUP($E$28,$I$1:$J$4,2,FALSE),VLOOKUP($F$28,$I$1:$J$4,2,FALSE)))</f>
        <v/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 x14ac:dyDescent="0.25">
      <c r="A3" s="91"/>
      <c r="B3" s="530" t="str">
        <f>'Cover - Location Info'!J8</f>
        <v>101736</v>
      </c>
      <c r="C3" s="28"/>
      <c r="D3" s="28"/>
      <c r="E3" s="533" t="str">
        <f>'Cover - Location Info'!J10</f>
        <v>1.0</v>
      </c>
      <c r="F3" s="534"/>
      <c r="G3" s="92"/>
      <c r="I3" s="182" t="s">
        <v>46</v>
      </c>
      <c r="J3" s="182" t="s">
        <v>57</v>
      </c>
      <c r="K3" s="182">
        <v>2</v>
      </c>
      <c r="L3" s="182">
        <f t="shared" ref="L3:L66" si="0">IF($B$13&gt;=K3,K3,"")</f>
        <v>2</v>
      </c>
      <c r="M3" s="182" t="e">
        <f t="shared" ref="M3:M66" si="1">IF(L3="","",IF(L3&lt;=$E$15,VLOOKUP($E$14,$I$1:$J$4,2,FALSE),VLOOKUP($F$14,$I$1:$J$4,2,FALSE)))</f>
        <v>#N/A</v>
      </c>
      <c r="N3" s="182">
        <f t="shared" ref="N3:N66" si="2">IF($B$20&gt;=K3,K3,"")</f>
        <v>2</v>
      </c>
      <c r="O3" s="182" t="e">
        <f t="shared" ref="O3:O66" si="3">IF(N3="","",IF(N3&lt;=$E$22,VLOOKUP($E$21,$I$1:$J$4,2,FALSE),VLOOKUP($F$21,$I$1:$J$4,2,FALSE)))</f>
        <v>#N/A</v>
      </c>
      <c r="P3" s="182" t="str">
        <f t="shared" ref="P3:P66" si="4">IF($B$27&gt;=K3,K3,"")</f>
        <v/>
      </c>
      <c r="Q3" s="182" t="str">
        <f t="shared" ref="Q3:Q66" si="5">IF(P3="","",IF(P3&lt;=$E$29,VLOOKUP($E$28,$I$1:$J$4,2,FALSE),VLOOKUP($F$28,$I$1:$J$4,2,FALSE)))</f>
        <v/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91"/>
      <c r="B4" s="531"/>
      <c r="C4" s="28"/>
      <c r="D4" s="28"/>
      <c r="E4" s="535"/>
      <c r="F4" s="536"/>
      <c r="G4" s="92"/>
      <c r="I4" s="182" t="s">
        <v>47</v>
      </c>
      <c r="J4" s="182" t="s">
        <v>58</v>
      </c>
      <c r="K4" s="182">
        <v>3</v>
      </c>
      <c r="L4" s="182">
        <f t="shared" si="0"/>
        <v>3</v>
      </c>
      <c r="M4" s="182" t="e">
        <f t="shared" si="1"/>
        <v>#N/A</v>
      </c>
      <c r="N4" s="182">
        <f t="shared" si="2"/>
        <v>3</v>
      </c>
      <c r="O4" s="182" t="e">
        <f t="shared" si="3"/>
        <v>#N/A</v>
      </c>
      <c r="P4" s="182" t="str">
        <f t="shared" si="4"/>
        <v/>
      </c>
      <c r="Q4" s="182" t="str">
        <f t="shared" si="5"/>
        <v/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 x14ac:dyDescent="0.25">
      <c r="A5" s="91"/>
      <c r="B5" s="28"/>
      <c r="C5" s="28"/>
      <c r="D5" s="28"/>
      <c r="E5" s="28"/>
      <c r="F5" s="28"/>
      <c r="G5" s="92"/>
      <c r="I5" s="182" t="s">
        <v>49</v>
      </c>
      <c r="K5" s="182">
        <v>4</v>
      </c>
      <c r="L5" s="182">
        <f t="shared" si="0"/>
        <v>4</v>
      </c>
      <c r="M5" s="182" t="e">
        <f t="shared" si="1"/>
        <v>#N/A</v>
      </c>
      <c r="N5" s="182">
        <f t="shared" si="2"/>
        <v>4</v>
      </c>
      <c r="O5" s="182" t="e">
        <f t="shared" si="3"/>
        <v>#N/A</v>
      </c>
      <c r="P5" s="182" t="str">
        <f t="shared" si="4"/>
        <v/>
      </c>
      <c r="Q5" s="182" t="str">
        <f t="shared" si="5"/>
        <v/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5.8" x14ac:dyDescent="0.5">
      <c r="A6" s="91"/>
      <c r="B6" s="532" t="s">
        <v>2</v>
      </c>
      <c r="C6" s="532"/>
      <c r="D6" s="532"/>
      <c r="E6" s="532"/>
      <c r="F6" s="532"/>
      <c r="G6" s="92"/>
      <c r="K6" s="182">
        <v>5</v>
      </c>
      <c r="L6" s="182">
        <f t="shared" si="0"/>
        <v>5</v>
      </c>
      <c r="M6" s="182" t="e">
        <f t="shared" si="1"/>
        <v>#N/A</v>
      </c>
      <c r="N6" s="182">
        <f t="shared" si="2"/>
        <v>5</v>
      </c>
      <c r="O6" s="182" t="e">
        <f t="shared" si="3"/>
        <v>#N/A</v>
      </c>
      <c r="P6" s="182" t="str">
        <f t="shared" si="4"/>
        <v/>
      </c>
      <c r="Q6" s="182" t="str">
        <f t="shared" si="5"/>
        <v/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 x14ac:dyDescent="0.25">
      <c r="A7" s="91"/>
      <c r="B7" s="28"/>
      <c r="C7" s="28"/>
      <c r="D7" s="28"/>
      <c r="E7" s="28"/>
      <c r="F7" s="28"/>
      <c r="G7" s="92"/>
      <c r="I7" s="182" t="s">
        <v>61</v>
      </c>
      <c r="K7" s="182">
        <v>6</v>
      </c>
      <c r="L7" s="182">
        <f t="shared" si="0"/>
        <v>6</v>
      </c>
      <c r="M7" s="182" t="e">
        <f t="shared" si="1"/>
        <v>#N/A</v>
      </c>
      <c r="N7" s="182">
        <f t="shared" si="2"/>
        <v>6</v>
      </c>
      <c r="O7" s="182" t="e">
        <f t="shared" si="3"/>
        <v>#N/A</v>
      </c>
      <c r="P7" s="182" t="str">
        <f t="shared" si="4"/>
        <v/>
      </c>
      <c r="Q7" s="182" t="str">
        <f t="shared" si="5"/>
        <v/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 x14ac:dyDescent="0.25">
      <c r="A8" s="91"/>
      <c r="B8" s="28"/>
      <c r="C8" s="28"/>
      <c r="D8" s="28"/>
      <c r="E8" s="28"/>
      <c r="F8" s="28"/>
      <c r="G8" s="92"/>
      <c r="I8" s="182" t="s">
        <v>62</v>
      </c>
      <c r="K8" s="182">
        <v>7</v>
      </c>
      <c r="L8" s="182">
        <f t="shared" si="0"/>
        <v>7</v>
      </c>
      <c r="M8" s="182" t="e">
        <f t="shared" si="1"/>
        <v>#N/A</v>
      </c>
      <c r="N8" s="182">
        <f t="shared" si="2"/>
        <v>7</v>
      </c>
      <c r="O8" s="182" t="e">
        <f t="shared" si="3"/>
        <v>#N/A</v>
      </c>
      <c r="P8" s="182" t="str">
        <f t="shared" si="4"/>
        <v/>
      </c>
      <c r="Q8" s="182" t="str">
        <f t="shared" si="5"/>
        <v/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 x14ac:dyDescent="0.3">
      <c r="A9" s="91"/>
      <c r="B9" s="93"/>
      <c r="C9" s="93"/>
      <c r="D9" s="28"/>
      <c r="E9" s="93"/>
      <c r="F9" s="93"/>
      <c r="G9" s="92"/>
      <c r="I9" s="182" t="s">
        <v>63</v>
      </c>
      <c r="K9" s="182">
        <v>8</v>
      </c>
      <c r="L9" s="182">
        <f t="shared" si="0"/>
        <v>8</v>
      </c>
      <c r="M9" s="182" t="e">
        <f t="shared" si="1"/>
        <v>#N/A</v>
      </c>
      <c r="N9" s="182">
        <f t="shared" si="2"/>
        <v>8</v>
      </c>
      <c r="O9" s="182" t="e">
        <f t="shared" si="3"/>
        <v>#N/A</v>
      </c>
      <c r="P9" s="182" t="str">
        <f t="shared" si="4"/>
        <v/>
      </c>
      <c r="Q9" s="182" t="str">
        <f t="shared" si="5"/>
        <v/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 x14ac:dyDescent="0.3">
      <c r="A10" s="91"/>
      <c r="B10" s="94" t="s">
        <v>35</v>
      </c>
      <c r="C10" s="95" t="s">
        <v>33</v>
      </c>
      <c r="D10" s="520" t="s">
        <v>34</v>
      </c>
      <c r="E10" s="521"/>
      <c r="F10" s="522"/>
      <c r="G10" s="92"/>
      <c r="K10" s="182">
        <v>9</v>
      </c>
      <c r="L10" s="182">
        <f t="shared" si="0"/>
        <v>9</v>
      </c>
      <c r="M10" s="182" t="e">
        <f t="shared" si="1"/>
        <v>#N/A</v>
      </c>
      <c r="N10" s="182">
        <f t="shared" si="2"/>
        <v>9</v>
      </c>
      <c r="O10" s="182" t="e">
        <f t="shared" si="3"/>
        <v>#N/A</v>
      </c>
      <c r="P10" s="182" t="str">
        <f t="shared" si="4"/>
        <v/>
      </c>
      <c r="Q10" s="182" t="str">
        <f t="shared" si="5"/>
        <v/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 x14ac:dyDescent="0.3">
      <c r="A11" s="91"/>
      <c r="B11" s="3" t="s">
        <v>13</v>
      </c>
      <c r="C11" s="4" t="s">
        <v>159</v>
      </c>
      <c r="D11" s="523"/>
      <c r="E11" s="524"/>
      <c r="F11" s="525"/>
      <c r="G11" s="92"/>
      <c r="K11" s="182">
        <v>10</v>
      </c>
      <c r="L11" s="182">
        <f t="shared" si="0"/>
        <v>10</v>
      </c>
      <c r="M11" s="182" t="e">
        <f t="shared" si="1"/>
        <v>#N/A</v>
      </c>
      <c r="N11" s="182">
        <f t="shared" si="2"/>
        <v>10</v>
      </c>
      <c r="O11" s="182" t="e">
        <f t="shared" si="3"/>
        <v>#N/A</v>
      </c>
      <c r="P11" s="182" t="str">
        <f t="shared" si="4"/>
        <v/>
      </c>
      <c r="Q11" s="182" t="str">
        <f t="shared" si="5"/>
        <v/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8" thickBot="1" x14ac:dyDescent="0.3">
      <c r="A12" s="91"/>
      <c r="B12" s="96" t="s">
        <v>143</v>
      </c>
      <c r="C12" s="97" t="s">
        <v>36</v>
      </c>
      <c r="D12" s="98" t="s">
        <v>64</v>
      </c>
      <c r="E12" s="526" t="s">
        <v>41</v>
      </c>
      <c r="F12" s="527"/>
      <c r="G12" s="92"/>
      <c r="K12" s="182">
        <v>11</v>
      </c>
      <c r="L12" s="182">
        <f t="shared" si="0"/>
        <v>11</v>
      </c>
      <c r="M12" s="182" t="e">
        <f t="shared" si="1"/>
        <v>#N/A</v>
      </c>
      <c r="N12" s="182">
        <f t="shared" si="2"/>
        <v>11</v>
      </c>
      <c r="O12" s="182" t="e">
        <f t="shared" si="3"/>
        <v>#N/A</v>
      </c>
      <c r="P12" s="182" t="str">
        <f t="shared" si="4"/>
        <v/>
      </c>
      <c r="Q12" s="182" t="str">
        <f t="shared" si="5"/>
        <v/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 x14ac:dyDescent="0.3">
      <c r="A13" s="91"/>
      <c r="B13" s="514">
        <v>24</v>
      </c>
      <c r="C13" s="517" t="s">
        <v>160</v>
      </c>
      <c r="D13" s="111"/>
      <c r="E13" s="99" t="s">
        <v>44</v>
      </c>
      <c r="F13" s="100" t="s">
        <v>48</v>
      </c>
      <c r="G13" s="92"/>
      <c r="K13" s="182">
        <v>12</v>
      </c>
      <c r="L13" s="182">
        <f t="shared" si="0"/>
        <v>12</v>
      </c>
      <c r="M13" s="182" t="e">
        <f t="shared" si="1"/>
        <v>#N/A</v>
      </c>
      <c r="N13" s="182">
        <f t="shared" si="2"/>
        <v>12</v>
      </c>
      <c r="O13" s="182" t="e">
        <f t="shared" si="3"/>
        <v>#N/A</v>
      </c>
      <c r="P13" s="182" t="str">
        <f t="shared" si="4"/>
        <v/>
      </c>
      <c r="Q13" s="182" t="str">
        <f t="shared" si="5"/>
        <v/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 x14ac:dyDescent="0.3">
      <c r="A14" s="91"/>
      <c r="B14" s="515"/>
      <c r="C14" s="518"/>
      <c r="D14" s="98" t="s">
        <v>60</v>
      </c>
      <c r="E14" s="114"/>
      <c r="F14" s="115"/>
      <c r="G14" s="92"/>
      <c r="K14" s="182">
        <v>13</v>
      </c>
      <c r="L14" s="182">
        <f t="shared" si="0"/>
        <v>13</v>
      </c>
      <c r="M14" s="182" t="e">
        <f t="shared" si="1"/>
        <v>#N/A</v>
      </c>
      <c r="N14" s="182">
        <f t="shared" si="2"/>
        <v>13</v>
      </c>
      <c r="O14" s="182" t="e">
        <f t="shared" si="3"/>
        <v>#N/A</v>
      </c>
      <c r="P14" s="182" t="str">
        <f t="shared" si="4"/>
        <v/>
      </c>
      <c r="Q14" s="182" t="str">
        <f t="shared" si="5"/>
        <v/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 x14ac:dyDescent="0.3">
      <c r="A15" s="91"/>
      <c r="B15" s="516"/>
      <c r="C15" s="519"/>
      <c r="D15" s="112"/>
      <c r="E15" s="113"/>
      <c r="F15" s="101" t="str">
        <f>IF(B13="","",IF(E15="","",IF(F14="None","",B13-E15)))</f>
        <v/>
      </c>
      <c r="G15" s="92"/>
      <c r="K15" s="182">
        <v>14</v>
      </c>
      <c r="L15" s="182">
        <f t="shared" si="0"/>
        <v>14</v>
      </c>
      <c r="M15" s="182" t="e">
        <f t="shared" si="1"/>
        <v>#N/A</v>
      </c>
      <c r="N15" s="182">
        <f t="shared" si="2"/>
        <v>14</v>
      </c>
      <c r="O15" s="182" t="e">
        <f t="shared" si="3"/>
        <v>#N/A</v>
      </c>
      <c r="P15" s="182" t="str">
        <f t="shared" si="4"/>
        <v/>
      </c>
      <c r="Q15" s="182" t="str">
        <f t="shared" si="5"/>
        <v/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 x14ac:dyDescent="0.3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e">
        <f t="shared" si="1"/>
        <v>#N/A</v>
      </c>
      <c r="N16" s="182">
        <f t="shared" si="2"/>
        <v>15</v>
      </c>
      <c r="O16" s="182" t="e">
        <f t="shared" si="3"/>
        <v>#N/A</v>
      </c>
      <c r="P16" s="182" t="str">
        <f t="shared" si="4"/>
        <v/>
      </c>
      <c r="Q16" s="182" t="str">
        <f t="shared" si="5"/>
        <v/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8" thickBot="1" x14ac:dyDescent="0.3">
      <c r="A17" s="91"/>
      <c r="B17" s="94" t="s">
        <v>35</v>
      </c>
      <c r="C17" s="95" t="s">
        <v>33</v>
      </c>
      <c r="D17" s="520" t="s">
        <v>34</v>
      </c>
      <c r="E17" s="521"/>
      <c r="F17" s="522"/>
      <c r="G17" s="92"/>
      <c r="K17" s="182">
        <v>16</v>
      </c>
      <c r="L17" s="182">
        <f t="shared" si="0"/>
        <v>16</v>
      </c>
      <c r="M17" s="182" t="e">
        <f t="shared" si="1"/>
        <v>#N/A</v>
      </c>
      <c r="N17" s="182">
        <f t="shared" si="2"/>
        <v>16</v>
      </c>
      <c r="O17" s="182" t="e">
        <f t="shared" si="3"/>
        <v>#N/A</v>
      </c>
      <c r="P17" s="182" t="str">
        <f t="shared" si="4"/>
        <v/>
      </c>
      <c r="Q17" s="182" t="str">
        <f t="shared" si="5"/>
        <v/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 x14ac:dyDescent="0.3">
      <c r="A18" s="91"/>
      <c r="B18" s="5" t="s">
        <v>14</v>
      </c>
      <c r="C18" s="4" t="s">
        <v>161</v>
      </c>
      <c r="D18" s="523"/>
      <c r="E18" s="524"/>
      <c r="F18" s="525"/>
      <c r="G18" s="92"/>
      <c r="K18" s="182">
        <v>17</v>
      </c>
      <c r="L18" s="182">
        <f t="shared" si="0"/>
        <v>17</v>
      </c>
      <c r="M18" s="182" t="e">
        <f t="shared" si="1"/>
        <v>#N/A</v>
      </c>
      <c r="N18" s="182">
        <f t="shared" si="2"/>
        <v>17</v>
      </c>
      <c r="O18" s="182" t="e">
        <f t="shared" si="3"/>
        <v>#N/A</v>
      </c>
      <c r="P18" s="182" t="str">
        <f t="shared" si="4"/>
        <v/>
      </c>
      <c r="Q18" s="182" t="str">
        <f t="shared" si="5"/>
        <v/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 x14ac:dyDescent="0.3">
      <c r="A19" s="91"/>
      <c r="B19" s="96" t="s">
        <v>143</v>
      </c>
      <c r="C19" s="97" t="s">
        <v>36</v>
      </c>
      <c r="D19" s="98" t="s">
        <v>64</v>
      </c>
      <c r="E19" s="526" t="s">
        <v>41</v>
      </c>
      <c r="F19" s="527"/>
      <c r="G19" s="92"/>
      <c r="K19" s="182">
        <v>18</v>
      </c>
      <c r="L19" s="182">
        <f t="shared" si="0"/>
        <v>18</v>
      </c>
      <c r="M19" s="182" t="e">
        <f t="shared" si="1"/>
        <v>#N/A</v>
      </c>
      <c r="N19" s="182">
        <f t="shared" si="2"/>
        <v>18</v>
      </c>
      <c r="O19" s="182" t="e">
        <f t="shared" si="3"/>
        <v>#N/A</v>
      </c>
      <c r="P19" s="182" t="str">
        <f t="shared" si="4"/>
        <v/>
      </c>
      <c r="Q19" s="182" t="str">
        <f t="shared" si="5"/>
        <v/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 x14ac:dyDescent="0.3">
      <c r="A20" s="91"/>
      <c r="B20" s="514">
        <v>24</v>
      </c>
      <c r="C20" s="517"/>
      <c r="D20" s="111"/>
      <c r="E20" s="99" t="s">
        <v>44</v>
      </c>
      <c r="F20" s="100" t="s">
        <v>48</v>
      </c>
      <c r="G20" s="92"/>
      <c r="K20" s="182">
        <v>19</v>
      </c>
      <c r="L20" s="182">
        <f t="shared" si="0"/>
        <v>19</v>
      </c>
      <c r="M20" s="182" t="e">
        <f t="shared" si="1"/>
        <v>#N/A</v>
      </c>
      <c r="N20" s="182">
        <f t="shared" si="2"/>
        <v>19</v>
      </c>
      <c r="O20" s="182" t="e">
        <f t="shared" si="3"/>
        <v>#N/A</v>
      </c>
      <c r="P20" s="182" t="str">
        <f t="shared" si="4"/>
        <v/>
      </c>
      <c r="Q20" s="182" t="str">
        <f t="shared" si="5"/>
        <v/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 x14ac:dyDescent="0.3">
      <c r="A21" s="91"/>
      <c r="B21" s="515"/>
      <c r="C21" s="518"/>
      <c r="D21" s="98" t="s">
        <v>60</v>
      </c>
      <c r="E21" s="114"/>
      <c r="F21" s="115"/>
      <c r="G21" s="92"/>
      <c r="K21" s="182">
        <v>20</v>
      </c>
      <c r="L21" s="182">
        <f t="shared" si="0"/>
        <v>20</v>
      </c>
      <c r="M21" s="182" t="e">
        <f t="shared" si="1"/>
        <v>#N/A</v>
      </c>
      <c r="N21" s="182">
        <f t="shared" si="2"/>
        <v>20</v>
      </c>
      <c r="O21" s="182" t="e">
        <f t="shared" si="3"/>
        <v>#N/A</v>
      </c>
      <c r="P21" s="182" t="str">
        <f t="shared" si="4"/>
        <v/>
      </c>
      <c r="Q21" s="182" t="str">
        <f t="shared" si="5"/>
        <v/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 x14ac:dyDescent="0.3">
      <c r="A22" s="91"/>
      <c r="B22" s="516"/>
      <c r="C22" s="519"/>
      <c r="D22" s="112"/>
      <c r="E22" s="113"/>
      <c r="F22" s="101" t="str">
        <f>IF(B20="","",IF(E22="","",IF(F21="None","",B20-E22)))</f>
        <v/>
      </c>
      <c r="G22" s="92"/>
      <c r="K22" s="182">
        <v>21</v>
      </c>
      <c r="L22" s="182">
        <f t="shared" si="0"/>
        <v>21</v>
      </c>
      <c r="M22" s="182" t="e">
        <f t="shared" si="1"/>
        <v>#N/A</v>
      </c>
      <c r="N22" s="182">
        <f t="shared" si="2"/>
        <v>21</v>
      </c>
      <c r="O22" s="182" t="e">
        <f t="shared" si="3"/>
        <v>#N/A</v>
      </c>
      <c r="P22" s="182" t="str">
        <f t="shared" si="4"/>
        <v/>
      </c>
      <c r="Q22" s="182" t="str">
        <f t="shared" si="5"/>
        <v/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 x14ac:dyDescent="0.3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e">
        <f t="shared" si="1"/>
        <v>#N/A</v>
      </c>
      <c r="N23" s="182">
        <f t="shared" si="2"/>
        <v>22</v>
      </c>
      <c r="O23" s="182" t="e">
        <f t="shared" si="3"/>
        <v>#N/A</v>
      </c>
      <c r="P23" s="182" t="str">
        <f t="shared" si="4"/>
        <v/>
      </c>
      <c r="Q23" s="182" t="str">
        <f t="shared" si="5"/>
        <v/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 x14ac:dyDescent="0.3">
      <c r="A24" s="91"/>
      <c r="B24" s="94" t="s">
        <v>35</v>
      </c>
      <c r="C24" s="95" t="s">
        <v>33</v>
      </c>
      <c r="D24" s="520" t="s">
        <v>34</v>
      </c>
      <c r="E24" s="521"/>
      <c r="F24" s="522"/>
      <c r="G24" s="92"/>
      <c r="K24" s="182">
        <v>23</v>
      </c>
      <c r="L24" s="182">
        <f t="shared" si="0"/>
        <v>23</v>
      </c>
      <c r="M24" s="182" t="e">
        <f t="shared" si="1"/>
        <v>#N/A</v>
      </c>
      <c r="N24" s="182">
        <f t="shared" si="2"/>
        <v>23</v>
      </c>
      <c r="O24" s="182" t="e">
        <f t="shared" si="3"/>
        <v>#N/A</v>
      </c>
      <c r="P24" s="182" t="str">
        <f t="shared" si="4"/>
        <v/>
      </c>
      <c r="Q24" s="182" t="str">
        <f t="shared" si="5"/>
        <v/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 x14ac:dyDescent="0.3">
      <c r="A25" s="91"/>
      <c r="B25" s="5" t="s">
        <v>50</v>
      </c>
      <c r="C25" s="4"/>
      <c r="D25" s="523"/>
      <c r="E25" s="524"/>
      <c r="F25" s="525"/>
      <c r="G25" s="92"/>
      <c r="K25" s="182">
        <v>24</v>
      </c>
      <c r="L25" s="182">
        <f t="shared" si="0"/>
        <v>24</v>
      </c>
      <c r="M25" s="182" t="e">
        <f t="shared" si="1"/>
        <v>#N/A</v>
      </c>
      <c r="N25" s="182">
        <f t="shared" si="2"/>
        <v>24</v>
      </c>
      <c r="O25" s="182" t="e">
        <f t="shared" si="3"/>
        <v>#N/A</v>
      </c>
      <c r="P25" s="182" t="str">
        <f t="shared" si="4"/>
        <v/>
      </c>
      <c r="Q25" s="182" t="str">
        <f t="shared" si="5"/>
        <v/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 x14ac:dyDescent="0.3">
      <c r="A26" s="91"/>
      <c r="B26" s="96" t="s">
        <v>143</v>
      </c>
      <c r="C26" s="97" t="s">
        <v>36</v>
      </c>
      <c r="D26" s="98" t="s">
        <v>64</v>
      </c>
      <c r="E26" s="526" t="s">
        <v>41</v>
      </c>
      <c r="F26" s="527"/>
      <c r="G26" s="92"/>
      <c r="K26" s="182">
        <v>25</v>
      </c>
      <c r="L26" s="182" t="str">
        <f t="shared" si="0"/>
        <v/>
      </c>
      <c r="M26" s="182" t="str">
        <f t="shared" si="1"/>
        <v/>
      </c>
      <c r="N26" s="182" t="str">
        <f t="shared" si="2"/>
        <v/>
      </c>
      <c r="O26" s="182" t="str">
        <f t="shared" si="3"/>
        <v/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 x14ac:dyDescent="0.3">
      <c r="A27" s="91"/>
      <c r="B27" s="514"/>
      <c r="C27" s="517"/>
      <c r="D27" s="111"/>
      <c r="E27" s="99" t="s">
        <v>44</v>
      </c>
      <c r="F27" s="100" t="s">
        <v>48</v>
      </c>
      <c r="G27" s="92"/>
      <c r="K27" s="182">
        <v>26</v>
      </c>
      <c r="L27" s="182" t="str">
        <f t="shared" si="0"/>
        <v/>
      </c>
      <c r="M27" s="182" t="str">
        <f t="shared" si="1"/>
        <v/>
      </c>
      <c r="N27" s="182" t="str">
        <f t="shared" si="2"/>
        <v/>
      </c>
      <c r="O27" s="182" t="str">
        <f t="shared" si="3"/>
        <v/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 x14ac:dyDescent="0.3">
      <c r="A28" s="91"/>
      <c r="B28" s="515"/>
      <c r="C28" s="518"/>
      <c r="D28" s="98" t="s">
        <v>60</v>
      </c>
      <c r="E28" s="114"/>
      <c r="F28" s="115"/>
      <c r="G28" s="92"/>
      <c r="K28" s="182">
        <v>27</v>
      </c>
      <c r="L28" s="182" t="str">
        <f t="shared" si="0"/>
        <v/>
      </c>
      <c r="M28" s="182" t="str">
        <f t="shared" si="1"/>
        <v/>
      </c>
      <c r="N28" s="182" t="str">
        <f t="shared" si="2"/>
        <v/>
      </c>
      <c r="O28" s="182" t="str">
        <f t="shared" si="3"/>
        <v/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 x14ac:dyDescent="0.3">
      <c r="A29" s="91"/>
      <c r="B29" s="516"/>
      <c r="C29" s="519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 t="str">
        <f t="shared" si="0"/>
        <v/>
      </c>
      <c r="M29" s="182" t="str">
        <f t="shared" si="1"/>
        <v/>
      </c>
      <c r="N29" s="182" t="str">
        <f t="shared" si="2"/>
        <v/>
      </c>
      <c r="O29" s="182" t="str">
        <f t="shared" si="3"/>
        <v/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 x14ac:dyDescent="0.3">
      <c r="A30" s="91"/>
      <c r="B30" s="104"/>
      <c r="C30" s="104"/>
      <c r="D30" s="28"/>
      <c r="E30" s="104"/>
      <c r="F30" s="104"/>
      <c r="G30" s="92"/>
      <c r="K30" s="182">
        <v>29</v>
      </c>
      <c r="L30" s="182" t="str">
        <f t="shared" si="0"/>
        <v/>
      </c>
      <c r="M30" s="182" t="str">
        <f t="shared" si="1"/>
        <v/>
      </c>
      <c r="N30" s="182" t="str">
        <f t="shared" si="2"/>
        <v/>
      </c>
      <c r="O30" s="182" t="str">
        <f t="shared" si="3"/>
        <v/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8" thickBot="1" x14ac:dyDescent="0.3">
      <c r="A31" s="91"/>
      <c r="B31" s="94" t="s">
        <v>35</v>
      </c>
      <c r="C31" s="95" t="s">
        <v>33</v>
      </c>
      <c r="D31" s="520" t="s">
        <v>34</v>
      </c>
      <c r="E31" s="521"/>
      <c r="F31" s="522"/>
      <c r="G31" s="92"/>
      <c r="K31" s="182">
        <v>30</v>
      </c>
      <c r="L31" s="182" t="str">
        <f t="shared" si="0"/>
        <v/>
      </c>
      <c r="M31" s="182" t="str">
        <f t="shared" si="1"/>
        <v/>
      </c>
      <c r="N31" s="182" t="str">
        <f t="shared" si="2"/>
        <v/>
      </c>
      <c r="O31" s="182" t="str">
        <f t="shared" si="3"/>
        <v/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 x14ac:dyDescent="0.3">
      <c r="A32" s="91"/>
      <c r="B32" s="5" t="s">
        <v>51</v>
      </c>
      <c r="C32" s="4"/>
      <c r="D32" s="523"/>
      <c r="E32" s="524"/>
      <c r="F32" s="525"/>
      <c r="G32" s="92"/>
      <c r="K32" s="182">
        <v>31</v>
      </c>
      <c r="L32" s="182" t="str">
        <f t="shared" si="0"/>
        <v/>
      </c>
      <c r="M32" s="182" t="str">
        <f t="shared" si="1"/>
        <v/>
      </c>
      <c r="N32" s="182" t="str">
        <f t="shared" si="2"/>
        <v/>
      </c>
      <c r="O32" s="182" t="str">
        <f t="shared" si="3"/>
        <v/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 x14ac:dyDescent="0.3">
      <c r="A33" s="91"/>
      <c r="B33" s="96" t="s">
        <v>143</v>
      </c>
      <c r="C33" s="97" t="s">
        <v>36</v>
      </c>
      <c r="D33" s="98" t="s">
        <v>64</v>
      </c>
      <c r="E33" s="526" t="s">
        <v>41</v>
      </c>
      <c r="F33" s="527"/>
      <c r="G33" s="92"/>
      <c r="K33" s="182">
        <v>32</v>
      </c>
      <c r="L33" s="182" t="str">
        <f t="shared" si="0"/>
        <v/>
      </c>
      <c r="M33" s="182" t="str">
        <f t="shared" si="1"/>
        <v/>
      </c>
      <c r="N33" s="182" t="str">
        <f t="shared" si="2"/>
        <v/>
      </c>
      <c r="O33" s="182" t="str">
        <f t="shared" si="3"/>
        <v/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 x14ac:dyDescent="0.3">
      <c r="A34" s="91"/>
      <c r="B34" s="514"/>
      <c r="C34" s="517"/>
      <c r="D34" s="111"/>
      <c r="E34" s="99" t="s">
        <v>44</v>
      </c>
      <c r="F34" s="100" t="s">
        <v>48</v>
      </c>
      <c r="G34" s="92"/>
      <c r="K34" s="182">
        <v>33</v>
      </c>
      <c r="L34" s="182" t="str">
        <f t="shared" si="0"/>
        <v/>
      </c>
      <c r="M34" s="182" t="str">
        <f t="shared" si="1"/>
        <v/>
      </c>
      <c r="N34" s="182" t="str">
        <f t="shared" si="2"/>
        <v/>
      </c>
      <c r="O34" s="182" t="str">
        <f t="shared" si="3"/>
        <v/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 x14ac:dyDescent="0.3">
      <c r="A35" s="91"/>
      <c r="B35" s="515"/>
      <c r="C35" s="518"/>
      <c r="D35" s="98" t="s">
        <v>60</v>
      </c>
      <c r="E35" s="114"/>
      <c r="F35" s="115"/>
      <c r="G35" s="92"/>
      <c r="K35" s="182">
        <v>34</v>
      </c>
      <c r="L35" s="182" t="str">
        <f t="shared" si="0"/>
        <v/>
      </c>
      <c r="M35" s="182" t="str">
        <f t="shared" si="1"/>
        <v/>
      </c>
      <c r="N35" s="182" t="str">
        <f t="shared" si="2"/>
        <v/>
      </c>
      <c r="O35" s="182" t="str">
        <f t="shared" si="3"/>
        <v/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 x14ac:dyDescent="0.3">
      <c r="A36" s="91"/>
      <c r="B36" s="516"/>
      <c r="C36" s="519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 t="str">
        <f t="shared" si="0"/>
        <v/>
      </c>
      <c r="M36" s="182" t="str">
        <f t="shared" si="1"/>
        <v/>
      </c>
      <c r="N36" s="182" t="str">
        <f t="shared" si="2"/>
        <v/>
      </c>
      <c r="O36" s="182" t="str">
        <f t="shared" si="3"/>
        <v/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 x14ac:dyDescent="0.3">
      <c r="A37" s="91"/>
      <c r="B37" s="104"/>
      <c r="C37" s="105"/>
      <c r="D37" s="28"/>
      <c r="E37" s="104"/>
      <c r="F37" s="105"/>
      <c r="G37" s="92"/>
      <c r="K37" s="182">
        <v>36</v>
      </c>
      <c r="L37" s="182" t="str">
        <f t="shared" si="0"/>
        <v/>
      </c>
      <c r="M37" s="182" t="str">
        <f t="shared" si="1"/>
        <v/>
      </c>
      <c r="N37" s="182" t="str">
        <f t="shared" si="2"/>
        <v/>
      </c>
      <c r="O37" s="182" t="str">
        <f t="shared" si="3"/>
        <v/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8" thickBot="1" x14ac:dyDescent="0.3">
      <c r="A38" s="91"/>
      <c r="B38" s="94" t="s">
        <v>35</v>
      </c>
      <c r="C38" s="95" t="s">
        <v>33</v>
      </c>
      <c r="D38" s="520" t="s">
        <v>34</v>
      </c>
      <c r="E38" s="521"/>
      <c r="F38" s="522"/>
      <c r="G38" s="92"/>
      <c r="K38" s="182">
        <v>37</v>
      </c>
      <c r="L38" s="182" t="str">
        <f t="shared" si="0"/>
        <v/>
      </c>
      <c r="M38" s="182" t="str">
        <f t="shared" si="1"/>
        <v/>
      </c>
      <c r="N38" s="182" t="str">
        <f t="shared" si="2"/>
        <v/>
      </c>
      <c r="O38" s="182" t="str">
        <f t="shared" si="3"/>
        <v/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 x14ac:dyDescent="0.3">
      <c r="A39" s="91"/>
      <c r="B39" s="5" t="s">
        <v>52</v>
      </c>
      <c r="C39" s="4"/>
      <c r="D39" s="523"/>
      <c r="E39" s="524"/>
      <c r="F39" s="525"/>
      <c r="G39" s="92"/>
      <c r="K39" s="182">
        <v>38</v>
      </c>
      <c r="L39" s="182" t="str">
        <f t="shared" si="0"/>
        <v/>
      </c>
      <c r="M39" s="182" t="str">
        <f t="shared" si="1"/>
        <v/>
      </c>
      <c r="N39" s="182" t="str">
        <f t="shared" si="2"/>
        <v/>
      </c>
      <c r="O39" s="182" t="str">
        <f t="shared" si="3"/>
        <v/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 x14ac:dyDescent="0.3">
      <c r="A40" s="91"/>
      <c r="B40" s="96" t="s">
        <v>143</v>
      </c>
      <c r="C40" s="97" t="s">
        <v>36</v>
      </c>
      <c r="D40" s="98" t="s">
        <v>64</v>
      </c>
      <c r="E40" s="526" t="s">
        <v>41</v>
      </c>
      <c r="F40" s="527"/>
      <c r="G40" s="92"/>
      <c r="K40" s="182">
        <v>39</v>
      </c>
      <c r="L40" s="182" t="str">
        <f t="shared" si="0"/>
        <v/>
      </c>
      <c r="M40" s="182" t="str">
        <f t="shared" si="1"/>
        <v/>
      </c>
      <c r="N40" s="182" t="str">
        <f t="shared" si="2"/>
        <v/>
      </c>
      <c r="O40" s="182" t="str">
        <f t="shared" si="3"/>
        <v/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 x14ac:dyDescent="0.3">
      <c r="A41" s="91"/>
      <c r="B41" s="514"/>
      <c r="C41" s="517"/>
      <c r="D41" s="111"/>
      <c r="E41" s="99" t="s">
        <v>44</v>
      </c>
      <c r="F41" s="100" t="s">
        <v>48</v>
      </c>
      <c r="G41" s="92"/>
      <c r="K41" s="182">
        <v>40</v>
      </c>
      <c r="L41" s="182" t="str">
        <f t="shared" si="0"/>
        <v/>
      </c>
      <c r="M41" s="182" t="str">
        <f t="shared" si="1"/>
        <v/>
      </c>
      <c r="N41" s="182" t="str">
        <f t="shared" si="2"/>
        <v/>
      </c>
      <c r="O41" s="182" t="str">
        <f t="shared" si="3"/>
        <v/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 x14ac:dyDescent="0.3">
      <c r="A42" s="91"/>
      <c r="B42" s="515"/>
      <c r="C42" s="518"/>
      <c r="D42" s="98" t="s">
        <v>60</v>
      </c>
      <c r="E42" s="114"/>
      <c r="F42" s="115"/>
      <c r="G42" s="92"/>
      <c r="K42" s="182">
        <v>41</v>
      </c>
      <c r="L42" s="182" t="str">
        <f t="shared" si="0"/>
        <v/>
      </c>
      <c r="M42" s="182" t="str">
        <f t="shared" si="1"/>
        <v/>
      </c>
      <c r="N42" s="182" t="str">
        <f t="shared" si="2"/>
        <v/>
      </c>
      <c r="O42" s="182" t="str">
        <f t="shared" si="3"/>
        <v/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 x14ac:dyDescent="0.3">
      <c r="A43" s="91"/>
      <c r="B43" s="516"/>
      <c r="C43" s="519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 t="str">
        <f t="shared" si="0"/>
        <v/>
      </c>
      <c r="M43" s="182" t="str">
        <f t="shared" si="1"/>
        <v/>
      </c>
      <c r="N43" s="182" t="str">
        <f t="shared" si="2"/>
        <v/>
      </c>
      <c r="O43" s="182" t="str">
        <f t="shared" si="3"/>
        <v/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 x14ac:dyDescent="0.3">
      <c r="A44" s="91"/>
      <c r="B44" s="104"/>
      <c r="C44" s="106"/>
      <c r="D44" s="28"/>
      <c r="E44" s="104"/>
      <c r="F44" s="106"/>
      <c r="G44" s="92"/>
      <c r="K44" s="182">
        <v>43</v>
      </c>
      <c r="L44" s="182" t="str">
        <f t="shared" si="0"/>
        <v/>
      </c>
      <c r="M44" s="182" t="str">
        <f t="shared" si="1"/>
        <v/>
      </c>
      <c r="N44" s="182" t="str">
        <f t="shared" si="2"/>
        <v/>
      </c>
      <c r="O44" s="182" t="str">
        <f t="shared" si="3"/>
        <v/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8" thickBot="1" x14ac:dyDescent="0.3">
      <c r="A45" s="91"/>
      <c r="B45" s="94" t="s">
        <v>35</v>
      </c>
      <c r="C45" s="95" t="s">
        <v>33</v>
      </c>
      <c r="D45" s="520" t="s">
        <v>34</v>
      </c>
      <c r="E45" s="521"/>
      <c r="F45" s="522"/>
      <c r="G45" s="92"/>
      <c r="K45" s="182">
        <v>44</v>
      </c>
      <c r="L45" s="182" t="str">
        <f t="shared" si="0"/>
        <v/>
      </c>
      <c r="M45" s="182" t="str">
        <f t="shared" si="1"/>
        <v/>
      </c>
      <c r="N45" s="182" t="str">
        <f t="shared" si="2"/>
        <v/>
      </c>
      <c r="O45" s="182" t="str">
        <f t="shared" si="3"/>
        <v/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 x14ac:dyDescent="0.3">
      <c r="A46" s="91"/>
      <c r="B46" s="5" t="s">
        <v>53</v>
      </c>
      <c r="C46" s="4"/>
      <c r="D46" s="523"/>
      <c r="E46" s="524"/>
      <c r="F46" s="525"/>
      <c r="G46" s="92"/>
      <c r="K46" s="182">
        <v>45</v>
      </c>
      <c r="L46" s="182" t="str">
        <f t="shared" si="0"/>
        <v/>
      </c>
      <c r="M46" s="182" t="str">
        <f t="shared" si="1"/>
        <v/>
      </c>
      <c r="N46" s="182" t="str">
        <f t="shared" si="2"/>
        <v/>
      </c>
      <c r="O46" s="182" t="str">
        <f t="shared" si="3"/>
        <v/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 x14ac:dyDescent="0.3">
      <c r="A47" s="91"/>
      <c r="B47" s="96" t="s">
        <v>143</v>
      </c>
      <c r="C47" s="97" t="s">
        <v>36</v>
      </c>
      <c r="D47" s="98" t="s">
        <v>64</v>
      </c>
      <c r="E47" s="526" t="s">
        <v>41</v>
      </c>
      <c r="F47" s="527"/>
      <c r="G47" s="92"/>
      <c r="K47" s="182">
        <v>46</v>
      </c>
      <c r="L47" s="182" t="str">
        <f t="shared" si="0"/>
        <v/>
      </c>
      <c r="M47" s="182" t="str">
        <f t="shared" si="1"/>
        <v/>
      </c>
      <c r="N47" s="182" t="str">
        <f t="shared" si="2"/>
        <v/>
      </c>
      <c r="O47" s="182" t="str">
        <f t="shared" si="3"/>
        <v/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 x14ac:dyDescent="0.3">
      <c r="A48" s="91"/>
      <c r="B48" s="514"/>
      <c r="C48" s="517"/>
      <c r="D48" s="111"/>
      <c r="E48" s="99" t="s">
        <v>44</v>
      </c>
      <c r="F48" s="100" t="s">
        <v>48</v>
      </c>
      <c r="G48" s="92"/>
      <c r="K48" s="182">
        <v>47</v>
      </c>
      <c r="L48" s="182" t="str">
        <f t="shared" si="0"/>
        <v/>
      </c>
      <c r="M48" s="182" t="str">
        <f t="shared" si="1"/>
        <v/>
      </c>
      <c r="N48" s="182" t="str">
        <f t="shared" si="2"/>
        <v/>
      </c>
      <c r="O48" s="182" t="str">
        <f t="shared" si="3"/>
        <v/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 x14ac:dyDescent="0.3">
      <c r="A49" s="91"/>
      <c r="B49" s="515"/>
      <c r="C49" s="518"/>
      <c r="D49" s="98" t="s">
        <v>60</v>
      </c>
      <c r="E49" s="114"/>
      <c r="F49" s="115"/>
      <c r="G49" s="92"/>
      <c r="K49" s="182">
        <v>48</v>
      </c>
      <c r="L49" s="182" t="str">
        <f t="shared" si="0"/>
        <v/>
      </c>
      <c r="M49" s="182" t="str">
        <f t="shared" si="1"/>
        <v/>
      </c>
      <c r="N49" s="182" t="str">
        <f t="shared" si="2"/>
        <v/>
      </c>
      <c r="O49" s="182" t="str">
        <f t="shared" si="3"/>
        <v/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 x14ac:dyDescent="0.3">
      <c r="A50" s="91"/>
      <c r="B50" s="516"/>
      <c r="C50" s="519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 t="str">
        <f t="shared" si="0"/>
        <v/>
      </c>
      <c r="M50" s="182" t="str">
        <f t="shared" si="1"/>
        <v/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 x14ac:dyDescent="0.3">
      <c r="A51" s="107"/>
      <c r="B51" s="108"/>
      <c r="C51" s="108"/>
      <c r="D51" s="109"/>
      <c r="E51" s="108"/>
      <c r="F51" s="108"/>
      <c r="G51" s="110"/>
      <c r="K51" s="182">
        <v>50</v>
      </c>
      <c r="L51" s="182" t="str">
        <f t="shared" si="0"/>
        <v/>
      </c>
      <c r="M51" s="182" t="str">
        <f t="shared" si="1"/>
        <v/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8" thickTop="1" x14ac:dyDescent="0.25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 t="str">
        <f t="shared" si="0"/>
        <v/>
      </c>
      <c r="M52" s="182" t="str">
        <f t="shared" si="1"/>
        <v/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 x14ac:dyDescent="0.25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 t="str">
        <f t="shared" si="0"/>
        <v/>
      </c>
      <c r="M53" s="182" t="str">
        <f t="shared" si="1"/>
        <v/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 x14ac:dyDescent="0.25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 t="str">
        <f t="shared" si="0"/>
        <v/>
      </c>
      <c r="M54" s="182" t="str">
        <f t="shared" si="1"/>
        <v/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 x14ac:dyDescent="0.25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 t="str">
        <f t="shared" si="0"/>
        <v/>
      </c>
      <c r="M55" s="182" t="str">
        <f t="shared" si="1"/>
        <v/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 x14ac:dyDescent="0.25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 t="str">
        <f t="shared" si="0"/>
        <v/>
      </c>
      <c r="M56" s="182" t="str">
        <f t="shared" si="1"/>
        <v/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 x14ac:dyDescent="0.25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 t="str">
        <f t="shared" si="0"/>
        <v/>
      </c>
      <c r="M57" s="182" t="str">
        <f t="shared" si="1"/>
        <v/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 x14ac:dyDescent="0.25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 t="str">
        <f t="shared" si="0"/>
        <v/>
      </c>
      <c r="M58" s="182" t="str">
        <f t="shared" si="1"/>
        <v/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 x14ac:dyDescent="0.25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 t="str">
        <f t="shared" si="0"/>
        <v/>
      </c>
      <c r="M59" s="182" t="str">
        <f t="shared" si="1"/>
        <v/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 x14ac:dyDescent="0.25">
      <c r="A60" s="181"/>
      <c r="B60" s="181"/>
      <c r="C60" s="181"/>
      <c r="D60" s="181"/>
      <c r="E60" s="181"/>
      <c r="F60" s="181"/>
      <c r="G60" s="181"/>
      <c r="K60" s="182">
        <v>59</v>
      </c>
      <c r="L60" s="182" t="str">
        <f t="shared" si="0"/>
        <v/>
      </c>
      <c r="M60" s="182" t="str">
        <f t="shared" si="1"/>
        <v/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 x14ac:dyDescent="0.25">
      <c r="A61" s="181"/>
      <c r="B61" s="181"/>
      <c r="C61" s="181"/>
      <c r="D61" s="181"/>
      <c r="E61" s="181"/>
      <c r="F61" s="181"/>
      <c r="G61" s="181"/>
      <c r="K61" s="182">
        <v>60</v>
      </c>
      <c r="L61" s="182" t="str">
        <f t="shared" si="0"/>
        <v/>
      </c>
      <c r="M61" s="182" t="str">
        <f t="shared" si="1"/>
        <v/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 x14ac:dyDescent="0.25">
      <c r="A62" s="181"/>
      <c r="B62" s="181"/>
      <c r="C62" s="181"/>
      <c r="D62" s="181"/>
      <c r="E62" s="181"/>
      <c r="F62" s="181"/>
      <c r="G62" s="181"/>
      <c r="K62" s="182">
        <v>61</v>
      </c>
      <c r="L62" s="182" t="str">
        <f t="shared" si="0"/>
        <v/>
      </c>
      <c r="M62" s="182" t="str">
        <f t="shared" si="1"/>
        <v/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 x14ac:dyDescent="0.25">
      <c r="A63" s="181"/>
      <c r="B63" s="181"/>
      <c r="C63" s="181"/>
      <c r="D63" s="181"/>
      <c r="E63" s="181"/>
      <c r="F63" s="181"/>
      <c r="G63" s="181"/>
      <c r="K63" s="182">
        <v>62</v>
      </c>
      <c r="L63" s="182" t="str">
        <f t="shared" si="0"/>
        <v/>
      </c>
      <c r="M63" s="182" t="str">
        <f t="shared" si="1"/>
        <v/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 x14ac:dyDescent="0.25">
      <c r="A64" s="181"/>
      <c r="B64" s="181"/>
      <c r="C64" s="181"/>
      <c r="D64" s="181"/>
      <c r="E64" s="181"/>
      <c r="F64" s="181"/>
      <c r="G64" s="181"/>
      <c r="K64" s="182">
        <v>63</v>
      </c>
      <c r="L64" s="182" t="str">
        <f t="shared" si="0"/>
        <v/>
      </c>
      <c r="M64" s="182" t="str">
        <f t="shared" si="1"/>
        <v/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 x14ac:dyDescent="0.25">
      <c r="A65" s="181"/>
      <c r="B65" s="181"/>
      <c r="C65" s="181"/>
      <c r="D65" s="181"/>
      <c r="E65" s="181"/>
      <c r="F65" s="181"/>
      <c r="G65" s="181"/>
      <c r="K65" s="182">
        <v>64</v>
      </c>
      <c r="L65" s="182" t="str">
        <f t="shared" si="0"/>
        <v/>
      </c>
      <c r="M65" s="182" t="str">
        <f t="shared" si="1"/>
        <v/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 x14ac:dyDescent="0.25">
      <c r="A66" s="181"/>
      <c r="B66" s="181"/>
      <c r="C66" s="181"/>
      <c r="D66" s="181"/>
      <c r="E66" s="181"/>
      <c r="F66" s="181"/>
      <c r="G66" s="181"/>
      <c r="K66" s="182">
        <v>65</v>
      </c>
      <c r="L66" s="182" t="str">
        <f t="shared" si="0"/>
        <v/>
      </c>
      <c r="M66" s="182" t="str">
        <f t="shared" si="1"/>
        <v/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 x14ac:dyDescent="0.25">
      <c r="A67" s="181"/>
      <c r="B67" s="181"/>
      <c r="C67" s="181"/>
      <c r="D67" s="181"/>
      <c r="E67" s="181"/>
      <c r="F67" s="181"/>
      <c r="G67" s="181"/>
      <c r="K67" s="182">
        <v>66</v>
      </c>
      <c r="L67" s="182" t="str">
        <f t="shared" ref="L67:L130" si="12">IF($B$13&gt;=K67,K67,"")</f>
        <v/>
      </c>
      <c r="M67" s="182" t="str">
        <f t="shared" ref="M67:M130" si="13">IF(L67="","",IF(L67&lt;=$E$15,VLOOKUP($E$14,$I$1:$J$4,2,FALSE),VLOOKUP($F$14,$I$1:$J$4,2,FALSE)))</f>
        <v/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 x14ac:dyDescent="0.25">
      <c r="A68" s="181"/>
      <c r="B68" s="181"/>
      <c r="C68" s="181"/>
      <c r="D68" s="181"/>
      <c r="E68" s="181"/>
      <c r="F68" s="181"/>
      <c r="G68" s="181"/>
      <c r="K68" s="182">
        <v>67</v>
      </c>
      <c r="L68" s="182" t="str">
        <f t="shared" si="12"/>
        <v/>
      </c>
      <c r="M68" s="182" t="str">
        <f t="shared" si="13"/>
        <v/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 x14ac:dyDescent="0.25">
      <c r="A69" s="181"/>
      <c r="B69" s="181"/>
      <c r="C69" s="181"/>
      <c r="D69" s="181"/>
      <c r="E69" s="181"/>
      <c r="F69" s="181"/>
      <c r="G69" s="181"/>
      <c r="K69" s="182">
        <v>68</v>
      </c>
      <c r="L69" s="182" t="str">
        <f t="shared" si="12"/>
        <v/>
      </c>
      <c r="M69" s="182" t="str">
        <f t="shared" si="13"/>
        <v/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 x14ac:dyDescent="0.25">
      <c r="A70" s="181"/>
      <c r="B70" s="181"/>
      <c r="C70" s="181"/>
      <c r="D70" s="181"/>
      <c r="E70" s="181"/>
      <c r="F70" s="181"/>
      <c r="G70" s="181"/>
      <c r="K70" s="182">
        <v>69</v>
      </c>
      <c r="L70" s="182" t="str">
        <f t="shared" si="12"/>
        <v/>
      </c>
      <c r="M70" s="182" t="str">
        <f t="shared" si="13"/>
        <v/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 x14ac:dyDescent="0.25">
      <c r="A71" s="181"/>
      <c r="B71" s="181"/>
      <c r="C71" s="181"/>
      <c r="D71" s="181"/>
      <c r="E71" s="181"/>
      <c r="F71" s="181"/>
      <c r="G71" s="181"/>
      <c r="K71" s="182">
        <v>70</v>
      </c>
      <c r="L71" s="182" t="str">
        <f t="shared" si="12"/>
        <v/>
      </c>
      <c r="M71" s="182" t="str">
        <f t="shared" si="13"/>
        <v/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 x14ac:dyDescent="0.25">
      <c r="A72" s="181"/>
      <c r="B72" s="181"/>
      <c r="C72" s="181"/>
      <c r="D72" s="181"/>
      <c r="E72" s="181"/>
      <c r="F72" s="181"/>
      <c r="G72" s="181"/>
      <c r="K72" s="182">
        <v>71</v>
      </c>
      <c r="L72" s="182" t="str">
        <f t="shared" si="12"/>
        <v/>
      </c>
      <c r="M72" s="182" t="str">
        <f t="shared" si="13"/>
        <v/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 x14ac:dyDescent="0.25">
      <c r="A73" s="181"/>
      <c r="B73" s="181"/>
      <c r="C73" s="181"/>
      <c r="D73" s="181"/>
      <c r="E73" s="181"/>
      <c r="F73" s="181"/>
      <c r="G73" s="181"/>
      <c r="K73" s="182">
        <v>72</v>
      </c>
      <c r="L73" s="182" t="str">
        <f t="shared" si="12"/>
        <v/>
      </c>
      <c r="M73" s="182" t="str">
        <f t="shared" si="13"/>
        <v/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 x14ac:dyDescent="0.25">
      <c r="A74" s="181"/>
      <c r="B74" s="181"/>
      <c r="C74" s="181"/>
      <c r="D74" s="181"/>
      <c r="E74" s="181"/>
      <c r="F74" s="181"/>
      <c r="G74" s="181"/>
      <c r="K74" s="182">
        <v>73</v>
      </c>
      <c r="L74" s="182" t="str">
        <f t="shared" si="12"/>
        <v/>
      </c>
      <c r="M74" s="182" t="str">
        <f t="shared" si="13"/>
        <v/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 x14ac:dyDescent="0.25">
      <c r="A75" s="181"/>
      <c r="B75" s="181"/>
      <c r="C75" s="181"/>
      <c r="D75" s="181"/>
      <c r="E75" s="181"/>
      <c r="F75" s="181"/>
      <c r="G75" s="181"/>
      <c r="K75" s="182">
        <v>74</v>
      </c>
      <c r="L75" s="182" t="str">
        <f t="shared" si="12"/>
        <v/>
      </c>
      <c r="M75" s="182" t="str">
        <f t="shared" si="13"/>
        <v/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 x14ac:dyDescent="0.25">
      <c r="A76" s="181"/>
      <c r="B76" s="181"/>
      <c r="C76" s="181"/>
      <c r="D76" s="181"/>
      <c r="E76" s="181"/>
      <c r="F76" s="181"/>
      <c r="G76" s="181"/>
      <c r="K76" s="182">
        <v>75</v>
      </c>
      <c r="L76" s="182" t="str">
        <f t="shared" si="12"/>
        <v/>
      </c>
      <c r="M76" s="182" t="str">
        <f t="shared" si="13"/>
        <v/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 x14ac:dyDescent="0.25">
      <c r="A77" s="181"/>
      <c r="B77" s="181"/>
      <c r="C77" s="181"/>
      <c r="D77" s="181"/>
      <c r="E77" s="181"/>
      <c r="F77" s="181"/>
      <c r="G77" s="181"/>
      <c r="K77" s="182">
        <v>76</v>
      </c>
      <c r="L77" s="182" t="str">
        <f t="shared" si="12"/>
        <v/>
      </c>
      <c r="M77" s="182" t="str">
        <f t="shared" si="13"/>
        <v/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 x14ac:dyDescent="0.25">
      <c r="A78" s="181"/>
      <c r="B78" s="181"/>
      <c r="C78" s="181"/>
      <c r="D78" s="181"/>
      <c r="E78" s="181"/>
      <c r="F78" s="181"/>
      <c r="G78" s="181"/>
      <c r="K78" s="182">
        <v>77</v>
      </c>
      <c r="L78" s="182" t="str">
        <f t="shared" si="12"/>
        <v/>
      </c>
      <c r="M78" s="182" t="str">
        <f t="shared" si="13"/>
        <v/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 x14ac:dyDescent="0.25">
      <c r="A79" s="181"/>
      <c r="B79" s="181"/>
      <c r="C79" s="181"/>
      <c r="D79" s="181"/>
      <c r="E79" s="181"/>
      <c r="F79" s="181"/>
      <c r="G79" s="181"/>
      <c r="K79" s="182">
        <v>78</v>
      </c>
      <c r="L79" s="182" t="str">
        <f t="shared" si="12"/>
        <v/>
      </c>
      <c r="M79" s="182" t="str">
        <f t="shared" si="13"/>
        <v/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 x14ac:dyDescent="0.25">
      <c r="A80" s="181"/>
      <c r="B80" s="181"/>
      <c r="C80" s="181"/>
      <c r="D80" s="181"/>
      <c r="E80" s="181"/>
      <c r="F80" s="181"/>
      <c r="G80" s="181"/>
      <c r="K80" s="182">
        <v>79</v>
      </c>
      <c r="L80" s="182" t="str">
        <f t="shared" si="12"/>
        <v/>
      </c>
      <c r="M80" s="182" t="str">
        <f t="shared" si="13"/>
        <v/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 x14ac:dyDescent="0.25">
      <c r="A81" s="181"/>
      <c r="B81" s="181"/>
      <c r="C81" s="181"/>
      <c r="D81" s="181"/>
      <c r="E81" s="181"/>
      <c r="F81" s="181"/>
      <c r="G81" s="181"/>
      <c r="K81" s="182">
        <v>80</v>
      </c>
      <c r="L81" s="182" t="str">
        <f t="shared" si="12"/>
        <v/>
      </c>
      <c r="M81" s="182" t="str">
        <f t="shared" si="13"/>
        <v/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 x14ac:dyDescent="0.25">
      <c r="A82" s="181"/>
      <c r="B82" s="181"/>
      <c r="C82" s="181"/>
      <c r="D82" s="181"/>
      <c r="E82" s="181"/>
      <c r="F82" s="181"/>
      <c r="G82" s="181"/>
      <c r="K82" s="182">
        <v>81</v>
      </c>
      <c r="L82" s="182" t="str">
        <f t="shared" si="12"/>
        <v/>
      </c>
      <c r="M82" s="182" t="str">
        <f t="shared" si="13"/>
        <v/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 x14ac:dyDescent="0.25">
      <c r="A83" s="181"/>
      <c r="B83" s="181"/>
      <c r="C83" s="181"/>
      <c r="D83" s="181"/>
      <c r="E83" s="181"/>
      <c r="F83" s="181"/>
      <c r="G83" s="181"/>
      <c r="K83" s="182">
        <v>82</v>
      </c>
      <c r="L83" s="182" t="str">
        <f t="shared" si="12"/>
        <v/>
      </c>
      <c r="M83" s="182" t="str">
        <f t="shared" si="13"/>
        <v/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 x14ac:dyDescent="0.25">
      <c r="A84" s="181"/>
      <c r="B84" s="181"/>
      <c r="C84" s="181"/>
      <c r="D84" s="181"/>
      <c r="E84" s="181"/>
      <c r="F84" s="181"/>
      <c r="G84" s="181"/>
      <c r="K84" s="182">
        <v>83</v>
      </c>
      <c r="L84" s="182" t="str">
        <f t="shared" si="12"/>
        <v/>
      </c>
      <c r="M84" s="182" t="str">
        <f t="shared" si="13"/>
        <v/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 x14ac:dyDescent="0.25">
      <c r="A85" s="181"/>
      <c r="B85" s="181"/>
      <c r="C85" s="181"/>
      <c r="D85" s="181"/>
      <c r="E85" s="181"/>
      <c r="F85" s="181"/>
      <c r="G85" s="181"/>
      <c r="K85" s="182">
        <v>84</v>
      </c>
      <c r="L85" s="182" t="str">
        <f t="shared" si="12"/>
        <v/>
      </c>
      <c r="M85" s="182" t="str">
        <f t="shared" si="13"/>
        <v/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 x14ac:dyDescent="0.25">
      <c r="A86" s="181"/>
      <c r="B86" s="181"/>
      <c r="C86" s="181"/>
      <c r="D86" s="181"/>
      <c r="E86" s="181"/>
      <c r="F86" s="181"/>
      <c r="G86" s="181"/>
      <c r="K86" s="182">
        <v>85</v>
      </c>
      <c r="L86" s="182" t="str">
        <f t="shared" si="12"/>
        <v/>
      </c>
      <c r="M86" s="182" t="str">
        <f t="shared" si="13"/>
        <v/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 x14ac:dyDescent="0.25">
      <c r="A87" s="181"/>
      <c r="B87" s="181"/>
      <c r="C87" s="181"/>
      <c r="D87" s="181"/>
      <c r="E87" s="181"/>
      <c r="F87" s="181"/>
      <c r="G87" s="181"/>
      <c r="K87" s="182">
        <v>86</v>
      </c>
      <c r="L87" s="182" t="str">
        <f t="shared" si="12"/>
        <v/>
      </c>
      <c r="M87" s="182" t="str">
        <f t="shared" si="13"/>
        <v/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 x14ac:dyDescent="0.25">
      <c r="A88" s="181"/>
      <c r="B88" s="181"/>
      <c r="C88" s="181"/>
      <c r="D88" s="181"/>
      <c r="E88" s="181"/>
      <c r="F88" s="181"/>
      <c r="G88" s="181"/>
      <c r="K88" s="182">
        <v>87</v>
      </c>
      <c r="L88" s="182" t="str">
        <f t="shared" si="12"/>
        <v/>
      </c>
      <c r="M88" s="182" t="str">
        <f t="shared" si="13"/>
        <v/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 x14ac:dyDescent="0.25">
      <c r="A89" s="181"/>
      <c r="B89" s="181"/>
      <c r="C89" s="181"/>
      <c r="D89" s="181"/>
      <c r="E89" s="181"/>
      <c r="F89" s="181"/>
      <c r="G89" s="181"/>
      <c r="K89" s="182">
        <v>88</v>
      </c>
      <c r="L89" s="182" t="str">
        <f t="shared" si="12"/>
        <v/>
      </c>
      <c r="M89" s="182" t="str">
        <f t="shared" si="13"/>
        <v/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 x14ac:dyDescent="0.25">
      <c r="A90" s="181"/>
      <c r="B90" s="181"/>
      <c r="C90" s="181"/>
      <c r="D90" s="181"/>
      <c r="E90" s="181"/>
      <c r="F90" s="181"/>
      <c r="G90" s="181"/>
      <c r="K90" s="182">
        <v>89</v>
      </c>
      <c r="L90" s="182" t="str">
        <f t="shared" si="12"/>
        <v/>
      </c>
      <c r="M90" s="182" t="str">
        <f t="shared" si="13"/>
        <v/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 x14ac:dyDescent="0.25">
      <c r="A91" s="181"/>
      <c r="B91" s="181"/>
      <c r="C91" s="181"/>
      <c r="D91" s="181"/>
      <c r="E91" s="181"/>
      <c r="F91" s="181"/>
      <c r="G91" s="181"/>
      <c r="K91" s="182">
        <v>90</v>
      </c>
      <c r="L91" s="182" t="str">
        <f t="shared" si="12"/>
        <v/>
      </c>
      <c r="M91" s="182" t="str">
        <f t="shared" si="13"/>
        <v/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 x14ac:dyDescent="0.25">
      <c r="A92" s="181"/>
      <c r="B92" s="181"/>
      <c r="C92" s="181"/>
      <c r="D92" s="181"/>
      <c r="E92" s="181"/>
      <c r="F92" s="181"/>
      <c r="G92" s="181"/>
      <c r="K92" s="182">
        <v>91</v>
      </c>
      <c r="L92" s="182" t="str">
        <f t="shared" si="12"/>
        <v/>
      </c>
      <c r="M92" s="182" t="str">
        <f t="shared" si="13"/>
        <v/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 x14ac:dyDescent="0.25">
      <c r="A93" s="181"/>
      <c r="B93" s="181"/>
      <c r="C93" s="181"/>
      <c r="D93" s="181"/>
      <c r="E93" s="181"/>
      <c r="F93" s="181"/>
      <c r="G93" s="181"/>
      <c r="K93" s="182">
        <v>92</v>
      </c>
      <c r="L93" s="182" t="str">
        <f t="shared" si="12"/>
        <v/>
      </c>
      <c r="M93" s="182" t="str">
        <f t="shared" si="13"/>
        <v/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 x14ac:dyDescent="0.25">
      <c r="A94" s="181"/>
      <c r="B94" s="181"/>
      <c r="C94" s="181"/>
      <c r="D94" s="181"/>
      <c r="E94" s="181"/>
      <c r="F94" s="181"/>
      <c r="G94" s="181"/>
      <c r="K94" s="182">
        <v>93</v>
      </c>
      <c r="L94" s="182" t="str">
        <f t="shared" si="12"/>
        <v/>
      </c>
      <c r="M94" s="182" t="str">
        <f t="shared" si="13"/>
        <v/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 x14ac:dyDescent="0.25">
      <c r="A95" s="181"/>
      <c r="B95" s="181"/>
      <c r="C95" s="181"/>
      <c r="D95" s="181"/>
      <c r="E95" s="181"/>
      <c r="F95" s="181"/>
      <c r="G95" s="181"/>
      <c r="K95" s="182">
        <v>94</v>
      </c>
      <c r="L95" s="182" t="str">
        <f t="shared" si="12"/>
        <v/>
      </c>
      <c r="M95" s="182" t="str">
        <f t="shared" si="13"/>
        <v/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 x14ac:dyDescent="0.25">
      <c r="A96" s="181"/>
      <c r="B96" s="181"/>
      <c r="C96" s="181"/>
      <c r="D96" s="181"/>
      <c r="E96" s="181"/>
      <c r="F96" s="181"/>
      <c r="G96" s="181"/>
      <c r="K96" s="182">
        <v>95</v>
      </c>
      <c r="L96" s="182" t="str">
        <f t="shared" si="12"/>
        <v/>
      </c>
      <c r="M96" s="182" t="str">
        <f t="shared" si="13"/>
        <v/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 x14ac:dyDescent="0.25">
      <c r="A97" s="181"/>
      <c r="B97" s="181"/>
      <c r="C97" s="181"/>
      <c r="D97" s="181"/>
      <c r="E97" s="181"/>
      <c r="F97" s="181"/>
      <c r="G97" s="181"/>
      <c r="K97" s="182">
        <v>96</v>
      </c>
      <c r="L97" s="182" t="str">
        <f t="shared" si="12"/>
        <v/>
      </c>
      <c r="M97" s="182" t="str">
        <f t="shared" si="13"/>
        <v/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 x14ac:dyDescent="0.25">
      <c r="A98" s="181"/>
      <c r="B98" s="181"/>
      <c r="C98" s="181"/>
      <c r="D98" s="181"/>
      <c r="E98" s="181"/>
      <c r="F98" s="181"/>
      <c r="G98" s="181"/>
      <c r="K98" s="182">
        <v>97</v>
      </c>
      <c r="L98" s="182" t="str">
        <f t="shared" si="12"/>
        <v/>
      </c>
      <c r="M98" s="182" t="str">
        <f t="shared" si="13"/>
        <v/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 x14ac:dyDescent="0.25">
      <c r="A99" s="181"/>
      <c r="B99" s="181"/>
      <c r="C99" s="181"/>
      <c r="D99" s="181"/>
      <c r="E99" s="181"/>
      <c r="F99" s="181"/>
      <c r="G99" s="181"/>
      <c r="K99" s="182">
        <v>98</v>
      </c>
      <c r="L99" s="182" t="str">
        <f t="shared" si="12"/>
        <v/>
      </c>
      <c r="M99" s="182" t="str">
        <f t="shared" si="13"/>
        <v/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 x14ac:dyDescent="0.25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 t="str">
        <f t="shared" si="12"/>
        <v/>
      </c>
      <c r="M100" s="182" t="str">
        <f t="shared" si="13"/>
        <v/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 x14ac:dyDescent="0.25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 t="str">
        <f t="shared" si="12"/>
        <v/>
      </c>
      <c r="M101" s="182" t="str">
        <f t="shared" si="13"/>
        <v/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 x14ac:dyDescent="0.25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 t="str">
        <f t="shared" si="12"/>
        <v/>
      </c>
      <c r="M102" s="182" t="str">
        <f t="shared" si="13"/>
        <v/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 x14ac:dyDescent="0.25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 t="str">
        <f t="shared" si="12"/>
        <v/>
      </c>
      <c r="M103" s="182" t="str">
        <f t="shared" si="13"/>
        <v/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 x14ac:dyDescent="0.25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 t="str">
        <f t="shared" si="12"/>
        <v/>
      </c>
      <c r="M104" s="182" t="str">
        <f t="shared" si="13"/>
        <v/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 x14ac:dyDescent="0.25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 t="str">
        <f t="shared" si="12"/>
        <v/>
      </c>
      <c r="M105" s="182" t="str">
        <f t="shared" si="13"/>
        <v/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 x14ac:dyDescent="0.25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 t="str">
        <f t="shared" si="12"/>
        <v/>
      </c>
      <c r="M106" s="182" t="str">
        <f t="shared" si="13"/>
        <v/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 x14ac:dyDescent="0.25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 t="str">
        <f t="shared" si="12"/>
        <v/>
      </c>
      <c r="M107" s="182" t="str">
        <f t="shared" si="13"/>
        <v/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 x14ac:dyDescent="0.25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 t="str">
        <f t="shared" si="12"/>
        <v/>
      </c>
      <c r="M108" s="182" t="str">
        <f t="shared" si="13"/>
        <v/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 x14ac:dyDescent="0.25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 t="str">
        <f t="shared" si="12"/>
        <v/>
      </c>
      <c r="M109" s="182" t="str">
        <f t="shared" si="13"/>
        <v/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 x14ac:dyDescent="0.25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 t="str">
        <f t="shared" si="12"/>
        <v/>
      </c>
      <c r="M110" s="182" t="str">
        <f t="shared" si="13"/>
        <v/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 x14ac:dyDescent="0.25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 t="str">
        <f t="shared" si="12"/>
        <v/>
      </c>
      <c r="M111" s="182" t="str">
        <f t="shared" si="13"/>
        <v/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 x14ac:dyDescent="0.25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 t="str">
        <f t="shared" si="12"/>
        <v/>
      </c>
      <c r="M112" s="182" t="str">
        <f t="shared" si="13"/>
        <v/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 x14ac:dyDescent="0.25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 t="str">
        <f t="shared" si="12"/>
        <v/>
      </c>
      <c r="M113" s="182" t="str">
        <f t="shared" si="13"/>
        <v/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 x14ac:dyDescent="0.25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 t="str">
        <f t="shared" si="12"/>
        <v/>
      </c>
      <c r="M114" s="182" t="str">
        <f t="shared" si="13"/>
        <v/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 x14ac:dyDescent="0.25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 t="str">
        <f t="shared" si="12"/>
        <v/>
      </c>
      <c r="M115" s="182" t="str">
        <f t="shared" si="13"/>
        <v/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 x14ac:dyDescent="0.25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 t="str">
        <f t="shared" si="12"/>
        <v/>
      </c>
      <c r="M116" s="182" t="str">
        <f t="shared" si="13"/>
        <v/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 x14ac:dyDescent="0.25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 t="str">
        <f t="shared" si="12"/>
        <v/>
      </c>
      <c r="M117" s="182" t="str">
        <f t="shared" si="13"/>
        <v/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 x14ac:dyDescent="0.25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 t="str">
        <f t="shared" si="12"/>
        <v/>
      </c>
      <c r="M118" s="182" t="str">
        <f t="shared" si="13"/>
        <v/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 x14ac:dyDescent="0.25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 t="str">
        <f t="shared" si="12"/>
        <v/>
      </c>
      <c r="M119" s="182" t="str">
        <f t="shared" si="13"/>
        <v/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 x14ac:dyDescent="0.25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 t="str">
        <f t="shared" si="12"/>
        <v/>
      </c>
      <c r="M120" s="182" t="str">
        <f t="shared" si="13"/>
        <v/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 x14ac:dyDescent="0.25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 t="str">
        <f t="shared" si="12"/>
        <v/>
      </c>
      <c r="M121" s="182" t="str">
        <f t="shared" si="13"/>
        <v/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 x14ac:dyDescent="0.25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 t="str">
        <f t="shared" si="12"/>
        <v/>
      </c>
      <c r="M122" s="182" t="str">
        <f t="shared" si="13"/>
        <v/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 x14ac:dyDescent="0.25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 t="str">
        <f t="shared" si="12"/>
        <v/>
      </c>
      <c r="M123" s="182" t="str">
        <f t="shared" si="13"/>
        <v/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 x14ac:dyDescent="0.25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 t="str">
        <f t="shared" si="12"/>
        <v/>
      </c>
      <c r="M124" s="182" t="str">
        <f t="shared" si="13"/>
        <v/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 x14ac:dyDescent="0.25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 t="str">
        <f t="shared" si="12"/>
        <v/>
      </c>
      <c r="M125" s="182" t="str">
        <f t="shared" si="13"/>
        <v/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 x14ac:dyDescent="0.25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 t="str">
        <f t="shared" si="12"/>
        <v/>
      </c>
      <c r="M126" s="182" t="str">
        <f t="shared" si="13"/>
        <v/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 x14ac:dyDescent="0.25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 t="str">
        <f t="shared" si="12"/>
        <v/>
      </c>
      <c r="M127" s="182" t="str">
        <f t="shared" si="13"/>
        <v/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 x14ac:dyDescent="0.25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 t="str">
        <f t="shared" si="12"/>
        <v/>
      </c>
      <c r="M128" s="182" t="str">
        <f t="shared" si="13"/>
        <v/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 x14ac:dyDescent="0.25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 t="str">
        <f t="shared" si="12"/>
        <v/>
      </c>
      <c r="M129" s="182" t="str">
        <f t="shared" si="13"/>
        <v/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 x14ac:dyDescent="0.25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 t="str">
        <f t="shared" si="12"/>
        <v/>
      </c>
      <c r="M130" s="182" t="str">
        <f t="shared" si="13"/>
        <v/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 x14ac:dyDescent="0.25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 t="str">
        <f t="shared" ref="L131:L194" si="24">IF($B$13&gt;=K131,K131,"")</f>
        <v/>
      </c>
      <c r="M131" s="182" t="str">
        <f t="shared" ref="M131:M194" si="25">IF(L131="","",IF(L131&lt;=$E$15,VLOOKUP($E$14,$I$1:$J$4,2,FALSE),VLOOKUP($F$14,$I$1:$J$4,2,FALSE)))</f>
        <v/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 x14ac:dyDescent="0.25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 t="str">
        <f t="shared" si="24"/>
        <v/>
      </c>
      <c r="M132" s="182" t="str">
        <f t="shared" si="25"/>
        <v/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 x14ac:dyDescent="0.25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 t="str">
        <f t="shared" si="24"/>
        <v/>
      </c>
      <c r="M133" s="182" t="str">
        <f t="shared" si="25"/>
        <v/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 x14ac:dyDescent="0.25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 t="str">
        <f t="shared" si="24"/>
        <v/>
      </c>
      <c r="M134" s="182" t="str">
        <f t="shared" si="25"/>
        <v/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 x14ac:dyDescent="0.25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 t="str">
        <f t="shared" si="24"/>
        <v/>
      </c>
      <c r="M135" s="182" t="str">
        <f t="shared" si="25"/>
        <v/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 x14ac:dyDescent="0.25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 t="str">
        <f t="shared" si="24"/>
        <v/>
      </c>
      <c r="M136" s="182" t="str">
        <f t="shared" si="25"/>
        <v/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 x14ac:dyDescent="0.25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 t="str">
        <f t="shared" si="24"/>
        <v/>
      </c>
      <c r="M137" s="182" t="str">
        <f t="shared" si="25"/>
        <v/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 x14ac:dyDescent="0.25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 t="str">
        <f t="shared" si="24"/>
        <v/>
      </c>
      <c r="M138" s="182" t="str">
        <f t="shared" si="25"/>
        <v/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 x14ac:dyDescent="0.25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 t="str">
        <f t="shared" si="24"/>
        <v/>
      </c>
      <c r="M139" s="182" t="str">
        <f t="shared" si="25"/>
        <v/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 x14ac:dyDescent="0.25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 t="str">
        <f t="shared" si="24"/>
        <v/>
      </c>
      <c r="M140" s="182" t="str">
        <f t="shared" si="25"/>
        <v/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 x14ac:dyDescent="0.25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 t="str">
        <f t="shared" si="24"/>
        <v/>
      </c>
      <c r="M141" s="182" t="str">
        <f t="shared" si="25"/>
        <v/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 x14ac:dyDescent="0.25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 t="str">
        <f t="shared" si="24"/>
        <v/>
      </c>
      <c r="M142" s="182" t="str">
        <f t="shared" si="25"/>
        <v/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 x14ac:dyDescent="0.25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 t="str">
        <f t="shared" si="24"/>
        <v/>
      </c>
      <c r="M143" s="182" t="str">
        <f t="shared" si="25"/>
        <v/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 x14ac:dyDescent="0.25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 t="str">
        <f t="shared" si="24"/>
        <v/>
      </c>
      <c r="M144" s="182" t="str">
        <f t="shared" si="25"/>
        <v/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 x14ac:dyDescent="0.25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 t="str">
        <f t="shared" si="24"/>
        <v/>
      </c>
      <c r="M145" s="182" t="str">
        <f t="shared" si="25"/>
        <v/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 x14ac:dyDescent="0.25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 t="str">
        <f t="shared" si="24"/>
        <v/>
      </c>
      <c r="M146" s="182" t="str">
        <f t="shared" si="25"/>
        <v/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 x14ac:dyDescent="0.25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 t="str">
        <f t="shared" si="24"/>
        <v/>
      </c>
      <c r="M147" s="182" t="str">
        <f t="shared" si="25"/>
        <v/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 x14ac:dyDescent="0.25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 t="str">
        <f t="shared" si="24"/>
        <v/>
      </c>
      <c r="M148" s="182" t="str">
        <f t="shared" si="25"/>
        <v/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 x14ac:dyDescent="0.25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 t="str">
        <f t="shared" si="24"/>
        <v/>
      </c>
      <c r="M149" s="182" t="str">
        <f t="shared" si="25"/>
        <v/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 x14ac:dyDescent="0.25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 t="str">
        <f t="shared" si="24"/>
        <v/>
      </c>
      <c r="M150" s="182" t="str">
        <f t="shared" si="25"/>
        <v/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 x14ac:dyDescent="0.25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 t="str">
        <f t="shared" si="24"/>
        <v/>
      </c>
      <c r="M151" s="182" t="str">
        <f t="shared" si="25"/>
        <v/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 x14ac:dyDescent="0.25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 t="str">
        <f t="shared" si="24"/>
        <v/>
      </c>
      <c r="M152" s="182" t="str">
        <f t="shared" si="25"/>
        <v/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 x14ac:dyDescent="0.25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 t="str">
        <f t="shared" si="24"/>
        <v/>
      </c>
      <c r="M153" s="182" t="str">
        <f t="shared" si="25"/>
        <v/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 x14ac:dyDescent="0.25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 t="str">
        <f t="shared" si="24"/>
        <v/>
      </c>
      <c r="M154" s="182" t="str">
        <f t="shared" si="25"/>
        <v/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 x14ac:dyDescent="0.25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 t="str">
        <f t="shared" si="24"/>
        <v/>
      </c>
      <c r="M155" s="182" t="str">
        <f t="shared" si="25"/>
        <v/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 x14ac:dyDescent="0.25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 t="str">
        <f t="shared" si="24"/>
        <v/>
      </c>
      <c r="M156" s="182" t="str">
        <f t="shared" si="25"/>
        <v/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 x14ac:dyDescent="0.25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 t="str">
        <f t="shared" si="24"/>
        <v/>
      </c>
      <c r="M157" s="182" t="str">
        <f t="shared" si="25"/>
        <v/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 x14ac:dyDescent="0.25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 t="str">
        <f t="shared" si="24"/>
        <v/>
      </c>
      <c r="M158" s="182" t="str">
        <f t="shared" si="25"/>
        <v/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 x14ac:dyDescent="0.25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 t="str">
        <f t="shared" si="24"/>
        <v/>
      </c>
      <c r="M159" s="182" t="str">
        <f t="shared" si="25"/>
        <v/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 x14ac:dyDescent="0.25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 t="str">
        <f t="shared" si="24"/>
        <v/>
      </c>
      <c r="M160" s="182" t="str">
        <f t="shared" si="25"/>
        <v/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 x14ac:dyDescent="0.25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 t="str">
        <f t="shared" si="24"/>
        <v/>
      </c>
      <c r="M161" s="182" t="str">
        <f t="shared" si="25"/>
        <v/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 x14ac:dyDescent="0.25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 t="str">
        <f t="shared" si="24"/>
        <v/>
      </c>
      <c r="M162" s="182" t="str">
        <f t="shared" si="25"/>
        <v/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 x14ac:dyDescent="0.25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 t="str">
        <f t="shared" si="24"/>
        <v/>
      </c>
      <c r="M163" s="182" t="str">
        <f t="shared" si="25"/>
        <v/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 x14ac:dyDescent="0.25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 t="str">
        <f t="shared" si="24"/>
        <v/>
      </c>
      <c r="M164" s="182" t="str">
        <f t="shared" si="25"/>
        <v/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 x14ac:dyDescent="0.25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 t="str">
        <f t="shared" si="24"/>
        <v/>
      </c>
      <c r="M165" s="182" t="str">
        <f t="shared" si="25"/>
        <v/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 x14ac:dyDescent="0.25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 t="str">
        <f t="shared" si="24"/>
        <v/>
      </c>
      <c r="M166" s="182" t="str">
        <f t="shared" si="25"/>
        <v/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 x14ac:dyDescent="0.25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 t="str">
        <f t="shared" si="24"/>
        <v/>
      </c>
      <c r="M167" s="182" t="str">
        <f t="shared" si="25"/>
        <v/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 x14ac:dyDescent="0.25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 t="str">
        <f t="shared" si="24"/>
        <v/>
      </c>
      <c r="M168" s="182" t="str">
        <f t="shared" si="25"/>
        <v/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 x14ac:dyDescent="0.25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 t="str">
        <f t="shared" si="24"/>
        <v/>
      </c>
      <c r="M169" s="182" t="str">
        <f t="shared" si="25"/>
        <v/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 x14ac:dyDescent="0.25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 t="str">
        <f t="shared" si="24"/>
        <v/>
      </c>
      <c r="M170" s="182" t="str">
        <f t="shared" si="25"/>
        <v/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 x14ac:dyDescent="0.25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 t="str">
        <f t="shared" si="24"/>
        <v/>
      </c>
      <c r="M171" s="182" t="str">
        <f t="shared" si="25"/>
        <v/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 x14ac:dyDescent="0.25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 t="str">
        <f t="shared" si="24"/>
        <v/>
      </c>
      <c r="M172" s="182" t="str">
        <f t="shared" si="25"/>
        <v/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 x14ac:dyDescent="0.25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 t="str">
        <f t="shared" si="24"/>
        <v/>
      </c>
      <c r="M173" s="182" t="str">
        <f t="shared" si="25"/>
        <v/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 x14ac:dyDescent="0.25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 t="str">
        <f t="shared" si="24"/>
        <v/>
      </c>
      <c r="M174" s="182" t="str">
        <f t="shared" si="25"/>
        <v/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 x14ac:dyDescent="0.25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 t="str">
        <f t="shared" si="24"/>
        <v/>
      </c>
      <c r="M175" s="182" t="str">
        <f t="shared" si="25"/>
        <v/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 x14ac:dyDescent="0.25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 t="str">
        <f t="shared" si="24"/>
        <v/>
      </c>
      <c r="M176" s="182" t="str">
        <f t="shared" si="25"/>
        <v/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 x14ac:dyDescent="0.25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 t="str">
        <f t="shared" si="24"/>
        <v/>
      </c>
      <c r="M177" s="182" t="str">
        <f t="shared" si="25"/>
        <v/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 x14ac:dyDescent="0.25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 t="str">
        <f t="shared" si="24"/>
        <v/>
      </c>
      <c r="M178" s="182" t="str">
        <f t="shared" si="25"/>
        <v/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 x14ac:dyDescent="0.25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 t="str">
        <f t="shared" si="24"/>
        <v/>
      </c>
      <c r="M179" s="182" t="str">
        <f t="shared" si="25"/>
        <v/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 x14ac:dyDescent="0.25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 t="str">
        <f t="shared" si="24"/>
        <v/>
      </c>
      <c r="M180" s="182" t="str">
        <f t="shared" si="25"/>
        <v/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 x14ac:dyDescent="0.25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 t="str">
        <f t="shared" si="24"/>
        <v/>
      </c>
      <c r="M181" s="182" t="str">
        <f t="shared" si="25"/>
        <v/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 x14ac:dyDescent="0.25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 t="str">
        <f t="shared" si="24"/>
        <v/>
      </c>
      <c r="M182" s="182" t="str">
        <f t="shared" si="25"/>
        <v/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 x14ac:dyDescent="0.25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 t="str">
        <f t="shared" si="24"/>
        <v/>
      </c>
      <c r="M183" s="182" t="str">
        <f t="shared" si="25"/>
        <v/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 x14ac:dyDescent="0.25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 t="str">
        <f t="shared" si="24"/>
        <v/>
      </c>
      <c r="M184" s="182" t="str">
        <f t="shared" si="25"/>
        <v/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 x14ac:dyDescent="0.25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 t="str">
        <f t="shared" si="24"/>
        <v/>
      </c>
      <c r="M185" s="182" t="str">
        <f t="shared" si="25"/>
        <v/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 x14ac:dyDescent="0.25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 t="str">
        <f t="shared" si="24"/>
        <v/>
      </c>
      <c r="M186" s="182" t="str">
        <f t="shared" si="25"/>
        <v/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 x14ac:dyDescent="0.25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 t="str">
        <f t="shared" si="24"/>
        <v/>
      </c>
      <c r="M187" s="182" t="str">
        <f t="shared" si="25"/>
        <v/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 x14ac:dyDescent="0.25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 t="str">
        <f t="shared" si="24"/>
        <v/>
      </c>
      <c r="M188" s="182" t="str">
        <f t="shared" si="25"/>
        <v/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 x14ac:dyDescent="0.25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 t="str">
        <f t="shared" si="24"/>
        <v/>
      </c>
      <c r="M189" s="182" t="str">
        <f t="shared" si="25"/>
        <v/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 x14ac:dyDescent="0.25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 t="str">
        <f t="shared" si="24"/>
        <v/>
      </c>
      <c r="M190" s="182" t="str">
        <f t="shared" si="25"/>
        <v/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 x14ac:dyDescent="0.25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 t="str">
        <f t="shared" si="24"/>
        <v/>
      </c>
      <c r="M191" s="182" t="str">
        <f t="shared" si="25"/>
        <v/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 x14ac:dyDescent="0.25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 t="str">
        <f t="shared" si="24"/>
        <v/>
      </c>
      <c r="M192" s="182" t="str">
        <f t="shared" si="25"/>
        <v/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 x14ac:dyDescent="0.25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 t="str">
        <f t="shared" si="24"/>
        <v/>
      </c>
      <c r="M193" s="182" t="str">
        <f t="shared" si="25"/>
        <v/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 x14ac:dyDescent="0.25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 t="str">
        <f t="shared" si="24"/>
        <v/>
      </c>
      <c r="M194" s="182" t="str">
        <f t="shared" si="25"/>
        <v/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 x14ac:dyDescent="0.25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 t="str">
        <f t="shared" ref="L195:L258" si="36">IF($B$13&gt;=K195,K195,"")</f>
        <v/>
      </c>
      <c r="M195" s="182" t="str">
        <f t="shared" ref="M195:M258" si="37">IF(L195="","",IF(L195&lt;=$E$15,VLOOKUP($E$14,$I$1:$J$4,2,FALSE),VLOOKUP($F$14,$I$1:$J$4,2,FALSE)))</f>
        <v/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 x14ac:dyDescent="0.25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 t="str">
        <f t="shared" si="36"/>
        <v/>
      </c>
      <c r="M196" s="182" t="str">
        <f t="shared" si="37"/>
        <v/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 x14ac:dyDescent="0.25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 t="str">
        <f t="shared" si="36"/>
        <v/>
      </c>
      <c r="M197" s="182" t="str">
        <f t="shared" si="37"/>
        <v/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 x14ac:dyDescent="0.25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 t="str">
        <f t="shared" si="36"/>
        <v/>
      </c>
      <c r="M198" s="182" t="str">
        <f t="shared" si="37"/>
        <v/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 x14ac:dyDescent="0.25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 t="str">
        <f t="shared" si="36"/>
        <v/>
      </c>
      <c r="M199" s="182" t="str">
        <f t="shared" si="37"/>
        <v/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 x14ac:dyDescent="0.25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 t="str">
        <f t="shared" si="36"/>
        <v/>
      </c>
      <c r="M200" s="182" t="str">
        <f t="shared" si="37"/>
        <v/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 x14ac:dyDescent="0.25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 t="str">
        <f t="shared" si="36"/>
        <v/>
      </c>
      <c r="M201" s="182" t="str">
        <f t="shared" si="37"/>
        <v/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 x14ac:dyDescent="0.25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 t="str">
        <f t="shared" si="36"/>
        <v/>
      </c>
      <c r="M202" s="182" t="str">
        <f t="shared" si="37"/>
        <v/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 x14ac:dyDescent="0.25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 t="str">
        <f t="shared" si="36"/>
        <v/>
      </c>
      <c r="M203" s="182" t="str">
        <f t="shared" si="37"/>
        <v/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 x14ac:dyDescent="0.25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 t="str">
        <f t="shared" si="36"/>
        <v/>
      </c>
      <c r="M204" s="182" t="str">
        <f t="shared" si="37"/>
        <v/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 x14ac:dyDescent="0.25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 t="str">
        <f t="shared" si="36"/>
        <v/>
      </c>
      <c r="M205" s="182" t="str">
        <f t="shared" si="37"/>
        <v/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 x14ac:dyDescent="0.25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 t="str">
        <f t="shared" si="36"/>
        <v/>
      </c>
      <c r="M206" s="182" t="str">
        <f t="shared" si="37"/>
        <v/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 x14ac:dyDescent="0.25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 t="str">
        <f t="shared" si="36"/>
        <v/>
      </c>
      <c r="M207" s="182" t="str">
        <f t="shared" si="37"/>
        <v/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 x14ac:dyDescent="0.25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 t="str">
        <f t="shared" si="36"/>
        <v/>
      </c>
      <c r="M208" s="182" t="str">
        <f t="shared" si="37"/>
        <v/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 x14ac:dyDescent="0.25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 t="str">
        <f t="shared" si="36"/>
        <v/>
      </c>
      <c r="M209" s="182" t="str">
        <f t="shared" si="37"/>
        <v/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 x14ac:dyDescent="0.25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 t="str">
        <f t="shared" si="36"/>
        <v/>
      </c>
      <c r="M210" s="182" t="str">
        <f t="shared" si="37"/>
        <v/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 x14ac:dyDescent="0.25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 t="str">
        <f t="shared" si="36"/>
        <v/>
      </c>
      <c r="M211" s="182" t="str">
        <f t="shared" si="37"/>
        <v/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 x14ac:dyDescent="0.25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 t="str">
        <f t="shared" si="36"/>
        <v/>
      </c>
      <c r="M212" s="182" t="str">
        <f t="shared" si="37"/>
        <v/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 x14ac:dyDescent="0.25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 t="str">
        <f t="shared" si="36"/>
        <v/>
      </c>
      <c r="M213" s="182" t="str">
        <f t="shared" si="37"/>
        <v/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 x14ac:dyDescent="0.25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 t="str">
        <f t="shared" si="36"/>
        <v/>
      </c>
      <c r="M214" s="182" t="str">
        <f t="shared" si="37"/>
        <v/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 x14ac:dyDescent="0.25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 t="str">
        <f t="shared" si="36"/>
        <v/>
      </c>
      <c r="M215" s="182" t="str">
        <f t="shared" si="37"/>
        <v/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 x14ac:dyDescent="0.25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 t="str">
        <f t="shared" si="36"/>
        <v/>
      </c>
      <c r="M216" s="182" t="str">
        <f t="shared" si="37"/>
        <v/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 x14ac:dyDescent="0.25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 t="str">
        <f t="shared" si="36"/>
        <v/>
      </c>
      <c r="M217" s="182" t="str">
        <f t="shared" si="37"/>
        <v/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 x14ac:dyDescent="0.25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 t="str">
        <f t="shared" si="36"/>
        <v/>
      </c>
      <c r="M218" s="182" t="str">
        <f t="shared" si="37"/>
        <v/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 x14ac:dyDescent="0.25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 t="str">
        <f t="shared" si="36"/>
        <v/>
      </c>
      <c r="M219" s="182" t="str">
        <f t="shared" si="37"/>
        <v/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 x14ac:dyDescent="0.25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 t="str">
        <f t="shared" si="36"/>
        <v/>
      </c>
      <c r="M220" s="182" t="str">
        <f t="shared" si="37"/>
        <v/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 x14ac:dyDescent="0.25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 t="str">
        <f t="shared" si="36"/>
        <v/>
      </c>
      <c r="M221" s="182" t="str">
        <f t="shared" si="37"/>
        <v/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 x14ac:dyDescent="0.25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 t="str">
        <f t="shared" si="36"/>
        <v/>
      </c>
      <c r="M222" s="182" t="str">
        <f t="shared" si="37"/>
        <v/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 x14ac:dyDescent="0.25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 t="str">
        <f t="shared" si="36"/>
        <v/>
      </c>
      <c r="M223" s="182" t="str">
        <f t="shared" si="37"/>
        <v/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 x14ac:dyDescent="0.25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 t="str">
        <f t="shared" si="36"/>
        <v/>
      </c>
      <c r="M224" s="182" t="str">
        <f t="shared" si="37"/>
        <v/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 x14ac:dyDescent="0.25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 t="str">
        <f t="shared" si="36"/>
        <v/>
      </c>
      <c r="M225" s="182" t="str">
        <f t="shared" si="37"/>
        <v/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 x14ac:dyDescent="0.25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 t="str">
        <f t="shared" si="36"/>
        <v/>
      </c>
      <c r="M226" s="182" t="str">
        <f t="shared" si="37"/>
        <v/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 x14ac:dyDescent="0.25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 t="str">
        <f t="shared" si="36"/>
        <v/>
      </c>
      <c r="M227" s="182" t="str">
        <f t="shared" si="37"/>
        <v/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 x14ac:dyDescent="0.25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 t="str">
        <f t="shared" si="36"/>
        <v/>
      </c>
      <c r="M228" s="182" t="str">
        <f t="shared" si="37"/>
        <v/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 x14ac:dyDescent="0.25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 t="str">
        <f t="shared" si="36"/>
        <v/>
      </c>
      <c r="M229" s="182" t="str">
        <f t="shared" si="37"/>
        <v/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 x14ac:dyDescent="0.25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 t="str">
        <f t="shared" si="36"/>
        <v/>
      </c>
      <c r="M230" s="182" t="str">
        <f t="shared" si="37"/>
        <v/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 x14ac:dyDescent="0.25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 t="str">
        <f t="shared" si="36"/>
        <v/>
      </c>
      <c r="M231" s="182" t="str">
        <f t="shared" si="37"/>
        <v/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 x14ac:dyDescent="0.25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 t="str">
        <f t="shared" si="36"/>
        <v/>
      </c>
      <c r="M232" s="182" t="str">
        <f t="shared" si="37"/>
        <v/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 x14ac:dyDescent="0.25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 t="str">
        <f t="shared" si="36"/>
        <v/>
      </c>
      <c r="M233" s="182" t="str">
        <f t="shared" si="37"/>
        <v/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 x14ac:dyDescent="0.25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 t="str">
        <f t="shared" si="36"/>
        <v/>
      </c>
      <c r="M234" s="182" t="str">
        <f t="shared" si="37"/>
        <v/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 x14ac:dyDescent="0.25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 t="str">
        <f t="shared" si="36"/>
        <v/>
      </c>
      <c r="M235" s="182" t="str">
        <f t="shared" si="37"/>
        <v/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 x14ac:dyDescent="0.25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 t="str">
        <f t="shared" si="36"/>
        <v/>
      </c>
      <c r="M236" s="182" t="str">
        <f t="shared" si="37"/>
        <v/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 x14ac:dyDescent="0.25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 t="str">
        <f t="shared" si="36"/>
        <v/>
      </c>
      <c r="M237" s="182" t="str">
        <f t="shared" si="37"/>
        <v/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 x14ac:dyDescent="0.25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 t="str">
        <f t="shared" si="36"/>
        <v/>
      </c>
      <c r="M238" s="182" t="str">
        <f t="shared" si="37"/>
        <v/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 x14ac:dyDescent="0.25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 t="str">
        <f t="shared" si="36"/>
        <v/>
      </c>
      <c r="M239" s="182" t="str">
        <f t="shared" si="37"/>
        <v/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 x14ac:dyDescent="0.25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 t="str">
        <f t="shared" si="36"/>
        <v/>
      </c>
      <c r="M240" s="182" t="str">
        <f t="shared" si="37"/>
        <v/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 x14ac:dyDescent="0.25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 t="str">
        <f t="shared" si="36"/>
        <v/>
      </c>
      <c r="M241" s="182" t="str">
        <f t="shared" si="37"/>
        <v/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 x14ac:dyDescent="0.25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 t="str">
        <f t="shared" si="36"/>
        <v/>
      </c>
      <c r="M242" s="182" t="str">
        <f t="shared" si="37"/>
        <v/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 x14ac:dyDescent="0.25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 t="str">
        <f t="shared" si="36"/>
        <v/>
      </c>
      <c r="M243" s="182" t="str">
        <f t="shared" si="37"/>
        <v/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 x14ac:dyDescent="0.25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 t="str">
        <f t="shared" si="36"/>
        <v/>
      </c>
      <c r="M244" s="182" t="str">
        <f t="shared" si="37"/>
        <v/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 x14ac:dyDescent="0.25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 t="str">
        <f t="shared" si="36"/>
        <v/>
      </c>
      <c r="M245" s="182" t="str">
        <f t="shared" si="37"/>
        <v/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 x14ac:dyDescent="0.25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 t="str">
        <f t="shared" si="36"/>
        <v/>
      </c>
      <c r="M246" s="182" t="str">
        <f t="shared" si="37"/>
        <v/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 x14ac:dyDescent="0.25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 t="str">
        <f t="shared" si="36"/>
        <v/>
      </c>
      <c r="M247" s="182" t="str">
        <f t="shared" si="37"/>
        <v/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 x14ac:dyDescent="0.25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 t="str">
        <f t="shared" si="36"/>
        <v/>
      </c>
      <c r="M248" s="182" t="str">
        <f t="shared" si="37"/>
        <v/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 x14ac:dyDescent="0.25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 t="str">
        <f t="shared" si="36"/>
        <v/>
      </c>
      <c r="M249" s="182" t="str">
        <f t="shared" si="37"/>
        <v/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 x14ac:dyDescent="0.25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 t="str">
        <f t="shared" si="36"/>
        <v/>
      </c>
      <c r="M250" s="182" t="str">
        <f t="shared" si="37"/>
        <v/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 x14ac:dyDescent="0.25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 t="str">
        <f t="shared" si="36"/>
        <v/>
      </c>
      <c r="M251" s="182" t="str">
        <f t="shared" si="37"/>
        <v/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 x14ac:dyDescent="0.25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 t="str">
        <f t="shared" si="36"/>
        <v/>
      </c>
      <c r="M252" s="182" t="str">
        <f t="shared" si="37"/>
        <v/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 x14ac:dyDescent="0.25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 t="str">
        <f t="shared" si="36"/>
        <v/>
      </c>
      <c r="M253" s="182" t="str">
        <f t="shared" si="37"/>
        <v/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 x14ac:dyDescent="0.25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 t="str">
        <f t="shared" si="36"/>
        <v/>
      </c>
      <c r="M254" s="182" t="str">
        <f t="shared" si="37"/>
        <v/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 x14ac:dyDescent="0.25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 t="str">
        <f t="shared" si="36"/>
        <v/>
      </c>
      <c r="M255" s="182" t="str">
        <f t="shared" si="37"/>
        <v/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 x14ac:dyDescent="0.25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 t="str">
        <f t="shared" si="36"/>
        <v/>
      </c>
      <c r="M256" s="182" t="str">
        <f t="shared" si="37"/>
        <v/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 x14ac:dyDescent="0.25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 t="str">
        <f t="shared" si="36"/>
        <v/>
      </c>
      <c r="M257" s="182" t="str">
        <f t="shared" si="37"/>
        <v/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 x14ac:dyDescent="0.25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 t="str">
        <f t="shared" si="36"/>
        <v/>
      </c>
      <c r="M258" s="182" t="str">
        <f t="shared" si="37"/>
        <v/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 x14ac:dyDescent="0.25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 t="str">
        <f t="shared" ref="L259:L322" si="48">IF($B$13&gt;=K259,K259,"")</f>
        <v/>
      </c>
      <c r="M259" s="182" t="str">
        <f t="shared" ref="M259:M322" si="49">IF(L259="","",IF(L259&lt;=$E$15,VLOOKUP($E$14,$I$1:$J$4,2,FALSE),VLOOKUP($F$14,$I$1:$J$4,2,FALSE)))</f>
        <v/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 x14ac:dyDescent="0.25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 t="str">
        <f t="shared" si="48"/>
        <v/>
      </c>
      <c r="M260" s="182" t="str">
        <f t="shared" si="49"/>
        <v/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 x14ac:dyDescent="0.25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 t="str">
        <f t="shared" si="48"/>
        <v/>
      </c>
      <c r="M261" s="182" t="str">
        <f t="shared" si="49"/>
        <v/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 x14ac:dyDescent="0.25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 t="str">
        <f t="shared" si="48"/>
        <v/>
      </c>
      <c r="M262" s="182" t="str">
        <f t="shared" si="49"/>
        <v/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 x14ac:dyDescent="0.25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 t="str">
        <f t="shared" si="48"/>
        <v/>
      </c>
      <c r="M263" s="182" t="str">
        <f t="shared" si="49"/>
        <v/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 x14ac:dyDescent="0.25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 t="str">
        <f t="shared" si="48"/>
        <v/>
      </c>
      <c r="M264" s="182" t="str">
        <f t="shared" si="49"/>
        <v/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 x14ac:dyDescent="0.25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 t="str">
        <f t="shared" si="48"/>
        <v/>
      </c>
      <c r="M265" s="182" t="str">
        <f t="shared" si="49"/>
        <v/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 x14ac:dyDescent="0.25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 t="str">
        <f t="shared" si="48"/>
        <v/>
      </c>
      <c r="M266" s="182" t="str">
        <f t="shared" si="49"/>
        <v/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 x14ac:dyDescent="0.25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 t="str">
        <f t="shared" si="48"/>
        <v/>
      </c>
      <c r="M267" s="182" t="str">
        <f t="shared" si="49"/>
        <v/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 x14ac:dyDescent="0.25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 t="str">
        <f t="shared" si="48"/>
        <v/>
      </c>
      <c r="M268" s="182" t="str">
        <f t="shared" si="49"/>
        <v/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 x14ac:dyDescent="0.25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 t="str">
        <f t="shared" si="48"/>
        <v/>
      </c>
      <c r="M269" s="182" t="str">
        <f t="shared" si="49"/>
        <v/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 x14ac:dyDescent="0.25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 t="str">
        <f t="shared" si="48"/>
        <v/>
      </c>
      <c r="M270" s="182" t="str">
        <f t="shared" si="49"/>
        <v/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 x14ac:dyDescent="0.25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 t="str">
        <f t="shared" si="48"/>
        <v/>
      </c>
      <c r="M271" s="182" t="str">
        <f t="shared" si="49"/>
        <v/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 x14ac:dyDescent="0.25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 t="str">
        <f t="shared" si="48"/>
        <v/>
      </c>
      <c r="M272" s="182" t="str">
        <f t="shared" si="49"/>
        <v/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 x14ac:dyDescent="0.25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 t="str">
        <f t="shared" si="48"/>
        <v/>
      </c>
      <c r="M273" s="182" t="str">
        <f t="shared" si="49"/>
        <v/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 x14ac:dyDescent="0.25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 t="str">
        <f t="shared" si="48"/>
        <v/>
      </c>
      <c r="M274" s="182" t="str">
        <f t="shared" si="49"/>
        <v/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 x14ac:dyDescent="0.25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 t="str">
        <f t="shared" si="48"/>
        <v/>
      </c>
      <c r="M275" s="182" t="str">
        <f t="shared" si="49"/>
        <v/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 x14ac:dyDescent="0.25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 t="str">
        <f t="shared" si="48"/>
        <v/>
      </c>
      <c r="M276" s="182" t="str">
        <f t="shared" si="49"/>
        <v/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 x14ac:dyDescent="0.25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 t="str">
        <f t="shared" si="48"/>
        <v/>
      </c>
      <c r="M277" s="182" t="str">
        <f t="shared" si="49"/>
        <v/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 x14ac:dyDescent="0.25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 t="str">
        <f t="shared" si="48"/>
        <v/>
      </c>
      <c r="M278" s="182" t="str">
        <f t="shared" si="49"/>
        <v/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 x14ac:dyDescent="0.25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 t="str">
        <f t="shared" si="48"/>
        <v/>
      </c>
      <c r="M279" s="182" t="str">
        <f t="shared" si="49"/>
        <v/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 x14ac:dyDescent="0.25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 t="str">
        <f t="shared" si="48"/>
        <v/>
      </c>
      <c r="M280" s="182" t="str">
        <f t="shared" si="49"/>
        <v/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 x14ac:dyDescent="0.25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 t="str">
        <f t="shared" si="48"/>
        <v/>
      </c>
      <c r="M281" s="182" t="str">
        <f t="shared" si="49"/>
        <v/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 x14ac:dyDescent="0.25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 t="str">
        <f t="shared" si="48"/>
        <v/>
      </c>
      <c r="M282" s="182" t="str">
        <f t="shared" si="49"/>
        <v/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 x14ac:dyDescent="0.25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 t="str">
        <f t="shared" si="48"/>
        <v/>
      </c>
      <c r="M283" s="182" t="str">
        <f t="shared" si="49"/>
        <v/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 x14ac:dyDescent="0.25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 t="str">
        <f t="shared" si="48"/>
        <v/>
      </c>
      <c r="M284" s="182" t="str">
        <f t="shared" si="49"/>
        <v/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 x14ac:dyDescent="0.25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 t="str">
        <f t="shared" si="48"/>
        <v/>
      </c>
      <c r="M285" s="182" t="str">
        <f t="shared" si="49"/>
        <v/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 x14ac:dyDescent="0.25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 t="str">
        <f t="shared" si="48"/>
        <v/>
      </c>
      <c r="M286" s="182" t="str">
        <f t="shared" si="49"/>
        <v/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 x14ac:dyDescent="0.25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 t="str">
        <f t="shared" si="48"/>
        <v/>
      </c>
      <c r="M287" s="182" t="str">
        <f t="shared" si="49"/>
        <v/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 x14ac:dyDescent="0.25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 t="str">
        <f t="shared" si="48"/>
        <v/>
      </c>
      <c r="M288" s="182" t="str">
        <f t="shared" si="49"/>
        <v/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 x14ac:dyDescent="0.25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 t="str">
        <f t="shared" si="48"/>
        <v/>
      </c>
      <c r="M289" s="182" t="str">
        <f t="shared" si="49"/>
        <v/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 x14ac:dyDescent="0.25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 t="str">
        <f t="shared" si="48"/>
        <v/>
      </c>
      <c r="M290" s="182" t="str">
        <f t="shared" si="49"/>
        <v/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 x14ac:dyDescent="0.25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 t="str">
        <f t="shared" si="48"/>
        <v/>
      </c>
      <c r="M291" s="182" t="str">
        <f t="shared" si="49"/>
        <v/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 x14ac:dyDescent="0.25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 t="str">
        <f t="shared" si="48"/>
        <v/>
      </c>
      <c r="M292" s="182" t="str">
        <f t="shared" si="49"/>
        <v/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 x14ac:dyDescent="0.25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 t="str">
        <f t="shared" si="48"/>
        <v/>
      </c>
      <c r="M293" s="182" t="str">
        <f t="shared" si="49"/>
        <v/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 x14ac:dyDescent="0.25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 t="str">
        <f t="shared" si="48"/>
        <v/>
      </c>
      <c r="M294" s="182" t="str">
        <f t="shared" si="49"/>
        <v/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 x14ac:dyDescent="0.25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 t="str">
        <f t="shared" si="48"/>
        <v/>
      </c>
      <c r="M295" s="182" t="str">
        <f t="shared" si="49"/>
        <v/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 x14ac:dyDescent="0.25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 t="str">
        <f t="shared" si="48"/>
        <v/>
      </c>
      <c r="M296" s="182" t="str">
        <f t="shared" si="49"/>
        <v/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 x14ac:dyDescent="0.25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 t="str">
        <f t="shared" si="48"/>
        <v/>
      </c>
      <c r="M297" s="182" t="str">
        <f t="shared" si="49"/>
        <v/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 x14ac:dyDescent="0.25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 t="str">
        <f t="shared" si="48"/>
        <v/>
      </c>
      <c r="M298" s="182" t="str">
        <f t="shared" si="49"/>
        <v/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 x14ac:dyDescent="0.25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 t="str">
        <f t="shared" si="48"/>
        <v/>
      </c>
      <c r="M299" s="182" t="str">
        <f t="shared" si="49"/>
        <v/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 x14ac:dyDescent="0.25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 t="str">
        <f t="shared" si="48"/>
        <v/>
      </c>
      <c r="M300" s="182" t="str">
        <f t="shared" si="49"/>
        <v/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 x14ac:dyDescent="0.25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 t="str">
        <f t="shared" si="48"/>
        <v/>
      </c>
      <c r="M301" s="182" t="str">
        <f t="shared" si="49"/>
        <v/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 x14ac:dyDescent="0.25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 t="str">
        <f t="shared" si="48"/>
        <v/>
      </c>
      <c r="M302" s="182" t="str">
        <f t="shared" si="49"/>
        <v/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 x14ac:dyDescent="0.25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 t="str">
        <f t="shared" si="48"/>
        <v/>
      </c>
      <c r="M303" s="182" t="str">
        <f t="shared" si="49"/>
        <v/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 x14ac:dyDescent="0.25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 t="str">
        <f t="shared" si="48"/>
        <v/>
      </c>
      <c r="M304" s="182" t="str">
        <f t="shared" si="49"/>
        <v/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 x14ac:dyDescent="0.25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 t="str">
        <f t="shared" si="48"/>
        <v/>
      </c>
      <c r="M305" s="182" t="str">
        <f t="shared" si="49"/>
        <v/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 x14ac:dyDescent="0.25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 t="str">
        <f t="shared" si="48"/>
        <v/>
      </c>
      <c r="M306" s="182" t="str">
        <f t="shared" si="49"/>
        <v/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 x14ac:dyDescent="0.25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 t="str">
        <f t="shared" si="48"/>
        <v/>
      </c>
      <c r="M307" s="182" t="str">
        <f t="shared" si="49"/>
        <v/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 x14ac:dyDescent="0.25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 t="str">
        <f t="shared" si="48"/>
        <v/>
      </c>
      <c r="M308" s="182" t="str">
        <f t="shared" si="49"/>
        <v/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 x14ac:dyDescent="0.25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 t="str">
        <f t="shared" si="48"/>
        <v/>
      </c>
      <c r="M309" s="182" t="str">
        <f t="shared" si="49"/>
        <v/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 x14ac:dyDescent="0.25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 t="str">
        <f t="shared" si="48"/>
        <v/>
      </c>
      <c r="M310" s="182" t="str">
        <f t="shared" si="49"/>
        <v/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 x14ac:dyDescent="0.25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 t="str">
        <f t="shared" si="48"/>
        <v/>
      </c>
      <c r="M311" s="182" t="str">
        <f t="shared" si="49"/>
        <v/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 x14ac:dyDescent="0.25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 t="str">
        <f t="shared" si="48"/>
        <v/>
      </c>
      <c r="M312" s="182" t="str">
        <f t="shared" si="49"/>
        <v/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 x14ac:dyDescent="0.25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 t="str">
        <f t="shared" si="48"/>
        <v/>
      </c>
      <c r="M313" s="182" t="str">
        <f t="shared" si="49"/>
        <v/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 x14ac:dyDescent="0.25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 t="str">
        <f t="shared" si="48"/>
        <v/>
      </c>
      <c r="M314" s="182" t="str">
        <f t="shared" si="49"/>
        <v/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 x14ac:dyDescent="0.25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 t="str">
        <f t="shared" si="48"/>
        <v/>
      </c>
      <c r="M315" s="182" t="str">
        <f t="shared" si="49"/>
        <v/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 x14ac:dyDescent="0.25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 t="str">
        <f t="shared" si="48"/>
        <v/>
      </c>
      <c r="M316" s="182" t="str">
        <f t="shared" si="49"/>
        <v/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 x14ac:dyDescent="0.25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 t="str">
        <f t="shared" si="48"/>
        <v/>
      </c>
      <c r="M317" s="182" t="str">
        <f t="shared" si="49"/>
        <v/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 x14ac:dyDescent="0.25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 t="str">
        <f t="shared" si="48"/>
        <v/>
      </c>
      <c r="M318" s="182" t="str">
        <f t="shared" si="49"/>
        <v/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 x14ac:dyDescent="0.25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 t="str">
        <f t="shared" si="48"/>
        <v/>
      </c>
      <c r="M319" s="182" t="str">
        <f t="shared" si="49"/>
        <v/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 x14ac:dyDescent="0.25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 t="str">
        <f t="shared" si="48"/>
        <v/>
      </c>
      <c r="M320" s="182" t="str">
        <f t="shared" si="49"/>
        <v/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 x14ac:dyDescent="0.25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 t="str">
        <f t="shared" si="48"/>
        <v/>
      </c>
      <c r="M321" s="182" t="str">
        <f t="shared" si="49"/>
        <v/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 x14ac:dyDescent="0.25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 t="str">
        <f t="shared" si="48"/>
        <v/>
      </c>
      <c r="M322" s="182" t="str">
        <f t="shared" si="49"/>
        <v/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 x14ac:dyDescent="0.25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 t="str">
        <f t="shared" ref="L323:L386" si="60">IF($B$13&gt;=K323,K323,"")</f>
        <v/>
      </c>
      <c r="M323" s="182" t="str">
        <f t="shared" ref="M323:M386" si="61">IF(L323="","",IF(L323&lt;=$E$15,VLOOKUP($E$14,$I$1:$J$4,2,FALSE),VLOOKUP($F$14,$I$1:$J$4,2,FALSE)))</f>
        <v/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 x14ac:dyDescent="0.25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 t="str">
        <f t="shared" si="60"/>
        <v/>
      </c>
      <c r="M324" s="182" t="str">
        <f t="shared" si="61"/>
        <v/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 x14ac:dyDescent="0.25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 t="str">
        <f t="shared" si="60"/>
        <v/>
      </c>
      <c r="M325" s="182" t="str">
        <f t="shared" si="61"/>
        <v/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 x14ac:dyDescent="0.25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 t="str">
        <f t="shared" si="60"/>
        <v/>
      </c>
      <c r="M326" s="182" t="str">
        <f t="shared" si="61"/>
        <v/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 x14ac:dyDescent="0.25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 t="str">
        <f t="shared" si="60"/>
        <v/>
      </c>
      <c r="M327" s="182" t="str">
        <f t="shared" si="61"/>
        <v/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 x14ac:dyDescent="0.25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 t="str">
        <f t="shared" si="60"/>
        <v/>
      </c>
      <c r="M328" s="182" t="str">
        <f t="shared" si="61"/>
        <v/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 x14ac:dyDescent="0.25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 t="str">
        <f t="shared" si="60"/>
        <v/>
      </c>
      <c r="M329" s="182" t="str">
        <f t="shared" si="61"/>
        <v/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 x14ac:dyDescent="0.25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 t="str">
        <f t="shared" si="60"/>
        <v/>
      </c>
      <c r="M330" s="182" t="str">
        <f t="shared" si="61"/>
        <v/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 x14ac:dyDescent="0.25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 t="str">
        <f t="shared" si="60"/>
        <v/>
      </c>
      <c r="M331" s="182" t="str">
        <f t="shared" si="61"/>
        <v/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 x14ac:dyDescent="0.25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 t="str">
        <f t="shared" si="60"/>
        <v/>
      </c>
      <c r="M332" s="182" t="str">
        <f t="shared" si="61"/>
        <v/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 x14ac:dyDescent="0.25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 t="str">
        <f t="shared" si="60"/>
        <v/>
      </c>
      <c r="M333" s="182" t="str">
        <f t="shared" si="61"/>
        <v/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 x14ac:dyDescent="0.25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 t="str">
        <f t="shared" si="60"/>
        <v/>
      </c>
      <c r="M334" s="182" t="str">
        <f t="shared" si="61"/>
        <v/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 x14ac:dyDescent="0.25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 t="str">
        <f t="shared" si="60"/>
        <v/>
      </c>
      <c r="M335" s="182" t="str">
        <f t="shared" si="61"/>
        <v/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 x14ac:dyDescent="0.25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 t="str">
        <f t="shared" si="60"/>
        <v/>
      </c>
      <c r="M336" s="182" t="str">
        <f t="shared" si="61"/>
        <v/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 x14ac:dyDescent="0.25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 t="str">
        <f t="shared" si="60"/>
        <v/>
      </c>
      <c r="M337" s="182" t="str">
        <f t="shared" si="61"/>
        <v/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 x14ac:dyDescent="0.25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 t="str">
        <f t="shared" si="60"/>
        <v/>
      </c>
      <c r="M338" s="182" t="str">
        <f t="shared" si="61"/>
        <v/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 x14ac:dyDescent="0.25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 t="str">
        <f t="shared" si="60"/>
        <v/>
      </c>
      <c r="M339" s="182" t="str">
        <f t="shared" si="61"/>
        <v/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 x14ac:dyDescent="0.25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 t="str">
        <f t="shared" si="60"/>
        <v/>
      </c>
      <c r="M340" s="182" t="str">
        <f t="shared" si="61"/>
        <v/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 x14ac:dyDescent="0.25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 t="str">
        <f t="shared" si="60"/>
        <v/>
      </c>
      <c r="M341" s="182" t="str">
        <f t="shared" si="61"/>
        <v/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 x14ac:dyDescent="0.25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 t="str">
        <f t="shared" si="60"/>
        <v/>
      </c>
      <c r="M342" s="182" t="str">
        <f t="shared" si="61"/>
        <v/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 x14ac:dyDescent="0.25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 t="str">
        <f t="shared" si="60"/>
        <v/>
      </c>
      <c r="M343" s="182" t="str">
        <f t="shared" si="61"/>
        <v/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 x14ac:dyDescent="0.25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 t="str">
        <f t="shared" si="60"/>
        <v/>
      </c>
      <c r="M344" s="182" t="str">
        <f t="shared" si="61"/>
        <v/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 x14ac:dyDescent="0.25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 t="str">
        <f t="shared" si="60"/>
        <v/>
      </c>
      <c r="M345" s="182" t="str">
        <f t="shared" si="61"/>
        <v/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 x14ac:dyDescent="0.25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 t="str">
        <f t="shared" si="60"/>
        <v/>
      </c>
      <c r="M346" s="182" t="str">
        <f t="shared" si="61"/>
        <v/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 x14ac:dyDescent="0.25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 t="str">
        <f t="shared" si="60"/>
        <v/>
      </c>
      <c r="M347" s="182" t="str">
        <f t="shared" si="61"/>
        <v/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 x14ac:dyDescent="0.25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 t="str">
        <f t="shared" si="60"/>
        <v/>
      </c>
      <c r="M348" s="182" t="str">
        <f t="shared" si="61"/>
        <v/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 x14ac:dyDescent="0.25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 t="str">
        <f t="shared" si="60"/>
        <v/>
      </c>
      <c r="M349" s="182" t="str">
        <f t="shared" si="61"/>
        <v/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 x14ac:dyDescent="0.25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 t="str">
        <f t="shared" si="60"/>
        <v/>
      </c>
      <c r="M350" s="182" t="str">
        <f t="shared" si="61"/>
        <v/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 x14ac:dyDescent="0.25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 t="str">
        <f t="shared" si="60"/>
        <v/>
      </c>
      <c r="M351" s="182" t="str">
        <f t="shared" si="61"/>
        <v/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 x14ac:dyDescent="0.25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 t="str">
        <f t="shared" si="60"/>
        <v/>
      </c>
      <c r="M352" s="182" t="str">
        <f t="shared" si="61"/>
        <v/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 x14ac:dyDescent="0.25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 t="str">
        <f t="shared" si="60"/>
        <v/>
      </c>
      <c r="M353" s="182" t="str">
        <f t="shared" si="61"/>
        <v/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 x14ac:dyDescent="0.25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 t="str">
        <f t="shared" si="60"/>
        <v/>
      </c>
      <c r="M354" s="182" t="str">
        <f t="shared" si="61"/>
        <v/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 x14ac:dyDescent="0.25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 t="str">
        <f t="shared" si="60"/>
        <v/>
      </c>
      <c r="M355" s="182" t="str">
        <f t="shared" si="61"/>
        <v/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 x14ac:dyDescent="0.25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 t="str">
        <f t="shared" si="60"/>
        <v/>
      </c>
      <c r="M356" s="182" t="str">
        <f t="shared" si="61"/>
        <v/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 x14ac:dyDescent="0.25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 t="str">
        <f t="shared" si="60"/>
        <v/>
      </c>
      <c r="M357" s="182" t="str">
        <f t="shared" si="61"/>
        <v/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 x14ac:dyDescent="0.25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 t="str">
        <f t="shared" si="60"/>
        <v/>
      </c>
      <c r="M358" s="182" t="str">
        <f t="shared" si="61"/>
        <v/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 x14ac:dyDescent="0.25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 t="str">
        <f t="shared" si="60"/>
        <v/>
      </c>
      <c r="M359" s="182" t="str">
        <f t="shared" si="61"/>
        <v/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 x14ac:dyDescent="0.25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 t="str">
        <f t="shared" si="60"/>
        <v/>
      </c>
      <c r="M360" s="182" t="str">
        <f t="shared" si="61"/>
        <v/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 x14ac:dyDescent="0.25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 t="str">
        <f t="shared" si="60"/>
        <v/>
      </c>
      <c r="M361" s="182" t="str">
        <f t="shared" si="61"/>
        <v/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 x14ac:dyDescent="0.25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 t="str">
        <f t="shared" si="60"/>
        <v/>
      </c>
      <c r="M362" s="182" t="str">
        <f t="shared" si="61"/>
        <v/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 x14ac:dyDescent="0.25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 t="str">
        <f t="shared" si="60"/>
        <v/>
      </c>
      <c r="M363" s="182" t="str">
        <f t="shared" si="61"/>
        <v/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 x14ac:dyDescent="0.25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 t="str">
        <f t="shared" si="60"/>
        <v/>
      </c>
      <c r="M364" s="182" t="str">
        <f t="shared" si="61"/>
        <v/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 x14ac:dyDescent="0.25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 t="str">
        <f t="shared" si="60"/>
        <v/>
      </c>
      <c r="M365" s="182" t="str">
        <f t="shared" si="61"/>
        <v/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 x14ac:dyDescent="0.25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 t="str">
        <f t="shared" si="60"/>
        <v/>
      </c>
      <c r="M366" s="182" t="str">
        <f t="shared" si="61"/>
        <v/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 x14ac:dyDescent="0.25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 t="str">
        <f t="shared" si="60"/>
        <v/>
      </c>
      <c r="M367" s="182" t="str">
        <f t="shared" si="61"/>
        <v/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 x14ac:dyDescent="0.25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 t="str">
        <f t="shared" si="60"/>
        <v/>
      </c>
      <c r="M368" s="182" t="str">
        <f t="shared" si="61"/>
        <v/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 x14ac:dyDescent="0.25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 t="str">
        <f t="shared" si="60"/>
        <v/>
      </c>
      <c r="M369" s="182" t="str">
        <f t="shared" si="61"/>
        <v/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 x14ac:dyDescent="0.25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 t="str">
        <f t="shared" si="60"/>
        <v/>
      </c>
      <c r="M370" s="182" t="str">
        <f t="shared" si="61"/>
        <v/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 x14ac:dyDescent="0.25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 t="str">
        <f t="shared" si="60"/>
        <v/>
      </c>
      <c r="M371" s="182" t="str">
        <f t="shared" si="61"/>
        <v/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 x14ac:dyDescent="0.25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 t="str">
        <f t="shared" si="60"/>
        <v/>
      </c>
      <c r="M372" s="182" t="str">
        <f t="shared" si="61"/>
        <v/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 x14ac:dyDescent="0.25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 t="str">
        <f t="shared" si="60"/>
        <v/>
      </c>
      <c r="M373" s="182" t="str">
        <f t="shared" si="61"/>
        <v/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 x14ac:dyDescent="0.25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 t="str">
        <f t="shared" si="60"/>
        <v/>
      </c>
      <c r="M374" s="182" t="str">
        <f t="shared" si="61"/>
        <v/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 x14ac:dyDescent="0.25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 t="str">
        <f t="shared" si="60"/>
        <v/>
      </c>
      <c r="M375" s="182" t="str">
        <f t="shared" si="61"/>
        <v/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 x14ac:dyDescent="0.25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 t="str">
        <f t="shared" si="60"/>
        <v/>
      </c>
      <c r="M376" s="182" t="str">
        <f t="shared" si="61"/>
        <v/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 x14ac:dyDescent="0.25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 t="str">
        <f t="shared" si="60"/>
        <v/>
      </c>
      <c r="M377" s="182" t="str">
        <f t="shared" si="61"/>
        <v/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 x14ac:dyDescent="0.25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 t="str">
        <f t="shared" si="60"/>
        <v/>
      </c>
      <c r="M378" s="182" t="str">
        <f t="shared" si="61"/>
        <v/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 x14ac:dyDescent="0.25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 t="str">
        <f t="shared" si="60"/>
        <v/>
      </c>
      <c r="M379" s="182" t="str">
        <f t="shared" si="61"/>
        <v/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 x14ac:dyDescent="0.25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 t="str">
        <f t="shared" si="60"/>
        <v/>
      </c>
      <c r="M380" s="182" t="str">
        <f t="shared" si="61"/>
        <v/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 x14ac:dyDescent="0.25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 t="str">
        <f t="shared" si="60"/>
        <v/>
      </c>
      <c r="M381" s="182" t="str">
        <f t="shared" si="61"/>
        <v/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 x14ac:dyDescent="0.25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 t="str">
        <f t="shared" si="60"/>
        <v/>
      </c>
      <c r="M382" s="182" t="str">
        <f t="shared" si="61"/>
        <v/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 x14ac:dyDescent="0.25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 t="str">
        <f t="shared" si="60"/>
        <v/>
      </c>
      <c r="M383" s="182" t="str">
        <f t="shared" si="61"/>
        <v/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 x14ac:dyDescent="0.25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 t="str">
        <f t="shared" si="60"/>
        <v/>
      </c>
      <c r="M384" s="182" t="str">
        <f t="shared" si="61"/>
        <v/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 x14ac:dyDescent="0.25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 t="str">
        <f t="shared" si="60"/>
        <v/>
      </c>
      <c r="M385" s="182" t="str">
        <f t="shared" si="61"/>
        <v/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 x14ac:dyDescent="0.25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 t="str">
        <f t="shared" si="60"/>
        <v/>
      </c>
      <c r="M386" s="182" t="str">
        <f t="shared" si="61"/>
        <v/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 x14ac:dyDescent="0.25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 t="str">
        <f t="shared" ref="L387:L450" si="72">IF($B$13&gt;=K387,K387,"")</f>
        <v/>
      </c>
      <c r="M387" s="182" t="str">
        <f t="shared" ref="M387:M450" si="73">IF(L387="","",IF(L387&lt;=$E$15,VLOOKUP($E$14,$I$1:$J$4,2,FALSE),VLOOKUP($F$14,$I$1:$J$4,2,FALSE)))</f>
        <v/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 x14ac:dyDescent="0.25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 t="str">
        <f t="shared" si="72"/>
        <v/>
      </c>
      <c r="M388" s="182" t="str">
        <f t="shared" si="73"/>
        <v/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 x14ac:dyDescent="0.25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 t="str">
        <f t="shared" si="72"/>
        <v/>
      </c>
      <c r="M389" s="182" t="str">
        <f t="shared" si="73"/>
        <v/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 x14ac:dyDescent="0.25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 t="str">
        <f t="shared" si="72"/>
        <v/>
      </c>
      <c r="M390" s="182" t="str">
        <f t="shared" si="73"/>
        <v/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 x14ac:dyDescent="0.25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 t="str">
        <f t="shared" si="72"/>
        <v/>
      </c>
      <c r="M391" s="182" t="str">
        <f t="shared" si="73"/>
        <v/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 x14ac:dyDescent="0.25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 t="str">
        <f t="shared" si="72"/>
        <v/>
      </c>
      <c r="M392" s="182" t="str">
        <f t="shared" si="73"/>
        <v/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 x14ac:dyDescent="0.25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 t="str">
        <f t="shared" si="72"/>
        <v/>
      </c>
      <c r="M393" s="182" t="str">
        <f t="shared" si="73"/>
        <v/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 x14ac:dyDescent="0.25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 t="str">
        <f t="shared" si="72"/>
        <v/>
      </c>
      <c r="M394" s="182" t="str">
        <f t="shared" si="73"/>
        <v/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 x14ac:dyDescent="0.25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 t="str">
        <f t="shared" si="72"/>
        <v/>
      </c>
      <c r="M395" s="182" t="str">
        <f t="shared" si="73"/>
        <v/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 x14ac:dyDescent="0.25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 t="str">
        <f t="shared" si="72"/>
        <v/>
      </c>
      <c r="M396" s="182" t="str">
        <f t="shared" si="73"/>
        <v/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 x14ac:dyDescent="0.25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 t="str">
        <f t="shared" si="72"/>
        <v/>
      </c>
      <c r="M397" s="182" t="str">
        <f t="shared" si="73"/>
        <v/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 x14ac:dyDescent="0.25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 t="str">
        <f t="shared" si="72"/>
        <v/>
      </c>
      <c r="M398" s="182" t="str">
        <f t="shared" si="73"/>
        <v/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 x14ac:dyDescent="0.25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 t="str">
        <f t="shared" si="72"/>
        <v/>
      </c>
      <c r="M399" s="182" t="str">
        <f t="shared" si="73"/>
        <v/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 x14ac:dyDescent="0.25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 t="str">
        <f t="shared" si="72"/>
        <v/>
      </c>
      <c r="M400" s="182" t="str">
        <f t="shared" si="73"/>
        <v/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 x14ac:dyDescent="0.25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 t="str">
        <f t="shared" si="72"/>
        <v/>
      </c>
      <c r="M401" s="182" t="str">
        <f t="shared" si="73"/>
        <v/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 x14ac:dyDescent="0.25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 t="str">
        <f t="shared" si="72"/>
        <v/>
      </c>
      <c r="M402" s="182" t="str">
        <f t="shared" si="73"/>
        <v/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 x14ac:dyDescent="0.25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 t="str">
        <f t="shared" si="72"/>
        <v/>
      </c>
      <c r="M403" s="182" t="str">
        <f t="shared" si="73"/>
        <v/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 x14ac:dyDescent="0.25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 t="str">
        <f t="shared" si="72"/>
        <v/>
      </c>
      <c r="M404" s="182" t="str">
        <f t="shared" si="73"/>
        <v/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 x14ac:dyDescent="0.25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 t="str">
        <f t="shared" si="72"/>
        <v/>
      </c>
      <c r="M405" s="182" t="str">
        <f t="shared" si="73"/>
        <v/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 x14ac:dyDescent="0.25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 t="str">
        <f t="shared" si="72"/>
        <v/>
      </c>
      <c r="M406" s="182" t="str">
        <f t="shared" si="73"/>
        <v/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 x14ac:dyDescent="0.25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 t="str">
        <f t="shared" si="72"/>
        <v/>
      </c>
      <c r="M407" s="182" t="str">
        <f t="shared" si="73"/>
        <v/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 x14ac:dyDescent="0.25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 t="str">
        <f t="shared" si="72"/>
        <v/>
      </c>
      <c r="M408" s="182" t="str">
        <f t="shared" si="73"/>
        <v/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 x14ac:dyDescent="0.25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 t="str">
        <f t="shared" si="72"/>
        <v/>
      </c>
      <c r="M409" s="182" t="str">
        <f t="shared" si="73"/>
        <v/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 x14ac:dyDescent="0.25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 t="str">
        <f t="shared" si="72"/>
        <v/>
      </c>
      <c r="M410" s="182" t="str">
        <f t="shared" si="73"/>
        <v/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 x14ac:dyDescent="0.25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 t="str">
        <f t="shared" si="72"/>
        <v/>
      </c>
      <c r="M411" s="182" t="str">
        <f t="shared" si="73"/>
        <v/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 x14ac:dyDescent="0.25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 t="str">
        <f t="shared" si="72"/>
        <v/>
      </c>
      <c r="M412" s="182" t="str">
        <f t="shared" si="73"/>
        <v/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 x14ac:dyDescent="0.25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 t="str">
        <f t="shared" si="72"/>
        <v/>
      </c>
      <c r="M413" s="182" t="str">
        <f t="shared" si="73"/>
        <v/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 x14ac:dyDescent="0.25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 t="str">
        <f t="shared" si="72"/>
        <v/>
      </c>
      <c r="M414" s="182" t="str">
        <f t="shared" si="73"/>
        <v/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 x14ac:dyDescent="0.25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 t="str">
        <f t="shared" si="72"/>
        <v/>
      </c>
      <c r="M415" s="182" t="str">
        <f t="shared" si="73"/>
        <v/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 x14ac:dyDescent="0.25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 t="str">
        <f t="shared" si="72"/>
        <v/>
      </c>
      <c r="M416" s="182" t="str">
        <f t="shared" si="73"/>
        <v/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 x14ac:dyDescent="0.25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 t="str">
        <f t="shared" si="72"/>
        <v/>
      </c>
      <c r="M417" s="182" t="str">
        <f t="shared" si="73"/>
        <v/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 x14ac:dyDescent="0.25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 t="str">
        <f t="shared" si="72"/>
        <v/>
      </c>
      <c r="M418" s="182" t="str">
        <f t="shared" si="73"/>
        <v/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 x14ac:dyDescent="0.25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 t="str">
        <f t="shared" si="72"/>
        <v/>
      </c>
      <c r="M419" s="182" t="str">
        <f t="shared" si="73"/>
        <v/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 x14ac:dyDescent="0.25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 t="str">
        <f t="shared" si="72"/>
        <v/>
      </c>
      <c r="M420" s="182" t="str">
        <f t="shared" si="73"/>
        <v/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 x14ac:dyDescent="0.25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 t="str">
        <f t="shared" si="72"/>
        <v/>
      </c>
      <c r="M421" s="182" t="str">
        <f t="shared" si="73"/>
        <v/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 x14ac:dyDescent="0.25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 t="str">
        <f t="shared" si="72"/>
        <v/>
      </c>
      <c r="M422" s="182" t="str">
        <f t="shared" si="73"/>
        <v/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 x14ac:dyDescent="0.25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 t="str">
        <f t="shared" si="72"/>
        <v/>
      </c>
      <c r="M423" s="182" t="str">
        <f t="shared" si="73"/>
        <v/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 x14ac:dyDescent="0.25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 t="str">
        <f t="shared" si="72"/>
        <v/>
      </c>
      <c r="M424" s="182" t="str">
        <f t="shared" si="73"/>
        <v/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 x14ac:dyDescent="0.25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 t="str">
        <f t="shared" si="72"/>
        <v/>
      </c>
      <c r="M425" s="182" t="str">
        <f t="shared" si="73"/>
        <v/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 x14ac:dyDescent="0.25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 t="str">
        <f t="shared" si="72"/>
        <v/>
      </c>
      <c r="M426" s="182" t="str">
        <f t="shared" si="73"/>
        <v/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 x14ac:dyDescent="0.25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 t="str">
        <f t="shared" si="72"/>
        <v/>
      </c>
      <c r="M427" s="182" t="str">
        <f t="shared" si="73"/>
        <v/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 x14ac:dyDescent="0.25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 t="str">
        <f t="shared" si="72"/>
        <v/>
      </c>
      <c r="M428" s="182" t="str">
        <f t="shared" si="73"/>
        <v/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 x14ac:dyDescent="0.25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 t="str">
        <f t="shared" si="72"/>
        <v/>
      </c>
      <c r="M429" s="182" t="str">
        <f t="shared" si="73"/>
        <v/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 x14ac:dyDescent="0.25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 t="str">
        <f t="shared" si="72"/>
        <v/>
      </c>
      <c r="M430" s="182" t="str">
        <f t="shared" si="73"/>
        <v/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 x14ac:dyDescent="0.25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 t="str">
        <f t="shared" si="72"/>
        <v/>
      </c>
      <c r="M431" s="182" t="str">
        <f t="shared" si="73"/>
        <v/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 x14ac:dyDescent="0.25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 t="str">
        <f t="shared" si="72"/>
        <v/>
      </c>
      <c r="M432" s="182" t="str">
        <f t="shared" si="73"/>
        <v/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 x14ac:dyDescent="0.25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 t="str">
        <f t="shared" si="72"/>
        <v/>
      </c>
      <c r="M433" s="182" t="str">
        <f t="shared" si="73"/>
        <v/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 x14ac:dyDescent="0.25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 x14ac:dyDescent="0.25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 x14ac:dyDescent="0.25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 x14ac:dyDescent="0.25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 x14ac:dyDescent="0.25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 x14ac:dyDescent="0.25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 x14ac:dyDescent="0.25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 x14ac:dyDescent="0.25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 x14ac:dyDescent="0.25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 x14ac:dyDescent="0.25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 x14ac:dyDescent="0.25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 x14ac:dyDescent="0.25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 x14ac:dyDescent="0.25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 x14ac:dyDescent="0.25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 x14ac:dyDescent="0.25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 x14ac:dyDescent="0.25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 x14ac:dyDescent="0.25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 x14ac:dyDescent="0.25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 x14ac:dyDescent="0.25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 x14ac:dyDescent="0.25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 x14ac:dyDescent="0.25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 x14ac:dyDescent="0.25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 x14ac:dyDescent="0.25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 x14ac:dyDescent="0.25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 x14ac:dyDescent="0.25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 x14ac:dyDescent="0.25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 x14ac:dyDescent="0.25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 x14ac:dyDescent="0.25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 x14ac:dyDescent="0.25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 x14ac:dyDescent="0.25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 x14ac:dyDescent="0.25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 x14ac:dyDescent="0.25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 x14ac:dyDescent="0.25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 x14ac:dyDescent="0.25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 x14ac:dyDescent="0.25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 x14ac:dyDescent="0.25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 x14ac:dyDescent="0.25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 x14ac:dyDescent="0.25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 x14ac:dyDescent="0.25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 x14ac:dyDescent="0.25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 x14ac:dyDescent="0.25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 x14ac:dyDescent="0.25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 x14ac:dyDescent="0.25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 x14ac:dyDescent="0.25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 x14ac:dyDescent="0.25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 x14ac:dyDescent="0.25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 x14ac:dyDescent="0.25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 x14ac:dyDescent="0.25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 x14ac:dyDescent="0.25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 x14ac:dyDescent="0.25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 x14ac:dyDescent="0.25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 x14ac:dyDescent="0.25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 x14ac:dyDescent="0.25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 x14ac:dyDescent="0.25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 x14ac:dyDescent="0.25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 x14ac:dyDescent="0.25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 x14ac:dyDescent="0.25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 x14ac:dyDescent="0.25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 x14ac:dyDescent="0.25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 x14ac:dyDescent="0.25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 x14ac:dyDescent="0.25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 x14ac:dyDescent="0.25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 x14ac:dyDescent="0.25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 x14ac:dyDescent="0.25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 x14ac:dyDescent="0.25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 x14ac:dyDescent="0.25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 x14ac:dyDescent="0.25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 x14ac:dyDescent="0.25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 x14ac:dyDescent="0.25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 x14ac:dyDescent="0.25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 x14ac:dyDescent="0.25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 x14ac:dyDescent="0.25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 x14ac:dyDescent="0.25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 x14ac:dyDescent="0.25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 x14ac:dyDescent="0.25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 x14ac:dyDescent="0.25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 x14ac:dyDescent="0.25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 x14ac:dyDescent="0.25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 x14ac:dyDescent="0.25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 x14ac:dyDescent="0.25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 x14ac:dyDescent="0.25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 x14ac:dyDescent="0.25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 x14ac:dyDescent="0.25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 x14ac:dyDescent="0.25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 x14ac:dyDescent="0.25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 x14ac:dyDescent="0.25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 x14ac:dyDescent="0.25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 x14ac:dyDescent="0.25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 x14ac:dyDescent="0.25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 x14ac:dyDescent="0.25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 x14ac:dyDescent="0.25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 x14ac:dyDescent="0.25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 x14ac:dyDescent="0.25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 x14ac:dyDescent="0.25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 x14ac:dyDescent="0.25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 x14ac:dyDescent="0.25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 x14ac:dyDescent="0.25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 x14ac:dyDescent="0.25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 x14ac:dyDescent="0.25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 x14ac:dyDescent="0.25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 x14ac:dyDescent="0.25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 x14ac:dyDescent="0.25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 x14ac:dyDescent="0.25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 x14ac:dyDescent="0.25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 x14ac:dyDescent="0.25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 x14ac:dyDescent="0.25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 x14ac:dyDescent="0.25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 x14ac:dyDescent="0.25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 x14ac:dyDescent="0.25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 x14ac:dyDescent="0.25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 x14ac:dyDescent="0.25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 x14ac:dyDescent="0.25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 x14ac:dyDescent="0.25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 x14ac:dyDescent="0.25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 x14ac:dyDescent="0.25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 x14ac:dyDescent="0.25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 x14ac:dyDescent="0.25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 x14ac:dyDescent="0.25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 x14ac:dyDescent="0.25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 x14ac:dyDescent="0.25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 x14ac:dyDescent="0.25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 x14ac:dyDescent="0.25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 x14ac:dyDescent="0.25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 x14ac:dyDescent="0.25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 x14ac:dyDescent="0.25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 x14ac:dyDescent="0.25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 x14ac:dyDescent="0.25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 x14ac:dyDescent="0.25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 x14ac:dyDescent="0.25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 x14ac:dyDescent="0.25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 x14ac:dyDescent="0.25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 x14ac:dyDescent="0.25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 x14ac:dyDescent="0.25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 x14ac:dyDescent="0.25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 x14ac:dyDescent="0.25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 x14ac:dyDescent="0.25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 x14ac:dyDescent="0.25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 x14ac:dyDescent="0.25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 x14ac:dyDescent="0.25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 x14ac:dyDescent="0.25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 x14ac:dyDescent="0.25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 x14ac:dyDescent="0.25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 x14ac:dyDescent="0.25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 x14ac:dyDescent="0.25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 x14ac:dyDescent="0.25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 x14ac:dyDescent="0.25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 x14ac:dyDescent="0.25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 x14ac:dyDescent="0.25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 x14ac:dyDescent="0.25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 x14ac:dyDescent="0.25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 x14ac:dyDescent="0.25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 x14ac:dyDescent="0.25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 x14ac:dyDescent="0.25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 x14ac:dyDescent="0.25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 x14ac:dyDescent="0.25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 x14ac:dyDescent="0.25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 x14ac:dyDescent="0.25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 x14ac:dyDescent="0.25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 x14ac:dyDescent="0.25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 x14ac:dyDescent="0.25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 x14ac:dyDescent="0.25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 x14ac:dyDescent="0.25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 x14ac:dyDescent="0.25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 x14ac:dyDescent="0.25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 x14ac:dyDescent="0.25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 x14ac:dyDescent="0.25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 x14ac:dyDescent="0.25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 x14ac:dyDescent="0.25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 x14ac:dyDescent="0.25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 x14ac:dyDescent="0.25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 x14ac:dyDescent="0.25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 x14ac:dyDescent="0.25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 x14ac:dyDescent="0.25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 x14ac:dyDescent="0.25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 x14ac:dyDescent="0.25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 x14ac:dyDescent="0.25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 x14ac:dyDescent="0.25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 x14ac:dyDescent="0.25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 x14ac:dyDescent="0.25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 x14ac:dyDescent="0.25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 x14ac:dyDescent="0.25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 x14ac:dyDescent="0.25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 x14ac:dyDescent="0.25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 x14ac:dyDescent="0.25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 x14ac:dyDescent="0.25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 x14ac:dyDescent="0.25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 x14ac:dyDescent="0.25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 x14ac:dyDescent="0.25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 x14ac:dyDescent="0.25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 x14ac:dyDescent="0.25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 x14ac:dyDescent="0.25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 x14ac:dyDescent="0.25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 x14ac:dyDescent="0.25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 x14ac:dyDescent="0.25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 x14ac:dyDescent="0.25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 x14ac:dyDescent="0.25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 x14ac:dyDescent="0.25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 x14ac:dyDescent="0.25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 x14ac:dyDescent="0.25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 x14ac:dyDescent="0.25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 x14ac:dyDescent="0.25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 x14ac:dyDescent="0.25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 x14ac:dyDescent="0.25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 x14ac:dyDescent="0.25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 x14ac:dyDescent="0.25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 x14ac:dyDescent="0.25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 x14ac:dyDescent="0.25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 x14ac:dyDescent="0.25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 x14ac:dyDescent="0.25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 x14ac:dyDescent="0.25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 x14ac:dyDescent="0.25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 x14ac:dyDescent="0.25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 x14ac:dyDescent="0.25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 x14ac:dyDescent="0.25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 x14ac:dyDescent="0.25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 x14ac:dyDescent="0.25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 x14ac:dyDescent="0.25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 x14ac:dyDescent="0.25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 x14ac:dyDescent="0.25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 x14ac:dyDescent="0.25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 x14ac:dyDescent="0.25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 x14ac:dyDescent="0.25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 x14ac:dyDescent="0.25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 x14ac:dyDescent="0.25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 x14ac:dyDescent="0.25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 x14ac:dyDescent="0.25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 x14ac:dyDescent="0.25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 x14ac:dyDescent="0.25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 x14ac:dyDescent="0.25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 x14ac:dyDescent="0.25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 x14ac:dyDescent="0.25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 x14ac:dyDescent="0.25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 x14ac:dyDescent="0.25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 x14ac:dyDescent="0.25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 x14ac:dyDescent="0.25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 x14ac:dyDescent="0.25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 x14ac:dyDescent="0.25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 x14ac:dyDescent="0.25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 x14ac:dyDescent="0.25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 x14ac:dyDescent="0.25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 x14ac:dyDescent="0.25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 x14ac:dyDescent="0.25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 x14ac:dyDescent="0.25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 x14ac:dyDescent="0.25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 x14ac:dyDescent="0.25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 x14ac:dyDescent="0.25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 x14ac:dyDescent="0.25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 x14ac:dyDescent="0.25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 x14ac:dyDescent="0.25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 x14ac:dyDescent="0.25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 x14ac:dyDescent="0.25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 x14ac:dyDescent="0.25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 x14ac:dyDescent="0.25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 x14ac:dyDescent="0.25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 x14ac:dyDescent="0.25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 x14ac:dyDescent="0.25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 x14ac:dyDescent="0.25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 x14ac:dyDescent="0.25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 x14ac:dyDescent="0.25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 x14ac:dyDescent="0.25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 x14ac:dyDescent="0.25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 x14ac:dyDescent="0.25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 x14ac:dyDescent="0.25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 x14ac:dyDescent="0.25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 x14ac:dyDescent="0.25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 x14ac:dyDescent="0.25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 x14ac:dyDescent="0.25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 x14ac:dyDescent="0.25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 x14ac:dyDescent="0.25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 x14ac:dyDescent="0.25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 x14ac:dyDescent="0.25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 x14ac:dyDescent="0.25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 x14ac:dyDescent="0.25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 x14ac:dyDescent="0.25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 x14ac:dyDescent="0.25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 x14ac:dyDescent="0.25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 x14ac:dyDescent="0.25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 x14ac:dyDescent="0.25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 x14ac:dyDescent="0.25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 x14ac:dyDescent="0.25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 x14ac:dyDescent="0.25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 x14ac:dyDescent="0.25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 x14ac:dyDescent="0.25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 x14ac:dyDescent="0.25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 x14ac:dyDescent="0.25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 x14ac:dyDescent="0.25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 x14ac:dyDescent="0.25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 x14ac:dyDescent="0.25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 x14ac:dyDescent="0.25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 x14ac:dyDescent="0.25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 x14ac:dyDescent="0.25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 x14ac:dyDescent="0.25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 x14ac:dyDescent="0.25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 x14ac:dyDescent="0.25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 x14ac:dyDescent="0.25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 x14ac:dyDescent="0.25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 x14ac:dyDescent="0.25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 x14ac:dyDescent="0.25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 x14ac:dyDescent="0.25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 x14ac:dyDescent="0.25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 x14ac:dyDescent="0.25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 x14ac:dyDescent="0.25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 x14ac:dyDescent="0.25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 x14ac:dyDescent="0.25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 x14ac:dyDescent="0.25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 x14ac:dyDescent="0.25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 x14ac:dyDescent="0.25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 x14ac:dyDescent="0.25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 x14ac:dyDescent="0.25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 x14ac:dyDescent="0.25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 x14ac:dyDescent="0.25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 x14ac:dyDescent="0.25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 x14ac:dyDescent="0.25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 x14ac:dyDescent="0.25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 x14ac:dyDescent="0.25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 x14ac:dyDescent="0.25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 x14ac:dyDescent="0.25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 x14ac:dyDescent="0.25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 x14ac:dyDescent="0.25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 x14ac:dyDescent="0.25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 x14ac:dyDescent="0.25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 x14ac:dyDescent="0.25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 x14ac:dyDescent="0.25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 x14ac:dyDescent="0.25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 x14ac:dyDescent="0.25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 x14ac:dyDescent="0.25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 x14ac:dyDescent="0.25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 x14ac:dyDescent="0.25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 x14ac:dyDescent="0.25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 x14ac:dyDescent="0.25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 x14ac:dyDescent="0.25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 x14ac:dyDescent="0.25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 x14ac:dyDescent="0.25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 x14ac:dyDescent="0.25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 x14ac:dyDescent="0.25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 x14ac:dyDescent="0.25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 x14ac:dyDescent="0.25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 x14ac:dyDescent="0.25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 x14ac:dyDescent="0.25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 x14ac:dyDescent="0.25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 x14ac:dyDescent="0.25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 x14ac:dyDescent="0.25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 x14ac:dyDescent="0.25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 x14ac:dyDescent="0.25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 x14ac:dyDescent="0.25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 x14ac:dyDescent="0.25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 x14ac:dyDescent="0.25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 x14ac:dyDescent="0.25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 x14ac:dyDescent="0.25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 x14ac:dyDescent="0.25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 x14ac:dyDescent="0.25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 x14ac:dyDescent="0.25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 x14ac:dyDescent="0.25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 x14ac:dyDescent="0.25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 x14ac:dyDescent="0.25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 x14ac:dyDescent="0.25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 x14ac:dyDescent="0.25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 x14ac:dyDescent="0.25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 x14ac:dyDescent="0.25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 x14ac:dyDescent="0.25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 x14ac:dyDescent="0.25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 x14ac:dyDescent="0.25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 x14ac:dyDescent="0.25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 x14ac:dyDescent="0.25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 x14ac:dyDescent="0.25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 x14ac:dyDescent="0.25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 x14ac:dyDescent="0.25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 x14ac:dyDescent="0.25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 x14ac:dyDescent="0.25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 x14ac:dyDescent="0.25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 x14ac:dyDescent="0.25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 x14ac:dyDescent="0.25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 x14ac:dyDescent="0.25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 x14ac:dyDescent="0.25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 x14ac:dyDescent="0.25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 x14ac:dyDescent="0.25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 x14ac:dyDescent="0.25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 x14ac:dyDescent="0.25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 x14ac:dyDescent="0.25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 x14ac:dyDescent="0.25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 x14ac:dyDescent="0.25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 x14ac:dyDescent="0.25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 x14ac:dyDescent="0.25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 x14ac:dyDescent="0.25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 x14ac:dyDescent="0.25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 x14ac:dyDescent="0.25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 x14ac:dyDescent="0.25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 x14ac:dyDescent="0.25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 x14ac:dyDescent="0.25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 x14ac:dyDescent="0.25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 x14ac:dyDescent="0.25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 x14ac:dyDescent="0.25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 x14ac:dyDescent="0.25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 x14ac:dyDescent="0.25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 x14ac:dyDescent="0.25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 x14ac:dyDescent="0.25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 x14ac:dyDescent="0.25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 x14ac:dyDescent="0.25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 x14ac:dyDescent="0.25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 x14ac:dyDescent="0.25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 x14ac:dyDescent="0.25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 x14ac:dyDescent="0.25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 x14ac:dyDescent="0.25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 x14ac:dyDescent="0.25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 x14ac:dyDescent="0.25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 x14ac:dyDescent="0.25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 x14ac:dyDescent="0.25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 x14ac:dyDescent="0.25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 x14ac:dyDescent="0.25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 x14ac:dyDescent="0.25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 x14ac:dyDescent="0.25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 x14ac:dyDescent="0.25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 x14ac:dyDescent="0.25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 x14ac:dyDescent="0.25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 x14ac:dyDescent="0.25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 x14ac:dyDescent="0.25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 x14ac:dyDescent="0.25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 x14ac:dyDescent="0.25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 x14ac:dyDescent="0.25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 x14ac:dyDescent="0.25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 x14ac:dyDescent="0.25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 x14ac:dyDescent="0.25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 x14ac:dyDescent="0.25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 x14ac:dyDescent="0.25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 x14ac:dyDescent="0.25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 x14ac:dyDescent="0.25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 x14ac:dyDescent="0.25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 x14ac:dyDescent="0.25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 x14ac:dyDescent="0.25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 x14ac:dyDescent="0.25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 x14ac:dyDescent="0.25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 x14ac:dyDescent="0.25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B27:B29"/>
    <mergeCell ref="C27:C29"/>
    <mergeCell ref="D31:F31"/>
    <mergeCell ref="D32:F32"/>
    <mergeCell ref="E33:F33"/>
    <mergeCell ref="B34:B36"/>
    <mergeCell ref="C34:C36"/>
    <mergeCell ref="D38:F38"/>
    <mergeCell ref="D39:F39"/>
    <mergeCell ref="E40:F40"/>
    <mergeCell ref="B48:B50"/>
    <mergeCell ref="C48:C50"/>
    <mergeCell ref="B41:B43"/>
    <mergeCell ref="C41:C43"/>
    <mergeCell ref="D45:F45"/>
    <mergeCell ref="D46:F46"/>
    <mergeCell ref="E47:F47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144780</xdr:rowOff>
              </from>
              <to>
                <xdr:col>27</xdr:col>
                <xdr:colOff>601980</xdr:colOff>
                <xdr:row>3</xdr:row>
                <xdr:rowOff>144780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ColWidth="9.109375" defaultRowHeight="13.2" x14ac:dyDescent="0.25"/>
  <cols>
    <col min="1" max="1" width="3.88671875" style="244" customWidth="1"/>
    <col min="2" max="4" width="25" style="244" customWidth="1"/>
    <col min="5" max="6" width="13.33203125" style="244" customWidth="1"/>
    <col min="7" max="7" width="3.88671875" style="244" customWidth="1"/>
    <col min="8" max="8" width="9.109375" style="242" customWidth="1"/>
    <col min="9" max="9" width="14.88671875" style="242" hidden="1" customWidth="1"/>
    <col min="10" max="26" width="9.109375" style="242" hidden="1" customWidth="1"/>
    <col min="27" max="147" width="9.109375" style="242"/>
    <col min="148" max="16384" width="9.109375" style="244"/>
  </cols>
  <sheetData>
    <row r="1" spans="1:147" ht="14.4" thickTop="1" thickBot="1" x14ac:dyDescent="0.3">
      <c r="A1" s="239"/>
      <c r="B1" s="240"/>
      <c r="C1" s="240"/>
      <c r="D1" s="240"/>
      <c r="E1" s="240"/>
      <c r="F1" s="240"/>
      <c r="G1" s="241"/>
      <c r="I1" s="242" t="s">
        <v>54</v>
      </c>
      <c r="J1" s="242" t="s">
        <v>56</v>
      </c>
      <c r="L1" s="242" t="s">
        <v>90</v>
      </c>
      <c r="M1" s="243"/>
      <c r="N1" s="243" t="s">
        <v>91</v>
      </c>
      <c r="P1" s="242" t="s">
        <v>92</v>
      </c>
      <c r="R1" s="242" t="s">
        <v>93</v>
      </c>
      <c r="T1" s="242" t="s">
        <v>94</v>
      </c>
      <c r="V1" s="242" t="s">
        <v>95</v>
      </c>
    </row>
    <row r="2" spans="1:147" s="249" customFormat="1" ht="14.4" thickBot="1" x14ac:dyDescent="0.3">
      <c r="A2" s="245"/>
      <c r="B2" s="246" t="s">
        <v>8</v>
      </c>
      <c r="C2" s="247"/>
      <c r="D2" s="247"/>
      <c r="E2" s="539" t="s">
        <v>9</v>
      </c>
      <c r="F2" s="540"/>
      <c r="G2" s="248"/>
      <c r="H2" s="242"/>
      <c r="I2" s="242" t="s">
        <v>45</v>
      </c>
      <c r="J2" s="242" t="s">
        <v>55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 x14ac:dyDescent="0.25">
      <c r="A3" s="250"/>
      <c r="B3" s="541" t="str">
        <f>'[4]Cover - Location Info'!J8</f>
        <v>00000</v>
      </c>
      <c r="C3" s="251"/>
      <c r="D3" s="251"/>
      <c r="E3" s="543" t="str">
        <f>'[4]Cover - Location Info'!J10</f>
        <v>1.0</v>
      </c>
      <c r="F3" s="544"/>
      <c r="G3" s="252"/>
      <c r="I3" s="242" t="s">
        <v>46</v>
      </c>
      <c r="J3" s="242" t="s">
        <v>57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250"/>
      <c r="B4" s="542"/>
      <c r="C4" s="251"/>
      <c r="D4" s="251"/>
      <c r="E4" s="545"/>
      <c r="F4" s="546"/>
      <c r="G4" s="252"/>
      <c r="I4" s="242" t="s">
        <v>47</v>
      </c>
      <c r="J4" s="242" t="s">
        <v>58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 x14ac:dyDescent="0.25">
      <c r="A5" s="250"/>
      <c r="B5" s="251"/>
      <c r="C5" s="251"/>
      <c r="D5" s="251"/>
      <c r="E5" s="251"/>
      <c r="F5" s="251"/>
      <c r="G5" s="252"/>
      <c r="I5" s="242" t="s">
        <v>49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5.8" x14ac:dyDescent="0.5">
      <c r="A6" s="250"/>
      <c r="B6" s="547" t="s">
        <v>2</v>
      </c>
      <c r="C6" s="547"/>
      <c r="D6" s="547"/>
      <c r="E6" s="547"/>
      <c r="F6" s="547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 x14ac:dyDescent="0.25">
      <c r="A7" s="250"/>
      <c r="B7" s="251"/>
      <c r="C7" s="251"/>
      <c r="D7" s="251"/>
      <c r="E7" s="251"/>
      <c r="F7" s="251"/>
      <c r="G7" s="252"/>
      <c r="I7" s="242" t="s">
        <v>61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 x14ac:dyDescent="0.25">
      <c r="A8" s="250"/>
      <c r="B8" s="251"/>
      <c r="C8" s="251"/>
      <c r="D8" s="251"/>
      <c r="E8" s="251"/>
      <c r="F8" s="251"/>
      <c r="G8" s="252"/>
      <c r="I8" s="242" t="s">
        <v>62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 x14ac:dyDescent="0.3">
      <c r="A9" s="250"/>
      <c r="B9" s="253"/>
      <c r="C9" s="253"/>
      <c r="D9" s="251"/>
      <c r="E9" s="253"/>
      <c r="F9" s="253"/>
      <c r="G9" s="252"/>
      <c r="I9" s="242" t="s">
        <v>63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 x14ac:dyDescent="0.3">
      <c r="A10" s="250"/>
      <c r="B10" s="254" t="s">
        <v>35</v>
      </c>
      <c r="C10" s="255" t="s">
        <v>33</v>
      </c>
      <c r="D10" s="548" t="s">
        <v>34</v>
      </c>
      <c r="E10" s="549"/>
      <c r="F10" s="550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 x14ac:dyDescent="0.3">
      <c r="A11" s="250"/>
      <c r="B11" s="256" t="s">
        <v>90</v>
      </c>
      <c r="C11" s="257"/>
      <c r="D11" s="551"/>
      <c r="E11" s="552"/>
      <c r="F11" s="553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8" thickBot="1" x14ac:dyDescent="0.3">
      <c r="A12" s="250"/>
      <c r="B12" s="258" t="s">
        <v>143</v>
      </c>
      <c r="C12" s="259" t="s">
        <v>36</v>
      </c>
      <c r="D12" s="260" t="s">
        <v>64</v>
      </c>
      <c r="E12" s="537" t="s">
        <v>41</v>
      </c>
      <c r="F12" s="538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 x14ac:dyDescent="0.3">
      <c r="A13" s="250"/>
      <c r="B13" s="554"/>
      <c r="C13" s="557"/>
      <c r="D13" s="261"/>
      <c r="E13" s="262" t="s">
        <v>44</v>
      </c>
      <c r="F13" s="263" t="s">
        <v>48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 x14ac:dyDescent="0.3">
      <c r="A14" s="250"/>
      <c r="B14" s="555"/>
      <c r="C14" s="558"/>
      <c r="D14" s="260" t="s">
        <v>60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 x14ac:dyDescent="0.3">
      <c r="A15" s="250"/>
      <c r="B15" s="556"/>
      <c r="C15" s="559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 x14ac:dyDescent="0.3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8" thickBot="1" x14ac:dyDescent="0.3">
      <c r="A17" s="250"/>
      <c r="B17" s="254" t="s">
        <v>35</v>
      </c>
      <c r="C17" s="255" t="s">
        <v>33</v>
      </c>
      <c r="D17" s="548" t="s">
        <v>34</v>
      </c>
      <c r="E17" s="549"/>
      <c r="F17" s="550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 x14ac:dyDescent="0.3">
      <c r="A18" s="250"/>
      <c r="B18" s="271" t="s">
        <v>91</v>
      </c>
      <c r="C18" s="257"/>
      <c r="D18" s="551"/>
      <c r="E18" s="552"/>
      <c r="F18" s="553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 x14ac:dyDescent="0.3">
      <c r="A19" s="250"/>
      <c r="B19" s="258" t="s">
        <v>143</v>
      </c>
      <c r="C19" s="259" t="s">
        <v>36</v>
      </c>
      <c r="D19" s="260" t="s">
        <v>64</v>
      </c>
      <c r="E19" s="537" t="s">
        <v>41</v>
      </c>
      <c r="F19" s="538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 x14ac:dyDescent="0.3">
      <c r="A20" s="250"/>
      <c r="B20" s="554"/>
      <c r="C20" s="557"/>
      <c r="D20" s="261"/>
      <c r="E20" s="262" t="s">
        <v>44</v>
      </c>
      <c r="F20" s="263" t="s">
        <v>48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 x14ac:dyDescent="0.3">
      <c r="A21" s="250"/>
      <c r="B21" s="555"/>
      <c r="C21" s="558"/>
      <c r="D21" s="260" t="s">
        <v>60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 x14ac:dyDescent="0.3">
      <c r="A22" s="250"/>
      <c r="B22" s="556"/>
      <c r="C22" s="559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 x14ac:dyDescent="0.3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 x14ac:dyDescent="0.3">
      <c r="A24" s="250"/>
      <c r="B24" s="254" t="s">
        <v>35</v>
      </c>
      <c r="C24" s="255" t="s">
        <v>33</v>
      </c>
      <c r="D24" s="548" t="s">
        <v>34</v>
      </c>
      <c r="E24" s="549"/>
      <c r="F24" s="550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 x14ac:dyDescent="0.3">
      <c r="A25" s="250"/>
      <c r="B25" s="271" t="s">
        <v>92</v>
      </c>
      <c r="C25" s="257"/>
      <c r="D25" s="551"/>
      <c r="E25" s="552"/>
      <c r="F25" s="553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 x14ac:dyDescent="0.3">
      <c r="A26" s="250"/>
      <c r="B26" s="258" t="s">
        <v>143</v>
      </c>
      <c r="C26" s="259" t="s">
        <v>36</v>
      </c>
      <c r="D26" s="260" t="s">
        <v>64</v>
      </c>
      <c r="E26" s="537" t="s">
        <v>41</v>
      </c>
      <c r="F26" s="538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 x14ac:dyDescent="0.3">
      <c r="A27" s="250"/>
      <c r="B27" s="554"/>
      <c r="C27" s="557"/>
      <c r="D27" s="261"/>
      <c r="E27" s="262" t="s">
        <v>44</v>
      </c>
      <c r="F27" s="263" t="s">
        <v>48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 x14ac:dyDescent="0.3">
      <c r="A28" s="250"/>
      <c r="B28" s="555"/>
      <c r="C28" s="558"/>
      <c r="D28" s="260" t="s">
        <v>60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 x14ac:dyDescent="0.3">
      <c r="A29" s="250"/>
      <c r="B29" s="556"/>
      <c r="C29" s="559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 x14ac:dyDescent="0.3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8" thickBot="1" x14ac:dyDescent="0.3">
      <c r="A31" s="250"/>
      <c r="B31" s="254" t="s">
        <v>35</v>
      </c>
      <c r="C31" s="255" t="s">
        <v>33</v>
      </c>
      <c r="D31" s="548" t="s">
        <v>34</v>
      </c>
      <c r="E31" s="549"/>
      <c r="F31" s="550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 x14ac:dyDescent="0.3">
      <c r="A32" s="250"/>
      <c r="B32" s="271" t="s">
        <v>93</v>
      </c>
      <c r="C32" s="257"/>
      <c r="D32" s="551"/>
      <c r="E32" s="552"/>
      <c r="F32" s="553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 x14ac:dyDescent="0.3">
      <c r="A33" s="250"/>
      <c r="B33" s="258" t="s">
        <v>143</v>
      </c>
      <c r="C33" s="259" t="s">
        <v>36</v>
      </c>
      <c r="D33" s="260" t="s">
        <v>64</v>
      </c>
      <c r="E33" s="537" t="s">
        <v>41</v>
      </c>
      <c r="F33" s="538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 x14ac:dyDescent="0.3">
      <c r="A34" s="250"/>
      <c r="B34" s="554"/>
      <c r="C34" s="557"/>
      <c r="D34" s="261"/>
      <c r="E34" s="262" t="s">
        <v>44</v>
      </c>
      <c r="F34" s="263" t="s">
        <v>48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 x14ac:dyDescent="0.3">
      <c r="A35" s="250"/>
      <c r="B35" s="555"/>
      <c r="C35" s="558"/>
      <c r="D35" s="260" t="s">
        <v>60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 x14ac:dyDescent="0.3">
      <c r="A36" s="250"/>
      <c r="B36" s="556"/>
      <c r="C36" s="559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 x14ac:dyDescent="0.3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8" thickBot="1" x14ac:dyDescent="0.3">
      <c r="A38" s="250"/>
      <c r="B38" s="254" t="s">
        <v>35</v>
      </c>
      <c r="C38" s="255" t="s">
        <v>33</v>
      </c>
      <c r="D38" s="548" t="s">
        <v>34</v>
      </c>
      <c r="E38" s="549"/>
      <c r="F38" s="550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 x14ac:dyDescent="0.3">
      <c r="A39" s="250"/>
      <c r="B39" s="271" t="s">
        <v>94</v>
      </c>
      <c r="C39" s="257"/>
      <c r="D39" s="551"/>
      <c r="E39" s="552"/>
      <c r="F39" s="553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 x14ac:dyDescent="0.3">
      <c r="A40" s="250"/>
      <c r="B40" s="258" t="s">
        <v>143</v>
      </c>
      <c r="C40" s="259" t="s">
        <v>36</v>
      </c>
      <c r="D40" s="260" t="s">
        <v>64</v>
      </c>
      <c r="E40" s="537" t="s">
        <v>41</v>
      </c>
      <c r="F40" s="538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 x14ac:dyDescent="0.3">
      <c r="A41" s="250"/>
      <c r="B41" s="554"/>
      <c r="C41" s="557"/>
      <c r="D41" s="261"/>
      <c r="E41" s="262" t="s">
        <v>44</v>
      </c>
      <c r="F41" s="263" t="s">
        <v>48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 x14ac:dyDescent="0.3">
      <c r="A42" s="250"/>
      <c r="B42" s="555"/>
      <c r="C42" s="558"/>
      <c r="D42" s="260" t="s">
        <v>60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 x14ac:dyDescent="0.3">
      <c r="A43" s="250"/>
      <c r="B43" s="556"/>
      <c r="C43" s="559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 x14ac:dyDescent="0.3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8" thickBot="1" x14ac:dyDescent="0.3">
      <c r="A45" s="250"/>
      <c r="B45" s="254" t="s">
        <v>35</v>
      </c>
      <c r="C45" s="255" t="s">
        <v>33</v>
      </c>
      <c r="D45" s="548" t="s">
        <v>34</v>
      </c>
      <c r="E45" s="549"/>
      <c r="F45" s="550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 x14ac:dyDescent="0.3">
      <c r="A46" s="250"/>
      <c r="B46" s="271" t="s">
        <v>95</v>
      </c>
      <c r="C46" s="257"/>
      <c r="D46" s="551"/>
      <c r="E46" s="552"/>
      <c r="F46" s="553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 x14ac:dyDescent="0.3">
      <c r="A47" s="250"/>
      <c r="B47" s="258" t="s">
        <v>143</v>
      </c>
      <c r="C47" s="259" t="s">
        <v>36</v>
      </c>
      <c r="D47" s="260" t="s">
        <v>64</v>
      </c>
      <c r="E47" s="537" t="s">
        <v>41</v>
      </c>
      <c r="F47" s="538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 x14ac:dyDescent="0.3">
      <c r="A48" s="250"/>
      <c r="B48" s="554"/>
      <c r="C48" s="557"/>
      <c r="D48" s="261"/>
      <c r="E48" s="262" t="s">
        <v>44</v>
      </c>
      <c r="F48" s="263" t="s">
        <v>48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 x14ac:dyDescent="0.3">
      <c r="A49" s="250"/>
      <c r="B49" s="555"/>
      <c r="C49" s="558"/>
      <c r="D49" s="260" t="s">
        <v>60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 x14ac:dyDescent="0.3">
      <c r="A50" s="250"/>
      <c r="B50" s="556"/>
      <c r="C50" s="559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 x14ac:dyDescent="0.3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8" thickTop="1" x14ac:dyDescent="0.25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 x14ac:dyDescent="0.25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 x14ac:dyDescent="0.25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 x14ac:dyDescent="0.25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 x14ac:dyDescent="0.25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 x14ac:dyDescent="0.25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 x14ac:dyDescent="0.25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 x14ac:dyDescent="0.25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 x14ac:dyDescent="0.25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 x14ac:dyDescent="0.25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 x14ac:dyDescent="0.25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 x14ac:dyDescent="0.25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 x14ac:dyDescent="0.25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 x14ac:dyDescent="0.25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 x14ac:dyDescent="0.25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 x14ac:dyDescent="0.25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 x14ac:dyDescent="0.25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 x14ac:dyDescent="0.25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 x14ac:dyDescent="0.25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 x14ac:dyDescent="0.25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 x14ac:dyDescent="0.25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 x14ac:dyDescent="0.25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 x14ac:dyDescent="0.25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 x14ac:dyDescent="0.25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 x14ac:dyDescent="0.25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 x14ac:dyDescent="0.25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 x14ac:dyDescent="0.25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 x14ac:dyDescent="0.25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 x14ac:dyDescent="0.25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 x14ac:dyDescent="0.25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 x14ac:dyDescent="0.25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 x14ac:dyDescent="0.25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 x14ac:dyDescent="0.25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 x14ac:dyDescent="0.25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 x14ac:dyDescent="0.25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 x14ac:dyDescent="0.25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 x14ac:dyDescent="0.25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 x14ac:dyDescent="0.25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 x14ac:dyDescent="0.25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 x14ac:dyDescent="0.25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 x14ac:dyDescent="0.25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 x14ac:dyDescent="0.25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 x14ac:dyDescent="0.25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 x14ac:dyDescent="0.25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 x14ac:dyDescent="0.25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 x14ac:dyDescent="0.25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 x14ac:dyDescent="0.25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 x14ac:dyDescent="0.25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 x14ac:dyDescent="0.25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 x14ac:dyDescent="0.25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 x14ac:dyDescent="0.25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 x14ac:dyDescent="0.25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 x14ac:dyDescent="0.25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 x14ac:dyDescent="0.25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 x14ac:dyDescent="0.25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 x14ac:dyDescent="0.25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 x14ac:dyDescent="0.25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 x14ac:dyDescent="0.25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 x14ac:dyDescent="0.25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 x14ac:dyDescent="0.25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 x14ac:dyDescent="0.25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 x14ac:dyDescent="0.25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 x14ac:dyDescent="0.25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 x14ac:dyDescent="0.25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 x14ac:dyDescent="0.25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 x14ac:dyDescent="0.25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 x14ac:dyDescent="0.25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 x14ac:dyDescent="0.25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 x14ac:dyDescent="0.25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 x14ac:dyDescent="0.25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 x14ac:dyDescent="0.25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 x14ac:dyDescent="0.25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 x14ac:dyDescent="0.25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 x14ac:dyDescent="0.25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 x14ac:dyDescent="0.25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 x14ac:dyDescent="0.25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 x14ac:dyDescent="0.25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 x14ac:dyDescent="0.25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 x14ac:dyDescent="0.25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 x14ac:dyDescent="0.25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 x14ac:dyDescent="0.25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 x14ac:dyDescent="0.25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 x14ac:dyDescent="0.25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 x14ac:dyDescent="0.25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 x14ac:dyDescent="0.25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 x14ac:dyDescent="0.25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 x14ac:dyDescent="0.25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 x14ac:dyDescent="0.25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 x14ac:dyDescent="0.25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 x14ac:dyDescent="0.25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 x14ac:dyDescent="0.25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 x14ac:dyDescent="0.25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 x14ac:dyDescent="0.25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 x14ac:dyDescent="0.25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 x14ac:dyDescent="0.25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 x14ac:dyDescent="0.25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 x14ac:dyDescent="0.25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 x14ac:dyDescent="0.25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 x14ac:dyDescent="0.25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 x14ac:dyDescent="0.25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 x14ac:dyDescent="0.25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 x14ac:dyDescent="0.25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 x14ac:dyDescent="0.25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 x14ac:dyDescent="0.25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 x14ac:dyDescent="0.25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 x14ac:dyDescent="0.25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 x14ac:dyDescent="0.25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 x14ac:dyDescent="0.25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 x14ac:dyDescent="0.25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 x14ac:dyDescent="0.25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 x14ac:dyDescent="0.25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 x14ac:dyDescent="0.25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 x14ac:dyDescent="0.25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 x14ac:dyDescent="0.25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 x14ac:dyDescent="0.25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 x14ac:dyDescent="0.25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 x14ac:dyDescent="0.25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 x14ac:dyDescent="0.25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 x14ac:dyDescent="0.25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 x14ac:dyDescent="0.25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 x14ac:dyDescent="0.25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 x14ac:dyDescent="0.25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 x14ac:dyDescent="0.25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 x14ac:dyDescent="0.25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 x14ac:dyDescent="0.25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 x14ac:dyDescent="0.25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 x14ac:dyDescent="0.25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 x14ac:dyDescent="0.25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 x14ac:dyDescent="0.25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 x14ac:dyDescent="0.25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 x14ac:dyDescent="0.25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 x14ac:dyDescent="0.25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 x14ac:dyDescent="0.25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 x14ac:dyDescent="0.25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 x14ac:dyDescent="0.25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 x14ac:dyDescent="0.25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 x14ac:dyDescent="0.25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 x14ac:dyDescent="0.25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 x14ac:dyDescent="0.25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 x14ac:dyDescent="0.25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 x14ac:dyDescent="0.25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 x14ac:dyDescent="0.25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 x14ac:dyDescent="0.25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 x14ac:dyDescent="0.25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 x14ac:dyDescent="0.25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 x14ac:dyDescent="0.25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 x14ac:dyDescent="0.25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 x14ac:dyDescent="0.25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 x14ac:dyDescent="0.25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 x14ac:dyDescent="0.25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 x14ac:dyDescent="0.25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 x14ac:dyDescent="0.25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 x14ac:dyDescent="0.25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 x14ac:dyDescent="0.25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 x14ac:dyDescent="0.25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 x14ac:dyDescent="0.25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 x14ac:dyDescent="0.25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 x14ac:dyDescent="0.25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 x14ac:dyDescent="0.25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 x14ac:dyDescent="0.25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 x14ac:dyDescent="0.25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 x14ac:dyDescent="0.25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 x14ac:dyDescent="0.25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 x14ac:dyDescent="0.25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 x14ac:dyDescent="0.25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 x14ac:dyDescent="0.25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 x14ac:dyDescent="0.25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 x14ac:dyDescent="0.25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 x14ac:dyDescent="0.25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 x14ac:dyDescent="0.25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 x14ac:dyDescent="0.25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 x14ac:dyDescent="0.25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 x14ac:dyDescent="0.25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 x14ac:dyDescent="0.25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 x14ac:dyDescent="0.25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 x14ac:dyDescent="0.25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 x14ac:dyDescent="0.25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 x14ac:dyDescent="0.25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 x14ac:dyDescent="0.25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 x14ac:dyDescent="0.25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 x14ac:dyDescent="0.25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 x14ac:dyDescent="0.25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 x14ac:dyDescent="0.25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 x14ac:dyDescent="0.25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 x14ac:dyDescent="0.25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 x14ac:dyDescent="0.25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 x14ac:dyDescent="0.25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 x14ac:dyDescent="0.25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 x14ac:dyDescent="0.25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 x14ac:dyDescent="0.25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 x14ac:dyDescent="0.25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 x14ac:dyDescent="0.25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 x14ac:dyDescent="0.25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 x14ac:dyDescent="0.25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 x14ac:dyDescent="0.25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 x14ac:dyDescent="0.25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 x14ac:dyDescent="0.25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 x14ac:dyDescent="0.25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 x14ac:dyDescent="0.25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 x14ac:dyDescent="0.25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 x14ac:dyDescent="0.25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 x14ac:dyDescent="0.25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 x14ac:dyDescent="0.25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 x14ac:dyDescent="0.25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 x14ac:dyDescent="0.25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 x14ac:dyDescent="0.25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 x14ac:dyDescent="0.25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 x14ac:dyDescent="0.25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 x14ac:dyDescent="0.25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 x14ac:dyDescent="0.25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 x14ac:dyDescent="0.25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 x14ac:dyDescent="0.25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 x14ac:dyDescent="0.25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 x14ac:dyDescent="0.25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 x14ac:dyDescent="0.25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 x14ac:dyDescent="0.25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 x14ac:dyDescent="0.25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 x14ac:dyDescent="0.25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 x14ac:dyDescent="0.25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 x14ac:dyDescent="0.25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 x14ac:dyDescent="0.25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 x14ac:dyDescent="0.25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 x14ac:dyDescent="0.25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 x14ac:dyDescent="0.25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 x14ac:dyDescent="0.25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 x14ac:dyDescent="0.25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 x14ac:dyDescent="0.25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 x14ac:dyDescent="0.25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 x14ac:dyDescent="0.25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 x14ac:dyDescent="0.25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 x14ac:dyDescent="0.25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 x14ac:dyDescent="0.25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 x14ac:dyDescent="0.25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 x14ac:dyDescent="0.25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 x14ac:dyDescent="0.25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 x14ac:dyDescent="0.25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 x14ac:dyDescent="0.25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 x14ac:dyDescent="0.25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 x14ac:dyDescent="0.25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 x14ac:dyDescent="0.25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 x14ac:dyDescent="0.25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 x14ac:dyDescent="0.25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 x14ac:dyDescent="0.25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 x14ac:dyDescent="0.25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 x14ac:dyDescent="0.25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 x14ac:dyDescent="0.25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 x14ac:dyDescent="0.25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 x14ac:dyDescent="0.25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 x14ac:dyDescent="0.25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 x14ac:dyDescent="0.25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 x14ac:dyDescent="0.25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 x14ac:dyDescent="0.25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 x14ac:dyDescent="0.25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 x14ac:dyDescent="0.25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 x14ac:dyDescent="0.25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 x14ac:dyDescent="0.25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 x14ac:dyDescent="0.25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 x14ac:dyDescent="0.25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 x14ac:dyDescent="0.25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 x14ac:dyDescent="0.25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 x14ac:dyDescent="0.25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 x14ac:dyDescent="0.25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 x14ac:dyDescent="0.25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 x14ac:dyDescent="0.25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 x14ac:dyDescent="0.25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 x14ac:dyDescent="0.25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 x14ac:dyDescent="0.25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 x14ac:dyDescent="0.25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 x14ac:dyDescent="0.25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 x14ac:dyDescent="0.25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 x14ac:dyDescent="0.25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 x14ac:dyDescent="0.25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 x14ac:dyDescent="0.25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 x14ac:dyDescent="0.25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 x14ac:dyDescent="0.25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 x14ac:dyDescent="0.25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 x14ac:dyDescent="0.25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 x14ac:dyDescent="0.25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 x14ac:dyDescent="0.25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 x14ac:dyDescent="0.25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 x14ac:dyDescent="0.25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 x14ac:dyDescent="0.25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 x14ac:dyDescent="0.25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 x14ac:dyDescent="0.25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 x14ac:dyDescent="0.25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 x14ac:dyDescent="0.25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 x14ac:dyDescent="0.25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 x14ac:dyDescent="0.25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 x14ac:dyDescent="0.25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 x14ac:dyDescent="0.25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 x14ac:dyDescent="0.25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 x14ac:dyDescent="0.25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 x14ac:dyDescent="0.25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 x14ac:dyDescent="0.25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 x14ac:dyDescent="0.25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 x14ac:dyDescent="0.25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 x14ac:dyDescent="0.25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 x14ac:dyDescent="0.25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 x14ac:dyDescent="0.25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 x14ac:dyDescent="0.25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 x14ac:dyDescent="0.25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 x14ac:dyDescent="0.25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 x14ac:dyDescent="0.25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 x14ac:dyDescent="0.25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 x14ac:dyDescent="0.25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 x14ac:dyDescent="0.25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 x14ac:dyDescent="0.25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 x14ac:dyDescent="0.25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 x14ac:dyDescent="0.25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 x14ac:dyDescent="0.25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 x14ac:dyDescent="0.25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 x14ac:dyDescent="0.25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 x14ac:dyDescent="0.25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 x14ac:dyDescent="0.25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 x14ac:dyDescent="0.25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 x14ac:dyDescent="0.25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 x14ac:dyDescent="0.25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 x14ac:dyDescent="0.25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 x14ac:dyDescent="0.25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 x14ac:dyDescent="0.25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 x14ac:dyDescent="0.25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 x14ac:dyDescent="0.25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 x14ac:dyDescent="0.25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 x14ac:dyDescent="0.25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 x14ac:dyDescent="0.25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 x14ac:dyDescent="0.25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 x14ac:dyDescent="0.25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 x14ac:dyDescent="0.25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 x14ac:dyDescent="0.25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 x14ac:dyDescent="0.25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 x14ac:dyDescent="0.25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 x14ac:dyDescent="0.25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 x14ac:dyDescent="0.25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 x14ac:dyDescent="0.25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 x14ac:dyDescent="0.25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 x14ac:dyDescent="0.25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 x14ac:dyDescent="0.25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 x14ac:dyDescent="0.25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 x14ac:dyDescent="0.25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 x14ac:dyDescent="0.25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 x14ac:dyDescent="0.25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 x14ac:dyDescent="0.25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 x14ac:dyDescent="0.25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 x14ac:dyDescent="0.25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 x14ac:dyDescent="0.25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 x14ac:dyDescent="0.25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 x14ac:dyDescent="0.25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 x14ac:dyDescent="0.25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 x14ac:dyDescent="0.25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 x14ac:dyDescent="0.25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 x14ac:dyDescent="0.25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 x14ac:dyDescent="0.25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 x14ac:dyDescent="0.25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 x14ac:dyDescent="0.25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 x14ac:dyDescent="0.25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 x14ac:dyDescent="0.25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 x14ac:dyDescent="0.25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 x14ac:dyDescent="0.25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 x14ac:dyDescent="0.25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 x14ac:dyDescent="0.25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 x14ac:dyDescent="0.25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 x14ac:dyDescent="0.25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 x14ac:dyDescent="0.25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 x14ac:dyDescent="0.25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 x14ac:dyDescent="0.25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 x14ac:dyDescent="0.25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 x14ac:dyDescent="0.25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 x14ac:dyDescent="0.25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 x14ac:dyDescent="0.25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 x14ac:dyDescent="0.25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 x14ac:dyDescent="0.25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 x14ac:dyDescent="0.25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 x14ac:dyDescent="0.25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 x14ac:dyDescent="0.25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 x14ac:dyDescent="0.25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 x14ac:dyDescent="0.25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 x14ac:dyDescent="0.25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 x14ac:dyDescent="0.25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 x14ac:dyDescent="0.25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 x14ac:dyDescent="0.25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 x14ac:dyDescent="0.25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 x14ac:dyDescent="0.25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 x14ac:dyDescent="0.25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 x14ac:dyDescent="0.25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 x14ac:dyDescent="0.25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 x14ac:dyDescent="0.25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 x14ac:dyDescent="0.25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 x14ac:dyDescent="0.25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 x14ac:dyDescent="0.25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 x14ac:dyDescent="0.25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 x14ac:dyDescent="0.25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 x14ac:dyDescent="0.25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 x14ac:dyDescent="0.25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 x14ac:dyDescent="0.25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 x14ac:dyDescent="0.25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 x14ac:dyDescent="0.25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 x14ac:dyDescent="0.25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 x14ac:dyDescent="0.25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 x14ac:dyDescent="0.25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 x14ac:dyDescent="0.25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 x14ac:dyDescent="0.25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 x14ac:dyDescent="0.25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 x14ac:dyDescent="0.25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 x14ac:dyDescent="0.25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 x14ac:dyDescent="0.25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 x14ac:dyDescent="0.25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 x14ac:dyDescent="0.25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 x14ac:dyDescent="0.25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 x14ac:dyDescent="0.25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 x14ac:dyDescent="0.25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 x14ac:dyDescent="0.25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 x14ac:dyDescent="0.25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 x14ac:dyDescent="0.25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 x14ac:dyDescent="0.25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 x14ac:dyDescent="0.25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 x14ac:dyDescent="0.25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 x14ac:dyDescent="0.25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 x14ac:dyDescent="0.25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 x14ac:dyDescent="0.25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 x14ac:dyDescent="0.25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 x14ac:dyDescent="0.25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 x14ac:dyDescent="0.25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 x14ac:dyDescent="0.25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 x14ac:dyDescent="0.25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 x14ac:dyDescent="0.25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 x14ac:dyDescent="0.25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 x14ac:dyDescent="0.25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 x14ac:dyDescent="0.25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 x14ac:dyDescent="0.25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 x14ac:dyDescent="0.25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 x14ac:dyDescent="0.25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 x14ac:dyDescent="0.25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 x14ac:dyDescent="0.25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 x14ac:dyDescent="0.25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 x14ac:dyDescent="0.25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 x14ac:dyDescent="0.25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 x14ac:dyDescent="0.25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 x14ac:dyDescent="0.25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 x14ac:dyDescent="0.25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 x14ac:dyDescent="0.25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 x14ac:dyDescent="0.25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 x14ac:dyDescent="0.25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 x14ac:dyDescent="0.25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 x14ac:dyDescent="0.25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 x14ac:dyDescent="0.25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 x14ac:dyDescent="0.25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 x14ac:dyDescent="0.25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 x14ac:dyDescent="0.25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 x14ac:dyDescent="0.25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 x14ac:dyDescent="0.25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 x14ac:dyDescent="0.25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 x14ac:dyDescent="0.25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 x14ac:dyDescent="0.25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 x14ac:dyDescent="0.25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 x14ac:dyDescent="0.25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 x14ac:dyDescent="0.25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 x14ac:dyDescent="0.25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 x14ac:dyDescent="0.25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 x14ac:dyDescent="0.25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 x14ac:dyDescent="0.25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 x14ac:dyDescent="0.25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 x14ac:dyDescent="0.25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 x14ac:dyDescent="0.25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 x14ac:dyDescent="0.25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 x14ac:dyDescent="0.25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 x14ac:dyDescent="0.25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 x14ac:dyDescent="0.25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 x14ac:dyDescent="0.25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 x14ac:dyDescent="0.25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 x14ac:dyDescent="0.25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 x14ac:dyDescent="0.25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 x14ac:dyDescent="0.25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 x14ac:dyDescent="0.25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 x14ac:dyDescent="0.25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 x14ac:dyDescent="0.25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 x14ac:dyDescent="0.25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 x14ac:dyDescent="0.25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 x14ac:dyDescent="0.25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 x14ac:dyDescent="0.25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 x14ac:dyDescent="0.25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 x14ac:dyDescent="0.25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 x14ac:dyDescent="0.25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 x14ac:dyDescent="0.25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 x14ac:dyDescent="0.25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 x14ac:dyDescent="0.25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 x14ac:dyDescent="0.25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 x14ac:dyDescent="0.25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 x14ac:dyDescent="0.25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 x14ac:dyDescent="0.25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 x14ac:dyDescent="0.25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 x14ac:dyDescent="0.25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 x14ac:dyDescent="0.25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 x14ac:dyDescent="0.25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 x14ac:dyDescent="0.25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 x14ac:dyDescent="0.25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 x14ac:dyDescent="0.25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 x14ac:dyDescent="0.25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 x14ac:dyDescent="0.25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 x14ac:dyDescent="0.25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 x14ac:dyDescent="0.25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 x14ac:dyDescent="0.25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 x14ac:dyDescent="0.25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 x14ac:dyDescent="0.25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 x14ac:dyDescent="0.25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 x14ac:dyDescent="0.25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 x14ac:dyDescent="0.25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 x14ac:dyDescent="0.25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 x14ac:dyDescent="0.25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 x14ac:dyDescent="0.25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 x14ac:dyDescent="0.25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 x14ac:dyDescent="0.25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 x14ac:dyDescent="0.25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 x14ac:dyDescent="0.25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 x14ac:dyDescent="0.25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 x14ac:dyDescent="0.25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 x14ac:dyDescent="0.25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 x14ac:dyDescent="0.25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 x14ac:dyDescent="0.25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 x14ac:dyDescent="0.25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 x14ac:dyDescent="0.25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 x14ac:dyDescent="0.25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 x14ac:dyDescent="0.25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 x14ac:dyDescent="0.25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 x14ac:dyDescent="0.25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 x14ac:dyDescent="0.25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 x14ac:dyDescent="0.25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 x14ac:dyDescent="0.25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 x14ac:dyDescent="0.25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 x14ac:dyDescent="0.25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 x14ac:dyDescent="0.25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 x14ac:dyDescent="0.25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 x14ac:dyDescent="0.25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 x14ac:dyDescent="0.25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 x14ac:dyDescent="0.25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 x14ac:dyDescent="0.25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 x14ac:dyDescent="0.25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 x14ac:dyDescent="0.25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 x14ac:dyDescent="0.25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 x14ac:dyDescent="0.25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 x14ac:dyDescent="0.25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 x14ac:dyDescent="0.25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 x14ac:dyDescent="0.25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 x14ac:dyDescent="0.25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 x14ac:dyDescent="0.25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 x14ac:dyDescent="0.25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 x14ac:dyDescent="0.25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 x14ac:dyDescent="0.25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 x14ac:dyDescent="0.25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 x14ac:dyDescent="0.25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 x14ac:dyDescent="0.25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 x14ac:dyDescent="0.25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 x14ac:dyDescent="0.25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 x14ac:dyDescent="0.25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 x14ac:dyDescent="0.25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 x14ac:dyDescent="0.25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 x14ac:dyDescent="0.25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 x14ac:dyDescent="0.25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 x14ac:dyDescent="0.25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 x14ac:dyDescent="0.25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 x14ac:dyDescent="0.25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 x14ac:dyDescent="0.25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 x14ac:dyDescent="0.25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 x14ac:dyDescent="0.25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 x14ac:dyDescent="0.25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 x14ac:dyDescent="0.25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 x14ac:dyDescent="0.25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 x14ac:dyDescent="0.25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 x14ac:dyDescent="0.25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 x14ac:dyDescent="0.25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 x14ac:dyDescent="0.25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 x14ac:dyDescent="0.25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 x14ac:dyDescent="0.25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 x14ac:dyDescent="0.25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 x14ac:dyDescent="0.25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 x14ac:dyDescent="0.25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 x14ac:dyDescent="0.25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 x14ac:dyDescent="0.25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 x14ac:dyDescent="0.25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 x14ac:dyDescent="0.25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 x14ac:dyDescent="0.25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 x14ac:dyDescent="0.25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 x14ac:dyDescent="0.25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 x14ac:dyDescent="0.25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 x14ac:dyDescent="0.25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 x14ac:dyDescent="0.25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 x14ac:dyDescent="0.25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 x14ac:dyDescent="0.25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 x14ac:dyDescent="0.25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 x14ac:dyDescent="0.25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 x14ac:dyDescent="0.25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 x14ac:dyDescent="0.25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 x14ac:dyDescent="0.25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 x14ac:dyDescent="0.25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 x14ac:dyDescent="0.25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 x14ac:dyDescent="0.25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 x14ac:dyDescent="0.25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 x14ac:dyDescent="0.25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 x14ac:dyDescent="0.25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 x14ac:dyDescent="0.25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 x14ac:dyDescent="0.25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 x14ac:dyDescent="0.25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 x14ac:dyDescent="0.25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 x14ac:dyDescent="0.25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 x14ac:dyDescent="0.25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 x14ac:dyDescent="0.25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 x14ac:dyDescent="0.25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 x14ac:dyDescent="0.25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 x14ac:dyDescent="0.25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 x14ac:dyDescent="0.25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 x14ac:dyDescent="0.25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 x14ac:dyDescent="0.25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 x14ac:dyDescent="0.25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 x14ac:dyDescent="0.25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 x14ac:dyDescent="0.25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 x14ac:dyDescent="0.25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 x14ac:dyDescent="0.25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 x14ac:dyDescent="0.25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 x14ac:dyDescent="0.25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 x14ac:dyDescent="0.25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 x14ac:dyDescent="0.25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 x14ac:dyDescent="0.25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 x14ac:dyDescent="0.25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 x14ac:dyDescent="0.25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 x14ac:dyDescent="0.25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 x14ac:dyDescent="0.25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 x14ac:dyDescent="0.25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 x14ac:dyDescent="0.25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 x14ac:dyDescent="0.25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 x14ac:dyDescent="0.25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 x14ac:dyDescent="0.25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 x14ac:dyDescent="0.25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 x14ac:dyDescent="0.25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 x14ac:dyDescent="0.25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 x14ac:dyDescent="0.25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 x14ac:dyDescent="0.25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 x14ac:dyDescent="0.25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 x14ac:dyDescent="0.25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 x14ac:dyDescent="0.25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 x14ac:dyDescent="0.25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 x14ac:dyDescent="0.25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 x14ac:dyDescent="0.25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 x14ac:dyDescent="0.25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 x14ac:dyDescent="0.25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 x14ac:dyDescent="0.25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 x14ac:dyDescent="0.25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 x14ac:dyDescent="0.25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 x14ac:dyDescent="0.25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 x14ac:dyDescent="0.25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 x14ac:dyDescent="0.25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 x14ac:dyDescent="0.25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 x14ac:dyDescent="0.25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 x14ac:dyDescent="0.25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 x14ac:dyDescent="0.25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 x14ac:dyDescent="0.25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 x14ac:dyDescent="0.25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 x14ac:dyDescent="0.25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 x14ac:dyDescent="0.25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 x14ac:dyDescent="0.25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 x14ac:dyDescent="0.25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 x14ac:dyDescent="0.25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 x14ac:dyDescent="0.25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 x14ac:dyDescent="0.25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 x14ac:dyDescent="0.25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 x14ac:dyDescent="0.25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 x14ac:dyDescent="0.25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 x14ac:dyDescent="0.25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 x14ac:dyDescent="0.25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 x14ac:dyDescent="0.25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 x14ac:dyDescent="0.25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 x14ac:dyDescent="0.25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 x14ac:dyDescent="0.25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 x14ac:dyDescent="0.25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 x14ac:dyDescent="0.25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 x14ac:dyDescent="0.25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 x14ac:dyDescent="0.25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 x14ac:dyDescent="0.25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 x14ac:dyDescent="0.25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 x14ac:dyDescent="0.25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 x14ac:dyDescent="0.25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 x14ac:dyDescent="0.25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 x14ac:dyDescent="0.25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 x14ac:dyDescent="0.25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 x14ac:dyDescent="0.25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 x14ac:dyDescent="0.25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 x14ac:dyDescent="0.25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 x14ac:dyDescent="0.25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 x14ac:dyDescent="0.25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 x14ac:dyDescent="0.25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 x14ac:dyDescent="0.25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 x14ac:dyDescent="0.25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 x14ac:dyDescent="0.25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 x14ac:dyDescent="0.25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 x14ac:dyDescent="0.25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 x14ac:dyDescent="0.25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 x14ac:dyDescent="0.25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 x14ac:dyDescent="0.25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 x14ac:dyDescent="0.25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 x14ac:dyDescent="0.25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 x14ac:dyDescent="0.25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 x14ac:dyDescent="0.25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 x14ac:dyDescent="0.25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 x14ac:dyDescent="0.25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 x14ac:dyDescent="0.25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 x14ac:dyDescent="0.25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 x14ac:dyDescent="0.25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 x14ac:dyDescent="0.25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 x14ac:dyDescent="0.25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 x14ac:dyDescent="0.25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 x14ac:dyDescent="0.25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 x14ac:dyDescent="0.25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 x14ac:dyDescent="0.25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 x14ac:dyDescent="0.25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 x14ac:dyDescent="0.25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 x14ac:dyDescent="0.25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 x14ac:dyDescent="0.25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 x14ac:dyDescent="0.25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 x14ac:dyDescent="0.25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 x14ac:dyDescent="0.25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 x14ac:dyDescent="0.25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 x14ac:dyDescent="0.25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 x14ac:dyDescent="0.25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 x14ac:dyDescent="0.25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 x14ac:dyDescent="0.25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 x14ac:dyDescent="0.25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 x14ac:dyDescent="0.25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 x14ac:dyDescent="0.25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 x14ac:dyDescent="0.25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 x14ac:dyDescent="0.25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 x14ac:dyDescent="0.25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 x14ac:dyDescent="0.25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 x14ac:dyDescent="0.25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 x14ac:dyDescent="0.25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 x14ac:dyDescent="0.25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 x14ac:dyDescent="0.25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 x14ac:dyDescent="0.25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 x14ac:dyDescent="0.25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 x14ac:dyDescent="0.25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 x14ac:dyDescent="0.25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 x14ac:dyDescent="0.25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 x14ac:dyDescent="0.25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 x14ac:dyDescent="0.25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 x14ac:dyDescent="0.25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 x14ac:dyDescent="0.25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 x14ac:dyDescent="0.25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 x14ac:dyDescent="0.25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 x14ac:dyDescent="0.25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 x14ac:dyDescent="0.25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 x14ac:dyDescent="0.25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 x14ac:dyDescent="0.25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 x14ac:dyDescent="0.25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 x14ac:dyDescent="0.25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 x14ac:dyDescent="0.25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 x14ac:dyDescent="0.25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 x14ac:dyDescent="0.25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 x14ac:dyDescent="0.25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 x14ac:dyDescent="0.25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 x14ac:dyDescent="0.25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 x14ac:dyDescent="0.25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 x14ac:dyDescent="0.25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 x14ac:dyDescent="0.25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 x14ac:dyDescent="0.25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 x14ac:dyDescent="0.25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 x14ac:dyDescent="0.25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 x14ac:dyDescent="0.25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 x14ac:dyDescent="0.25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 x14ac:dyDescent="0.25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 x14ac:dyDescent="0.25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 x14ac:dyDescent="0.25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 x14ac:dyDescent="0.25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 x14ac:dyDescent="0.25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 x14ac:dyDescent="0.25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 x14ac:dyDescent="0.25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 x14ac:dyDescent="0.25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 x14ac:dyDescent="0.25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 x14ac:dyDescent="0.25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 x14ac:dyDescent="0.25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 x14ac:dyDescent="0.25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 x14ac:dyDescent="0.25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 x14ac:dyDescent="0.25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 x14ac:dyDescent="0.25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 x14ac:dyDescent="0.25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 x14ac:dyDescent="0.25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 x14ac:dyDescent="0.25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 x14ac:dyDescent="0.25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 x14ac:dyDescent="0.25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 x14ac:dyDescent="0.25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 x14ac:dyDescent="0.25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 x14ac:dyDescent="0.25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 x14ac:dyDescent="0.25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 x14ac:dyDescent="0.25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 x14ac:dyDescent="0.25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 x14ac:dyDescent="0.25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 x14ac:dyDescent="0.25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 x14ac:dyDescent="0.25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 x14ac:dyDescent="0.25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 x14ac:dyDescent="0.25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 x14ac:dyDescent="0.25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 x14ac:dyDescent="0.25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 x14ac:dyDescent="0.25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 x14ac:dyDescent="0.25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 x14ac:dyDescent="0.25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 x14ac:dyDescent="0.25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 x14ac:dyDescent="0.25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 x14ac:dyDescent="0.25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 x14ac:dyDescent="0.25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 x14ac:dyDescent="0.25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 x14ac:dyDescent="0.25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 x14ac:dyDescent="0.25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 x14ac:dyDescent="0.25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 x14ac:dyDescent="0.25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 x14ac:dyDescent="0.25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 x14ac:dyDescent="0.25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 x14ac:dyDescent="0.25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 x14ac:dyDescent="0.25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tabSelected="1" zoomScaleNormal="100" workbookViewId="0">
      <selection activeCell="O17" sqref="O17"/>
    </sheetView>
  </sheetViews>
  <sheetFormatPr defaultColWidth="9.109375" defaultRowHeight="13.2" x14ac:dyDescent="0.25"/>
  <cols>
    <col min="1" max="1" width="1.6640625" style="150" customWidth="1"/>
    <col min="2" max="2" width="5.33203125" style="150" customWidth="1"/>
    <col min="3" max="3" width="25.33203125" style="150" customWidth="1"/>
    <col min="4" max="4" width="8.6640625" style="150" customWidth="1"/>
    <col min="5" max="5" width="6.5546875" style="150" customWidth="1"/>
    <col min="6" max="6" width="1.88671875" style="171" customWidth="1"/>
    <col min="7" max="7" width="6.5546875" style="150" customWidth="1"/>
    <col min="8" max="8" width="10.44140625" style="150" bestFit="1" customWidth="1"/>
    <col min="9" max="9" width="6.5546875" style="150" customWidth="1"/>
    <col min="10" max="10" width="1.88671875" style="171" customWidth="1"/>
    <col min="11" max="11" width="6.5546875" style="150" customWidth="1"/>
    <col min="12" max="12" width="8.6640625" style="150" customWidth="1"/>
    <col min="13" max="13" width="24.109375" style="150" customWidth="1"/>
    <col min="14" max="14" width="15.5546875" style="150" customWidth="1"/>
    <col min="15" max="15" width="9.88671875" style="219" customWidth="1"/>
    <col min="16" max="16" width="5.33203125" style="150" customWidth="1"/>
    <col min="17" max="17" width="2.109375" style="172" customWidth="1"/>
    <col min="18" max="18" width="10.109375" style="150" customWidth="1"/>
    <col min="19" max="19" width="10.33203125" style="150" customWidth="1"/>
    <col min="20" max="21" width="10.5546875" style="150" customWidth="1"/>
    <col min="22" max="22" width="6.6640625" style="150" customWidth="1"/>
    <col min="23" max="23" width="16.44140625" style="150" customWidth="1"/>
    <col min="24" max="24" width="1.6640625" style="202" customWidth="1"/>
    <col min="25" max="25" width="7.88671875" style="149" hidden="1" customWidth="1"/>
    <col min="26" max="30" width="9.109375" style="148" hidden="1" customWidth="1"/>
    <col min="31" max="35" width="9.109375" style="147" hidden="1" customWidth="1"/>
    <col min="36" max="38" width="9.109375" style="149" hidden="1" customWidth="1"/>
    <col min="39" max="39" width="32.44140625" style="149" hidden="1" customWidth="1"/>
    <col min="40" max="40" width="11.6640625" style="149" hidden="1" customWidth="1"/>
    <col min="41" max="41" width="10.6640625" style="149" hidden="1" customWidth="1"/>
    <col min="42" max="43" width="9.109375" style="149" hidden="1" customWidth="1"/>
    <col min="44" max="44" width="27.33203125" style="149" hidden="1" customWidth="1"/>
    <col min="45" max="45" width="11.6640625" style="149" hidden="1" customWidth="1"/>
    <col min="46" max="46" width="10.6640625" style="149" hidden="1" customWidth="1"/>
    <col min="47" max="48" width="9.109375" style="149" hidden="1" customWidth="1"/>
    <col min="49" max="49" width="27.33203125" style="149" hidden="1" customWidth="1"/>
    <col min="50" max="50" width="11.6640625" style="149" hidden="1" customWidth="1"/>
    <col min="51" max="51" width="10.6640625" style="149" hidden="1" customWidth="1"/>
    <col min="52" max="53" width="9.109375" style="149" hidden="1" customWidth="1"/>
    <col min="54" max="54" width="27.33203125" style="149" hidden="1" customWidth="1"/>
    <col min="55" max="55" width="11.6640625" style="149" hidden="1" customWidth="1"/>
    <col min="56" max="56" width="10.6640625" style="149" hidden="1" customWidth="1"/>
    <col min="57" max="58" width="9.109375" style="149" hidden="1" customWidth="1"/>
    <col min="59" max="59" width="27.33203125" style="149" hidden="1" customWidth="1"/>
    <col min="60" max="60" width="11.6640625" style="149" hidden="1" customWidth="1"/>
    <col min="61" max="61" width="10.6640625" style="149" hidden="1" customWidth="1"/>
    <col min="62" max="63" width="9.109375" style="149" hidden="1" customWidth="1"/>
    <col min="64" max="64" width="27.33203125" style="149" hidden="1" customWidth="1"/>
    <col min="65" max="65" width="9.109375" style="149" hidden="1" customWidth="1"/>
    <col min="66" max="88" width="9.109375" style="150" hidden="1" customWidth="1"/>
    <col min="89" max="89" width="2.6640625" style="180" customWidth="1"/>
    <col min="90" max="90" width="112" style="180" customWidth="1"/>
    <col min="91" max="195" width="9.109375" style="180"/>
    <col min="196" max="16384" width="9.109375" style="150"/>
  </cols>
  <sheetData>
    <row r="1" spans="1:90" ht="13.8" thickBot="1" x14ac:dyDescent="0.3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77</v>
      </c>
      <c r="Z1" s="148" t="s">
        <v>79</v>
      </c>
      <c r="AE1" s="147" t="s">
        <v>13</v>
      </c>
      <c r="AF1" s="147" t="str">
        <f>IF('Cable Info'!C11="","",CONCATENATE("[",AE1,"]"," ",'Cable Info'!C11))</f>
        <v>[A] 458179: ZAYO-ENT-S-1</v>
      </c>
      <c r="AI1" s="147" t="s">
        <v>21</v>
      </c>
      <c r="AJ1" s="149" t="s">
        <v>13</v>
      </c>
      <c r="AM1" s="149" t="str">
        <f>AF1</f>
        <v>[A] 458179: ZAYO-ENT-S-1</v>
      </c>
      <c r="AN1" s="149" t="s">
        <v>21</v>
      </c>
      <c r="AO1" s="149" t="s">
        <v>14</v>
      </c>
      <c r="AR1" s="149" t="str">
        <f>AF2</f>
        <v>[B] Pigtail</v>
      </c>
      <c r="AS1" s="149" t="s">
        <v>21</v>
      </c>
      <c r="AT1" s="149" t="s">
        <v>50</v>
      </c>
      <c r="AW1" s="149" t="str">
        <f>AF3</f>
        <v/>
      </c>
      <c r="AX1" s="149" t="s">
        <v>21</v>
      </c>
      <c r="AY1" s="149" t="s">
        <v>51</v>
      </c>
      <c r="BB1" s="149" t="str">
        <f>AF4</f>
        <v/>
      </c>
      <c r="BC1" s="149" t="s">
        <v>21</v>
      </c>
      <c r="BD1" s="149" t="s">
        <v>52</v>
      </c>
      <c r="BG1" s="149" t="str">
        <f>AF5</f>
        <v/>
      </c>
      <c r="BH1" s="149" t="s">
        <v>21</v>
      </c>
      <c r="BI1" s="149" t="s">
        <v>53</v>
      </c>
      <c r="BL1" s="149" t="str">
        <f>AF6</f>
        <v/>
      </c>
    </row>
    <row r="2" spans="1:90" ht="14.4" thickBot="1" x14ac:dyDescent="0.35">
      <c r="A2" s="151"/>
      <c r="B2" s="566" t="s">
        <v>8</v>
      </c>
      <c r="C2" s="567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6" t="s">
        <v>9</v>
      </c>
      <c r="V2" s="575"/>
      <c r="W2" s="567"/>
      <c r="X2" s="198"/>
      <c r="Y2" s="147" t="s">
        <v>78</v>
      </c>
      <c r="Z2" s="148" t="s">
        <v>71</v>
      </c>
      <c r="AE2" s="147" t="s">
        <v>14</v>
      </c>
      <c r="AF2" s="147" t="str">
        <f>IF('Cable Info'!C18="","",CONCATENATE("[",AE2,"]"," ",'Cable Info'!C18))</f>
        <v>[B] Pigtail</v>
      </c>
      <c r="AJ2" s="149" t="e">
        <f>IF('Cable Info'!L2="","",CONCATENATE('Cable Info'!L2," - ",'Cable Info'!M2))</f>
        <v>#N/A</v>
      </c>
      <c r="AM2" s="149" t="e">
        <f>IF(AK2="",AJ2,CONCATENATE(AJ2,"  &lt;=&gt; ",AK2," ",AL2))</f>
        <v>#N/A</v>
      </c>
      <c r="AO2" s="149" t="e">
        <f>IF('Cable Info'!N2="","",CONCATENATE('Cable Info'!N2," - ",'Cable Info'!O2))</f>
        <v>#N/A</v>
      </c>
      <c r="AR2" s="149" t="e">
        <f>IF(AP2="",AO2,CONCATENATE(AO2,"  &lt;=&gt; ",AP2," ",AQ2))</f>
        <v>#N/A</v>
      </c>
      <c r="AT2" s="149" t="str">
        <f>IF('Cable Info'!P2="","",CONCATENATE('Cable Info'!P2," - ",'Cable Info'!Q2))</f>
        <v/>
      </c>
      <c r="AW2" s="149" t="str">
        <f>IF(AU2="",AT2,CONCATENATE(AT2,"  &lt;=&gt; ",AU2," ",AV2))</f>
        <v/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 x14ac:dyDescent="0.25">
      <c r="A3" s="151"/>
      <c r="B3" s="568" t="str">
        <f>'Cover - Location Info'!J8</f>
        <v>101736</v>
      </c>
      <c r="C3" s="569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6" t="str">
        <f>'Cover - Location Info'!J10</f>
        <v>1.0</v>
      </c>
      <c r="V3" s="577"/>
      <c r="W3" s="578"/>
      <c r="X3" s="198"/>
      <c r="Y3" s="147"/>
      <c r="AE3" s="147" t="s">
        <v>50</v>
      </c>
      <c r="AF3" s="147" t="str">
        <f>IF('Cable Info'!C25="","",CONCATENATE("[",AE3,"]"," ",'Cable Info'!C25))</f>
        <v/>
      </c>
      <c r="AJ3" s="149" t="e">
        <f>IF('Cable Info'!L3="","",CONCATENATE('Cable Info'!L3," - ",'Cable Info'!M3))</f>
        <v>#N/A</v>
      </c>
      <c r="AM3" s="149" t="e">
        <f t="shared" ref="AM3:AM206" si="0">IF(AK3="",AJ3,CONCATENATE(AJ3,"  &lt;=&gt; ",AK3," ",AL3))</f>
        <v>#N/A</v>
      </c>
      <c r="AO3" s="149" t="e">
        <f>IF('Cable Info'!N3="","",CONCATENATE('Cable Info'!N3," - ",'Cable Info'!O3))</f>
        <v>#N/A</v>
      </c>
      <c r="AR3" s="149" t="e">
        <f t="shared" ref="AR3:AR206" si="1">IF(AP3="",AO3,CONCATENATE(AO3,"  &lt;=&gt; ",AP3," ",AQ3))</f>
        <v>#N/A</v>
      </c>
      <c r="AT3" s="149" t="str">
        <f>IF('Cable Info'!P3="","",CONCATENATE('Cable Info'!P3," - ",'Cable Info'!Q3))</f>
        <v/>
      </c>
      <c r="AW3" s="149" t="str">
        <f t="shared" ref="AW3:AW206" si="2">IF(AU3="",AT3,CONCATENATE(AT3,"  &lt;=&gt; ",AU3," ",AV3))</f>
        <v/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 x14ac:dyDescent="0.3">
      <c r="A4" s="151"/>
      <c r="B4" s="570"/>
      <c r="C4" s="571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79"/>
      <c r="V4" s="580"/>
      <c r="W4" s="581"/>
      <c r="X4" s="198"/>
      <c r="Y4" s="147"/>
      <c r="AE4" s="148" t="s">
        <v>51</v>
      </c>
      <c r="AF4" s="147" t="str">
        <f>IF('Cable Info'!C32="","",CONCATENATE("[",AE4,"]"," ",'Cable Info'!C32))</f>
        <v/>
      </c>
      <c r="AJ4" s="149" t="e">
        <f>IF('Cable Info'!L4="","",CONCATENATE('Cable Info'!L4," - ",'Cable Info'!M4))</f>
        <v>#N/A</v>
      </c>
      <c r="AM4" s="149" t="e">
        <f t="shared" si="0"/>
        <v>#N/A</v>
      </c>
      <c r="AO4" s="149" t="e">
        <f>IF('Cable Info'!N4="","",CONCATENATE('Cable Info'!N4," - ",'Cable Info'!O4))</f>
        <v>#N/A</v>
      </c>
      <c r="AR4" s="149" t="e">
        <f t="shared" si="1"/>
        <v>#N/A</v>
      </c>
      <c r="AT4" s="149" t="str">
        <f>IF('Cable Info'!P4="","",CONCATENATE('Cable Info'!P4," - ",'Cable Info'!Q4))</f>
        <v/>
      </c>
      <c r="AW4" s="149" t="str">
        <f t="shared" si="2"/>
        <v/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 x14ac:dyDescent="0.3">
      <c r="A5" s="151"/>
      <c r="B5" s="6"/>
      <c r="C5" s="6"/>
      <c r="D5" s="6"/>
      <c r="E5" s="6"/>
      <c r="F5" s="131"/>
      <c r="G5" s="582" t="str">
        <f>IF(AB9&gt;0,"COUNT MISMATCH","")</f>
        <v/>
      </c>
      <c r="H5" s="582"/>
      <c r="I5" s="582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12</v>
      </c>
      <c r="AE5" s="148" t="s">
        <v>52</v>
      </c>
      <c r="AF5" s="147" t="str">
        <f>IF('Cable Info'!C39="","",CONCATENATE("[",AE5,"]"," ",'Cable Info'!C39))</f>
        <v/>
      </c>
      <c r="AJ5" s="149" t="e">
        <f>IF('Cable Info'!L5="","",CONCATENATE('Cable Info'!L5," - ",'Cable Info'!M5))</f>
        <v>#N/A</v>
      </c>
      <c r="AM5" s="149" t="e">
        <f t="shared" si="0"/>
        <v>#N/A</v>
      </c>
      <c r="AO5" s="149" t="e">
        <f>IF('Cable Info'!N5="","",CONCATENATE('Cable Info'!N5," - ",'Cable Info'!O5))</f>
        <v>#N/A</v>
      </c>
      <c r="AR5" s="149" t="e">
        <f t="shared" si="1"/>
        <v>#N/A</v>
      </c>
      <c r="AT5" s="149" t="str">
        <f>IF('Cable Info'!P5="","",CONCATENATE('Cable Info'!P5," - ",'Cable Info'!Q5))</f>
        <v/>
      </c>
      <c r="AW5" s="149" t="str">
        <f t="shared" si="2"/>
        <v/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 x14ac:dyDescent="0.4">
      <c r="A6" s="151"/>
      <c r="B6" s="6"/>
      <c r="C6" s="15"/>
      <c r="D6" s="583" t="str">
        <f>IF(Y9&gt;0,"FIBERS OUT OF SEQ.","")</f>
        <v/>
      </c>
      <c r="E6" s="583"/>
      <c r="F6" s="583"/>
      <c r="G6" s="583"/>
      <c r="H6" s="136"/>
      <c r="I6" s="584" t="str">
        <f>IF(Z9&gt;0,"FIBERS OUT OF SEQ.","")</f>
        <v/>
      </c>
      <c r="J6" s="584"/>
      <c r="K6" s="584"/>
      <c r="L6" s="584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53</v>
      </c>
      <c r="AF6" s="147" t="str">
        <f>IF('Cable Info'!C46="","",CONCATENATE("[",AE6,"]"," ",'Cable Info'!C46))</f>
        <v/>
      </c>
      <c r="AJ6" s="149" t="e">
        <f>IF('Cable Info'!L6="","",CONCATENATE('Cable Info'!L6," - ",'Cable Info'!M6))</f>
        <v>#N/A</v>
      </c>
      <c r="AM6" s="149" t="e">
        <f t="shared" si="0"/>
        <v>#N/A</v>
      </c>
      <c r="AO6" s="149" t="e">
        <f>IF('Cable Info'!N6="","",CONCATENATE('Cable Info'!N6," - ",'Cable Info'!O6))</f>
        <v>#N/A</v>
      </c>
      <c r="AR6" s="149" t="e">
        <f t="shared" si="1"/>
        <v>#N/A</v>
      </c>
      <c r="AT6" s="149" t="str">
        <f>IF('Cable Info'!P6="","",CONCATENATE('Cable Info'!P6," - ",'Cable Info'!Q6))</f>
        <v/>
      </c>
      <c r="AW6" s="149" t="str">
        <f t="shared" si="2"/>
        <v/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 x14ac:dyDescent="0.3">
      <c r="A7" s="222"/>
      <c r="B7" s="562" t="s">
        <v>40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4"/>
      <c r="R7" s="562" t="s">
        <v>39</v>
      </c>
      <c r="S7" s="563"/>
      <c r="T7" s="563"/>
      <c r="U7" s="563"/>
      <c r="V7" s="563"/>
      <c r="W7" s="564"/>
      <c r="X7" s="227"/>
      <c r="Y7" s="147"/>
      <c r="AJ7" s="149" t="e">
        <f>IF('Cable Info'!L7="","",CONCATENATE('Cable Info'!L7," - ",'Cable Info'!M7))</f>
        <v>#N/A</v>
      </c>
      <c r="AM7" s="149" t="e">
        <f t="shared" si="0"/>
        <v>#N/A</v>
      </c>
      <c r="AO7" s="149" t="e">
        <f>IF('Cable Info'!N7="","",CONCATENATE('Cable Info'!N7," - ",'Cable Info'!O7))</f>
        <v>#N/A</v>
      </c>
      <c r="AR7" s="149" t="e">
        <f t="shared" si="1"/>
        <v>#N/A</v>
      </c>
      <c r="AT7" s="149" t="str">
        <f>IF('Cable Info'!P7="","",CONCATENATE('Cable Info'!P7," - ",'Cable Info'!Q7))</f>
        <v/>
      </c>
      <c r="AW7" s="149" t="str">
        <f t="shared" si="2"/>
        <v/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8" thickBot="1" x14ac:dyDescent="0.3">
      <c r="A8" s="223"/>
      <c r="B8" s="7"/>
      <c r="C8" s="127" t="s">
        <v>85</v>
      </c>
      <c r="D8" s="129" t="s">
        <v>37</v>
      </c>
      <c r="E8" s="220" t="s">
        <v>74</v>
      </c>
      <c r="F8" s="130"/>
      <c r="G8" s="221" t="s">
        <v>75</v>
      </c>
      <c r="H8" s="128" t="s">
        <v>76</v>
      </c>
      <c r="I8" s="220" t="s">
        <v>74</v>
      </c>
      <c r="J8" s="130"/>
      <c r="K8" s="221" t="s">
        <v>75</v>
      </c>
      <c r="L8" s="8" t="s">
        <v>37</v>
      </c>
      <c r="M8" s="127" t="s">
        <v>84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e">
        <f>IF('Cable Info'!L8="","",CONCATENATE('Cable Info'!L8," - ",'Cable Info'!M8))</f>
        <v>#N/A</v>
      </c>
      <c r="AM8" s="149" t="e">
        <f t="shared" si="0"/>
        <v>#N/A</v>
      </c>
      <c r="AO8" s="149" t="e">
        <f>IF('Cable Info'!N8="","",CONCATENATE('Cable Info'!N8," - ",'Cable Info'!O8))</f>
        <v>#N/A</v>
      </c>
      <c r="AR8" s="149" t="e">
        <f t="shared" si="1"/>
        <v>#N/A</v>
      </c>
      <c r="AT8" s="149" t="str">
        <f>IF('Cable Info'!P8="","",CONCATENATE('Cable Info'!P8," - ",'Cable Info'!Q8))</f>
        <v/>
      </c>
      <c r="AW8" s="149" t="str">
        <f t="shared" si="2"/>
        <v/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560" t="s">
        <v>86</v>
      </c>
    </row>
    <row r="9" spans="1:90" ht="13.8" thickBot="1" x14ac:dyDescent="0.3">
      <c r="A9" s="223"/>
      <c r="B9" s="138" t="s">
        <v>35</v>
      </c>
      <c r="C9" s="139" t="s">
        <v>38</v>
      </c>
      <c r="D9" s="138" t="s">
        <v>3</v>
      </c>
      <c r="E9" s="572" t="s">
        <v>73</v>
      </c>
      <c r="F9" s="573"/>
      <c r="G9" s="574"/>
      <c r="H9" s="140" t="s">
        <v>81</v>
      </c>
      <c r="I9" s="572" t="s">
        <v>73</v>
      </c>
      <c r="J9" s="573"/>
      <c r="K9" s="574"/>
      <c r="L9" s="138" t="s">
        <v>3</v>
      </c>
      <c r="M9" s="139" t="s">
        <v>38</v>
      </c>
      <c r="N9" s="237" t="s">
        <v>88</v>
      </c>
      <c r="O9" s="238" t="s">
        <v>87</v>
      </c>
      <c r="P9" s="138" t="s">
        <v>35</v>
      </c>
      <c r="Q9" s="225"/>
      <c r="R9" s="138" t="s">
        <v>4</v>
      </c>
      <c r="S9" s="138" t="s">
        <v>42</v>
      </c>
      <c r="T9" s="138" t="s">
        <v>5</v>
      </c>
      <c r="U9" s="138" t="s">
        <v>7</v>
      </c>
      <c r="V9" s="138" t="s">
        <v>10</v>
      </c>
      <c r="W9" s="138" t="s">
        <v>43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e">
        <f>IF('Cable Info'!L9="","",CONCATENATE('Cable Info'!L9," - ",'Cable Info'!M9))</f>
        <v>#N/A</v>
      </c>
      <c r="AM9" s="149" t="e">
        <f t="shared" si="0"/>
        <v>#N/A</v>
      </c>
      <c r="AO9" s="149" t="e">
        <f>IF('Cable Info'!N9="","",CONCATENATE('Cable Info'!N9," - ",'Cable Info'!O9))</f>
        <v>#N/A</v>
      </c>
      <c r="AR9" s="149" t="e">
        <f t="shared" si="1"/>
        <v>#N/A</v>
      </c>
      <c r="AT9" s="149" t="str">
        <f>IF('Cable Info'!P9="","",CONCATENATE('Cable Info'!P9," - ",'Cable Info'!Q9))</f>
        <v/>
      </c>
      <c r="AW9" s="149" t="str">
        <f t="shared" si="2"/>
        <v/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561"/>
    </row>
    <row r="10" spans="1:90" ht="13.8" thickTop="1" x14ac:dyDescent="0.25">
      <c r="A10" s="222"/>
      <c r="B10" s="156" t="s">
        <v>13</v>
      </c>
      <c r="C10" s="141" t="str">
        <f>IFERROR(IF(B10="","",IF((COUNTIF('Cable Info'!$B$11:$C$50,B10)=0),VLOOKUP(B10,'Cable Info (2)'!$B$11:$C$50,2,FALSE),(VLOOKUP(B10,'Cable Info'!$B$11:$C$50,2,FALSE)))),"NO SUCH EXIT")</f>
        <v>458179: ZAYO-ENT-S-1</v>
      </c>
      <c r="D10" s="284" t="s">
        <v>162</v>
      </c>
      <c r="E10" s="311">
        <v>1</v>
      </c>
      <c r="F10" s="137" t="s">
        <v>59</v>
      </c>
      <c r="G10" s="314">
        <v>12</v>
      </c>
      <c r="H10" s="141">
        <f>IF(G10="","",((E10-G10)-1)*(-1))</f>
        <v>12</v>
      </c>
      <c r="I10" s="317">
        <v>1</v>
      </c>
      <c r="J10" s="137" t="s">
        <v>59</v>
      </c>
      <c r="K10" s="320">
        <v>12</v>
      </c>
      <c r="L10" s="288" t="s">
        <v>162</v>
      </c>
      <c r="M10" s="141" t="str">
        <f>IFERROR(IF(P10="","",IF((COUNTIF('Cable Info'!$B$11:$C$50,P10)=0),VLOOKUP(P10,'Cable Info (2)'!$B$11:$C$50,2,FALSE),(VLOOKUP(P10,'Cable Info'!$B$11:$C$50,2,FALSE)))),"NO SUCH EXIT")</f>
        <v>Pigtail</v>
      </c>
      <c r="N10" s="292" t="s">
        <v>163</v>
      </c>
      <c r="O10" s="233" t="s">
        <v>168</v>
      </c>
      <c r="P10" s="157" t="s">
        <v>14</v>
      </c>
      <c r="Q10" s="224"/>
      <c r="R10" s="158" t="s">
        <v>78</v>
      </c>
      <c r="S10" s="158" t="s">
        <v>71</v>
      </c>
      <c r="T10" s="159"/>
      <c r="U10" s="159"/>
      <c r="V10" s="160" t="s">
        <v>11</v>
      </c>
      <c r="W10" s="160" t="s">
        <v>164</v>
      </c>
      <c r="X10" s="228">
        <f>IF(V10="","",IF(R10="","",IF(S10="","",IF(R10="SPLICED",(IF(S10="SPLICE",0,9)),IF(V10=$U$3,(IF(S10="BREAK",12,11)),IF(S10="BREAK",2,1))))))</f>
        <v>0</v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>
        <f>IF(K10="","",((I10-K10)-1)*(-1))</f>
        <v>12</v>
      </c>
      <c r="AB10" s="148" t="str">
        <f>IF(E10="","",IF(G10="","",IF(I10="","",IF(K10="","",IF(AA10&lt;&gt;H10,1,"")))))</f>
        <v/>
      </c>
      <c r="AJ10" s="149" t="e">
        <f>IF('Cable Info'!L10="","",CONCATENATE('Cable Info'!L10," - ",'Cable Info'!M10))</f>
        <v>#N/A</v>
      </c>
      <c r="AM10" s="149" t="e">
        <f t="shared" si="0"/>
        <v>#N/A</v>
      </c>
      <c r="AO10" s="149" t="e">
        <f>IF('Cable Info'!N10="","",CONCATENATE('Cable Info'!N10," - ",'Cable Info'!O10))</f>
        <v>#N/A</v>
      </c>
      <c r="AR10" s="149" t="e">
        <f t="shared" si="1"/>
        <v>#N/A</v>
      </c>
      <c r="AT10" s="149" t="str">
        <f>IF('Cable Info'!P10="","",CONCATENATE('Cable Info'!P10," - ",'Cable Info'!Q10))</f>
        <v/>
      </c>
      <c r="AW10" s="149" t="str">
        <f t="shared" si="2"/>
        <v/>
      </c>
      <c r="AY10" s="149" t="str">
        <f>IF('Cable Info'!R10="","",CONCATENATE('Cable Info'!R10," - ",'Cable Info'!S10))</f>
        <v/>
      </c>
      <c r="AZ10" s="149" t="s">
        <v>51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 t="s">
        <v>165</v>
      </c>
    </row>
    <row r="11" spans="1:90" x14ac:dyDescent="0.25">
      <c r="A11" s="222"/>
      <c r="B11" s="156"/>
      <c r="C11" s="142" t="str">
        <f>IFERROR(IF(B11="","",IF((COUNTIF('Cable Info'!$B$11:$C$50,B11)=0),VLOOKUP(B11,'Cable Info (2)'!$B$11:$C$50,2,FALSE),(VLOOKUP(B11,'Cable Info'!$B$11:$C$50,2,FALSE)))),"NO SUCH EXIT")</f>
        <v/>
      </c>
      <c r="D11" s="285"/>
      <c r="E11" s="312"/>
      <c r="F11" s="132" t="s">
        <v>59</v>
      </c>
      <c r="G11" s="315"/>
      <c r="H11" s="142" t="str">
        <f>IF(G11="","",((E11-G11)-1)*(-1))</f>
        <v/>
      </c>
      <c r="I11" s="317"/>
      <c r="J11" s="132" t="s">
        <v>59</v>
      </c>
      <c r="K11" s="321"/>
      <c r="L11" s="289"/>
      <c r="M11" s="142" t="str">
        <f>IFERROR(IF(P11="","",IF((COUNTIF('Cable Info'!$B$11:$C$50,P11)=0),VLOOKUP(P11,'Cable Info (2)'!$B$11:$C$50,2,FALSE),(VLOOKUP(P11,'Cable Info'!$B$11:$C$50,2,FALSE)))),"NO SUCH EXIT")</f>
        <v/>
      </c>
      <c r="N11" s="293"/>
      <c r="O11" s="234"/>
      <c r="P11" s="161"/>
      <c r="Q11" s="224"/>
      <c r="R11" s="162"/>
      <c r="S11" s="162"/>
      <c r="T11" s="163"/>
      <c r="U11" s="163"/>
      <c r="V11" s="164"/>
      <c r="W11" s="160"/>
      <c r="X11" s="229" t="str">
        <f t="shared" ref="X11:X214" si="6">IF(V11="","",IF(R11="","",IF(S11="","",IF(R11="SPLICED",(IF(S11="SPLICE",0,9)),IF(V11=$U$3,(IF(S11="BREAK",12,11)),IF(S11="BREAK",2,1))))))</f>
        <v/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 t="str">
        <f t="shared" ref="AA11:AA214" si="9">IF(K11="","",((I11-K11)-1)*(-1))</f>
        <v/>
      </c>
      <c r="AB11" s="148" t="str">
        <f t="shared" ref="AB11:AB214" si="10">IF(E11="","",IF(G11="","",IF(I11="","",IF(K11="","",IF(AA11&lt;&gt;H11,1,"")))))</f>
        <v/>
      </c>
      <c r="AJ11" s="149" t="e">
        <f>IF('Cable Info'!L11="","",CONCATENATE('Cable Info'!L11," - ",'Cable Info'!M11))</f>
        <v>#N/A</v>
      </c>
      <c r="AM11" s="149" t="e">
        <f t="shared" si="0"/>
        <v>#N/A</v>
      </c>
      <c r="AO11" s="149" t="e">
        <f>IF('Cable Info'!N11="","",CONCATENATE('Cable Info'!N11," - ",'Cable Info'!O11))</f>
        <v>#N/A</v>
      </c>
      <c r="AR11" s="149" t="e">
        <f t="shared" si="1"/>
        <v>#N/A</v>
      </c>
      <c r="AT11" s="149" t="str">
        <f>IF('Cable Info'!P11="","",CONCATENATE('Cable Info'!P11," - ",'Cable Info'!Q11))</f>
        <v/>
      </c>
      <c r="AU11" s="149" t="s">
        <v>68</v>
      </c>
      <c r="AW11" s="149" t="str">
        <f t="shared" si="2"/>
        <v xml:space="preserve">  &lt;=&gt; CABLEC 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 x14ac:dyDescent="0.25">
      <c r="A12" s="222"/>
      <c r="B12" s="156"/>
      <c r="C12" s="142" t="str">
        <f>IFERROR(IF(B12="","",IF((COUNTIF('Cable Info'!$B$11:$C$50,B12)=0),VLOOKUP(B12,'Cable Info (2)'!$B$11:$C$50,2,FALSE),(VLOOKUP(B12,'Cable Info'!$B$11:$C$50,2,FALSE)))),"NO SUCH EXIT")</f>
        <v/>
      </c>
      <c r="D12" s="285"/>
      <c r="E12" s="311"/>
      <c r="F12" s="132" t="s">
        <v>59</v>
      </c>
      <c r="G12" s="314"/>
      <c r="H12" s="142" t="str">
        <f>IF(G12="","",((E12-G12)-1)*(-1))</f>
        <v/>
      </c>
      <c r="I12" s="318"/>
      <c r="J12" s="132" t="s">
        <v>59</v>
      </c>
      <c r="K12" s="320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/>
      <c r="O12" s="234"/>
      <c r="P12" s="161"/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e">
        <f>IF('Cable Info'!L12="","",CONCATENATE('Cable Info'!L12," - ",'Cable Info'!M12))</f>
        <v>#N/A</v>
      </c>
      <c r="AM12" s="149" t="e">
        <f t="shared" si="0"/>
        <v>#N/A</v>
      </c>
      <c r="AO12" s="149" t="e">
        <f>IF('Cable Info'!N12="","",CONCATENATE('Cable Info'!N12," - ",'Cable Info'!O12))</f>
        <v>#N/A</v>
      </c>
      <c r="AR12" s="149" t="e">
        <f t="shared" si="1"/>
        <v>#N/A</v>
      </c>
      <c r="AT12" s="149" t="str">
        <f>IF('Cable Info'!P12="","",CONCATENATE('Cable Info'!P12," - ",'Cable Info'!Q12))</f>
        <v/>
      </c>
      <c r="AW12" s="149" t="str">
        <f t="shared" si="2"/>
        <v/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 x14ac:dyDescent="0.25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2"/>
      <c r="F13" s="132" t="s">
        <v>59</v>
      </c>
      <c r="G13" s="315"/>
      <c r="H13" s="142" t="str">
        <f t="shared" ref="H13:H214" si="11">IF(G13="","",((E13-G13)-1)*(-1))</f>
        <v/>
      </c>
      <c r="I13" s="317"/>
      <c r="J13" s="132" t="s">
        <v>59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e">
        <f>IF('Cable Info'!L13="","",CONCATENATE('Cable Info'!L13," - ",'Cable Info'!M13))</f>
        <v>#N/A</v>
      </c>
      <c r="AK13" s="149" t="s">
        <v>65</v>
      </c>
      <c r="AL13" s="149" t="s">
        <v>66</v>
      </c>
      <c r="AM13" s="149" t="e">
        <f t="shared" si="0"/>
        <v>#N/A</v>
      </c>
      <c r="AO13" s="149" t="e">
        <f>IF('Cable Info'!N13="","",CONCATENATE('Cable Info'!N13," - ",'Cable Info'!O13))</f>
        <v>#N/A</v>
      </c>
      <c r="AR13" s="149" t="e">
        <f t="shared" si="1"/>
        <v>#N/A</v>
      </c>
      <c r="AT13" s="149" t="str">
        <f>IF('Cable Info'!P13="","",CONCATENATE('Cable Info'!P13," - ",'Cable Info'!Q13))</f>
        <v/>
      </c>
      <c r="AW13" s="149" t="str">
        <f t="shared" si="2"/>
        <v/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 x14ac:dyDescent="0.25">
      <c r="A14" s="222"/>
      <c r="B14" s="165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1"/>
      <c r="F14" s="132" t="s">
        <v>59</v>
      </c>
      <c r="G14" s="314"/>
      <c r="H14" s="142" t="str">
        <f t="shared" si="11"/>
        <v/>
      </c>
      <c r="I14" s="318"/>
      <c r="J14" s="132" t="s">
        <v>59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 x14ac:dyDescent="0.25">
      <c r="A15" s="222"/>
      <c r="B15" s="165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1"/>
      <c r="F15" s="132" t="s">
        <v>59</v>
      </c>
      <c r="G15" s="314"/>
      <c r="H15" s="142" t="str">
        <f t="shared" si="11"/>
        <v/>
      </c>
      <c r="I15" s="318"/>
      <c r="J15" s="132" t="s">
        <v>59</v>
      </c>
      <c r="K15" s="320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 x14ac:dyDescent="0.25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1"/>
      <c r="F16" s="132" t="s">
        <v>59</v>
      </c>
      <c r="G16" s="314"/>
      <c r="H16" s="142" t="str">
        <f t="shared" si="11"/>
        <v/>
      </c>
      <c r="I16" s="318"/>
      <c r="J16" s="132" t="s">
        <v>59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 x14ac:dyDescent="0.25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1"/>
      <c r="F17" s="132" t="s">
        <v>59</v>
      </c>
      <c r="G17" s="314"/>
      <c r="H17" s="142" t="str">
        <f t="shared" si="11"/>
        <v/>
      </c>
      <c r="I17" s="318"/>
      <c r="J17" s="132" t="s">
        <v>59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 x14ac:dyDescent="0.25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1"/>
      <c r="F18" s="132" t="s">
        <v>59</v>
      </c>
      <c r="G18" s="314"/>
      <c r="H18" s="142" t="str">
        <f t="shared" si="11"/>
        <v/>
      </c>
      <c r="I18" s="318"/>
      <c r="J18" s="132" t="s">
        <v>59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 x14ac:dyDescent="0.25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1"/>
      <c r="F19" s="132" t="s">
        <v>59</v>
      </c>
      <c r="G19" s="314"/>
      <c r="H19" s="142" t="str">
        <f t="shared" si="11"/>
        <v/>
      </c>
      <c r="I19" s="318"/>
      <c r="J19" s="132" t="s">
        <v>59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 x14ac:dyDescent="0.25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1"/>
      <c r="F20" s="132" t="s">
        <v>59</v>
      </c>
      <c r="G20" s="314"/>
      <c r="H20" s="142" t="str">
        <f t="shared" si="11"/>
        <v/>
      </c>
      <c r="I20" s="318"/>
      <c r="J20" s="132" t="s">
        <v>59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 x14ac:dyDescent="0.25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1"/>
      <c r="F21" s="132" t="s">
        <v>59</v>
      </c>
      <c r="G21" s="314"/>
      <c r="H21" s="142" t="str">
        <f t="shared" si="11"/>
        <v/>
      </c>
      <c r="I21" s="318"/>
      <c r="J21" s="132" t="s">
        <v>59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 x14ac:dyDescent="0.25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1"/>
      <c r="F22" s="132" t="s">
        <v>59</v>
      </c>
      <c r="G22" s="314"/>
      <c r="H22" s="142" t="str">
        <f t="shared" si="11"/>
        <v/>
      </c>
      <c r="I22" s="318"/>
      <c r="J22" s="132" t="s">
        <v>59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 x14ac:dyDescent="0.25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1"/>
      <c r="F23" s="132" t="s">
        <v>59</v>
      </c>
      <c r="G23" s="314"/>
      <c r="H23" s="142" t="str">
        <f t="shared" si="11"/>
        <v/>
      </c>
      <c r="I23" s="318"/>
      <c r="J23" s="132" t="s">
        <v>59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 x14ac:dyDescent="0.25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1"/>
      <c r="F24" s="132" t="s">
        <v>59</v>
      </c>
      <c r="G24" s="314"/>
      <c r="H24" s="142" t="str">
        <f t="shared" si="11"/>
        <v/>
      </c>
      <c r="I24" s="318"/>
      <c r="J24" s="132" t="s">
        <v>59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 x14ac:dyDescent="0.25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1"/>
      <c r="F25" s="132" t="s">
        <v>59</v>
      </c>
      <c r="G25" s="314"/>
      <c r="H25" s="142" t="str">
        <f t="shared" si="11"/>
        <v/>
      </c>
      <c r="I25" s="318"/>
      <c r="J25" s="132" t="s">
        <v>59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 x14ac:dyDescent="0.25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59</v>
      </c>
      <c r="G26" s="314"/>
      <c r="H26" s="142" t="str">
        <f t="shared" si="11"/>
        <v/>
      </c>
      <c r="I26" s="318"/>
      <c r="J26" s="132" t="s">
        <v>59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 x14ac:dyDescent="0.25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59</v>
      </c>
      <c r="G27" s="314"/>
      <c r="H27" s="142" t="str">
        <f t="shared" si="11"/>
        <v/>
      </c>
      <c r="I27" s="318"/>
      <c r="J27" s="132" t="s">
        <v>59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 x14ac:dyDescent="0.25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59</v>
      </c>
      <c r="G28" s="314"/>
      <c r="H28" s="142" t="str">
        <f t="shared" si="11"/>
        <v/>
      </c>
      <c r="I28" s="318"/>
      <c r="J28" s="132" t="s">
        <v>59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 x14ac:dyDescent="0.25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59</v>
      </c>
      <c r="G29" s="314"/>
      <c r="H29" s="142" t="str">
        <f t="shared" si="11"/>
        <v/>
      </c>
      <c r="I29" s="318"/>
      <c r="J29" s="132" t="s">
        <v>59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 x14ac:dyDescent="0.25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59</v>
      </c>
      <c r="G30" s="314"/>
      <c r="H30" s="142" t="str">
        <f t="shared" si="11"/>
        <v/>
      </c>
      <c r="I30" s="318"/>
      <c r="J30" s="132" t="s">
        <v>59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 x14ac:dyDescent="0.25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59</v>
      </c>
      <c r="G31" s="314"/>
      <c r="H31" s="142" t="str">
        <f t="shared" si="11"/>
        <v/>
      </c>
      <c r="I31" s="318"/>
      <c r="J31" s="132" t="s">
        <v>59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 x14ac:dyDescent="0.25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59</v>
      </c>
      <c r="G32" s="314"/>
      <c r="H32" s="142" t="str">
        <f t="shared" si="11"/>
        <v/>
      </c>
      <c r="I32" s="318"/>
      <c r="J32" s="132" t="s">
        <v>59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 x14ac:dyDescent="0.25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59</v>
      </c>
      <c r="G33" s="314"/>
      <c r="H33" s="142" t="str">
        <f t="shared" si="11"/>
        <v/>
      </c>
      <c r="I33" s="318"/>
      <c r="J33" s="132" t="s">
        <v>59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 x14ac:dyDescent="0.25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59</v>
      </c>
      <c r="G34" s="314"/>
      <c r="H34" s="142" t="str">
        <f t="shared" si="11"/>
        <v/>
      </c>
      <c r="I34" s="318"/>
      <c r="J34" s="132" t="s">
        <v>59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 x14ac:dyDescent="0.25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59</v>
      </c>
      <c r="G35" s="314"/>
      <c r="H35" s="142" t="str">
        <f t="shared" si="11"/>
        <v/>
      </c>
      <c r="I35" s="318"/>
      <c r="J35" s="132" t="s">
        <v>59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 x14ac:dyDescent="0.25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59</v>
      </c>
      <c r="G36" s="314"/>
      <c r="H36" s="142" t="str">
        <f t="shared" si="11"/>
        <v/>
      </c>
      <c r="I36" s="318"/>
      <c r="J36" s="132" t="s">
        <v>59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 x14ac:dyDescent="0.25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59</v>
      </c>
      <c r="G37" s="314"/>
      <c r="H37" s="142" t="str">
        <f t="shared" si="11"/>
        <v/>
      </c>
      <c r="I37" s="318"/>
      <c r="J37" s="132" t="s">
        <v>59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 x14ac:dyDescent="0.25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59</v>
      </c>
      <c r="G38" s="314"/>
      <c r="H38" s="142" t="str">
        <f t="shared" si="11"/>
        <v/>
      </c>
      <c r="I38" s="318"/>
      <c r="J38" s="132" t="s">
        <v>59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 x14ac:dyDescent="0.25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59</v>
      </c>
      <c r="G39" s="314"/>
      <c r="H39" s="142" t="str">
        <f t="shared" si="11"/>
        <v/>
      </c>
      <c r="I39" s="318"/>
      <c r="J39" s="132" t="s">
        <v>59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 x14ac:dyDescent="0.25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59</v>
      </c>
      <c r="G40" s="314"/>
      <c r="H40" s="142" t="str">
        <f t="shared" si="11"/>
        <v/>
      </c>
      <c r="I40" s="318"/>
      <c r="J40" s="132" t="s">
        <v>59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 x14ac:dyDescent="0.25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59</v>
      </c>
      <c r="G41" s="314"/>
      <c r="H41" s="142" t="str">
        <f t="shared" si="11"/>
        <v/>
      </c>
      <c r="I41" s="318"/>
      <c r="J41" s="132" t="s">
        <v>59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 x14ac:dyDescent="0.25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59</v>
      </c>
      <c r="G42" s="314"/>
      <c r="H42" s="142" t="str">
        <f t="shared" si="11"/>
        <v/>
      </c>
      <c r="I42" s="318"/>
      <c r="J42" s="132" t="s">
        <v>59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 x14ac:dyDescent="0.25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59</v>
      </c>
      <c r="G43" s="314"/>
      <c r="H43" s="142" t="str">
        <f t="shared" si="11"/>
        <v/>
      </c>
      <c r="I43" s="318"/>
      <c r="J43" s="132" t="s">
        <v>59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 x14ac:dyDescent="0.25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59</v>
      </c>
      <c r="G44" s="314"/>
      <c r="H44" s="142" t="str">
        <f t="shared" si="11"/>
        <v/>
      </c>
      <c r="I44" s="318"/>
      <c r="J44" s="132" t="s">
        <v>59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 x14ac:dyDescent="0.25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59</v>
      </c>
      <c r="G45" s="314"/>
      <c r="H45" s="142" t="str">
        <f t="shared" si="11"/>
        <v/>
      </c>
      <c r="I45" s="318"/>
      <c r="J45" s="132" t="s">
        <v>59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 x14ac:dyDescent="0.25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59</v>
      </c>
      <c r="G46" s="314"/>
      <c r="H46" s="142" t="str">
        <f t="shared" si="11"/>
        <v/>
      </c>
      <c r="I46" s="318"/>
      <c r="J46" s="132" t="s">
        <v>59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 x14ac:dyDescent="0.25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59</v>
      </c>
      <c r="G47" s="314"/>
      <c r="H47" s="142" t="str">
        <f t="shared" si="11"/>
        <v/>
      </c>
      <c r="I47" s="318"/>
      <c r="J47" s="132" t="s">
        <v>59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 x14ac:dyDescent="0.25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59</v>
      </c>
      <c r="G48" s="314"/>
      <c r="H48" s="142" t="str">
        <f t="shared" si="11"/>
        <v/>
      </c>
      <c r="I48" s="318"/>
      <c r="J48" s="132" t="s">
        <v>59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 x14ac:dyDescent="0.25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59</v>
      </c>
      <c r="G49" s="314"/>
      <c r="H49" s="142" t="str">
        <f t="shared" si="11"/>
        <v/>
      </c>
      <c r="I49" s="318"/>
      <c r="J49" s="132" t="s">
        <v>59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 x14ac:dyDescent="0.25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59</v>
      </c>
      <c r="G50" s="314"/>
      <c r="H50" s="142" t="str">
        <f t="shared" si="11"/>
        <v/>
      </c>
      <c r="I50" s="318"/>
      <c r="J50" s="132" t="s">
        <v>59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 x14ac:dyDescent="0.25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59</v>
      </c>
      <c r="G51" s="314"/>
      <c r="H51" s="142" t="str">
        <f t="shared" si="11"/>
        <v/>
      </c>
      <c r="I51" s="318"/>
      <c r="J51" s="132" t="s">
        <v>59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 x14ac:dyDescent="0.25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59</v>
      </c>
      <c r="G52" s="314"/>
      <c r="H52" s="142" t="str">
        <f t="shared" si="11"/>
        <v/>
      </c>
      <c r="I52" s="318"/>
      <c r="J52" s="132" t="s">
        <v>59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 x14ac:dyDescent="0.25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59</v>
      </c>
      <c r="G53" s="314"/>
      <c r="H53" s="142" t="str">
        <f t="shared" si="11"/>
        <v/>
      </c>
      <c r="I53" s="318"/>
      <c r="J53" s="132" t="s">
        <v>59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 x14ac:dyDescent="0.25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59</v>
      </c>
      <c r="G54" s="314"/>
      <c r="H54" s="142" t="str">
        <f t="shared" si="11"/>
        <v/>
      </c>
      <c r="I54" s="318"/>
      <c r="J54" s="132" t="s">
        <v>59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 x14ac:dyDescent="0.25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59</v>
      </c>
      <c r="G55" s="314"/>
      <c r="H55" s="142" t="str">
        <f t="shared" si="11"/>
        <v/>
      </c>
      <c r="I55" s="318"/>
      <c r="J55" s="132" t="s">
        <v>59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 x14ac:dyDescent="0.25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59</v>
      </c>
      <c r="G56" s="314"/>
      <c r="H56" s="142" t="str">
        <f t="shared" si="11"/>
        <v/>
      </c>
      <c r="I56" s="318"/>
      <c r="J56" s="132" t="s">
        <v>59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 x14ac:dyDescent="0.25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59</v>
      </c>
      <c r="G57" s="314"/>
      <c r="H57" s="142" t="str">
        <f t="shared" si="11"/>
        <v/>
      </c>
      <c r="I57" s="318"/>
      <c r="J57" s="132" t="s">
        <v>59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 x14ac:dyDescent="0.25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59</v>
      </c>
      <c r="G58" s="314"/>
      <c r="H58" s="142" t="str">
        <f t="shared" si="11"/>
        <v/>
      </c>
      <c r="I58" s="318"/>
      <c r="J58" s="132" t="s">
        <v>59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 x14ac:dyDescent="0.25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59</v>
      </c>
      <c r="G59" s="314"/>
      <c r="H59" s="142" t="str">
        <f t="shared" si="11"/>
        <v/>
      </c>
      <c r="I59" s="318"/>
      <c r="J59" s="132" t="s">
        <v>59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 x14ac:dyDescent="0.25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59</v>
      </c>
      <c r="G60" s="314"/>
      <c r="H60" s="142" t="str">
        <f t="shared" si="11"/>
        <v/>
      </c>
      <c r="I60" s="318"/>
      <c r="J60" s="132" t="s">
        <v>59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 x14ac:dyDescent="0.25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59</v>
      </c>
      <c r="G61" s="314"/>
      <c r="H61" s="142" t="str">
        <f t="shared" si="11"/>
        <v/>
      </c>
      <c r="I61" s="318"/>
      <c r="J61" s="132" t="s">
        <v>59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 x14ac:dyDescent="0.25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59</v>
      </c>
      <c r="G62" s="314"/>
      <c r="H62" s="142" t="str">
        <f t="shared" si="11"/>
        <v/>
      </c>
      <c r="I62" s="318"/>
      <c r="J62" s="132" t="s">
        <v>59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 x14ac:dyDescent="0.25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59</v>
      </c>
      <c r="G63" s="314"/>
      <c r="H63" s="142" t="str">
        <f t="shared" si="11"/>
        <v/>
      </c>
      <c r="I63" s="318"/>
      <c r="J63" s="132" t="s">
        <v>59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 x14ac:dyDescent="0.25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59</v>
      </c>
      <c r="G64" s="314"/>
      <c r="H64" s="142" t="str">
        <f t="shared" si="11"/>
        <v/>
      </c>
      <c r="I64" s="318"/>
      <c r="J64" s="132" t="s">
        <v>59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 x14ac:dyDescent="0.25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59</v>
      </c>
      <c r="G65" s="314"/>
      <c r="H65" s="142" t="str">
        <f t="shared" si="11"/>
        <v/>
      </c>
      <c r="I65" s="318"/>
      <c r="J65" s="132" t="s">
        <v>59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 x14ac:dyDescent="0.25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59</v>
      </c>
      <c r="G66" s="314"/>
      <c r="H66" s="142" t="str">
        <f t="shared" si="11"/>
        <v/>
      </c>
      <c r="I66" s="318"/>
      <c r="J66" s="132" t="s">
        <v>59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 x14ac:dyDescent="0.25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59</v>
      </c>
      <c r="G67" s="314"/>
      <c r="H67" s="142" t="str">
        <f t="shared" si="11"/>
        <v/>
      </c>
      <c r="I67" s="318"/>
      <c r="J67" s="132" t="s">
        <v>59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 x14ac:dyDescent="0.25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59</v>
      </c>
      <c r="G68" s="314"/>
      <c r="H68" s="142" t="str">
        <f t="shared" si="11"/>
        <v/>
      </c>
      <c r="I68" s="318"/>
      <c r="J68" s="132" t="s">
        <v>59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 x14ac:dyDescent="0.25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59</v>
      </c>
      <c r="G69" s="314"/>
      <c r="H69" s="142" t="str">
        <f t="shared" si="11"/>
        <v/>
      </c>
      <c r="I69" s="318"/>
      <c r="J69" s="132" t="s">
        <v>59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 x14ac:dyDescent="0.25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59</v>
      </c>
      <c r="G70" s="314"/>
      <c r="H70" s="142" t="str">
        <f t="shared" si="11"/>
        <v/>
      </c>
      <c r="I70" s="318"/>
      <c r="J70" s="132" t="s">
        <v>59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 x14ac:dyDescent="0.25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59</v>
      </c>
      <c r="G71" s="314"/>
      <c r="H71" s="142" t="str">
        <f t="shared" si="11"/>
        <v/>
      </c>
      <c r="I71" s="318"/>
      <c r="J71" s="132" t="s">
        <v>59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 x14ac:dyDescent="0.25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59</v>
      </c>
      <c r="G72" s="314"/>
      <c r="H72" s="142" t="str">
        <f t="shared" si="11"/>
        <v/>
      </c>
      <c r="I72" s="318"/>
      <c r="J72" s="132" t="s">
        <v>59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 x14ac:dyDescent="0.25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59</v>
      </c>
      <c r="G73" s="314"/>
      <c r="H73" s="142" t="str">
        <f t="shared" si="11"/>
        <v/>
      </c>
      <c r="I73" s="318"/>
      <c r="J73" s="132" t="s">
        <v>59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 x14ac:dyDescent="0.25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59</v>
      </c>
      <c r="G74" s="314"/>
      <c r="H74" s="142" t="str">
        <f t="shared" si="11"/>
        <v/>
      </c>
      <c r="I74" s="318"/>
      <c r="J74" s="132" t="s">
        <v>59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 x14ac:dyDescent="0.25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59</v>
      </c>
      <c r="G75" s="314"/>
      <c r="H75" s="142" t="str">
        <f t="shared" si="11"/>
        <v/>
      </c>
      <c r="I75" s="318"/>
      <c r="J75" s="132" t="s">
        <v>59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 x14ac:dyDescent="0.25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59</v>
      </c>
      <c r="G76" s="314"/>
      <c r="H76" s="142" t="str">
        <f t="shared" si="11"/>
        <v/>
      </c>
      <c r="I76" s="318"/>
      <c r="J76" s="132" t="s">
        <v>59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 x14ac:dyDescent="0.25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59</v>
      </c>
      <c r="G77" s="314"/>
      <c r="H77" s="142" t="str">
        <f t="shared" si="11"/>
        <v/>
      </c>
      <c r="I77" s="318"/>
      <c r="J77" s="132" t="s">
        <v>59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 x14ac:dyDescent="0.25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59</v>
      </c>
      <c r="G78" s="314"/>
      <c r="H78" s="142" t="str">
        <f t="shared" si="11"/>
        <v/>
      </c>
      <c r="I78" s="318"/>
      <c r="J78" s="132" t="s">
        <v>59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 x14ac:dyDescent="0.25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59</v>
      </c>
      <c r="G79" s="314"/>
      <c r="H79" s="142" t="str">
        <f t="shared" si="11"/>
        <v/>
      </c>
      <c r="I79" s="318"/>
      <c r="J79" s="132" t="s">
        <v>59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 x14ac:dyDescent="0.25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59</v>
      </c>
      <c r="G80" s="314"/>
      <c r="H80" s="142" t="str">
        <f t="shared" si="11"/>
        <v/>
      </c>
      <c r="I80" s="318"/>
      <c r="J80" s="132" t="s">
        <v>59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 x14ac:dyDescent="0.25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59</v>
      </c>
      <c r="G81" s="314"/>
      <c r="H81" s="142" t="str">
        <f t="shared" si="11"/>
        <v/>
      </c>
      <c r="I81" s="318"/>
      <c r="J81" s="132" t="s">
        <v>59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 x14ac:dyDescent="0.25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59</v>
      </c>
      <c r="G82" s="314"/>
      <c r="H82" s="142" t="str">
        <f t="shared" si="11"/>
        <v/>
      </c>
      <c r="I82" s="318"/>
      <c r="J82" s="132" t="s">
        <v>59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 x14ac:dyDescent="0.25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59</v>
      </c>
      <c r="G83" s="314"/>
      <c r="H83" s="142" t="str">
        <f t="shared" si="11"/>
        <v/>
      </c>
      <c r="I83" s="318"/>
      <c r="J83" s="132" t="s">
        <v>59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 x14ac:dyDescent="0.25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59</v>
      </c>
      <c r="G84" s="314"/>
      <c r="H84" s="142" t="str">
        <f t="shared" ref="H84:H147" si="12">IF(G84="","",((E84-G84)-1)*(-1))</f>
        <v/>
      </c>
      <c r="I84" s="318"/>
      <c r="J84" s="132" t="s">
        <v>59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 x14ac:dyDescent="0.25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59</v>
      </c>
      <c r="G85" s="314"/>
      <c r="H85" s="142" t="str">
        <f t="shared" si="12"/>
        <v/>
      </c>
      <c r="I85" s="318"/>
      <c r="J85" s="132" t="s">
        <v>59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 x14ac:dyDescent="0.25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59</v>
      </c>
      <c r="G86" s="314"/>
      <c r="H86" s="142" t="str">
        <f t="shared" si="12"/>
        <v/>
      </c>
      <c r="I86" s="318"/>
      <c r="J86" s="132" t="s">
        <v>59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 x14ac:dyDescent="0.25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59</v>
      </c>
      <c r="G87" s="314"/>
      <c r="H87" s="142" t="str">
        <f t="shared" si="12"/>
        <v/>
      </c>
      <c r="I87" s="318"/>
      <c r="J87" s="132" t="s">
        <v>59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 x14ac:dyDescent="0.25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59</v>
      </c>
      <c r="G88" s="314"/>
      <c r="H88" s="142" t="str">
        <f t="shared" si="12"/>
        <v/>
      </c>
      <c r="I88" s="318"/>
      <c r="J88" s="132" t="s">
        <v>59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 x14ac:dyDescent="0.25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59</v>
      </c>
      <c r="G89" s="314"/>
      <c r="H89" s="142" t="str">
        <f t="shared" si="12"/>
        <v/>
      </c>
      <c r="I89" s="318"/>
      <c r="J89" s="132" t="s">
        <v>59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 x14ac:dyDescent="0.25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59</v>
      </c>
      <c r="G90" s="314"/>
      <c r="H90" s="142" t="str">
        <f t="shared" si="12"/>
        <v/>
      </c>
      <c r="I90" s="318"/>
      <c r="J90" s="132" t="s">
        <v>59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 x14ac:dyDescent="0.25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59</v>
      </c>
      <c r="G91" s="314"/>
      <c r="H91" s="142" t="str">
        <f t="shared" si="12"/>
        <v/>
      </c>
      <c r="I91" s="318"/>
      <c r="J91" s="132" t="s">
        <v>59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 x14ac:dyDescent="0.25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59</v>
      </c>
      <c r="G92" s="314"/>
      <c r="H92" s="142" t="str">
        <f t="shared" si="12"/>
        <v/>
      </c>
      <c r="I92" s="318"/>
      <c r="J92" s="132" t="s">
        <v>59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 x14ac:dyDescent="0.25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59</v>
      </c>
      <c r="G93" s="314"/>
      <c r="H93" s="142" t="str">
        <f t="shared" si="12"/>
        <v/>
      </c>
      <c r="I93" s="318"/>
      <c r="J93" s="132" t="s">
        <v>59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 x14ac:dyDescent="0.25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59</v>
      </c>
      <c r="G94" s="314"/>
      <c r="H94" s="142" t="str">
        <f t="shared" si="12"/>
        <v/>
      </c>
      <c r="I94" s="318"/>
      <c r="J94" s="132" t="s">
        <v>59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 x14ac:dyDescent="0.25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59</v>
      </c>
      <c r="G95" s="314"/>
      <c r="H95" s="142" t="str">
        <f t="shared" si="12"/>
        <v/>
      </c>
      <c r="I95" s="318"/>
      <c r="J95" s="132" t="s">
        <v>59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 x14ac:dyDescent="0.25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59</v>
      </c>
      <c r="G96" s="314"/>
      <c r="H96" s="142" t="str">
        <f t="shared" si="12"/>
        <v/>
      </c>
      <c r="I96" s="318"/>
      <c r="J96" s="132" t="s">
        <v>59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 x14ac:dyDescent="0.25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59</v>
      </c>
      <c r="G97" s="314"/>
      <c r="H97" s="142" t="str">
        <f t="shared" si="12"/>
        <v/>
      </c>
      <c r="I97" s="318"/>
      <c r="J97" s="132" t="s">
        <v>59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 x14ac:dyDescent="0.25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59</v>
      </c>
      <c r="G98" s="314"/>
      <c r="H98" s="142" t="str">
        <f t="shared" si="12"/>
        <v/>
      </c>
      <c r="I98" s="318"/>
      <c r="J98" s="132" t="s">
        <v>59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 x14ac:dyDescent="0.25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59</v>
      </c>
      <c r="G99" s="314"/>
      <c r="H99" s="142" t="str">
        <f t="shared" si="12"/>
        <v/>
      </c>
      <c r="I99" s="318"/>
      <c r="J99" s="132" t="s">
        <v>59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 x14ac:dyDescent="0.25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59</v>
      </c>
      <c r="G100" s="314"/>
      <c r="H100" s="142" t="str">
        <f t="shared" si="12"/>
        <v/>
      </c>
      <c r="I100" s="318"/>
      <c r="J100" s="132" t="s">
        <v>59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 x14ac:dyDescent="0.25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59</v>
      </c>
      <c r="G101" s="314"/>
      <c r="H101" s="142" t="str">
        <f t="shared" si="12"/>
        <v/>
      </c>
      <c r="I101" s="318"/>
      <c r="J101" s="132" t="s">
        <v>59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 x14ac:dyDescent="0.25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59</v>
      </c>
      <c r="G102" s="314"/>
      <c r="H102" s="142" t="str">
        <f t="shared" si="12"/>
        <v/>
      </c>
      <c r="I102" s="318"/>
      <c r="J102" s="132" t="s">
        <v>59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 x14ac:dyDescent="0.25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59</v>
      </c>
      <c r="G103" s="314"/>
      <c r="H103" s="142" t="str">
        <f t="shared" si="12"/>
        <v/>
      </c>
      <c r="I103" s="318"/>
      <c r="J103" s="132" t="s">
        <v>59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 x14ac:dyDescent="0.25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59</v>
      </c>
      <c r="G104" s="314"/>
      <c r="H104" s="142" t="str">
        <f t="shared" si="12"/>
        <v/>
      </c>
      <c r="I104" s="318"/>
      <c r="J104" s="132" t="s">
        <v>59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 x14ac:dyDescent="0.25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59</v>
      </c>
      <c r="G105" s="314"/>
      <c r="H105" s="142" t="str">
        <f t="shared" si="12"/>
        <v/>
      </c>
      <c r="I105" s="318"/>
      <c r="J105" s="132" t="s">
        <v>59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 x14ac:dyDescent="0.25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59</v>
      </c>
      <c r="G106" s="314"/>
      <c r="H106" s="142" t="str">
        <f t="shared" si="12"/>
        <v/>
      </c>
      <c r="I106" s="318"/>
      <c r="J106" s="132" t="s">
        <v>59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 x14ac:dyDescent="0.25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59</v>
      </c>
      <c r="G107" s="314"/>
      <c r="H107" s="142" t="str">
        <f t="shared" si="12"/>
        <v/>
      </c>
      <c r="I107" s="318"/>
      <c r="J107" s="132" t="s">
        <v>59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 x14ac:dyDescent="0.25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59</v>
      </c>
      <c r="G108" s="314"/>
      <c r="H108" s="142" t="str">
        <f t="shared" si="12"/>
        <v/>
      </c>
      <c r="I108" s="318"/>
      <c r="J108" s="132" t="s">
        <v>59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 x14ac:dyDescent="0.25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59</v>
      </c>
      <c r="G109" s="314"/>
      <c r="H109" s="142" t="str">
        <f t="shared" si="12"/>
        <v/>
      </c>
      <c r="I109" s="318"/>
      <c r="J109" s="132" t="s">
        <v>59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 x14ac:dyDescent="0.25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59</v>
      </c>
      <c r="G110" s="314"/>
      <c r="H110" s="142" t="str">
        <f t="shared" si="12"/>
        <v/>
      </c>
      <c r="I110" s="318"/>
      <c r="J110" s="132" t="s">
        <v>59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 x14ac:dyDescent="0.25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59</v>
      </c>
      <c r="G111" s="314"/>
      <c r="H111" s="142" t="str">
        <f t="shared" si="12"/>
        <v/>
      </c>
      <c r="I111" s="318"/>
      <c r="J111" s="132" t="s">
        <v>59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 x14ac:dyDescent="0.25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59</v>
      </c>
      <c r="G112" s="314"/>
      <c r="H112" s="142" t="str">
        <f t="shared" si="12"/>
        <v/>
      </c>
      <c r="I112" s="318"/>
      <c r="J112" s="132" t="s">
        <v>59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 x14ac:dyDescent="0.25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59</v>
      </c>
      <c r="G113" s="314"/>
      <c r="H113" s="142" t="str">
        <f t="shared" si="12"/>
        <v/>
      </c>
      <c r="I113" s="318"/>
      <c r="J113" s="132" t="s">
        <v>59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 x14ac:dyDescent="0.25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59</v>
      </c>
      <c r="G114" s="314"/>
      <c r="H114" s="142" t="str">
        <f t="shared" si="12"/>
        <v/>
      </c>
      <c r="I114" s="318"/>
      <c r="J114" s="132" t="s">
        <v>59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 x14ac:dyDescent="0.25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59</v>
      </c>
      <c r="G115" s="314"/>
      <c r="H115" s="142" t="str">
        <f t="shared" si="12"/>
        <v/>
      </c>
      <c r="I115" s="318"/>
      <c r="J115" s="132" t="s">
        <v>59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 x14ac:dyDescent="0.25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59</v>
      </c>
      <c r="G116" s="314"/>
      <c r="H116" s="142" t="str">
        <f t="shared" si="12"/>
        <v/>
      </c>
      <c r="I116" s="318"/>
      <c r="J116" s="132" t="s">
        <v>59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 x14ac:dyDescent="0.25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59</v>
      </c>
      <c r="G117" s="314"/>
      <c r="H117" s="142" t="str">
        <f t="shared" si="12"/>
        <v/>
      </c>
      <c r="I117" s="318"/>
      <c r="J117" s="132" t="s">
        <v>59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 x14ac:dyDescent="0.25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59</v>
      </c>
      <c r="G118" s="314"/>
      <c r="H118" s="142" t="str">
        <f t="shared" si="12"/>
        <v/>
      </c>
      <c r="I118" s="318"/>
      <c r="J118" s="132" t="s">
        <v>59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 x14ac:dyDescent="0.25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59</v>
      </c>
      <c r="G119" s="314"/>
      <c r="H119" s="142" t="str">
        <f t="shared" si="12"/>
        <v/>
      </c>
      <c r="I119" s="318"/>
      <c r="J119" s="132" t="s">
        <v>59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 x14ac:dyDescent="0.25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59</v>
      </c>
      <c r="G120" s="314"/>
      <c r="H120" s="142" t="str">
        <f t="shared" si="12"/>
        <v/>
      </c>
      <c r="I120" s="318"/>
      <c r="J120" s="132" t="s">
        <v>59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 x14ac:dyDescent="0.25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59</v>
      </c>
      <c r="G121" s="314"/>
      <c r="H121" s="142" t="str">
        <f t="shared" si="12"/>
        <v/>
      </c>
      <c r="I121" s="318"/>
      <c r="J121" s="132" t="s">
        <v>59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 x14ac:dyDescent="0.25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59</v>
      </c>
      <c r="G122" s="314"/>
      <c r="H122" s="142" t="str">
        <f t="shared" si="12"/>
        <v/>
      </c>
      <c r="I122" s="318"/>
      <c r="J122" s="132" t="s">
        <v>59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 x14ac:dyDescent="0.25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59</v>
      </c>
      <c r="G123" s="314"/>
      <c r="H123" s="142" t="str">
        <f t="shared" si="12"/>
        <v/>
      </c>
      <c r="I123" s="318"/>
      <c r="J123" s="132" t="s">
        <v>59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 x14ac:dyDescent="0.25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59</v>
      </c>
      <c r="G124" s="314"/>
      <c r="H124" s="142" t="str">
        <f t="shared" si="12"/>
        <v/>
      </c>
      <c r="I124" s="318"/>
      <c r="J124" s="132" t="s">
        <v>59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 x14ac:dyDescent="0.25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59</v>
      </c>
      <c r="G125" s="314"/>
      <c r="H125" s="142" t="str">
        <f t="shared" si="12"/>
        <v/>
      </c>
      <c r="I125" s="318"/>
      <c r="J125" s="132" t="s">
        <v>59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 x14ac:dyDescent="0.25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59</v>
      </c>
      <c r="G126" s="314"/>
      <c r="H126" s="142" t="str">
        <f t="shared" si="12"/>
        <v/>
      </c>
      <c r="I126" s="318"/>
      <c r="J126" s="132" t="s">
        <v>59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 x14ac:dyDescent="0.25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59</v>
      </c>
      <c r="G127" s="314"/>
      <c r="H127" s="142" t="str">
        <f t="shared" si="12"/>
        <v/>
      </c>
      <c r="I127" s="318"/>
      <c r="J127" s="132" t="s">
        <v>59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 x14ac:dyDescent="0.25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59</v>
      </c>
      <c r="G128" s="314"/>
      <c r="H128" s="142" t="str">
        <f t="shared" si="12"/>
        <v/>
      </c>
      <c r="I128" s="318"/>
      <c r="J128" s="132" t="s">
        <v>59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 x14ac:dyDescent="0.25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59</v>
      </c>
      <c r="G129" s="314"/>
      <c r="H129" s="142" t="str">
        <f t="shared" si="12"/>
        <v/>
      </c>
      <c r="I129" s="318"/>
      <c r="J129" s="132" t="s">
        <v>59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 x14ac:dyDescent="0.25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59</v>
      </c>
      <c r="G130" s="314"/>
      <c r="H130" s="142" t="str">
        <f t="shared" si="12"/>
        <v/>
      </c>
      <c r="I130" s="318"/>
      <c r="J130" s="132" t="s">
        <v>59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 x14ac:dyDescent="0.25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59</v>
      </c>
      <c r="G131" s="314"/>
      <c r="H131" s="142" t="str">
        <f t="shared" si="12"/>
        <v/>
      </c>
      <c r="I131" s="318"/>
      <c r="J131" s="132" t="s">
        <v>59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 x14ac:dyDescent="0.25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59</v>
      </c>
      <c r="G132" s="314"/>
      <c r="H132" s="142" t="str">
        <f t="shared" si="12"/>
        <v/>
      </c>
      <c r="I132" s="318"/>
      <c r="J132" s="132" t="s">
        <v>59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 x14ac:dyDescent="0.25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59</v>
      </c>
      <c r="G133" s="314"/>
      <c r="H133" s="142" t="str">
        <f t="shared" si="12"/>
        <v/>
      </c>
      <c r="I133" s="318"/>
      <c r="J133" s="132" t="s">
        <v>59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 x14ac:dyDescent="0.25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59</v>
      </c>
      <c r="G134" s="314"/>
      <c r="H134" s="142" t="str">
        <f t="shared" si="12"/>
        <v/>
      </c>
      <c r="I134" s="318"/>
      <c r="J134" s="132" t="s">
        <v>59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 x14ac:dyDescent="0.25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59</v>
      </c>
      <c r="G135" s="314"/>
      <c r="H135" s="142" t="str">
        <f t="shared" si="12"/>
        <v/>
      </c>
      <c r="I135" s="318"/>
      <c r="J135" s="132" t="s">
        <v>59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 x14ac:dyDescent="0.25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59</v>
      </c>
      <c r="G136" s="314"/>
      <c r="H136" s="142" t="str">
        <f t="shared" si="12"/>
        <v/>
      </c>
      <c r="I136" s="318"/>
      <c r="J136" s="132" t="s">
        <v>59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 x14ac:dyDescent="0.25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59</v>
      </c>
      <c r="G137" s="314"/>
      <c r="H137" s="142" t="str">
        <f t="shared" si="12"/>
        <v/>
      </c>
      <c r="I137" s="318"/>
      <c r="J137" s="132" t="s">
        <v>59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 x14ac:dyDescent="0.25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59</v>
      </c>
      <c r="G138" s="314"/>
      <c r="H138" s="142" t="str">
        <f t="shared" si="12"/>
        <v/>
      </c>
      <c r="I138" s="318"/>
      <c r="J138" s="132" t="s">
        <v>59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 x14ac:dyDescent="0.25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59</v>
      </c>
      <c r="G139" s="314"/>
      <c r="H139" s="142" t="str">
        <f t="shared" si="12"/>
        <v/>
      </c>
      <c r="I139" s="318"/>
      <c r="J139" s="132" t="s">
        <v>59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 x14ac:dyDescent="0.25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59</v>
      </c>
      <c r="G140" s="314"/>
      <c r="H140" s="142" t="str">
        <f t="shared" si="12"/>
        <v/>
      </c>
      <c r="I140" s="318"/>
      <c r="J140" s="132" t="s">
        <v>59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 x14ac:dyDescent="0.25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59</v>
      </c>
      <c r="G141" s="314"/>
      <c r="H141" s="142" t="str">
        <f t="shared" si="12"/>
        <v/>
      </c>
      <c r="I141" s="318"/>
      <c r="J141" s="132" t="s">
        <v>59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 x14ac:dyDescent="0.25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59</v>
      </c>
      <c r="G142" s="314"/>
      <c r="H142" s="142" t="str">
        <f t="shared" si="12"/>
        <v/>
      </c>
      <c r="I142" s="318"/>
      <c r="J142" s="132" t="s">
        <v>59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e">
        <f>IF('Cable Info'!L2="","",CONCATENATE('Cable Info'!L2," - ",'Cable Info'!M2))</f>
        <v>#N/A</v>
      </c>
      <c r="AM142" s="149" t="e">
        <f t="shared" si="18"/>
        <v>#N/A</v>
      </c>
      <c r="AO142" s="149" t="e">
        <f>IF('Cable Info'!N2="","",CONCATENATE('Cable Info'!N2," - ",'Cable Info'!O2))</f>
        <v>#N/A</v>
      </c>
      <c r="AR142" s="149" t="e">
        <f t="shared" si="19"/>
        <v>#N/A</v>
      </c>
      <c r="AT142" s="149" t="str">
        <f>IF('Cable Info'!P2="","",CONCATENATE('Cable Info'!P2," - ",'Cable Info'!Q2))</f>
        <v/>
      </c>
      <c r="AW142" s="149" t="str">
        <f t="shared" si="20"/>
        <v/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 x14ac:dyDescent="0.25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59</v>
      </c>
      <c r="G143" s="314"/>
      <c r="H143" s="142" t="str">
        <f t="shared" si="12"/>
        <v/>
      </c>
      <c r="I143" s="318"/>
      <c r="J143" s="132" t="s">
        <v>59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e">
        <f>IF('Cable Info'!L3="","",CONCATENATE('Cable Info'!L3," - ",'Cable Info'!M3))</f>
        <v>#N/A</v>
      </c>
      <c r="AM143" s="149" t="e">
        <f t="shared" si="18"/>
        <v>#N/A</v>
      </c>
      <c r="AO143" s="149" t="e">
        <f>IF('Cable Info'!N3="","",CONCATENATE('Cable Info'!N3," - ",'Cable Info'!O3))</f>
        <v>#N/A</v>
      </c>
      <c r="AR143" s="149" t="e">
        <f t="shared" si="19"/>
        <v>#N/A</v>
      </c>
      <c r="AT143" s="149" t="str">
        <f>IF('Cable Info'!P3="","",CONCATENATE('Cable Info'!P3," - ",'Cable Info'!Q3))</f>
        <v/>
      </c>
      <c r="AW143" s="149" t="str">
        <f t="shared" si="20"/>
        <v/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 x14ac:dyDescent="0.25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59</v>
      </c>
      <c r="G144" s="314"/>
      <c r="H144" s="142" t="str">
        <f t="shared" si="12"/>
        <v/>
      </c>
      <c r="I144" s="318"/>
      <c r="J144" s="132" t="s">
        <v>59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e">
        <f>IF('Cable Info'!L4="","",CONCATENATE('Cable Info'!L4," - ",'Cable Info'!M4))</f>
        <v>#N/A</v>
      </c>
      <c r="AM144" s="149" t="e">
        <f t="shared" si="18"/>
        <v>#N/A</v>
      </c>
      <c r="AO144" s="149" t="e">
        <f>IF('Cable Info'!N4="","",CONCATENATE('Cable Info'!N4," - ",'Cable Info'!O4))</f>
        <v>#N/A</v>
      </c>
      <c r="AR144" s="149" t="e">
        <f t="shared" si="19"/>
        <v>#N/A</v>
      </c>
      <c r="AT144" s="149" t="str">
        <f>IF('Cable Info'!P4="","",CONCATENATE('Cable Info'!P4," - ",'Cable Info'!Q4))</f>
        <v/>
      </c>
      <c r="AW144" s="149" t="str">
        <f t="shared" si="20"/>
        <v/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 x14ac:dyDescent="0.25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59</v>
      </c>
      <c r="G145" s="314"/>
      <c r="H145" s="142" t="str">
        <f t="shared" si="12"/>
        <v/>
      </c>
      <c r="I145" s="318"/>
      <c r="J145" s="132" t="s">
        <v>59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e">
        <f>IF('Cable Info'!L5="","",CONCATENATE('Cable Info'!L5," - ",'Cable Info'!M5))</f>
        <v>#N/A</v>
      </c>
      <c r="AM145" s="149" t="e">
        <f t="shared" si="18"/>
        <v>#N/A</v>
      </c>
      <c r="AO145" s="149" t="e">
        <f>IF('Cable Info'!N5="","",CONCATENATE('Cable Info'!N5," - ",'Cable Info'!O5))</f>
        <v>#N/A</v>
      </c>
      <c r="AR145" s="149" t="e">
        <f t="shared" si="19"/>
        <v>#N/A</v>
      </c>
      <c r="AT145" s="149" t="str">
        <f>IF('Cable Info'!P5="","",CONCATENATE('Cable Info'!P5," - ",'Cable Info'!Q5))</f>
        <v/>
      </c>
      <c r="AW145" s="149" t="str">
        <f t="shared" si="20"/>
        <v/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 x14ac:dyDescent="0.25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59</v>
      </c>
      <c r="G146" s="314"/>
      <c r="H146" s="142" t="str">
        <f t="shared" si="12"/>
        <v/>
      </c>
      <c r="I146" s="318"/>
      <c r="J146" s="132" t="s">
        <v>59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e">
        <f>IF('Cable Info'!L6="","",CONCATENATE('Cable Info'!L6," - ",'Cable Info'!M6))</f>
        <v>#N/A</v>
      </c>
      <c r="AM146" s="149" t="e">
        <f t="shared" si="18"/>
        <v>#N/A</v>
      </c>
      <c r="AO146" s="149" t="e">
        <f>IF('Cable Info'!N6="","",CONCATENATE('Cable Info'!N6," - ",'Cable Info'!O6))</f>
        <v>#N/A</v>
      </c>
      <c r="AR146" s="149" t="e">
        <f t="shared" si="19"/>
        <v>#N/A</v>
      </c>
      <c r="AT146" s="149" t="str">
        <f>IF('Cable Info'!P6="","",CONCATENATE('Cable Info'!P6," - ",'Cable Info'!Q6))</f>
        <v/>
      </c>
      <c r="AW146" s="149" t="str">
        <f t="shared" si="20"/>
        <v/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 x14ac:dyDescent="0.25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59</v>
      </c>
      <c r="G147" s="314"/>
      <c r="H147" s="142" t="str">
        <f t="shared" si="12"/>
        <v/>
      </c>
      <c r="I147" s="318"/>
      <c r="J147" s="132" t="s">
        <v>59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e">
        <f>IF('Cable Info'!L7="","",CONCATENATE('Cable Info'!L7," - ",'Cable Info'!M7))</f>
        <v>#N/A</v>
      </c>
      <c r="AM147" s="149" t="e">
        <f t="shared" si="18"/>
        <v>#N/A</v>
      </c>
      <c r="AO147" s="149" t="e">
        <f>IF('Cable Info'!N7="","",CONCATENATE('Cable Info'!N7," - ",'Cable Info'!O7))</f>
        <v>#N/A</v>
      </c>
      <c r="AR147" s="149" t="e">
        <f t="shared" si="19"/>
        <v>#N/A</v>
      </c>
      <c r="AT147" s="149" t="str">
        <f>IF('Cable Info'!P7="","",CONCATENATE('Cable Info'!P7," - ",'Cable Info'!Q7))</f>
        <v/>
      </c>
      <c r="AW147" s="149" t="str">
        <f t="shared" si="20"/>
        <v/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 x14ac:dyDescent="0.25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59</v>
      </c>
      <c r="G148" s="314"/>
      <c r="H148" s="142" t="str">
        <f t="shared" ref="H148:H153" si="24">IF(G148="","",((E148-G148)-1)*(-1))</f>
        <v/>
      </c>
      <c r="I148" s="318"/>
      <c r="J148" s="132" t="s">
        <v>59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e">
        <f>IF('Cable Info'!L8="","",CONCATENATE('Cable Info'!L8," - ",'Cable Info'!M8))</f>
        <v>#N/A</v>
      </c>
      <c r="AM148" s="149" t="e">
        <f t="shared" ref="AM148:AM153" si="30">IF(AK148="",AJ148,CONCATENATE(AJ148,"  &lt;=&gt; ",AK148," ",AL148))</f>
        <v>#N/A</v>
      </c>
      <c r="AO148" s="149" t="e">
        <f>IF('Cable Info'!N8="","",CONCATENATE('Cable Info'!N8," - ",'Cable Info'!O8))</f>
        <v>#N/A</v>
      </c>
      <c r="AR148" s="149" t="e">
        <f t="shared" ref="AR148:AR153" si="31">IF(AP148="",AO148,CONCATENATE(AO148,"  &lt;=&gt; ",AP148," ",AQ148))</f>
        <v>#N/A</v>
      </c>
      <c r="AT148" s="149" t="str">
        <f>IF('Cable Info'!P8="","",CONCATENATE('Cable Info'!P8," - ",'Cable Info'!Q8))</f>
        <v/>
      </c>
      <c r="AW148" s="149" t="str">
        <f t="shared" ref="AW148:AW153" si="32">IF(AU148="",AT148,CONCATENATE(AT148,"  &lt;=&gt; ",AU148," ",AV148))</f>
        <v/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 x14ac:dyDescent="0.25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59</v>
      </c>
      <c r="G149" s="314"/>
      <c r="H149" s="142" t="str">
        <f t="shared" si="24"/>
        <v/>
      </c>
      <c r="I149" s="318"/>
      <c r="J149" s="132" t="s">
        <v>59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e">
        <f>IF('Cable Info'!L9="","",CONCATENATE('Cable Info'!L9," - ",'Cable Info'!M9))</f>
        <v>#N/A</v>
      </c>
      <c r="AM149" s="149" t="e">
        <f t="shared" si="30"/>
        <v>#N/A</v>
      </c>
      <c r="AO149" s="149" t="e">
        <f>IF('Cable Info'!N9="","",CONCATENATE('Cable Info'!N9," - ",'Cable Info'!O9))</f>
        <v>#N/A</v>
      </c>
      <c r="AR149" s="149" t="e">
        <f t="shared" si="31"/>
        <v>#N/A</v>
      </c>
      <c r="AT149" s="149" t="str">
        <f>IF('Cable Info'!P9="","",CONCATENATE('Cable Info'!P9," - ",'Cable Info'!Q9))</f>
        <v/>
      </c>
      <c r="AW149" s="149" t="str">
        <f t="shared" si="32"/>
        <v/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 x14ac:dyDescent="0.25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59</v>
      </c>
      <c r="G150" s="314"/>
      <c r="H150" s="142" t="str">
        <f t="shared" si="24"/>
        <v/>
      </c>
      <c r="I150" s="318"/>
      <c r="J150" s="132" t="s">
        <v>59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e">
        <f>IF('Cable Info'!L10="","",CONCATENATE('Cable Info'!L10," - ",'Cable Info'!M10))</f>
        <v>#N/A</v>
      </c>
      <c r="AM150" s="149" t="e">
        <f t="shared" si="30"/>
        <v>#N/A</v>
      </c>
      <c r="AO150" s="149" t="e">
        <f>IF('Cable Info'!N10="","",CONCATENATE('Cable Info'!N10," - ",'Cable Info'!O10))</f>
        <v>#N/A</v>
      </c>
      <c r="AR150" s="149" t="e">
        <f t="shared" si="31"/>
        <v>#N/A</v>
      </c>
      <c r="AT150" s="149" t="str">
        <f>IF('Cable Info'!P10="","",CONCATENATE('Cable Info'!P10," - ",'Cable Info'!Q10))</f>
        <v/>
      </c>
      <c r="AW150" s="149" t="str">
        <f t="shared" si="32"/>
        <v/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 x14ac:dyDescent="0.25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59</v>
      </c>
      <c r="G151" s="314"/>
      <c r="H151" s="142" t="str">
        <f t="shared" si="24"/>
        <v/>
      </c>
      <c r="I151" s="318"/>
      <c r="J151" s="132" t="s">
        <v>59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e">
        <f>IF('Cable Info'!L11="","",CONCATENATE('Cable Info'!L11," - ",'Cable Info'!M11))</f>
        <v>#N/A</v>
      </c>
      <c r="AM151" s="149" t="e">
        <f t="shared" si="30"/>
        <v>#N/A</v>
      </c>
      <c r="AO151" s="149" t="e">
        <f>IF('Cable Info'!N11="","",CONCATENATE('Cable Info'!N11," - ",'Cable Info'!O11))</f>
        <v>#N/A</v>
      </c>
      <c r="AR151" s="149" t="e">
        <f t="shared" si="31"/>
        <v>#N/A</v>
      </c>
      <c r="AT151" s="149" t="str">
        <f>IF('Cable Info'!P11="","",CONCATENATE('Cable Info'!P11," - ",'Cable Info'!Q11))</f>
        <v/>
      </c>
      <c r="AW151" s="149" t="str">
        <f t="shared" si="32"/>
        <v/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 x14ac:dyDescent="0.25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59</v>
      </c>
      <c r="G152" s="314"/>
      <c r="H152" s="142" t="str">
        <f t="shared" si="24"/>
        <v/>
      </c>
      <c r="I152" s="318"/>
      <c r="J152" s="132" t="s">
        <v>59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e">
        <f>IF('Cable Info'!L12="","",CONCATENATE('Cable Info'!L12," - ",'Cable Info'!M12))</f>
        <v>#N/A</v>
      </c>
      <c r="AM152" s="149" t="e">
        <f t="shared" si="30"/>
        <v>#N/A</v>
      </c>
      <c r="AO152" s="149" t="e">
        <f>IF('Cable Info'!N12="","",CONCATENATE('Cable Info'!N12," - ",'Cable Info'!O12))</f>
        <v>#N/A</v>
      </c>
      <c r="AR152" s="149" t="e">
        <f t="shared" si="31"/>
        <v>#N/A</v>
      </c>
      <c r="AT152" s="149" t="str">
        <f>IF('Cable Info'!P12="","",CONCATENATE('Cable Info'!P12," - ",'Cable Info'!Q12))</f>
        <v/>
      </c>
      <c r="AW152" s="149" t="str">
        <f t="shared" si="32"/>
        <v/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 x14ac:dyDescent="0.25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59</v>
      </c>
      <c r="G153" s="314"/>
      <c r="H153" s="142" t="str">
        <f t="shared" si="24"/>
        <v/>
      </c>
      <c r="I153" s="318"/>
      <c r="J153" s="132" t="s">
        <v>59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e">
        <f>IF('Cable Info'!L13="","",CONCATENATE('Cable Info'!L13," - ",'Cable Info'!M13))</f>
        <v>#N/A</v>
      </c>
      <c r="AM153" s="149" t="e">
        <f t="shared" si="30"/>
        <v>#N/A</v>
      </c>
      <c r="AO153" s="149" t="e">
        <f>IF('Cable Info'!N13="","",CONCATENATE('Cable Info'!N13," - ",'Cable Info'!O13))</f>
        <v>#N/A</v>
      </c>
      <c r="AR153" s="149" t="e">
        <f t="shared" si="31"/>
        <v>#N/A</v>
      </c>
      <c r="AT153" s="149" t="str">
        <f>IF('Cable Info'!P13="","",CONCATENATE('Cable Info'!P13," - ",'Cable Info'!Q13))</f>
        <v/>
      </c>
      <c r="AW153" s="149" t="str">
        <f t="shared" si="32"/>
        <v/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 x14ac:dyDescent="0.25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59</v>
      </c>
      <c r="G154" s="314"/>
      <c r="H154" s="142" t="str">
        <f t="shared" si="11"/>
        <v/>
      </c>
      <c r="I154" s="318"/>
      <c r="J154" s="132" t="s">
        <v>59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e">
        <f>IF('Cable Info'!L14="","",CONCATENATE('Cable Info'!L14," - ",'Cable Info'!M14))</f>
        <v>#N/A</v>
      </c>
      <c r="AM154" s="149" t="e">
        <f t="shared" si="0"/>
        <v>#N/A</v>
      </c>
      <c r="AO154" s="149" t="e">
        <f>IF('Cable Info'!N14="","",CONCATENATE('Cable Info'!N14," - ",'Cable Info'!O14))</f>
        <v>#N/A</v>
      </c>
      <c r="AR154" s="149" t="e">
        <f t="shared" si="1"/>
        <v>#N/A</v>
      </c>
      <c r="AT154" s="149" t="str">
        <f>IF('Cable Info'!P14="","",CONCATENATE('Cable Info'!P14," - ",'Cable Info'!Q14))</f>
        <v/>
      </c>
      <c r="AW154" s="149" t="str">
        <f t="shared" si="2"/>
        <v/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 x14ac:dyDescent="0.25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59</v>
      </c>
      <c r="G155" s="315"/>
      <c r="H155" s="142" t="str">
        <f t="shared" si="11"/>
        <v/>
      </c>
      <c r="I155" s="317"/>
      <c r="J155" s="132" t="s">
        <v>59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e">
        <f>IF('Cable Info'!L15="","",CONCATENATE('Cable Info'!L15," - ",'Cable Info'!M15))</f>
        <v>#N/A</v>
      </c>
      <c r="AM155" s="149" t="e">
        <f t="shared" si="0"/>
        <v>#N/A</v>
      </c>
      <c r="AO155" s="149" t="e">
        <f>IF('Cable Info'!N15="","",CONCATENATE('Cable Info'!N15," - ",'Cable Info'!O15))</f>
        <v>#N/A</v>
      </c>
      <c r="AR155" s="149" t="e">
        <f t="shared" si="1"/>
        <v>#N/A</v>
      </c>
      <c r="AT155" s="149" t="str">
        <f>IF('Cable Info'!P15="","",CONCATENATE('Cable Info'!P15," - ",'Cable Info'!Q15))</f>
        <v/>
      </c>
      <c r="AW155" s="149" t="str">
        <f t="shared" si="2"/>
        <v/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52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 x14ac:dyDescent="0.25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59</v>
      </c>
      <c r="G156" s="314"/>
      <c r="H156" s="142" t="str">
        <f t="shared" si="11"/>
        <v/>
      </c>
      <c r="I156" s="318"/>
      <c r="J156" s="132" t="s">
        <v>59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e">
        <f>IF('Cable Info'!L16="","",CONCATENATE('Cable Info'!L16," - ",'Cable Info'!M16))</f>
        <v>#N/A</v>
      </c>
      <c r="AM156" s="149" t="e">
        <f t="shared" si="0"/>
        <v>#N/A</v>
      </c>
      <c r="AO156" s="149" t="e">
        <f>IF('Cable Info'!N16="","",CONCATENATE('Cable Info'!N16," - ",'Cable Info'!O16))</f>
        <v>#N/A</v>
      </c>
      <c r="AR156" s="149" t="e">
        <f t="shared" si="1"/>
        <v>#N/A</v>
      </c>
      <c r="AT156" s="149" t="str">
        <f>IF('Cable Info'!P16="","",CONCATENATE('Cable Info'!P16," - ",'Cable Info'!Q16))</f>
        <v/>
      </c>
      <c r="AW156" s="149" t="str">
        <f t="shared" si="2"/>
        <v/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53</v>
      </c>
      <c r="BL156" s="149" t="str">
        <f t="shared" si="5"/>
        <v xml:space="preserve">  &lt;=&gt; F </v>
      </c>
      <c r="CL156" s="309"/>
    </row>
    <row r="157" spans="1:90" x14ac:dyDescent="0.25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59</v>
      </c>
      <c r="G157" s="315"/>
      <c r="H157" s="142" t="str">
        <f t="shared" si="11"/>
        <v/>
      </c>
      <c r="I157" s="317"/>
      <c r="J157" s="132" t="s">
        <v>59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12</v>
      </c>
      <c r="AJ157" s="149" t="e">
        <f>IF('Cable Info'!L17="","",CONCATENATE('Cable Info'!L17," - ",'Cable Info'!M17))</f>
        <v>#N/A</v>
      </c>
      <c r="AM157" s="149" t="e">
        <f t="shared" si="0"/>
        <v>#N/A</v>
      </c>
      <c r="AO157" s="149" t="e">
        <f>IF('Cable Info'!N17="","",CONCATENATE('Cable Info'!N17," - ",'Cable Info'!O17))</f>
        <v>#N/A</v>
      </c>
      <c r="AR157" s="149" t="e">
        <f t="shared" si="1"/>
        <v>#N/A</v>
      </c>
      <c r="AT157" s="149" t="str">
        <f>IF('Cable Info'!P17="","",CONCATENATE('Cable Info'!P17," - ",'Cable Info'!Q17))</f>
        <v/>
      </c>
      <c r="AW157" s="149" t="str">
        <f t="shared" si="2"/>
        <v/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 x14ac:dyDescent="0.25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59</v>
      </c>
      <c r="G158" s="314"/>
      <c r="H158" s="142" t="str">
        <f t="shared" si="11"/>
        <v/>
      </c>
      <c r="I158" s="318"/>
      <c r="J158" s="132" t="s">
        <v>59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e">
        <f>IF('Cable Info'!L18="","",CONCATENATE('Cable Info'!L18," - ",'Cable Info'!M18))</f>
        <v>#N/A</v>
      </c>
      <c r="AM158" s="149" t="e">
        <f t="shared" si="0"/>
        <v>#N/A</v>
      </c>
      <c r="AO158" s="149" t="e">
        <f>IF('Cable Info'!N18="","",CONCATENATE('Cable Info'!N18," - ",'Cable Info'!O18))</f>
        <v>#N/A</v>
      </c>
      <c r="AP158" s="149" t="s">
        <v>67</v>
      </c>
      <c r="AR158" s="149" t="e">
        <f t="shared" si="1"/>
        <v>#N/A</v>
      </c>
      <c r="AT158" s="149" t="str">
        <f>IF('Cable Info'!P18="","",CONCATENATE('Cable Info'!P18," - ",'Cable Info'!Q18))</f>
        <v/>
      </c>
      <c r="AW158" s="149" t="str">
        <f t="shared" si="2"/>
        <v/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 x14ac:dyDescent="0.25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59</v>
      </c>
      <c r="G159" s="315"/>
      <c r="H159" s="142" t="str">
        <f>IF(G159="","",((E159-G159)-1)*(-1))</f>
        <v/>
      </c>
      <c r="I159" s="317"/>
      <c r="J159" s="132" t="s">
        <v>59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e">
        <f>IF('Cable Info'!L19="","",CONCATENATE('Cable Info'!L19," - ",'Cable Info'!M19))</f>
        <v>#N/A</v>
      </c>
      <c r="AM159" s="149" t="e">
        <f t="shared" si="0"/>
        <v>#N/A</v>
      </c>
      <c r="AO159" s="149" t="e">
        <f>IF('Cable Info'!N19="","",CONCATENATE('Cable Info'!N19," - ",'Cable Info'!O19))</f>
        <v>#N/A</v>
      </c>
      <c r="AR159" s="149" t="e">
        <f t="shared" si="1"/>
        <v>#N/A</v>
      </c>
      <c r="AT159" s="149" t="str">
        <f>IF('Cable Info'!P19="","",CONCATENATE('Cable Info'!P19," - ",'Cable Info'!Q19))</f>
        <v/>
      </c>
      <c r="AW159" s="149" t="str">
        <f t="shared" si="2"/>
        <v/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 x14ac:dyDescent="0.25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59</v>
      </c>
      <c r="G160" s="314"/>
      <c r="H160" s="142" t="str">
        <f t="shared" si="11"/>
        <v/>
      </c>
      <c r="I160" s="318"/>
      <c r="J160" s="132" t="s">
        <v>59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e">
        <f>IF('Cable Info'!L20="","",CONCATENATE('Cable Info'!L20," - ",'Cable Info'!M20))</f>
        <v>#N/A</v>
      </c>
      <c r="AM160" s="149" t="e">
        <f t="shared" si="0"/>
        <v>#N/A</v>
      </c>
      <c r="AO160" s="149" t="e">
        <f>IF('Cable Info'!N20="","",CONCATENATE('Cable Info'!N20," - ",'Cable Info'!O20))</f>
        <v>#N/A</v>
      </c>
      <c r="AR160" s="149" t="e">
        <f t="shared" si="1"/>
        <v>#N/A</v>
      </c>
      <c r="AT160" s="149" t="str">
        <f>IF('Cable Info'!P20="","",CONCATENATE('Cable Info'!P20," - ",'Cable Info'!Q20))</f>
        <v/>
      </c>
      <c r="AW160" s="149" t="str">
        <f t="shared" si="2"/>
        <v/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 x14ac:dyDescent="0.25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59</v>
      </c>
      <c r="G161" s="315"/>
      <c r="H161" s="142" t="str">
        <f t="shared" si="11"/>
        <v/>
      </c>
      <c r="I161" s="317"/>
      <c r="J161" s="132" t="s">
        <v>59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e">
        <f>IF('Cable Info'!L21="","",CONCATENATE('Cable Info'!L21," - ",'Cable Info'!M21))</f>
        <v>#N/A</v>
      </c>
      <c r="AM161" s="149" t="e">
        <f t="shared" si="0"/>
        <v>#N/A</v>
      </c>
      <c r="AO161" s="149" t="e">
        <f>IF('Cable Info'!N21="","",CONCATENATE('Cable Info'!N21," - ",'Cable Info'!O21))</f>
        <v>#N/A</v>
      </c>
      <c r="AR161" s="149" t="e">
        <f t="shared" si="1"/>
        <v>#N/A</v>
      </c>
      <c r="AT161" s="149" t="str">
        <f>IF('Cable Info'!P21="","",CONCATENATE('Cable Info'!P21," - ",'Cable Info'!Q21))</f>
        <v/>
      </c>
      <c r="AW161" s="149" t="str">
        <f t="shared" si="2"/>
        <v/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 x14ac:dyDescent="0.25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59</v>
      </c>
      <c r="G162" s="315"/>
      <c r="H162" s="142" t="str">
        <f t="shared" si="11"/>
        <v/>
      </c>
      <c r="I162" s="317"/>
      <c r="J162" s="132" t="s">
        <v>59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e">
        <f>IF('Cable Info'!L22="","",CONCATENATE('Cable Info'!L22," - ",'Cable Info'!M22))</f>
        <v>#N/A</v>
      </c>
      <c r="AM162" s="149" t="e">
        <f t="shared" si="0"/>
        <v>#N/A</v>
      </c>
      <c r="AO162" s="149" t="e">
        <f>IF('Cable Info'!N22="","",CONCATENATE('Cable Info'!N22," - ",'Cable Info'!O22))</f>
        <v>#N/A</v>
      </c>
      <c r="AR162" s="149" t="e">
        <f t="shared" si="1"/>
        <v>#N/A</v>
      </c>
      <c r="AT162" s="149" t="str">
        <f>IF('Cable Info'!P22="","",CONCATENATE('Cable Info'!P22," - ",'Cable Info'!Q22))</f>
        <v/>
      </c>
      <c r="AW162" s="149" t="str">
        <f t="shared" si="2"/>
        <v/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 x14ac:dyDescent="0.25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59</v>
      </c>
      <c r="G163" s="315"/>
      <c r="H163" s="142" t="str">
        <f t="shared" si="11"/>
        <v/>
      </c>
      <c r="I163" s="317"/>
      <c r="J163" s="132" t="s">
        <v>59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e">
        <f>IF('Cable Info'!L23="","",CONCATENATE('Cable Info'!L23," - ",'Cable Info'!M23))</f>
        <v>#N/A</v>
      </c>
      <c r="AM163" s="149" t="e">
        <f t="shared" si="0"/>
        <v>#N/A</v>
      </c>
      <c r="AO163" s="149" t="e">
        <f>IF('Cable Info'!N23="","",CONCATENATE('Cable Info'!N23," - ",'Cable Info'!O23))</f>
        <v>#N/A</v>
      </c>
      <c r="AR163" s="149" t="e">
        <f t="shared" si="1"/>
        <v>#N/A</v>
      </c>
      <c r="AT163" s="149" t="str">
        <f>IF('Cable Info'!P23="","",CONCATENATE('Cable Info'!P23," - ",'Cable Info'!Q23))</f>
        <v/>
      </c>
      <c r="AW163" s="149" t="str">
        <f t="shared" si="2"/>
        <v/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 x14ac:dyDescent="0.25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59</v>
      </c>
      <c r="G164" s="315"/>
      <c r="H164" s="142" t="str">
        <f t="shared" si="11"/>
        <v/>
      </c>
      <c r="I164" s="317"/>
      <c r="J164" s="132" t="s">
        <v>59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e">
        <f>IF('Cable Info'!L24="","",CONCATENATE('Cable Info'!L24," - ",'Cable Info'!M24))</f>
        <v>#N/A</v>
      </c>
      <c r="AM164" s="149" t="e">
        <f t="shared" si="0"/>
        <v>#N/A</v>
      </c>
      <c r="AO164" s="149" t="e">
        <f>IF('Cable Info'!N24="","",CONCATENATE('Cable Info'!N24," - ",'Cable Info'!O24))</f>
        <v>#N/A</v>
      </c>
      <c r="AR164" s="149" t="e">
        <f t="shared" si="1"/>
        <v>#N/A</v>
      </c>
      <c r="AT164" s="149" t="str">
        <f>IF('Cable Info'!P24="","",CONCATENATE('Cable Info'!P24," - ",'Cable Info'!Q24))</f>
        <v/>
      </c>
      <c r="AW164" s="149" t="str">
        <f t="shared" si="2"/>
        <v/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 x14ac:dyDescent="0.25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59</v>
      </c>
      <c r="G165" s="315"/>
      <c r="H165" s="142" t="str">
        <f t="shared" si="11"/>
        <v/>
      </c>
      <c r="I165" s="317"/>
      <c r="J165" s="132" t="s">
        <v>59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e">
        <f>IF('Cable Info'!L25="","",CONCATENATE('Cable Info'!L25," - ",'Cable Info'!M25))</f>
        <v>#N/A</v>
      </c>
      <c r="AM165" s="149" t="e">
        <f t="shared" si="0"/>
        <v>#N/A</v>
      </c>
      <c r="AO165" s="149" t="e">
        <f>IF('Cable Info'!N25="","",CONCATENATE('Cable Info'!N25," - ",'Cable Info'!O25))</f>
        <v>#N/A</v>
      </c>
      <c r="AR165" s="149" t="e">
        <f t="shared" si="1"/>
        <v>#N/A</v>
      </c>
      <c r="AT165" s="149" t="str">
        <f>IF('Cable Info'!P25="","",CONCATENATE('Cable Info'!P25," - ",'Cable Info'!Q25))</f>
        <v/>
      </c>
      <c r="AW165" s="149" t="str">
        <f t="shared" si="2"/>
        <v/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 x14ac:dyDescent="0.25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59</v>
      </c>
      <c r="G166" s="315"/>
      <c r="H166" s="142" t="str">
        <f t="shared" si="11"/>
        <v/>
      </c>
      <c r="I166" s="317"/>
      <c r="J166" s="132" t="s">
        <v>59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str">
        <f>IF('Cable Info'!L26="","",CONCATENATE('Cable Info'!L26," - ",'Cable Info'!M26))</f>
        <v/>
      </c>
      <c r="AM166" s="149" t="str">
        <f t="shared" si="0"/>
        <v/>
      </c>
      <c r="AO166" s="149" t="str">
        <f>IF('Cable Info'!N26="","",CONCATENATE('Cable Info'!N26," - ",'Cable Info'!O26))</f>
        <v/>
      </c>
      <c r="AR166" s="149" t="str">
        <f t="shared" si="1"/>
        <v/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 x14ac:dyDescent="0.25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59</v>
      </c>
      <c r="G167" s="315"/>
      <c r="H167" s="142" t="str">
        <f t="shared" si="11"/>
        <v/>
      </c>
      <c r="I167" s="317"/>
      <c r="J167" s="132" t="s">
        <v>59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str">
        <f>IF('Cable Info'!L27="","",CONCATENATE('Cable Info'!L27," - ",'Cable Info'!M27))</f>
        <v/>
      </c>
      <c r="AM167" s="149" t="str">
        <f t="shared" si="0"/>
        <v/>
      </c>
      <c r="AO167" s="149" t="str">
        <f>IF('Cable Info'!N27="","",CONCATENATE('Cable Info'!N27," - ",'Cable Info'!O27))</f>
        <v/>
      </c>
      <c r="AR167" s="149" t="str">
        <f t="shared" si="1"/>
        <v/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 x14ac:dyDescent="0.25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59</v>
      </c>
      <c r="G168" s="315"/>
      <c r="H168" s="142" t="str">
        <f t="shared" si="11"/>
        <v/>
      </c>
      <c r="I168" s="317"/>
      <c r="J168" s="132" t="s">
        <v>59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str">
        <f>IF('Cable Info'!L28="","",CONCATENATE('Cable Info'!L28," - ",'Cable Info'!M28))</f>
        <v/>
      </c>
      <c r="AM168" s="149" t="str">
        <f t="shared" si="0"/>
        <v/>
      </c>
      <c r="AO168" s="149" t="str">
        <f>IF('Cable Info'!N28="","",CONCATENATE('Cable Info'!N28," - ",'Cable Info'!O28))</f>
        <v/>
      </c>
      <c r="AR168" s="149" t="str">
        <f t="shared" si="1"/>
        <v/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 x14ac:dyDescent="0.25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59</v>
      </c>
      <c r="G169" s="315"/>
      <c r="H169" s="142" t="str">
        <f t="shared" si="11"/>
        <v/>
      </c>
      <c r="I169" s="317"/>
      <c r="J169" s="132" t="s">
        <v>59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str">
        <f>IF('Cable Info'!L29="","",CONCATENATE('Cable Info'!L29," - ",'Cable Info'!M29))</f>
        <v/>
      </c>
      <c r="AM169" s="149" t="str">
        <f t="shared" si="0"/>
        <v/>
      </c>
      <c r="AO169" s="149" t="str">
        <f>IF('Cable Info'!N29="","",CONCATENATE('Cable Info'!N29," - ",'Cable Info'!O29))</f>
        <v/>
      </c>
      <c r="AR169" s="149" t="str">
        <f t="shared" si="1"/>
        <v/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 x14ac:dyDescent="0.25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59</v>
      </c>
      <c r="G170" s="315"/>
      <c r="H170" s="142" t="str">
        <f t="shared" si="11"/>
        <v/>
      </c>
      <c r="I170" s="317"/>
      <c r="J170" s="132" t="s">
        <v>59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str">
        <f>IF('Cable Info'!L30="","",CONCATENATE('Cable Info'!L30," - ",'Cable Info'!M30))</f>
        <v/>
      </c>
      <c r="AM170" s="149" t="str">
        <f t="shared" si="0"/>
        <v/>
      </c>
      <c r="AO170" s="149" t="str">
        <f>IF('Cable Info'!N30="","",CONCATENATE('Cable Info'!N30," - ",'Cable Info'!O30))</f>
        <v/>
      </c>
      <c r="AR170" s="149" t="str">
        <f t="shared" si="1"/>
        <v/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 x14ac:dyDescent="0.25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59</v>
      </c>
      <c r="G171" s="315"/>
      <c r="H171" s="142" t="str">
        <f t="shared" si="11"/>
        <v/>
      </c>
      <c r="I171" s="317"/>
      <c r="J171" s="132" t="s">
        <v>59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str">
        <f>IF('Cable Info'!L31="","",CONCATENATE('Cable Info'!L31," - ",'Cable Info'!M31))</f>
        <v/>
      </c>
      <c r="AM171" s="149" t="str">
        <f t="shared" si="0"/>
        <v/>
      </c>
      <c r="AO171" s="149" t="str">
        <f>IF('Cable Info'!N31="","",CONCATENATE('Cable Info'!N31," - ",'Cable Info'!O31))</f>
        <v/>
      </c>
      <c r="AR171" s="149" t="str">
        <f t="shared" si="1"/>
        <v/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 x14ac:dyDescent="0.25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59</v>
      </c>
      <c r="G172" s="315"/>
      <c r="H172" s="142" t="str">
        <f t="shared" si="11"/>
        <v/>
      </c>
      <c r="I172" s="317"/>
      <c r="J172" s="132" t="s">
        <v>59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str">
        <f>IF('Cable Info'!L32="","",CONCATENATE('Cable Info'!L32," - ",'Cable Info'!M32))</f>
        <v/>
      </c>
      <c r="AM172" s="149" t="str">
        <f t="shared" si="0"/>
        <v/>
      </c>
      <c r="AO172" s="149" t="str">
        <f>IF('Cable Info'!N32="","",CONCATENATE('Cable Info'!N32," - ",'Cable Info'!O32))</f>
        <v/>
      </c>
      <c r="AR172" s="149" t="str">
        <f t="shared" si="1"/>
        <v/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 x14ac:dyDescent="0.25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59</v>
      </c>
      <c r="G173" s="315"/>
      <c r="H173" s="142" t="str">
        <f t="shared" si="11"/>
        <v/>
      </c>
      <c r="I173" s="317"/>
      <c r="J173" s="132" t="s">
        <v>59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str">
        <f>IF('Cable Info'!L33="","",CONCATENATE('Cable Info'!L33," - ",'Cable Info'!M33))</f>
        <v/>
      </c>
      <c r="AM173" s="149" t="str">
        <f t="shared" si="0"/>
        <v/>
      </c>
      <c r="AO173" s="149" t="str">
        <f>IF('Cable Info'!N33="","",CONCATENATE('Cable Info'!N33," - ",'Cable Info'!O33))</f>
        <v/>
      </c>
      <c r="AR173" s="149" t="str">
        <f t="shared" si="1"/>
        <v/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 x14ac:dyDescent="0.25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59</v>
      </c>
      <c r="G174" s="315"/>
      <c r="H174" s="142" t="str">
        <f t="shared" si="11"/>
        <v/>
      </c>
      <c r="I174" s="317"/>
      <c r="J174" s="132" t="s">
        <v>59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str">
        <f>IF('Cable Info'!L34="","",CONCATENATE('Cable Info'!L34," - ",'Cable Info'!M34))</f>
        <v/>
      </c>
      <c r="AM174" s="149" t="str">
        <f t="shared" si="0"/>
        <v/>
      </c>
      <c r="AO174" s="149" t="str">
        <f>IF('Cable Info'!N34="","",CONCATENATE('Cable Info'!N34," - ",'Cable Info'!O34))</f>
        <v/>
      </c>
      <c r="AR174" s="149" t="str">
        <f t="shared" si="1"/>
        <v/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 x14ac:dyDescent="0.25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59</v>
      </c>
      <c r="G175" s="315"/>
      <c r="H175" s="142" t="str">
        <f t="shared" si="11"/>
        <v/>
      </c>
      <c r="I175" s="317"/>
      <c r="J175" s="132" t="s">
        <v>59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str">
        <f>IF('Cable Info'!L35="","",CONCATENATE('Cable Info'!L35," - ",'Cable Info'!M35))</f>
        <v/>
      </c>
      <c r="AM175" s="149" t="str">
        <f t="shared" si="0"/>
        <v/>
      </c>
      <c r="AO175" s="149" t="str">
        <f>IF('Cable Info'!N35="","",CONCATENATE('Cable Info'!N35," - ",'Cable Info'!O35))</f>
        <v/>
      </c>
      <c r="AR175" s="149" t="str">
        <f t="shared" si="1"/>
        <v/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 x14ac:dyDescent="0.25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59</v>
      </c>
      <c r="G176" s="315"/>
      <c r="H176" s="142" t="str">
        <f t="shared" si="11"/>
        <v/>
      </c>
      <c r="I176" s="317"/>
      <c r="J176" s="132" t="s">
        <v>59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str">
        <f>IF('Cable Info'!L36="","",CONCATENATE('Cable Info'!L36," - ",'Cable Info'!M36))</f>
        <v/>
      </c>
      <c r="AM176" s="149" t="str">
        <f t="shared" si="0"/>
        <v/>
      </c>
      <c r="AO176" s="149" t="str">
        <f>IF('Cable Info'!N36="","",CONCATENATE('Cable Info'!N36," - ",'Cable Info'!O36))</f>
        <v/>
      </c>
      <c r="AR176" s="149" t="str">
        <f t="shared" si="1"/>
        <v/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 x14ac:dyDescent="0.25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59</v>
      </c>
      <c r="G177" s="315"/>
      <c r="H177" s="142" t="str">
        <f t="shared" si="11"/>
        <v/>
      </c>
      <c r="I177" s="317"/>
      <c r="J177" s="132" t="s">
        <v>59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str">
        <f>IF('Cable Info'!L37="","",CONCATENATE('Cable Info'!L37," - ",'Cable Info'!M37))</f>
        <v/>
      </c>
      <c r="AM177" s="149" t="str">
        <f t="shared" si="0"/>
        <v/>
      </c>
      <c r="AO177" s="149" t="str">
        <f>IF('Cable Info'!N37="","",CONCATENATE('Cable Info'!N37," - ",'Cable Info'!O37))</f>
        <v/>
      </c>
      <c r="AR177" s="149" t="str">
        <f t="shared" si="1"/>
        <v/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 x14ac:dyDescent="0.25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59</v>
      </c>
      <c r="G178" s="315"/>
      <c r="H178" s="142" t="str">
        <f t="shared" si="11"/>
        <v/>
      </c>
      <c r="I178" s="317"/>
      <c r="J178" s="132" t="s">
        <v>59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str">
        <f>IF('Cable Info'!L38="","",CONCATENATE('Cable Info'!L38," - ",'Cable Info'!M38))</f>
        <v/>
      </c>
      <c r="AM178" s="149" t="str">
        <f t="shared" si="0"/>
        <v/>
      </c>
      <c r="AO178" s="149" t="str">
        <f>IF('Cable Info'!N38="","",CONCATENATE('Cable Info'!N38," - ",'Cable Info'!O38))</f>
        <v/>
      </c>
      <c r="AR178" s="149" t="str">
        <f t="shared" si="1"/>
        <v/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 x14ac:dyDescent="0.25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59</v>
      </c>
      <c r="G179" s="315"/>
      <c r="H179" s="142" t="str">
        <f t="shared" si="11"/>
        <v/>
      </c>
      <c r="I179" s="317"/>
      <c r="J179" s="132" t="s">
        <v>59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str">
        <f>IF('Cable Info'!L39="","",CONCATENATE('Cable Info'!L39," - ",'Cable Info'!M39))</f>
        <v/>
      </c>
      <c r="AM179" s="149" t="str">
        <f t="shared" si="0"/>
        <v/>
      </c>
      <c r="AO179" s="149" t="str">
        <f>IF('Cable Info'!N39="","",CONCATENATE('Cable Info'!N39," - ",'Cable Info'!O39))</f>
        <v/>
      </c>
      <c r="AR179" s="149" t="str">
        <f t="shared" si="1"/>
        <v/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 x14ac:dyDescent="0.25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59</v>
      </c>
      <c r="G180" s="315"/>
      <c r="H180" s="142" t="str">
        <f t="shared" si="11"/>
        <v/>
      </c>
      <c r="I180" s="317"/>
      <c r="J180" s="132" t="s">
        <v>59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str">
        <f>IF('Cable Info'!L40="","",CONCATENATE('Cable Info'!L40," - ",'Cable Info'!M40))</f>
        <v/>
      </c>
      <c r="AM180" s="149" t="str">
        <f t="shared" si="0"/>
        <v/>
      </c>
      <c r="AO180" s="149" t="str">
        <f>IF('Cable Info'!N40="","",CONCATENATE('Cable Info'!N40," - ",'Cable Info'!O40))</f>
        <v/>
      </c>
      <c r="AR180" s="149" t="str">
        <f t="shared" si="1"/>
        <v/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 x14ac:dyDescent="0.25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59</v>
      </c>
      <c r="G181" s="315"/>
      <c r="H181" s="142" t="str">
        <f t="shared" si="11"/>
        <v/>
      </c>
      <c r="I181" s="317"/>
      <c r="J181" s="132" t="s">
        <v>59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str">
        <f>IF('Cable Info'!L41="","",CONCATENATE('Cable Info'!L41," - ",'Cable Info'!M41))</f>
        <v/>
      </c>
      <c r="AM181" s="149" t="str">
        <f t="shared" si="0"/>
        <v/>
      </c>
      <c r="AO181" s="149" t="str">
        <f>IF('Cable Info'!N41="","",CONCATENATE('Cable Info'!N41," - ",'Cable Info'!O41))</f>
        <v/>
      </c>
      <c r="AR181" s="149" t="str">
        <f t="shared" si="1"/>
        <v/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 x14ac:dyDescent="0.25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59</v>
      </c>
      <c r="G182" s="315"/>
      <c r="H182" s="142" t="str">
        <f t="shared" si="11"/>
        <v/>
      </c>
      <c r="I182" s="317"/>
      <c r="J182" s="132" t="s">
        <v>59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str">
        <f>IF('Cable Info'!L42="","",CONCATENATE('Cable Info'!L42," - ",'Cable Info'!M42))</f>
        <v/>
      </c>
      <c r="AM182" s="149" t="str">
        <f t="shared" si="0"/>
        <v/>
      </c>
      <c r="AO182" s="149" t="str">
        <f>IF('Cable Info'!N42="","",CONCATENATE('Cable Info'!N42," - ",'Cable Info'!O42))</f>
        <v/>
      </c>
      <c r="AR182" s="149" t="str">
        <f t="shared" si="1"/>
        <v/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 x14ac:dyDescent="0.25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59</v>
      </c>
      <c r="G183" s="315"/>
      <c r="H183" s="142" t="str">
        <f t="shared" si="11"/>
        <v/>
      </c>
      <c r="I183" s="317"/>
      <c r="J183" s="132" t="s">
        <v>59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str">
        <f>IF('Cable Info'!L43="","",CONCATENATE('Cable Info'!L43," - ",'Cable Info'!M43))</f>
        <v/>
      </c>
      <c r="AM183" s="149" t="str">
        <f t="shared" si="0"/>
        <v/>
      </c>
      <c r="AO183" s="149" t="str">
        <f>IF('Cable Info'!N43="","",CONCATENATE('Cable Info'!N43," - ",'Cable Info'!O43))</f>
        <v/>
      </c>
      <c r="AR183" s="149" t="str">
        <f t="shared" si="1"/>
        <v/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 x14ac:dyDescent="0.25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59</v>
      </c>
      <c r="G184" s="315"/>
      <c r="H184" s="142" t="str">
        <f t="shared" si="11"/>
        <v/>
      </c>
      <c r="I184" s="317"/>
      <c r="J184" s="132" t="s">
        <v>59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str">
        <f>IF('Cable Info'!L44="","",CONCATENATE('Cable Info'!L44," - ",'Cable Info'!M44))</f>
        <v/>
      </c>
      <c r="AM184" s="149" t="str">
        <f t="shared" si="0"/>
        <v/>
      </c>
      <c r="AO184" s="149" t="str">
        <f>IF('Cable Info'!N44="","",CONCATENATE('Cable Info'!N44," - ",'Cable Info'!O44))</f>
        <v/>
      </c>
      <c r="AR184" s="149" t="str">
        <f t="shared" si="1"/>
        <v/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 x14ac:dyDescent="0.25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59</v>
      </c>
      <c r="G185" s="315"/>
      <c r="H185" s="142" t="str">
        <f t="shared" si="11"/>
        <v/>
      </c>
      <c r="I185" s="317"/>
      <c r="J185" s="132" t="s">
        <v>59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str">
        <f>IF('Cable Info'!L45="","",CONCATENATE('Cable Info'!L45," - ",'Cable Info'!M45))</f>
        <v/>
      </c>
      <c r="AM185" s="149" t="str">
        <f t="shared" si="0"/>
        <v/>
      </c>
      <c r="AO185" s="149" t="str">
        <f>IF('Cable Info'!N45="","",CONCATENATE('Cable Info'!N45," - ",'Cable Info'!O45))</f>
        <v/>
      </c>
      <c r="AR185" s="149" t="str">
        <f t="shared" si="1"/>
        <v/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 x14ac:dyDescent="0.25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59</v>
      </c>
      <c r="G186" s="315"/>
      <c r="H186" s="142" t="str">
        <f t="shared" si="11"/>
        <v/>
      </c>
      <c r="I186" s="317"/>
      <c r="J186" s="132" t="s">
        <v>59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str">
        <f>IF('Cable Info'!L46="","",CONCATENATE('Cable Info'!L46," - ",'Cable Info'!M46))</f>
        <v/>
      </c>
      <c r="AM186" s="149" t="str">
        <f t="shared" si="0"/>
        <v/>
      </c>
      <c r="AO186" s="149" t="str">
        <f>IF('Cable Info'!N46="","",CONCATENATE('Cable Info'!N46," - ",'Cable Info'!O46))</f>
        <v/>
      </c>
      <c r="AR186" s="149" t="str">
        <f t="shared" si="1"/>
        <v/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 x14ac:dyDescent="0.25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59</v>
      </c>
      <c r="G187" s="315"/>
      <c r="H187" s="142" t="str">
        <f t="shared" si="11"/>
        <v/>
      </c>
      <c r="I187" s="317"/>
      <c r="J187" s="132" t="s">
        <v>59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str">
        <f>IF('Cable Info'!L47="","",CONCATENATE('Cable Info'!L47," - ",'Cable Info'!M47))</f>
        <v/>
      </c>
      <c r="AM187" s="149" t="str">
        <f t="shared" si="0"/>
        <v/>
      </c>
      <c r="AO187" s="149" t="str">
        <f>IF('Cable Info'!N47="","",CONCATENATE('Cable Info'!N47," - ",'Cable Info'!O47))</f>
        <v/>
      </c>
      <c r="AR187" s="149" t="str">
        <f t="shared" si="1"/>
        <v/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 x14ac:dyDescent="0.25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59</v>
      </c>
      <c r="G188" s="315"/>
      <c r="H188" s="142" t="str">
        <f t="shared" si="11"/>
        <v/>
      </c>
      <c r="I188" s="317"/>
      <c r="J188" s="132" t="s">
        <v>59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str">
        <f>IF('Cable Info'!L48="","",CONCATENATE('Cable Info'!L48," - ",'Cable Info'!M48))</f>
        <v/>
      </c>
      <c r="AM188" s="149" t="str">
        <f t="shared" si="0"/>
        <v/>
      </c>
      <c r="AO188" s="149" t="str">
        <f>IF('Cable Info'!N48="","",CONCATENATE('Cable Info'!N48," - ",'Cable Info'!O48))</f>
        <v/>
      </c>
      <c r="AR188" s="149" t="str">
        <f t="shared" si="1"/>
        <v/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 x14ac:dyDescent="0.25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59</v>
      </c>
      <c r="G189" s="315"/>
      <c r="H189" s="142" t="str">
        <f t="shared" si="11"/>
        <v/>
      </c>
      <c r="I189" s="317"/>
      <c r="J189" s="132" t="s">
        <v>59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str">
        <f>IF('Cable Info'!L49="","",CONCATENATE('Cable Info'!L49," - ",'Cable Info'!M49))</f>
        <v/>
      </c>
      <c r="AM189" s="149" t="str">
        <f t="shared" si="0"/>
        <v/>
      </c>
      <c r="AO189" s="149" t="str">
        <f>IF('Cable Info'!N49="","",CONCATENATE('Cable Info'!N49," - ",'Cable Info'!O49))</f>
        <v/>
      </c>
      <c r="AR189" s="149" t="str">
        <f t="shared" si="1"/>
        <v/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 x14ac:dyDescent="0.25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59</v>
      </c>
      <c r="G190" s="315"/>
      <c r="H190" s="142" t="str">
        <f t="shared" si="11"/>
        <v/>
      </c>
      <c r="I190" s="317"/>
      <c r="J190" s="132" t="s">
        <v>59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/>
      </c>
      <c r="AM190" s="149" t="str">
        <f t="shared" si="0"/>
        <v/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 x14ac:dyDescent="0.25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59</v>
      </c>
      <c r="G191" s="315"/>
      <c r="H191" s="142" t="str">
        <f t="shared" si="11"/>
        <v/>
      </c>
      <c r="I191" s="317"/>
      <c r="J191" s="132" t="s">
        <v>59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/>
      </c>
      <c r="AM191" s="149" t="str">
        <f t="shared" si="0"/>
        <v/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 x14ac:dyDescent="0.25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59</v>
      </c>
      <c r="G192" s="315"/>
      <c r="H192" s="142" t="str">
        <f t="shared" si="11"/>
        <v/>
      </c>
      <c r="I192" s="317"/>
      <c r="J192" s="132" t="s">
        <v>59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/>
      </c>
      <c r="AM192" s="149" t="str">
        <f t="shared" si="0"/>
        <v/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 x14ac:dyDescent="0.25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59</v>
      </c>
      <c r="G193" s="315"/>
      <c r="H193" s="142" t="str">
        <f t="shared" si="11"/>
        <v/>
      </c>
      <c r="I193" s="317"/>
      <c r="J193" s="132" t="s">
        <v>59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/>
      </c>
      <c r="AM193" s="149" t="str">
        <f t="shared" si="0"/>
        <v/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 x14ac:dyDescent="0.25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59</v>
      </c>
      <c r="G194" s="315"/>
      <c r="H194" s="142" t="str">
        <f t="shared" si="11"/>
        <v/>
      </c>
      <c r="I194" s="317"/>
      <c r="J194" s="132" t="s">
        <v>59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/>
      </c>
      <c r="AM194" s="149" t="str">
        <f t="shared" si="0"/>
        <v/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 x14ac:dyDescent="0.25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59</v>
      </c>
      <c r="G195" s="315"/>
      <c r="H195" s="142" t="str">
        <f t="shared" si="11"/>
        <v/>
      </c>
      <c r="I195" s="317"/>
      <c r="J195" s="132" t="s">
        <v>59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/>
      </c>
      <c r="AM195" s="149" t="str">
        <f t="shared" si="0"/>
        <v/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 x14ac:dyDescent="0.25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59</v>
      </c>
      <c r="G196" s="315"/>
      <c r="H196" s="142" t="str">
        <f t="shared" si="11"/>
        <v/>
      </c>
      <c r="I196" s="317"/>
      <c r="J196" s="132" t="s">
        <v>59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/>
      </c>
      <c r="AM196" s="149" t="str">
        <f t="shared" si="0"/>
        <v/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 x14ac:dyDescent="0.25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59</v>
      </c>
      <c r="G197" s="315"/>
      <c r="H197" s="142" t="str">
        <f t="shared" si="11"/>
        <v/>
      </c>
      <c r="I197" s="317"/>
      <c r="J197" s="132" t="s">
        <v>59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/>
      </c>
      <c r="AM197" s="149" t="str">
        <f t="shared" si="0"/>
        <v/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 x14ac:dyDescent="0.25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59</v>
      </c>
      <c r="G198" s="315"/>
      <c r="H198" s="142" t="str">
        <f t="shared" si="11"/>
        <v/>
      </c>
      <c r="I198" s="317"/>
      <c r="J198" s="132" t="s">
        <v>59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/>
      </c>
      <c r="AM198" s="149" t="str">
        <f t="shared" si="0"/>
        <v/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 x14ac:dyDescent="0.25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59</v>
      </c>
      <c r="G199" s="315"/>
      <c r="H199" s="142" t="str">
        <f t="shared" si="11"/>
        <v/>
      </c>
      <c r="I199" s="317"/>
      <c r="J199" s="132" t="s">
        <v>59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/>
      </c>
      <c r="AM199" s="149" t="str">
        <f t="shared" si="0"/>
        <v/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 x14ac:dyDescent="0.25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59</v>
      </c>
      <c r="G200" s="315"/>
      <c r="H200" s="142" t="str">
        <f t="shared" si="11"/>
        <v/>
      </c>
      <c r="I200" s="317"/>
      <c r="J200" s="132" t="s">
        <v>59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/>
      </c>
      <c r="AM200" s="149" t="str">
        <f t="shared" si="0"/>
        <v/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 x14ac:dyDescent="0.25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59</v>
      </c>
      <c r="G201" s="315"/>
      <c r="H201" s="142" t="str">
        <f t="shared" si="11"/>
        <v/>
      </c>
      <c r="I201" s="317"/>
      <c r="J201" s="132" t="s">
        <v>59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/>
      </c>
      <c r="AM201" s="149" t="str">
        <f t="shared" si="0"/>
        <v/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 x14ac:dyDescent="0.25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59</v>
      </c>
      <c r="G202" s="315"/>
      <c r="H202" s="142" t="str">
        <f t="shared" si="11"/>
        <v/>
      </c>
      <c r="I202" s="317"/>
      <c r="J202" s="132" t="s">
        <v>59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/>
      </c>
      <c r="AM202" s="149" t="str">
        <f t="shared" si="0"/>
        <v/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 x14ac:dyDescent="0.25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59</v>
      </c>
      <c r="G203" s="315"/>
      <c r="H203" s="142" t="str">
        <f t="shared" si="11"/>
        <v/>
      </c>
      <c r="I203" s="317"/>
      <c r="J203" s="132" t="s">
        <v>59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/>
      </c>
      <c r="AM203" s="149" t="str">
        <f t="shared" si="0"/>
        <v/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 x14ac:dyDescent="0.25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59</v>
      </c>
      <c r="G204" s="315"/>
      <c r="H204" s="142" t="str">
        <f t="shared" si="11"/>
        <v/>
      </c>
      <c r="I204" s="317"/>
      <c r="J204" s="132" t="s">
        <v>59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/>
      </c>
      <c r="AM204" s="149" t="str">
        <f t="shared" si="0"/>
        <v/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 x14ac:dyDescent="0.25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59</v>
      </c>
      <c r="G205" s="315"/>
      <c r="H205" s="142" t="str">
        <f t="shared" si="11"/>
        <v/>
      </c>
      <c r="I205" s="317"/>
      <c r="J205" s="132" t="s">
        <v>59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/>
      </c>
      <c r="AM205" s="149" t="str">
        <f t="shared" si="0"/>
        <v/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 x14ac:dyDescent="0.25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59</v>
      </c>
      <c r="G206" s="315"/>
      <c r="H206" s="142" t="str">
        <f t="shared" si="11"/>
        <v/>
      </c>
      <c r="I206" s="317"/>
      <c r="J206" s="132" t="s">
        <v>59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/>
      </c>
      <c r="AM206" s="149" t="str">
        <f t="shared" si="0"/>
        <v/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 x14ac:dyDescent="0.25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59</v>
      </c>
      <c r="G207" s="315"/>
      <c r="H207" s="142" t="str">
        <f t="shared" si="11"/>
        <v/>
      </c>
      <c r="I207" s="317"/>
      <c r="J207" s="132" t="s">
        <v>59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/>
      </c>
      <c r="AM207" s="149" t="str">
        <f t="shared" ref="AM207:AM270" si="36">IF(AK207="",AJ207,CONCATENATE(AJ207,"  &lt;=&gt; ",AK207," ",AL207))</f>
        <v/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 x14ac:dyDescent="0.25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59</v>
      </c>
      <c r="G208" s="315"/>
      <c r="H208" s="142" t="str">
        <f t="shared" si="11"/>
        <v/>
      </c>
      <c r="I208" s="317"/>
      <c r="J208" s="132" t="s">
        <v>59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/>
      </c>
      <c r="AM208" s="149" t="str">
        <f t="shared" si="36"/>
        <v/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 x14ac:dyDescent="0.25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59</v>
      </c>
      <c r="G209" s="315"/>
      <c r="H209" s="142" t="str">
        <f t="shared" si="11"/>
        <v/>
      </c>
      <c r="I209" s="317"/>
      <c r="J209" s="132" t="s">
        <v>59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/>
      </c>
      <c r="AM209" s="149" t="str">
        <f t="shared" si="36"/>
        <v/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 x14ac:dyDescent="0.25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59</v>
      </c>
      <c r="G210" s="315"/>
      <c r="H210" s="142" t="str">
        <f t="shared" si="11"/>
        <v/>
      </c>
      <c r="I210" s="317"/>
      <c r="J210" s="132" t="s">
        <v>59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/>
      </c>
      <c r="AM210" s="149" t="str">
        <f t="shared" si="36"/>
        <v/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 x14ac:dyDescent="0.25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59</v>
      </c>
      <c r="G211" s="315"/>
      <c r="H211" s="142" t="str">
        <f t="shared" si="11"/>
        <v/>
      </c>
      <c r="I211" s="317"/>
      <c r="J211" s="132" t="s">
        <v>59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/>
      </c>
      <c r="AM211" s="149" t="str">
        <f t="shared" si="36"/>
        <v/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 x14ac:dyDescent="0.25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59</v>
      </c>
      <c r="G212" s="315"/>
      <c r="H212" s="142" t="str">
        <f t="shared" si="11"/>
        <v/>
      </c>
      <c r="I212" s="317"/>
      <c r="J212" s="132" t="s">
        <v>59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/>
      </c>
      <c r="AM212" s="149" t="str">
        <f t="shared" si="36"/>
        <v/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 x14ac:dyDescent="0.25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59</v>
      </c>
      <c r="G213" s="315"/>
      <c r="H213" s="142" t="str">
        <f t="shared" si="11"/>
        <v/>
      </c>
      <c r="I213" s="317"/>
      <c r="J213" s="132" t="s">
        <v>59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/>
      </c>
      <c r="AM213" s="149" t="str">
        <f t="shared" si="36"/>
        <v/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 x14ac:dyDescent="0.25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59</v>
      </c>
      <c r="G214" s="315"/>
      <c r="H214" s="142" t="str">
        <f t="shared" si="11"/>
        <v/>
      </c>
      <c r="I214" s="317"/>
      <c r="J214" s="132" t="s">
        <v>59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/>
      </c>
      <c r="AM214" s="149" t="str">
        <f t="shared" si="36"/>
        <v/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 x14ac:dyDescent="0.25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59</v>
      </c>
      <c r="G215" s="315"/>
      <c r="H215" s="142" t="str">
        <f t="shared" ref="H215:H224" si="42">IF(G215="","",((E215-G215)-1)*(-1))</f>
        <v/>
      </c>
      <c r="I215" s="317"/>
      <c r="J215" s="132" t="s">
        <v>59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/>
      </c>
      <c r="AM215" s="149" t="str">
        <f t="shared" si="36"/>
        <v/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 x14ac:dyDescent="0.25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59</v>
      </c>
      <c r="G216" s="315"/>
      <c r="H216" s="142" t="str">
        <f t="shared" si="42"/>
        <v/>
      </c>
      <c r="I216" s="317"/>
      <c r="J216" s="132" t="s">
        <v>59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/>
      </c>
      <c r="AM216" s="149" t="str">
        <f t="shared" si="36"/>
        <v/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 x14ac:dyDescent="0.25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59</v>
      </c>
      <c r="G217" s="315"/>
      <c r="H217" s="142" t="str">
        <f t="shared" si="42"/>
        <v/>
      </c>
      <c r="I217" s="317"/>
      <c r="J217" s="132" t="s">
        <v>59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/>
      </c>
      <c r="AM217" s="149" t="str">
        <f t="shared" si="36"/>
        <v/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 x14ac:dyDescent="0.25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59</v>
      </c>
      <c r="G218" s="315"/>
      <c r="H218" s="142" t="str">
        <f t="shared" si="42"/>
        <v/>
      </c>
      <c r="I218" s="317"/>
      <c r="J218" s="132" t="s">
        <v>59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/>
      </c>
      <c r="AM218" s="149" t="str">
        <f t="shared" si="36"/>
        <v/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 x14ac:dyDescent="0.25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59</v>
      </c>
      <c r="G219" s="315"/>
      <c r="H219" s="142" t="str">
        <f t="shared" si="42"/>
        <v/>
      </c>
      <c r="I219" s="317"/>
      <c r="J219" s="132" t="s">
        <v>59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/>
      </c>
      <c r="AM219" s="149" t="str">
        <f t="shared" si="36"/>
        <v/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 x14ac:dyDescent="0.25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59</v>
      </c>
      <c r="G220" s="315"/>
      <c r="H220" s="142" t="str">
        <f t="shared" si="42"/>
        <v/>
      </c>
      <c r="I220" s="317"/>
      <c r="J220" s="132" t="s">
        <v>59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/>
      </c>
      <c r="AM220" s="149" t="str">
        <f t="shared" si="36"/>
        <v/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 x14ac:dyDescent="0.25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59</v>
      </c>
      <c r="G221" s="315"/>
      <c r="H221" s="142" t="str">
        <f t="shared" si="42"/>
        <v/>
      </c>
      <c r="I221" s="317"/>
      <c r="J221" s="132" t="s">
        <v>59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/>
      </c>
      <c r="AM221" s="149" t="str">
        <f t="shared" si="36"/>
        <v/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 x14ac:dyDescent="0.25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59</v>
      </c>
      <c r="G222" s="315"/>
      <c r="H222" s="142" t="str">
        <f t="shared" si="42"/>
        <v/>
      </c>
      <c r="I222" s="317"/>
      <c r="J222" s="132" t="s">
        <v>59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/>
      </c>
      <c r="AM222" s="149" t="str">
        <f t="shared" si="36"/>
        <v/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 x14ac:dyDescent="0.25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59</v>
      </c>
      <c r="G223" s="315"/>
      <c r="H223" s="142" t="str">
        <f t="shared" si="42"/>
        <v/>
      </c>
      <c r="I223" s="317"/>
      <c r="J223" s="132" t="s">
        <v>59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/>
      </c>
      <c r="AM223" s="149" t="str">
        <f t="shared" si="36"/>
        <v/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8" thickBot="1" x14ac:dyDescent="0.3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59</v>
      </c>
      <c r="G224" s="316"/>
      <c r="H224" s="175" t="str">
        <f t="shared" si="42"/>
        <v/>
      </c>
      <c r="I224" s="319"/>
      <c r="J224" s="203" t="s">
        <v>59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/>
      </c>
      <c r="AM224" s="149" t="str">
        <f t="shared" si="36"/>
        <v/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8" thickBot="1" x14ac:dyDescent="0.3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/>
      </c>
      <c r="AM225" s="149" t="str">
        <f t="shared" si="36"/>
        <v/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 x14ac:dyDescent="0.25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/>
      </c>
      <c r="AK226" s="196"/>
      <c r="AL226" s="196"/>
      <c r="AM226" s="196" t="str">
        <f t="shared" si="36"/>
        <v/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 x14ac:dyDescent="0.25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/>
      </c>
      <c r="AK227" s="192"/>
      <c r="AL227" s="192"/>
      <c r="AM227" s="192" t="str">
        <f t="shared" si="36"/>
        <v/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 x14ac:dyDescent="0.25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/>
      </c>
      <c r="AM228" s="149" t="str">
        <f t="shared" si="36"/>
        <v/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 x14ac:dyDescent="0.25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/>
      </c>
      <c r="AM229" s="149" t="str">
        <f t="shared" si="36"/>
        <v/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 x14ac:dyDescent="0.25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/>
      </c>
      <c r="AM230" s="149" t="str">
        <f t="shared" si="36"/>
        <v/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 x14ac:dyDescent="0.25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/>
      </c>
      <c r="AM231" s="149" t="str">
        <f t="shared" si="36"/>
        <v/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 x14ac:dyDescent="0.25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/>
      </c>
      <c r="AM232" s="149" t="str">
        <f t="shared" si="36"/>
        <v/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 x14ac:dyDescent="0.25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/>
      </c>
      <c r="AM233" s="149" t="str">
        <f t="shared" si="36"/>
        <v/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 x14ac:dyDescent="0.25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/>
      </c>
      <c r="AM234" s="149" t="str">
        <f t="shared" si="36"/>
        <v/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 x14ac:dyDescent="0.25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/>
      </c>
      <c r="AM235" s="149" t="str">
        <f t="shared" si="36"/>
        <v/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 x14ac:dyDescent="0.25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/>
      </c>
      <c r="AM236" s="149" t="str">
        <f t="shared" si="36"/>
        <v/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 x14ac:dyDescent="0.25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/>
      </c>
      <c r="AM237" s="149" t="str">
        <f t="shared" si="36"/>
        <v/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 x14ac:dyDescent="0.25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/>
      </c>
      <c r="AM238" s="149" t="str">
        <f t="shared" si="36"/>
        <v/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 x14ac:dyDescent="0.25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/>
      </c>
      <c r="AM239" s="149" t="str">
        <f t="shared" si="36"/>
        <v/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 x14ac:dyDescent="0.25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/>
      </c>
      <c r="AM240" s="149" t="str">
        <f t="shared" si="36"/>
        <v/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 x14ac:dyDescent="0.25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/>
      </c>
      <c r="AM241" s="149" t="str">
        <f t="shared" si="36"/>
        <v/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 x14ac:dyDescent="0.25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/>
      </c>
      <c r="AM242" s="149" t="str">
        <f t="shared" si="36"/>
        <v/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 x14ac:dyDescent="0.25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/>
      </c>
      <c r="AM243" s="149" t="str">
        <f t="shared" si="36"/>
        <v/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 x14ac:dyDescent="0.25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/>
      </c>
      <c r="AM244" s="149" t="str">
        <f t="shared" si="36"/>
        <v/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 x14ac:dyDescent="0.25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/>
      </c>
      <c r="AM245" s="149" t="str">
        <f t="shared" si="36"/>
        <v/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 x14ac:dyDescent="0.25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/>
      </c>
      <c r="AM246" s="149" t="str">
        <f t="shared" si="36"/>
        <v/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 x14ac:dyDescent="0.25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/>
      </c>
      <c r="AM247" s="149" t="str">
        <f t="shared" si="36"/>
        <v/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 x14ac:dyDescent="0.25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/>
      </c>
      <c r="AM248" s="149" t="str">
        <f t="shared" si="36"/>
        <v/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 x14ac:dyDescent="0.25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/>
      </c>
      <c r="AM249" s="149" t="str">
        <f t="shared" si="36"/>
        <v/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 x14ac:dyDescent="0.25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/>
      </c>
      <c r="AM250" s="149" t="str">
        <f t="shared" si="36"/>
        <v/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 x14ac:dyDescent="0.25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/>
      </c>
      <c r="AM251" s="149" t="str">
        <f t="shared" si="36"/>
        <v/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 x14ac:dyDescent="0.25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/>
      </c>
      <c r="AM252" s="149" t="str">
        <f t="shared" si="36"/>
        <v/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 x14ac:dyDescent="0.25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/>
      </c>
      <c r="AM253" s="149" t="str">
        <f t="shared" si="36"/>
        <v/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 x14ac:dyDescent="0.25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/>
      </c>
      <c r="AM254" s="149" t="str">
        <f t="shared" si="36"/>
        <v/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 x14ac:dyDescent="0.25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/>
      </c>
      <c r="AM255" s="149" t="str">
        <f t="shared" si="36"/>
        <v/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 x14ac:dyDescent="0.25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/>
      </c>
      <c r="AM256" s="149" t="str">
        <f t="shared" si="36"/>
        <v/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 x14ac:dyDescent="0.25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/>
      </c>
      <c r="AM257" s="149" t="str">
        <f t="shared" si="36"/>
        <v/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 x14ac:dyDescent="0.25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/>
      </c>
      <c r="AM258" s="149" t="str">
        <f t="shared" si="36"/>
        <v/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 x14ac:dyDescent="0.25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/>
      </c>
      <c r="AM259" s="149" t="str">
        <f t="shared" si="36"/>
        <v/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 x14ac:dyDescent="0.25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/>
      </c>
      <c r="AM260" s="149" t="str">
        <f t="shared" si="36"/>
        <v/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 x14ac:dyDescent="0.25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/>
      </c>
      <c r="AM261" s="149" t="str">
        <f t="shared" si="36"/>
        <v/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 x14ac:dyDescent="0.25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/>
      </c>
      <c r="AM262" s="149" t="str">
        <f t="shared" si="36"/>
        <v/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 x14ac:dyDescent="0.25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/>
      </c>
      <c r="AM263" s="149" t="str">
        <f t="shared" si="36"/>
        <v/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 x14ac:dyDescent="0.25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/>
      </c>
      <c r="AM264" s="149" t="str">
        <f t="shared" si="36"/>
        <v/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 x14ac:dyDescent="0.25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/>
      </c>
      <c r="AM265" s="149" t="str">
        <f t="shared" si="36"/>
        <v/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 x14ac:dyDescent="0.25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/>
      </c>
      <c r="AM266" s="149" t="str">
        <f t="shared" si="36"/>
        <v/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 x14ac:dyDescent="0.25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/>
      </c>
      <c r="AM267" s="149" t="str">
        <f t="shared" si="36"/>
        <v/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 x14ac:dyDescent="0.25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/>
      </c>
      <c r="AM268" s="149" t="str">
        <f t="shared" si="36"/>
        <v/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 x14ac:dyDescent="0.25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/>
      </c>
      <c r="AM269" s="149" t="str">
        <f t="shared" si="36"/>
        <v/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 x14ac:dyDescent="0.25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/>
      </c>
      <c r="AM270" s="149" t="str">
        <f t="shared" si="36"/>
        <v/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 x14ac:dyDescent="0.25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/>
      </c>
      <c r="AM271" s="149" t="str">
        <f t="shared" ref="AM271:AM334" si="48">IF(AK271="",AJ271,CONCATENATE(AJ271,"  &lt;=&gt; ",AK271," ",AL271))</f>
        <v/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 x14ac:dyDescent="0.25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/>
      </c>
      <c r="AM272" s="149" t="str">
        <f t="shared" si="48"/>
        <v/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 x14ac:dyDescent="0.25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/>
      </c>
      <c r="AM273" s="149" t="str">
        <f t="shared" si="48"/>
        <v/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 x14ac:dyDescent="0.25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/>
      </c>
      <c r="AM274" s="149" t="str">
        <f t="shared" si="48"/>
        <v/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 x14ac:dyDescent="0.25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/>
      </c>
      <c r="AM275" s="149" t="str">
        <f t="shared" si="48"/>
        <v/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 x14ac:dyDescent="0.25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/>
      </c>
      <c r="AM276" s="149" t="str">
        <f t="shared" si="48"/>
        <v/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 x14ac:dyDescent="0.25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/>
      </c>
      <c r="AM277" s="149" t="str">
        <f t="shared" si="48"/>
        <v/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 x14ac:dyDescent="0.25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/>
      </c>
      <c r="AM278" s="149" t="str">
        <f t="shared" si="48"/>
        <v/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 x14ac:dyDescent="0.25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/>
      </c>
      <c r="AM279" s="149" t="str">
        <f t="shared" si="48"/>
        <v/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 x14ac:dyDescent="0.25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/>
      </c>
      <c r="AM280" s="149" t="str">
        <f t="shared" si="48"/>
        <v/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 x14ac:dyDescent="0.25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/>
      </c>
      <c r="AM281" s="149" t="str">
        <f t="shared" si="48"/>
        <v/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 x14ac:dyDescent="0.25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/>
      </c>
      <c r="AM282" s="149" t="str">
        <f t="shared" si="48"/>
        <v/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 x14ac:dyDescent="0.25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/>
      </c>
      <c r="AM283" s="149" t="str">
        <f t="shared" si="48"/>
        <v/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 x14ac:dyDescent="0.25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/>
      </c>
      <c r="AM284" s="149" t="str">
        <f t="shared" si="48"/>
        <v/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 x14ac:dyDescent="0.25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/>
      </c>
      <c r="AM285" s="149" t="str">
        <f t="shared" si="48"/>
        <v/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 x14ac:dyDescent="0.25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/>
      </c>
      <c r="AM286" s="149" t="str">
        <f t="shared" si="48"/>
        <v/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 x14ac:dyDescent="0.25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/>
      </c>
      <c r="AM287" s="149" t="str">
        <f t="shared" si="48"/>
        <v/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 x14ac:dyDescent="0.25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/>
      </c>
      <c r="AM288" s="149" t="str">
        <f t="shared" si="48"/>
        <v/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 x14ac:dyDescent="0.25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/>
      </c>
      <c r="AM289" s="149" t="str">
        <f t="shared" si="48"/>
        <v/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 x14ac:dyDescent="0.25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/>
      </c>
      <c r="AM290" s="149" t="str">
        <f t="shared" si="48"/>
        <v/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 x14ac:dyDescent="0.25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/>
      </c>
      <c r="AM291" s="149" t="str">
        <f t="shared" si="48"/>
        <v/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 x14ac:dyDescent="0.25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/>
      </c>
      <c r="AM292" s="149" t="str">
        <f t="shared" si="48"/>
        <v/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 x14ac:dyDescent="0.25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/>
      </c>
      <c r="AM293" s="149" t="str">
        <f t="shared" si="48"/>
        <v/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 x14ac:dyDescent="0.25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/>
      </c>
      <c r="AM294" s="149" t="str">
        <f t="shared" si="48"/>
        <v/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 x14ac:dyDescent="0.25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/>
      </c>
      <c r="AM295" s="149" t="str">
        <f t="shared" si="48"/>
        <v/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 x14ac:dyDescent="0.25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/>
      </c>
      <c r="AM296" s="149" t="str">
        <f t="shared" si="48"/>
        <v/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 x14ac:dyDescent="0.25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/>
      </c>
      <c r="AM297" s="149" t="str">
        <f t="shared" si="48"/>
        <v/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 x14ac:dyDescent="0.25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/>
      </c>
      <c r="AM298" s="149" t="str">
        <f t="shared" si="48"/>
        <v/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 x14ac:dyDescent="0.25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/>
      </c>
      <c r="AM299" s="149" t="str">
        <f t="shared" si="48"/>
        <v/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 x14ac:dyDescent="0.25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/>
      </c>
      <c r="AM300" s="149" t="str">
        <f t="shared" si="48"/>
        <v/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 x14ac:dyDescent="0.25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/>
      </c>
      <c r="AM301" s="149" t="str">
        <f t="shared" si="48"/>
        <v/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 x14ac:dyDescent="0.25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/>
      </c>
      <c r="AM302" s="149" t="str">
        <f t="shared" si="48"/>
        <v/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 x14ac:dyDescent="0.25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/>
      </c>
      <c r="AM303" s="149" t="str">
        <f t="shared" si="48"/>
        <v/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 x14ac:dyDescent="0.25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/>
      </c>
      <c r="AM304" s="149" t="str">
        <f t="shared" si="48"/>
        <v/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 x14ac:dyDescent="0.25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/>
      </c>
      <c r="AM305" s="149" t="str">
        <f t="shared" si="48"/>
        <v/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 x14ac:dyDescent="0.25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/>
      </c>
      <c r="AM306" s="149" t="str">
        <f t="shared" si="48"/>
        <v/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 x14ac:dyDescent="0.25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/>
      </c>
      <c r="AM307" s="149" t="str">
        <f t="shared" si="48"/>
        <v/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 x14ac:dyDescent="0.25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/>
      </c>
      <c r="AM308" s="149" t="str">
        <f t="shared" si="48"/>
        <v/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 x14ac:dyDescent="0.25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/>
      </c>
      <c r="AM309" s="149" t="str">
        <f t="shared" si="48"/>
        <v/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 x14ac:dyDescent="0.25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/>
      </c>
      <c r="AM310" s="149" t="str">
        <f t="shared" si="48"/>
        <v/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 x14ac:dyDescent="0.25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/>
      </c>
      <c r="AM311" s="149" t="str">
        <f t="shared" si="48"/>
        <v/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 x14ac:dyDescent="0.25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/>
      </c>
      <c r="AM312" s="149" t="str">
        <f t="shared" si="48"/>
        <v/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 x14ac:dyDescent="0.25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/>
      </c>
      <c r="AM313" s="149" t="str">
        <f t="shared" si="48"/>
        <v/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 x14ac:dyDescent="0.25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/>
      </c>
      <c r="AM314" s="149" t="str">
        <f t="shared" si="48"/>
        <v/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 x14ac:dyDescent="0.25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/>
      </c>
      <c r="AM315" s="149" t="str">
        <f t="shared" si="48"/>
        <v/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 x14ac:dyDescent="0.25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/>
      </c>
      <c r="AM316" s="149" t="str">
        <f t="shared" si="48"/>
        <v/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 x14ac:dyDescent="0.25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/>
      </c>
      <c r="AM317" s="149" t="str">
        <f t="shared" si="48"/>
        <v/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 x14ac:dyDescent="0.25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/>
      </c>
      <c r="AM318" s="149" t="str">
        <f t="shared" si="48"/>
        <v/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 x14ac:dyDescent="0.25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/>
      </c>
      <c r="AM319" s="149" t="str">
        <f t="shared" si="48"/>
        <v/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 x14ac:dyDescent="0.25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/>
      </c>
      <c r="AM320" s="149" t="str">
        <f t="shared" si="48"/>
        <v/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 x14ac:dyDescent="0.25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/>
      </c>
      <c r="AM321" s="149" t="str">
        <f t="shared" si="48"/>
        <v/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 x14ac:dyDescent="0.25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/>
      </c>
      <c r="AM322" s="149" t="str">
        <f t="shared" si="48"/>
        <v/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 x14ac:dyDescent="0.25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/>
      </c>
      <c r="AM323" s="149" t="str">
        <f t="shared" si="48"/>
        <v/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 x14ac:dyDescent="0.25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/>
      </c>
      <c r="AM324" s="149" t="str">
        <f t="shared" si="48"/>
        <v/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 x14ac:dyDescent="0.25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/>
      </c>
      <c r="AM325" s="149" t="str">
        <f t="shared" si="48"/>
        <v/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 x14ac:dyDescent="0.25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/>
      </c>
      <c r="AM326" s="149" t="str">
        <f t="shared" si="48"/>
        <v/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 x14ac:dyDescent="0.25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/>
      </c>
      <c r="AM327" s="149" t="str">
        <f t="shared" si="48"/>
        <v/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 x14ac:dyDescent="0.25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/>
      </c>
      <c r="AM328" s="149" t="str">
        <f t="shared" si="48"/>
        <v/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 x14ac:dyDescent="0.25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/>
      </c>
      <c r="AM329" s="149" t="str">
        <f t="shared" si="48"/>
        <v/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 x14ac:dyDescent="0.25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/>
      </c>
      <c r="AM330" s="149" t="str">
        <f t="shared" si="48"/>
        <v/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 x14ac:dyDescent="0.25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/>
      </c>
      <c r="AM331" s="149" t="str">
        <f t="shared" si="48"/>
        <v/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 x14ac:dyDescent="0.25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/>
      </c>
      <c r="AM332" s="149" t="str">
        <f t="shared" si="48"/>
        <v/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 x14ac:dyDescent="0.25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/>
      </c>
      <c r="AM333" s="149" t="str">
        <f t="shared" si="48"/>
        <v/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 x14ac:dyDescent="0.25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/>
      </c>
      <c r="AM334" s="149" t="str">
        <f t="shared" si="48"/>
        <v/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 x14ac:dyDescent="0.25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/>
      </c>
      <c r="AM335" s="149" t="str">
        <f t="shared" ref="AM335:AM398" si="54">IF(AK335="",AJ335,CONCATENATE(AJ335,"  &lt;=&gt; ",AK335," ",AL335))</f>
        <v/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 x14ac:dyDescent="0.25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/>
      </c>
      <c r="AM336" s="149" t="str">
        <f t="shared" si="54"/>
        <v/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 x14ac:dyDescent="0.25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/>
      </c>
      <c r="AM337" s="149" t="str">
        <f t="shared" si="54"/>
        <v/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 x14ac:dyDescent="0.25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/>
      </c>
      <c r="AM338" s="149" t="str">
        <f t="shared" si="54"/>
        <v/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 x14ac:dyDescent="0.25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/>
      </c>
      <c r="AM339" s="149" t="str">
        <f t="shared" si="54"/>
        <v/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 x14ac:dyDescent="0.25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/>
      </c>
      <c r="AM340" s="149" t="str">
        <f t="shared" si="54"/>
        <v/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 x14ac:dyDescent="0.25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/>
      </c>
      <c r="AM341" s="149" t="str">
        <f t="shared" si="54"/>
        <v/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 x14ac:dyDescent="0.25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/>
      </c>
      <c r="AM342" s="149" t="str">
        <f t="shared" si="54"/>
        <v/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 x14ac:dyDescent="0.25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/>
      </c>
      <c r="AM343" s="149" t="str">
        <f t="shared" si="54"/>
        <v/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 x14ac:dyDescent="0.25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/>
      </c>
      <c r="AM344" s="149" t="str">
        <f t="shared" si="54"/>
        <v/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 x14ac:dyDescent="0.25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/>
      </c>
      <c r="AM345" s="149" t="str">
        <f t="shared" si="54"/>
        <v/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 x14ac:dyDescent="0.25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/>
      </c>
      <c r="AM346" s="149" t="str">
        <f t="shared" si="54"/>
        <v/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 x14ac:dyDescent="0.25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/>
      </c>
      <c r="AM347" s="149" t="str">
        <f t="shared" si="54"/>
        <v/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 x14ac:dyDescent="0.25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/>
      </c>
      <c r="AM348" s="149" t="str">
        <f t="shared" si="54"/>
        <v/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 x14ac:dyDescent="0.25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/>
      </c>
      <c r="AM349" s="149" t="str">
        <f t="shared" si="54"/>
        <v/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 x14ac:dyDescent="0.25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/>
      </c>
      <c r="AM350" s="149" t="str">
        <f t="shared" si="54"/>
        <v/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 x14ac:dyDescent="0.25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/>
      </c>
      <c r="AM351" s="149" t="str">
        <f t="shared" si="54"/>
        <v/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 x14ac:dyDescent="0.25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/>
      </c>
      <c r="AM352" s="149" t="str">
        <f t="shared" si="54"/>
        <v/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 x14ac:dyDescent="0.25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/>
      </c>
      <c r="AM353" s="149" t="str">
        <f t="shared" si="54"/>
        <v/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 x14ac:dyDescent="0.25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/>
      </c>
      <c r="AM354" s="149" t="str">
        <f t="shared" si="54"/>
        <v/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 x14ac:dyDescent="0.25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/>
      </c>
      <c r="AM355" s="149" t="str">
        <f t="shared" si="54"/>
        <v/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 x14ac:dyDescent="0.25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/>
      </c>
      <c r="AM356" s="149" t="str">
        <f t="shared" si="54"/>
        <v/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 x14ac:dyDescent="0.25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/>
      </c>
      <c r="AM357" s="149" t="str">
        <f t="shared" si="54"/>
        <v/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 x14ac:dyDescent="0.25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/>
      </c>
      <c r="AM358" s="149" t="str">
        <f t="shared" si="54"/>
        <v/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 x14ac:dyDescent="0.25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/>
      </c>
      <c r="AM359" s="149" t="str">
        <f t="shared" si="54"/>
        <v/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 x14ac:dyDescent="0.25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/>
      </c>
      <c r="AM360" s="149" t="str">
        <f t="shared" si="54"/>
        <v/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 x14ac:dyDescent="0.25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/>
      </c>
      <c r="AM361" s="149" t="str">
        <f t="shared" si="54"/>
        <v/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 x14ac:dyDescent="0.25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/>
      </c>
      <c r="AM362" s="149" t="str">
        <f t="shared" si="54"/>
        <v/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 x14ac:dyDescent="0.25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/>
      </c>
      <c r="AM363" s="149" t="str">
        <f t="shared" si="54"/>
        <v/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 x14ac:dyDescent="0.25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/>
      </c>
      <c r="AM364" s="149" t="str">
        <f t="shared" si="54"/>
        <v/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 x14ac:dyDescent="0.25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/>
      </c>
      <c r="AM365" s="149" t="str">
        <f t="shared" si="54"/>
        <v/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 x14ac:dyDescent="0.25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/>
      </c>
      <c r="AM366" s="149" t="str">
        <f t="shared" si="54"/>
        <v/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 x14ac:dyDescent="0.25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/>
      </c>
      <c r="AM367" s="149" t="str">
        <f t="shared" si="54"/>
        <v/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 x14ac:dyDescent="0.25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/>
      </c>
      <c r="AM368" s="149" t="str">
        <f t="shared" si="54"/>
        <v/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 x14ac:dyDescent="0.25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/>
      </c>
      <c r="AM369" s="149" t="str">
        <f t="shared" si="54"/>
        <v/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 x14ac:dyDescent="0.25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/>
      </c>
      <c r="AM370" s="149" t="str">
        <f t="shared" si="54"/>
        <v/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 x14ac:dyDescent="0.25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/>
      </c>
      <c r="AM371" s="149" t="str">
        <f t="shared" si="54"/>
        <v/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 x14ac:dyDescent="0.25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/>
      </c>
      <c r="AM372" s="149" t="str">
        <f t="shared" si="54"/>
        <v/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 x14ac:dyDescent="0.25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/>
      </c>
      <c r="AM373" s="149" t="str">
        <f t="shared" si="54"/>
        <v/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 x14ac:dyDescent="0.25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/>
      </c>
      <c r="AM374" s="149" t="str">
        <f t="shared" si="54"/>
        <v/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 x14ac:dyDescent="0.25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/>
      </c>
      <c r="AM375" s="149" t="str">
        <f t="shared" si="54"/>
        <v/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 x14ac:dyDescent="0.25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/>
      </c>
      <c r="AM376" s="149" t="str">
        <f t="shared" si="54"/>
        <v/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 x14ac:dyDescent="0.25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/>
      </c>
      <c r="AM377" s="149" t="str">
        <f t="shared" si="54"/>
        <v/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 x14ac:dyDescent="0.25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/>
      </c>
      <c r="AM378" s="149" t="str">
        <f t="shared" si="54"/>
        <v/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 x14ac:dyDescent="0.25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/>
      </c>
      <c r="AM379" s="149" t="str">
        <f t="shared" si="54"/>
        <v/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 x14ac:dyDescent="0.25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/>
      </c>
      <c r="AM380" s="149" t="str">
        <f t="shared" si="54"/>
        <v/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 x14ac:dyDescent="0.25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/>
      </c>
      <c r="AM381" s="149" t="str">
        <f t="shared" si="54"/>
        <v/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 x14ac:dyDescent="0.25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/>
      </c>
      <c r="AM382" s="149" t="str">
        <f t="shared" si="54"/>
        <v/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 x14ac:dyDescent="0.25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/>
      </c>
      <c r="AM383" s="149" t="str">
        <f t="shared" si="54"/>
        <v/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 x14ac:dyDescent="0.25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/>
      </c>
      <c r="AM384" s="149" t="str">
        <f t="shared" si="54"/>
        <v/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 x14ac:dyDescent="0.25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/>
      </c>
      <c r="AM385" s="149" t="str">
        <f t="shared" si="54"/>
        <v/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 x14ac:dyDescent="0.25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/>
      </c>
      <c r="AM386" s="149" t="str">
        <f t="shared" si="54"/>
        <v/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 x14ac:dyDescent="0.25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/>
      </c>
      <c r="AM387" s="149" t="str">
        <f t="shared" si="54"/>
        <v/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 x14ac:dyDescent="0.25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/>
      </c>
      <c r="AM388" s="149" t="str">
        <f t="shared" si="54"/>
        <v/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 x14ac:dyDescent="0.25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/>
      </c>
      <c r="AM389" s="149" t="str">
        <f t="shared" si="54"/>
        <v/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 x14ac:dyDescent="0.25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/>
      </c>
      <c r="AM390" s="149" t="str">
        <f t="shared" si="54"/>
        <v/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 x14ac:dyDescent="0.25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/>
      </c>
      <c r="AM391" s="149" t="str">
        <f t="shared" si="54"/>
        <v/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 x14ac:dyDescent="0.25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/>
      </c>
      <c r="AM392" s="149" t="str">
        <f t="shared" si="54"/>
        <v/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 x14ac:dyDescent="0.25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/>
      </c>
      <c r="AM393" s="149" t="str">
        <f t="shared" si="54"/>
        <v/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 x14ac:dyDescent="0.25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/>
      </c>
      <c r="AM394" s="149" t="str">
        <f t="shared" si="54"/>
        <v/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 x14ac:dyDescent="0.25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/>
      </c>
      <c r="AM395" s="149" t="str">
        <f t="shared" si="54"/>
        <v/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 x14ac:dyDescent="0.25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/>
      </c>
      <c r="AM396" s="149" t="str">
        <f t="shared" si="54"/>
        <v/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 x14ac:dyDescent="0.25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/>
      </c>
      <c r="AM397" s="149" t="str">
        <f t="shared" si="54"/>
        <v/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 x14ac:dyDescent="0.25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/>
      </c>
      <c r="AM398" s="149" t="str">
        <f t="shared" si="54"/>
        <v/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 x14ac:dyDescent="0.25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/>
      </c>
      <c r="AM399" s="149" t="str">
        <f t="shared" ref="AM399:AM462" si="60">IF(AK399="",AJ399,CONCATENATE(AJ399,"  &lt;=&gt; ",AK399," ",AL399))</f>
        <v/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 x14ac:dyDescent="0.25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/>
      </c>
      <c r="AM400" s="149" t="str">
        <f t="shared" si="60"/>
        <v/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 x14ac:dyDescent="0.25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/>
      </c>
      <c r="AM401" s="149" t="str">
        <f t="shared" si="60"/>
        <v/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 x14ac:dyDescent="0.25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/>
      </c>
      <c r="AM402" s="149" t="str">
        <f t="shared" si="60"/>
        <v/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 x14ac:dyDescent="0.25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/>
      </c>
      <c r="AM403" s="149" t="str">
        <f t="shared" si="60"/>
        <v/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 x14ac:dyDescent="0.25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/>
      </c>
      <c r="AM404" s="149" t="str">
        <f t="shared" si="60"/>
        <v/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 x14ac:dyDescent="0.25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/>
      </c>
      <c r="AM405" s="149" t="str">
        <f t="shared" si="60"/>
        <v/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 x14ac:dyDescent="0.25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/>
      </c>
      <c r="AM406" s="149" t="str">
        <f t="shared" si="60"/>
        <v/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 x14ac:dyDescent="0.25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/>
      </c>
      <c r="AM407" s="149" t="str">
        <f t="shared" si="60"/>
        <v/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 x14ac:dyDescent="0.25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/>
      </c>
      <c r="AM408" s="149" t="str">
        <f t="shared" si="60"/>
        <v/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 x14ac:dyDescent="0.25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/>
      </c>
      <c r="AM409" s="149" t="str">
        <f t="shared" si="60"/>
        <v/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 x14ac:dyDescent="0.25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/>
      </c>
      <c r="AM410" s="149" t="str">
        <f t="shared" si="60"/>
        <v/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 x14ac:dyDescent="0.25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/>
      </c>
      <c r="AM411" s="149" t="str">
        <f t="shared" si="60"/>
        <v/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 x14ac:dyDescent="0.25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/>
      </c>
      <c r="AM412" s="149" t="str">
        <f t="shared" si="60"/>
        <v/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 x14ac:dyDescent="0.25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/>
      </c>
      <c r="AM413" s="149" t="str">
        <f t="shared" si="60"/>
        <v/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 x14ac:dyDescent="0.25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/>
      </c>
      <c r="AM414" s="149" t="str">
        <f t="shared" si="60"/>
        <v/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 x14ac:dyDescent="0.25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/>
      </c>
      <c r="AM415" s="149" t="str">
        <f t="shared" si="60"/>
        <v/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 x14ac:dyDescent="0.25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/>
      </c>
      <c r="AM416" s="149" t="str">
        <f t="shared" si="60"/>
        <v/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 x14ac:dyDescent="0.25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/>
      </c>
      <c r="AM417" s="149" t="str">
        <f t="shared" si="60"/>
        <v/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 x14ac:dyDescent="0.25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/>
      </c>
      <c r="AM418" s="149" t="str">
        <f t="shared" si="60"/>
        <v/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 x14ac:dyDescent="0.25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/>
      </c>
      <c r="AM419" s="149" t="str">
        <f t="shared" si="60"/>
        <v/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 x14ac:dyDescent="0.25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/>
      </c>
      <c r="AM420" s="149" t="str">
        <f t="shared" si="60"/>
        <v/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 x14ac:dyDescent="0.25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/>
      </c>
      <c r="AM421" s="149" t="str">
        <f t="shared" si="60"/>
        <v/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 x14ac:dyDescent="0.25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/>
      </c>
      <c r="AM422" s="149" t="str">
        <f t="shared" si="60"/>
        <v/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 x14ac:dyDescent="0.25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/>
      </c>
      <c r="AM423" s="149" t="str">
        <f t="shared" si="60"/>
        <v/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 x14ac:dyDescent="0.25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/>
      </c>
      <c r="AM424" s="149" t="str">
        <f t="shared" si="60"/>
        <v/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 x14ac:dyDescent="0.25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/>
      </c>
      <c r="AM425" s="149" t="str">
        <f t="shared" si="60"/>
        <v/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 x14ac:dyDescent="0.25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/>
      </c>
      <c r="AM426" s="149" t="str">
        <f t="shared" si="60"/>
        <v/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 x14ac:dyDescent="0.25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/>
      </c>
      <c r="AM427" s="149" t="str">
        <f t="shared" si="60"/>
        <v/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 x14ac:dyDescent="0.25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/>
      </c>
      <c r="AM428" s="149" t="str">
        <f t="shared" si="60"/>
        <v/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 x14ac:dyDescent="0.25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/>
      </c>
      <c r="AM429" s="149" t="str">
        <f t="shared" si="60"/>
        <v/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 x14ac:dyDescent="0.25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/>
      </c>
      <c r="AM430" s="149" t="str">
        <f t="shared" si="60"/>
        <v/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 x14ac:dyDescent="0.25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/>
      </c>
      <c r="AM431" s="149" t="str">
        <f t="shared" si="60"/>
        <v/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 x14ac:dyDescent="0.25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/>
      </c>
      <c r="AM432" s="149" t="str">
        <f t="shared" si="60"/>
        <v/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 x14ac:dyDescent="0.25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/>
      </c>
      <c r="AM433" s="149" t="str">
        <f t="shared" si="60"/>
        <v/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 x14ac:dyDescent="0.25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/>
      </c>
      <c r="AM434" s="149" t="str">
        <f t="shared" si="60"/>
        <v/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 x14ac:dyDescent="0.25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/>
      </c>
      <c r="AM435" s="149" t="str">
        <f t="shared" si="60"/>
        <v/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 x14ac:dyDescent="0.25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/>
      </c>
      <c r="AM436" s="149" t="str">
        <f t="shared" si="60"/>
        <v/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 x14ac:dyDescent="0.25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/>
      </c>
      <c r="AM437" s="149" t="str">
        <f t="shared" si="60"/>
        <v/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 x14ac:dyDescent="0.25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/>
      </c>
      <c r="AM438" s="149" t="str">
        <f t="shared" si="60"/>
        <v/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 x14ac:dyDescent="0.25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/>
      </c>
      <c r="AM439" s="149" t="str">
        <f t="shared" si="60"/>
        <v/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 x14ac:dyDescent="0.25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/>
      </c>
      <c r="AM440" s="149" t="str">
        <f t="shared" si="60"/>
        <v/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 x14ac:dyDescent="0.25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/>
      </c>
      <c r="AM441" s="149" t="str">
        <f t="shared" si="60"/>
        <v/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 x14ac:dyDescent="0.25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/>
      </c>
      <c r="AM442" s="149" t="str">
        <f t="shared" si="60"/>
        <v/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 x14ac:dyDescent="0.25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/>
      </c>
      <c r="AM443" s="149" t="str">
        <f t="shared" si="60"/>
        <v/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 x14ac:dyDescent="0.25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/>
      </c>
      <c r="AM444" s="149" t="str">
        <f t="shared" si="60"/>
        <v/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 x14ac:dyDescent="0.25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/>
      </c>
      <c r="AM445" s="149" t="str">
        <f t="shared" si="60"/>
        <v/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 x14ac:dyDescent="0.25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/>
      </c>
      <c r="AM446" s="149" t="str">
        <f t="shared" si="60"/>
        <v/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 x14ac:dyDescent="0.25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/>
      </c>
      <c r="AM447" s="149" t="str">
        <f t="shared" si="60"/>
        <v/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 x14ac:dyDescent="0.25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/>
      </c>
      <c r="AM448" s="149" t="str">
        <f t="shared" si="60"/>
        <v/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 x14ac:dyDescent="0.25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/>
      </c>
      <c r="AM449" s="149" t="str">
        <f t="shared" si="60"/>
        <v/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 x14ac:dyDescent="0.25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/>
      </c>
      <c r="AM450" s="149" t="str">
        <f t="shared" si="60"/>
        <v/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 x14ac:dyDescent="0.25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/>
      </c>
      <c r="AM451" s="149" t="str">
        <f t="shared" si="60"/>
        <v/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 x14ac:dyDescent="0.25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/>
      </c>
      <c r="AM452" s="149" t="str">
        <f t="shared" si="60"/>
        <v/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 x14ac:dyDescent="0.25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/>
      </c>
      <c r="AM453" s="149" t="str">
        <f t="shared" si="60"/>
        <v/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 x14ac:dyDescent="0.25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/>
      </c>
      <c r="AM454" s="149" t="str">
        <f t="shared" si="60"/>
        <v/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 x14ac:dyDescent="0.25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/>
      </c>
      <c r="AM455" s="149" t="str">
        <f t="shared" si="60"/>
        <v/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 x14ac:dyDescent="0.25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/>
      </c>
      <c r="AM456" s="149" t="str">
        <f t="shared" si="60"/>
        <v/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 x14ac:dyDescent="0.25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/>
      </c>
      <c r="AM457" s="149" t="str">
        <f t="shared" si="60"/>
        <v/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 x14ac:dyDescent="0.25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/>
      </c>
      <c r="AM458" s="149" t="str">
        <f t="shared" si="60"/>
        <v/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 x14ac:dyDescent="0.25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/>
      </c>
      <c r="AM459" s="149" t="str">
        <f t="shared" si="60"/>
        <v/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 x14ac:dyDescent="0.25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/>
      </c>
      <c r="AM460" s="149" t="str">
        <f t="shared" si="60"/>
        <v/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 x14ac:dyDescent="0.25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/>
      </c>
      <c r="AM461" s="149" t="str">
        <f t="shared" si="60"/>
        <v/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 x14ac:dyDescent="0.25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/>
      </c>
      <c r="AM462" s="149" t="str">
        <f t="shared" si="60"/>
        <v/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 x14ac:dyDescent="0.25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/>
      </c>
      <c r="AM463" s="149" t="str">
        <f t="shared" ref="AM463:AM526" si="66">IF(AK463="",AJ463,CONCATENATE(AJ463,"  &lt;=&gt; ",AK463," ",AL463))</f>
        <v/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 x14ac:dyDescent="0.25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/>
      </c>
      <c r="AM464" s="149" t="str">
        <f t="shared" si="66"/>
        <v/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 x14ac:dyDescent="0.25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/>
      </c>
      <c r="AM465" s="149" t="str">
        <f t="shared" si="66"/>
        <v/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 x14ac:dyDescent="0.25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/>
      </c>
      <c r="AM466" s="149" t="str">
        <f t="shared" si="66"/>
        <v/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 x14ac:dyDescent="0.25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/>
      </c>
      <c r="AM467" s="149" t="str">
        <f t="shared" si="66"/>
        <v/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 x14ac:dyDescent="0.25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/>
      </c>
      <c r="AM468" s="149" t="str">
        <f t="shared" si="66"/>
        <v/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 x14ac:dyDescent="0.25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/>
      </c>
      <c r="AM469" s="149" t="str">
        <f t="shared" si="66"/>
        <v/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 x14ac:dyDescent="0.25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/>
      </c>
      <c r="AM470" s="149" t="str">
        <f t="shared" si="66"/>
        <v/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 x14ac:dyDescent="0.25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/>
      </c>
      <c r="AM471" s="149" t="str">
        <f t="shared" si="66"/>
        <v/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 x14ac:dyDescent="0.25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/>
      </c>
      <c r="AM472" s="149" t="str">
        <f t="shared" si="66"/>
        <v/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 x14ac:dyDescent="0.25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/>
      </c>
      <c r="AM473" s="149" t="str">
        <f t="shared" si="66"/>
        <v/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 x14ac:dyDescent="0.25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/>
      </c>
      <c r="AM474" s="149" t="str">
        <f t="shared" si="66"/>
        <v/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 x14ac:dyDescent="0.25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/>
      </c>
      <c r="AM475" s="149" t="str">
        <f t="shared" si="66"/>
        <v/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 x14ac:dyDescent="0.25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/>
      </c>
      <c r="AM476" s="149" t="str">
        <f t="shared" si="66"/>
        <v/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 x14ac:dyDescent="0.25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/>
      </c>
      <c r="AM477" s="149" t="str">
        <f t="shared" si="66"/>
        <v/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 x14ac:dyDescent="0.25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/>
      </c>
      <c r="AM478" s="149" t="str">
        <f t="shared" si="66"/>
        <v/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 x14ac:dyDescent="0.25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/>
      </c>
      <c r="AM479" s="149" t="str">
        <f t="shared" si="66"/>
        <v/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 x14ac:dyDescent="0.25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/>
      </c>
      <c r="AM480" s="149" t="str">
        <f t="shared" si="66"/>
        <v/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 x14ac:dyDescent="0.25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/>
      </c>
      <c r="AM481" s="149" t="str">
        <f t="shared" si="66"/>
        <v/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 x14ac:dyDescent="0.25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/>
      </c>
      <c r="AM482" s="149" t="str">
        <f t="shared" si="66"/>
        <v/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 x14ac:dyDescent="0.25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/>
      </c>
      <c r="AM483" s="149" t="str">
        <f t="shared" si="66"/>
        <v/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 x14ac:dyDescent="0.25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/>
      </c>
      <c r="AM484" s="149" t="str">
        <f t="shared" si="66"/>
        <v/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 x14ac:dyDescent="0.25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/>
      </c>
      <c r="AM485" s="149" t="str">
        <f t="shared" si="66"/>
        <v/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 x14ac:dyDescent="0.25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/>
      </c>
      <c r="AM486" s="149" t="str">
        <f t="shared" si="66"/>
        <v/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 x14ac:dyDescent="0.25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/>
      </c>
      <c r="AM487" s="149" t="str">
        <f t="shared" si="66"/>
        <v/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 x14ac:dyDescent="0.25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/>
      </c>
      <c r="AM488" s="149" t="str">
        <f t="shared" si="66"/>
        <v/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 x14ac:dyDescent="0.25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/>
      </c>
      <c r="AM489" s="149" t="str">
        <f t="shared" si="66"/>
        <v/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 x14ac:dyDescent="0.25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/>
      </c>
      <c r="AM490" s="149" t="str">
        <f t="shared" si="66"/>
        <v/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 x14ac:dyDescent="0.25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/>
      </c>
      <c r="AM491" s="149" t="str">
        <f t="shared" si="66"/>
        <v/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 x14ac:dyDescent="0.25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/>
      </c>
      <c r="AM492" s="149" t="str">
        <f t="shared" si="66"/>
        <v/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 x14ac:dyDescent="0.25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/>
      </c>
      <c r="AM493" s="149" t="str">
        <f t="shared" si="66"/>
        <v/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 x14ac:dyDescent="0.25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/>
      </c>
      <c r="AM494" s="149" t="str">
        <f t="shared" si="66"/>
        <v/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 x14ac:dyDescent="0.25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/>
      </c>
      <c r="AM495" s="149" t="str">
        <f t="shared" si="66"/>
        <v/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 x14ac:dyDescent="0.25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/>
      </c>
      <c r="AM496" s="149" t="str">
        <f t="shared" si="66"/>
        <v/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 x14ac:dyDescent="0.25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/>
      </c>
      <c r="AM497" s="149" t="str">
        <f t="shared" si="66"/>
        <v/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 x14ac:dyDescent="0.25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/>
      </c>
      <c r="AM498" s="149" t="str">
        <f t="shared" si="66"/>
        <v/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 x14ac:dyDescent="0.25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/>
      </c>
      <c r="AM499" s="149" t="str">
        <f t="shared" si="66"/>
        <v/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 x14ac:dyDescent="0.25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/>
      </c>
      <c r="AM500" s="149" t="str">
        <f t="shared" si="66"/>
        <v/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 x14ac:dyDescent="0.25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/>
      </c>
      <c r="AM501" s="149" t="str">
        <f t="shared" si="66"/>
        <v/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 x14ac:dyDescent="0.25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/>
      </c>
      <c r="AM502" s="149" t="str">
        <f t="shared" si="66"/>
        <v/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 x14ac:dyDescent="0.25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/>
      </c>
      <c r="AM503" s="149" t="str">
        <f t="shared" si="66"/>
        <v/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 x14ac:dyDescent="0.25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/>
      </c>
      <c r="AM504" s="149" t="str">
        <f t="shared" si="66"/>
        <v/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 x14ac:dyDescent="0.25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/>
      </c>
      <c r="AM505" s="149" t="str">
        <f t="shared" si="66"/>
        <v/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 x14ac:dyDescent="0.25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/>
      </c>
      <c r="AM506" s="149" t="str">
        <f t="shared" si="66"/>
        <v/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 x14ac:dyDescent="0.25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/>
      </c>
      <c r="AM507" s="149" t="str">
        <f t="shared" si="66"/>
        <v/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 x14ac:dyDescent="0.25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/>
      </c>
      <c r="AM508" s="149" t="str">
        <f t="shared" si="66"/>
        <v/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 x14ac:dyDescent="0.25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/>
      </c>
      <c r="AM509" s="149" t="str">
        <f t="shared" si="66"/>
        <v/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 x14ac:dyDescent="0.25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/>
      </c>
      <c r="AM510" s="149" t="str">
        <f t="shared" si="66"/>
        <v/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 x14ac:dyDescent="0.25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/>
      </c>
      <c r="AM511" s="149" t="str">
        <f t="shared" si="66"/>
        <v/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 x14ac:dyDescent="0.25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/>
      </c>
      <c r="AM512" s="149" t="str">
        <f t="shared" si="66"/>
        <v/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 x14ac:dyDescent="0.25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/>
      </c>
      <c r="AM513" s="149" t="str">
        <f t="shared" si="66"/>
        <v/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 x14ac:dyDescent="0.25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/>
      </c>
      <c r="AM514" s="149" t="str">
        <f t="shared" si="66"/>
        <v/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 x14ac:dyDescent="0.25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/>
      </c>
      <c r="AM515" s="149" t="str">
        <f t="shared" si="66"/>
        <v/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 x14ac:dyDescent="0.25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/>
      </c>
      <c r="AM516" s="149" t="str">
        <f t="shared" si="66"/>
        <v/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 x14ac:dyDescent="0.25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/>
      </c>
      <c r="AM517" s="149" t="str">
        <f t="shared" si="66"/>
        <v/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 x14ac:dyDescent="0.25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/>
      </c>
      <c r="AM518" s="149" t="str">
        <f t="shared" si="66"/>
        <v/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 x14ac:dyDescent="0.25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/>
      </c>
      <c r="AM519" s="149" t="str">
        <f t="shared" si="66"/>
        <v/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 x14ac:dyDescent="0.25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/>
      </c>
      <c r="AM520" s="149" t="str">
        <f t="shared" si="66"/>
        <v/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 x14ac:dyDescent="0.25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/>
      </c>
      <c r="AM521" s="149" t="str">
        <f t="shared" si="66"/>
        <v/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 x14ac:dyDescent="0.25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/>
      </c>
      <c r="AM522" s="149" t="str">
        <f t="shared" si="66"/>
        <v/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 x14ac:dyDescent="0.25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/>
      </c>
      <c r="AM523" s="149" t="str">
        <f t="shared" si="66"/>
        <v/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 x14ac:dyDescent="0.25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/>
      </c>
      <c r="AM524" s="149" t="str">
        <f t="shared" si="66"/>
        <v/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 x14ac:dyDescent="0.25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/>
      </c>
      <c r="AM525" s="149" t="str">
        <f t="shared" si="66"/>
        <v/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 x14ac:dyDescent="0.25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/>
      </c>
      <c r="AM526" s="149" t="str">
        <f t="shared" si="66"/>
        <v/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 x14ac:dyDescent="0.25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/>
      </c>
      <c r="AM527" s="149" t="str">
        <f t="shared" ref="AM527:AM590" si="72">IF(AK527="",AJ527,CONCATENATE(AJ527,"  &lt;=&gt; ",AK527," ",AL527))</f>
        <v/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 x14ac:dyDescent="0.25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/>
      </c>
      <c r="AM528" s="149" t="str">
        <f t="shared" si="72"/>
        <v/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 x14ac:dyDescent="0.25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/>
      </c>
      <c r="AM529" s="149" t="str">
        <f t="shared" si="72"/>
        <v/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 x14ac:dyDescent="0.25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/>
      </c>
      <c r="AM530" s="149" t="str">
        <f t="shared" si="72"/>
        <v/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 x14ac:dyDescent="0.25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/>
      </c>
      <c r="AM531" s="149" t="str">
        <f t="shared" si="72"/>
        <v/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 x14ac:dyDescent="0.25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/>
      </c>
      <c r="AM532" s="149" t="str">
        <f t="shared" si="72"/>
        <v/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 x14ac:dyDescent="0.25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/>
      </c>
      <c r="AM533" s="149" t="str">
        <f t="shared" si="72"/>
        <v/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 x14ac:dyDescent="0.25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/>
      </c>
      <c r="AM534" s="149" t="str">
        <f t="shared" si="72"/>
        <v/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 x14ac:dyDescent="0.25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/>
      </c>
      <c r="AM535" s="149" t="str">
        <f t="shared" si="72"/>
        <v/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 x14ac:dyDescent="0.25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/>
      </c>
      <c r="AM536" s="149" t="str">
        <f t="shared" si="72"/>
        <v/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 x14ac:dyDescent="0.25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/>
      </c>
      <c r="AM537" s="149" t="str">
        <f t="shared" si="72"/>
        <v/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 x14ac:dyDescent="0.25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/>
      </c>
      <c r="AM538" s="149" t="str">
        <f t="shared" si="72"/>
        <v/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 x14ac:dyDescent="0.25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/>
      </c>
      <c r="AM539" s="149" t="str">
        <f t="shared" si="72"/>
        <v/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 x14ac:dyDescent="0.25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/>
      </c>
      <c r="AM540" s="149" t="str">
        <f t="shared" si="72"/>
        <v/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 x14ac:dyDescent="0.25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/>
      </c>
      <c r="AM541" s="149" t="str">
        <f t="shared" si="72"/>
        <v/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 x14ac:dyDescent="0.25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/>
      </c>
      <c r="AM542" s="149" t="str">
        <f t="shared" si="72"/>
        <v/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 x14ac:dyDescent="0.25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/>
      </c>
      <c r="AM543" s="149" t="str">
        <f t="shared" si="72"/>
        <v/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 x14ac:dyDescent="0.25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/>
      </c>
      <c r="AM544" s="149" t="str">
        <f t="shared" si="72"/>
        <v/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 x14ac:dyDescent="0.25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/>
      </c>
      <c r="AM545" s="149" t="str">
        <f t="shared" si="72"/>
        <v/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 x14ac:dyDescent="0.25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/>
      </c>
      <c r="AM546" s="149" t="str">
        <f t="shared" si="72"/>
        <v/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 x14ac:dyDescent="0.25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/>
      </c>
      <c r="AM547" s="149" t="str">
        <f t="shared" si="72"/>
        <v/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 x14ac:dyDescent="0.25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/>
      </c>
      <c r="AM548" s="149" t="str">
        <f t="shared" si="72"/>
        <v/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 x14ac:dyDescent="0.25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/>
      </c>
      <c r="AM549" s="149" t="str">
        <f t="shared" si="72"/>
        <v/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 x14ac:dyDescent="0.25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/>
      </c>
      <c r="AM550" s="149" t="str">
        <f t="shared" si="72"/>
        <v/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 x14ac:dyDescent="0.25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/>
      </c>
      <c r="AM551" s="149" t="str">
        <f t="shared" si="72"/>
        <v/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 x14ac:dyDescent="0.25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/>
      </c>
      <c r="AM552" s="149" t="str">
        <f t="shared" si="72"/>
        <v/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 x14ac:dyDescent="0.25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/>
      </c>
      <c r="AM553" s="149" t="str">
        <f t="shared" si="72"/>
        <v/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 x14ac:dyDescent="0.25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/>
      </c>
      <c r="AM554" s="149" t="str">
        <f t="shared" si="72"/>
        <v/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 x14ac:dyDescent="0.25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/>
      </c>
      <c r="AM555" s="149" t="str">
        <f t="shared" si="72"/>
        <v/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 x14ac:dyDescent="0.25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/>
      </c>
      <c r="AM556" s="149" t="str">
        <f t="shared" si="72"/>
        <v/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 x14ac:dyDescent="0.25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/>
      </c>
      <c r="AM557" s="149" t="str">
        <f t="shared" si="72"/>
        <v/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 x14ac:dyDescent="0.25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/>
      </c>
      <c r="AM558" s="149" t="str">
        <f t="shared" si="72"/>
        <v/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 x14ac:dyDescent="0.25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/>
      </c>
      <c r="AM559" s="149" t="str">
        <f t="shared" si="72"/>
        <v/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 x14ac:dyDescent="0.25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/>
      </c>
      <c r="AM560" s="149" t="str">
        <f t="shared" si="72"/>
        <v/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 x14ac:dyDescent="0.25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/>
      </c>
      <c r="AM561" s="149" t="str">
        <f t="shared" si="72"/>
        <v/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 x14ac:dyDescent="0.25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/>
      </c>
      <c r="AM562" s="149" t="str">
        <f t="shared" si="72"/>
        <v/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 x14ac:dyDescent="0.25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/>
      </c>
      <c r="AM563" s="149" t="str">
        <f t="shared" si="72"/>
        <v/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 x14ac:dyDescent="0.25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/>
      </c>
      <c r="AM564" s="149" t="str">
        <f t="shared" si="72"/>
        <v/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 x14ac:dyDescent="0.25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/>
      </c>
      <c r="AM565" s="149" t="str">
        <f t="shared" si="72"/>
        <v/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 x14ac:dyDescent="0.25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/>
      </c>
      <c r="AM566" s="149" t="str">
        <f t="shared" si="72"/>
        <v/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 x14ac:dyDescent="0.25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/>
      </c>
      <c r="AM567" s="149" t="str">
        <f t="shared" si="72"/>
        <v/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 x14ac:dyDescent="0.25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/>
      </c>
      <c r="AM568" s="149" t="str">
        <f t="shared" si="72"/>
        <v/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 x14ac:dyDescent="0.25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/>
      </c>
      <c r="AM569" s="149" t="str">
        <f t="shared" si="72"/>
        <v/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 x14ac:dyDescent="0.25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/>
      </c>
      <c r="AM570" s="149" t="str">
        <f t="shared" si="72"/>
        <v/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 x14ac:dyDescent="0.25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/>
      </c>
      <c r="AM571" s="149" t="str">
        <f t="shared" si="72"/>
        <v/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 x14ac:dyDescent="0.25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/>
      </c>
      <c r="AM572" s="149" t="str">
        <f t="shared" si="72"/>
        <v/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 x14ac:dyDescent="0.25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/>
      </c>
      <c r="AM573" s="149" t="str">
        <f t="shared" si="72"/>
        <v/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 x14ac:dyDescent="0.25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 x14ac:dyDescent="0.25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 x14ac:dyDescent="0.25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 x14ac:dyDescent="0.25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 x14ac:dyDescent="0.25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 x14ac:dyDescent="0.25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 x14ac:dyDescent="0.25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 x14ac:dyDescent="0.25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 x14ac:dyDescent="0.25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 x14ac:dyDescent="0.25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 x14ac:dyDescent="0.25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 x14ac:dyDescent="0.25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 x14ac:dyDescent="0.25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 x14ac:dyDescent="0.25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 x14ac:dyDescent="0.25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 x14ac:dyDescent="0.25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 x14ac:dyDescent="0.25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 x14ac:dyDescent="0.25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 x14ac:dyDescent="0.25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 x14ac:dyDescent="0.25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 x14ac:dyDescent="0.25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 x14ac:dyDescent="0.25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 x14ac:dyDescent="0.25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 x14ac:dyDescent="0.25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 x14ac:dyDescent="0.25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 x14ac:dyDescent="0.25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 x14ac:dyDescent="0.25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 x14ac:dyDescent="0.25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 x14ac:dyDescent="0.25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 x14ac:dyDescent="0.25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 x14ac:dyDescent="0.25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 x14ac:dyDescent="0.25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 x14ac:dyDescent="0.25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 x14ac:dyDescent="0.25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 x14ac:dyDescent="0.25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 x14ac:dyDescent="0.25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 x14ac:dyDescent="0.25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 x14ac:dyDescent="0.25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 x14ac:dyDescent="0.25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 x14ac:dyDescent="0.25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 x14ac:dyDescent="0.25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 x14ac:dyDescent="0.25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 x14ac:dyDescent="0.25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 x14ac:dyDescent="0.25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 x14ac:dyDescent="0.25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 x14ac:dyDescent="0.25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 x14ac:dyDescent="0.25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 x14ac:dyDescent="0.25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 x14ac:dyDescent="0.25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 x14ac:dyDescent="0.25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 x14ac:dyDescent="0.25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 x14ac:dyDescent="0.25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 x14ac:dyDescent="0.25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 x14ac:dyDescent="0.25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 x14ac:dyDescent="0.25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 x14ac:dyDescent="0.25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 x14ac:dyDescent="0.25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 x14ac:dyDescent="0.25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 x14ac:dyDescent="0.25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 x14ac:dyDescent="0.25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 x14ac:dyDescent="0.25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 x14ac:dyDescent="0.25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 x14ac:dyDescent="0.25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 x14ac:dyDescent="0.25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 x14ac:dyDescent="0.25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 x14ac:dyDescent="0.25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 x14ac:dyDescent="0.25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 x14ac:dyDescent="0.25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 x14ac:dyDescent="0.25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 x14ac:dyDescent="0.25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 x14ac:dyDescent="0.25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 x14ac:dyDescent="0.25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 x14ac:dyDescent="0.25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 x14ac:dyDescent="0.25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 x14ac:dyDescent="0.25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 x14ac:dyDescent="0.25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 x14ac:dyDescent="0.25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 x14ac:dyDescent="0.25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 x14ac:dyDescent="0.25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 x14ac:dyDescent="0.25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 x14ac:dyDescent="0.25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 x14ac:dyDescent="0.25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 x14ac:dyDescent="0.25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 x14ac:dyDescent="0.25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 x14ac:dyDescent="0.25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 x14ac:dyDescent="0.25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 x14ac:dyDescent="0.25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 x14ac:dyDescent="0.25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 x14ac:dyDescent="0.25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 x14ac:dyDescent="0.25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 x14ac:dyDescent="0.25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 x14ac:dyDescent="0.25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 x14ac:dyDescent="0.25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 x14ac:dyDescent="0.25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 x14ac:dyDescent="0.25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 x14ac:dyDescent="0.25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 x14ac:dyDescent="0.25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 x14ac:dyDescent="0.25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 x14ac:dyDescent="0.25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 x14ac:dyDescent="0.25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 x14ac:dyDescent="0.25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 x14ac:dyDescent="0.25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 x14ac:dyDescent="0.25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 x14ac:dyDescent="0.25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 x14ac:dyDescent="0.25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 x14ac:dyDescent="0.25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 x14ac:dyDescent="0.25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 x14ac:dyDescent="0.25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 x14ac:dyDescent="0.25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 x14ac:dyDescent="0.25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 x14ac:dyDescent="0.25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 x14ac:dyDescent="0.25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 x14ac:dyDescent="0.25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 x14ac:dyDescent="0.25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 x14ac:dyDescent="0.25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 x14ac:dyDescent="0.25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 x14ac:dyDescent="0.25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 x14ac:dyDescent="0.25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 x14ac:dyDescent="0.25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 x14ac:dyDescent="0.25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 x14ac:dyDescent="0.25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 x14ac:dyDescent="0.25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 x14ac:dyDescent="0.25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 x14ac:dyDescent="0.25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 x14ac:dyDescent="0.25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 x14ac:dyDescent="0.25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 x14ac:dyDescent="0.25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 x14ac:dyDescent="0.25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 x14ac:dyDescent="0.25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 x14ac:dyDescent="0.25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 x14ac:dyDescent="0.25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 x14ac:dyDescent="0.25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 x14ac:dyDescent="0.25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 x14ac:dyDescent="0.25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 x14ac:dyDescent="0.25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 x14ac:dyDescent="0.25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 x14ac:dyDescent="0.25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 x14ac:dyDescent="0.25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 x14ac:dyDescent="0.25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 x14ac:dyDescent="0.25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 x14ac:dyDescent="0.25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 x14ac:dyDescent="0.25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 x14ac:dyDescent="0.25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 x14ac:dyDescent="0.25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 x14ac:dyDescent="0.25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 x14ac:dyDescent="0.25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 x14ac:dyDescent="0.25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 x14ac:dyDescent="0.25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 x14ac:dyDescent="0.25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 x14ac:dyDescent="0.25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 x14ac:dyDescent="0.25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 x14ac:dyDescent="0.25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 x14ac:dyDescent="0.25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 x14ac:dyDescent="0.25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 x14ac:dyDescent="0.25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 x14ac:dyDescent="0.25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 x14ac:dyDescent="0.25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 x14ac:dyDescent="0.25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 x14ac:dyDescent="0.25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 x14ac:dyDescent="0.25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 x14ac:dyDescent="0.25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 x14ac:dyDescent="0.25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 x14ac:dyDescent="0.25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 x14ac:dyDescent="0.25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 x14ac:dyDescent="0.25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 x14ac:dyDescent="0.25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 x14ac:dyDescent="0.25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 x14ac:dyDescent="0.25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 x14ac:dyDescent="0.25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 x14ac:dyDescent="0.25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 x14ac:dyDescent="0.25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 x14ac:dyDescent="0.25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 x14ac:dyDescent="0.25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 x14ac:dyDescent="0.25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 x14ac:dyDescent="0.25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 x14ac:dyDescent="0.25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 x14ac:dyDescent="0.25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 x14ac:dyDescent="0.25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 x14ac:dyDescent="0.25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 x14ac:dyDescent="0.25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 x14ac:dyDescent="0.25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 x14ac:dyDescent="0.25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 x14ac:dyDescent="0.25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 x14ac:dyDescent="0.25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 x14ac:dyDescent="0.25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 x14ac:dyDescent="0.25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 x14ac:dyDescent="0.25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 x14ac:dyDescent="0.25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 x14ac:dyDescent="0.25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 x14ac:dyDescent="0.25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 x14ac:dyDescent="0.25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 x14ac:dyDescent="0.25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 x14ac:dyDescent="0.25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 x14ac:dyDescent="0.25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 x14ac:dyDescent="0.25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 x14ac:dyDescent="0.25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 x14ac:dyDescent="0.25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 x14ac:dyDescent="0.25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 x14ac:dyDescent="0.25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 x14ac:dyDescent="0.25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 x14ac:dyDescent="0.25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 x14ac:dyDescent="0.25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 x14ac:dyDescent="0.25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 x14ac:dyDescent="0.25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 x14ac:dyDescent="0.25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 x14ac:dyDescent="0.25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 x14ac:dyDescent="0.25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 x14ac:dyDescent="0.25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 x14ac:dyDescent="0.25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 x14ac:dyDescent="0.25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 x14ac:dyDescent="0.25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 x14ac:dyDescent="0.25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 x14ac:dyDescent="0.25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 x14ac:dyDescent="0.25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 x14ac:dyDescent="0.25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 x14ac:dyDescent="0.25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 x14ac:dyDescent="0.25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 x14ac:dyDescent="0.25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 x14ac:dyDescent="0.25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 x14ac:dyDescent="0.25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 x14ac:dyDescent="0.25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 x14ac:dyDescent="0.25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 x14ac:dyDescent="0.25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 x14ac:dyDescent="0.25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 x14ac:dyDescent="0.25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 x14ac:dyDescent="0.25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 x14ac:dyDescent="0.25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 x14ac:dyDescent="0.25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 x14ac:dyDescent="0.25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 x14ac:dyDescent="0.25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 x14ac:dyDescent="0.25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 x14ac:dyDescent="0.25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 x14ac:dyDescent="0.25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 x14ac:dyDescent="0.25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 x14ac:dyDescent="0.25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 x14ac:dyDescent="0.25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 x14ac:dyDescent="0.25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 x14ac:dyDescent="0.25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 x14ac:dyDescent="0.25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 x14ac:dyDescent="0.25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 x14ac:dyDescent="0.25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 x14ac:dyDescent="0.25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 x14ac:dyDescent="0.25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 x14ac:dyDescent="0.25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 x14ac:dyDescent="0.25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 x14ac:dyDescent="0.25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 x14ac:dyDescent="0.25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 x14ac:dyDescent="0.25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 x14ac:dyDescent="0.25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 x14ac:dyDescent="0.25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 x14ac:dyDescent="0.25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 x14ac:dyDescent="0.25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 x14ac:dyDescent="0.25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 x14ac:dyDescent="0.25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 x14ac:dyDescent="0.25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 x14ac:dyDescent="0.25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 x14ac:dyDescent="0.25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 x14ac:dyDescent="0.25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 x14ac:dyDescent="0.25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 x14ac:dyDescent="0.25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 x14ac:dyDescent="0.25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 x14ac:dyDescent="0.25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 x14ac:dyDescent="0.25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 x14ac:dyDescent="0.25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 x14ac:dyDescent="0.25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 x14ac:dyDescent="0.25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 x14ac:dyDescent="0.25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 x14ac:dyDescent="0.25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 x14ac:dyDescent="0.25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 x14ac:dyDescent="0.25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 x14ac:dyDescent="0.25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 x14ac:dyDescent="0.25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 x14ac:dyDescent="0.25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 x14ac:dyDescent="0.25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 x14ac:dyDescent="0.25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 x14ac:dyDescent="0.25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 x14ac:dyDescent="0.25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 x14ac:dyDescent="0.25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 x14ac:dyDescent="0.25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 x14ac:dyDescent="0.25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 x14ac:dyDescent="0.25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 x14ac:dyDescent="0.25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 x14ac:dyDescent="0.25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 x14ac:dyDescent="0.25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 x14ac:dyDescent="0.25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 x14ac:dyDescent="0.25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 x14ac:dyDescent="0.25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 x14ac:dyDescent="0.25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 x14ac:dyDescent="0.25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 x14ac:dyDescent="0.25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 x14ac:dyDescent="0.25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 x14ac:dyDescent="0.25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 x14ac:dyDescent="0.25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 x14ac:dyDescent="0.25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 x14ac:dyDescent="0.25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 x14ac:dyDescent="0.25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 x14ac:dyDescent="0.25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 x14ac:dyDescent="0.25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 x14ac:dyDescent="0.25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 x14ac:dyDescent="0.25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 x14ac:dyDescent="0.25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 x14ac:dyDescent="0.25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 x14ac:dyDescent="0.25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 x14ac:dyDescent="0.25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 x14ac:dyDescent="0.25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 x14ac:dyDescent="0.25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 x14ac:dyDescent="0.25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 x14ac:dyDescent="0.25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 x14ac:dyDescent="0.25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 x14ac:dyDescent="0.25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 x14ac:dyDescent="0.25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 x14ac:dyDescent="0.25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 x14ac:dyDescent="0.25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 x14ac:dyDescent="0.25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 x14ac:dyDescent="0.25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 x14ac:dyDescent="0.25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 x14ac:dyDescent="0.25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 x14ac:dyDescent="0.25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 x14ac:dyDescent="0.25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 x14ac:dyDescent="0.25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 x14ac:dyDescent="0.25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 x14ac:dyDescent="0.25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 x14ac:dyDescent="0.25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 x14ac:dyDescent="0.25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 x14ac:dyDescent="0.25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 x14ac:dyDescent="0.25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 x14ac:dyDescent="0.25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 x14ac:dyDescent="0.25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 x14ac:dyDescent="0.25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 x14ac:dyDescent="0.25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 x14ac:dyDescent="0.25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 x14ac:dyDescent="0.25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 x14ac:dyDescent="0.25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 x14ac:dyDescent="0.25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 x14ac:dyDescent="0.25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 x14ac:dyDescent="0.25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 x14ac:dyDescent="0.25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 x14ac:dyDescent="0.25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 x14ac:dyDescent="0.25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 x14ac:dyDescent="0.25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 x14ac:dyDescent="0.25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 x14ac:dyDescent="0.25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 x14ac:dyDescent="0.25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 x14ac:dyDescent="0.25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 x14ac:dyDescent="0.25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 x14ac:dyDescent="0.25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 x14ac:dyDescent="0.25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 x14ac:dyDescent="0.25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 x14ac:dyDescent="0.25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 x14ac:dyDescent="0.25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 x14ac:dyDescent="0.25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 x14ac:dyDescent="0.25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 x14ac:dyDescent="0.25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 x14ac:dyDescent="0.25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 x14ac:dyDescent="0.25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 x14ac:dyDescent="0.25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 x14ac:dyDescent="0.25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 x14ac:dyDescent="0.25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 x14ac:dyDescent="0.25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 x14ac:dyDescent="0.25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 x14ac:dyDescent="0.25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 x14ac:dyDescent="0.25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 x14ac:dyDescent="0.25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 x14ac:dyDescent="0.25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 x14ac:dyDescent="0.25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 x14ac:dyDescent="0.25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 x14ac:dyDescent="0.25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 x14ac:dyDescent="0.25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 x14ac:dyDescent="0.25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 x14ac:dyDescent="0.25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 x14ac:dyDescent="0.25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 x14ac:dyDescent="0.25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 x14ac:dyDescent="0.25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 x14ac:dyDescent="0.25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 x14ac:dyDescent="0.25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 x14ac:dyDescent="0.25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 x14ac:dyDescent="0.25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 x14ac:dyDescent="0.25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 x14ac:dyDescent="0.25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 x14ac:dyDescent="0.25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 x14ac:dyDescent="0.25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 x14ac:dyDescent="0.25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 x14ac:dyDescent="0.25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 x14ac:dyDescent="0.25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 x14ac:dyDescent="0.25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 x14ac:dyDescent="0.25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 x14ac:dyDescent="0.25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 x14ac:dyDescent="0.25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 x14ac:dyDescent="0.25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 x14ac:dyDescent="0.25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 x14ac:dyDescent="0.25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 x14ac:dyDescent="0.25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 x14ac:dyDescent="0.25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 x14ac:dyDescent="0.25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 x14ac:dyDescent="0.25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 x14ac:dyDescent="0.25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 x14ac:dyDescent="0.25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 x14ac:dyDescent="0.25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 x14ac:dyDescent="0.25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 x14ac:dyDescent="0.25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 x14ac:dyDescent="0.25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 x14ac:dyDescent="0.25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 x14ac:dyDescent="0.25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 x14ac:dyDescent="0.25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 x14ac:dyDescent="0.25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 x14ac:dyDescent="0.25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 x14ac:dyDescent="0.25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 x14ac:dyDescent="0.25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 x14ac:dyDescent="0.25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 x14ac:dyDescent="0.25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 x14ac:dyDescent="0.25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 x14ac:dyDescent="0.25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 x14ac:dyDescent="0.25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 x14ac:dyDescent="0.25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 x14ac:dyDescent="0.25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 x14ac:dyDescent="0.25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 x14ac:dyDescent="0.25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 x14ac:dyDescent="0.25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 x14ac:dyDescent="0.25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 x14ac:dyDescent="0.25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 x14ac:dyDescent="0.25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 x14ac:dyDescent="0.25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 x14ac:dyDescent="0.25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 x14ac:dyDescent="0.25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 x14ac:dyDescent="0.25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 x14ac:dyDescent="0.25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 x14ac:dyDescent="0.25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 x14ac:dyDescent="0.25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 x14ac:dyDescent="0.25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 x14ac:dyDescent="0.25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 x14ac:dyDescent="0.25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 x14ac:dyDescent="0.25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7" priority="27">
      <formula>$Y10=1</formula>
    </cfRule>
  </conditionalFormatting>
  <conditionalFormatting sqref="I10:K13 I154:K224">
    <cfRule type="expression" dxfId="36" priority="26">
      <formula>$Z10=1</formula>
    </cfRule>
  </conditionalFormatting>
  <conditionalFormatting sqref="E10:K13 E154:K224">
    <cfRule type="expression" dxfId="35" priority="25">
      <formula>$AB10=1</formula>
    </cfRule>
  </conditionalFormatting>
  <conditionalFormatting sqref="R10:W13 B10:P13 B154:P224 R154:W224">
    <cfRule type="expression" dxfId="34" priority="24">
      <formula>$X10=12</formula>
    </cfRule>
  </conditionalFormatting>
  <conditionalFormatting sqref="R10:W13 B10:P13 B154:P224 R154:W224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3 B10:P13 B154:P224 R154:X224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4:G83">
    <cfRule type="expression" dxfId="21" priority="8">
      <formula>$Y14=1</formula>
    </cfRule>
  </conditionalFormatting>
  <conditionalFormatting sqref="I14:K83">
    <cfRule type="expression" dxfId="20" priority="7">
      <formula>$Z14=1</formula>
    </cfRule>
  </conditionalFormatting>
  <conditionalFormatting sqref="E14:K83">
    <cfRule type="expression" dxfId="19" priority="6">
      <formula>$AB14=1</formula>
    </cfRule>
  </conditionalFormatting>
  <conditionalFormatting sqref="B14:P83 R14:W83">
    <cfRule type="expression" dxfId="18" priority="5">
      <formula>$X14=12</formula>
    </cfRule>
  </conditionalFormatting>
  <conditionalFormatting sqref="B14:P83 R14:W83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4:P83 R14:X83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6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11266" r:id="rId4" name="CommandButton1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8" r:id="rId8" name="CommandButton3">
          <controlPr defaultSize="0" autoLine="0" r:id="rId9">
            <anchor moveWithCells="1">
              <from>
                <xdr:col>13</xdr:col>
                <xdr:colOff>160020</xdr:colOff>
                <xdr:row>4</xdr:row>
                <xdr:rowOff>190500</xdr:rowOff>
              </from>
              <to>
                <xdr:col>14</xdr:col>
                <xdr:colOff>457200</xdr:colOff>
                <xdr:row>5</xdr:row>
                <xdr:rowOff>266700</xdr:rowOff>
              </to>
            </anchor>
          </controlPr>
        </control>
      </mc:Choice>
      <mc:Fallback>
        <control shapeId="11268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ColWidth="9.109375" defaultRowHeight="13.2" x14ac:dyDescent="0.25"/>
  <cols>
    <col min="1" max="1" width="1.6640625" style="458" customWidth="1"/>
    <col min="2" max="2" width="5.33203125" style="458" customWidth="1"/>
    <col min="3" max="3" width="32.5546875" style="458" customWidth="1"/>
    <col min="4" max="4" width="10.33203125" style="458" customWidth="1"/>
    <col min="5" max="5" width="6.5546875" style="458" customWidth="1"/>
    <col min="6" max="6" width="1.88671875" style="456" customWidth="1"/>
    <col min="7" max="7" width="6.5546875" style="458" customWidth="1"/>
    <col min="8" max="8" width="10.44140625" style="458" bestFit="1" customWidth="1"/>
    <col min="9" max="9" width="47.88671875" style="471" customWidth="1"/>
    <col min="10" max="10" width="29" style="458" customWidth="1"/>
    <col min="11" max="11" width="14" style="459" customWidth="1"/>
    <col min="12" max="12" width="2.109375" style="460" customWidth="1"/>
    <col min="13" max="13" width="11.88671875" style="458" customWidth="1"/>
    <col min="14" max="14" width="24.5546875" style="458" customWidth="1"/>
    <col min="15" max="15" width="1.88671875" style="461" customWidth="1"/>
    <col min="16" max="16" width="7.88671875" style="456" hidden="1" customWidth="1"/>
    <col min="17" max="17" width="9.109375" style="457" hidden="1" customWidth="1"/>
    <col min="18" max="18" width="1.44140625" style="369" customWidth="1"/>
    <col min="19" max="19" width="99" style="369" customWidth="1"/>
    <col min="20" max="124" width="9.109375" style="369"/>
    <col min="125" max="16384" width="9.109375" style="458"/>
  </cols>
  <sheetData>
    <row r="1" spans="1:19" ht="13.8" thickBot="1" x14ac:dyDescent="0.3">
      <c r="A1" s="361"/>
      <c r="B1" s="362"/>
      <c r="C1" s="362"/>
      <c r="D1" s="362"/>
      <c r="E1" s="362"/>
      <c r="F1" s="363"/>
      <c r="G1" s="362"/>
      <c r="H1" s="362"/>
      <c r="I1" s="462"/>
      <c r="J1" s="362"/>
      <c r="K1" s="364"/>
      <c r="L1" s="365"/>
      <c r="M1" s="362"/>
      <c r="N1" s="362"/>
      <c r="O1" s="366"/>
      <c r="P1" s="367" t="s">
        <v>77</v>
      </c>
      <c r="Q1" s="368" t="s">
        <v>79</v>
      </c>
    </row>
    <row r="2" spans="1:19" ht="14.4" thickBot="1" x14ac:dyDescent="0.35">
      <c r="A2" s="370"/>
      <c r="B2" s="585" t="s">
        <v>8</v>
      </c>
      <c r="C2" s="586"/>
      <c r="D2" s="371"/>
      <c r="E2" s="372"/>
      <c r="F2" s="373"/>
      <c r="G2" s="372"/>
      <c r="H2" s="372"/>
      <c r="I2" s="463"/>
      <c r="J2" s="372"/>
      <c r="K2" s="374"/>
      <c r="L2" s="375"/>
      <c r="M2" s="372"/>
      <c r="N2" s="376" t="s">
        <v>9</v>
      </c>
      <c r="O2" s="377"/>
      <c r="P2" s="367" t="s">
        <v>78</v>
      </c>
      <c r="Q2" s="368" t="s">
        <v>71</v>
      </c>
    </row>
    <row r="3" spans="1:19" ht="12.75" customHeight="1" x14ac:dyDescent="0.25">
      <c r="A3" s="370"/>
      <c r="B3" s="587" t="str">
        <f>'Cover - Location Info'!J8</f>
        <v>101736</v>
      </c>
      <c r="C3" s="588"/>
      <c r="D3" s="372"/>
      <c r="E3" s="372"/>
      <c r="F3" s="373"/>
      <c r="G3" s="372"/>
      <c r="H3" s="372"/>
      <c r="I3" s="463"/>
      <c r="J3" s="372"/>
      <c r="K3" s="374"/>
      <c r="L3" s="375"/>
      <c r="M3" s="372"/>
      <c r="N3" s="591" t="str">
        <f>'Cover - Location Info'!J10</f>
        <v>1.0</v>
      </c>
      <c r="O3" s="377"/>
      <c r="P3" s="367"/>
      <c r="Q3" s="368"/>
    </row>
    <row r="4" spans="1:19" ht="12.75" customHeight="1" thickBot="1" x14ac:dyDescent="0.3">
      <c r="A4" s="370"/>
      <c r="B4" s="589"/>
      <c r="C4" s="590"/>
      <c r="D4" s="372"/>
      <c r="E4" s="372"/>
      <c r="F4" s="373"/>
      <c r="G4" s="372"/>
      <c r="H4" s="372"/>
      <c r="I4" s="463"/>
      <c r="J4" s="372"/>
      <c r="K4" s="374"/>
      <c r="L4" s="375"/>
      <c r="M4" s="372"/>
      <c r="N4" s="592"/>
      <c r="O4" s="377"/>
      <c r="P4" s="367"/>
      <c r="Q4" s="368"/>
    </row>
    <row r="5" spans="1:19" ht="18" customHeight="1" x14ac:dyDescent="0.3">
      <c r="A5" s="370"/>
      <c r="B5" s="378"/>
      <c r="C5" s="378"/>
      <c r="D5" s="378"/>
      <c r="E5" s="378"/>
      <c r="F5" s="379"/>
      <c r="G5" s="593"/>
      <c r="H5" s="593"/>
      <c r="I5" s="593"/>
      <c r="J5" s="378"/>
      <c r="K5" s="380"/>
      <c r="L5" s="381"/>
      <c r="M5" s="378"/>
      <c r="N5" s="378"/>
      <c r="O5" s="377"/>
      <c r="P5" s="373"/>
      <c r="Q5" s="457" t="s">
        <v>12</v>
      </c>
    </row>
    <row r="6" spans="1:19" ht="29.25" customHeight="1" thickBot="1" x14ac:dyDescent="0.4">
      <c r="A6" s="370"/>
      <c r="B6" s="378"/>
      <c r="C6" s="382"/>
      <c r="D6" s="594" t="str">
        <f>IF(P9&gt;0,"FIBERS OUT OF SEQ.","")</f>
        <v/>
      </c>
      <c r="E6" s="594"/>
      <c r="F6" s="594"/>
      <c r="G6" s="594"/>
      <c r="H6" s="383"/>
      <c r="I6" s="464"/>
      <c r="J6" s="384"/>
      <c r="K6" s="385"/>
      <c r="L6" s="386"/>
      <c r="M6" s="384"/>
      <c r="N6" s="378"/>
      <c r="O6" s="377"/>
      <c r="P6" s="373"/>
    </row>
    <row r="7" spans="1:19" ht="24.75" customHeight="1" thickBot="1" x14ac:dyDescent="0.3">
      <c r="A7" s="387"/>
      <c r="B7" s="607" t="s">
        <v>149</v>
      </c>
      <c r="C7" s="608"/>
      <c r="D7" s="608"/>
      <c r="E7" s="609"/>
      <c r="F7" s="609"/>
      <c r="G7" s="609"/>
      <c r="H7" s="608"/>
      <c r="I7" s="608"/>
      <c r="J7" s="608"/>
      <c r="K7" s="608"/>
      <c r="L7" s="388"/>
      <c r="M7" s="607" t="s">
        <v>39</v>
      </c>
      <c r="N7" s="610"/>
      <c r="O7" s="595"/>
      <c r="P7" s="373"/>
    </row>
    <row r="8" spans="1:19" ht="13.5" customHeight="1" thickBot="1" x14ac:dyDescent="0.3">
      <c r="A8" s="389"/>
      <c r="B8" s="390"/>
      <c r="C8" s="391" t="s">
        <v>85</v>
      </c>
      <c r="D8" s="392" t="s">
        <v>37</v>
      </c>
      <c r="E8" s="393" t="s">
        <v>74</v>
      </c>
      <c r="F8" s="394"/>
      <c r="G8" s="395" t="s">
        <v>75</v>
      </c>
      <c r="H8" s="396" t="s">
        <v>76</v>
      </c>
      <c r="I8" s="596" t="s">
        <v>144</v>
      </c>
      <c r="J8" s="397"/>
      <c r="K8" s="398"/>
      <c r="L8" s="388"/>
      <c r="M8" s="598" t="s">
        <v>147</v>
      </c>
      <c r="N8" s="399"/>
      <c r="O8" s="595"/>
      <c r="P8" s="373"/>
      <c r="S8" s="600" t="s">
        <v>145</v>
      </c>
    </row>
    <row r="9" spans="1:19" ht="13.8" thickBot="1" x14ac:dyDescent="0.3">
      <c r="A9" s="389"/>
      <c r="B9" s="400" t="s">
        <v>35</v>
      </c>
      <c r="C9" s="401" t="s">
        <v>38</v>
      </c>
      <c r="D9" s="400" t="s">
        <v>3</v>
      </c>
      <c r="E9" s="597" t="s">
        <v>73</v>
      </c>
      <c r="F9" s="602"/>
      <c r="G9" s="603"/>
      <c r="H9" s="402" t="s">
        <v>81</v>
      </c>
      <c r="I9" s="597"/>
      <c r="J9" s="403" t="s">
        <v>88</v>
      </c>
      <c r="K9" s="404" t="s">
        <v>87</v>
      </c>
      <c r="L9" s="405"/>
      <c r="M9" s="599"/>
      <c r="N9" s="400" t="s">
        <v>146</v>
      </c>
      <c r="O9" s="595"/>
      <c r="P9" s="457">
        <f>SUM(P10:P124)</f>
        <v>0</v>
      </c>
      <c r="S9" s="601"/>
    </row>
    <row r="10" spans="1:19" ht="13.8" thickTop="1" x14ac:dyDescent="0.25">
      <c r="A10" s="387"/>
      <c r="B10" s="406"/>
      <c r="C10" s="407" t="str">
        <f>IFERROR(IF(B10="","",IF((COUNTIF('[1]Cable Info'!$B$11:$C$50,B10)=0),VLOOKUP(B10,'[1]Cable Info (2)'!$B$11:$C$50,2,FALSE),(VLOOKUP(B10,'[1]Cable Info'!$B$11:$C$50,2,FALSE)))),"NO SUCH EXIT")</f>
        <v/>
      </c>
      <c r="D10" s="408"/>
      <c r="E10" s="409"/>
      <c r="F10" s="410" t="s">
        <v>59</v>
      </c>
      <c r="G10" s="411"/>
      <c r="H10" s="412" t="str">
        <f>IF(G10="","",((E10-G10)-1)*(-1))</f>
        <v/>
      </c>
      <c r="I10" s="465"/>
      <c r="J10" s="413"/>
      <c r="K10" s="414"/>
      <c r="L10" s="604"/>
      <c r="M10" s="415"/>
      <c r="N10" s="416"/>
      <c r="O10" s="595"/>
      <c r="P10" s="373" t="str">
        <f t="shared" ref="P10:P113" si="0">IF(E10="","",IF(G10="","",IF(E10&gt;G10,1,"")))</f>
        <v/>
      </c>
      <c r="S10" s="417"/>
    </row>
    <row r="11" spans="1:19" x14ac:dyDescent="0.25">
      <c r="A11" s="387"/>
      <c r="B11" s="406"/>
      <c r="C11" s="412" t="str">
        <f>IFERROR(IF(B11="","",IF((COUNTIF('[1]Cable Info'!$B$11:$C$50,B11)=0),VLOOKUP(B11,'[1]Cable Info (2)'!$B$11:$C$50,2,FALSE),(VLOOKUP(B11,'[1]Cable Info'!$B$11:$C$50,2,FALSE)))),"NO SUCH EXIT")</f>
        <v/>
      </c>
      <c r="D11" s="418"/>
      <c r="E11" s="419"/>
      <c r="F11" s="420" t="s">
        <v>59</v>
      </c>
      <c r="G11" s="421"/>
      <c r="H11" s="412" t="str">
        <f>IF(G11="","",((E11-G11)-1)*(-1))</f>
        <v/>
      </c>
      <c r="I11" s="465"/>
      <c r="J11" s="422"/>
      <c r="K11" s="423"/>
      <c r="L11" s="605"/>
      <c r="M11" s="415"/>
      <c r="N11" s="416"/>
      <c r="O11" s="595"/>
      <c r="P11" s="373" t="str">
        <f t="shared" si="0"/>
        <v/>
      </c>
      <c r="S11" s="424"/>
    </row>
    <row r="12" spans="1:19" x14ac:dyDescent="0.25">
      <c r="A12" s="387"/>
      <c r="B12" s="406"/>
      <c r="C12" s="412" t="str">
        <f>IFERROR(IF(B12="","",IF((COUNTIF('[1]Cable Info'!$B$11:$C$50,B12)=0),VLOOKUP(B12,'[1]Cable Info (2)'!$B$11:$C$50,2,FALSE),(VLOOKUP(B12,'[1]Cable Info'!$B$11:$C$50,2,FALSE)))),"NO SUCH EXIT")</f>
        <v/>
      </c>
      <c r="D12" s="418"/>
      <c r="E12" s="409"/>
      <c r="F12" s="420" t="s">
        <v>59</v>
      </c>
      <c r="G12" s="411"/>
      <c r="H12" s="412" t="str">
        <f>IF(G12="","",((E12-G12)-1)*(-1))</f>
        <v/>
      </c>
      <c r="I12" s="466"/>
      <c r="J12" s="422"/>
      <c r="K12" s="423"/>
      <c r="L12" s="605"/>
      <c r="M12" s="415"/>
      <c r="N12" s="425"/>
      <c r="O12" s="595"/>
      <c r="P12" s="373" t="str">
        <f t="shared" si="0"/>
        <v/>
      </c>
      <c r="S12" s="424"/>
    </row>
    <row r="13" spans="1:19" x14ac:dyDescent="0.25">
      <c r="A13" s="387"/>
      <c r="B13" s="406"/>
      <c r="C13" s="412" t="str">
        <f>IFERROR(IF(B13="","",IF((COUNTIF('[1]Cable Info'!$B$11:$C$50,B13)=0),VLOOKUP(B13,'[1]Cable Info (2)'!$B$11:$C$50,2,FALSE),(VLOOKUP(B13,'[1]Cable Info'!$B$11:$C$50,2,FALSE)))),"NO SUCH EXIT")</f>
        <v/>
      </c>
      <c r="D13" s="418"/>
      <c r="E13" s="419"/>
      <c r="F13" s="420" t="s">
        <v>59</v>
      </c>
      <c r="G13" s="421"/>
      <c r="H13" s="412" t="str">
        <f t="shared" ref="H13:H116" si="1">IF(G13="","",((E13-G13)-1)*(-1))</f>
        <v/>
      </c>
      <c r="I13" s="465"/>
      <c r="J13" s="422"/>
      <c r="K13" s="423"/>
      <c r="L13" s="605"/>
      <c r="M13" s="415"/>
      <c r="N13" s="425"/>
      <c r="O13" s="595"/>
      <c r="P13" s="373" t="str">
        <f t="shared" si="0"/>
        <v/>
      </c>
      <c r="S13" s="424"/>
    </row>
    <row r="14" spans="1:19" x14ac:dyDescent="0.25">
      <c r="A14" s="387"/>
      <c r="B14" s="426"/>
      <c r="C14" s="412" t="str">
        <f>IFERROR(IF(B14="","",IF((COUNTIF('[1]Cable Info'!$B$11:$C$50,B14)=0),VLOOKUP(B14,'[1]Cable Info (2)'!$B$11:$C$50,2,FALSE),(VLOOKUP(B14,'[1]Cable Info'!$B$11:$C$50,2,FALSE)))),"NO SUCH EXIT")</f>
        <v/>
      </c>
      <c r="D14" s="418"/>
      <c r="E14" s="409"/>
      <c r="F14" s="420" t="s">
        <v>59</v>
      </c>
      <c r="G14" s="411"/>
      <c r="H14" s="412" t="str">
        <f t="shared" si="1"/>
        <v/>
      </c>
      <c r="I14" s="466"/>
      <c r="J14" s="422"/>
      <c r="K14" s="423"/>
      <c r="L14" s="605"/>
      <c r="M14" s="415"/>
      <c r="N14" s="425"/>
      <c r="O14" s="595"/>
      <c r="P14" s="373" t="str">
        <f t="shared" si="0"/>
        <v/>
      </c>
      <c r="S14" s="424"/>
    </row>
    <row r="15" spans="1:19" x14ac:dyDescent="0.25">
      <c r="A15" s="387"/>
      <c r="B15" s="426"/>
      <c r="C15" s="412" t="str">
        <f>IFERROR(IF(B15="","",IF((COUNTIF('[1]Cable Info'!$B$11:$C$50,B15)=0),VLOOKUP(B15,'[1]Cable Info (2)'!$B$11:$C$50,2,FALSE),(VLOOKUP(B15,'[1]Cable Info'!$B$11:$C$50,2,FALSE)))),"NO SUCH EXIT")</f>
        <v/>
      </c>
      <c r="D15" s="418"/>
      <c r="E15" s="419"/>
      <c r="F15" s="420" t="s">
        <v>59</v>
      </c>
      <c r="G15" s="421"/>
      <c r="H15" s="412" t="str">
        <f t="shared" si="1"/>
        <v/>
      </c>
      <c r="I15" s="465"/>
      <c r="J15" s="422"/>
      <c r="K15" s="423"/>
      <c r="L15" s="605"/>
      <c r="M15" s="415"/>
      <c r="N15" s="425"/>
      <c r="O15" s="595"/>
      <c r="P15" s="373" t="str">
        <f t="shared" si="0"/>
        <v/>
      </c>
      <c r="S15" s="424"/>
    </row>
    <row r="16" spans="1:19" x14ac:dyDescent="0.25">
      <c r="A16" s="387"/>
      <c r="B16" s="426"/>
      <c r="C16" s="412" t="str">
        <f>IFERROR(IF(B16="","",IF((COUNTIF('[1]Cable Info'!$B$11:$C$50,B16)=0),VLOOKUP(B16,'[1]Cable Info (2)'!$B$11:$C$50,2,FALSE),(VLOOKUP(B16,'[1]Cable Info'!$B$11:$C$50,2,FALSE)))),"NO SUCH EXIT")</f>
        <v/>
      </c>
      <c r="D16" s="418"/>
      <c r="E16" s="409"/>
      <c r="F16" s="420" t="s">
        <v>59</v>
      </c>
      <c r="G16" s="411"/>
      <c r="H16" s="412" t="str">
        <f t="shared" si="1"/>
        <v/>
      </c>
      <c r="I16" s="466"/>
      <c r="J16" s="422"/>
      <c r="K16" s="423"/>
      <c r="L16" s="605"/>
      <c r="M16" s="415"/>
      <c r="N16" s="425"/>
      <c r="O16" s="595"/>
      <c r="P16" s="373" t="str">
        <f t="shared" si="0"/>
        <v/>
      </c>
      <c r="S16" s="424"/>
    </row>
    <row r="17" spans="1:19" x14ac:dyDescent="0.25">
      <c r="A17" s="387"/>
      <c r="B17" s="426"/>
      <c r="C17" s="412" t="str">
        <f>IFERROR(IF(B17="","",IF((COUNTIF('[1]Cable Info'!$B$11:$C$50,B17)=0),VLOOKUP(B17,'[1]Cable Info (2)'!$B$11:$C$50,2,FALSE),(VLOOKUP(B17,'[1]Cable Info'!$B$11:$C$50,2,FALSE)))),"NO SUCH EXIT")</f>
        <v/>
      </c>
      <c r="D17" s="418"/>
      <c r="E17" s="419"/>
      <c r="F17" s="420" t="s">
        <v>59</v>
      </c>
      <c r="G17" s="421"/>
      <c r="H17" s="412" t="str">
        <f t="shared" si="1"/>
        <v/>
      </c>
      <c r="I17" s="465"/>
      <c r="J17" s="422"/>
      <c r="K17" s="423"/>
      <c r="L17" s="605"/>
      <c r="M17" s="415"/>
      <c r="N17" s="425"/>
      <c r="O17" s="595"/>
      <c r="P17" s="373" t="str">
        <f t="shared" si="0"/>
        <v/>
      </c>
      <c r="S17" s="424"/>
    </row>
    <row r="18" spans="1:19" x14ac:dyDescent="0.25">
      <c r="A18" s="387"/>
      <c r="B18" s="426"/>
      <c r="C18" s="412" t="str">
        <f>IFERROR(IF(B18="","",IF((COUNTIF('[1]Cable Info'!$B$11:$C$50,B18)=0),VLOOKUP(B18,'[1]Cable Info (2)'!$B$11:$C$50,2,FALSE),(VLOOKUP(B18,'[1]Cable Info'!$B$11:$C$50,2,FALSE)))),"NO SUCH EXIT")</f>
        <v/>
      </c>
      <c r="D18" s="418"/>
      <c r="E18" s="409"/>
      <c r="F18" s="420" t="s">
        <v>59</v>
      </c>
      <c r="G18" s="411"/>
      <c r="H18" s="412" t="str">
        <f t="shared" si="1"/>
        <v/>
      </c>
      <c r="I18" s="466"/>
      <c r="J18" s="422"/>
      <c r="K18" s="423"/>
      <c r="L18" s="605"/>
      <c r="M18" s="415"/>
      <c r="N18" s="425"/>
      <c r="O18" s="595"/>
      <c r="P18" s="373" t="str">
        <f t="shared" si="0"/>
        <v/>
      </c>
      <c r="S18" s="424"/>
    </row>
    <row r="19" spans="1:19" x14ac:dyDescent="0.25">
      <c r="A19" s="387"/>
      <c r="B19" s="426"/>
      <c r="C19" s="412" t="str">
        <f>IFERROR(IF(B19="","",IF((COUNTIF('[1]Cable Info'!$B$11:$C$50,B19)=0),VLOOKUP(B19,'[1]Cable Info (2)'!$B$11:$C$50,2,FALSE),(VLOOKUP(B19,'[1]Cable Info'!$B$11:$C$50,2,FALSE)))),"NO SUCH EXIT")</f>
        <v/>
      </c>
      <c r="D19" s="418"/>
      <c r="E19" s="419"/>
      <c r="F19" s="420" t="s">
        <v>59</v>
      </c>
      <c r="G19" s="421"/>
      <c r="H19" s="412" t="str">
        <f>IF(G19="","",((E19-G19)-1)*(-1))</f>
        <v/>
      </c>
      <c r="I19" s="465"/>
      <c r="J19" s="422"/>
      <c r="K19" s="423"/>
      <c r="L19" s="605"/>
      <c r="M19" s="415"/>
      <c r="N19" s="425"/>
      <c r="O19" s="595"/>
      <c r="P19" s="373" t="str">
        <f t="shared" si="0"/>
        <v/>
      </c>
      <c r="S19" s="424"/>
    </row>
    <row r="20" spans="1:19" x14ac:dyDescent="0.25">
      <c r="A20" s="387"/>
      <c r="B20" s="426"/>
      <c r="C20" s="412" t="str">
        <f>IFERROR(IF(B20="","",IF((COUNTIF('[1]Cable Info'!$B$11:$C$50,B20)=0),VLOOKUP(B20,'[1]Cable Info (2)'!$B$11:$C$50,2,FALSE),(VLOOKUP(B20,'[1]Cable Info'!$B$11:$C$50,2,FALSE)))),"NO SUCH EXIT")</f>
        <v/>
      </c>
      <c r="D20" s="418"/>
      <c r="E20" s="409"/>
      <c r="F20" s="420" t="s">
        <v>59</v>
      </c>
      <c r="G20" s="411"/>
      <c r="H20" s="412" t="str">
        <f t="shared" si="1"/>
        <v/>
      </c>
      <c r="I20" s="466"/>
      <c r="J20" s="422"/>
      <c r="K20" s="423"/>
      <c r="L20" s="605"/>
      <c r="M20" s="415"/>
      <c r="N20" s="425"/>
      <c r="O20" s="595"/>
      <c r="P20" s="373" t="str">
        <f t="shared" si="0"/>
        <v/>
      </c>
      <c r="S20" s="424"/>
    </row>
    <row r="21" spans="1:19" x14ac:dyDescent="0.25">
      <c r="A21" s="387"/>
      <c r="B21" s="426"/>
      <c r="C21" s="412" t="str">
        <f>IFERROR(IF(B21="","",IF((COUNTIF('[1]Cable Info'!$B$11:$C$50,B21)=0),VLOOKUP(B21,'[1]Cable Info (2)'!$B$11:$C$50,2,FALSE),(VLOOKUP(B21,'[1]Cable Info'!$B$11:$C$50,2,FALSE)))),"NO SUCH EXIT")</f>
        <v/>
      </c>
      <c r="D21" s="418"/>
      <c r="E21" s="419"/>
      <c r="F21" s="420" t="s">
        <v>59</v>
      </c>
      <c r="G21" s="421"/>
      <c r="H21" s="412" t="str">
        <f t="shared" si="1"/>
        <v/>
      </c>
      <c r="I21" s="465"/>
      <c r="J21" s="422"/>
      <c r="K21" s="423"/>
      <c r="L21" s="605"/>
      <c r="M21" s="415"/>
      <c r="N21" s="425"/>
      <c r="O21" s="595"/>
      <c r="P21" s="373" t="str">
        <f t="shared" si="0"/>
        <v/>
      </c>
      <c r="S21" s="424"/>
    </row>
    <row r="22" spans="1:19" x14ac:dyDescent="0.25">
      <c r="A22" s="387"/>
      <c r="B22" s="426"/>
      <c r="C22" s="412" t="str">
        <f>IFERROR(IF(B22="","",IF((COUNTIF('[1]Cable Info'!$B$11:$C$50,B22)=0),VLOOKUP(B22,'[1]Cable Info (2)'!$B$11:$C$50,2,FALSE),(VLOOKUP(B22,'[1]Cable Info'!$B$11:$C$50,2,FALSE)))),"NO SUCH EXIT")</f>
        <v/>
      </c>
      <c r="D22" s="418"/>
      <c r="E22" s="419"/>
      <c r="F22" s="420" t="s">
        <v>59</v>
      </c>
      <c r="G22" s="421"/>
      <c r="H22" s="412" t="str">
        <f t="shared" si="1"/>
        <v/>
      </c>
      <c r="I22" s="465"/>
      <c r="J22" s="422"/>
      <c r="K22" s="423"/>
      <c r="L22" s="605"/>
      <c r="M22" s="415"/>
      <c r="N22" s="425"/>
      <c r="O22" s="595"/>
      <c r="P22" s="373" t="str">
        <f t="shared" si="0"/>
        <v/>
      </c>
      <c r="S22" s="424"/>
    </row>
    <row r="23" spans="1:19" x14ac:dyDescent="0.25">
      <c r="A23" s="387"/>
      <c r="B23" s="426"/>
      <c r="C23" s="412" t="str">
        <f>IFERROR(IF(B23="","",IF((COUNTIF('[1]Cable Info'!$B$11:$C$50,B23)=0),VLOOKUP(B23,'[1]Cable Info (2)'!$B$11:$C$50,2,FALSE),(VLOOKUP(B23,'[1]Cable Info'!$B$11:$C$50,2,FALSE)))),"NO SUCH EXIT")</f>
        <v/>
      </c>
      <c r="D23" s="418"/>
      <c r="E23" s="419"/>
      <c r="F23" s="420" t="s">
        <v>59</v>
      </c>
      <c r="G23" s="421"/>
      <c r="H23" s="412" t="str">
        <f t="shared" si="1"/>
        <v/>
      </c>
      <c r="I23" s="465"/>
      <c r="J23" s="422"/>
      <c r="K23" s="423"/>
      <c r="L23" s="605"/>
      <c r="M23" s="415"/>
      <c r="N23" s="425"/>
      <c r="O23" s="595"/>
      <c r="P23" s="373" t="str">
        <f t="shared" si="0"/>
        <v/>
      </c>
      <c r="S23" s="424"/>
    </row>
    <row r="24" spans="1:19" x14ac:dyDescent="0.25">
      <c r="A24" s="387"/>
      <c r="B24" s="426"/>
      <c r="C24" s="412" t="str">
        <f>IFERROR(IF(B24="","",IF((COUNTIF('[1]Cable Info'!$B$11:$C$50,B24)=0),VLOOKUP(B24,'[1]Cable Info (2)'!$B$11:$C$50,2,FALSE),(VLOOKUP(B24,'[1]Cable Info'!$B$11:$C$50,2,FALSE)))),"NO SUCH EXIT")</f>
        <v/>
      </c>
      <c r="D24" s="418"/>
      <c r="E24" s="419"/>
      <c r="F24" s="420" t="s">
        <v>59</v>
      </c>
      <c r="G24" s="421"/>
      <c r="H24" s="412" t="str">
        <f t="shared" si="1"/>
        <v/>
      </c>
      <c r="I24" s="465"/>
      <c r="J24" s="422"/>
      <c r="K24" s="423"/>
      <c r="L24" s="605"/>
      <c r="M24" s="415"/>
      <c r="N24" s="425"/>
      <c r="O24" s="595"/>
      <c r="P24" s="373" t="str">
        <f t="shared" si="0"/>
        <v/>
      </c>
      <c r="S24" s="424"/>
    </row>
    <row r="25" spans="1:19" x14ac:dyDescent="0.25">
      <c r="A25" s="387"/>
      <c r="B25" s="426"/>
      <c r="C25" s="412" t="str">
        <f>IFERROR(IF(B25="","",IF((COUNTIF('[1]Cable Info'!$B$11:$C$50,B25)=0),VLOOKUP(B25,'[1]Cable Info (2)'!$B$11:$C$50,2,FALSE),(VLOOKUP(B25,'[1]Cable Info'!$B$11:$C$50,2,FALSE)))),"NO SUCH EXIT")</f>
        <v/>
      </c>
      <c r="D25" s="418"/>
      <c r="E25" s="419"/>
      <c r="F25" s="420" t="s">
        <v>59</v>
      </c>
      <c r="G25" s="421"/>
      <c r="H25" s="412" t="str">
        <f t="shared" si="1"/>
        <v/>
      </c>
      <c r="I25" s="465"/>
      <c r="J25" s="422"/>
      <c r="K25" s="423"/>
      <c r="L25" s="605"/>
      <c r="M25" s="415"/>
      <c r="N25" s="425"/>
      <c r="O25" s="595"/>
      <c r="P25" s="373" t="str">
        <f t="shared" si="0"/>
        <v/>
      </c>
      <c r="S25" s="424"/>
    </row>
    <row r="26" spans="1:19" x14ac:dyDescent="0.25">
      <c r="A26" s="387"/>
      <c r="B26" s="426"/>
      <c r="C26" s="412" t="str">
        <f>IFERROR(IF(B26="","",IF((COUNTIF('[1]Cable Info'!$B$11:$C$50,B26)=0),VLOOKUP(B26,'[1]Cable Info (2)'!$B$11:$C$50,2,FALSE),(VLOOKUP(B26,'[1]Cable Info'!$B$11:$C$50,2,FALSE)))),"NO SUCH EXIT")</f>
        <v/>
      </c>
      <c r="D26" s="418"/>
      <c r="E26" s="419"/>
      <c r="F26" s="420" t="s">
        <v>59</v>
      </c>
      <c r="G26" s="421"/>
      <c r="H26" s="412" t="str">
        <f t="shared" si="1"/>
        <v/>
      </c>
      <c r="I26" s="465"/>
      <c r="J26" s="422"/>
      <c r="K26" s="423"/>
      <c r="L26" s="605"/>
      <c r="M26" s="415"/>
      <c r="N26" s="425"/>
      <c r="O26" s="595"/>
      <c r="P26" s="373" t="str">
        <f t="shared" si="0"/>
        <v/>
      </c>
      <c r="S26" s="424"/>
    </row>
    <row r="27" spans="1:19" x14ac:dyDescent="0.25">
      <c r="A27" s="387"/>
      <c r="B27" s="426"/>
      <c r="C27" s="412" t="str">
        <f>IFERROR(IF(B27="","",IF((COUNTIF('[1]Cable Info'!$B$11:$C$50,B27)=0),VLOOKUP(B27,'[1]Cable Info (2)'!$B$11:$C$50,2,FALSE),(VLOOKUP(B27,'[1]Cable Info'!$B$11:$C$50,2,FALSE)))),"NO SUCH EXIT")</f>
        <v/>
      </c>
      <c r="D27" s="418"/>
      <c r="E27" s="419"/>
      <c r="F27" s="420" t="s">
        <v>59</v>
      </c>
      <c r="G27" s="421"/>
      <c r="H27" s="412" t="str">
        <f t="shared" si="1"/>
        <v/>
      </c>
      <c r="I27" s="465"/>
      <c r="J27" s="422"/>
      <c r="K27" s="423"/>
      <c r="L27" s="605"/>
      <c r="M27" s="415"/>
      <c r="N27" s="425"/>
      <c r="O27" s="595"/>
      <c r="P27" s="373" t="str">
        <f t="shared" si="0"/>
        <v/>
      </c>
      <c r="S27" s="424"/>
    </row>
    <row r="28" spans="1:19" x14ac:dyDescent="0.25">
      <c r="A28" s="387"/>
      <c r="B28" s="426"/>
      <c r="C28" s="412" t="str">
        <f>IFERROR(IF(B28="","",IF((COUNTIF('[1]Cable Info'!$B$11:$C$50,B28)=0),VLOOKUP(B28,'[1]Cable Info (2)'!$B$11:$C$50,2,FALSE),(VLOOKUP(B28,'[1]Cable Info'!$B$11:$C$50,2,FALSE)))),"NO SUCH EXIT")</f>
        <v/>
      </c>
      <c r="D28" s="418"/>
      <c r="E28" s="419"/>
      <c r="F28" s="420" t="s">
        <v>59</v>
      </c>
      <c r="G28" s="421"/>
      <c r="H28" s="412" t="str">
        <f t="shared" si="1"/>
        <v/>
      </c>
      <c r="I28" s="465"/>
      <c r="J28" s="422"/>
      <c r="K28" s="423"/>
      <c r="L28" s="605"/>
      <c r="M28" s="415"/>
      <c r="N28" s="425"/>
      <c r="O28" s="595"/>
      <c r="P28" s="373" t="str">
        <f t="shared" si="0"/>
        <v/>
      </c>
      <c r="S28" s="424"/>
    </row>
    <row r="29" spans="1:19" x14ac:dyDescent="0.25">
      <c r="A29" s="387"/>
      <c r="B29" s="426"/>
      <c r="C29" s="412" t="str">
        <f>IFERROR(IF(B29="","",IF((COUNTIF('[1]Cable Info'!$B$11:$C$50,B29)=0),VLOOKUP(B29,'[1]Cable Info (2)'!$B$11:$C$50,2,FALSE),(VLOOKUP(B29,'[1]Cable Info'!$B$11:$C$50,2,FALSE)))),"NO SUCH EXIT")</f>
        <v/>
      </c>
      <c r="D29" s="418"/>
      <c r="E29" s="419"/>
      <c r="F29" s="420" t="s">
        <v>59</v>
      </c>
      <c r="G29" s="421"/>
      <c r="H29" s="412" t="str">
        <f t="shared" si="1"/>
        <v/>
      </c>
      <c r="I29" s="465"/>
      <c r="J29" s="422"/>
      <c r="K29" s="423"/>
      <c r="L29" s="605"/>
      <c r="M29" s="415"/>
      <c r="N29" s="425"/>
      <c r="O29" s="595"/>
      <c r="P29" s="373" t="str">
        <f t="shared" si="0"/>
        <v/>
      </c>
      <c r="S29" s="424"/>
    </row>
    <row r="30" spans="1:19" x14ac:dyDescent="0.25">
      <c r="A30" s="387"/>
      <c r="B30" s="426"/>
      <c r="C30" s="412" t="str">
        <f>IFERROR(IF(B30="","",IF((COUNTIF('[1]Cable Info'!$B$11:$C$50,B30)=0),VLOOKUP(B30,'[1]Cable Info (2)'!$B$11:$C$50,2,FALSE),(VLOOKUP(B30,'[1]Cable Info'!$B$11:$C$50,2,FALSE)))),"NO SUCH EXIT")</f>
        <v/>
      </c>
      <c r="D30" s="418"/>
      <c r="E30" s="419"/>
      <c r="F30" s="420" t="s">
        <v>59</v>
      </c>
      <c r="G30" s="421"/>
      <c r="H30" s="412" t="str">
        <f t="shared" si="1"/>
        <v/>
      </c>
      <c r="I30" s="465"/>
      <c r="J30" s="422"/>
      <c r="K30" s="423"/>
      <c r="L30" s="605"/>
      <c r="M30" s="415"/>
      <c r="N30" s="425"/>
      <c r="O30" s="595"/>
      <c r="P30" s="373" t="str">
        <f t="shared" si="0"/>
        <v/>
      </c>
      <c r="S30" s="424"/>
    </row>
    <row r="31" spans="1:19" x14ac:dyDescent="0.25">
      <c r="A31" s="387"/>
      <c r="B31" s="426"/>
      <c r="C31" s="412" t="str">
        <f>IFERROR(IF(B31="","",IF((COUNTIF('[1]Cable Info'!$B$11:$C$50,B31)=0),VLOOKUP(B31,'[1]Cable Info (2)'!$B$11:$C$50,2,FALSE),(VLOOKUP(B31,'[1]Cable Info'!$B$11:$C$50,2,FALSE)))),"NO SUCH EXIT")</f>
        <v/>
      </c>
      <c r="D31" s="418"/>
      <c r="E31" s="419"/>
      <c r="F31" s="420" t="s">
        <v>59</v>
      </c>
      <c r="G31" s="421"/>
      <c r="H31" s="412" t="str">
        <f t="shared" si="1"/>
        <v/>
      </c>
      <c r="I31" s="465"/>
      <c r="J31" s="422"/>
      <c r="K31" s="423"/>
      <c r="L31" s="605"/>
      <c r="M31" s="415"/>
      <c r="N31" s="425"/>
      <c r="O31" s="595"/>
      <c r="P31" s="373" t="str">
        <f t="shared" si="0"/>
        <v/>
      </c>
      <c r="S31" s="424"/>
    </row>
    <row r="32" spans="1:19" x14ac:dyDescent="0.25">
      <c r="A32" s="387"/>
      <c r="B32" s="426"/>
      <c r="C32" s="412" t="str">
        <f>IFERROR(IF(B32="","",IF((COUNTIF('[1]Cable Info'!$B$11:$C$50,B32)=0),VLOOKUP(B32,'[1]Cable Info (2)'!$B$11:$C$50,2,FALSE),(VLOOKUP(B32,'[1]Cable Info'!$B$11:$C$50,2,FALSE)))),"NO SUCH EXIT")</f>
        <v/>
      </c>
      <c r="D32" s="418"/>
      <c r="E32" s="419"/>
      <c r="F32" s="420" t="s">
        <v>59</v>
      </c>
      <c r="G32" s="421"/>
      <c r="H32" s="412" t="str">
        <f t="shared" si="1"/>
        <v/>
      </c>
      <c r="I32" s="465"/>
      <c r="J32" s="422"/>
      <c r="K32" s="423"/>
      <c r="L32" s="605"/>
      <c r="M32" s="415"/>
      <c r="N32" s="425"/>
      <c r="O32" s="595"/>
      <c r="P32" s="373" t="str">
        <f t="shared" si="0"/>
        <v/>
      </c>
      <c r="S32" s="424"/>
    </row>
    <row r="33" spans="1:19" x14ac:dyDescent="0.25">
      <c r="A33" s="387"/>
      <c r="B33" s="426"/>
      <c r="C33" s="412" t="str">
        <f>IFERROR(IF(B33="","",IF((COUNTIF('[1]Cable Info'!$B$11:$C$50,B33)=0),VLOOKUP(B33,'[1]Cable Info (2)'!$B$11:$C$50,2,FALSE),(VLOOKUP(B33,'[1]Cable Info'!$B$11:$C$50,2,FALSE)))),"NO SUCH EXIT")</f>
        <v/>
      </c>
      <c r="D33" s="418"/>
      <c r="E33" s="419"/>
      <c r="F33" s="420" t="s">
        <v>59</v>
      </c>
      <c r="G33" s="421"/>
      <c r="H33" s="412" t="str">
        <f t="shared" si="1"/>
        <v/>
      </c>
      <c r="I33" s="465"/>
      <c r="J33" s="422"/>
      <c r="K33" s="423"/>
      <c r="L33" s="605"/>
      <c r="M33" s="415"/>
      <c r="N33" s="425"/>
      <c r="O33" s="595"/>
      <c r="P33" s="373" t="str">
        <f t="shared" si="0"/>
        <v/>
      </c>
      <c r="S33" s="424"/>
    </row>
    <row r="34" spans="1:19" x14ac:dyDescent="0.25">
      <c r="A34" s="387"/>
      <c r="B34" s="426"/>
      <c r="C34" s="412" t="str">
        <f>IFERROR(IF(B34="","",IF((COUNTIF('[1]Cable Info'!$B$11:$C$50,B34)=0),VLOOKUP(B34,'[1]Cable Info (2)'!$B$11:$C$50,2,FALSE),(VLOOKUP(B34,'[1]Cable Info'!$B$11:$C$50,2,FALSE)))),"NO SUCH EXIT")</f>
        <v/>
      </c>
      <c r="D34" s="418"/>
      <c r="E34" s="419"/>
      <c r="F34" s="420" t="s">
        <v>59</v>
      </c>
      <c r="G34" s="421"/>
      <c r="H34" s="412" t="str">
        <f t="shared" si="1"/>
        <v/>
      </c>
      <c r="I34" s="465"/>
      <c r="J34" s="422"/>
      <c r="K34" s="423"/>
      <c r="L34" s="605"/>
      <c r="M34" s="415"/>
      <c r="N34" s="425"/>
      <c r="O34" s="595"/>
      <c r="P34" s="373" t="str">
        <f t="shared" si="0"/>
        <v/>
      </c>
      <c r="S34" s="424"/>
    </row>
    <row r="35" spans="1:19" x14ac:dyDescent="0.25">
      <c r="A35" s="387"/>
      <c r="B35" s="426"/>
      <c r="C35" s="412" t="str">
        <f>IFERROR(IF(B35="","",IF((COUNTIF('[1]Cable Info'!$B$11:$C$50,B35)=0),VLOOKUP(B35,'[1]Cable Info (2)'!$B$11:$C$50,2,FALSE),(VLOOKUP(B35,'[1]Cable Info'!$B$11:$C$50,2,FALSE)))),"NO SUCH EXIT")</f>
        <v/>
      </c>
      <c r="D35" s="418"/>
      <c r="E35" s="419"/>
      <c r="F35" s="420" t="s">
        <v>59</v>
      </c>
      <c r="G35" s="421"/>
      <c r="H35" s="412" t="str">
        <f t="shared" si="1"/>
        <v/>
      </c>
      <c r="I35" s="465"/>
      <c r="J35" s="422"/>
      <c r="K35" s="423"/>
      <c r="L35" s="605"/>
      <c r="M35" s="415"/>
      <c r="N35" s="425"/>
      <c r="O35" s="595"/>
      <c r="P35" s="373" t="str">
        <f t="shared" si="0"/>
        <v/>
      </c>
      <c r="S35" s="424"/>
    </row>
    <row r="36" spans="1:19" x14ac:dyDescent="0.25">
      <c r="A36" s="387"/>
      <c r="B36" s="426"/>
      <c r="C36" s="412" t="str">
        <f>IFERROR(IF(B36="","",IF((COUNTIF('[1]Cable Info'!$B$11:$C$50,B36)=0),VLOOKUP(B36,'[1]Cable Info (2)'!$B$11:$C$50,2,FALSE),(VLOOKUP(B36,'[1]Cable Info'!$B$11:$C$50,2,FALSE)))),"NO SUCH EXIT")</f>
        <v/>
      </c>
      <c r="D36" s="418"/>
      <c r="E36" s="419"/>
      <c r="F36" s="420" t="s">
        <v>59</v>
      </c>
      <c r="G36" s="421"/>
      <c r="H36" s="412" t="str">
        <f t="shared" si="1"/>
        <v/>
      </c>
      <c r="I36" s="465"/>
      <c r="J36" s="422"/>
      <c r="K36" s="423"/>
      <c r="L36" s="605"/>
      <c r="M36" s="415"/>
      <c r="N36" s="425"/>
      <c r="O36" s="595"/>
      <c r="P36" s="367" t="str">
        <f t="shared" si="0"/>
        <v/>
      </c>
      <c r="Q36" s="368"/>
      <c r="S36" s="424"/>
    </row>
    <row r="37" spans="1:19" x14ac:dyDescent="0.25">
      <c r="A37" s="387"/>
      <c r="B37" s="426"/>
      <c r="C37" s="412" t="str">
        <f>IFERROR(IF(B37="","",IF((COUNTIF('[1]Cable Info'!$B$11:$C$50,B37)=0),VLOOKUP(B37,'[1]Cable Info (2)'!$B$11:$C$50,2,FALSE),(VLOOKUP(B37,'[1]Cable Info'!$B$11:$C$50,2,FALSE)))),"NO SUCH EXIT")</f>
        <v/>
      </c>
      <c r="D37" s="418"/>
      <c r="E37" s="419"/>
      <c r="F37" s="420" t="s">
        <v>59</v>
      </c>
      <c r="G37" s="421"/>
      <c r="H37" s="412" t="str">
        <f t="shared" si="1"/>
        <v/>
      </c>
      <c r="I37" s="465"/>
      <c r="J37" s="422"/>
      <c r="K37" s="423"/>
      <c r="L37" s="605"/>
      <c r="M37" s="415"/>
      <c r="N37" s="425"/>
      <c r="O37" s="595"/>
      <c r="P37" s="367" t="str">
        <f t="shared" si="0"/>
        <v/>
      </c>
      <c r="Q37" s="368"/>
      <c r="S37" s="424"/>
    </row>
    <row r="38" spans="1:19" x14ac:dyDescent="0.25">
      <c r="A38" s="387"/>
      <c r="B38" s="426"/>
      <c r="C38" s="412" t="str">
        <f>IFERROR(IF(B38="","",IF((COUNTIF('[1]Cable Info'!$B$11:$C$50,B38)=0),VLOOKUP(B38,'[1]Cable Info (2)'!$B$11:$C$50,2,FALSE),(VLOOKUP(B38,'[1]Cable Info'!$B$11:$C$50,2,FALSE)))),"NO SUCH EXIT")</f>
        <v/>
      </c>
      <c r="D38" s="418"/>
      <c r="E38" s="419"/>
      <c r="F38" s="420" t="s">
        <v>59</v>
      </c>
      <c r="G38" s="421"/>
      <c r="H38" s="412" t="str">
        <f t="shared" si="1"/>
        <v/>
      </c>
      <c r="I38" s="465"/>
      <c r="J38" s="422"/>
      <c r="K38" s="423"/>
      <c r="L38" s="605"/>
      <c r="M38" s="415"/>
      <c r="N38" s="425"/>
      <c r="O38" s="595"/>
      <c r="P38" s="367" t="str">
        <f t="shared" si="0"/>
        <v/>
      </c>
      <c r="Q38" s="368"/>
      <c r="S38" s="424"/>
    </row>
    <row r="39" spans="1:19" x14ac:dyDescent="0.25">
      <c r="A39" s="387"/>
      <c r="B39" s="426"/>
      <c r="C39" s="412" t="str">
        <f>IFERROR(IF(B39="","",IF((COUNTIF('[1]Cable Info'!$B$11:$C$50,B39)=0),VLOOKUP(B39,'[1]Cable Info (2)'!$B$11:$C$50,2,FALSE),(VLOOKUP(B39,'[1]Cable Info'!$B$11:$C$50,2,FALSE)))),"NO SUCH EXIT")</f>
        <v/>
      </c>
      <c r="D39" s="418"/>
      <c r="E39" s="419"/>
      <c r="F39" s="420" t="s">
        <v>59</v>
      </c>
      <c r="G39" s="421"/>
      <c r="H39" s="412" t="str">
        <f t="shared" si="1"/>
        <v/>
      </c>
      <c r="I39" s="465"/>
      <c r="J39" s="422"/>
      <c r="K39" s="423"/>
      <c r="L39" s="605"/>
      <c r="M39" s="415"/>
      <c r="N39" s="425"/>
      <c r="O39" s="595"/>
      <c r="P39" s="367" t="str">
        <f t="shared" si="0"/>
        <v/>
      </c>
      <c r="Q39" s="368"/>
      <c r="S39" s="424"/>
    </row>
    <row r="40" spans="1:19" x14ac:dyDescent="0.25">
      <c r="A40" s="387"/>
      <c r="B40" s="426"/>
      <c r="C40" s="412" t="str">
        <f>IFERROR(IF(B40="","",IF((COUNTIF('[1]Cable Info'!$B$11:$C$50,B40)=0),VLOOKUP(B40,'[1]Cable Info (2)'!$B$11:$C$50,2,FALSE),(VLOOKUP(B40,'[1]Cable Info'!$B$11:$C$50,2,FALSE)))),"NO SUCH EXIT")</f>
        <v/>
      </c>
      <c r="D40" s="418"/>
      <c r="E40" s="419"/>
      <c r="F40" s="420" t="s">
        <v>59</v>
      </c>
      <c r="G40" s="421"/>
      <c r="H40" s="412" t="str">
        <f t="shared" si="1"/>
        <v/>
      </c>
      <c r="I40" s="465"/>
      <c r="J40" s="422"/>
      <c r="K40" s="423"/>
      <c r="L40" s="605"/>
      <c r="M40" s="415"/>
      <c r="N40" s="425"/>
      <c r="O40" s="595"/>
      <c r="P40" s="367" t="str">
        <f t="shared" si="0"/>
        <v/>
      </c>
      <c r="Q40" s="368"/>
      <c r="S40" s="424"/>
    </row>
    <row r="41" spans="1:19" x14ac:dyDescent="0.25">
      <c r="A41" s="387"/>
      <c r="B41" s="426"/>
      <c r="C41" s="412" t="str">
        <f>IFERROR(IF(B41="","",IF((COUNTIF('[1]Cable Info'!$B$11:$C$50,B41)=0),VLOOKUP(B41,'[1]Cable Info (2)'!$B$11:$C$50,2,FALSE),(VLOOKUP(B41,'[1]Cable Info'!$B$11:$C$50,2,FALSE)))),"NO SUCH EXIT")</f>
        <v/>
      </c>
      <c r="D41" s="418"/>
      <c r="E41" s="419"/>
      <c r="F41" s="420" t="s">
        <v>59</v>
      </c>
      <c r="G41" s="421"/>
      <c r="H41" s="412" t="str">
        <f t="shared" si="1"/>
        <v/>
      </c>
      <c r="I41" s="465"/>
      <c r="J41" s="422"/>
      <c r="K41" s="423"/>
      <c r="L41" s="605"/>
      <c r="M41" s="415"/>
      <c r="N41" s="425"/>
      <c r="O41" s="595"/>
      <c r="P41" s="367" t="str">
        <f t="shared" si="0"/>
        <v/>
      </c>
      <c r="Q41" s="368"/>
      <c r="S41" s="424"/>
    </row>
    <row r="42" spans="1:19" x14ac:dyDescent="0.25">
      <c r="A42" s="387"/>
      <c r="B42" s="426"/>
      <c r="C42" s="412" t="str">
        <f>IFERROR(IF(B42="","",IF((COUNTIF('[1]Cable Info'!$B$11:$C$50,B42)=0),VLOOKUP(B42,'[1]Cable Info (2)'!$B$11:$C$50,2,FALSE),(VLOOKUP(B42,'[1]Cable Info'!$B$11:$C$50,2,FALSE)))),"NO SUCH EXIT")</f>
        <v/>
      </c>
      <c r="D42" s="418"/>
      <c r="E42" s="419"/>
      <c r="F42" s="420" t="s">
        <v>59</v>
      </c>
      <c r="G42" s="421"/>
      <c r="H42" s="412" t="str">
        <f t="shared" si="1"/>
        <v/>
      </c>
      <c r="I42" s="465"/>
      <c r="J42" s="422"/>
      <c r="K42" s="423"/>
      <c r="L42" s="605"/>
      <c r="M42" s="415"/>
      <c r="N42" s="425"/>
      <c r="O42" s="595"/>
      <c r="P42" s="367" t="str">
        <f t="shared" si="0"/>
        <v/>
      </c>
      <c r="Q42" s="368"/>
      <c r="S42" s="424"/>
    </row>
    <row r="43" spans="1:19" x14ac:dyDescent="0.25">
      <c r="A43" s="387"/>
      <c r="B43" s="426"/>
      <c r="C43" s="412" t="str">
        <f>IFERROR(IF(B43="","",IF((COUNTIF('[1]Cable Info'!$B$11:$C$50,B43)=0),VLOOKUP(B43,'[1]Cable Info (2)'!$B$11:$C$50,2,FALSE),(VLOOKUP(B43,'[1]Cable Info'!$B$11:$C$50,2,FALSE)))),"NO SUCH EXIT")</f>
        <v/>
      </c>
      <c r="D43" s="418"/>
      <c r="E43" s="419"/>
      <c r="F43" s="420" t="s">
        <v>59</v>
      </c>
      <c r="G43" s="421"/>
      <c r="H43" s="412" t="str">
        <f t="shared" si="1"/>
        <v/>
      </c>
      <c r="I43" s="465"/>
      <c r="J43" s="422"/>
      <c r="K43" s="423"/>
      <c r="L43" s="605"/>
      <c r="M43" s="415"/>
      <c r="N43" s="425"/>
      <c r="O43" s="595"/>
      <c r="P43" s="367" t="str">
        <f t="shared" si="0"/>
        <v/>
      </c>
      <c r="Q43" s="368"/>
      <c r="S43" s="424"/>
    </row>
    <row r="44" spans="1:19" x14ac:dyDescent="0.25">
      <c r="A44" s="387"/>
      <c r="B44" s="426"/>
      <c r="C44" s="412" t="str">
        <f>IFERROR(IF(B44="","",IF((COUNTIF('[1]Cable Info'!$B$11:$C$50,B44)=0),VLOOKUP(B44,'[1]Cable Info (2)'!$B$11:$C$50,2,FALSE),(VLOOKUP(B44,'[1]Cable Info'!$B$11:$C$50,2,FALSE)))),"NO SUCH EXIT")</f>
        <v/>
      </c>
      <c r="D44" s="418"/>
      <c r="E44" s="419"/>
      <c r="F44" s="420" t="s">
        <v>59</v>
      </c>
      <c r="G44" s="421"/>
      <c r="H44" s="412" t="str">
        <f t="shared" si="1"/>
        <v/>
      </c>
      <c r="I44" s="465"/>
      <c r="J44" s="422"/>
      <c r="K44" s="423"/>
      <c r="L44" s="605"/>
      <c r="M44" s="415"/>
      <c r="N44" s="425"/>
      <c r="O44" s="595"/>
      <c r="P44" s="367" t="str">
        <f t="shared" si="0"/>
        <v/>
      </c>
      <c r="Q44" s="368"/>
      <c r="S44" s="424"/>
    </row>
    <row r="45" spans="1:19" x14ac:dyDescent="0.25">
      <c r="A45" s="387"/>
      <c r="B45" s="426"/>
      <c r="C45" s="412" t="str">
        <f>IFERROR(IF(B45="","",IF((COUNTIF('[1]Cable Info'!$B$11:$C$50,B45)=0),VLOOKUP(B45,'[1]Cable Info (2)'!$B$11:$C$50,2,FALSE),(VLOOKUP(B45,'[1]Cable Info'!$B$11:$C$50,2,FALSE)))),"NO SUCH EXIT")</f>
        <v/>
      </c>
      <c r="D45" s="418"/>
      <c r="E45" s="419"/>
      <c r="F45" s="420" t="s">
        <v>59</v>
      </c>
      <c r="G45" s="421"/>
      <c r="H45" s="412" t="str">
        <f t="shared" si="1"/>
        <v/>
      </c>
      <c r="I45" s="465"/>
      <c r="J45" s="422"/>
      <c r="K45" s="423"/>
      <c r="L45" s="605"/>
      <c r="M45" s="415"/>
      <c r="N45" s="425"/>
      <c r="O45" s="595"/>
      <c r="P45" s="367" t="str">
        <f t="shared" si="0"/>
        <v/>
      </c>
      <c r="Q45" s="368"/>
      <c r="S45" s="424"/>
    </row>
    <row r="46" spans="1:19" x14ac:dyDescent="0.25">
      <c r="A46" s="387"/>
      <c r="B46" s="426"/>
      <c r="C46" s="412" t="str">
        <f>IFERROR(IF(B46="","",IF((COUNTIF('[1]Cable Info'!$B$11:$C$50,B46)=0),VLOOKUP(B46,'[1]Cable Info (2)'!$B$11:$C$50,2,FALSE),(VLOOKUP(B46,'[1]Cable Info'!$B$11:$C$50,2,FALSE)))),"NO SUCH EXIT")</f>
        <v/>
      </c>
      <c r="D46" s="418"/>
      <c r="E46" s="419"/>
      <c r="F46" s="420" t="s">
        <v>59</v>
      </c>
      <c r="G46" s="421"/>
      <c r="H46" s="412" t="str">
        <f t="shared" si="1"/>
        <v/>
      </c>
      <c r="I46" s="465"/>
      <c r="J46" s="422"/>
      <c r="K46" s="423"/>
      <c r="L46" s="605"/>
      <c r="M46" s="415"/>
      <c r="N46" s="425"/>
      <c r="O46" s="595"/>
      <c r="P46" s="367" t="str">
        <f t="shared" si="0"/>
        <v/>
      </c>
      <c r="Q46" s="368"/>
      <c r="S46" s="424"/>
    </row>
    <row r="47" spans="1:19" x14ac:dyDescent="0.25">
      <c r="A47" s="387"/>
      <c r="B47" s="406"/>
      <c r="C47" s="412" t="str">
        <f>IFERROR(IF(B47="","",IF((COUNTIF('[1]Cable Info'!$B$11:$C$50,B47)=0),VLOOKUP(B47,'[1]Cable Info (2)'!$B$11:$C$50,2,FALSE),(VLOOKUP(B47,'[1]Cable Info'!$B$11:$C$50,2,FALSE)))),"NO SUCH EXIT")</f>
        <v/>
      </c>
      <c r="D47" s="418"/>
      <c r="E47" s="419"/>
      <c r="F47" s="420" t="s">
        <v>59</v>
      </c>
      <c r="G47" s="421"/>
      <c r="H47" s="412" t="str">
        <f t="shared" si="1"/>
        <v/>
      </c>
      <c r="I47" s="465"/>
      <c r="J47" s="422"/>
      <c r="K47" s="423"/>
      <c r="L47" s="605"/>
      <c r="M47" s="415"/>
      <c r="N47" s="427"/>
      <c r="O47" s="595"/>
      <c r="P47" s="367" t="str">
        <f t="shared" si="0"/>
        <v/>
      </c>
      <c r="Q47" s="368"/>
      <c r="S47" s="424"/>
    </row>
    <row r="48" spans="1:19" x14ac:dyDescent="0.25">
      <c r="A48" s="387"/>
      <c r="B48" s="426"/>
      <c r="C48" s="412" t="str">
        <f>IFERROR(IF(B48="","",IF((COUNTIF('[1]Cable Info'!$B$11:$C$50,B48)=0),VLOOKUP(B48,'[1]Cable Info (2)'!$B$11:$C$50,2,FALSE),(VLOOKUP(B48,'[1]Cable Info'!$B$11:$C$50,2,FALSE)))),"NO SUCH EXIT")</f>
        <v/>
      </c>
      <c r="D48" s="408"/>
      <c r="E48" s="419"/>
      <c r="F48" s="420" t="s">
        <v>59</v>
      </c>
      <c r="G48" s="421"/>
      <c r="H48" s="412" t="str">
        <f t="shared" si="1"/>
        <v/>
      </c>
      <c r="I48" s="465"/>
      <c r="J48" s="422"/>
      <c r="K48" s="423"/>
      <c r="L48" s="605"/>
      <c r="M48" s="415"/>
      <c r="N48" s="427"/>
      <c r="O48" s="595"/>
      <c r="P48" s="367" t="str">
        <f t="shared" si="0"/>
        <v/>
      </c>
      <c r="Q48" s="368"/>
      <c r="S48" s="424"/>
    </row>
    <row r="49" spans="1:19" x14ac:dyDescent="0.25">
      <c r="A49" s="387"/>
      <c r="B49" s="406"/>
      <c r="C49" s="412" t="str">
        <f>IFERROR(IF(B49="","",IF((COUNTIF('[1]Cable Info'!$B$11:$C$50,B49)=0),VLOOKUP(B49,'[1]Cable Info (2)'!$B$11:$C$50,2,FALSE),(VLOOKUP(B49,'[1]Cable Info'!$B$11:$C$50,2,FALSE)))),"NO SUCH EXIT")</f>
        <v/>
      </c>
      <c r="D49" s="418"/>
      <c r="E49" s="419"/>
      <c r="F49" s="420" t="s">
        <v>59</v>
      </c>
      <c r="G49" s="421"/>
      <c r="H49" s="412" t="str">
        <f t="shared" si="1"/>
        <v/>
      </c>
      <c r="I49" s="465"/>
      <c r="J49" s="422"/>
      <c r="K49" s="423"/>
      <c r="L49" s="605"/>
      <c r="M49" s="415"/>
      <c r="N49" s="427"/>
      <c r="O49" s="595"/>
      <c r="P49" s="367" t="str">
        <f t="shared" si="0"/>
        <v/>
      </c>
      <c r="Q49" s="368"/>
      <c r="S49" s="424"/>
    </row>
    <row r="50" spans="1:19" x14ac:dyDescent="0.25">
      <c r="A50" s="387"/>
      <c r="B50" s="426"/>
      <c r="C50" s="412" t="str">
        <f>IFERROR(IF(B50="","",IF((COUNTIF('[1]Cable Info'!$B$11:$C$50,B50)=0),VLOOKUP(B50,'[1]Cable Info (2)'!$B$11:$C$50,2,FALSE),(VLOOKUP(B50,'[1]Cable Info'!$B$11:$C$50,2,FALSE)))),"NO SUCH EXIT")</f>
        <v/>
      </c>
      <c r="D50" s="418"/>
      <c r="E50" s="419"/>
      <c r="F50" s="420" t="s">
        <v>59</v>
      </c>
      <c r="G50" s="421"/>
      <c r="H50" s="412" t="str">
        <f t="shared" si="1"/>
        <v/>
      </c>
      <c r="I50" s="465"/>
      <c r="J50" s="422"/>
      <c r="K50" s="423"/>
      <c r="L50" s="605"/>
      <c r="M50" s="415"/>
      <c r="N50" s="427"/>
      <c r="O50" s="595"/>
      <c r="P50" s="367" t="str">
        <f t="shared" si="0"/>
        <v/>
      </c>
      <c r="Q50" s="368"/>
      <c r="S50" s="424"/>
    </row>
    <row r="51" spans="1:19" x14ac:dyDescent="0.25">
      <c r="A51" s="387"/>
      <c r="B51" s="406"/>
      <c r="C51" s="412" t="str">
        <f>IFERROR(IF(B51="","",IF((COUNTIF('[1]Cable Info'!$B$11:$C$50,B51)=0),VLOOKUP(B51,'[1]Cable Info (2)'!$B$11:$C$50,2,FALSE),(VLOOKUP(B51,'[1]Cable Info'!$B$11:$C$50,2,FALSE)))),"NO SUCH EXIT")</f>
        <v/>
      </c>
      <c r="D51" s="418"/>
      <c r="E51" s="419"/>
      <c r="F51" s="420" t="s">
        <v>59</v>
      </c>
      <c r="G51" s="421"/>
      <c r="H51" s="412" t="str">
        <f t="shared" si="1"/>
        <v/>
      </c>
      <c r="I51" s="465"/>
      <c r="J51" s="422"/>
      <c r="K51" s="423"/>
      <c r="L51" s="605"/>
      <c r="M51" s="415"/>
      <c r="N51" s="427"/>
      <c r="O51" s="595"/>
      <c r="P51" s="367" t="str">
        <f t="shared" si="0"/>
        <v/>
      </c>
      <c r="Q51" s="368"/>
      <c r="S51" s="424"/>
    </row>
    <row r="52" spans="1:19" x14ac:dyDescent="0.25">
      <c r="A52" s="387"/>
      <c r="B52" s="426"/>
      <c r="C52" s="412" t="str">
        <f>IFERROR(IF(B52="","",IF((COUNTIF('[1]Cable Info'!$B$11:$C$50,B52)=0),VLOOKUP(B52,'[1]Cable Info (2)'!$B$11:$C$50,2,FALSE),(VLOOKUP(B52,'[1]Cable Info'!$B$11:$C$50,2,FALSE)))),"NO SUCH EXIT")</f>
        <v/>
      </c>
      <c r="D52" s="418"/>
      <c r="E52" s="419"/>
      <c r="F52" s="420" t="s">
        <v>59</v>
      </c>
      <c r="G52" s="421"/>
      <c r="H52" s="412" t="str">
        <f t="shared" si="1"/>
        <v/>
      </c>
      <c r="I52" s="465"/>
      <c r="J52" s="422"/>
      <c r="K52" s="423"/>
      <c r="L52" s="605"/>
      <c r="M52" s="415"/>
      <c r="N52" s="427"/>
      <c r="O52" s="595"/>
      <c r="P52" s="367" t="str">
        <f t="shared" si="0"/>
        <v/>
      </c>
      <c r="Q52" s="368"/>
      <c r="S52" s="424"/>
    </row>
    <row r="53" spans="1:19" x14ac:dyDescent="0.25">
      <c r="A53" s="387"/>
      <c r="B53" s="406"/>
      <c r="C53" s="412" t="str">
        <f>IFERROR(IF(B53="","",IF((COUNTIF('[1]Cable Info'!$B$11:$C$50,B53)=0),VLOOKUP(B53,'[1]Cable Info (2)'!$B$11:$C$50,2,FALSE),(VLOOKUP(B53,'[1]Cable Info'!$B$11:$C$50,2,FALSE)))),"NO SUCH EXIT")</f>
        <v/>
      </c>
      <c r="D53" s="418"/>
      <c r="E53" s="419"/>
      <c r="F53" s="420" t="s">
        <v>59</v>
      </c>
      <c r="G53" s="421"/>
      <c r="H53" s="412" t="str">
        <f t="shared" si="1"/>
        <v/>
      </c>
      <c r="I53" s="465"/>
      <c r="J53" s="422"/>
      <c r="K53" s="423"/>
      <c r="L53" s="605"/>
      <c r="M53" s="415"/>
      <c r="N53" s="427"/>
      <c r="O53" s="595"/>
      <c r="P53" s="367" t="str">
        <f t="shared" si="0"/>
        <v/>
      </c>
      <c r="Q53" s="368"/>
      <c r="S53" s="424"/>
    </row>
    <row r="54" spans="1:19" x14ac:dyDescent="0.25">
      <c r="A54" s="387"/>
      <c r="B54" s="426"/>
      <c r="C54" s="412" t="str">
        <f>IFERROR(IF(B54="","",IF((COUNTIF('[1]Cable Info'!$B$11:$C$50,B54)=0),VLOOKUP(B54,'[1]Cable Info (2)'!$B$11:$C$50,2,FALSE),(VLOOKUP(B54,'[1]Cable Info'!$B$11:$C$50,2,FALSE)))),"NO SUCH EXIT")</f>
        <v/>
      </c>
      <c r="D54" s="418"/>
      <c r="E54" s="419"/>
      <c r="F54" s="420" t="s">
        <v>59</v>
      </c>
      <c r="G54" s="421"/>
      <c r="H54" s="412" t="str">
        <f t="shared" si="1"/>
        <v/>
      </c>
      <c r="I54" s="465"/>
      <c r="J54" s="422"/>
      <c r="K54" s="423"/>
      <c r="L54" s="605"/>
      <c r="M54" s="415"/>
      <c r="N54" s="427"/>
      <c r="O54" s="595"/>
      <c r="P54" s="367" t="str">
        <f t="shared" si="0"/>
        <v/>
      </c>
      <c r="Q54" s="368"/>
      <c r="S54" s="424"/>
    </row>
    <row r="55" spans="1:19" x14ac:dyDescent="0.25">
      <c r="A55" s="387"/>
      <c r="B55" s="406"/>
      <c r="C55" s="412" t="str">
        <f>IFERROR(IF(B55="","",IF((COUNTIF('[1]Cable Info'!$B$11:$C$50,B55)=0),VLOOKUP(B55,'[1]Cable Info (2)'!$B$11:$C$50,2,FALSE),(VLOOKUP(B55,'[1]Cable Info'!$B$11:$C$50,2,FALSE)))),"NO SUCH EXIT")</f>
        <v/>
      </c>
      <c r="D55" s="418"/>
      <c r="E55" s="419"/>
      <c r="F55" s="420" t="s">
        <v>59</v>
      </c>
      <c r="G55" s="421"/>
      <c r="H55" s="412" t="str">
        <f t="shared" si="1"/>
        <v/>
      </c>
      <c r="I55" s="465"/>
      <c r="J55" s="422"/>
      <c r="K55" s="423"/>
      <c r="L55" s="605"/>
      <c r="M55" s="415"/>
      <c r="N55" s="427"/>
      <c r="O55" s="595"/>
      <c r="P55" s="367" t="str">
        <f t="shared" si="0"/>
        <v/>
      </c>
      <c r="Q55" s="368"/>
      <c r="S55" s="424"/>
    </row>
    <row r="56" spans="1:19" x14ac:dyDescent="0.25">
      <c r="A56" s="387"/>
      <c r="B56" s="426"/>
      <c r="C56" s="412" t="str">
        <f>IFERROR(IF(B56="","",IF((COUNTIF('[1]Cable Info'!$B$11:$C$50,B56)=0),VLOOKUP(B56,'[1]Cable Info (2)'!$B$11:$C$50,2,FALSE),(VLOOKUP(B56,'[1]Cable Info'!$B$11:$C$50,2,FALSE)))),"NO SUCH EXIT")</f>
        <v/>
      </c>
      <c r="D56" s="418"/>
      <c r="E56" s="419"/>
      <c r="F56" s="420" t="s">
        <v>59</v>
      </c>
      <c r="G56" s="421"/>
      <c r="H56" s="412" t="str">
        <f t="shared" si="1"/>
        <v/>
      </c>
      <c r="I56" s="465"/>
      <c r="J56" s="422"/>
      <c r="K56" s="423"/>
      <c r="L56" s="605"/>
      <c r="M56" s="415"/>
      <c r="N56" s="427"/>
      <c r="O56" s="595"/>
      <c r="P56" s="367" t="str">
        <f t="shared" si="0"/>
        <v/>
      </c>
      <c r="Q56" s="368"/>
      <c r="S56" s="424"/>
    </row>
    <row r="57" spans="1:19" x14ac:dyDescent="0.25">
      <c r="A57" s="387"/>
      <c r="B57" s="406"/>
      <c r="C57" s="412" t="str">
        <f>IFERROR(IF(B57="","",IF((COUNTIF('[1]Cable Info'!$B$11:$C$50,B57)=0),VLOOKUP(B57,'[1]Cable Info (2)'!$B$11:$C$50,2,FALSE),(VLOOKUP(B57,'[1]Cable Info'!$B$11:$C$50,2,FALSE)))),"NO SUCH EXIT")</f>
        <v/>
      </c>
      <c r="D57" s="418"/>
      <c r="E57" s="419"/>
      <c r="F57" s="420" t="s">
        <v>59</v>
      </c>
      <c r="G57" s="421"/>
      <c r="H57" s="412" t="str">
        <f t="shared" si="1"/>
        <v/>
      </c>
      <c r="I57" s="465"/>
      <c r="J57" s="422"/>
      <c r="K57" s="423"/>
      <c r="L57" s="605"/>
      <c r="M57" s="415"/>
      <c r="N57" s="427"/>
      <c r="O57" s="595"/>
      <c r="P57" s="367" t="str">
        <f t="shared" si="0"/>
        <v/>
      </c>
      <c r="Q57" s="368"/>
      <c r="S57" s="424"/>
    </row>
    <row r="58" spans="1:19" x14ac:dyDescent="0.25">
      <c r="A58" s="387"/>
      <c r="B58" s="426"/>
      <c r="C58" s="412" t="str">
        <f>IFERROR(IF(B58="","",IF((COUNTIF('[1]Cable Info'!$B$11:$C$50,B58)=0),VLOOKUP(B58,'[1]Cable Info (2)'!$B$11:$C$50,2,FALSE),(VLOOKUP(B58,'[1]Cable Info'!$B$11:$C$50,2,FALSE)))),"NO SUCH EXIT")</f>
        <v/>
      </c>
      <c r="D58" s="418"/>
      <c r="E58" s="419"/>
      <c r="F58" s="420" t="s">
        <v>59</v>
      </c>
      <c r="G58" s="421"/>
      <c r="H58" s="412" t="str">
        <f t="shared" si="1"/>
        <v/>
      </c>
      <c r="I58" s="465"/>
      <c r="J58" s="422"/>
      <c r="K58" s="423"/>
      <c r="L58" s="605"/>
      <c r="M58" s="415"/>
      <c r="N58" s="427"/>
      <c r="O58" s="595"/>
      <c r="P58" s="367" t="str">
        <f t="shared" si="0"/>
        <v/>
      </c>
      <c r="Q58" s="368"/>
      <c r="S58" s="424"/>
    </row>
    <row r="59" spans="1:19" x14ac:dyDescent="0.25">
      <c r="A59" s="387"/>
      <c r="B59" s="406"/>
      <c r="C59" s="412" t="str">
        <f>IFERROR(IF(B59="","",IF((COUNTIF('[1]Cable Info'!$B$11:$C$50,B59)=0),VLOOKUP(B59,'[1]Cable Info (2)'!$B$11:$C$50,2,FALSE),(VLOOKUP(B59,'[1]Cable Info'!$B$11:$C$50,2,FALSE)))),"NO SUCH EXIT")</f>
        <v/>
      </c>
      <c r="D59" s="418"/>
      <c r="E59" s="419"/>
      <c r="F59" s="420" t="s">
        <v>59</v>
      </c>
      <c r="G59" s="421"/>
      <c r="H59" s="412" t="str">
        <f t="shared" si="1"/>
        <v/>
      </c>
      <c r="I59" s="465"/>
      <c r="J59" s="422"/>
      <c r="K59" s="423"/>
      <c r="L59" s="605"/>
      <c r="M59" s="415"/>
      <c r="N59" s="427"/>
      <c r="O59" s="595"/>
      <c r="P59" s="367" t="str">
        <f t="shared" si="0"/>
        <v/>
      </c>
      <c r="Q59" s="368"/>
      <c r="S59" s="424"/>
    </row>
    <row r="60" spans="1:19" x14ac:dyDescent="0.25">
      <c r="A60" s="387"/>
      <c r="B60" s="426"/>
      <c r="C60" s="412" t="str">
        <f>IFERROR(IF(B60="","",IF((COUNTIF('[1]Cable Info'!$B$11:$C$50,B60)=0),VLOOKUP(B60,'[1]Cable Info (2)'!$B$11:$C$50,2,FALSE),(VLOOKUP(B60,'[1]Cable Info'!$B$11:$C$50,2,FALSE)))),"NO SUCH EXIT")</f>
        <v/>
      </c>
      <c r="D60" s="418"/>
      <c r="E60" s="419"/>
      <c r="F60" s="420" t="s">
        <v>59</v>
      </c>
      <c r="G60" s="421"/>
      <c r="H60" s="412" t="str">
        <f t="shared" si="1"/>
        <v/>
      </c>
      <c r="I60" s="465"/>
      <c r="J60" s="422"/>
      <c r="K60" s="423"/>
      <c r="L60" s="605"/>
      <c r="M60" s="415"/>
      <c r="N60" s="427"/>
      <c r="O60" s="595"/>
      <c r="P60" s="367" t="str">
        <f t="shared" si="0"/>
        <v/>
      </c>
      <c r="Q60" s="368"/>
      <c r="S60" s="424"/>
    </row>
    <row r="61" spans="1:19" x14ac:dyDescent="0.25">
      <c r="A61" s="387"/>
      <c r="B61" s="406"/>
      <c r="C61" s="412" t="str">
        <f>IFERROR(IF(B61="","",IF((COUNTIF('[1]Cable Info'!$B$11:$C$50,B61)=0),VLOOKUP(B61,'[1]Cable Info (2)'!$B$11:$C$50,2,FALSE),(VLOOKUP(B61,'[1]Cable Info'!$B$11:$C$50,2,FALSE)))),"NO SUCH EXIT")</f>
        <v/>
      </c>
      <c r="D61" s="418"/>
      <c r="E61" s="419"/>
      <c r="F61" s="420" t="s">
        <v>59</v>
      </c>
      <c r="G61" s="421"/>
      <c r="H61" s="412" t="str">
        <f t="shared" si="1"/>
        <v/>
      </c>
      <c r="I61" s="465"/>
      <c r="J61" s="422"/>
      <c r="K61" s="423"/>
      <c r="L61" s="605"/>
      <c r="M61" s="415"/>
      <c r="N61" s="427"/>
      <c r="O61" s="595"/>
      <c r="P61" s="367" t="str">
        <f t="shared" si="0"/>
        <v/>
      </c>
      <c r="Q61" s="368"/>
      <c r="S61" s="424"/>
    </row>
    <row r="62" spans="1:19" x14ac:dyDescent="0.25">
      <c r="A62" s="387"/>
      <c r="B62" s="426"/>
      <c r="C62" s="412" t="str">
        <f>IFERROR(IF(B62="","",IF((COUNTIF('[1]Cable Info'!$B$11:$C$50,B62)=0),VLOOKUP(B62,'[1]Cable Info (2)'!$B$11:$C$50,2,FALSE),(VLOOKUP(B62,'[1]Cable Info'!$B$11:$C$50,2,FALSE)))),"NO SUCH EXIT")</f>
        <v/>
      </c>
      <c r="D62" s="418"/>
      <c r="E62" s="419"/>
      <c r="F62" s="420" t="s">
        <v>59</v>
      </c>
      <c r="G62" s="421"/>
      <c r="H62" s="412" t="str">
        <f t="shared" si="1"/>
        <v/>
      </c>
      <c r="I62" s="465"/>
      <c r="J62" s="422"/>
      <c r="K62" s="423"/>
      <c r="L62" s="605"/>
      <c r="M62" s="415"/>
      <c r="N62" s="427"/>
      <c r="O62" s="595"/>
      <c r="P62" s="367" t="str">
        <f t="shared" si="0"/>
        <v/>
      </c>
      <c r="Q62" s="368"/>
      <c r="S62" s="424"/>
    </row>
    <row r="63" spans="1:19" x14ac:dyDescent="0.25">
      <c r="A63" s="387"/>
      <c r="B63" s="406"/>
      <c r="C63" s="412" t="str">
        <f>IFERROR(IF(B63="","",IF((COUNTIF('[1]Cable Info'!$B$11:$C$50,B63)=0),VLOOKUP(B63,'[1]Cable Info (2)'!$B$11:$C$50,2,FALSE),(VLOOKUP(B63,'[1]Cable Info'!$B$11:$C$50,2,FALSE)))),"NO SUCH EXIT")</f>
        <v/>
      </c>
      <c r="D63" s="418"/>
      <c r="E63" s="419"/>
      <c r="F63" s="420" t="s">
        <v>59</v>
      </c>
      <c r="G63" s="421"/>
      <c r="H63" s="412" t="str">
        <f t="shared" si="1"/>
        <v/>
      </c>
      <c r="I63" s="465"/>
      <c r="J63" s="422"/>
      <c r="K63" s="423"/>
      <c r="L63" s="605"/>
      <c r="M63" s="415"/>
      <c r="N63" s="427"/>
      <c r="O63" s="595"/>
      <c r="P63" s="367" t="str">
        <f t="shared" si="0"/>
        <v/>
      </c>
      <c r="Q63" s="368"/>
      <c r="S63" s="424"/>
    </row>
    <row r="64" spans="1:19" x14ac:dyDescent="0.25">
      <c r="A64" s="387"/>
      <c r="B64" s="406"/>
      <c r="C64" s="412"/>
      <c r="D64" s="418"/>
      <c r="E64" s="419"/>
      <c r="F64" s="420" t="s">
        <v>59</v>
      </c>
      <c r="G64" s="421"/>
      <c r="H64" s="412"/>
      <c r="I64" s="465"/>
      <c r="J64" s="422"/>
      <c r="K64" s="423"/>
      <c r="L64" s="605"/>
      <c r="M64" s="415"/>
      <c r="N64" s="427"/>
      <c r="O64" s="595"/>
      <c r="P64" s="367"/>
      <c r="Q64" s="368"/>
      <c r="S64" s="424"/>
    </row>
    <row r="65" spans="1:19" x14ac:dyDescent="0.25">
      <c r="A65" s="387"/>
      <c r="B65" s="406"/>
      <c r="C65" s="412"/>
      <c r="D65" s="418"/>
      <c r="E65" s="419"/>
      <c r="F65" s="420" t="s">
        <v>59</v>
      </c>
      <c r="G65" s="421"/>
      <c r="H65" s="412"/>
      <c r="I65" s="465"/>
      <c r="J65" s="422"/>
      <c r="K65" s="423"/>
      <c r="L65" s="605"/>
      <c r="M65" s="415"/>
      <c r="N65" s="427"/>
      <c r="O65" s="595"/>
      <c r="P65" s="367"/>
      <c r="Q65" s="368"/>
      <c r="S65" s="424"/>
    </row>
    <row r="66" spans="1:19" x14ac:dyDescent="0.25">
      <c r="A66" s="387"/>
      <c r="B66" s="406"/>
      <c r="C66" s="412"/>
      <c r="D66" s="418"/>
      <c r="E66" s="419"/>
      <c r="F66" s="420" t="s">
        <v>59</v>
      </c>
      <c r="G66" s="421"/>
      <c r="H66" s="412"/>
      <c r="I66" s="465"/>
      <c r="J66" s="422"/>
      <c r="K66" s="423"/>
      <c r="L66" s="605"/>
      <c r="M66" s="415"/>
      <c r="N66" s="427"/>
      <c r="O66" s="595"/>
      <c r="P66" s="367"/>
      <c r="Q66" s="368"/>
      <c r="S66" s="424"/>
    </row>
    <row r="67" spans="1:19" x14ac:dyDescent="0.25">
      <c r="A67" s="387"/>
      <c r="B67" s="406"/>
      <c r="C67" s="412"/>
      <c r="D67" s="418"/>
      <c r="E67" s="419"/>
      <c r="F67" s="420" t="s">
        <v>59</v>
      </c>
      <c r="G67" s="421"/>
      <c r="H67" s="412"/>
      <c r="I67" s="465"/>
      <c r="J67" s="422"/>
      <c r="K67" s="423"/>
      <c r="L67" s="605"/>
      <c r="M67" s="415"/>
      <c r="N67" s="427"/>
      <c r="O67" s="595"/>
      <c r="P67" s="367"/>
      <c r="Q67" s="368"/>
      <c r="S67" s="424"/>
    </row>
    <row r="68" spans="1:19" x14ac:dyDescent="0.25">
      <c r="A68" s="387"/>
      <c r="B68" s="406"/>
      <c r="C68" s="412"/>
      <c r="D68" s="418"/>
      <c r="E68" s="419"/>
      <c r="F68" s="420" t="s">
        <v>59</v>
      </c>
      <c r="G68" s="421"/>
      <c r="H68" s="412"/>
      <c r="I68" s="465"/>
      <c r="J68" s="422"/>
      <c r="K68" s="423"/>
      <c r="L68" s="605"/>
      <c r="M68" s="415"/>
      <c r="N68" s="427"/>
      <c r="O68" s="595"/>
      <c r="P68" s="367"/>
      <c r="Q68" s="368"/>
      <c r="S68" s="424"/>
    </row>
    <row r="69" spans="1:19" x14ac:dyDescent="0.25">
      <c r="A69" s="387"/>
      <c r="B69" s="406"/>
      <c r="C69" s="412"/>
      <c r="D69" s="418"/>
      <c r="E69" s="419"/>
      <c r="F69" s="420" t="s">
        <v>59</v>
      </c>
      <c r="G69" s="421"/>
      <c r="H69" s="412"/>
      <c r="I69" s="465"/>
      <c r="J69" s="422"/>
      <c r="K69" s="423"/>
      <c r="L69" s="605"/>
      <c r="M69" s="415"/>
      <c r="N69" s="427"/>
      <c r="O69" s="595"/>
      <c r="P69" s="367"/>
      <c r="Q69" s="368"/>
      <c r="S69" s="424"/>
    </row>
    <row r="70" spans="1:19" x14ac:dyDescent="0.25">
      <c r="A70" s="387"/>
      <c r="B70" s="406"/>
      <c r="C70" s="412"/>
      <c r="D70" s="418"/>
      <c r="E70" s="419"/>
      <c r="F70" s="420" t="s">
        <v>59</v>
      </c>
      <c r="G70" s="421"/>
      <c r="H70" s="412"/>
      <c r="I70" s="465"/>
      <c r="J70" s="422"/>
      <c r="K70" s="423"/>
      <c r="L70" s="605"/>
      <c r="M70" s="415"/>
      <c r="N70" s="427"/>
      <c r="O70" s="595"/>
      <c r="P70" s="367"/>
      <c r="Q70" s="368"/>
      <c r="S70" s="424"/>
    </row>
    <row r="71" spans="1:19" x14ac:dyDescent="0.25">
      <c r="A71" s="387"/>
      <c r="B71" s="406"/>
      <c r="C71" s="412"/>
      <c r="D71" s="418"/>
      <c r="E71" s="419"/>
      <c r="F71" s="420" t="s">
        <v>59</v>
      </c>
      <c r="G71" s="421"/>
      <c r="H71" s="412"/>
      <c r="I71" s="465"/>
      <c r="J71" s="422"/>
      <c r="K71" s="423"/>
      <c r="L71" s="605"/>
      <c r="M71" s="415"/>
      <c r="N71" s="427"/>
      <c r="O71" s="595"/>
      <c r="P71" s="367"/>
      <c r="Q71" s="368"/>
      <c r="S71" s="424"/>
    </row>
    <row r="72" spans="1:19" x14ac:dyDescent="0.25">
      <c r="A72" s="387"/>
      <c r="B72" s="406"/>
      <c r="C72" s="412"/>
      <c r="D72" s="418"/>
      <c r="E72" s="419"/>
      <c r="F72" s="420" t="s">
        <v>59</v>
      </c>
      <c r="G72" s="421"/>
      <c r="H72" s="412"/>
      <c r="I72" s="465"/>
      <c r="J72" s="422"/>
      <c r="K72" s="423"/>
      <c r="L72" s="605"/>
      <c r="M72" s="415"/>
      <c r="N72" s="427"/>
      <c r="O72" s="595"/>
      <c r="P72" s="367"/>
      <c r="Q72" s="368"/>
      <c r="S72" s="424"/>
    </row>
    <row r="73" spans="1:19" x14ac:dyDescent="0.25">
      <c r="A73" s="387"/>
      <c r="B73" s="406"/>
      <c r="C73" s="412"/>
      <c r="D73" s="418"/>
      <c r="E73" s="419"/>
      <c r="F73" s="420" t="s">
        <v>59</v>
      </c>
      <c r="G73" s="421"/>
      <c r="H73" s="412"/>
      <c r="I73" s="465"/>
      <c r="J73" s="422"/>
      <c r="K73" s="423"/>
      <c r="L73" s="605"/>
      <c r="M73" s="415"/>
      <c r="N73" s="427"/>
      <c r="O73" s="595"/>
      <c r="P73" s="367"/>
      <c r="Q73" s="368"/>
      <c r="S73" s="424"/>
    </row>
    <row r="74" spans="1:19" x14ac:dyDescent="0.25">
      <c r="A74" s="387"/>
      <c r="B74" s="406"/>
      <c r="C74" s="412"/>
      <c r="D74" s="418"/>
      <c r="E74" s="419"/>
      <c r="F74" s="420" t="s">
        <v>59</v>
      </c>
      <c r="G74" s="421"/>
      <c r="H74" s="412"/>
      <c r="I74" s="465"/>
      <c r="J74" s="422"/>
      <c r="K74" s="423"/>
      <c r="L74" s="605"/>
      <c r="M74" s="415"/>
      <c r="N74" s="427"/>
      <c r="O74" s="595"/>
      <c r="P74" s="367"/>
      <c r="Q74" s="368"/>
      <c r="S74" s="424"/>
    </row>
    <row r="75" spans="1:19" x14ac:dyDescent="0.25">
      <c r="A75" s="387"/>
      <c r="B75" s="406"/>
      <c r="C75" s="412"/>
      <c r="D75" s="418"/>
      <c r="E75" s="419"/>
      <c r="F75" s="420" t="s">
        <v>59</v>
      </c>
      <c r="G75" s="421"/>
      <c r="H75" s="412"/>
      <c r="I75" s="465"/>
      <c r="J75" s="422"/>
      <c r="K75" s="423"/>
      <c r="L75" s="605"/>
      <c r="M75" s="415"/>
      <c r="N75" s="427"/>
      <c r="O75" s="595"/>
      <c r="P75" s="367"/>
      <c r="Q75" s="368"/>
      <c r="S75" s="424"/>
    </row>
    <row r="76" spans="1:19" x14ac:dyDescent="0.25">
      <c r="A76" s="387"/>
      <c r="B76" s="406"/>
      <c r="C76" s="412"/>
      <c r="D76" s="418"/>
      <c r="E76" s="419"/>
      <c r="F76" s="420" t="s">
        <v>59</v>
      </c>
      <c r="G76" s="421"/>
      <c r="H76" s="412"/>
      <c r="I76" s="465"/>
      <c r="J76" s="422"/>
      <c r="K76" s="423"/>
      <c r="L76" s="605"/>
      <c r="M76" s="415"/>
      <c r="N76" s="427"/>
      <c r="O76" s="595"/>
      <c r="P76" s="367"/>
      <c r="Q76" s="368"/>
      <c r="S76" s="424"/>
    </row>
    <row r="77" spans="1:19" x14ac:dyDescent="0.25">
      <c r="A77" s="387"/>
      <c r="B77" s="406"/>
      <c r="C77" s="412"/>
      <c r="D77" s="418"/>
      <c r="E77" s="419"/>
      <c r="F77" s="420" t="s">
        <v>59</v>
      </c>
      <c r="G77" s="421"/>
      <c r="H77" s="412"/>
      <c r="I77" s="465"/>
      <c r="J77" s="422"/>
      <c r="K77" s="423"/>
      <c r="L77" s="605"/>
      <c r="M77" s="415"/>
      <c r="N77" s="427"/>
      <c r="O77" s="595"/>
      <c r="P77" s="367"/>
      <c r="Q77" s="368"/>
      <c r="S77" s="424"/>
    </row>
    <row r="78" spans="1:19" x14ac:dyDescent="0.25">
      <c r="A78" s="387"/>
      <c r="B78" s="406"/>
      <c r="C78" s="412"/>
      <c r="D78" s="418"/>
      <c r="E78" s="419"/>
      <c r="F78" s="420" t="s">
        <v>59</v>
      </c>
      <c r="G78" s="421"/>
      <c r="H78" s="412"/>
      <c r="I78" s="465"/>
      <c r="J78" s="422"/>
      <c r="K78" s="423"/>
      <c r="L78" s="605"/>
      <c r="M78" s="415"/>
      <c r="N78" s="427"/>
      <c r="O78" s="595"/>
      <c r="P78" s="367"/>
      <c r="Q78" s="368"/>
      <c r="S78" s="424"/>
    </row>
    <row r="79" spans="1:19" x14ac:dyDescent="0.25">
      <c r="A79" s="387"/>
      <c r="B79" s="406"/>
      <c r="C79" s="412"/>
      <c r="D79" s="418"/>
      <c r="E79" s="419"/>
      <c r="F79" s="420" t="s">
        <v>59</v>
      </c>
      <c r="G79" s="421"/>
      <c r="H79" s="412"/>
      <c r="I79" s="465"/>
      <c r="J79" s="422"/>
      <c r="K79" s="423"/>
      <c r="L79" s="605"/>
      <c r="M79" s="415"/>
      <c r="N79" s="427"/>
      <c r="O79" s="595"/>
      <c r="P79" s="367"/>
      <c r="Q79" s="368"/>
      <c r="S79" s="424"/>
    </row>
    <row r="80" spans="1:19" x14ac:dyDescent="0.25">
      <c r="A80" s="387"/>
      <c r="B80" s="406"/>
      <c r="C80" s="412"/>
      <c r="D80" s="418"/>
      <c r="E80" s="419"/>
      <c r="F80" s="420" t="s">
        <v>59</v>
      </c>
      <c r="G80" s="421"/>
      <c r="H80" s="412"/>
      <c r="I80" s="465"/>
      <c r="J80" s="422"/>
      <c r="K80" s="423"/>
      <c r="L80" s="605"/>
      <c r="M80" s="415"/>
      <c r="N80" s="427"/>
      <c r="O80" s="595"/>
      <c r="P80" s="367"/>
      <c r="Q80" s="368"/>
      <c r="S80" s="424"/>
    </row>
    <row r="81" spans="1:19" x14ac:dyDescent="0.25">
      <c r="A81" s="387"/>
      <c r="B81" s="406"/>
      <c r="C81" s="412"/>
      <c r="D81" s="418"/>
      <c r="E81" s="419"/>
      <c r="F81" s="420" t="s">
        <v>59</v>
      </c>
      <c r="G81" s="421"/>
      <c r="H81" s="412"/>
      <c r="I81" s="465"/>
      <c r="J81" s="422"/>
      <c r="K81" s="423"/>
      <c r="L81" s="605"/>
      <c r="M81" s="415"/>
      <c r="N81" s="427"/>
      <c r="O81" s="595"/>
      <c r="P81" s="367"/>
      <c r="Q81" s="368"/>
      <c r="S81" s="424"/>
    </row>
    <row r="82" spans="1:19" x14ac:dyDescent="0.25">
      <c r="A82" s="387"/>
      <c r="B82" s="406"/>
      <c r="C82" s="412"/>
      <c r="D82" s="418"/>
      <c r="E82" s="419"/>
      <c r="F82" s="420" t="s">
        <v>59</v>
      </c>
      <c r="G82" s="421"/>
      <c r="H82" s="412"/>
      <c r="I82" s="465"/>
      <c r="J82" s="422"/>
      <c r="K82" s="423"/>
      <c r="L82" s="605"/>
      <c r="M82" s="415"/>
      <c r="N82" s="427"/>
      <c r="O82" s="595"/>
      <c r="P82" s="367"/>
      <c r="Q82" s="368"/>
      <c r="S82" s="424"/>
    </row>
    <row r="83" spans="1:19" x14ac:dyDescent="0.25">
      <c r="A83" s="387"/>
      <c r="B83" s="406"/>
      <c r="C83" s="412"/>
      <c r="D83" s="418"/>
      <c r="E83" s="419"/>
      <c r="F83" s="420" t="s">
        <v>59</v>
      </c>
      <c r="G83" s="421"/>
      <c r="H83" s="412"/>
      <c r="I83" s="465"/>
      <c r="J83" s="422"/>
      <c r="K83" s="423"/>
      <c r="L83" s="605"/>
      <c r="M83" s="415"/>
      <c r="N83" s="427"/>
      <c r="O83" s="595"/>
      <c r="P83" s="367"/>
      <c r="Q83" s="368"/>
      <c r="S83" s="424"/>
    </row>
    <row r="84" spans="1:19" x14ac:dyDescent="0.25">
      <c r="A84" s="387"/>
      <c r="B84" s="406"/>
      <c r="C84" s="412"/>
      <c r="D84" s="418"/>
      <c r="E84" s="419"/>
      <c r="F84" s="420" t="s">
        <v>59</v>
      </c>
      <c r="G84" s="421"/>
      <c r="H84" s="412"/>
      <c r="I84" s="465"/>
      <c r="J84" s="422"/>
      <c r="K84" s="423"/>
      <c r="L84" s="605"/>
      <c r="M84" s="415"/>
      <c r="N84" s="427"/>
      <c r="O84" s="595"/>
      <c r="P84" s="367"/>
      <c r="Q84" s="368"/>
      <c r="S84" s="424"/>
    </row>
    <row r="85" spans="1:19" x14ac:dyDescent="0.25">
      <c r="A85" s="387"/>
      <c r="B85" s="406"/>
      <c r="C85" s="412"/>
      <c r="D85" s="418"/>
      <c r="E85" s="419"/>
      <c r="F85" s="420" t="s">
        <v>59</v>
      </c>
      <c r="G85" s="421"/>
      <c r="H85" s="412"/>
      <c r="I85" s="465"/>
      <c r="J85" s="422"/>
      <c r="K85" s="423"/>
      <c r="L85" s="605"/>
      <c r="M85" s="415"/>
      <c r="N85" s="427"/>
      <c r="O85" s="595"/>
      <c r="P85" s="367"/>
      <c r="Q85" s="368"/>
      <c r="S85" s="424"/>
    </row>
    <row r="86" spans="1:19" x14ac:dyDescent="0.25">
      <c r="A86" s="387"/>
      <c r="B86" s="406"/>
      <c r="C86" s="412"/>
      <c r="D86" s="418"/>
      <c r="E86" s="419"/>
      <c r="F86" s="420" t="s">
        <v>59</v>
      </c>
      <c r="G86" s="421"/>
      <c r="H86" s="412"/>
      <c r="I86" s="465"/>
      <c r="J86" s="422"/>
      <c r="K86" s="423"/>
      <c r="L86" s="605"/>
      <c r="M86" s="415"/>
      <c r="N86" s="427"/>
      <c r="O86" s="595"/>
      <c r="P86" s="367"/>
      <c r="Q86" s="368"/>
      <c r="S86" s="424"/>
    </row>
    <row r="87" spans="1:19" x14ac:dyDescent="0.25">
      <c r="A87" s="387"/>
      <c r="B87" s="406"/>
      <c r="C87" s="412"/>
      <c r="D87" s="418"/>
      <c r="E87" s="419"/>
      <c r="F87" s="420" t="s">
        <v>59</v>
      </c>
      <c r="G87" s="421"/>
      <c r="H87" s="412"/>
      <c r="I87" s="465"/>
      <c r="J87" s="422"/>
      <c r="K87" s="423"/>
      <c r="L87" s="605"/>
      <c r="M87" s="415"/>
      <c r="N87" s="427"/>
      <c r="O87" s="595"/>
      <c r="P87" s="367"/>
      <c r="Q87" s="368"/>
      <c r="S87" s="424"/>
    </row>
    <row r="88" spans="1:19" x14ac:dyDescent="0.25">
      <c r="A88" s="387"/>
      <c r="B88" s="406"/>
      <c r="C88" s="412"/>
      <c r="D88" s="418"/>
      <c r="E88" s="419"/>
      <c r="F88" s="420" t="s">
        <v>59</v>
      </c>
      <c r="G88" s="421"/>
      <c r="H88" s="412"/>
      <c r="I88" s="465"/>
      <c r="J88" s="422"/>
      <c r="K88" s="423"/>
      <c r="L88" s="605"/>
      <c r="M88" s="415"/>
      <c r="N88" s="427"/>
      <c r="O88" s="595"/>
      <c r="P88" s="367"/>
      <c r="Q88" s="368"/>
      <c r="S88" s="424"/>
    </row>
    <row r="89" spans="1:19" x14ac:dyDescent="0.25">
      <c r="A89" s="387"/>
      <c r="B89" s="406"/>
      <c r="C89" s="412"/>
      <c r="D89" s="418"/>
      <c r="E89" s="419"/>
      <c r="F89" s="420" t="s">
        <v>59</v>
      </c>
      <c r="G89" s="421"/>
      <c r="H89" s="412"/>
      <c r="I89" s="465"/>
      <c r="J89" s="422"/>
      <c r="K89" s="423"/>
      <c r="L89" s="605"/>
      <c r="M89" s="415"/>
      <c r="N89" s="427"/>
      <c r="O89" s="595"/>
      <c r="P89" s="367"/>
      <c r="Q89" s="368"/>
      <c r="S89" s="424"/>
    </row>
    <row r="90" spans="1:19" x14ac:dyDescent="0.25">
      <c r="A90" s="387"/>
      <c r="B90" s="406"/>
      <c r="C90" s="412"/>
      <c r="D90" s="418"/>
      <c r="E90" s="419"/>
      <c r="F90" s="420" t="s">
        <v>59</v>
      </c>
      <c r="G90" s="421"/>
      <c r="H90" s="412"/>
      <c r="I90" s="465"/>
      <c r="J90" s="422"/>
      <c r="K90" s="423"/>
      <c r="L90" s="605"/>
      <c r="M90" s="415"/>
      <c r="N90" s="427"/>
      <c r="O90" s="595"/>
      <c r="P90" s="367"/>
      <c r="Q90" s="368"/>
      <c r="S90" s="424"/>
    </row>
    <row r="91" spans="1:19" x14ac:dyDescent="0.25">
      <c r="A91" s="387"/>
      <c r="B91" s="406"/>
      <c r="C91" s="412"/>
      <c r="D91" s="418"/>
      <c r="E91" s="419"/>
      <c r="F91" s="420" t="s">
        <v>59</v>
      </c>
      <c r="G91" s="421"/>
      <c r="H91" s="412"/>
      <c r="I91" s="465"/>
      <c r="J91" s="422"/>
      <c r="K91" s="423"/>
      <c r="L91" s="605"/>
      <c r="M91" s="415"/>
      <c r="N91" s="427"/>
      <c r="O91" s="595"/>
      <c r="P91" s="367"/>
      <c r="Q91" s="368"/>
      <c r="S91" s="424"/>
    </row>
    <row r="92" spans="1:19" x14ac:dyDescent="0.25">
      <c r="A92" s="387"/>
      <c r="B92" s="406"/>
      <c r="C92" s="412"/>
      <c r="D92" s="418"/>
      <c r="E92" s="419"/>
      <c r="F92" s="420" t="s">
        <v>59</v>
      </c>
      <c r="G92" s="421"/>
      <c r="H92" s="412"/>
      <c r="I92" s="465"/>
      <c r="J92" s="422"/>
      <c r="K92" s="423"/>
      <c r="L92" s="605"/>
      <c r="M92" s="415"/>
      <c r="N92" s="427"/>
      <c r="O92" s="595"/>
      <c r="P92" s="367"/>
      <c r="Q92" s="368"/>
      <c r="S92" s="424"/>
    </row>
    <row r="93" spans="1:19" x14ac:dyDescent="0.25">
      <c r="A93" s="387"/>
      <c r="B93" s="406"/>
      <c r="C93" s="412"/>
      <c r="D93" s="418"/>
      <c r="E93" s="419"/>
      <c r="F93" s="420" t="s">
        <v>59</v>
      </c>
      <c r="G93" s="421"/>
      <c r="H93" s="412"/>
      <c r="I93" s="465"/>
      <c r="J93" s="422"/>
      <c r="K93" s="423"/>
      <c r="L93" s="605"/>
      <c r="M93" s="415"/>
      <c r="N93" s="427"/>
      <c r="O93" s="595"/>
      <c r="P93" s="367"/>
      <c r="Q93" s="368"/>
      <c r="S93" s="424"/>
    </row>
    <row r="94" spans="1:19" x14ac:dyDescent="0.25">
      <c r="A94" s="387"/>
      <c r="B94" s="406"/>
      <c r="C94" s="412"/>
      <c r="D94" s="418"/>
      <c r="E94" s="419"/>
      <c r="F94" s="420" t="s">
        <v>59</v>
      </c>
      <c r="G94" s="421"/>
      <c r="H94" s="412"/>
      <c r="I94" s="465"/>
      <c r="J94" s="422"/>
      <c r="K94" s="423"/>
      <c r="L94" s="605"/>
      <c r="M94" s="415"/>
      <c r="N94" s="427"/>
      <c r="O94" s="595"/>
      <c r="P94" s="367"/>
      <c r="Q94" s="368"/>
      <c r="S94" s="424"/>
    </row>
    <row r="95" spans="1:19" x14ac:dyDescent="0.25">
      <c r="A95" s="387"/>
      <c r="B95" s="406"/>
      <c r="C95" s="412"/>
      <c r="D95" s="418"/>
      <c r="E95" s="419"/>
      <c r="F95" s="420" t="s">
        <v>59</v>
      </c>
      <c r="G95" s="421"/>
      <c r="H95" s="412"/>
      <c r="I95" s="465"/>
      <c r="J95" s="422"/>
      <c r="K95" s="423"/>
      <c r="L95" s="605"/>
      <c r="M95" s="415"/>
      <c r="N95" s="427"/>
      <c r="O95" s="595"/>
      <c r="P95" s="367"/>
      <c r="Q95" s="368"/>
      <c r="S95" s="424"/>
    </row>
    <row r="96" spans="1:19" x14ac:dyDescent="0.25">
      <c r="A96" s="387"/>
      <c r="B96" s="406"/>
      <c r="C96" s="412"/>
      <c r="D96" s="418"/>
      <c r="E96" s="419"/>
      <c r="F96" s="420" t="s">
        <v>59</v>
      </c>
      <c r="G96" s="421"/>
      <c r="H96" s="412"/>
      <c r="I96" s="465"/>
      <c r="J96" s="422"/>
      <c r="K96" s="423"/>
      <c r="L96" s="605"/>
      <c r="M96" s="415"/>
      <c r="N96" s="427"/>
      <c r="O96" s="595"/>
      <c r="P96" s="367"/>
      <c r="Q96" s="368"/>
      <c r="S96" s="424"/>
    </row>
    <row r="97" spans="1:19" x14ac:dyDescent="0.25">
      <c r="A97" s="387"/>
      <c r="B97" s="406"/>
      <c r="C97" s="412"/>
      <c r="D97" s="418"/>
      <c r="E97" s="419"/>
      <c r="F97" s="420" t="s">
        <v>59</v>
      </c>
      <c r="G97" s="421"/>
      <c r="H97" s="412"/>
      <c r="I97" s="465"/>
      <c r="J97" s="422"/>
      <c r="K97" s="423"/>
      <c r="L97" s="605"/>
      <c r="M97" s="415"/>
      <c r="N97" s="427"/>
      <c r="O97" s="595"/>
      <c r="P97" s="367"/>
      <c r="Q97" s="368"/>
      <c r="S97" s="424"/>
    </row>
    <row r="98" spans="1:19" x14ac:dyDescent="0.25">
      <c r="A98" s="387"/>
      <c r="B98" s="406"/>
      <c r="C98" s="412"/>
      <c r="D98" s="418"/>
      <c r="E98" s="419"/>
      <c r="F98" s="420" t="s">
        <v>59</v>
      </c>
      <c r="G98" s="421"/>
      <c r="H98" s="412"/>
      <c r="I98" s="465"/>
      <c r="J98" s="422"/>
      <c r="K98" s="423"/>
      <c r="L98" s="605"/>
      <c r="M98" s="415"/>
      <c r="N98" s="427"/>
      <c r="O98" s="595"/>
      <c r="P98" s="367"/>
      <c r="Q98" s="368"/>
      <c r="S98" s="424"/>
    </row>
    <row r="99" spans="1:19" x14ac:dyDescent="0.25">
      <c r="A99" s="387"/>
      <c r="B99" s="406"/>
      <c r="C99" s="412"/>
      <c r="D99" s="418"/>
      <c r="E99" s="419"/>
      <c r="F99" s="420" t="s">
        <v>59</v>
      </c>
      <c r="G99" s="421"/>
      <c r="H99" s="412"/>
      <c r="I99" s="465"/>
      <c r="J99" s="422"/>
      <c r="K99" s="423"/>
      <c r="L99" s="605"/>
      <c r="M99" s="415"/>
      <c r="N99" s="427"/>
      <c r="O99" s="595"/>
      <c r="P99" s="367"/>
      <c r="Q99" s="368"/>
      <c r="S99" s="424"/>
    </row>
    <row r="100" spans="1:19" x14ac:dyDescent="0.25">
      <c r="A100" s="387"/>
      <c r="B100" s="406"/>
      <c r="C100" s="412"/>
      <c r="D100" s="418"/>
      <c r="E100" s="419"/>
      <c r="F100" s="420" t="s">
        <v>59</v>
      </c>
      <c r="G100" s="421"/>
      <c r="H100" s="412"/>
      <c r="I100" s="465"/>
      <c r="J100" s="422"/>
      <c r="K100" s="423"/>
      <c r="L100" s="605"/>
      <c r="M100" s="415"/>
      <c r="N100" s="427"/>
      <c r="O100" s="595"/>
      <c r="P100" s="367"/>
      <c r="Q100" s="368"/>
      <c r="S100" s="424"/>
    </row>
    <row r="101" spans="1:19" x14ac:dyDescent="0.25">
      <c r="A101" s="387"/>
      <c r="B101" s="406"/>
      <c r="C101" s="412"/>
      <c r="D101" s="418"/>
      <c r="E101" s="419"/>
      <c r="F101" s="420" t="s">
        <v>59</v>
      </c>
      <c r="G101" s="421"/>
      <c r="H101" s="412"/>
      <c r="I101" s="465"/>
      <c r="J101" s="422"/>
      <c r="K101" s="423"/>
      <c r="L101" s="605"/>
      <c r="M101" s="415"/>
      <c r="N101" s="427"/>
      <c r="O101" s="595"/>
      <c r="P101" s="367"/>
      <c r="Q101" s="368"/>
      <c r="S101" s="424"/>
    </row>
    <row r="102" spans="1:19" x14ac:dyDescent="0.25">
      <c r="A102" s="387"/>
      <c r="B102" s="406"/>
      <c r="C102" s="412"/>
      <c r="D102" s="418"/>
      <c r="E102" s="419"/>
      <c r="F102" s="420" t="s">
        <v>59</v>
      </c>
      <c r="G102" s="421"/>
      <c r="H102" s="412"/>
      <c r="I102" s="465"/>
      <c r="J102" s="422"/>
      <c r="K102" s="423"/>
      <c r="L102" s="605"/>
      <c r="M102" s="415"/>
      <c r="N102" s="427"/>
      <c r="O102" s="595"/>
      <c r="P102" s="367"/>
      <c r="Q102" s="368"/>
      <c r="S102" s="424"/>
    </row>
    <row r="103" spans="1:19" x14ac:dyDescent="0.25">
      <c r="A103" s="387"/>
      <c r="B103" s="406"/>
      <c r="C103" s="412"/>
      <c r="D103" s="418"/>
      <c r="E103" s="419"/>
      <c r="F103" s="420" t="s">
        <v>59</v>
      </c>
      <c r="G103" s="421"/>
      <c r="H103" s="412"/>
      <c r="I103" s="465"/>
      <c r="J103" s="422"/>
      <c r="K103" s="423"/>
      <c r="L103" s="605"/>
      <c r="M103" s="415"/>
      <c r="N103" s="427"/>
      <c r="O103" s="595"/>
      <c r="P103" s="367"/>
      <c r="Q103" s="368"/>
      <c r="S103" s="424"/>
    </row>
    <row r="104" spans="1:19" x14ac:dyDescent="0.25">
      <c r="A104" s="387"/>
      <c r="B104" s="426"/>
      <c r="C104" s="412" t="str">
        <f>IFERROR(IF(B104="","",IF((COUNTIF('[1]Cable Info'!$B$11:$C$50,B104)=0),VLOOKUP(B104,'[1]Cable Info (2)'!$B$11:$C$50,2,FALSE),(VLOOKUP(B104,'[1]Cable Info'!$B$11:$C$50,2,FALSE)))),"NO SUCH EXIT")</f>
        <v/>
      </c>
      <c r="D104" s="418"/>
      <c r="E104" s="419"/>
      <c r="F104" s="420" t="s">
        <v>59</v>
      </c>
      <c r="G104" s="421"/>
      <c r="H104" s="412" t="str">
        <f t="shared" si="1"/>
        <v/>
      </c>
      <c r="I104" s="465"/>
      <c r="J104" s="422"/>
      <c r="K104" s="423"/>
      <c r="L104" s="605"/>
      <c r="M104" s="415"/>
      <c r="N104" s="427"/>
      <c r="O104" s="595"/>
      <c r="P104" s="367" t="str">
        <f t="shared" si="0"/>
        <v/>
      </c>
      <c r="Q104" s="368"/>
      <c r="S104" s="424"/>
    </row>
    <row r="105" spans="1:19" x14ac:dyDescent="0.25">
      <c r="A105" s="387"/>
      <c r="B105" s="428"/>
      <c r="C105" s="412" t="str">
        <f>IFERROR(IF(B105="","",IF((COUNTIF('[1]Cable Info'!$B$11:$C$50,B105)=0),VLOOKUP(B105,'[1]Cable Info (2)'!$B$11:$C$50,2,FALSE),(VLOOKUP(B105,'[1]Cable Info'!$B$11:$C$50,2,FALSE)))),"NO SUCH EXIT")</f>
        <v/>
      </c>
      <c r="D105" s="429"/>
      <c r="E105" s="419"/>
      <c r="F105" s="420" t="s">
        <v>59</v>
      </c>
      <c r="G105" s="421"/>
      <c r="H105" s="412" t="str">
        <f t="shared" si="1"/>
        <v/>
      </c>
      <c r="I105" s="465"/>
      <c r="J105" s="430"/>
      <c r="K105" s="431"/>
      <c r="L105" s="605"/>
      <c r="M105" s="415"/>
      <c r="N105" s="427"/>
      <c r="O105" s="595"/>
      <c r="P105" s="367" t="str">
        <f t="shared" si="0"/>
        <v/>
      </c>
      <c r="Q105" s="368"/>
      <c r="S105" s="424"/>
    </row>
    <row r="106" spans="1:19" x14ac:dyDescent="0.25">
      <c r="A106" s="387"/>
      <c r="B106" s="428"/>
      <c r="C106" s="412" t="str">
        <f>IFERROR(IF(B106="","",IF((COUNTIF('[1]Cable Info'!$B$11:$C$50,B106)=0),VLOOKUP(B106,'[1]Cable Info (2)'!$B$11:$C$50,2,FALSE),(VLOOKUP(B106,'[1]Cable Info'!$B$11:$C$50,2,FALSE)))),"NO SUCH EXIT")</f>
        <v/>
      </c>
      <c r="D106" s="429"/>
      <c r="E106" s="419"/>
      <c r="F106" s="420" t="s">
        <v>59</v>
      </c>
      <c r="G106" s="421"/>
      <c r="H106" s="412" t="str">
        <f t="shared" si="1"/>
        <v/>
      </c>
      <c r="I106" s="465"/>
      <c r="J106" s="430"/>
      <c r="K106" s="431"/>
      <c r="L106" s="605"/>
      <c r="M106" s="415"/>
      <c r="N106" s="427"/>
      <c r="O106" s="595"/>
      <c r="P106" s="367" t="str">
        <f t="shared" si="0"/>
        <v/>
      </c>
      <c r="Q106" s="368"/>
      <c r="S106" s="424"/>
    </row>
    <row r="107" spans="1:19" x14ac:dyDescent="0.25">
      <c r="A107" s="387"/>
      <c r="B107" s="428"/>
      <c r="C107" s="412" t="str">
        <f>IFERROR(IF(B107="","",IF((COUNTIF('[1]Cable Info'!$B$11:$C$50,B107)=0),VLOOKUP(B107,'[1]Cable Info (2)'!$B$11:$C$50,2,FALSE),(VLOOKUP(B107,'[1]Cable Info'!$B$11:$C$50,2,FALSE)))),"NO SUCH EXIT")</f>
        <v/>
      </c>
      <c r="D107" s="429"/>
      <c r="E107" s="419"/>
      <c r="F107" s="420" t="s">
        <v>59</v>
      </c>
      <c r="G107" s="421"/>
      <c r="H107" s="412" t="str">
        <f t="shared" si="1"/>
        <v/>
      </c>
      <c r="I107" s="465"/>
      <c r="J107" s="430"/>
      <c r="K107" s="431"/>
      <c r="L107" s="605"/>
      <c r="M107" s="415"/>
      <c r="N107" s="427"/>
      <c r="O107" s="595"/>
      <c r="P107" s="367" t="str">
        <f t="shared" si="0"/>
        <v/>
      </c>
      <c r="Q107" s="368"/>
      <c r="S107" s="424"/>
    </row>
    <row r="108" spans="1:19" x14ac:dyDescent="0.25">
      <c r="A108" s="387"/>
      <c r="B108" s="428"/>
      <c r="C108" s="412" t="str">
        <f>IFERROR(IF(B108="","",IF((COUNTIF('[1]Cable Info'!$B$11:$C$50,B108)=0),VLOOKUP(B108,'[1]Cable Info (2)'!$B$11:$C$50,2,FALSE),(VLOOKUP(B108,'[1]Cable Info'!$B$11:$C$50,2,FALSE)))),"NO SUCH EXIT")</f>
        <v/>
      </c>
      <c r="D108" s="429"/>
      <c r="E108" s="419"/>
      <c r="F108" s="420" t="s">
        <v>59</v>
      </c>
      <c r="G108" s="421"/>
      <c r="H108" s="412" t="str">
        <f t="shared" si="1"/>
        <v/>
      </c>
      <c r="I108" s="465"/>
      <c r="J108" s="430"/>
      <c r="K108" s="431"/>
      <c r="L108" s="605"/>
      <c r="M108" s="415"/>
      <c r="N108" s="427"/>
      <c r="O108" s="595"/>
      <c r="P108" s="367" t="str">
        <f t="shared" si="0"/>
        <v/>
      </c>
      <c r="Q108" s="368"/>
      <c r="S108" s="424"/>
    </row>
    <row r="109" spans="1:19" x14ac:dyDescent="0.25">
      <c r="A109" s="387"/>
      <c r="B109" s="428"/>
      <c r="C109" s="412" t="str">
        <f>IFERROR(IF(B109="","",IF((COUNTIF('[1]Cable Info'!$B$11:$C$50,B109)=0),VLOOKUP(B109,'[1]Cable Info (2)'!$B$11:$C$50,2,FALSE),(VLOOKUP(B109,'[1]Cable Info'!$B$11:$C$50,2,FALSE)))),"NO SUCH EXIT")</f>
        <v/>
      </c>
      <c r="D109" s="429"/>
      <c r="E109" s="419"/>
      <c r="F109" s="420" t="s">
        <v>59</v>
      </c>
      <c r="G109" s="421"/>
      <c r="H109" s="412" t="str">
        <f t="shared" si="1"/>
        <v/>
      </c>
      <c r="I109" s="465"/>
      <c r="J109" s="430"/>
      <c r="K109" s="431"/>
      <c r="L109" s="605"/>
      <c r="M109" s="415"/>
      <c r="N109" s="427"/>
      <c r="O109" s="595"/>
      <c r="P109" s="367" t="str">
        <f t="shared" si="0"/>
        <v/>
      </c>
      <c r="Q109" s="368"/>
      <c r="S109" s="424"/>
    </row>
    <row r="110" spans="1:19" x14ac:dyDescent="0.25">
      <c r="A110" s="387"/>
      <c r="B110" s="428"/>
      <c r="C110" s="412" t="str">
        <f>IFERROR(IF(B110="","",IF((COUNTIF('[1]Cable Info'!$B$11:$C$50,B110)=0),VLOOKUP(B110,'[1]Cable Info (2)'!$B$11:$C$50,2,FALSE),(VLOOKUP(B110,'[1]Cable Info'!$B$11:$C$50,2,FALSE)))),"NO SUCH EXIT")</f>
        <v/>
      </c>
      <c r="D110" s="429"/>
      <c r="E110" s="419"/>
      <c r="F110" s="420" t="s">
        <v>59</v>
      </c>
      <c r="G110" s="421"/>
      <c r="H110" s="412" t="str">
        <f t="shared" si="1"/>
        <v/>
      </c>
      <c r="I110" s="465"/>
      <c r="J110" s="430"/>
      <c r="K110" s="431"/>
      <c r="L110" s="605"/>
      <c r="M110" s="415"/>
      <c r="N110" s="427"/>
      <c r="O110" s="595"/>
      <c r="P110" s="367" t="str">
        <f t="shared" si="0"/>
        <v/>
      </c>
      <c r="Q110" s="368"/>
      <c r="S110" s="424"/>
    </row>
    <row r="111" spans="1:19" x14ac:dyDescent="0.25">
      <c r="A111" s="387"/>
      <c r="B111" s="428"/>
      <c r="C111" s="412" t="str">
        <f>IFERROR(IF(B111="","",IF((COUNTIF('[1]Cable Info'!$B$11:$C$50,B111)=0),VLOOKUP(B111,'[1]Cable Info (2)'!$B$11:$C$50,2,FALSE),(VLOOKUP(B111,'[1]Cable Info'!$B$11:$C$50,2,FALSE)))),"NO SUCH EXIT")</f>
        <v/>
      </c>
      <c r="D111" s="429"/>
      <c r="E111" s="419"/>
      <c r="F111" s="420" t="s">
        <v>59</v>
      </c>
      <c r="G111" s="421"/>
      <c r="H111" s="412" t="str">
        <f t="shared" si="1"/>
        <v/>
      </c>
      <c r="I111" s="465"/>
      <c r="J111" s="430"/>
      <c r="K111" s="431"/>
      <c r="L111" s="605"/>
      <c r="M111" s="415"/>
      <c r="N111" s="427"/>
      <c r="O111" s="595"/>
      <c r="P111" s="367" t="str">
        <f t="shared" si="0"/>
        <v/>
      </c>
      <c r="Q111" s="368"/>
      <c r="S111" s="424"/>
    </row>
    <row r="112" spans="1:19" x14ac:dyDescent="0.25">
      <c r="A112" s="387"/>
      <c r="B112" s="428"/>
      <c r="C112" s="412" t="str">
        <f>IFERROR(IF(B112="","",IF((COUNTIF('[1]Cable Info'!$B$11:$C$50,B112)=0),VLOOKUP(B112,'[1]Cable Info (2)'!$B$11:$C$50,2,FALSE),(VLOOKUP(B112,'[1]Cable Info'!$B$11:$C$50,2,FALSE)))),"NO SUCH EXIT")</f>
        <v/>
      </c>
      <c r="D112" s="429"/>
      <c r="E112" s="419"/>
      <c r="F112" s="420" t="s">
        <v>59</v>
      </c>
      <c r="G112" s="421"/>
      <c r="H112" s="412" t="str">
        <f t="shared" si="1"/>
        <v/>
      </c>
      <c r="I112" s="465"/>
      <c r="J112" s="430"/>
      <c r="K112" s="431"/>
      <c r="L112" s="605"/>
      <c r="M112" s="415"/>
      <c r="N112" s="427"/>
      <c r="O112" s="595"/>
      <c r="P112" s="367" t="str">
        <f t="shared" si="0"/>
        <v/>
      </c>
      <c r="Q112" s="368"/>
      <c r="S112" s="424"/>
    </row>
    <row r="113" spans="1:19" x14ac:dyDescent="0.25">
      <c r="A113" s="387"/>
      <c r="B113" s="428"/>
      <c r="C113" s="412" t="str">
        <f>IFERROR(IF(B113="","",IF((COUNTIF('[1]Cable Info'!$B$11:$C$50,B113)=0),VLOOKUP(B113,'[1]Cable Info (2)'!$B$11:$C$50,2,FALSE),(VLOOKUP(B113,'[1]Cable Info'!$B$11:$C$50,2,FALSE)))),"NO SUCH EXIT")</f>
        <v/>
      </c>
      <c r="D113" s="429"/>
      <c r="E113" s="419"/>
      <c r="F113" s="420" t="s">
        <v>59</v>
      </c>
      <c r="G113" s="421"/>
      <c r="H113" s="412" t="str">
        <f t="shared" si="1"/>
        <v/>
      </c>
      <c r="I113" s="465"/>
      <c r="J113" s="430"/>
      <c r="K113" s="431"/>
      <c r="L113" s="605"/>
      <c r="M113" s="415"/>
      <c r="N113" s="427"/>
      <c r="O113" s="595"/>
      <c r="P113" s="367" t="str">
        <f t="shared" si="0"/>
        <v/>
      </c>
      <c r="Q113" s="368"/>
      <c r="S113" s="424"/>
    </row>
    <row r="114" spans="1:19" x14ac:dyDescent="0.25">
      <c r="A114" s="387"/>
      <c r="B114" s="428"/>
      <c r="C114" s="412" t="str">
        <f>IFERROR(IF(B114="","",IF((COUNTIF('[1]Cable Info'!$B$11:$C$50,B114)=0),VLOOKUP(B114,'[1]Cable Info (2)'!$B$11:$C$50,2,FALSE),(VLOOKUP(B114,'[1]Cable Info'!$B$11:$C$50,2,FALSE)))),"NO SUCH EXIT")</f>
        <v/>
      </c>
      <c r="D114" s="429"/>
      <c r="E114" s="419"/>
      <c r="F114" s="420" t="s">
        <v>59</v>
      </c>
      <c r="G114" s="421"/>
      <c r="H114" s="412" t="str">
        <f t="shared" si="1"/>
        <v/>
      </c>
      <c r="I114" s="465"/>
      <c r="J114" s="430"/>
      <c r="K114" s="431"/>
      <c r="L114" s="605"/>
      <c r="M114" s="415"/>
      <c r="N114" s="427"/>
      <c r="O114" s="595"/>
      <c r="P114" s="367" t="str">
        <f t="shared" ref="P114:P124" si="2">IF(E114="","",IF(G114="","",IF(E114&gt;G114,1,"")))</f>
        <v/>
      </c>
      <c r="Q114" s="368"/>
      <c r="S114" s="424"/>
    </row>
    <row r="115" spans="1:19" x14ac:dyDescent="0.25">
      <c r="A115" s="387"/>
      <c r="B115" s="428"/>
      <c r="C115" s="412" t="str">
        <f>IFERROR(IF(B115="","",IF((COUNTIF('[1]Cable Info'!$B$11:$C$50,B115)=0),VLOOKUP(B115,'[1]Cable Info (2)'!$B$11:$C$50,2,FALSE),(VLOOKUP(B115,'[1]Cable Info'!$B$11:$C$50,2,FALSE)))),"NO SUCH EXIT")</f>
        <v/>
      </c>
      <c r="D115" s="429"/>
      <c r="E115" s="419"/>
      <c r="F115" s="420" t="s">
        <v>59</v>
      </c>
      <c r="G115" s="421"/>
      <c r="H115" s="412" t="str">
        <f t="shared" si="1"/>
        <v/>
      </c>
      <c r="I115" s="465"/>
      <c r="J115" s="430"/>
      <c r="K115" s="431"/>
      <c r="L115" s="605"/>
      <c r="M115" s="415"/>
      <c r="N115" s="427"/>
      <c r="O115" s="595"/>
      <c r="P115" s="367" t="str">
        <f t="shared" si="2"/>
        <v/>
      </c>
      <c r="Q115" s="368"/>
      <c r="S115" s="424"/>
    </row>
    <row r="116" spans="1:19" x14ac:dyDescent="0.25">
      <c r="A116" s="387"/>
      <c r="B116" s="428"/>
      <c r="C116" s="412" t="str">
        <f>IFERROR(IF(B116="","",IF((COUNTIF('[1]Cable Info'!$B$11:$C$50,B116)=0),VLOOKUP(B116,'[1]Cable Info (2)'!$B$11:$C$50,2,FALSE),(VLOOKUP(B116,'[1]Cable Info'!$B$11:$C$50,2,FALSE)))),"NO SUCH EXIT")</f>
        <v/>
      </c>
      <c r="D116" s="429"/>
      <c r="E116" s="419"/>
      <c r="F116" s="420" t="s">
        <v>59</v>
      </c>
      <c r="G116" s="421"/>
      <c r="H116" s="412" t="str">
        <f t="shared" si="1"/>
        <v/>
      </c>
      <c r="I116" s="465"/>
      <c r="J116" s="430"/>
      <c r="K116" s="431"/>
      <c r="L116" s="605"/>
      <c r="M116" s="415"/>
      <c r="N116" s="427"/>
      <c r="O116" s="595"/>
      <c r="P116" s="367" t="str">
        <f t="shared" si="2"/>
        <v/>
      </c>
      <c r="Q116" s="368"/>
      <c r="S116" s="424"/>
    </row>
    <row r="117" spans="1:19" x14ac:dyDescent="0.25">
      <c r="A117" s="387"/>
      <c r="B117" s="428"/>
      <c r="C117" s="412" t="str">
        <f>IFERROR(IF(B117="","",IF((COUNTIF('[1]Cable Info'!$B$11:$C$50,B117)=0),VLOOKUP(B117,'[1]Cable Info (2)'!$B$11:$C$50,2,FALSE),(VLOOKUP(B117,'[1]Cable Info'!$B$11:$C$50,2,FALSE)))),"NO SUCH EXIT")</f>
        <v/>
      </c>
      <c r="D117" s="429"/>
      <c r="E117" s="419"/>
      <c r="F117" s="420" t="s">
        <v>59</v>
      </c>
      <c r="G117" s="421"/>
      <c r="H117" s="412" t="str">
        <f t="shared" ref="H117:H124" si="3">IF(G117="","",((E117-G117)-1)*(-1))</f>
        <v/>
      </c>
      <c r="I117" s="465"/>
      <c r="J117" s="430"/>
      <c r="K117" s="431"/>
      <c r="L117" s="605"/>
      <c r="M117" s="415"/>
      <c r="N117" s="427"/>
      <c r="O117" s="595"/>
      <c r="P117" s="367" t="str">
        <f t="shared" si="2"/>
        <v/>
      </c>
      <c r="Q117" s="368"/>
      <c r="S117" s="424"/>
    </row>
    <row r="118" spans="1:19" x14ac:dyDescent="0.25">
      <c r="A118" s="387"/>
      <c r="B118" s="428"/>
      <c r="C118" s="412" t="str">
        <f>IFERROR(IF(B118="","",IF((COUNTIF('[1]Cable Info'!$B$11:$C$50,B118)=0),VLOOKUP(B118,'[1]Cable Info (2)'!$B$11:$C$50,2,FALSE),(VLOOKUP(B118,'[1]Cable Info'!$B$11:$C$50,2,FALSE)))),"NO SUCH EXIT")</f>
        <v/>
      </c>
      <c r="D118" s="429"/>
      <c r="E118" s="419"/>
      <c r="F118" s="420" t="s">
        <v>59</v>
      </c>
      <c r="G118" s="421"/>
      <c r="H118" s="412" t="str">
        <f t="shared" si="3"/>
        <v/>
      </c>
      <c r="I118" s="465"/>
      <c r="J118" s="430"/>
      <c r="K118" s="431"/>
      <c r="L118" s="605"/>
      <c r="M118" s="415"/>
      <c r="N118" s="427"/>
      <c r="O118" s="595"/>
      <c r="P118" s="367" t="str">
        <f t="shared" si="2"/>
        <v/>
      </c>
      <c r="Q118" s="368"/>
      <c r="S118" s="424"/>
    </row>
    <row r="119" spans="1:19" x14ac:dyDescent="0.25">
      <c r="A119" s="387"/>
      <c r="B119" s="428"/>
      <c r="C119" s="412" t="str">
        <f>IFERROR(IF(B119="","",IF((COUNTIF('[1]Cable Info'!$B$11:$C$50,B119)=0),VLOOKUP(B119,'[1]Cable Info (2)'!$B$11:$C$50,2,FALSE),(VLOOKUP(B119,'[1]Cable Info'!$B$11:$C$50,2,FALSE)))),"NO SUCH EXIT")</f>
        <v/>
      </c>
      <c r="D119" s="429"/>
      <c r="E119" s="419"/>
      <c r="F119" s="420" t="s">
        <v>59</v>
      </c>
      <c r="G119" s="421"/>
      <c r="H119" s="412" t="str">
        <f t="shared" si="3"/>
        <v/>
      </c>
      <c r="I119" s="465"/>
      <c r="J119" s="430"/>
      <c r="K119" s="431"/>
      <c r="L119" s="605"/>
      <c r="M119" s="415"/>
      <c r="N119" s="427"/>
      <c r="O119" s="595"/>
      <c r="P119" s="367" t="str">
        <f t="shared" si="2"/>
        <v/>
      </c>
      <c r="Q119" s="368"/>
      <c r="S119" s="424"/>
    </row>
    <row r="120" spans="1:19" x14ac:dyDescent="0.25">
      <c r="A120" s="387"/>
      <c r="B120" s="428"/>
      <c r="C120" s="412" t="str">
        <f>IFERROR(IF(B120="","",IF((COUNTIF('[1]Cable Info'!$B$11:$C$50,B120)=0),VLOOKUP(B120,'[1]Cable Info (2)'!$B$11:$C$50,2,FALSE),(VLOOKUP(B120,'[1]Cable Info'!$B$11:$C$50,2,FALSE)))),"NO SUCH EXIT")</f>
        <v/>
      </c>
      <c r="D120" s="429"/>
      <c r="E120" s="419"/>
      <c r="F120" s="420" t="s">
        <v>59</v>
      </c>
      <c r="G120" s="421"/>
      <c r="H120" s="412" t="str">
        <f t="shared" si="3"/>
        <v/>
      </c>
      <c r="I120" s="465"/>
      <c r="J120" s="430"/>
      <c r="K120" s="431"/>
      <c r="L120" s="605"/>
      <c r="M120" s="415"/>
      <c r="N120" s="427"/>
      <c r="O120" s="595"/>
      <c r="P120" s="367" t="str">
        <f t="shared" si="2"/>
        <v/>
      </c>
      <c r="Q120" s="368"/>
      <c r="S120" s="424"/>
    </row>
    <row r="121" spans="1:19" x14ac:dyDescent="0.25">
      <c r="A121" s="387"/>
      <c r="B121" s="428"/>
      <c r="C121" s="412" t="str">
        <f>IFERROR(IF(B121="","",IF((COUNTIF('[1]Cable Info'!$B$11:$C$50,B121)=0),VLOOKUP(B121,'[1]Cable Info (2)'!$B$11:$C$50,2,FALSE),(VLOOKUP(B121,'[1]Cable Info'!$B$11:$C$50,2,FALSE)))),"NO SUCH EXIT")</f>
        <v/>
      </c>
      <c r="D121" s="429"/>
      <c r="E121" s="419"/>
      <c r="F121" s="420" t="s">
        <v>59</v>
      </c>
      <c r="G121" s="421"/>
      <c r="H121" s="412" t="str">
        <f t="shared" si="3"/>
        <v/>
      </c>
      <c r="I121" s="465"/>
      <c r="J121" s="430"/>
      <c r="K121" s="431"/>
      <c r="L121" s="605"/>
      <c r="M121" s="415"/>
      <c r="N121" s="427"/>
      <c r="O121" s="595"/>
      <c r="P121" s="367" t="str">
        <f t="shared" si="2"/>
        <v/>
      </c>
      <c r="Q121" s="368"/>
      <c r="S121" s="424"/>
    </row>
    <row r="122" spans="1:19" x14ac:dyDescent="0.25">
      <c r="A122" s="387"/>
      <c r="B122" s="428"/>
      <c r="C122" s="412" t="str">
        <f>IFERROR(IF(B122="","",IF((COUNTIF('[1]Cable Info'!$B$11:$C$50,B122)=0),VLOOKUP(B122,'[1]Cable Info (2)'!$B$11:$C$50,2,FALSE),(VLOOKUP(B122,'[1]Cable Info'!$B$11:$C$50,2,FALSE)))),"NO SUCH EXIT")</f>
        <v/>
      </c>
      <c r="D122" s="429"/>
      <c r="E122" s="419"/>
      <c r="F122" s="420" t="s">
        <v>59</v>
      </c>
      <c r="G122" s="421"/>
      <c r="H122" s="412" t="str">
        <f t="shared" si="3"/>
        <v/>
      </c>
      <c r="I122" s="465"/>
      <c r="J122" s="430"/>
      <c r="K122" s="431"/>
      <c r="L122" s="605"/>
      <c r="M122" s="415"/>
      <c r="N122" s="427"/>
      <c r="O122" s="595"/>
      <c r="P122" s="367" t="str">
        <f t="shared" si="2"/>
        <v/>
      </c>
      <c r="Q122" s="368"/>
      <c r="S122" s="424"/>
    </row>
    <row r="123" spans="1:19" x14ac:dyDescent="0.25">
      <c r="A123" s="387"/>
      <c r="B123" s="428"/>
      <c r="C123" s="412" t="str">
        <f>IFERROR(IF(B123="","",IF((COUNTIF('[1]Cable Info'!$B$11:$C$50,B123)=0),VLOOKUP(B123,'[1]Cable Info (2)'!$B$11:$C$50,2,FALSE),(VLOOKUP(B123,'[1]Cable Info'!$B$11:$C$50,2,FALSE)))),"NO SUCH EXIT")</f>
        <v/>
      </c>
      <c r="D123" s="429"/>
      <c r="E123" s="419"/>
      <c r="F123" s="420" t="s">
        <v>59</v>
      </c>
      <c r="G123" s="421"/>
      <c r="H123" s="412" t="str">
        <f t="shared" si="3"/>
        <v/>
      </c>
      <c r="I123" s="465"/>
      <c r="J123" s="430"/>
      <c r="K123" s="431"/>
      <c r="L123" s="605"/>
      <c r="M123" s="415"/>
      <c r="N123" s="427"/>
      <c r="O123" s="595"/>
      <c r="P123" s="367" t="str">
        <f t="shared" si="2"/>
        <v/>
      </c>
      <c r="Q123" s="368"/>
      <c r="S123" s="424"/>
    </row>
    <row r="124" spans="1:19" ht="13.8" thickBot="1" x14ac:dyDescent="0.3">
      <c r="A124" s="387"/>
      <c r="B124" s="432"/>
      <c r="C124" s="433" t="str">
        <f>IFERROR(IF(B124="","",IF((COUNTIF('[1]Cable Info'!$B$11:$C$50,B124)=0),VLOOKUP(B124,'[1]Cable Info (2)'!$B$11:$C$50,2,FALSE),(VLOOKUP(B124,'[1]Cable Info'!$B$11:$C$50,2,FALSE)))),"NO SUCH EXIT")</f>
        <v/>
      </c>
      <c r="D124" s="434"/>
      <c r="E124" s="435"/>
      <c r="F124" s="436" t="s">
        <v>59</v>
      </c>
      <c r="G124" s="437"/>
      <c r="H124" s="433" t="str">
        <f t="shared" si="3"/>
        <v/>
      </c>
      <c r="I124" s="467"/>
      <c r="J124" s="438"/>
      <c r="K124" s="439"/>
      <c r="L124" s="606"/>
      <c r="M124" s="415"/>
      <c r="N124" s="440"/>
      <c r="O124" s="595"/>
      <c r="P124" s="367" t="str">
        <f t="shared" si="2"/>
        <v/>
      </c>
      <c r="Q124" s="368"/>
      <c r="S124" s="424"/>
    </row>
    <row r="125" spans="1:19" ht="13.8" thickBot="1" x14ac:dyDescent="0.3">
      <c r="A125" s="370"/>
      <c r="B125" s="372"/>
      <c r="C125" s="372"/>
      <c r="D125" s="372"/>
      <c r="E125" s="372"/>
      <c r="F125" s="373"/>
      <c r="G125" s="372"/>
      <c r="H125" s="372"/>
      <c r="I125" s="463"/>
      <c r="J125" s="372"/>
      <c r="K125" s="441"/>
      <c r="L125" s="375"/>
      <c r="M125" s="372"/>
      <c r="N125" s="372"/>
      <c r="O125" s="377"/>
      <c r="P125" s="367"/>
      <c r="Q125" s="368"/>
      <c r="R125" s="442"/>
    </row>
    <row r="126" spans="1:19" s="369" customFormat="1" x14ac:dyDescent="0.25">
      <c r="A126" s="443"/>
      <c r="B126" s="443"/>
      <c r="C126" s="443"/>
      <c r="D126" s="443"/>
      <c r="E126" s="443"/>
      <c r="F126" s="444"/>
      <c r="G126" s="443"/>
      <c r="H126" s="443"/>
      <c r="I126" s="468"/>
      <c r="J126" s="443"/>
      <c r="K126" s="445"/>
      <c r="L126" s="446"/>
      <c r="M126" s="443"/>
      <c r="N126" s="443"/>
      <c r="O126" s="447"/>
      <c r="P126" s="444"/>
      <c r="Q126" s="444"/>
      <c r="R126" s="442"/>
    </row>
    <row r="127" spans="1:19" s="369" customFormat="1" x14ac:dyDescent="0.25">
      <c r="A127" s="442"/>
      <c r="B127" s="442"/>
      <c r="C127" s="442"/>
      <c r="D127" s="442"/>
      <c r="E127" s="442"/>
      <c r="F127" s="448"/>
      <c r="G127" s="442"/>
      <c r="H127" s="442"/>
      <c r="I127" s="469"/>
      <c r="J127" s="442"/>
      <c r="K127" s="449"/>
      <c r="L127" s="450"/>
      <c r="M127" s="442"/>
      <c r="N127" s="442"/>
      <c r="O127" s="451"/>
      <c r="P127" s="448"/>
      <c r="Q127" s="448"/>
      <c r="R127" s="442"/>
    </row>
    <row r="128" spans="1:19" x14ac:dyDescent="0.25">
      <c r="A128" s="369"/>
      <c r="B128" s="369"/>
      <c r="C128" s="369"/>
      <c r="D128" s="369"/>
      <c r="E128" s="369"/>
      <c r="F128" s="452"/>
      <c r="G128" s="369"/>
      <c r="H128" s="369"/>
      <c r="I128" s="470"/>
      <c r="J128" s="369"/>
      <c r="K128" s="453"/>
      <c r="L128" s="454"/>
      <c r="M128" s="369"/>
      <c r="N128" s="369"/>
      <c r="O128" s="455"/>
    </row>
    <row r="129" spans="1:15" x14ac:dyDescent="0.25">
      <c r="A129" s="369"/>
      <c r="B129" s="369"/>
      <c r="C129" s="369"/>
      <c r="D129" s="369"/>
      <c r="E129" s="369"/>
      <c r="F129" s="452"/>
      <c r="G129" s="369"/>
      <c r="H129" s="369"/>
      <c r="I129" s="470"/>
      <c r="J129" s="369"/>
      <c r="K129" s="453"/>
      <c r="L129" s="454"/>
      <c r="M129" s="369"/>
      <c r="N129" s="369"/>
      <c r="O129" s="455"/>
    </row>
    <row r="130" spans="1:15" x14ac:dyDescent="0.25">
      <c r="A130" s="369"/>
      <c r="B130" s="369"/>
      <c r="C130" s="369"/>
      <c r="D130" s="369"/>
      <c r="E130" s="369"/>
      <c r="F130" s="452"/>
      <c r="G130" s="369"/>
      <c r="H130" s="369"/>
      <c r="I130" s="470"/>
      <c r="J130" s="369"/>
      <c r="K130" s="453"/>
      <c r="L130" s="454"/>
      <c r="M130" s="369"/>
      <c r="N130" s="369"/>
      <c r="O130" s="455"/>
    </row>
    <row r="131" spans="1:15" x14ac:dyDescent="0.25">
      <c r="A131" s="369"/>
      <c r="B131" s="369"/>
      <c r="C131" s="369"/>
      <c r="D131" s="369"/>
      <c r="E131" s="369"/>
      <c r="F131" s="452"/>
      <c r="G131" s="369"/>
      <c r="H131" s="369"/>
      <c r="I131" s="470"/>
      <c r="J131" s="369"/>
      <c r="K131" s="453"/>
      <c r="L131" s="454"/>
      <c r="M131" s="369"/>
      <c r="N131" s="369"/>
      <c r="O131" s="455"/>
    </row>
    <row r="132" spans="1:15" x14ac:dyDescent="0.25">
      <c r="A132" s="369"/>
      <c r="B132" s="369"/>
      <c r="C132" s="369"/>
      <c r="D132" s="369"/>
      <c r="E132" s="369"/>
      <c r="F132" s="452"/>
      <c r="G132" s="369"/>
      <c r="H132" s="369"/>
      <c r="I132" s="470"/>
      <c r="J132" s="369"/>
      <c r="K132" s="453"/>
      <c r="L132" s="454"/>
      <c r="M132" s="369"/>
      <c r="N132" s="369"/>
      <c r="O132" s="455"/>
    </row>
    <row r="133" spans="1:15" x14ac:dyDescent="0.25">
      <c r="A133" s="369"/>
      <c r="B133" s="369"/>
      <c r="C133" s="369"/>
      <c r="D133" s="369"/>
      <c r="E133" s="369"/>
      <c r="F133" s="452"/>
      <c r="G133" s="369"/>
      <c r="H133" s="369"/>
      <c r="I133" s="470"/>
      <c r="J133" s="369"/>
      <c r="K133" s="453"/>
      <c r="L133" s="454"/>
      <c r="M133" s="369"/>
      <c r="N133" s="369"/>
      <c r="O133" s="455"/>
    </row>
    <row r="134" spans="1:15" x14ac:dyDescent="0.25">
      <c r="A134" s="369"/>
      <c r="B134" s="369"/>
      <c r="C134" s="369"/>
      <c r="D134" s="369"/>
      <c r="E134" s="369"/>
      <c r="F134" s="452"/>
      <c r="G134" s="369"/>
      <c r="H134" s="369"/>
      <c r="I134" s="470"/>
      <c r="J134" s="369"/>
      <c r="K134" s="453"/>
      <c r="L134" s="454"/>
      <c r="M134" s="369"/>
      <c r="N134" s="369"/>
      <c r="O134" s="455"/>
    </row>
    <row r="135" spans="1:15" x14ac:dyDescent="0.25">
      <c r="A135" s="369"/>
      <c r="B135" s="369"/>
      <c r="C135" s="369"/>
      <c r="D135" s="369"/>
      <c r="E135" s="369"/>
      <c r="F135" s="452"/>
      <c r="G135" s="369"/>
      <c r="H135" s="369"/>
      <c r="I135" s="470"/>
      <c r="J135" s="369"/>
      <c r="K135" s="453"/>
      <c r="L135" s="454"/>
      <c r="M135" s="369"/>
      <c r="N135" s="369"/>
      <c r="O135" s="455"/>
    </row>
    <row r="136" spans="1:15" x14ac:dyDescent="0.25">
      <c r="A136" s="369"/>
      <c r="B136" s="369"/>
      <c r="C136" s="369"/>
      <c r="D136" s="369"/>
      <c r="E136" s="369"/>
      <c r="F136" s="452"/>
      <c r="G136" s="369"/>
      <c r="H136" s="369"/>
      <c r="I136" s="470"/>
      <c r="J136" s="369"/>
      <c r="K136" s="453"/>
      <c r="L136" s="454"/>
      <c r="M136" s="369"/>
      <c r="N136" s="369"/>
      <c r="O136" s="455"/>
    </row>
    <row r="137" spans="1:15" x14ac:dyDescent="0.25">
      <c r="A137" s="369"/>
      <c r="B137" s="369"/>
      <c r="C137" s="369"/>
      <c r="D137" s="369"/>
      <c r="E137" s="369"/>
      <c r="F137" s="452"/>
      <c r="G137" s="369"/>
      <c r="H137" s="369"/>
      <c r="I137" s="470"/>
      <c r="J137" s="369"/>
      <c r="K137" s="453"/>
      <c r="L137" s="454"/>
      <c r="M137" s="369"/>
      <c r="N137" s="369"/>
      <c r="O137" s="455"/>
    </row>
    <row r="138" spans="1:15" x14ac:dyDescent="0.25">
      <c r="A138" s="369"/>
      <c r="B138" s="369"/>
      <c r="C138" s="369"/>
      <c r="D138" s="369"/>
      <c r="E138" s="369"/>
      <c r="F138" s="452"/>
      <c r="G138" s="369"/>
      <c r="H138" s="369"/>
      <c r="I138" s="470"/>
      <c r="J138" s="369"/>
      <c r="K138" s="453"/>
      <c r="L138" s="454"/>
      <c r="M138" s="369"/>
      <c r="N138" s="369"/>
      <c r="O138" s="455"/>
    </row>
    <row r="139" spans="1:15" x14ac:dyDescent="0.25">
      <c r="A139" s="369"/>
      <c r="B139" s="369"/>
      <c r="C139" s="369"/>
      <c r="D139" s="369"/>
      <c r="E139" s="369"/>
      <c r="F139" s="452"/>
      <c r="G139" s="369"/>
      <c r="H139" s="369"/>
      <c r="I139" s="470"/>
      <c r="J139" s="369"/>
      <c r="K139" s="453"/>
      <c r="L139" s="454"/>
      <c r="M139" s="369"/>
      <c r="N139" s="369"/>
      <c r="O139" s="455"/>
    </row>
    <row r="140" spans="1:15" x14ac:dyDescent="0.25">
      <c r="A140" s="369"/>
      <c r="B140" s="369"/>
      <c r="C140" s="369"/>
      <c r="D140" s="369"/>
      <c r="E140" s="369"/>
      <c r="F140" s="452"/>
      <c r="G140" s="369"/>
      <c r="H140" s="369"/>
      <c r="I140" s="470"/>
      <c r="J140" s="369"/>
      <c r="K140" s="453"/>
      <c r="L140" s="454"/>
      <c r="M140" s="369"/>
      <c r="N140" s="369"/>
      <c r="O140" s="455"/>
    </row>
    <row r="141" spans="1:15" x14ac:dyDescent="0.25">
      <c r="A141" s="369"/>
      <c r="B141" s="369"/>
      <c r="C141" s="369"/>
      <c r="D141" s="369"/>
      <c r="E141" s="369"/>
      <c r="F141" s="452"/>
      <c r="G141" s="369"/>
      <c r="H141" s="369"/>
      <c r="I141" s="470"/>
      <c r="J141" s="369"/>
      <c r="K141" s="453"/>
      <c r="L141" s="454"/>
      <c r="M141" s="369"/>
      <c r="N141" s="369"/>
      <c r="O141" s="455"/>
    </row>
    <row r="142" spans="1:15" x14ac:dyDescent="0.25">
      <c r="A142" s="369"/>
      <c r="B142" s="369"/>
      <c r="C142" s="369"/>
      <c r="D142" s="369"/>
      <c r="E142" s="369"/>
      <c r="F142" s="452"/>
      <c r="G142" s="369"/>
      <c r="H142" s="369"/>
      <c r="I142" s="470"/>
      <c r="J142" s="369"/>
      <c r="K142" s="453"/>
      <c r="L142" s="454"/>
      <c r="M142" s="369"/>
      <c r="N142" s="369"/>
      <c r="O142" s="455"/>
    </row>
    <row r="143" spans="1:15" x14ac:dyDescent="0.25">
      <c r="A143" s="369"/>
      <c r="B143" s="369"/>
      <c r="C143" s="369"/>
      <c r="D143" s="369"/>
      <c r="E143" s="369"/>
      <c r="F143" s="452"/>
      <c r="G143" s="369"/>
      <c r="H143" s="369"/>
      <c r="I143" s="470"/>
      <c r="J143" s="369"/>
      <c r="K143" s="453"/>
      <c r="L143" s="454"/>
      <c r="M143" s="369"/>
      <c r="N143" s="369"/>
      <c r="O143" s="455"/>
    </row>
    <row r="144" spans="1:15" x14ac:dyDescent="0.25">
      <c r="A144" s="369"/>
      <c r="B144" s="369"/>
      <c r="C144" s="369"/>
      <c r="D144" s="369"/>
      <c r="E144" s="369"/>
      <c r="F144" s="452"/>
      <c r="G144" s="369"/>
      <c r="H144" s="369"/>
      <c r="I144" s="470"/>
      <c r="J144" s="369"/>
      <c r="K144" s="453"/>
      <c r="L144" s="454"/>
      <c r="M144" s="369"/>
      <c r="N144" s="369"/>
      <c r="O144" s="455"/>
    </row>
    <row r="145" spans="1:15" x14ac:dyDescent="0.25">
      <c r="A145" s="369"/>
      <c r="B145" s="369"/>
      <c r="C145" s="369"/>
      <c r="D145" s="369"/>
      <c r="E145" s="369"/>
      <c r="F145" s="452"/>
      <c r="G145" s="369"/>
      <c r="H145" s="369"/>
      <c r="I145" s="470"/>
      <c r="J145" s="369"/>
      <c r="K145" s="453"/>
      <c r="L145" s="454"/>
      <c r="M145" s="369"/>
      <c r="N145" s="369"/>
      <c r="O145" s="455"/>
    </row>
    <row r="146" spans="1:15" x14ac:dyDescent="0.25">
      <c r="A146" s="369"/>
      <c r="B146" s="369"/>
      <c r="C146" s="369"/>
      <c r="D146" s="369"/>
      <c r="E146" s="369"/>
      <c r="F146" s="452"/>
      <c r="G146" s="369"/>
      <c r="H146" s="369"/>
      <c r="I146" s="470"/>
      <c r="J146" s="369"/>
      <c r="K146" s="453"/>
      <c r="L146" s="454"/>
      <c r="M146" s="369"/>
      <c r="N146" s="369"/>
      <c r="O146" s="455"/>
    </row>
    <row r="147" spans="1:15" x14ac:dyDescent="0.25">
      <c r="A147" s="369"/>
      <c r="B147" s="369"/>
      <c r="C147" s="369"/>
      <c r="D147" s="369"/>
      <c r="E147" s="369"/>
      <c r="F147" s="452"/>
      <c r="G147" s="369"/>
      <c r="H147" s="369"/>
      <c r="I147" s="470"/>
      <c r="J147" s="369"/>
      <c r="K147" s="453"/>
      <c r="L147" s="454"/>
      <c r="M147" s="369"/>
      <c r="N147" s="369"/>
      <c r="O147" s="455"/>
    </row>
    <row r="148" spans="1:15" x14ac:dyDescent="0.25">
      <c r="A148" s="369"/>
      <c r="B148" s="369"/>
      <c r="C148" s="369"/>
      <c r="D148" s="369"/>
      <c r="E148" s="369"/>
      <c r="F148" s="452"/>
      <c r="G148" s="369"/>
      <c r="H148" s="369"/>
      <c r="I148" s="470"/>
      <c r="J148" s="369"/>
      <c r="K148" s="453"/>
      <c r="L148" s="454"/>
      <c r="M148" s="369"/>
      <c r="N148" s="369"/>
      <c r="O148" s="455"/>
    </row>
    <row r="149" spans="1:15" x14ac:dyDescent="0.25">
      <c r="A149" s="369"/>
      <c r="B149" s="369"/>
      <c r="C149" s="369"/>
      <c r="D149" s="369"/>
      <c r="E149" s="369"/>
      <c r="F149" s="452"/>
      <c r="G149" s="369"/>
      <c r="H149" s="369"/>
      <c r="I149" s="470"/>
      <c r="J149" s="369"/>
      <c r="K149" s="453"/>
      <c r="L149" s="454"/>
      <c r="M149" s="369"/>
      <c r="N149" s="369"/>
      <c r="O149" s="455"/>
    </row>
    <row r="150" spans="1:15" x14ac:dyDescent="0.25">
      <c r="A150" s="369"/>
      <c r="B150" s="369"/>
      <c r="C150" s="369"/>
      <c r="D150" s="369"/>
      <c r="E150" s="369"/>
      <c r="F150" s="452"/>
      <c r="G150" s="369"/>
      <c r="H150" s="369"/>
      <c r="I150" s="470"/>
      <c r="J150" s="369"/>
      <c r="K150" s="453"/>
      <c r="L150" s="454"/>
      <c r="M150" s="369"/>
      <c r="N150" s="369"/>
      <c r="O150" s="455"/>
    </row>
    <row r="151" spans="1:15" x14ac:dyDescent="0.25">
      <c r="A151" s="369"/>
      <c r="B151" s="369"/>
      <c r="C151" s="369"/>
      <c r="D151" s="369"/>
      <c r="E151" s="369"/>
      <c r="F151" s="452"/>
      <c r="G151" s="369"/>
      <c r="H151" s="369"/>
      <c r="I151" s="470"/>
      <c r="J151" s="369"/>
      <c r="K151" s="453"/>
      <c r="L151" s="454"/>
      <c r="M151" s="369"/>
      <c r="N151" s="369"/>
      <c r="O151" s="455"/>
    </row>
    <row r="152" spans="1:15" x14ac:dyDescent="0.25">
      <c r="A152" s="369"/>
      <c r="B152" s="369"/>
      <c r="C152" s="369"/>
      <c r="D152" s="369"/>
      <c r="E152" s="369"/>
      <c r="F152" s="452"/>
      <c r="G152" s="369"/>
      <c r="H152" s="369"/>
      <c r="I152" s="470"/>
      <c r="J152" s="369"/>
      <c r="K152" s="453"/>
      <c r="L152" s="454"/>
      <c r="M152" s="369"/>
      <c r="N152" s="369"/>
      <c r="O152" s="455"/>
    </row>
    <row r="153" spans="1:15" x14ac:dyDescent="0.25">
      <c r="A153" s="369"/>
      <c r="B153" s="369"/>
      <c r="C153" s="369"/>
      <c r="D153" s="369"/>
      <c r="E153" s="369"/>
      <c r="F153" s="452"/>
      <c r="G153" s="369"/>
      <c r="H153" s="369"/>
      <c r="I153" s="470"/>
      <c r="J153" s="369"/>
      <c r="K153" s="453"/>
      <c r="L153" s="454"/>
      <c r="M153" s="369"/>
      <c r="N153" s="369"/>
      <c r="O153" s="455"/>
    </row>
    <row r="154" spans="1:15" x14ac:dyDescent="0.25">
      <c r="A154" s="369"/>
      <c r="B154" s="369"/>
      <c r="C154" s="369"/>
      <c r="D154" s="369"/>
      <c r="E154" s="369"/>
      <c r="F154" s="452"/>
      <c r="G154" s="369"/>
      <c r="H154" s="369"/>
      <c r="I154" s="470"/>
      <c r="J154" s="369"/>
      <c r="K154" s="453"/>
      <c r="L154" s="454"/>
      <c r="M154" s="369"/>
      <c r="N154" s="369"/>
      <c r="O154" s="455"/>
    </row>
    <row r="155" spans="1:15" x14ac:dyDescent="0.25">
      <c r="A155" s="369"/>
      <c r="B155" s="369"/>
      <c r="C155" s="369"/>
      <c r="D155" s="369"/>
      <c r="E155" s="369"/>
      <c r="F155" s="452"/>
      <c r="G155" s="369"/>
      <c r="H155" s="369"/>
      <c r="I155" s="470"/>
      <c r="J155" s="369"/>
      <c r="K155" s="453"/>
      <c r="L155" s="454"/>
      <c r="M155" s="369"/>
      <c r="N155" s="369"/>
      <c r="O155" s="455"/>
    </row>
    <row r="156" spans="1:15" x14ac:dyDescent="0.25">
      <c r="A156" s="369"/>
      <c r="B156" s="369"/>
      <c r="C156" s="369"/>
      <c r="D156" s="369"/>
      <c r="E156" s="369"/>
      <c r="F156" s="452"/>
      <c r="G156" s="369"/>
      <c r="H156" s="369"/>
      <c r="I156" s="470"/>
      <c r="J156" s="369"/>
      <c r="K156" s="453"/>
      <c r="L156" s="454"/>
      <c r="M156" s="369"/>
      <c r="N156" s="369"/>
      <c r="O156" s="455"/>
    </row>
    <row r="157" spans="1:15" x14ac:dyDescent="0.25">
      <c r="A157" s="369"/>
      <c r="B157" s="369"/>
      <c r="C157" s="369"/>
      <c r="D157" s="369"/>
      <c r="E157" s="369"/>
      <c r="F157" s="452"/>
      <c r="G157" s="369"/>
      <c r="H157" s="369"/>
      <c r="I157" s="470"/>
      <c r="J157" s="369"/>
      <c r="K157" s="453"/>
      <c r="L157" s="454"/>
      <c r="M157" s="369"/>
      <c r="N157" s="369"/>
      <c r="O157" s="455"/>
    </row>
    <row r="158" spans="1:15" x14ac:dyDescent="0.25">
      <c r="A158" s="369"/>
      <c r="B158" s="369"/>
      <c r="C158" s="369"/>
      <c r="D158" s="369"/>
      <c r="E158" s="369"/>
      <c r="F158" s="452"/>
      <c r="G158" s="369"/>
      <c r="H158" s="369"/>
      <c r="I158" s="470"/>
      <c r="J158" s="369"/>
      <c r="K158" s="453"/>
      <c r="L158" s="454"/>
      <c r="M158" s="369"/>
      <c r="N158" s="369"/>
      <c r="O158" s="455"/>
    </row>
    <row r="159" spans="1:15" x14ac:dyDescent="0.25">
      <c r="A159" s="369"/>
      <c r="B159" s="369"/>
      <c r="C159" s="369"/>
      <c r="D159" s="369"/>
      <c r="E159" s="369"/>
      <c r="F159" s="452"/>
      <c r="G159" s="369"/>
      <c r="H159" s="369"/>
      <c r="I159" s="470"/>
      <c r="J159" s="369"/>
      <c r="K159" s="453"/>
      <c r="L159" s="454"/>
      <c r="M159" s="369"/>
      <c r="N159" s="369"/>
      <c r="O159" s="455"/>
    </row>
    <row r="160" spans="1:15" x14ac:dyDescent="0.25">
      <c r="A160" s="369"/>
      <c r="B160" s="369"/>
      <c r="C160" s="369"/>
      <c r="D160" s="369"/>
      <c r="E160" s="369"/>
      <c r="F160" s="452"/>
      <c r="G160" s="369"/>
      <c r="H160" s="369"/>
      <c r="I160" s="470"/>
      <c r="J160" s="369"/>
      <c r="K160" s="453"/>
      <c r="L160" s="454"/>
      <c r="M160" s="369"/>
      <c r="N160" s="369"/>
      <c r="O160" s="455"/>
    </row>
    <row r="161" spans="1:15" x14ac:dyDescent="0.25">
      <c r="A161" s="369"/>
      <c r="B161" s="369"/>
      <c r="C161" s="369"/>
      <c r="D161" s="369"/>
      <c r="E161" s="369"/>
      <c r="F161" s="452"/>
      <c r="G161" s="369"/>
      <c r="H161" s="369"/>
      <c r="I161" s="470"/>
      <c r="J161" s="369"/>
      <c r="K161" s="453"/>
      <c r="L161" s="454"/>
      <c r="M161" s="369"/>
      <c r="N161" s="369"/>
      <c r="O161" s="455"/>
    </row>
    <row r="162" spans="1:15" x14ac:dyDescent="0.25">
      <c r="A162" s="369"/>
      <c r="B162" s="369"/>
      <c r="C162" s="369"/>
      <c r="D162" s="369"/>
      <c r="E162" s="369"/>
      <c r="F162" s="452"/>
      <c r="G162" s="369"/>
      <c r="H162" s="369"/>
      <c r="I162" s="470"/>
      <c r="J162" s="369"/>
      <c r="K162" s="453"/>
      <c r="L162" s="454"/>
      <c r="M162" s="369"/>
      <c r="N162" s="369"/>
      <c r="O162" s="455"/>
    </row>
    <row r="163" spans="1:15" x14ac:dyDescent="0.25">
      <c r="A163" s="369"/>
      <c r="B163" s="369"/>
      <c r="C163" s="369"/>
      <c r="D163" s="369"/>
      <c r="E163" s="369"/>
      <c r="F163" s="452"/>
      <c r="G163" s="369"/>
      <c r="H163" s="369"/>
      <c r="I163" s="470"/>
      <c r="J163" s="369"/>
      <c r="K163" s="453"/>
      <c r="L163" s="454"/>
      <c r="M163" s="369"/>
      <c r="N163" s="369"/>
      <c r="O163" s="455"/>
    </row>
    <row r="164" spans="1:15" x14ac:dyDescent="0.25">
      <c r="A164" s="369"/>
      <c r="B164" s="369"/>
      <c r="C164" s="369"/>
      <c r="D164" s="369"/>
      <c r="E164" s="369"/>
      <c r="F164" s="452"/>
      <c r="G164" s="369"/>
      <c r="H164" s="369"/>
      <c r="I164" s="470"/>
      <c r="J164" s="369"/>
      <c r="K164" s="453"/>
      <c r="L164" s="454"/>
      <c r="M164" s="369"/>
      <c r="N164" s="369"/>
      <c r="O164" s="455"/>
    </row>
    <row r="165" spans="1:15" x14ac:dyDescent="0.25">
      <c r="A165" s="369"/>
      <c r="B165" s="369"/>
      <c r="C165" s="369"/>
      <c r="D165" s="369"/>
      <c r="E165" s="369"/>
      <c r="F165" s="452"/>
      <c r="G165" s="369"/>
      <c r="H165" s="369"/>
      <c r="I165" s="470"/>
      <c r="J165" s="369"/>
      <c r="K165" s="453"/>
      <c r="L165" s="454"/>
      <c r="M165" s="369"/>
      <c r="N165" s="369"/>
      <c r="O165" s="455"/>
    </row>
    <row r="166" spans="1:15" x14ac:dyDescent="0.25">
      <c r="A166" s="369"/>
      <c r="B166" s="369"/>
      <c r="C166" s="369"/>
      <c r="D166" s="369"/>
      <c r="E166" s="369"/>
      <c r="F166" s="452"/>
      <c r="G166" s="369"/>
      <c r="H166" s="369"/>
      <c r="I166" s="470"/>
      <c r="J166" s="369"/>
      <c r="K166" s="453"/>
      <c r="L166" s="454"/>
      <c r="M166" s="369"/>
      <c r="N166" s="369"/>
      <c r="O166" s="455"/>
    </row>
    <row r="167" spans="1:15" x14ac:dyDescent="0.25">
      <c r="A167" s="369"/>
      <c r="B167" s="369"/>
      <c r="C167" s="369"/>
      <c r="D167" s="369"/>
      <c r="E167" s="369"/>
      <c r="F167" s="452"/>
      <c r="G167" s="369"/>
      <c r="H167" s="369"/>
      <c r="I167" s="470"/>
      <c r="J167" s="369"/>
      <c r="K167" s="453"/>
      <c r="L167" s="454"/>
      <c r="M167" s="369"/>
      <c r="N167" s="369"/>
      <c r="O167" s="455"/>
    </row>
    <row r="168" spans="1:15" x14ac:dyDescent="0.25">
      <c r="A168" s="369"/>
      <c r="B168" s="369"/>
      <c r="C168" s="369"/>
      <c r="D168" s="369"/>
      <c r="E168" s="369"/>
      <c r="F168" s="452"/>
      <c r="G168" s="369"/>
      <c r="H168" s="369"/>
      <c r="I168" s="470"/>
      <c r="J168" s="369"/>
      <c r="K168" s="453"/>
      <c r="L168" s="454"/>
      <c r="M168" s="369"/>
      <c r="N168" s="369"/>
      <c r="O168" s="455"/>
    </row>
    <row r="169" spans="1:15" x14ac:dyDescent="0.25">
      <c r="A169" s="369"/>
      <c r="B169" s="369"/>
      <c r="C169" s="369"/>
      <c r="D169" s="369"/>
      <c r="E169" s="369"/>
      <c r="F169" s="452"/>
      <c r="G169" s="369"/>
      <c r="H169" s="369"/>
      <c r="I169" s="470"/>
      <c r="J169" s="369"/>
      <c r="K169" s="453"/>
      <c r="L169" s="454"/>
      <c r="M169" s="369"/>
      <c r="N169" s="369"/>
      <c r="O169" s="455"/>
    </row>
    <row r="170" spans="1:15" x14ac:dyDescent="0.25">
      <c r="A170" s="369"/>
      <c r="B170" s="369"/>
      <c r="C170" s="369"/>
      <c r="D170" s="369"/>
      <c r="E170" s="369"/>
      <c r="F170" s="452"/>
      <c r="G170" s="369"/>
      <c r="H170" s="369"/>
      <c r="I170" s="470"/>
      <c r="J170" s="369"/>
      <c r="K170" s="453"/>
      <c r="L170" s="454"/>
      <c r="M170" s="369"/>
      <c r="N170" s="369"/>
      <c r="O170" s="455"/>
    </row>
    <row r="171" spans="1:15" x14ac:dyDescent="0.25">
      <c r="A171" s="369"/>
      <c r="B171" s="369"/>
      <c r="C171" s="369"/>
      <c r="D171" s="369"/>
      <c r="E171" s="369"/>
      <c r="F171" s="452"/>
      <c r="G171" s="369"/>
      <c r="H171" s="369"/>
      <c r="I171" s="470"/>
      <c r="J171" s="369"/>
      <c r="K171" s="453"/>
      <c r="L171" s="454"/>
      <c r="M171" s="369"/>
      <c r="N171" s="369"/>
      <c r="O171" s="455"/>
    </row>
    <row r="172" spans="1:15" x14ac:dyDescent="0.25">
      <c r="A172" s="369"/>
      <c r="B172" s="369"/>
      <c r="C172" s="369"/>
      <c r="D172" s="369"/>
      <c r="E172" s="369"/>
      <c r="F172" s="452"/>
      <c r="G172" s="369"/>
      <c r="H172" s="369"/>
      <c r="I172" s="470"/>
      <c r="J172" s="369"/>
      <c r="K172" s="453"/>
      <c r="L172" s="454"/>
      <c r="M172" s="369"/>
      <c r="N172" s="369"/>
      <c r="O172" s="455"/>
    </row>
    <row r="173" spans="1:15" x14ac:dyDescent="0.25">
      <c r="A173" s="369"/>
      <c r="B173" s="369"/>
      <c r="C173" s="369"/>
      <c r="D173" s="369"/>
      <c r="E173" s="369"/>
      <c r="F173" s="452"/>
      <c r="G173" s="369"/>
      <c r="H173" s="369"/>
      <c r="I173" s="470"/>
      <c r="J173" s="369"/>
      <c r="K173" s="453"/>
      <c r="L173" s="454"/>
      <c r="M173" s="369"/>
      <c r="N173" s="369"/>
      <c r="O173" s="455"/>
    </row>
    <row r="174" spans="1:15" x14ac:dyDescent="0.25">
      <c r="A174" s="369"/>
      <c r="B174" s="369"/>
      <c r="C174" s="369"/>
      <c r="D174" s="369"/>
      <c r="E174" s="369"/>
      <c r="F174" s="452"/>
      <c r="G174" s="369"/>
      <c r="H174" s="369"/>
      <c r="I174" s="470"/>
      <c r="J174" s="369"/>
      <c r="K174" s="453"/>
      <c r="L174" s="454"/>
      <c r="M174" s="369"/>
      <c r="N174" s="369"/>
      <c r="O174" s="455"/>
    </row>
    <row r="175" spans="1:15" x14ac:dyDescent="0.25">
      <c r="A175" s="369"/>
      <c r="B175" s="369"/>
      <c r="C175" s="369"/>
      <c r="D175" s="369"/>
      <c r="E175" s="369"/>
      <c r="F175" s="452"/>
      <c r="G175" s="369"/>
      <c r="H175" s="369"/>
      <c r="I175" s="470"/>
      <c r="J175" s="369"/>
      <c r="K175" s="453"/>
      <c r="L175" s="454"/>
      <c r="M175" s="369"/>
      <c r="N175" s="369"/>
      <c r="O175" s="455"/>
    </row>
    <row r="176" spans="1:15" x14ac:dyDescent="0.25">
      <c r="A176" s="369"/>
      <c r="B176" s="369"/>
      <c r="C176" s="369"/>
      <c r="D176" s="369"/>
      <c r="E176" s="369"/>
      <c r="F176" s="452"/>
      <c r="G176" s="369"/>
      <c r="H176" s="369"/>
      <c r="I176" s="470"/>
      <c r="J176" s="369"/>
      <c r="K176" s="453"/>
      <c r="L176" s="454"/>
      <c r="M176" s="369"/>
      <c r="N176" s="369"/>
      <c r="O176" s="455"/>
    </row>
    <row r="177" spans="1:15" x14ac:dyDescent="0.25">
      <c r="A177" s="369"/>
      <c r="B177" s="369"/>
      <c r="C177" s="369"/>
      <c r="D177" s="369"/>
      <c r="E177" s="369"/>
      <c r="F177" s="452"/>
      <c r="G177" s="369"/>
      <c r="H177" s="369"/>
      <c r="I177" s="470"/>
      <c r="J177" s="369"/>
      <c r="K177" s="453"/>
      <c r="L177" s="454"/>
      <c r="M177" s="369"/>
      <c r="N177" s="369"/>
      <c r="O177" s="455"/>
    </row>
    <row r="178" spans="1:15" x14ac:dyDescent="0.25">
      <c r="A178" s="369"/>
      <c r="B178" s="369"/>
      <c r="C178" s="369"/>
      <c r="D178" s="369"/>
      <c r="E178" s="369"/>
      <c r="F178" s="452"/>
      <c r="G178" s="369"/>
      <c r="H178" s="369"/>
      <c r="I178" s="470"/>
      <c r="J178" s="369"/>
      <c r="K178" s="453"/>
      <c r="L178" s="454"/>
      <c r="M178" s="369"/>
      <c r="N178" s="369"/>
      <c r="O178" s="455"/>
    </row>
    <row r="179" spans="1:15" x14ac:dyDescent="0.25">
      <c r="A179" s="369"/>
      <c r="B179" s="369"/>
      <c r="C179" s="369"/>
      <c r="D179" s="369"/>
      <c r="E179" s="369"/>
      <c r="F179" s="452"/>
      <c r="G179" s="369"/>
      <c r="H179" s="369"/>
      <c r="I179" s="470"/>
      <c r="J179" s="369"/>
      <c r="K179" s="453"/>
      <c r="L179" s="454"/>
      <c r="M179" s="369"/>
      <c r="N179" s="369"/>
      <c r="O179" s="455"/>
    </row>
    <row r="180" spans="1:15" x14ac:dyDescent="0.25">
      <c r="A180" s="369"/>
      <c r="B180" s="369"/>
      <c r="C180" s="369"/>
      <c r="D180" s="369"/>
      <c r="E180" s="369"/>
      <c r="F180" s="452"/>
      <c r="G180" s="369"/>
      <c r="H180" s="369"/>
      <c r="I180" s="470"/>
      <c r="J180" s="369"/>
      <c r="K180" s="453"/>
      <c r="L180" s="454"/>
      <c r="M180" s="369"/>
      <c r="N180" s="369"/>
      <c r="O180" s="455"/>
    </row>
    <row r="181" spans="1:15" x14ac:dyDescent="0.25">
      <c r="A181" s="369"/>
      <c r="B181" s="369"/>
      <c r="C181" s="369"/>
      <c r="D181" s="369"/>
      <c r="E181" s="369"/>
      <c r="F181" s="452"/>
      <c r="G181" s="369"/>
      <c r="H181" s="369"/>
      <c r="I181" s="470"/>
      <c r="J181" s="369"/>
      <c r="K181" s="453"/>
      <c r="L181" s="454"/>
      <c r="M181" s="369"/>
      <c r="N181" s="369"/>
      <c r="O181" s="455"/>
    </row>
    <row r="182" spans="1:15" x14ac:dyDescent="0.25">
      <c r="A182" s="369"/>
      <c r="B182" s="369"/>
      <c r="C182" s="369"/>
      <c r="D182" s="369"/>
      <c r="E182" s="369"/>
      <c r="F182" s="452"/>
      <c r="G182" s="369"/>
      <c r="H182" s="369"/>
      <c r="I182" s="470"/>
      <c r="J182" s="369"/>
      <c r="K182" s="453"/>
      <c r="L182" s="454"/>
      <c r="M182" s="369"/>
      <c r="N182" s="369"/>
      <c r="O182" s="455"/>
    </row>
    <row r="183" spans="1:15" x14ac:dyDescent="0.25">
      <c r="A183" s="369"/>
      <c r="B183" s="369"/>
      <c r="C183" s="369"/>
      <c r="D183" s="369"/>
      <c r="E183" s="369"/>
      <c r="F183" s="452"/>
      <c r="G183" s="369"/>
      <c r="H183" s="369"/>
      <c r="I183" s="470"/>
      <c r="J183" s="369"/>
      <c r="K183" s="453"/>
      <c r="L183" s="454"/>
      <c r="M183" s="369"/>
      <c r="N183" s="369"/>
      <c r="O183" s="455"/>
    </row>
    <row r="184" spans="1:15" x14ac:dyDescent="0.25">
      <c r="A184" s="369"/>
      <c r="B184" s="369"/>
      <c r="C184" s="369"/>
      <c r="D184" s="369"/>
      <c r="E184" s="369"/>
      <c r="F184" s="452"/>
      <c r="G184" s="369"/>
      <c r="H184" s="369"/>
      <c r="I184" s="470"/>
      <c r="J184" s="369"/>
      <c r="K184" s="453"/>
      <c r="L184" s="454"/>
      <c r="M184" s="369"/>
      <c r="N184" s="369"/>
      <c r="O184" s="455"/>
    </row>
    <row r="185" spans="1:15" x14ac:dyDescent="0.25">
      <c r="A185" s="369"/>
      <c r="B185" s="369"/>
      <c r="C185" s="369"/>
      <c r="D185" s="369"/>
      <c r="E185" s="369"/>
      <c r="F185" s="452"/>
      <c r="G185" s="369"/>
      <c r="H185" s="369"/>
      <c r="I185" s="470"/>
      <c r="J185" s="369"/>
      <c r="K185" s="453"/>
      <c r="L185" s="454"/>
      <c r="M185" s="369"/>
      <c r="N185" s="369"/>
      <c r="O185" s="455"/>
    </row>
    <row r="186" spans="1:15" x14ac:dyDescent="0.25">
      <c r="A186" s="369"/>
      <c r="B186" s="369"/>
      <c r="C186" s="369"/>
      <c r="D186" s="369"/>
      <c r="E186" s="369"/>
      <c r="F186" s="452"/>
      <c r="G186" s="369"/>
      <c r="H186" s="369"/>
      <c r="I186" s="470"/>
      <c r="J186" s="369"/>
      <c r="K186" s="453"/>
      <c r="L186" s="454"/>
      <c r="M186" s="369"/>
      <c r="N186" s="369"/>
      <c r="O186" s="455"/>
    </row>
    <row r="187" spans="1:15" x14ac:dyDescent="0.25">
      <c r="A187" s="369"/>
      <c r="B187" s="369"/>
      <c r="C187" s="369"/>
      <c r="D187" s="369"/>
      <c r="E187" s="369"/>
      <c r="F187" s="452"/>
      <c r="G187" s="369"/>
      <c r="H187" s="369"/>
      <c r="I187" s="470"/>
      <c r="J187" s="369"/>
      <c r="K187" s="453"/>
      <c r="L187" s="454"/>
      <c r="M187" s="369"/>
      <c r="N187" s="369"/>
      <c r="O187" s="455"/>
    </row>
    <row r="188" spans="1:15" x14ac:dyDescent="0.25">
      <c r="A188" s="369"/>
      <c r="B188" s="369"/>
      <c r="C188" s="369"/>
      <c r="D188" s="369"/>
      <c r="E188" s="369"/>
      <c r="F188" s="452"/>
      <c r="G188" s="369"/>
      <c r="H188" s="369"/>
      <c r="I188" s="470"/>
      <c r="J188" s="369"/>
      <c r="K188" s="453"/>
      <c r="L188" s="454"/>
      <c r="M188" s="369"/>
      <c r="N188" s="369"/>
      <c r="O188" s="455"/>
    </row>
    <row r="189" spans="1:15" x14ac:dyDescent="0.25">
      <c r="A189" s="369"/>
      <c r="B189" s="369"/>
      <c r="C189" s="369"/>
      <c r="D189" s="369"/>
      <c r="E189" s="369"/>
      <c r="F189" s="452"/>
      <c r="G189" s="369"/>
      <c r="H189" s="369"/>
      <c r="I189" s="470"/>
      <c r="J189" s="369"/>
      <c r="K189" s="453"/>
      <c r="L189" s="454"/>
      <c r="M189" s="369"/>
      <c r="N189" s="369"/>
      <c r="O189" s="455"/>
    </row>
    <row r="190" spans="1:15" x14ac:dyDescent="0.25">
      <c r="A190" s="369"/>
      <c r="B190" s="369"/>
      <c r="C190" s="369"/>
      <c r="D190" s="369"/>
      <c r="E190" s="369"/>
      <c r="F190" s="452"/>
      <c r="G190" s="369"/>
      <c r="H190" s="369"/>
      <c r="I190" s="470"/>
      <c r="J190" s="369"/>
      <c r="K190" s="453"/>
      <c r="L190" s="454"/>
      <c r="M190" s="369"/>
      <c r="N190" s="369"/>
      <c r="O190" s="455"/>
    </row>
    <row r="191" spans="1:15" x14ac:dyDescent="0.25">
      <c r="A191" s="369"/>
      <c r="B191" s="369"/>
      <c r="C191" s="369"/>
      <c r="D191" s="369"/>
      <c r="E191" s="369"/>
      <c r="F191" s="452"/>
      <c r="G191" s="369"/>
      <c r="H191" s="369"/>
      <c r="I191" s="470"/>
      <c r="J191" s="369"/>
      <c r="K191" s="453"/>
      <c r="L191" s="454"/>
      <c r="M191" s="369"/>
      <c r="N191" s="369"/>
      <c r="O191" s="455"/>
    </row>
    <row r="192" spans="1:15" x14ac:dyDescent="0.25">
      <c r="A192" s="369"/>
      <c r="B192" s="369"/>
      <c r="C192" s="369"/>
      <c r="D192" s="369"/>
      <c r="E192" s="369"/>
      <c r="F192" s="452"/>
      <c r="G192" s="369"/>
      <c r="H192" s="369"/>
      <c r="I192" s="470"/>
      <c r="J192" s="369"/>
      <c r="K192" s="453"/>
      <c r="L192" s="454"/>
      <c r="M192" s="369"/>
      <c r="N192" s="369"/>
      <c r="O192" s="455"/>
    </row>
    <row r="193" spans="1:15" x14ac:dyDescent="0.25">
      <c r="A193" s="369"/>
      <c r="B193" s="369"/>
      <c r="C193" s="369"/>
      <c r="D193" s="369"/>
      <c r="E193" s="369"/>
      <c r="F193" s="452"/>
      <c r="G193" s="369"/>
      <c r="H193" s="369"/>
      <c r="I193" s="470"/>
      <c r="J193" s="369"/>
      <c r="K193" s="453"/>
      <c r="L193" s="454"/>
      <c r="M193" s="369"/>
      <c r="N193" s="369"/>
      <c r="O193" s="455"/>
    </row>
    <row r="194" spans="1:15" x14ac:dyDescent="0.25">
      <c r="A194" s="369"/>
      <c r="B194" s="369"/>
      <c r="C194" s="369"/>
      <c r="D194" s="369"/>
      <c r="E194" s="369"/>
      <c r="F194" s="452"/>
      <c r="G194" s="369"/>
      <c r="H194" s="369"/>
      <c r="I194" s="470"/>
      <c r="J194" s="369"/>
      <c r="K194" s="453"/>
      <c r="L194" s="454"/>
      <c r="M194" s="369"/>
      <c r="N194" s="369"/>
      <c r="O194" s="455"/>
    </row>
    <row r="195" spans="1:15" x14ac:dyDescent="0.25">
      <c r="A195" s="369"/>
      <c r="B195" s="369"/>
      <c r="C195" s="369"/>
      <c r="D195" s="369"/>
      <c r="E195" s="369"/>
      <c r="F195" s="452"/>
      <c r="G195" s="369"/>
      <c r="H195" s="369"/>
      <c r="I195" s="470"/>
      <c r="J195" s="369"/>
      <c r="K195" s="453"/>
      <c r="L195" s="454"/>
      <c r="M195" s="369"/>
      <c r="N195" s="369"/>
      <c r="O195" s="455"/>
    </row>
    <row r="196" spans="1:15" x14ac:dyDescent="0.25">
      <c r="A196" s="369"/>
      <c r="B196" s="369"/>
      <c r="C196" s="369"/>
      <c r="D196" s="369"/>
      <c r="E196" s="369"/>
      <c r="F196" s="452"/>
      <c r="G196" s="369"/>
      <c r="H196" s="369"/>
      <c r="I196" s="470"/>
      <c r="J196" s="369"/>
      <c r="K196" s="453"/>
      <c r="L196" s="454"/>
      <c r="M196" s="369"/>
      <c r="N196" s="369"/>
      <c r="O196" s="455"/>
    </row>
    <row r="197" spans="1:15" x14ac:dyDescent="0.25">
      <c r="A197" s="369"/>
      <c r="B197" s="369"/>
      <c r="C197" s="369"/>
      <c r="D197" s="369"/>
      <c r="E197" s="369"/>
      <c r="F197" s="452"/>
      <c r="G197" s="369"/>
      <c r="H197" s="369"/>
      <c r="I197" s="470"/>
      <c r="J197" s="369"/>
      <c r="K197" s="453"/>
      <c r="L197" s="454"/>
      <c r="M197" s="369"/>
      <c r="N197" s="369"/>
      <c r="O197" s="455"/>
    </row>
    <row r="198" spans="1:15" x14ac:dyDescent="0.25">
      <c r="A198" s="369"/>
      <c r="B198" s="369"/>
      <c r="C198" s="369"/>
      <c r="D198" s="369"/>
      <c r="E198" s="369"/>
      <c r="F198" s="452"/>
      <c r="G198" s="369"/>
      <c r="H198" s="369"/>
      <c r="I198" s="470"/>
      <c r="J198" s="369"/>
      <c r="K198" s="453"/>
      <c r="L198" s="454"/>
      <c r="M198" s="369"/>
      <c r="N198" s="369"/>
      <c r="O198" s="455"/>
    </row>
    <row r="199" spans="1:15" x14ac:dyDescent="0.25">
      <c r="A199" s="369"/>
      <c r="B199" s="369"/>
      <c r="C199" s="369"/>
      <c r="D199" s="369"/>
      <c r="E199" s="369"/>
      <c r="F199" s="452"/>
      <c r="G199" s="369"/>
      <c r="H199" s="369"/>
      <c r="I199" s="470"/>
      <c r="J199" s="369"/>
      <c r="K199" s="453"/>
      <c r="L199" s="454"/>
      <c r="M199" s="369"/>
      <c r="N199" s="369"/>
      <c r="O199" s="455"/>
    </row>
    <row r="200" spans="1:15" x14ac:dyDescent="0.25">
      <c r="A200" s="369"/>
      <c r="B200" s="369"/>
      <c r="C200" s="369"/>
      <c r="D200" s="369"/>
      <c r="E200" s="369"/>
      <c r="F200" s="452"/>
      <c r="G200" s="369"/>
      <c r="H200" s="369"/>
      <c r="I200" s="470"/>
      <c r="J200" s="369"/>
      <c r="K200" s="453"/>
      <c r="L200" s="454"/>
      <c r="M200" s="369"/>
      <c r="N200" s="369"/>
      <c r="O200" s="455"/>
    </row>
    <row r="201" spans="1:15" x14ac:dyDescent="0.25">
      <c r="A201" s="369"/>
      <c r="B201" s="369"/>
      <c r="C201" s="369"/>
      <c r="D201" s="369"/>
      <c r="E201" s="369"/>
      <c r="F201" s="452"/>
      <c r="G201" s="369"/>
      <c r="H201" s="369"/>
      <c r="I201" s="470"/>
      <c r="J201" s="369"/>
      <c r="K201" s="453"/>
      <c r="L201" s="454"/>
      <c r="M201" s="369"/>
      <c r="N201" s="369"/>
      <c r="O201" s="455"/>
    </row>
    <row r="202" spans="1:15" x14ac:dyDescent="0.25">
      <c r="A202" s="369"/>
      <c r="B202" s="369"/>
      <c r="C202" s="369"/>
      <c r="D202" s="369"/>
      <c r="E202" s="369"/>
      <c r="F202" s="452"/>
      <c r="G202" s="369"/>
      <c r="H202" s="369"/>
      <c r="I202" s="470"/>
      <c r="J202" s="369"/>
      <c r="K202" s="453"/>
      <c r="L202" s="454"/>
      <c r="M202" s="369"/>
      <c r="N202" s="369"/>
      <c r="O202" s="455"/>
    </row>
    <row r="203" spans="1:15" x14ac:dyDescent="0.25">
      <c r="A203" s="369"/>
      <c r="B203" s="369"/>
      <c r="C203" s="369"/>
      <c r="D203" s="369"/>
      <c r="E203" s="369"/>
      <c r="F203" s="452"/>
      <c r="G203" s="369"/>
      <c r="H203" s="369"/>
      <c r="I203" s="470"/>
      <c r="J203" s="369"/>
      <c r="K203" s="453"/>
      <c r="L203" s="454"/>
      <c r="M203" s="369"/>
      <c r="N203" s="369"/>
      <c r="O203" s="455"/>
    </row>
    <row r="204" spans="1:15" x14ac:dyDescent="0.25">
      <c r="A204" s="369"/>
      <c r="B204" s="369"/>
      <c r="C204" s="369"/>
      <c r="D204" s="369"/>
      <c r="E204" s="369"/>
      <c r="F204" s="452"/>
      <c r="G204" s="369"/>
      <c r="H204" s="369"/>
      <c r="I204" s="470"/>
      <c r="J204" s="369"/>
      <c r="K204" s="453"/>
      <c r="L204" s="454"/>
      <c r="M204" s="369"/>
      <c r="N204" s="369"/>
      <c r="O204" s="455"/>
    </row>
    <row r="205" spans="1:15" x14ac:dyDescent="0.25">
      <c r="A205" s="369"/>
      <c r="B205" s="369"/>
      <c r="C205" s="369"/>
      <c r="D205" s="369"/>
      <c r="E205" s="369"/>
      <c r="F205" s="452"/>
      <c r="G205" s="369"/>
      <c r="H205" s="369"/>
      <c r="I205" s="470"/>
      <c r="J205" s="369"/>
      <c r="K205" s="453"/>
      <c r="L205" s="454"/>
      <c r="M205" s="369"/>
      <c r="N205" s="369"/>
      <c r="O205" s="455"/>
    </row>
    <row r="206" spans="1:15" x14ac:dyDescent="0.25">
      <c r="A206" s="369"/>
      <c r="B206" s="369"/>
      <c r="C206" s="369"/>
      <c r="D206" s="369"/>
      <c r="E206" s="369"/>
      <c r="F206" s="452"/>
      <c r="G206" s="369"/>
      <c r="H206" s="369"/>
      <c r="I206" s="470"/>
      <c r="J206" s="369"/>
      <c r="K206" s="453"/>
      <c r="L206" s="454"/>
      <c r="M206" s="369"/>
      <c r="N206" s="369"/>
      <c r="O206" s="455"/>
    </row>
    <row r="207" spans="1:15" x14ac:dyDescent="0.25">
      <c r="A207" s="369"/>
      <c r="B207" s="369"/>
      <c r="C207" s="369"/>
      <c r="D207" s="369"/>
      <c r="E207" s="369"/>
      <c r="F207" s="452"/>
      <c r="G207" s="369"/>
      <c r="H207" s="369"/>
      <c r="I207" s="470"/>
      <c r="J207" s="369"/>
      <c r="K207" s="453"/>
      <c r="L207" s="454"/>
      <c r="M207" s="369"/>
      <c r="N207" s="369"/>
      <c r="O207" s="455"/>
    </row>
    <row r="208" spans="1:15" x14ac:dyDescent="0.25">
      <c r="A208" s="369"/>
      <c r="B208" s="369"/>
      <c r="C208" s="369"/>
      <c r="D208" s="369"/>
      <c r="E208" s="369"/>
      <c r="F208" s="452"/>
      <c r="G208" s="369"/>
      <c r="H208" s="369"/>
      <c r="I208" s="470"/>
      <c r="J208" s="369"/>
      <c r="K208" s="453"/>
      <c r="L208" s="454"/>
      <c r="M208" s="369"/>
      <c r="N208" s="369"/>
      <c r="O208" s="455"/>
    </row>
    <row r="209" spans="1:15" x14ac:dyDescent="0.25">
      <c r="A209" s="369"/>
      <c r="B209" s="369"/>
      <c r="C209" s="369"/>
      <c r="D209" s="369"/>
      <c r="E209" s="369"/>
      <c r="F209" s="452"/>
      <c r="G209" s="369"/>
      <c r="H209" s="369"/>
      <c r="I209" s="470"/>
      <c r="J209" s="369"/>
      <c r="K209" s="453"/>
      <c r="L209" s="454"/>
      <c r="M209" s="369"/>
      <c r="N209" s="369"/>
      <c r="O209" s="455"/>
    </row>
    <row r="210" spans="1:15" x14ac:dyDescent="0.25">
      <c r="A210" s="369"/>
      <c r="B210" s="369"/>
      <c r="C210" s="369"/>
      <c r="D210" s="369"/>
      <c r="E210" s="369"/>
      <c r="F210" s="452"/>
      <c r="G210" s="369"/>
      <c r="H210" s="369"/>
      <c r="I210" s="470"/>
      <c r="J210" s="369"/>
      <c r="K210" s="453"/>
      <c r="L210" s="454"/>
      <c r="M210" s="369"/>
      <c r="N210" s="369"/>
      <c r="O210" s="455"/>
    </row>
    <row r="211" spans="1:15" x14ac:dyDescent="0.25">
      <c r="A211" s="369"/>
      <c r="B211" s="369"/>
      <c r="C211" s="369"/>
      <c r="D211" s="369"/>
      <c r="E211" s="369"/>
      <c r="F211" s="452"/>
      <c r="G211" s="369"/>
      <c r="H211" s="369"/>
      <c r="I211" s="470"/>
      <c r="J211" s="369"/>
      <c r="K211" s="453"/>
      <c r="L211" s="454"/>
      <c r="M211" s="369"/>
      <c r="N211" s="369"/>
      <c r="O211" s="455"/>
    </row>
    <row r="212" spans="1:15" x14ac:dyDescent="0.25">
      <c r="A212" s="369"/>
      <c r="B212" s="369"/>
      <c r="C212" s="369"/>
      <c r="D212" s="369"/>
      <c r="E212" s="369"/>
      <c r="F212" s="452"/>
      <c r="G212" s="369"/>
      <c r="H212" s="369"/>
      <c r="I212" s="470"/>
      <c r="J212" s="369"/>
      <c r="K212" s="453"/>
      <c r="L212" s="454"/>
      <c r="M212" s="369"/>
      <c r="N212" s="369"/>
      <c r="O212" s="455"/>
    </row>
    <row r="213" spans="1:15" x14ac:dyDescent="0.25">
      <c r="A213" s="369"/>
      <c r="B213" s="369"/>
      <c r="C213" s="369"/>
      <c r="D213" s="369"/>
      <c r="E213" s="369"/>
      <c r="F213" s="452"/>
      <c r="G213" s="369"/>
      <c r="H213" s="369"/>
      <c r="I213" s="470"/>
      <c r="J213" s="369"/>
      <c r="K213" s="453"/>
      <c r="L213" s="454"/>
      <c r="M213" s="369"/>
      <c r="N213" s="369"/>
      <c r="O213" s="455"/>
    </row>
    <row r="214" spans="1:15" x14ac:dyDescent="0.25">
      <c r="A214" s="369"/>
      <c r="B214" s="369"/>
      <c r="C214" s="369"/>
      <c r="D214" s="369"/>
      <c r="E214" s="369"/>
      <c r="F214" s="452"/>
      <c r="G214" s="369"/>
      <c r="H214" s="369"/>
      <c r="I214" s="470"/>
      <c r="J214" s="369"/>
      <c r="K214" s="453"/>
      <c r="L214" s="454"/>
      <c r="M214" s="369"/>
      <c r="N214" s="369"/>
      <c r="O214" s="455"/>
    </row>
    <row r="215" spans="1:15" x14ac:dyDescent="0.25">
      <c r="A215" s="369"/>
      <c r="B215" s="369"/>
      <c r="C215" s="369"/>
      <c r="D215" s="369"/>
      <c r="E215" s="369"/>
      <c r="F215" s="452"/>
      <c r="G215" s="369"/>
      <c r="H215" s="369"/>
      <c r="I215" s="470"/>
      <c r="J215" s="369"/>
      <c r="K215" s="453"/>
      <c r="L215" s="454"/>
      <c r="M215" s="369"/>
      <c r="N215" s="369"/>
      <c r="O215" s="455"/>
    </row>
    <row r="216" spans="1:15" x14ac:dyDescent="0.25">
      <c r="A216" s="369"/>
      <c r="B216" s="369"/>
      <c r="C216" s="369"/>
      <c r="D216" s="369"/>
      <c r="E216" s="369"/>
      <c r="F216" s="452"/>
      <c r="G216" s="369"/>
      <c r="H216" s="369"/>
      <c r="I216" s="470"/>
      <c r="J216" s="369"/>
      <c r="K216" s="453"/>
      <c r="L216" s="454"/>
      <c r="M216" s="369"/>
      <c r="N216" s="369"/>
      <c r="O216" s="455"/>
    </row>
    <row r="217" spans="1:15" x14ac:dyDescent="0.25">
      <c r="A217" s="369"/>
      <c r="B217" s="369"/>
      <c r="C217" s="369"/>
      <c r="D217" s="369"/>
      <c r="E217" s="369"/>
      <c r="F217" s="452"/>
      <c r="G217" s="369"/>
      <c r="H217" s="369"/>
      <c r="I217" s="470"/>
      <c r="J217" s="369"/>
      <c r="K217" s="453"/>
      <c r="L217" s="454"/>
      <c r="M217" s="369"/>
      <c r="N217" s="369"/>
      <c r="O217" s="455"/>
    </row>
    <row r="218" spans="1:15" x14ac:dyDescent="0.25">
      <c r="A218" s="369"/>
      <c r="B218" s="369"/>
      <c r="C218" s="369"/>
      <c r="D218" s="369"/>
      <c r="E218" s="369"/>
      <c r="F218" s="452"/>
      <c r="G218" s="369"/>
      <c r="H218" s="369"/>
      <c r="I218" s="470"/>
      <c r="J218" s="369"/>
      <c r="K218" s="453"/>
      <c r="L218" s="454"/>
      <c r="M218" s="369"/>
      <c r="N218" s="369"/>
      <c r="O218" s="455"/>
    </row>
    <row r="219" spans="1:15" x14ac:dyDescent="0.25">
      <c r="A219" s="369"/>
      <c r="B219" s="369"/>
      <c r="C219" s="369"/>
      <c r="D219" s="369"/>
      <c r="E219" s="369"/>
      <c r="F219" s="452"/>
      <c r="G219" s="369"/>
      <c r="H219" s="369"/>
      <c r="I219" s="470"/>
      <c r="J219" s="369"/>
      <c r="K219" s="453"/>
      <c r="L219" s="454"/>
      <c r="M219" s="369"/>
      <c r="N219" s="369"/>
      <c r="O219" s="455"/>
    </row>
    <row r="220" spans="1:15" x14ac:dyDescent="0.25">
      <c r="A220" s="369"/>
      <c r="B220" s="369"/>
      <c r="C220" s="369"/>
      <c r="D220" s="369"/>
      <c r="E220" s="369"/>
      <c r="F220" s="452"/>
      <c r="G220" s="369"/>
      <c r="H220" s="369"/>
      <c r="I220" s="470"/>
      <c r="J220" s="369"/>
      <c r="K220" s="453"/>
      <c r="L220" s="454"/>
      <c r="M220" s="369"/>
      <c r="N220" s="369"/>
      <c r="O220" s="455"/>
    </row>
    <row r="221" spans="1:15" x14ac:dyDescent="0.25">
      <c r="A221" s="369"/>
      <c r="B221" s="369"/>
      <c r="C221" s="369"/>
      <c r="D221" s="369"/>
      <c r="E221" s="369"/>
      <c r="F221" s="452"/>
      <c r="G221" s="369"/>
      <c r="H221" s="369"/>
      <c r="I221" s="470"/>
      <c r="J221" s="369"/>
      <c r="K221" s="453"/>
      <c r="L221" s="454"/>
      <c r="M221" s="369"/>
      <c r="N221" s="369"/>
      <c r="O221" s="455"/>
    </row>
    <row r="222" spans="1:15" x14ac:dyDescent="0.25">
      <c r="A222" s="369"/>
      <c r="B222" s="369"/>
      <c r="C222" s="369"/>
      <c r="D222" s="369"/>
      <c r="E222" s="369"/>
      <c r="F222" s="452"/>
      <c r="G222" s="369"/>
      <c r="H222" s="369"/>
      <c r="I222" s="470"/>
      <c r="J222" s="369"/>
      <c r="K222" s="453"/>
      <c r="L222" s="454"/>
      <c r="M222" s="369"/>
      <c r="N222" s="369"/>
      <c r="O222" s="455"/>
    </row>
    <row r="223" spans="1:15" x14ac:dyDescent="0.25">
      <c r="A223" s="369"/>
      <c r="B223" s="369"/>
      <c r="C223" s="369"/>
      <c r="D223" s="369"/>
      <c r="E223" s="369"/>
      <c r="F223" s="452"/>
      <c r="G223" s="369"/>
      <c r="H223" s="369"/>
      <c r="I223" s="470"/>
      <c r="J223" s="369"/>
      <c r="K223" s="453"/>
      <c r="L223" s="454"/>
      <c r="M223" s="369"/>
      <c r="N223" s="369"/>
      <c r="O223" s="455"/>
    </row>
    <row r="224" spans="1:15" x14ac:dyDescent="0.25">
      <c r="A224" s="369"/>
      <c r="B224" s="369"/>
      <c r="C224" s="369"/>
      <c r="D224" s="369"/>
      <c r="E224" s="369"/>
      <c r="F224" s="452"/>
      <c r="G224" s="369"/>
      <c r="H224" s="369"/>
      <c r="I224" s="470"/>
      <c r="J224" s="369"/>
      <c r="K224" s="453"/>
      <c r="L224" s="454"/>
      <c r="M224" s="369"/>
      <c r="N224" s="369"/>
      <c r="O224" s="455"/>
    </row>
    <row r="225" spans="1:15" x14ac:dyDescent="0.25">
      <c r="A225" s="369"/>
      <c r="B225" s="369"/>
      <c r="C225" s="369"/>
      <c r="D225" s="369"/>
      <c r="E225" s="369"/>
      <c r="F225" s="452"/>
      <c r="G225" s="369"/>
      <c r="H225" s="369"/>
      <c r="I225" s="470"/>
      <c r="J225" s="369"/>
      <c r="K225" s="453"/>
      <c r="L225" s="454"/>
      <c r="M225" s="369"/>
      <c r="N225" s="369"/>
      <c r="O225" s="455"/>
    </row>
    <row r="226" spans="1:15" x14ac:dyDescent="0.25">
      <c r="A226" s="369"/>
      <c r="B226" s="369"/>
      <c r="C226" s="369"/>
      <c r="D226" s="369"/>
      <c r="E226" s="369"/>
      <c r="F226" s="452"/>
      <c r="G226" s="369"/>
      <c r="H226" s="369"/>
      <c r="I226" s="470"/>
      <c r="J226" s="369"/>
      <c r="K226" s="453"/>
      <c r="L226" s="454"/>
      <c r="M226" s="369"/>
      <c r="N226" s="369"/>
      <c r="O226" s="455"/>
    </row>
    <row r="227" spans="1:15" x14ac:dyDescent="0.25">
      <c r="A227" s="369"/>
      <c r="B227" s="369"/>
      <c r="C227" s="369"/>
      <c r="D227" s="369"/>
      <c r="E227" s="369"/>
      <c r="F227" s="452"/>
      <c r="G227" s="369"/>
      <c r="H227" s="369"/>
      <c r="I227" s="470"/>
      <c r="J227" s="369"/>
      <c r="K227" s="453"/>
      <c r="L227" s="454"/>
      <c r="M227" s="369"/>
      <c r="N227" s="369"/>
      <c r="O227" s="455"/>
    </row>
    <row r="228" spans="1:15" x14ac:dyDescent="0.25">
      <c r="A228" s="369"/>
      <c r="B228" s="369"/>
      <c r="C228" s="369"/>
      <c r="D228" s="369"/>
      <c r="E228" s="369"/>
      <c r="F228" s="452"/>
      <c r="G228" s="369"/>
      <c r="H228" s="369"/>
      <c r="I228" s="470"/>
      <c r="J228" s="369"/>
      <c r="K228" s="453"/>
      <c r="L228" s="454"/>
      <c r="M228" s="369"/>
      <c r="N228" s="369"/>
      <c r="O228" s="455"/>
    </row>
    <row r="229" spans="1:15" x14ac:dyDescent="0.25">
      <c r="A229" s="369"/>
      <c r="B229" s="369"/>
      <c r="C229" s="369"/>
      <c r="D229" s="369"/>
      <c r="E229" s="369"/>
      <c r="F229" s="452"/>
      <c r="G229" s="369"/>
      <c r="H229" s="369"/>
      <c r="I229" s="470"/>
      <c r="J229" s="369"/>
      <c r="K229" s="453"/>
      <c r="L229" s="454"/>
      <c r="M229" s="369"/>
      <c r="N229" s="369"/>
      <c r="O229" s="455"/>
    </row>
    <row r="230" spans="1:15" x14ac:dyDescent="0.25">
      <c r="A230" s="369"/>
      <c r="B230" s="369"/>
      <c r="C230" s="369"/>
      <c r="D230" s="369"/>
      <c r="E230" s="369"/>
      <c r="F230" s="452"/>
      <c r="G230" s="369"/>
      <c r="H230" s="369"/>
      <c r="I230" s="470"/>
      <c r="J230" s="369"/>
      <c r="K230" s="453"/>
      <c r="L230" s="454"/>
      <c r="M230" s="369"/>
      <c r="N230" s="369"/>
      <c r="O230" s="455"/>
    </row>
    <row r="231" spans="1:15" x14ac:dyDescent="0.25">
      <c r="A231" s="369"/>
      <c r="B231" s="369"/>
      <c r="C231" s="369"/>
      <c r="D231" s="369"/>
      <c r="E231" s="369"/>
      <c r="F231" s="452"/>
      <c r="G231" s="369"/>
      <c r="H231" s="369"/>
      <c r="I231" s="470"/>
      <c r="J231" s="369"/>
      <c r="K231" s="453"/>
      <c r="L231" s="454"/>
      <c r="M231" s="369"/>
      <c r="N231" s="369"/>
      <c r="O231" s="455"/>
    </row>
    <row r="232" spans="1:15" x14ac:dyDescent="0.25">
      <c r="A232" s="369"/>
      <c r="B232" s="369"/>
      <c r="C232" s="369"/>
      <c r="D232" s="369"/>
      <c r="E232" s="369"/>
      <c r="F232" s="452"/>
      <c r="G232" s="369"/>
      <c r="H232" s="369"/>
      <c r="I232" s="470"/>
      <c r="J232" s="369"/>
      <c r="K232" s="453"/>
      <c r="L232" s="454"/>
      <c r="M232" s="369"/>
      <c r="N232" s="369"/>
      <c r="O232" s="455"/>
    </row>
    <row r="233" spans="1:15" x14ac:dyDescent="0.25">
      <c r="A233" s="369"/>
      <c r="B233" s="369"/>
      <c r="C233" s="369"/>
      <c r="D233" s="369"/>
      <c r="E233" s="369"/>
      <c r="F233" s="452"/>
      <c r="G233" s="369"/>
      <c r="H233" s="369"/>
      <c r="I233" s="470"/>
      <c r="J233" s="369"/>
      <c r="K233" s="453"/>
      <c r="L233" s="454"/>
      <c r="M233" s="369"/>
      <c r="N233" s="369"/>
      <c r="O233" s="455"/>
    </row>
    <row r="234" spans="1:15" x14ac:dyDescent="0.25">
      <c r="A234" s="369"/>
      <c r="B234" s="369"/>
      <c r="C234" s="369"/>
      <c r="D234" s="369"/>
      <c r="E234" s="369"/>
      <c r="F234" s="452"/>
      <c r="G234" s="369"/>
      <c r="H234" s="369"/>
      <c r="I234" s="470"/>
      <c r="J234" s="369"/>
      <c r="K234" s="453"/>
      <c r="L234" s="454"/>
      <c r="M234" s="369"/>
      <c r="N234" s="369"/>
      <c r="O234" s="455"/>
    </row>
    <row r="235" spans="1:15" x14ac:dyDescent="0.25">
      <c r="A235" s="369"/>
      <c r="B235" s="369"/>
      <c r="C235" s="369"/>
      <c r="D235" s="369"/>
      <c r="E235" s="369"/>
      <c r="F235" s="452"/>
      <c r="G235" s="369"/>
      <c r="H235" s="369"/>
      <c r="I235" s="470"/>
      <c r="J235" s="369"/>
      <c r="K235" s="453"/>
      <c r="L235" s="454"/>
      <c r="M235" s="369"/>
      <c r="N235" s="369"/>
      <c r="O235" s="455"/>
    </row>
    <row r="236" spans="1:15" x14ac:dyDescent="0.25">
      <c r="A236" s="369"/>
      <c r="B236" s="369"/>
      <c r="C236" s="369"/>
      <c r="D236" s="369"/>
      <c r="E236" s="369"/>
      <c r="F236" s="452"/>
      <c r="G236" s="369"/>
      <c r="H236" s="369"/>
      <c r="I236" s="470"/>
      <c r="J236" s="369"/>
      <c r="K236" s="453"/>
      <c r="L236" s="454"/>
      <c r="M236" s="369"/>
      <c r="N236" s="369"/>
      <c r="O236" s="455"/>
    </row>
    <row r="237" spans="1:15" x14ac:dyDescent="0.25">
      <c r="A237" s="369"/>
      <c r="B237" s="369"/>
      <c r="C237" s="369"/>
      <c r="D237" s="369"/>
      <c r="E237" s="369"/>
      <c r="F237" s="452"/>
      <c r="G237" s="369"/>
      <c r="H237" s="369"/>
      <c r="I237" s="470"/>
      <c r="J237" s="369"/>
      <c r="K237" s="453"/>
      <c r="L237" s="454"/>
      <c r="M237" s="369"/>
      <c r="N237" s="369"/>
      <c r="O237" s="455"/>
    </row>
    <row r="238" spans="1:15" x14ac:dyDescent="0.25">
      <c r="A238" s="369"/>
      <c r="B238" s="369"/>
      <c r="C238" s="369"/>
      <c r="D238" s="369"/>
      <c r="E238" s="369"/>
      <c r="F238" s="452"/>
      <c r="G238" s="369"/>
      <c r="H238" s="369"/>
      <c r="I238" s="470"/>
      <c r="J238" s="369"/>
      <c r="K238" s="453"/>
      <c r="L238" s="454"/>
      <c r="M238" s="369"/>
      <c r="N238" s="369"/>
      <c r="O238" s="455"/>
    </row>
    <row r="239" spans="1:15" x14ac:dyDescent="0.25">
      <c r="A239" s="369"/>
      <c r="B239" s="369"/>
      <c r="C239" s="369"/>
      <c r="D239" s="369"/>
      <c r="E239" s="369"/>
      <c r="F239" s="452"/>
      <c r="G239" s="369"/>
      <c r="H239" s="369"/>
      <c r="I239" s="470"/>
      <c r="J239" s="369"/>
      <c r="K239" s="453"/>
      <c r="L239" s="454"/>
      <c r="M239" s="369"/>
      <c r="N239" s="369"/>
      <c r="O239" s="455"/>
    </row>
    <row r="240" spans="1:15" x14ac:dyDescent="0.25">
      <c r="A240" s="369"/>
      <c r="B240" s="369"/>
      <c r="C240" s="369"/>
      <c r="D240" s="369"/>
      <c r="E240" s="369"/>
      <c r="F240" s="452"/>
      <c r="G240" s="369"/>
      <c r="H240" s="369"/>
      <c r="I240" s="470"/>
      <c r="J240" s="369"/>
      <c r="K240" s="453"/>
      <c r="L240" s="454"/>
      <c r="M240" s="369"/>
      <c r="N240" s="369"/>
      <c r="O240" s="455"/>
    </row>
    <row r="241" spans="1:15" x14ac:dyDescent="0.25">
      <c r="A241" s="369"/>
      <c r="B241" s="369"/>
      <c r="C241" s="369"/>
      <c r="D241" s="369"/>
      <c r="E241" s="369"/>
      <c r="F241" s="452"/>
      <c r="G241" s="369"/>
      <c r="H241" s="369"/>
      <c r="I241" s="470"/>
      <c r="J241" s="369"/>
      <c r="K241" s="453"/>
      <c r="L241" s="454"/>
      <c r="M241" s="369"/>
      <c r="N241" s="369"/>
      <c r="O241" s="455"/>
    </row>
    <row r="242" spans="1:15" x14ac:dyDescent="0.25">
      <c r="A242" s="369"/>
      <c r="B242" s="369"/>
      <c r="C242" s="369"/>
      <c r="D242" s="369"/>
      <c r="E242" s="369"/>
      <c r="F242" s="452"/>
      <c r="G242" s="369"/>
      <c r="H242" s="369"/>
      <c r="I242" s="470"/>
      <c r="J242" s="369"/>
      <c r="K242" s="453"/>
      <c r="L242" s="454"/>
      <c r="M242" s="369"/>
      <c r="N242" s="369"/>
      <c r="O242" s="455"/>
    </row>
    <row r="243" spans="1:15" x14ac:dyDescent="0.25">
      <c r="A243" s="369"/>
      <c r="B243" s="369"/>
      <c r="C243" s="369"/>
      <c r="D243" s="369"/>
      <c r="E243" s="369"/>
      <c r="F243" s="452"/>
      <c r="G243" s="369"/>
      <c r="H243" s="369"/>
      <c r="I243" s="470"/>
      <c r="J243" s="369"/>
      <c r="K243" s="453"/>
      <c r="L243" s="454"/>
      <c r="M243" s="369"/>
      <c r="N243" s="369"/>
      <c r="O243" s="455"/>
    </row>
    <row r="244" spans="1:15" x14ac:dyDescent="0.25">
      <c r="A244" s="369"/>
      <c r="B244" s="369"/>
      <c r="C244" s="369"/>
      <c r="D244" s="369"/>
      <c r="E244" s="369"/>
      <c r="F244" s="452"/>
      <c r="G244" s="369"/>
      <c r="H244" s="369"/>
      <c r="I244" s="470"/>
      <c r="J244" s="369"/>
      <c r="K244" s="453"/>
      <c r="L244" s="454"/>
      <c r="M244" s="369"/>
      <c r="N244" s="369"/>
      <c r="O244" s="455"/>
    </row>
    <row r="245" spans="1:15" x14ac:dyDescent="0.25">
      <c r="A245" s="369"/>
      <c r="B245" s="369"/>
      <c r="C245" s="369"/>
      <c r="D245" s="369"/>
      <c r="E245" s="369"/>
      <c r="F245" s="452"/>
      <c r="G245" s="369"/>
      <c r="H245" s="369"/>
      <c r="I245" s="470"/>
      <c r="J245" s="369"/>
      <c r="K245" s="453"/>
      <c r="L245" s="454"/>
      <c r="M245" s="369"/>
      <c r="N245" s="369"/>
      <c r="O245" s="455"/>
    </row>
    <row r="246" spans="1:15" x14ac:dyDescent="0.25">
      <c r="A246" s="369"/>
      <c r="B246" s="369"/>
      <c r="C246" s="369"/>
      <c r="D246" s="369"/>
      <c r="E246" s="369"/>
      <c r="F246" s="452"/>
      <c r="G246" s="369"/>
      <c r="H246" s="369"/>
      <c r="I246" s="470"/>
      <c r="J246" s="369"/>
      <c r="K246" s="453"/>
      <c r="L246" s="454"/>
      <c r="M246" s="369"/>
      <c r="N246" s="369"/>
      <c r="O246" s="455"/>
    </row>
    <row r="247" spans="1:15" x14ac:dyDescent="0.25">
      <c r="A247" s="369"/>
      <c r="B247" s="369"/>
      <c r="C247" s="369"/>
      <c r="D247" s="369"/>
      <c r="E247" s="369"/>
      <c r="F247" s="452"/>
      <c r="G247" s="369"/>
      <c r="H247" s="369"/>
      <c r="I247" s="470"/>
      <c r="J247" s="369"/>
      <c r="K247" s="453"/>
      <c r="L247" s="454"/>
      <c r="M247" s="369"/>
      <c r="N247" s="369"/>
      <c r="O247" s="455"/>
    </row>
    <row r="248" spans="1:15" x14ac:dyDescent="0.25">
      <c r="A248" s="369"/>
      <c r="B248" s="369"/>
      <c r="C248" s="369"/>
      <c r="D248" s="369"/>
      <c r="E248" s="369"/>
      <c r="F248" s="452"/>
      <c r="G248" s="369"/>
      <c r="H248" s="369"/>
      <c r="I248" s="470"/>
      <c r="J248" s="369"/>
      <c r="K248" s="453"/>
      <c r="L248" s="454"/>
      <c r="M248" s="369"/>
      <c r="N248" s="369"/>
      <c r="O248" s="455"/>
    </row>
    <row r="249" spans="1:15" x14ac:dyDescent="0.25">
      <c r="A249" s="369"/>
      <c r="B249" s="369"/>
      <c r="C249" s="369"/>
      <c r="D249" s="369"/>
      <c r="E249" s="369"/>
      <c r="F249" s="452"/>
      <c r="G249" s="369"/>
      <c r="H249" s="369"/>
      <c r="I249" s="470"/>
      <c r="J249" s="369"/>
      <c r="K249" s="453"/>
      <c r="L249" s="454"/>
      <c r="M249" s="369"/>
      <c r="N249" s="369"/>
      <c r="O249" s="455"/>
    </row>
    <row r="250" spans="1:15" x14ac:dyDescent="0.25">
      <c r="A250" s="369"/>
      <c r="B250" s="369"/>
      <c r="C250" s="369"/>
      <c r="D250" s="369"/>
      <c r="E250" s="369"/>
      <c r="F250" s="452"/>
      <c r="G250" s="369"/>
      <c r="H250" s="369"/>
      <c r="I250" s="470"/>
      <c r="J250" s="369"/>
      <c r="K250" s="453"/>
      <c r="L250" s="454"/>
      <c r="M250" s="369"/>
      <c r="N250" s="369"/>
      <c r="O250" s="455"/>
    </row>
    <row r="251" spans="1:15" x14ac:dyDescent="0.25">
      <c r="A251" s="369"/>
      <c r="B251" s="369"/>
      <c r="C251" s="369"/>
      <c r="D251" s="369"/>
      <c r="E251" s="369"/>
      <c r="F251" s="452"/>
      <c r="G251" s="369"/>
      <c r="H251" s="369"/>
      <c r="I251" s="470"/>
      <c r="J251" s="369"/>
      <c r="K251" s="453"/>
      <c r="L251" s="454"/>
      <c r="M251" s="369"/>
      <c r="N251" s="369"/>
      <c r="O251" s="455"/>
    </row>
    <row r="252" spans="1:15" x14ac:dyDescent="0.25">
      <c r="A252" s="369"/>
      <c r="B252" s="369"/>
      <c r="C252" s="369"/>
      <c r="D252" s="369"/>
      <c r="E252" s="369"/>
      <c r="F252" s="452"/>
      <c r="G252" s="369"/>
      <c r="H252" s="369"/>
      <c r="I252" s="470"/>
      <c r="J252" s="369"/>
      <c r="K252" s="453"/>
      <c r="L252" s="454"/>
      <c r="M252" s="369"/>
      <c r="N252" s="369"/>
      <c r="O252" s="455"/>
    </row>
    <row r="253" spans="1:15" x14ac:dyDescent="0.25">
      <c r="A253" s="369"/>
      <c r="B253" s="369"/>
      <c r="C253" s="369"/>
      <c r="D253" s="369"/>
      <c r="E253" s="369"/>
      <c r="F253" s="452"/>
      <c r="G253" s="369"/>
      <c r="H253" s="369"/>
      <c r="I253" s="470"/>
      <c r="J253" s="369"/>
      <c r="K253" s="453"/>
      <c r="L253" s="454"/>
      <c r="M253" s="369"/>
      <c r="N253" s="369"/>
      <c r="O253" s="455"/>
    </row>
    <row r="254" spans="1:15" x14ac:dyDescent="0.25">
      <c r="A254" s="369"/>
      <c r="B254" s="369"/>
      <c r="C254" s="369"/>
      <c r="D254" s="369"/>
      <c r="E254" s="369"/>
      <c r="F254" s="452"/>
      <c r="G254" s="369"/>
      <c r="H254" s="369"/>
      <c r="I254" s="470"/>
      <c r="J254" s="369"/>
      <c r="K254" s="453"/>
      <c r="L254" s="454"/>
      <c r="M254" s="369"/>
      <c r="N254" s="369"/>
      <c r="O254" s="455"/>
    </row>
    <row r="255" spans="1:15" x14ac:dyDescent="0.25">
      <c r="A255" s="369"/>
      <c r="B255" s="369"/>
      <c r="C255" s="369"/>
      <c r="D255" s="369"/>
      <c r="E255" s="369"/>
      <c r="F255" s="452"/>
      <c r="G255" s="369"/>
      <c r="H255" s="369"/>
      <c r="I255" s="470"/>
      <c r="J255" s="369"/>
      <c r="K255" s="453"/>
      <c r="L255" s="454"/>
      <c r="M255" s="369"/>
      <c r="N255" s="369"/>
      <c r="O255" s="455"/>
    </row>
    <row r="256" spans="1:15" x14ac:dyDescent="0.25">
      <c r="A256" s="369"/>
      <c r="B256" s="369"/>
      <c r="C256" s="369"/>
      <c r="D256" s="369"/>
      <c r="E256" s="369"/>
      <c r="F256" s="452"/>
      <c r="G256" s="369"/>
      <c r="H256" s="369"/>
      <c r="I256" s="470"/>
      <c r="J256" s="369"/>
      <c r="K256" s="453"/>
      <c r="L256" s="454"/>
      <c r="M256" s="369"/>
      <c r="N256" s="369"/>
      <c r="O256" s="455"/>
    </row>
    <row r="257" spans="1:15" x14ac:dyDescent="0.25">
      <c r="A257" s="369"/>
      <c r="B257" s="369"/>
      <c r="C257" s="369"/>
      <c r="D257" s="369"/>
      <c r="E257" s="369"/>
      <c r="F257" s="452"/>
      <c r="G257" s="369"/>
      <c r="H257" s="369"/>
      <c r="I257" s="470"/>
      <c r="J257" s="369"/>
      <c r="K257" s="453"/>
      <c r="L257" s="454"/>
      <c r="M257" s="369"/>
      <c r="N257" s="369"/>
      <c r="O257" s="455"/>
    </row>
    <row r="258" spans="1:15" x14ac:dyDescent="0.25">
      <c r="A258" s="369"/>
      <c r="B258" s="369"/>
      <c r="C258" s="369"/>
      <c r="D258" s="369"/>
      <c r="E258" s="369"/>
      <c r="F258" s="452"/>
      <c r="G258" s="369"/>
      <c r="H258" s="369"/>
      <c r="I258" s="470"/>
      <c r="J258" s="369"/>
      <c r="K258" s="453"/>
      <c r="L258" s="454"/>
      <c r="M258" s="369"/>
      <c r="N258" s="369"/>
      <c r="O258" s="455"/>
    </row>
    <row r="259" spans="1:15" x14ac:dyDescent="0.25">
      <c r="A259" s="369"/>
      <c r="B259" s="369"/>
      <c r="C259" s="369"/>
      <c r="D259" s="369"/>
      <c r="E259" s="369"/>
      <c r="F259" s="452"/>
      <c r="G259" s="369"/>
      <c r="H259" s="369"/>
      <c r="I259" s="470"/>
      <c r="J259" s="369"/>
      <c r="K259" s="453"/>
      <c r="L259" s="454"/>
      <c r="M259" s="369"/>
      <c r="N259" s="369"/>
      <c r="O259" s="455"/>
    </row>
    <row r="260" spans="1:15" x14ac:dyDescent="0.25">
      <c r="A260" s="369"/>
      <c r="B260" s="369"/>
      <c r="C260" s="369"/>
      <c r="D260" s="369"/>
      <c r="E260" s="369"/>
      <c r="F260" s="452"/>
      <c r="G260" s="369"/>
      <c r="H260" s="369"/>
      <c r="I260" s="470"/>
      <c r="J260" s="369"/>
      <c r="K260" s="453"/>
      <c r="L260" s="454"/>
      <c r="M260" s="369"/>
      <c r="N260" s="369"/>
      <c r="O260" s="455"/>
    </row>
    <row r="261" spans="1:15" x14ac:dyDescent="0.25">
      <c r="A261" s="369"/>
      <c r="B261" s="369"/>
      <c r="C261" s="369"/>
      <c r="D261" s="369"/>
      <c r="E261" s="369"/>
      <c r="F261" s="452"/>
      <c r="G261" s="369"/>
      <c r="H261" s="369"/>
      <c r="I261" s="470"/>
      <c r="J261" s="369"/>
      <c r="K261" s="453"/>
      <c r="L261" s="454"/>
      <c r="M261" s="369"/>
      <c r="N261" s="369"/>
      <c r="O261" s="455"/>
    </row>
    <row r="262" spans="1:15" x14ac:dyDescent="0.25">
      <c r="A262" s="369"/>
      <c r="B262" s="369"/>
      <c r="C262" s="369"/>
      <c r="D262" s="369"/>
      <c r="E262" s="369"/>
      <c r="F262" s="452"/>
      <c r="G262" s="369"/>
      <c r="H262" s="369"/>
      <c r="I262" s="470"/>
      <c r="J262" s="369"/>
      <c r="K262" s="453"/>
      <c r="L262" s="454"/>
      <c r="M262" s="369"/>
      <c r="N262" s="369"/>
      <c r="O262" s="455"/>
    </row>
    <row r="263" spans="1:15" x14ac:dyDescent="0.25">
      <c r="A263" s="369"/>
      <c r="B263" s="369"/>
      <c r="C263" s="369"/>
      <c r="D263" s="369"/>
      <c r="E263" s="369"/>
      <c r="F263" s="452"/>
      <c r="G263" s="369"/>
      <c r="H263" s="369"/>
      <c r="I263" s="470"/>
      <c r="J263" s="369"/>
      <c r="K263" s="453"/>
      <c r="L263" s="454"/>
      <c r="M263" s="369"/>
      <c r="N263" s="369"/>
      <c r="O263" s="455"/>
    </row>
    <row r="264" spans="1:15" x14ac:dyDescent="0.25">
      <c r="A264" s="369"/>
      <c r="B264" s="369"/>
      <c r="C264" s="369"/>
      <c r="D264" s="369"/>
      <c r="E264" s="369"/>
      <c r="F264" s="452"/>
      <c r="G264" s="369"/>
      <c r="H264" s="369"/>
      <c r="I264" s="470"/>
      <c r="J264" s="369"/>
      <c r="K264" s="453"/>
      <c r="L264" s="454"/>
      <c r="M264" s="369"/>
      <c r="N264" s="369"/>
      <c r="O264" s="455"/>
    </row>
    <row r="265" spans="1:15" x14ac:dyDescent="0.25">
      <c r="A265" s="369"/>
      <c r="B265" s="369"/>
      <c r="C265" s="369"/>
      <c r="D265" s="369"/>
      <c r="E265" s="369"/>
      <c r="F265" s="452"/>
      <c r="G265" s="369"/>
      <c r="H265" s="369"/>
      <c r="I265" s="470"/>
      <c r="J265" s="369"/>
      <c r="K265" s="453"/>
      <c r="L265" s="454"/>
      <c r="M265" s="369"/>
      <c r="N265" s="369"/>
      <c r="O265" s="455"/>
    </row>
    <row r="266" spans="1:15" x14ac:dyDescent="0.25">
      <c r="A266" s="369"/>
      <c r="B266" s="369"/>
      <c r="C266" s="369"/>
      <c r="D266" s="369"/>
      <c r="E266" s="369"/>
      <c r="F266" s="452"/>
      <c r="G266" s="369"/>
      <c r="H266" s="369"/>
      <c r="I266" s="470"/>
      <c r="J266" s="369"/>
      <c r="K266" s="453"/>
      <c r="L266" s="454"/>
      <c r="M266" s="369"/>
      <c r="N266" s="369"/>
      <c r="O266" s="455"/>
    </row>
    <row r="267" spans="1:15" x14ac:dyDescent="0.25">
      <c r="A267" s="369"/>
      <c r="B267" s="369"/>
      <c r="C267" s="369"/>
      <c r="D267" s="369"/>
      <c r="E267" s="369"/>
      <c r="F267" s="452"/>
      <c r="G267" s="369"/>
      <c r="H267" s="369"/>
      <c r="I267" s="470"/>
      <c r="J267" s="369"/>
      <c r="K267" s="453"/>
      <c r="L267" s="454"/>
      <c r="M267" s="369"/>
      <c r="N267" s="369"/>
      <c r="O267" s="455"/>
    </row>
    <row r="268" spans="1:15" x14ac:dyDescent="0.25">
      <c r="A268" s="369"/>
      <c r="B268" s="369"/>
      <c r="C268" s="369"/>
      <c r="D268" s="369"/>
      <c r="E268" s="369"/>
      <c r="F268" s="452"/>
      <c r="G268" s="369"/>
      <c r="H268" s="369"/>
      <c r="I268" s="470"/>
      <c r="J268" s="369"/>
      <c r="K268" s="453"/>
      <c r="L268" s="454"/>
      <c r="M268" s="369"/>
      <c r="N268" s="369"/>
      <c r="O268" s="455"/>
    </row>
    <row r="269" spans="1:15" x14ac:dyDescent="0.25">
      <c r="A269" s="369"/>
      <c r="B269" s="369"/>
      <c r="C269" s="369"/>
      <c r="D269" s="369"/>
      <c r="E269" s="369"/>
      <c r="F269" s="452"/>
      <c r="G269" s="369"/>
      <c r="H269" s="369"/>
      <c r="I269" s="470"/>
      <c r="J269" s="369"/>
      <c r="K269" s="453"/>
      <c r="L269" s="454"/>
      <c r="M269" s="369"/>
      <c r="N269" s="369"/>
      <c r="O269" s="455"/>
    </row>
    <row r="270" spans="1:15" x14ac:dyDescent="0.25">
      <c r="A270" s="369"/>
      <c r="B270" s="369"/>
      <c r="C270" s="369"/>
      <c r="D270" s="369"/>
      <c r="E270" s="369"/>
      <c r="F270" s="452"/>
      <c r="G270" s="369"/>
      <c r="H270" s="369"/>
      <c r="I270" s="470"/>
      <c r="J270" s="369"/>
      <c r="K270" s="453"/>
      <c r="L270" s="454"/>
      <c r="M270" s="369"/>
      <c r="N270" s="369"/>
      <c r="O270" s="455"/>
    </row>
    <row r="271" spans="1:15" x14ac:dyDescent="0.25">
      <c r="A271" s="369"/>
      <c r="B271" s="369"/>
      <c r="C271" s="369"/>
      <c r="D271" s="369"/>
      <c r="E271" s="369"/>
      <c r="F271" s="452"/>
      <c r="G271" s="369"/>
      <c r="H271" s="369"/>
      <c r="I271" s="470"/>
      <c r="J271" s="369"/>
      <c r="K271" s="453"/>
      <c r="L271" s="454"/>
      <c r="M271" s="369"/>
      <c r="N271" s="369"/>
      <c r="O271" s="455"/>
    </row>
    <row r="272" spans="1:15" x14ac:dyDescent="0.25">
      <c r="A272" s="369"/>
      <c r="B272" s="369"/>
      <c r="C272" s="369"/>
      <c r="D272" s="369"/>
      <c r="E272" s="369"/>
      <c r="F272" s="452"/>
      <c r="G272" s="369"/>
      <c r="H272" s="369"/>
      <c r="I272" s="470"/>
      <c r="J272" s="369"/>
      <c r="K272" s="453"/>
      <c r="L272" s="454"/>
      <c r="M272" s="369"/>
      <c r="N272" s="369"/>
      <c r="O272" s="455"/>
    </row>
    <row r="273" spans="1:15" x14ac:dyDescent="0.25">
      <c r="A273" s="369"/>
      <c r="B273" s="369"/>
      <c r="C273" s="369"/>
      <c r="D273" s="369"/>
      <c r="E273" s="369"/>
      <c r="F273" s="452"/>
      <c r="G273" s="369"/>
      <c r="H273" s="369"/>
      <c r="I273" s="470"/>
      <c r="J273" s="369"/>
      <c r="K273" s="453"/>
      <c r="L273" s="454"/>
      <c r="M273" s="369"/>
      <c r="N273" s="369"/>
      <c r="O273" s="455"/>
    </row>
    <row r="274" spans="1:15" x14ac:dyDescent="0.25">
      <c r="A274" s="369"/>
      <c r="B274" s="369"/>
      <c r="C274" s="369"/>
      <c r="D274" s="369"/>
      <c r="E274" s="369"/>
      <c r="F274" s="452"/>
      <c r="G274" s="369"/>
      <c r="H274" s="369"/>
      <c r="I274" s="470"/>
      <c r="J274" s="369"/>
      <c r="K274" s="453"/>
      <c r="L274" s="454"/>
      <c r="M274" s="369"/>
      <c r="N274" s="369"/>
      <c r="O274" s="455"/>
    </row>
    <row r="275" spans="1:15" x14ac:dyDescent="0.25">
      <c r="A275" s="369"/>
      <c r="B275" s="369"/>
      <c r="C275" s="369"/>
      <c r="D275" s="369"/>
      <c r="E275" s="369"/>
      <c r="F275" s="452"/>
      <c r="G275" s="369"/>
      <c r="H275" s="369"/>
      <c r="I275" s="470"/>
      <c r="J275" s="369"/>
      <c r="K275" s="453"/>
      <c r="L275" s="454"/>
      <c r="M275" s="369"/>
      <c r="N275" s="369"/>
      <c r="O275" s="455"/>
    </row>
    <row r="276" spans="1:15" x14ac:dyDescent="0.25">
      <c r="A276" s="369"/>
      <c r="B276" s="369"/>
      <c r="C276" s="369"/>
      <c r="D276" s="369"/>
      <c r="E276" s="369"/>
      <c r="F276" s="452"/>
      <c r="G276" s="369"/>
      <c r="H276" s="369"/>
      <c r="I276" s="470"/>
      <c r="J276" s="369"/>
      <c r="K276" s="453"/>
      <c r="L276" s="454"/>
      <c r="M276" s="369"/>
      <c r="N276" s="369"/>
      <c r="O276" s="455"/>
    </row>
    <row r="277" spans="1:15" x14ac:dyDescent="0.25">
      <c r="A277" s="369"/>
      <c r="B277" s="369"/>
      <c r="C277" s="369"/>
      <c r="D277" s="369"/>
      <c r="E277" s="369"/>
      <c r="F277" s="452"/>
      <c r="G277" s="369"/>
      <c r="H277" s="369"/>
      <c r="I277" s="470"/>
      <c r="J277" s="369"/>
      <c r="K277" s="453"/>
      <c r="L277" s="454"/>
      <c r="M277" s="369"/>
      <c r="N277" s="369"/>
      <c r="O277" s="455"/>
    </row>
    <row r="278" spans="1:15" x14ac:dyDescent="0.25">
      <c r="A278" s="369"/>
      <c r="B278" s="369"/>
      <c r="C278" s="369"/>
      <c r="D278" s="369"/>
      <c r="E278" s="369"/>
      <c r="F278" s="452"/>
      <c r="G278" s="369"/>
      <c r="H278" s="369"/>
      <c r="I278" s="470"/>
      <c r="J278" s="369"/>
      <c r="K278" s="453"/>
      <c r="L278" s="454"/>
      <c r="M278" s="369"/>
      <c r="N278" s="369"/>
      <c r="O278" s="455"/>
    </row>
    <row r="279" spans="1:15" x14ac:dyDescent="0.25">
      <c r="A279" s="369"/>
      <c r="B279" s="369"/>
      <c r="C279" s="369"/>
      <c r="D279" s="369"/>
      <c r="E279" s="369"/>
      <c r="F279" s="452"/>
      <c r="G279" s="369"/>
      <c r="H279" s="369"/>
      <c r="I279" s="470"/>
      <c r="J279" s="369"/>
      <c r="K279" s="453"/>
      <c r="L279" s="454"/>
      <c r="M279" s="369"/>
      <c r="N279" s="369"/>
      <c r="O279" s="455"/>
    </row>
    <row r="280" spans="1:15" x14ac:dyDescent="0.25">
      <c r="A280" s="369"/>
      <c r="B280" s="369"/>
      <c r="C280" s="369"/>
      <c r="D280" s="369"/>
      <c r="E280" s="369"/>
      <c r="F280" s="452"/>
      <c r="G280" s="369"/>
      <c r="H280" s="369"/>
      <c r="I280" s="470"/>
      <c r="J280" s="369"/>
      <c r="K280" s="453"/>
      <c r="L280" s="454"/>
      <c r="M280" s="369"/>
      <c r="N280" s="369"/>
      <c r="O280" s="455"/>
    </row>
    <row r="281" spans="1:15" x14ac:dyDescent="0.25">
      <c r="A281" s="369"/>
      <c r="B281" s="369"/>
      <c r="C281" s="369"/>
      <c r="D281" s="369"/>
      <c r="E281" s="369"/>
      <c r="F281" s="452"/>
      <c r="G281" s="369"/>
      <c r="H281" s="369"/>
      <c r="I281" s="470"/>
      <c r="J281" s="369"/>
      <c r="K281" s="453"/>
      <c r="L281" s="454"/>
      <c r="M281" s="369"/>
      <c r="N281" s="369"/>
      <c r="O281" s="455"/>
    </row>
    <row r="282" spans="1:15" x14ac:dyDescent="0.25">
      <c r="A282" s="369"/>
      <c r="B282" s="369"/>
      <c r="C282" s="369"/>
      <c r="D282" s="369"/>
      <c r="E282" s="369"/>
      <c r="F282" s="452"/>
      <c r="G282" s="369"/>
      <c r="H282" s="369"/>
      <c r="I282" s="470"/>
      <c r="J282" s="369"/>
      <c r="K282" s="453"/>
      <c r="L282" s="454"/>
      <c r="M282" s="369"/>
      <c r="N282" s="369"/>
      <c r="O282" s="455"/>
    </row>
    <row r="283" spans="1:15" x14ac:dyDescent="0.25">
      <c r="A283" s="369"/>
      <c r="B283" s="369"/>
      <c r="C283" s="369"/>
      <c r="D283" s="369"/>
      <c r="E283" s="369"/>
      <c r="F283" s="452"/>
      <c r="G283" s="369"/>
      <c r="H283" s="369"/>
      <c r="I283" s="470"/>
      <c r="J283" s="369"/>
      <c r="K283" s="453"/>
      <c r="L283" s="454"/>
      <c r="M283" s="369"/>
      <c r="N283" s="369"/>
      <c r="O283" s="455"/>
    </row>
    <row r="284" spans="1:15" x14ac:dyDescent="0.25">
      <c r="A284" s="369"/>
      <c r="B284" s="369"/>
      <c r="C284" s="369"/>
      <c r="D284" s="369"/>
      <c r="E284" s="369"/>
      <c r="F284" s="452"/>
      <c r="G284" s="369"/>
      <c r="H284" s="369"/>
      <c r="I284" s="470"/>
      <c r="J284" s="369"/>
      <c r="K284" s="453"/>
      <c r="L284" s="454"/>
      <c r="M284" s="369"/>
      <c r="N284" s="369"/>
      <c r="O284" s="455"/>
    </row>
    <row r="285" spans="1:15" x14ac:dyDescent="0.25">
      <c r="A285" s="369"/>
      <c r="B285" s="369"/>
      <c r="C285" s="369"/>
      <c r="D285" s="369"/>
      <c r="E285" s="369"/>
      <c r="F285" s="452"/>
      <c r="G285" s="369"/>
      <c r="H285" s="369"/>
      <c r="I285" s="470"/>
      <c r="J285" s="369"/>
      <c r="K285" s="453"/>
      <c r="L285" s="454"/>
      <c r="M285" s="369"/>
      <c r="N285" s="369"/>
      <c r="O285" s="455"/>
    </row>
    <row r="286" spans="1:15" x14ac:dyDescent="0.25">
      <c r="A286" s="369"/>
      <c r="B286" s="369"/>
      <c r="C286" s="369"/>
      <c r="D286" s="369"/>
      <c r="E286" s="369"/>
      <c r="F286" s="452"/>
      <c r="G286" s="369"/>
      <c r="H286" s="369"/>
      <c r="I286" s="470"/>
      <c r="J286" s="369"/>
      <c r="K286" s="453"/>
      <c r="L286" s="454"/>
      <c r="M286" s="369"/>
      <c r="N286" s="369"/>
      <c r="O286" s="455"/>
    </row>
    <row r="287" spans="1:15" x14ac:dyDescent="0.25">
      <c r="A287" s="369"/>
      <c r="B287" s="369"/>
      <c r="C287" s="369"/>
      <c r="D287" s="369"/>
      <c r="E287" s="369"/>
      <c r="F287" s="452"/>
      <c r="G287" s="369"/>
      <c r="H287" s="369"/>
      <c r="I287" s="470"/>
      <c r="J287" s="369"/>
      <c r="K287" s="453"/>
      <c r="L287" s="454"/>
      <c r="M287" s="369"/>
      <c r="N287" s="369"/>
      <c r="O287" s="455"/>
    </row>
    <row r="288" spans="1:15" x14ac:dyDescent="0.25">
      <c r="A288" s="369"/>
      <c r="B288" s="369"/>
      <c r="C288" s="369"/>
      <c r="D288" s="369"/>
      <c r="E288" s="369"/>
      <c r="F288" s="452"/>
      <c r="G288" s="369"/>
      <c r="H288" s="369"/>
      <c r="I288" s="470"/>
      <c r="J288" s="369"/>
      <c r="K288" s="453"/>
      <c r="L288" s="454"/>
      <c r="M288" s="369"/>
      <c r="N288" s="369"/>
      <c r="O288" s="455"/>
    </row>
    <row r="289" spans="1:15" x14ac:dyDescent="0.25">
      <c r="A289" s="369"/>
      <c r="B289" s="369"/>
      <c r="C289" s="369"/>
      <c r="D289" s="369"/>
      <c r="E289" s="369"/>
      <c r="F289" s="452"/>
      <c r="G289" s="369"/>
      <c r="H289" s="369"/>
      <c r="I289" s="470"/>
      <c r="J289" s="369"/>
      <c r="K289" s="453"/>
      <c r="L289" s="454"/>
      <c r="M289" s="369"/>
      <c r="N289" s="369"/>
      <c r="O289" s="455"/>
    </row>
    <row r="290" spans="1:15" x14ac:dyDescent="0.25">
      <c r="A290" s="369"/>
      <c r="B290" s="369"/>
      <c r="C290" s="369"/>
      <c r="D290" s="369"/>
      <c r="E290" s="369"/>
      <c r="F290" s="452"/>
      <c r="G290" s="369"/>
      <c r="H290" s="369"/>
      <c r="I290" s="470"/>
      <c r="J290" s="369"/>
      <c r="K290" s="453"/>
      <c r="L290" s="454"/>
      <c r="M290" s="369"/>
      <c r="N290" s="369"/>
      <c r="O290" s="455"/>
    </row>
    <row r="291" spans="1:15" x14ac:dyDescent="0.25">
      <c r="A291" s="369"/>
      <c r="B291" s="369"/>
      <c r="C291" s="369"/>
      <c r="D291" s="369"/>
      <c r="E291" s="369"/>
      <c r="F291" s="452"/>
      <c r="G291" s="369"/>
      <c r="H291" s="369"/>
      <c r="I291" s="470"/>
      <c r="J291" s="369"/>
      <c r="K291" s="453"/>
      <c r="L291" s="454"/>
      <c r="M291" s="369"/>
      <c r="N291" s="369"/>
      <c r="O291" s="455"/>
    </row>
    <row r="292" spans="1:15" x14ac:dyDescent="0.25">
      <c r="A292" s="369"/>
      <c r="B292" s="369"/>
      <c r="C292" s="369"/>
      <c r="D292" s="369"/>
      <c r="E292" s="369"/>
      <c r="F292" s="452"/>
      <c r="G292" s="369"/>
      <c r="H292" s="369"/>
      <c r="I292" s="470"/>
      <c r="J292" s="369"/>
      <c r="K292" s="453"/>
      <c r="L292" s="454"/>
      <c r="M292" s="369"/>
      <c r="N292" s="369"/>
      <c r="O292" s="455"/>
    </row>
    <row r="293" spans="1:15" x14ac:dyDescent="0.25">
      <c r="A293" s="369"/>
      <c r="B293" s="369"/>
      <c r="C293" s="369"/>
      <c r="D293" s="369"/>
      <c r="E293" s="369"/>
      <c r="F293" s="452"/>
      <c r="G293" s="369"/>
      <c r="H293" s="369"/>
      <c r="I293" s="470"/>
      <c r="J293" s="369"/>
      <c r="K293" s="453"/>
      <c r="L293" s="454"/>
      <c r="M293" s="369"/>
      <c r="N293" s="369"/>
      <c r="O293" s="455"/>
    </row>
    <row r="294" spans="1:15" x14ac:dyDescent="0.25">
      <c r="A294" s="369"/>
      <c r="B294" s="369"/>
      <c r="C294" s="369"/>
      <c r="D294" s="369"/>
      <c r="E294" s="369"/>
      <c r="F294" s="452"/>
      <c r="G294" s="369"/>
      <c r="H294" s="369"/>
      <c r="I294" s="470"/>
      <c r="J294" s="369"/>
      <c r="K294" s="453"/>
      <c r="L294" s="454"/>
      <c r="M294" s="369"/>
      <c r="N294" s="369"/>
      <c r="O294" s="455"/>
    </row>
    <row r="295" spans="1:15" x14ac:dyDescent="0.25">
      <c r="A295" s="369"/>
      <c r="B295" s="369"/>
      <c r="C295" s="369"/>
      <c r="D295" s="369"/>
      <c r="E295" s="369"/>
      <c r="F295" s="452"/>
      <c r="G295" s="369"/>
      <c r="H295" s="369"/>
      <c r="I295" s="470"/>
      <c r="J295" s="369"/>
      <c r="K295" s="453"/>
      <c r="L295" s="454"/>
      <c r="M295" s="369"/>
      <c r="N295" s="369"/>
      <c r="O295" s="455"/>
    </row>
    <row r="296" spans="1:15" x14ac:dyDescent="0.25">
      <c r="A296" s="369"/>
      <c r="B296" s="369"/>
      <c r="C296" s="369"/>
      <c r="D296" s="369"/>
      <c r="E296" s="369"/>
      <c r="F296" s="452"/>
      <c r="G296" s="369"/>
      <c r="H296" s="369"/>
      <c r="I296" s="470"/>
      <c r="J296" s="369"/>
      <c r="K296" s="453"/>
      <c r="L296" s="454"/>
      <c r="M296" s="369"/>
      <c r="N296" s="369"/>
      <c r="O296" s="455"/>
    </row>
    <row r="297" spans="1:15" x14ac:dyDescent="0.25">
      <c r="A297" s="369"/>
      <c r="B297" s="369"/>
      <c r="C297" s="369"/>
      <c r="D297" s="369"/>
      <c r="E297" s="369"/>
      <c r="F297" s="452"/>
      <c r="G297" s="369"/>
      <c r="H297" s="369"/>
      <c r="I297" s="470"/>
      <c r="J297" s="369"/>
      <c r="K297" s="453"/>
      <c r="L297" s="454"/>
      <c r="M297" s="369"/>
      <c r="N297" s="369"/>
      <c r="O297" s="455"/>
    </row>
    <row r="298" spans="1:15" x14ac:dyDescent="0.25">
      <c r="A298" s="369"/>
      <c r="B298" s="369"/>
      <c r="C298" s="369"/>
      <c r="D298" s="369"/>
      <c r="E298" s="369"/>
      <c r="F298" s="452"/>
      <c r="G298" s="369"/>
      <c r="H298" s="369"/>
      <c r="I298" s="470"/>
      <c r="J298" s="369"/>
      <c r="K298" s="453"/>
      <c r="L298" s="454"/>
      <c r="M298" s="369"/>
      <c r="N298" s="369"/>
      <c r="O298" s="455"/>
    </row>
    <row r="299" spans="1:15" x14ac:dyDescent="0.25">
      <c r="A299" s="369"/>
      <c r="B299" s="369"/>
      <c r="C299" s="369"/>
      <c r="D299" s="369"/>
      <c r="E299" s="369"/>
      <c r="F299" s="452"/>
      <c r="G299" s="369"/>
      <c r="H299" s="369"/>
      <c r="I299" s="470"/>
      <c r="J299" s="369"/>
      <c r="K299" s="453"/>
      <c r="L299" s="454"/>
      <c r="M299" s="369"/>
      <c r="N299" s="369"/>
      <c r="O299" s="455"/>
    </row>
    <row r="300" spans="1:15" x14ac:dyDescent="0.25">
      <c r="A300" s="369"/>
      <c r="B300" s="369"/>
      <c r="C300" s="369"/>
      <c r="D300" s="369"/>
      <c r="E300" s="369"/>
      <c r="F300" s="452"/>
      <c r="G300" s="369"/>
      <c r="H300" s="369"/>
      <c r="I300" s="470"/>
      <c r="J300" s="369"/>
      <c r="K300" s="453"/>
      <c r="L300" s="454"/>
      <c r="M300" s="369"/>
      <c r="N300" s="369"/>
      <c r="O300" s="455"/>
    </row>
    <row r="301" spans="1:15" x14ac:dyDescent="0.25">
      <c r="A301" s="369"/>
      <c r="B301" s="369"/>
      <c r="C301" s="369"/>
      <c r="D301" s="369"/>
      <c r="E301" s="369"/>
      <c r="F301" s="452"/>
      <c r="G301" s="369"/>
      <c r="H301" s="369"/>
      <c r="I301" s="470"/>
      <c r="J301" s="369"/>
      <c r="K301" s="453"/>
      <c r="L301" s="454"/>
      <c r="M301" s="369"/>
      <c r="N301" s="369"/>
      <c r="O301" s="455"/>
    </row>
    <row r="302" spans="1:15" x14ac:dyDescent="0.25">
      <c r="A302" s="369"/>
      <c r="B302" s="369"/>
      <c r="C302" s="369"/>
      <c r="D302" s="369"/>
      <c r="E302" s="369"/>
      <c r="F302" s="452"/>
      <c r="G302" s="369"/>
      <c r="H302" s="369"/>
      <c r="I302" s="470"/>
      <c r="J302" s="369"/>
      <c r="K302" s="453"/>
      <c r="L302" s="454"/>
      <c r="M302" s="369"/>
      <c r="N302" s="369"/>
      <c r="O302" s="455"/>
    </row>
    <row r="303" spans="1:15" x14ac:dyDescent="0.25">
      <c r="A303" s="369"/>
      <c r="B303" s="369"/>
      <c r="C303" s="369"/>
      <c r="D303" s="369"/>
      <c r="E303" s="369"/>
      <c r="F303" s="452"/>
      <c r="G303" s="369"/>
      <c r="H303" s="369"/>
      <c r="I303" s="470"/>
      <c r="J303" s="369"/>
      <c r="K303" s="453"/>
      <c r="L303" s="454"/>
      <c r="M303" s="369"/>
      <c r="N303" s="369"/>
      <c r="O303" s="455"/>
    </row>
    <row r="304" spans="1:15" x14ac:dyDescent="0.25">
      <c r="A304" s="369"/>
      <c r="B304" s="369"/>
      <c r="C304" s="369"/>
      <c r="D304" s="369"/>
      <c r="E304" s="369"/>
      <c r="F304" s="452"/>
      <c r="G304" s="369"/>
      <c r="H304" s="369"/>
      <c r="I304" s="470"/>
      <c r="J304" s="369"/>
      <c r="K304" s="453"/>
      <c r="L304" s="454"/>
      <c r="M304" s="369"/>
      <c r="N304" s="369"/>
      <c r="O304" s="455"/>
    </row>
    <row r="305" spans="1:15" x14ac:dyDescent="0.25">
      <c r="A305" s="369"/>
      <c r="B305" s="369"/>
      <c r="C305" s="369"/>
      <c r="D305" s="369"/>
      <c r="E305" s="369"/>
      <c r="F305" s="452"/>
      <c r="G305" s="369"/>
      <c r="H305" s="369"/>
      <c r="I305" s="470"/>
      <c r="J305" s="369"/>
      <c r="K305" s="453"/>
      <c r="L305" s="454"/>
      <c r="M305" s="369"/>
      <c r="N305" s="369"/>
      <c r="O305" s="455"/>
    </row>
    <row r="306" spans="1:15" x14ac:dyDescent="0.25">
      <c r="A306" s="369"/>
      <c r="B306" s="369"/>
      <c r="C306" s="369"/>
      <c r="D306" s="369"/>
      <c r="E306" s="369"/>
      <c r="F306" s="452"/>
      <c r="G306" s="369"/>
      <c r="H306" s="369"/>
      <c r="I306" s="470"/>
      <c r="J306" s="369"/>
      <c r="K306" s="453"/>
      <c r="L306" s="454"/>
      <c r="M306" s="369"/>
      <c r="N306" s="369"/>
      <c r="O306" s="455"/>
    </row>
    <row r="307" spans="1:15" x14ac:dyDescent="0.25">
      <c r="A307" s="369"/>
      <c r="B307" s="369"/>
      <c r="C307" s="369"/>
      <c r="D307" s="369"/>
      <c r="E307" s="369"/>
      <c r="F307" s="452"/>
      <c r="G307" s="369"/>
      <c r="H307" s="369"/>
      <c r="I307" s="470"/>
      <c r="J307" s="369"/>
      <c r="K307" s="453"/>
      <c r="L307" s="454"/>
      <c r="M307" s="369"/>
      <c r="N307" s="369"/>
      <c r="O307" s="455"/>
    </row>
    <row r="308" spans="1:15" x14ac:dyDescent="0.25">
      <c r="A308" s="369"/>
      <c r="B308" s="369"/>
      <c r="C308" s="369"/>
      <c r="D308" s="369"/>
      <c r="E308" s="369"/>
      <c r="F308" s="452"/>
      <c r="G308" s="369"/>
      <c r="H308" s="369"/>
      <c r="I308" s="470"/>
      <c r="J308" s="369"/>
      <c r="K308" s="453"/>
      <c r="L308" s="454"/>
      <c r="M308" s="369"/>
      <c r="N308" s="369"/>
      <c r="O308" s="455"/>
    </row>
    <row r="309" spans="1:15" x14ac:dyDescent="0.25">
      <c r="A309" s="369"/>
      <c r="B309" s="369"/>
      <c r="C309" s="369"/>
      <c r="D309" s="369"/>
      <c r="E309" s="369"/>
      <c r="F309" s="452"/>
      <c r="G309" s="369"/>
      <c r="H309" s="369"/>
      <c r="I309" s="470"/>
      <c r="J309" s="369"/>
      <c r="K309" s="453"/>
      <c r="L309" s="454"/>
      <c r="M309" s="369"/>
      <c r="N309" s="369"/>
      <c r="O309" s="455"/>
    </row>
    <row r="310" spans="1:15" x14ac:dyDescent="0.25">
      <c r="A310" s="369"/>
      <c r="B310" s="369"/>
      <c r="C310" s="369"/>
      <c r="D310" s="369"/>
      <c r="E310" s="369"/>
      <c r="F310" s="452"/>
      <c r="G310" s="369"/>
      <c r="H310" s="369"/>
      <c r="I310" s="470"/>
      <c r="J310" s="369"/>
      <c r="K310" s="453"/>
      <c r="L310" s="454"/>
      <c r="M310" s="369"/>
      <c r="N310" s="369"/>
      <c r="O310" s="455"/>
    </row>
    <row r="311" spans="1:15" x14ac:dyDescent="0.25">
      <c r="A311" s="369"/>
      <c r="B311" s="369"/>
      <c r="C311" s="369"/>
      <c r="D311" s="369"/>
      <c r="E311" s="369"/>
      <c r="F311" s="452"/>
      <c r="G311" s="369"/>
      <c r="H311" s="369"/>
      <c r="I311" s="470"/>
      <c r="J311" s="369"/>
      <c r="K311" s="453"/>
      <c r="L311" s="454"/>
      <c r="M311" s="369"/>
      <c r="N311" s="369"/>
      <c r="O311" s="455"/>
    </row>
    <row r="312" spans="1:15" x14ac:dyDescent="0.25">
      <c r="A312" s="369"/>
      <c r="B312" s="369"/>
      <c r="C312" s="369"/>
      <c r="D312" s="369"/>
      <c r="E312" s="369"/>
      <c r="F312" s="452"/>
      <c r="G312" s="369"/>
      <c r="H312" s="369"/>
      <c r="I312" s="470"/>
      <c r="J312" s="369"/>
      <c r="K312" s="453"/>
      <c r="L312" s="454"/>
      <c r="M312" s="369"/>
      <c r="N312" s="369"/>
      <c r="O312" s="455"/>
    </row>
    <row r="313" spans="1:15" x14ac:dyDescent="0.25">
      <c r="A313" s="369"/>
      <c r="B313" s="369"/>
      <c r="C313" s="369"/>
      <c r="D313" s="369"/>
      <c r="E313" s="369"/>
      <c r="F313" s="452"/>
      <c r="G313" s="369"/>
      <c r="H313" s="369"/>
      <c r="I313" s="470"/>
      <c r="J313" s="369"/>
      <c r="K313" s="453"/>
      <c r="L313" s="454"/>
      <c r="M313" s="369"/>
      <c r="N313" s="369"/>
      <c r="O313" s="455"/>
    </row>
    <row r="314" spans="1:15" x14ac:dyDescent="0.25">
      <c r="A314" s="369"/>
      <c r="B314" s="369"/>
      <c r="C314" s="369"/>
      <c r="D314" s="369"/>
      <c r="E314" s="369"/>
      <c r="F314" s="452"/>
      <c r="G314" s="369"/>
      <c r="H314" s="369"/>
      <c r="I314" s="470"/>
      <c r="J314" s="369"/>
      <c r="K314" s="453"/>
      <c r="L314" s="454"/>
      <c r="M314" s="369"/>
      <c r="N314" s="369"/>
      <c r="O314" s="455"/>
    </row>
    <row r="315" spans="1:15" x14ac:dyDescent="0.25">
      <c r="A315" s="369"/>
      <c r="B315" s="369"/>
      <c r="C315" s="369"/>
      <c r="D315" s="369"/>
      <c r="E315" s="369"/>
      <c r="F315" s="452"/>
      <c r="G315" s="369"/>
      <c r="H315" s="369"/>
      <c r="I315" s="470"/>
      <c r="J315" s="369"/>
      <c r="K315" s="453"/>
      <c r="L315" s="454"/>
      <c r="M315" s="369"/>
      <c r="N315" s="369"/>
      <c r="O315" s="455"/>
    </row>
    <row r="316" spans="1:15" x14ac:dyDescent="0.25">
      <c r="A316" s="369"/>
      <c r="B316" s="369"/>
      <c r="C316" s="369"/>
      <c r="D316" s="369"/>
      <c r="E316" s="369"/>
      <c r="F316" s="452"/>
      <c r="G316" s="369"/>
      <c r="H316" s="369"/>
      <c r="I316" s="470"/>
      <c r="J316" s="369"/>
      <c r="K316" s="453"/>
      <c r="L316" s="454"/>
      <c r="M316" s="369"/>
      <c r="N316" s="369"/>
      <c r="O316" s="455"/>
    </row>
    <row r="317" spans="1:15" x14ac:dyDescent="0.25">
      <c r="A317" s="369"/>
      <c r="B317" s="369"/>
      <c r="C317" s="369"/>
      <c r="D317" s="369"/>
      <c r="E317" s="369"/>
      <c r="F317" s="452"/>
      <c r="G317" s="369"/>
      <c r="H317" s="369"/>
      <c r="I317" s="470"/>
      <c r="J317" s="369"/>
      <c r="K317" s="453"/>
      <c r="L317" s="454"/>
      <c r="M317" s="369"/>
      <c r="N317" s="369"/>
      <c r="O317" s="455"/>
    </row>
    <row r="318" spans="1:15" x14ac:dyDescent="0.25">
      <c r="A318" s="369"/>
      <c r="B318" s="369"/>
      <c r="C318" s="369"/>
      <c r="D318" s="369"/>
      <c r="E318" s="369"/>
      <c r="F318" s="452"/>
      <c r="G318" s="369"/>
      <c r="H318" s="369"/>
      <c r="I318" s="470"/>
      <c r="J318" s="369"/>
      <c r="K318" s="453"/>
      <c r="L318" s="454"/>
      <c r="M318" s="369"/>
      <c r="N318" s="369"/>
      <c r="O318" s="455"/>
    </row>
    <row r="319" spans="1:15" x14ac:dyDescent="0.25">
      <c r="A319" s="369"/>
      <c r="B319" s="369"/>
      <c r="C319" s="369"/>
      <c r="D319" s="369"/>
      <c r="E319" s="369"/>
      <c r="F319" s="452"/>
      <c r="G319" s="369"/>
      <c r="H319" s="369"/>
      <c r="I319" s="470"/>
      <c r="J319" s="369"/>
      <c r="K319" s="453"/>
      <c r="L319" s="454"/>
      <c r="M319" s="369"/>
      <c r="N319" s="369"/>
      <c r="O319" s="455"/>
    </row>
    <row r="320" spans="1:15" x14ac:dyDescent="0.25">
      <c r="A320" s="369"/>
      <c r="B320" s="369"/>
      <c r="C320" s="369"/>
      <c r="D320" s="369"/>
      <c r="E320" s="369"/>
      <c r="F320" s="452"/>
      <c r="G320" s="369"/>
      <c r="H320" s="369"/>
      <c r="I320" s="470"/>
      <c r="J320" s="369"/>
      <c r="K320" s="453"/>
      <c r="L320" s="454"/>
      <c r="M320" s="369"/>
      <c r="N320" s="369"/>
      <c r="O320" s="455"/>
    </row>
    <row r="321" spans="1:15" x14ac:dyDescent="0.25">
      <c r="A321" s="369"/>
      <c r="B321" s="369"/>
      <c r="C321" s="369"/>
      <c r="D321" s="369"/>
      <c r="E321" s="369"/>
      <c r="F321" s="452"/>
      <c r="G321" s="369"/>
      <c r="H321" s="369"/>
      <c r="I321" s="470"/>
      <c r="J321" s="369"/>
      <c r="K321" s="453"/>
      <c r="L321" s="454"/>
      <c r="M321" s="369"/>
      <c r="N321" s="369"/>
      <c r="O321" s="455"/>
    </row>
    <row r="322" spans="1:15" x14ac:dyDescent="0.25">
      <c r="A322" s="369"/>
      <c r="B322" s="369"/>
      <c r="C322" s="369"/>
      <c r="D322" s="369"/>
      <c r="E322" s="369"/>
      <c r="F322" s="452"/>
      <c r="G322" s="369"/>
      <c r="H322" s="369"/>
      <c r="I322" s="470"/>
      <c r="J322" s="369"/>
      <c r="K322" s="453"/>
      <c r="L322" s="454"/>
      <c r="M322" s="369"/>
      <c r="N322" s="369"/>
      <c r="O322" s="455"/>
    </row>
    <row r="323" spans="1:15" x14ac:dyDescent="0.25">
      <c r="A323" s="369"/>
      <c r="B323" s="369"/>
      <c r="C323" s="369"/>
      <c r="D323" s="369"/>
      <c r="E323" s="369"/>
      <c r="F323" s="452"/>
      <c r="G323" s="369"/>
      <c r="H323" s="369"/>
      <c r="I323" s="470"/>
      <c r="J323" s="369"/>
      <c r="K323" s="453"/>
      <c r="L323" s="454"/>
      <c r="M323" s="369"/>
      <c r="N323" s="369"/>
      <c r="O323" s="455"/>
    </row>
    <row r="324" spans="1:15" x14ac:dyDescent="0.25">
      <c r="A324" s="369"/>
      <c r="B324" s="369"/>
      <c r="C324" s="369"/>
      <c r="D324" s="369"/>
      <c r="E324" s="369"/>
      <c r="F324" s="452"/>
      <c r="G324" s="369"/>
      <c r="H324" s="369"/>
      <c r="I324" s="470"/>
      <c r="J324" s="369"/>
      <c r="K324" s="453"/>
      <c r="L324" s="454"/>
      <c r="M324" s="369"/>
      <c r="N324" s="369"/>
      <c r="O324" s="455"/>
    </row>
    <row r="325" spans="1:15" x14ac:dyDescent="0.25">
      <c r="A325" s="369"/>
      <c r="B325" s="369"/>
      <c r="C325" s="369"/>
      <c r="D325" s="369"/>
      <c r="E325" s="369"/>
      <c r="F325" s="452"/>
      <c r="G325" s="369"/>
      <c r="H325" s="369"/>
      <c r="I325" s="470"/>
      <c r="J325" s="369"/>
      <c r="K325" s="453"/>
      <c r="L325" s="454"/>
      <c r="M325" s="369"/>
      <c r="N325" s="369"/>
      <c r="O325" s="455"/>
    </row>
    <row r="326" spans="1:15" x14ac:dyDescent="0.25">
      <c r="A326" s="369"/>
      <c r="B326" s="369"/>
      <c r="C326" s="369"/>
      <c r="D326" s="369"/>
      <c r="E326" s="369"/>
      <c r="F326" s="452"/>
      <c r="G326" s="369"/>
      <c r="H326" s="369"/>
      <c r="I326" s="470"/>
      <c r="J326" s="369"/>
      <c r="K326" s="453"/>
      <c r="L326" s="454"/>
      <c r="M326" s="369"/>
      <c r="N326" s="369"/>
      <c r="O326" s="455"/>
    </row>
    <row r="327" spans="1:15" x14ac:dyDescent="0.25">
      <c r="A327" s="369"/>
      <c r="B327" s="369"/>
      <c r="C327" s="369"/>
      <c r="D327" s="369"/>
      <c r="E327" s="369"/>
      <c r="F327" s="452"/>
      <c r="G327" s="369"/>
      <c r="H327" s="369"/>
      <c r="I327" s="470"/>
      <c r="J327" s="369"/>
      <c r="K327" s="453"/>
      <c r="L327" s="454"/>
      <c r="M327" s="369"/>
      <c r="N327" s="369"/>
      <c r="O327" s="455"/>
    </row>
    <row r="328" spans="1:15" x14ac:dyDescent="0.25">
      <c r="A328" s="369"/>
      <c r="B328" s="369"/>
      <c r="C328" s="369"/>
      <c r="D328" s="369"/>
      <c r="E328" s="369"/>
      <c r="F328" s="452"/>
      <c r="G328" s="369"/>
      <c r="H328" s="369"/>
      <c r="I328" s="470"/>
      <c r="J328" s="369"/>
      <c r="K328" s="453"/>
      <c r="L328" s="454"/>
      <c r="M328" s="369"/>
      <c r="N328" s="369"/>
      <c r="O328" s="455"/>
    </row>
    <row r="329" spans="1:15" x14ac:dyDescent="0.25">
      <c r="A329" s="369"/>
      <c r="B329" s="369"/>
      <c r="C329" s="369"/>
      <c r="D329" s="369"/>
      <c r="E329" s="369"/>
      <c r="F329" s="452"/>
      <c r="G329" s="369"/>
      <c r="H329" s="369"/>
      <c r="I329" s="470"/>
      <c r="J329" s="369"/>
      <c r="K329" s="453"/>
      <c r="L329" s="454"/>
      <c r="M329" s="369"/>
      <c r="N329" s="369"/>
      <c r="O329" s="455"/>
    </row>
    <row r="330" spans="1:15" x14ac:dyDescent="0.25">
      <c r="A330" s="369"/>
      <c r="B330" s="369"/>
      <c r="C330" s="369"/>
      <c r="D330" s="369"/>
      <c r="E330" s="369"/>
      <c r="F330" s="452"/>
      <c r="G330" s="369"/>
      <c r="H330" s="369"/>
      <c r="I330" s="470"/>
      <c r="J330" s="369"/>
      <c r="K330" s="453"/>
      <c r="L330" s="454"/>
      <c r="M330" s="369"/>
      <c r="N330" s="369"/>
      <c r="O330" s="455"/>
    </row>
    <row r="331" spans="1:15" x14ac:dyDescent="0.25">
      <c r="A331" s="369"/>
      <c r="B331" s="369"/>
      <c r="C331" s="369"/>
      <c r="D331" s="369"/>
      <c r="E331" s="369"/>
      <c r="F331" s="452"/>
      <c r="G331" s="369"/>
      <c r="H331" s="369"/>
      <c r="I331" s="470"/>
      <c r="J331" s="369"/>
      <c r="K331" s="453"/>
      <c r="L331" s="454"/>
      <c r="M331" s="369"/>
      <c r="N331" s="369"/>
      <c r="O331" s="455"/>
    </row>
    <row r="332" spans="1:15" x14ac:dyDescent="0.25">
      <c r="A332" s="369"/>
      <c r="B332" s="369"/>
      <c r="C332" s="369"/>
      <c r="D332" s="369"/>
      <c r="E332" s="369"/>
      <c r="F332" s="452"/>
      <c r="G332" s="369"/>
      <c r="H332" s="369"/>
      <c r="I332" s="470"/>
      <c r="J332" s="369"/>
      <c r="K332" s="453"/>
      <c r="L332" s="454"/>
      <c r="M332" s="369"/>
      <c r="N332" s="369"/>
      <c r="O332" s="455"/>
    </row>
    <row r="333" spans="1:15" x14ac:dyDescent="0.25">
      <c r="A333" s="369"/>
      <c r="B333" s="369"/>
      <c r="C333" s="369"/>
      <c r="D333" s="369"/>
      <c r="E333" s="369"/>
      <c r="F333" s="452"/>
      <c r="G333" s="369"/>
      <c r="H333" s="369"/>
      <c r="I333" s="470"/>
      <c r="J333" s="369"/>
      <c r="K333" s="453"/>
      <c r="L333" s="454"/>
      <c r="M333" s="369"/>
      <c r="N333" s="369"/>
      <c r="O333" s="455"/>
    </row>
    <row r="334" spans="1:15" x14ac:dyDescent="0.25">
      <c r="A334" s="369"/>
      <c r="B334" s="369"/>
      <c r="C334" s="369"/>
      <c r="D334" s="369"/>
      <c r="E334" s="369"/>
      <c r="F334" s="452"/>
      <c r="G334" s="369"/>
      <c r="H334" s="369"/>
      <c r="I334" s="470"/>
      <c r="J334" s="369"/>
      <c r="K334" s="453"/>
      <c r="L334" s="454"/>
      <c r="M334" s="369"/>
      <c r="N334" s="369"/>
      <c r="O334" s="455"/>
    </row>
    <row r="335" spans="1:15" x14ac:dyDescent="0.25">
      <c r="A335" s="369"/>
      <c r="B335" s="369"/>
      <c r="C335" s="369"/>
      <c r="D335" s="369"/>
      <c r="E335" s="369"/>
      <c r="F335" s="452"/>
      <c r="G335" s="369"/>
      <c r="H335" s="369"/>
      <c r="I335" s="470"/>
      <c r="J335" s="369"/>
      <c r="K335" s="453"/>
      <c r="L335" s="454"/>
      <c r="M335" s="369"/>
      <c r="N335" s="369"/>
      <c r="O335" s="455"/>
    </row>
    <row r="336" spans="1:15" x14ac:dyDescent="0.25">
      <c r="A336" s="369"/>
      <c r="B336" s="369"/>
      <c r="C336" s="369"/>
      <c r="D336" s="369"/>
      <c r="E336" s="369"/>
      <c r="F336" s="452"/>
      <c r="G336" s="369"/>
      <c r="H336" s="369"/>
      <c r="I336" s="470"/>
      <c r="J336" s="369"/>
      <c r="K336" s="453"/>
      <c r="L336" s="454"/>
      <c r="M336" s="369"/>
      <c r="N336" s="369"/>
      <c r="O336" s="455"/>
    </row>
    <row r="337" spans="1:15" x14ac:dyDescent="0.25">
      <c r="A337" s="369"/>
      <c r="B337" s="369"/>
      <c r="C337" s="369"/>
      <c r="D337" s="369"/>
      <c r="E337" s="369"/>
      <c r="F337" s="452"/>
      <c r="G337" s="369"/>
      <c r="H337" s="369"/>
      <c r="I337" s="470"/>
      <c r="J337" s="369"/>
      <c r="K337" s="453"/>
      <c r="L337" s="454"/>
      <c r="M337" s="369"/>
      <c r="N337" s="369"/>
      <c r="O337" s="455"/>
    </row>
    <row r="338" spans="1:15" x14ac:dyDescent="0.25">
      <c r="A338" s="369"/>
      <c r="B338" s="369"/>
      <c r="C338" s="369"/>
      <c r="D338" s="369"/>
      <c r="E338" s="369"/>
      <c r="F338" s="452"/>
      <c r="G338" s="369"/>
      <c r="H338" s="369"/>
      <c r="I338" s="470"/>
      <c r="J338" s="369"/>
      <c r="K338" s="453"/>
      <c r="L338" s="454"/>
      <c r="M338" s="369"/>
      <c r="N338" s="369"/>
      <c r="O338" s="455"/>
    </row>
    <row r="339" spans="1:15" x14ac:dyDescent="0.25">
      <c r="A339" s="369"/>
      <c r="B339" s="369"/>
      <c r="C339" s="369"/>
      <c r="D339" s="369"/>
      <c r="E339" s="369"/>
      <c r="F339" s="452"/>
      <c r="G339" s="369"/>
      <c r="H339" s="369"/>
      <c r="I339" s="470"/>
      <c r="J339" s="369"/>
      <c r="K339" s="453"/>
      <c r="L339" s="454"/>
      <c r="M339" s="369"/>
      <c r="N339" s="369"/>
      <c r="O339" s="455"/>
    </row>
    <row r="340" spans="1:15" x14ac:dyDescent="0.25">
      <c r="A340" s="369"/>
      <c r="B340" s="369"/>
      <c r="C340" s="369"/>
      <c r="D340" s="369"/>
      <c r="E340" s="369"/>
      <c r="F340" s="452"/>
      <c r="G340" s="369"/>
      <c r="H340" s="369"/>
      <c r="I340" s="470"/>
      <c r="J340" s="369"/>
      <c r="K340" s="453"/>
      <c r="L340" s="454"/>
      <c r="M340" s="369"/>
      <c r="N340" s="369"/>
      <c r="O340" s="455"/>
    </row>
    <row r="341" spans="1:15" x14ac:dyDescent="0.25">
      <c r="A341" s="369"/>
      <c r="B341" s="369"/>
      <c r="C341" s="369"/>
      <c r="D341" s="369"/>
      <c r="E341" s="369"/>
      <c r="F341" s="452"/>
      <c r="G341" s="369"/>
      <c r="H341" s="369"/>
      <c r="I341" s="470"/>
      <c r="J341" s="369"/>
      <c r="K341" s="453"/>
      <c r="L341" s="454"/>
      <c r="M341" s="369"/>
      <c r="N341" s="369"/>
      <c r="O341" s="455"/>
    </row>
    <row r="342" spans="1:15" x14ac:dyDescent="0.25">
      <c r="A342" s="369"/>
      <c r="B342" s="369"/>
      <c r="C342" s="369"/>
      <c r="D342" s="369"/>
      <c r="E342" s="369"/>
      <c r="F342" s="452"/>
      <c r="G342" s="369"/>
      <c r="H342" s="369"/>
      <c r="I342" s="470"/>
      <c r="J342" s="369"/>
      <c r="K342" s="453"/>
      <c r="L342" s="454"/>
      <c r="M342" s="369"/>
      <c r="N342" s="369"/>
      <c r="O342" s="455"/>
    </row>
    <row r="343" spans="1:15" x14ac:dyDescent="0.25">
      <c r="A343" s="369"/>
      <c r="B343" s="369"/>
      <c r="C343" s="369"/>
      <c r="D343" s="369"/>
      <c r="E343" s="369"/>
      <c r="F343" s="452"/>
      <c r="G343" s="369"/>
      <c r="H343" s="369"/>
      <c r="I343" s="470"/>
      <c r="J343" s="369"/>
      <c r="K343" s="453"/>
      <c r="L343" s="454"/>
      <c r="M343" s="369"/>
      <c r="N343" s="369"/>
      <c r="O343" s="455"/>
    </row>
    <row r="344" spans="1:15" x14ac:dyDescent="0.25">
      <c r="A344" s="369"/>
      <c r="B344" s="369"/>
      <c r="C344" s="369"/>
      <c r="D344" s="369"/>
      <c r="E344" s="369"/>
      <c r="F344" s="452"/>
      <c r="G344" s="369"/>
      <c r="H344" s="369"/>
      <c r="I344" s="470"/>
      <c r="J344" s="369"/>
      <c r="K344" s="453"/>
      <c r="L344" s="454"/>
      <c r="M344" s="369"/>
      <c r="N344" s="369"/>
      <c r="O344" s="455"/>
    </row>
    <row r="345" spans="1:15" x14ac:dyDescent="0.25">
      <c r="A345" s="369"/>
      <c r="B345" s="369"/>
      <c r="C345" s="369"/>
      <c r="D345" s="369"/>
      <c r="E345" s="369"/>
      <c r="F345" s="452"/>
      <c r="G345" s="369"/>
      <c r="H345" s="369"/>
      <c r="I345" s="470"/>
      <c r="J345" s="369"/>
      <c r="K345" s="453"/>
      <c r="L345" s="454"/>
      <c r="M345" s="369"/>
      <c r="N345" s="369"/>
      <c r="O345" s="455"/>
    </row>
    <row r="346" spans="1:15" x14ac:dyDescent="0.25">
      <c r="A346" s="369"/>
      <c r="B346" s="369"/>
      <c r="C346" s="369"/>
      <c r="D346" s="369"/>
      <c r="E346" s="369"/>
      <c r="F346" s="452"/>
      <c r="G346" s="369"/>
      <c r="H346" s="369"/>
      <c r="I346" s="470"/>
      <c r="J346" s="369"/>
      <c r="K346" s="453"/>
      <c r="L346" s="454"/>
      <c r="M346" s="369"/>
      <c r="N346" s="369"/>
      <c r="O346" s="455"/>
    </row>
    <row r="347" spans="1:15" x14ac:dyDescent="0.25">
      <c r="A347" s="369"/>
      <c r="B347" s="369"/>
      <c r="C347" s="369"/>
      <c r="D347" s="369"/>
      <c r="E347" s="369"/>
      <c r="F347" s="452"/>
      <c r="G347" s="369"/>
      <c r="H347" s="369"/>
      <c r="I347" s="470"/>
      <c r="J347" s="369"/>
      <c r="K347" s="453"/>
      <c r="L347" s="454"/>
      <c r="M347" s="369"/>
      <c r="N347" s="369"/>
      <c r="O347" s="455"/>
    </row>
    <row r="348" spans="1:15" x14ac:dyDescent="0.25">
      <c r="A348" s="369"/>
      <c r="B348" s="369"/>
      <c r="C348" s="369"/>
      <c r="D348" s="369"/>
      <c r="E348" s="369"/>
      <c r="F348" s="452"/>
      <c r="G348" s="369"/>
      <c r="H348" s="369"/>
      <c r="I348" s="470"/>
      <c r="J348" s="369"/>
      <c r="K348" s="453"/>
      <c r="L348" s="454"/>
      <c r="M348" s="369"/>
      <c r="N348" s="369"/>
      <c r="O348" s="455"/>
    </row>
    <row r="349" spans="1:15" x14ac:dyDescent="0.25">
      <c r="A349" s="369"/>
      <c r="B349" s="369"/>
      <c r="C349" s="369"/>
      <c r="D349" s="369"/>
      <c r="E349" s="369"/>
      <c r="F349" s="452"/>
      <c r="G349" s="369"/>
      <c r="H349" s="369"/>
      <c r="I349" s="470"/>
      <c r="J349" s="369"/>
      <c r="K349" s="453"/>
      <c r="L349" s="454"/>
      <c r="M349" s="369"/>
      <c r="N349" s="369"/>
      <c r="O349" s="455"/>
    </row>
    <row r="350" spans="1:15" x14ac:dyDescent="0.25">
      <c r="A350" s="369"/>
      <c r="B350" s="369"/>
      <c r="C350" s="369"/>
      <c r="D350" s="369"/>
      <c r="E350" s="369"/>
      <c r="F350" s="452"/>
      <c r="G350" s="369"/>
      <c r="H350" s="369"/>
      <c r="I350" s="470"/>
      <c r="J350" s="369"/>
      <c r="K350" s="453"/>
      <c r="L350" s="454"/>
      <c r="M350" s="369"/>
      <c r="N350" s="369"/>
      <c r="O350" s="455"/>
    </row>
    <row r="351" spans="1:15" x14ac:dyDescent="0.25">
      <c r="A351" s="369"/>
      <c r="B351" s="369"/>
      <c r="C351" s="369"/>
      <c r="D351" s="369"/>
      <c r="E351" s="369"/>
      <c r="F351" s="452"/>
      <c r="G351" s="369"/>
      <c r="H351" s="369"/>
      <c r="I351" s="470"/>
      <c r="J351" s="369"/>
      <c r="K351" s="453"/>
      <c r="L351" s="454"/>
      <c r="M351" s="369"/>
      <c r="N351" s="369"/>
      <c r="O351" s="455"/>
    </row>
    <row r="352" spans="1:15" x14ac:dyDescent="0.25">
      <c r="A352" s="369"/>
      <c r="B352" s="369"/>
      <c r="C352" s="369"/>
      <c r="D352" s="369"/>
      <c r="E352" s="369"/>
      <c r="F352" s="452"/>
      <c r="G352" s="369"/>
      <c r="H352" s="369"/>
      <c r="I352" s="470"/>
      <c r="J352" s="369"/>
      <c r="K352" s="453"/>
      <c r="L352" s="454"/>
      <c r="M352" s="369"/>
      <c r="N352" s="369"/>
      <c r="O352" s="455"/>
    </row>
    <row r="353" spans="1:15" x14ac:dyDescent="0.25">
      <c r="A353" s="369"/>
      <c r="B353" s="369"/>
      <c r="C353" s="369"/>
      <c r="D353" s="369"/>
      <c r="E353" s="369"/>
      <c r="F353" s="452"/>
      <c r="G353" s="369"/>
      <c r="H353" s="369"/>
      <c r="I353" s="470"/>
      <c r="J353" s="369"/>
      <c r="K353" s="453"/>
      <c r="L353" s="454"/>
      <c r="M353" s="369"/>
      <c r="N353" s="369"/>
      <c r="O353" s="455"/>
    </row>
    <row r="354" spans="1:15" x14ac:dyDescent="0.25">
      <c r="A354" s="369"/>
      <c r="B354" s="369"/>
      <c r="C354" s="369"/>
      <c r="D354" s="369"/>
      <c r="E354" s="369"/>
      <c r="F354" s="452"/>
      <c r="G354" s="369"/>
      <c r="H354" s="369"/>
      <c r="I354" s="470"/>
      <c r="J354" s="369"/>
      <c r="K354" s="453"/>
      <c r="L354" s="454"/>
      <c r="M354" s="369"/>
      <c r="N354" s="369"/>
      <c r="O354" s="455"/>
    </row>
    <row r="355" spans="1:15" x14ac:dyDescent="0.25">
      <c r="A355" s="369"/>
      <c r="B355" s="369"/>
      <c r="C355" s="369"/>
      <c r="D355" s="369"/>
      <c r="E355" s="369"/>
      <c r="F355" s="452"/>
      <c r="G355" s="369"/>
      <c r="H355" s="369"/>
      <c r="I355" s="470"/>
      <c r="J355" s="369"/>
      <c r="K355" s="453"/>
      <c r="L355" s="454"/>
      <c r="M355" s="369"/>
      <c r="N355" s="369"/>
      <c r="O355" s="455"/>
    </row>
    <row r="356" spans="1:15" x14ac:dyDescent="0.25">
      <c r="A356" s="369"/>
      <c r="B356" s="369"/>
      <c r="C356" s="369"/>
      <c r="D356" s="369"/>
      <c r="E356" s="369"/>
      <c r="F356" s="452"/>
      <c r="G356" s="369"/>
      <c r="H356" s="369"/>
      <c r="I356" s="470"/>
      <c r="J356" s="369"/>
      <c r="K356" s="453"/>
      <c r="L356" s="454"/>
      <c r="M356" s="369"/>
      <c r="N356" s="369"/>
      <c r="O356" s="455"/>
    </row>
    <row r="357" spans="1:15" x14ac:dyDescent="0.25">
      <c r="A357" s="369"/>
      <c r="B357" s="369"/>
      <c r="C357" s="369"/>
      <c r="D357" s="369"/>
      <c r="E357" s="369"/>
      <c r="F357" s="452"/>
      <c r="G357" s="369"/>
      <c r="H357" s="369"/>
      <c r="I357" s="470"/>
      <c r="J357" s="369"/>
      <c r="K357" s="453"/>
      <c r="L357" s="454"/>
      <c r="M357" s="369"/>
      <c r="N357" s="369"/>
      <c r="O357" s="455"/>
    </row>
    <row r="358" spans="1:15" x14ac:dyDescent="0.25">
      <c r="A358" s="369"/>
      <c r="B358" s="369"/>
      <c r="C358" s="369"/>
      <c r="D358" s="369"/>
      <c r="E358" s="369"/>
      <c r="F358" s="452"/>
      <c r="G358" s="369"/>
      <c r="H358" s="369"/>
      <c r="I358" s="470"/>
      <c r="J358" s="369"/>
      <c r="K358" s="453"/>
      <c r="L358" s="454"/>
      <c r="M358" s="369"/>
      <c r="N358" s="369"/>
      <c r="O358" s="455"/>
    </row>
    <row r="359" spans="1:15" x14ac:dyDescent="0.25">
      <c r="A359" s="369"/>
      <c r="B359" s="369"/>
      <c r="C359" s="369"/>
      <c r="D359" s="369"/>
      <c r="E359" s="369"/>
      <c r="F359" s="452"/>
      <c r="G359" s="369"/>
      <c r="H359" s="369"/>
      <c r="I359" s="470"/>
      <c r="J359" s="369"/>
      <c r="K359" s="453"/>
      <c r="L359" s="454"/>
      <c r="M359" s="369"/>
      <c r="N359" s="369"/>
      <c r="O359" s="455"/>
    </row>
    <row r="360" spans="1:15" x14ac:dyDescent="0.25">
      <c r="A360" s="369"/>
      <c r="B360" s="369"/>
      <c r="C360" s="369"/>
      <c r="D360" s="369"/>
      <c r="E360" s="369"/>
      <c r="F360" s="452"/>
      <c r="G360" s="369"/>
      <c r="H360" s="369"/>
      <c r="I360" s="470"/>
      <c r="J360" s="369"/>
      <c r="K360" s="453"/>
      <c r="L360" s="454"/>
      <c r="M360" s="369"/>
      <c r="N360" s="369"/>
      <c r="O360" s="455"/>
    </row>
    <row r="361" spans="1:15" x14ac:dyDescent="0.25">
      <c r="A361" s="369"/>
      <c r="B361" s="369"/>
      <c r="C361" s="369"/>
      <c r="D361" s="369"/>
      <c r="E361" s="369"/>
      <c r="F361" s="452"/>
      <c r="G361" s="369"/>
      <c r="H361" s="369"/>
      <c r="I361" s="470"/>
      <c r="J361" s="369"/>
      <c r="K361" s="453"/>
      <c r="L361" s="454"/>
      <c r="M361" s="369"/>
      <c r="N361" s="369"/>
      <c r="O361" s="455"/>
    </row>
    <row r="362" spans="1:15" x14ac:dyDescent="0.25">
      <c r="A362" s="369"/>
      <c r="B362" s="369"/>
      <c r="C362" s="369"/>
      <c r="D362" s="369"/>
      <c r="E362" s="369"/>
      <c r="F362" s="452"/>
      <c r="G362" s="369"/>
      <c r="H362" s="369"/>
      <c r="I362" s="470"/>
      <c r="J362" s="369"/>
      <c r="K362" s="453"/>
      <c r="L362" s="454"/>
      <c r="M362" s="369"/>
      <c r="N362" s="369"/>
      <c r="O362" s="455"/>
    </row>
    <row r="363" spans="1:15" x14ac:dyDescent="0.25">
      <c r="A363" s="369"/>
      <c r="B363" s="369"/>
      <c r="C363" s="369"/>
      <c r="D363" s="369"/>
      <c r="E363" s="369"/>
      <c r="F363" s="452"/>
      <c r="G363" s="369"/>
      <c r="H363" s="369"/>
      <c r="I363" s="470"/>
      <c r="J363" s="369"/>
      <c r="K363" s="453"/>
      <c r="L363" s="454"/>
      <c r="M363" s="369"/>
      <c r="N363" s="369"/>
      <c r="O363" s="455"/>
    </row>
    <row r="364" spans="1:15" x14ac:dyDescent="0.25">
      <c r="A364" s="369"/>
      <c r="B364" s="369"/>
      <c r="C364" s="369"/>
      <c r="D364" s="369"/>
      <c r="E364" s="369"/>
      <c r="F364" s="452"/>
      <c r="G364" s="369"/>
      <c r="H364" s="369"/>
      <c r="I364" s="470"/>
      <c r="J364" s="369"/>
      <c r="K364" s="453"/>
      <c r="L364" s="454"/>
      <c r="M364" s="369"/>
      <c r="N364" s="369"/>
      <c r="O364" s="455"/>
    </row>
    <row r="365" spans="1:15" x14ac:dyDescent="0.25">
      <c r="A365" s="369"/>
      <c r="B365" s="369"/>
      <c r="C365" s="369"/>
      <c r="D365" s="369"/>
      <c r="E365" s="369"/>
      <c r="F365" s="452"/>
      <c r="G365" s="369"/>
      <c r="H365" s="369"/>
      <c r="I365" s="470"/>
      <c r="J365" s="369"/>
      <c r="K365" s="453"/>
      <c r="L365" s="454"/>
      <c r="M365" s="369"/>
      <c r="N365" s="369"/>
      <c r="O365" s="455"/>
    </row>
    <row r="366" spans="1:15" x14ac:dyDescent="0.25">
      <c r="A366" s="369"/>
      <c r="B366" s="369"/>
      <c r="C366" s="369"/>
      <c r="D366" s="369"/>
      <c r="E366" s="369"/>
      <c r="F366" s="452"/>
      <c r="G366" s="369"/>
      <c r="H366" s="369"/>
      <c r="I366" s="470"/>
      <c r="J366" s="369"/>
      <c r="K366" s="453"/>
      <c r="L366" s="454"/>
      <c r="M366" s="369"/>
      <c r="N366" s="369"/>
      <c r="O366" s="455"/>
    </row>
    <row r="367" spans="1:15" x14ac:dyDescent="0.25">
      <c r="A367" s="369"/>
      <c r="B367" s="369"/>
      <c r="C367" s="369"/>
      <c r="D367" s="369"/>
      <c r="E367" s="369"/>
      <c r="F367" s="452"/>
      <c r="G367" s="369"/>
      <c r="H367" s="369"/>
      <c r="I367" s="470"/>
      <c r="J367" s="369"/>
      <c r="K367" s="453"/>
      <c r="L367" s="454"/>
      <c r="M367" s="369"/>
      <c r="N367" s="369"/>
      <c r="O367" s="455"/>
    </row>
    <row r="368" spans="1:15" x14ac:dyDescent="0.25">
      <c r="A368" s="369"/>
      <c r="B368" s="369"/>
      <c r="C368" s="369"/>
      <c r="D368" s="369"/>
      <c r="E368" s="369"/>
      <c r="F368" s="452"/>
      <c r="G368" s="369"/>
      <c r="H368" s="369"/>
      <c r="I368" s="470"/>
      <c r="J368" s="369"/>
      <c r="K368" s="453"/>
      <c r="L368" s="454"/>
      <c r="M368" s="369"/>
      <c r="N368" s="369"/>
      <c r="O368" s="455"/>
    </row>
    <row r="369" spans="1:15" x14ac:dyDescent="0.25">
      <c r="A369" s="369"/>
      <c r="B369" s="369"/>
      <c r="C369" s="369"/>
      <c r="D369" s="369"/>
      <c r="E369" s="369"/>
      <c r="F369" s="452"/>
      <c r="G369" s="369"/>
      <c r="H369" s="369"/>
      <c r="I369" s="470"/>
      <c r="J369" s="369"/>
      <c r="K369" s="453"/>
      <c r="L369" s="454"/>
      <c r="M369" s="369"/>
      <c r="N369" s="369"/>
      <c r="O369" s="455"/>
    </row>
    <row r="370" spans="1:15" x14ac:dyDescent="0.25">
      <c r="A370" s="369"/>
      <c r="B370" s="369"/>
      <c r="C370" s="369"/>
      <c r="D370" s="369"/>
      <c r="E370" s="369"/>
      <c r="F370" s="452"/>
      <c r="G370" s="369"/>
      <c r="H370" s="369"/>
      <c r="I370" s="470"/>
      <c r="J370" s="369"/>
      <c r="K370" s="453"/>
      <c r="L370" s="454"/>
      <c r="M370" s="369"/>
      <c r="N370" s="369"/>
      <c r="O370" s="455"/>
    </row>
    <row r="371" spans="1:15" x14ac:dyDescent="0.25">
      <c r="A371" s="369"/>
      <c r="B371" s="369"/>
      <c r="C371" s="369"/>
      <c r="D371" s="369"/>
      <c r="E371" s="369"/>
      <c r="F371" s="452"/>
      <c r="G371" s="369"/>
      <c r="H371" s="369"/>
      <c r="I371" s="470"/>
      <c r="J371" s="369"/>
      <c r="K371" s="453"/>
      <c r="L371" s="454"/>
      <c r="M371" s="369"/>
      <c r="N371" s="369"/>
      <c r="O371" s="455"/>
    </row>
    <row r="372" spans="1:15" x14ac:dyDescent="0.25">
      <c r="A372" s="369"/>
      <c r="B372" s="369"/>
      <c r="C372" s="369"/>
      <c r="D372" s="369"/>
      <c r="E372" s="369"/>
      <c r="F372" s="452"/>
      <c r="G372" s="369"/>
      <c r="H372" s="369"/>
      <c r="I372" s="470"/>
      <c r="J372" s="369"/>
      <c r="K372" s="453"/>
      <c r="L372" s="454"/>
      <c r="M372" s="369"/>
      <c r="N372" s="369"/>
      <c r="O372" s="455"/>
    </row>
    <row r="373" spans="1:15" x14ac:dyDescent="0.25">
      <c r="A373" s="369"/>
      <c r="B373" s="369"/>
      <c r="C373" s="369"/>
      <c r="D373" s="369"/>
      <c r="E373" s="369"/>
      <c r="F373" s="452"/>
      <c r="G373" s="369"/>
      <c r="H373" s="369"/>
      <c r="I373" s="470"/>
      <c r="J373" s="369"/>
      <c r="K373" s="453"/>
      <c r="L373" s="454"/>
      <c r="M373" s="369"/>
      <c r="N373" s="369"/>
      <c r="O373" s="455"/>
    </row>
    <row r="374" spans="1:15" x14ac:dyDescent="0.25">
      <c r="A374" s="369"/>
      <c r="B374" s="369"/>
      <c r="C374" s="369"/>
      <c r="D374" s="369"/>
      <c r="E374" s="369"/>
      <c r="F374" s="452"/>
      <c r="G374" s="369"/>
      <c r="H374" s="369"/>
      <c r="I374" s="470"/>
      <c r="J374" s="369"/>
      <c r="K374" s="453"/>
      <c r="L374" s="454"/>
      <c r="M374" s="369"/>
      <c r="N374" s="369"/>
      <c r="O374" s="455"/>
    </row>
    <row r="375" spans="1:15" x14ac:dyDescent="0.25">
      <c r="A375" s="369"/>
      <c r="B375" s="369"/>
      <c r="C375" s="369"/>
      <c r="D375" s="369"/>
      <c r="E375" s="369"/>
      <c r="F375" s="452"/>
      <c r="G375" s="369"/>
      <c r="H375" s="369"/>
      <c r="I375" s="470"/>
      <c r="J375" s="369"/>
      <c r="K375" s="453"/>
      <c r="L375" s="454"/>
      <c r="M375" s="369"/>
      <c r="N375" s="369"/>
      <c r="O375" s="455"/>
    </row>
    <row r="376" spans="1:15" x14ac:dyDescent="0.25">
      <c r="A376" s="369"/>
      <c r="B376" s="369"/>
      <c r="C376" s="369"/>
      <c r="D376" s="369"/>
      <c r="E376" s="369"/>
      <c r="F376" s="452"/>
      <c r="G376" s="369"/>
      <c r="H376" s="369"/>
      <c r="I376" s="470"/>
      <c r="J376" s="369"/>
      <c r="K376" s="453"/>
      <c r="L376" s="454"/>
      <c r="M376" s="369"/>
      <c r="N376" s="369"/>
      <c r="O376" s="455"/>
    </row>
    <row r="377" spans="1:15" x14ac:dyDescent="0.25">
      <c r="A377" s="369"/>
      <c r="B377" s="369"/>
      <c r="C377" s="369"/>
      <c r="D377" s="369"/>
      <c r="E377" s="369"/>
      <c r="F377" s="452"/>
      <c r="G377" s="369"/>
      <c r="H377" s="369"/>
      <c r="I377" s="470"/>
      <c r="J377" s="369"/>
      <c r="K377" s="453"/>
      <c r="L377" s="454"/>
      <c r="M377" s="369"/>
      <c r="N377" s="369"/>
      <c r="O377" s="455"/>
    </row>
    <row r="378" spans="1:15" x14ac:dyDescent="0.25">
      <c r="A378" s="369"/>
      <c r="B378" s="369"/>
      <c r="C378" s="369"/>
      <c r="D378" s="369"/>
      <c r="E378" s="369"/>
      <c r="F378" s="452"/>
      <c r="G378" s="369"/>
      <c r="H378" s="369"/>
      <c r="I378" s="470"/>
      <c r="J378" s="369"/>
      <c r="K378" s="453"/>
      <c r="L378" s="454"/>
      <c r="M378" s="369"/>
      <c r="N378" s="369"/>
      <c r="O378" s="455"/>
    </row>
    <row r="379" spans="1:15" x14ac:dyDescent="0.25">
      <c r="A379" s="369"/>
      <c r="B379" s="369"/>
      <c r="C379" s="369"/>
      <c r="D379" s="369"/>
      <c r="E379" s="369"/>
      <c r="F379" s="452"/>
      <c r="G379" s="369"/>
      <c r="H379" s="369"/>
      <c r="I379" s="470"/>
      <c r="J379" s="369"/>
      <c r="K379" s="453"/>
      <c r="L379" s="454"/>
      <c r="M379" s="369"/>
      <c r="N379" s="369"/>
      <c r="O379" s="455"/>
    </row>
    <row r="380" spans="1:15" x14ac:dyDescent="0.25">
      <c r="A380" s="369"/>
      <c r="B380" s="369"/>
      <c r="C380" s="369"/>
      <c r="D380" s="369"/>
      <c r="E380" s="369"/>
      <c r="F380" s="452"/>
      <c r="G380" s="369"/>
      <c r="H380" s="369"/>
      <c r="I380" s="470"/>
      <c r="J380" s="369"/>
      <c r="K380" s="453"/>
      <c r="L380" s="454"/>
      <c r="M380" s="369"/>
      <c r="N380" s="369"/>
      <c r="O380" s="455"/>
    </row>
    <row r="381" spans="1:15" x14ac:dyDescent="0.25">
      <c r="A381" s="369"/>
      <c r="B381" s="369"/>
      <c r="C381" s="369"/>
      <c r="D381" s="369"/>
      <c r="E381" s="369"/>
      <c r="F381" s="452"/>
      <c r="G381" s="369"/>
      <c r="H381" s="369"/>
      <c r="I381" s="470"/>
      <c r="J381" s="369"/>
      <c r="K381" s="453"/>
      <c r="L381" s="454"/>
      <c r="M381" s="369"/>
      <c r="N381" s="369"/>
      <c r="O381" s="455"/>
    </row>
    <row r="382" spans="1:15" x14ac:dyDescent="0.25">
      <c r="A382" s="369"/>
      <c r="B382" s="369"/>
      <c r="C382" s="369"/>
      <c r="D382" s="369"/>
      <c r="E382" s="369"/>
      <c r="F382" s="452"/>
      <c r="G382" s="369"/>
      <c r="H382" s="369"/>
      <c r="I382" s="470"/>
      <c r="J382" s="369"/>
      <c r="K382" s="453"/>
      <c r="L382" s="454"/>
      <c r="M382" s="369"/>
      <c r="N382" s="369"/>
      <c r="O382" s="455"/>
    </row>
    <row r="383" spans="1:15" x14ac:dyDescent="0.25">
      <c r="A383" s="369"/>
      <c r="B383" s="369"/>
      <c r="C383" s="369"/>
      <c r="D383" s="369"/>
      <c r="E383" s="369"/>
      <c r="F383" s="452"/>
      <c r="G383" s="369"/>
      <c r="H383" s="369"/>
      <c r="I383" s="470"/>
      <c r="J383" s="369"/>
      <c r="K383" s="453"/>
      <c r="L383" s="454"/>
      <c r="M383" s="369"/>
      <c r="N383" s="369"/>
      <c r="O383" s="455"/>
    </row>
    <row r="384" spans="1:15" x14ac:dyDescent="0.25">
      <c r="A384" s="369"/>
      <c r="B384" s="369"/>
      <c r="C384" s="369"/>
      <c r="D384" s="369"/>
      <c r="E384" s="369"/>
      <c r="F384" s="452"/>
      <c r="G384" s="369"/>
      <c r="H384" s="369"/>
      <c r="I384" s="470"/>
      <c r="J384" s="369"/>
      <c r="K384" s="453"/>
      <c r="L384" s="454"/>
      <c r="M384" s="369"/>
      <c r="N384" s="369"/>
      <c r="O384" s="455"/>
    </row>
    <row r="385" spans="1:15" x14ac:dyDescent="0.25">
      <c r="A385" s="369"/>
      <c r="B385" s="369"/>
      <c r="C385" s="369"/>
      <c r="D385" s="369"/>
      <c r="E385" s="369"/>
      <c r="F385" s="452"/>
      <c r="G385" s="369"/>
      <c r="H385" s="369"/>
      <c r="I385" s="470"/>
      <c r="J385" s="369"/>
      <c r="K385" s="453"/>
      <c r="L385" s="454"/>
      <c r="M385" s="369"/>
      <c r="N385" s="369"/>
      <c r="O385" s="455"/>
    </row>
    <row r="386" spans="1:15" x14ac:dyDescent="0.25">
      <c r="A386" s="369"/>
      <c r="B386" s="369"/>
      <c r="C386" s="369"/>
      <c r="D386" s="369"/>
      <c r="E386" s="369"/>
      <c r="F386" s="452"/>
      <c r="G386" s="369"/>
      <c r="H386" s="369"/>
      <c r="I386" s="470"/>
      <c r="J386" s="369"/>
      <c r="K386" s="453"/>
      <c r="L386" s="454"/>
      <c r="M386" s="369"/>
      <c r="N386" s="369"/>
      <c r="O386" s="455"/>
    </row>
    <row r="387" spans="1:15" x14ac:dyDescent="0.25">
      <c r="A387" s="369"/>
      <c r="B387" s="369"/>
      <c r="C387" s="369"/>
      <c r="D387" s="369"/>
      <c r="E387" s="369"/>
      <c r="F387" s="452"/>
      <c r="G387" s="369"/>
      <c r="H387" s="369"/>
      <c r="I387" s="470"/>
      <c r="J387" s="369"/>
      <c r="K387" s="453"/>
      <c r="L387" s="454"/>
      <c r="M387" s="369"/>
      <c r="N387" s="369"/>
      <c r="O387" s="455"/>
    </row>
    <row r="388" spans="1:15" x14ac:dyDescent="0.25">
      <c r="A388" s="369"/>
      <c r="B388" s="369"/>
      <c r="C388" s="369"/>
      <c r="D388" s="369"/>
      <c r="E388" s="369"/>
      <c r="F388" s="452"/>
      <c r="G388" s="369"/>
      <c r="H388" s="369"/>
      <c r="I388" s="470"/>
      <c r="J388" s="369"/>
      <c r="K388" s="453"/>
      <c r="L388" s="454"/>
      <c r="M388" s="369"/>
      <c r="N388" s="369"/>
      <c r="O388" s="455"/>
    </row>
    <row r="389" spans="1:15" x14ac:dyDescent="0.25">
      <c r="A389" s="369"/>
      <c r="B389" s="369"/>
      <c r="C389" s="369"/>
      <c r="D389" s="369"/>
      <c r="E389" s="369"/>
      <c r="F389" s="452"/>
      <c r="G389" s="369"/>
      <c r="H389" s="369"/>
      <c r="I389" s="470"/>
      <c r="J389" s="369"/>
      <c r="K389" s="453"/>
      <c r="L389" s="454"/>
      <c r="M389" s="369"/>
      <c r="N389" s="369"/>
      <c r="O389" s="455"/>
    </row>
    <row r="390" spans="1:15" x14ac:dyDescent="0.25">
      <c r="A390" s="369"/>
      <c r="B390" s="369"/>
      <c r="C390" s="369"/>
      <c r="D390" s="369"/>
      <c r="E390" s="369"/>
      <c r="F390" s="452"/>
      <c r="G390" s="369"/>
      <c r="H390" s="369"/>
      <c r="I390" s="470"/>
      <c r="J390" s="369"/>
      <c r="K390" s="453"/>
      <c r="L390" s="454"/>
      <c r="M390" s="369"/>
      <c r="N390" s="369"/>
      <c r="O390" s="455"/>
    </row>
    <row r="391" spans="1:15" x14ac:dyDescent="0.25">
      <c r="A391" s="369"/>
      <c r="B391" s="369"/>
      <c r="C391" s="369"/>
      <c r="D391" s="369"/>
      <c r="E391" s="369"/>
      <c r="F391" s="452"/>
      <c r="G391" s="369"/>
      <c r="H391" s="369"/>
      <c r="I391" s="470"/>
      <c r="J391" s="369"/>
      <c r="K391" s="453"/>
      <c r="L391" s="454"/>
      <c r="M391" s="369"/>
      <c r="N391" s="369"/>
      <c r="O391" s="455"/>
    </row>
    <row r="392" spans="1:15" x14ac:dyDescent="0.25">
      <c r="A392" s="369"/>
      <c r="B392" s="369"/>
      <c r="C392" s="369"/>
      <c r="D392" s="369"/>
      <c r="E392" s="369"/>
      <c r="F392" s="452"/>
      <c r="G392" s="369"/>
      <c r="H392" s="369"/>
      <c r="I392" s="470"/>
      <c r="J392" s="369"/>
      <c r="K392" s="453"/>
      <c r="L392" s="454"/>
      <c r="M392" s="369"/>
      <c r="N392" s="369"/>
      <c r="O392" s="455"/>
    </row>
    <row r="393" spans="1:15" x14ac:dyDescent="0.25">
      <c r="A393" s="369"/>
      <c r="B393" s="369"/>
      <c r="C393" s="369"/>
      <c r="D393" s="369"/>
      <c r="E393" s="369"/>
      <c r="F393" s="452"/>
      <c r="G393" s="369"/>
      <c r="H393" s="369"/>
      <c r="I393" s="470"/>
      <c r="J393" s="369"/>
      <c r="K393" s="453"/>
      <c r="L393" s="454"/>
      <c r="M393" s="369"/>
      <c r="N393" s="369"/>
      <c r="O393" s="455"/>
    </row>
    <row r="394" spans="1:15" x14ac:dyDescent="0.25">
      <c r="A394" s="369"/>
      <c r="B394" s="369"/>
      <c r="C394" s="369"/>
      <c r="D394" s="369"/>
      <c r="E394" s="369"/>
      <c r="F394" s="452"/>
      <c r="G394" s="369"/>
      <c r="H394" s="369"/>
      <c r="I394" s="470"/>
      <c r="J394" s="369"/>
      <c r="K394" s="453"/>
      <c r="L394" s="454"/>
      <c r="M394" s="369"/>
      <c r="N394" s="369"/>
      <c r="O394" s="455"/>
    </row>
    <row r="395" spans="1:15" x14ac:dyDescent="0.25">
      <c r="A395" s="369"/>
      <c r="B395" s="369"/>
      <c r="C395" s="369"/>
      <c r="D395" s="369"/>
      <c r="E395" s="369"/>
      <c r="F395" s="452"/>
      <c r="G395" s="369"/>
      <c r="H395" s="369"/>
      <c r="I395" s="470"/>
      <c r="J395" s="369"/>
      <c r="K395" s="453"/>
      <c r="L395" s="454"/>
      <c r="M395" s="369"/>
      <c r="N395" s="369"/>
      <c r="O395" s="455"/>
    </row>
    <row r="396" spans="1:15" x14ac:dyDescent="0.25">
      <c r="A396" s="369"/>
      <c r="B396" s="369"/>
      <c r="C396" s="369"/>
      <c r="D396" s="369"/>
      <c r="E396" s="369"/>
      <c r="F396" s="452"/>
      <c r="G396" s="369"/>
      <c r="H396" s="369"/>
      <c r="I396" s="470"/>
      <c r="J396" s="369"/>
      <c r="K396" s="453"/>
      <c r="L396" s="454"/>
      <c r="M396" s="369"/>
      <c r="N396" s="369"/>
      <c r="O396" s="455"/>
    </row>
    <row r="397" spans="1:15" x14ac:dyDescent="0.25">
      <c r="A397" s="369"/>
      <c r="B397" s="369"/>
      <c r="C397" s="369"/>
      <c r="D397" s="369"/>
      <c r="E397" s="369"/>
      <c r="F397" s="452"/>
      <c r="G397" s="369"/>
      <c r="H397" s="369"/>
      <c r="I397" s="470"/>
      <c r="J397" s="369"/>
      <c r="K397" s="453"/>
      <c r="L397" s="454"/>
      <c r="M397" s="369"/>
      <c r="N397" s="369"/>
      <c r="O397" s="455"/>
    </row>
    <row r="398" spans="1:15" x14ac:dyDescent="0.25">
      <c r="A398" s="369"/>
      <c r="B398" s="369"/>
      <c r="C398" s="369"/>
      <c r="D398" s="369"/>
      <c r="E398" s="369"/>
      <c r="F398" s="452"/>
      <c r="G398" s="369"/>
      <c r="H398" s="369"/>
      <c r="I398" s="470"/>
      <c r="J398" s="369"/>
      <c r="K398" s="453"/>
      <c r="L398" s="454"/>
      <c r="M398" s="369"/>
      <c r="N398" s="369"/>
      <c r="O398" s="455"/>
    </row>
    <row r="399" spans="1:15" x14ac:dyDescent="0.25">
      <c r="A399" s="369"/>
      <c r="B399" s="369"/>
      <c r="C399" s="369"/>
      <c r="D399" s="369"/>
      <c r="E399" s="369"/>
      <c r="F399" s="452"/>
      <c r="G399" s="369"/>
      <c r="H399" s="369"/>
      <c r="I399" s="470"/>
      <c r="J399" s="369"/>
      <c r="K399" s="453"/>
      <c r="L399" s="454"/>
      <c r="M399" s="369"/>
      <c r="N399" s="369"/>
      <c r="O399" s="455"/>
    </row>
    <row r="400" spans="1:15" x14ac:dyDescent="0.25">
      <c r="A400" s="369"/>
      <c r="B400" s="369"/>
      <c r="C400" s="369"/>
      <c r="D400" s="369"/>
      <c r="E400" s="369"/>
      <c r="F400" s="452"/>
      <c r="G400" s="369"/>
      <c r="H400" s="369"/>
      <c r="I400" s="470"/>
      <c r="J400" s="369"/>
      <c r="K400" s="453"/>
      <c r="L400" s="454"/>
      <c r="M400" s="369"/>
      <c r="N400" s="369"/>
      <c r="O400" s="455"/>
    </row>
    <row r="401" spans="1:15" x14ac:dyDescent="0.25">
      <c r="A401" s="369"/>
      <c r="B401" s="369"/>
      <c r="C401" s="369"/>
      <c r="D401" s="369"/>
      <c r="E401" s="369"/>
      <c r="F401" s="452"/>
      <c r="G401" s="369"/>
      <c r="H401" s="369"/>
      <c r="I401" s="470"/>
      <c r="J401" s="369"/>
      <c r="K401" s="453"/>
      <c r="L401" s="454"/>
      <c r="M401" s="369"/>
      <c r="N401" s="369"/>
      <c r="O401" s="455"/>
    </row>
    <row r="402" spans="1:15" x14ac:dyDescent="0.25">
      <c r="A402" s="369"/>
      <c r="B402" s="369"/>
      <c r="C402" s="369"/>
      <c r="D402" s="369"/>
      <c r="E402" s="369"/>
      <c r="F402" s="452"/>
      <c r="G402" s="369"/>
      <c r="H402" s="369"/>
      <c r="I402" s="470"/>
      <c r="J402" s="369"/>
      <c r="K402" s="453"/>
      <c r="L402" s="454"/>
      <c r="M402" s="369"/>
      <c r="N402" s="369"/>
      <c r="O402" s="455"/>
    </row>
    <row r="403" spans="1:15" x14ac:dyDescent="0.25">
      <c r="A403" s="369"/>
      <c r="B403" s="369"/>
      <c r="C403" s="369"/>
      <c r="D403" s="369"/>
      <c r="E403" s="369"/>
      <c r="F403" s="452"/>
      <c r="G403" s="369"/>
      <c r="H403" s="369"/>
      <c r="I403" s="470"/>
      <c r="J403" s="369"/>
      <c r="K403" s="453"/>
      <c r="L403" s="454"/>
      <c r="M403" s="369"/>
      <c r="N403" s="369"/>
      <c r="O403" s="455"/>
    </row>
    <row r="404" spans="1:15" x14ac:dyDescent="0.25">
      <c r="A404" s="369"/>
      <c r="B404" s="369"/>
      <c r="C404" s="369"/>
      <c r="D404" s="369"/>
      <c r="E404" s="369"/>
      <c r="F404" s="452"/>
      <c r="G404" s="369"/>
      <c r="H404" s="369"/>
      <c r="I404" s="470"/>
      <c r="J404" s="369"/>
      <c r="K404" s="453"/>
      <c r="L404" s="454"/>
      <c r="M404" s="369"/>
      <c r="N404" s="369"/>
      <c r="O404" s="455"/>
    </row>
    <row r="405" spans="1:15" x14ac:dyDescent="0.25">
      <c r="A405" s="369"/>
      <c r="B405" s="369"/>
      <c r="C405" s="369"/>
      <c r="D405" s="369"/>
      <c r="E405" s="369"/>
      <c r="F405" s="452"/>
      <c r="G405" s="369"/>
      <c r="H405" s="369"/>
      <c r="I405" s="470"/>
      <c r="J405" s="369"/>
      <c r="K405" s="453"/>
      <c r="L405" s="454"/>
      <c r="M405" s="369"/>
      <c r="N405" s="369"/>
      <c r="O405" s="455"/>
    </row>
    <row r="406" spans="1:15" x14ac:dyDescent="0.25">
      <c r="A406" s="369"/>
      <c r="B406" s="369"/>
      <c r="C406" s="369"/>
      <c r="D406" s="369"/>
      <c r="E406" s="369"/>
      <c r="F406" s="452"/>
      <c r="G406" s="369"/>
      <c r="H406" s="369"/>
      <c r="I406" s="470"/>
      <c r="J406" s="369"/>
      <c r="K406" s="453"/>
      <c r="L406" s="454"/>
      <c r="M406" s="369"/>
      <c r="N406" s="369"/>
      <c r="O406" s="455"/>
    </row>
    <row r="407" spans="1:15" x14ac:dyDescent="0.25">
      <c r="A407" s="369"/>
      <c r="B407" s="369"/>
      <c r="C407" s="369"/>
      <c r="D407" s="369"/>
      <c r="E407" s="369"/>
      <c r="F407" s="452"/>
      <c r="G407" s="369"/>
      <c r="H407" s="369"/>
      <c r="I407" s="470"/>
      <c r="J407" s="369"/>
      <c r="K407" s="453"/>
      <c r="L407" s="454"/>
      <c r="M407" s="369"/>
      <c r="N407" s="369"/>
      <c r="O407" s="455"/>
    </row>
    <row r="408" spans="1:15" x14ac:dyDescent="0.25">
      <c r="A408" s="369"/>
      <c r="B408" s="369"/>
      <c r="C408" s="369"/>
      <c r="D408" s="369"/>
      <c r="E408" s="369"/>
      <c r="F408" s="452"/>
      <c r="G408" s="369"/>
      <c r="H408" s="369"/>
      <c r="I408" s="470"/>
      <c r="J408" s="369"/>
      <c r="K408" s="453"/>
      <c r="L408" s="454"/>
      <c r="M408" s="369"/>
      <c r="N408" s="369"/>
      <c r="O408" s="455"/>
    </row>
    <row r="409" spans="1:15" x14ac:dyDescent="0.25">
      <c r="A409" s="369"/>
      <c r="B409" s="369"/>
      <c r="C409" s="369"/>
      <c r="D409" s="369"/>
      <c r="E409" s="369"/>
      <c r="F409" s="452"/>
      <c r="G409" s="369"/>
      <c r="H409" s="369"/>
      <c r="I409" s="470"/>
      <c r="J409" s="369"/>
      <c r="K409" s="453"/>
      <c r="L409" s="454"/>
      <c r="M409" s="369"/>
      <c r="N409" s="369"/>
      <c r="O409" s="455"/>
    </row>
    <row r="410" spans="1:15" x14ac:dyDescent="0.25">
      <c r="A410" s="369"/>
      <c r="B410" s="369"/>
      <c r="C410" s="369"/>
      <c r="D410" s="369"/>
      <c r="E410" s="369"/>
      <c r="F410" s="452"/>
      <c r="G410" s="369"/>
      <c r="H410" s="369"/>
      <c r="I410" s="470"/>
      <c r="J410" s="369"/>
      <c r="K410" s="453"/>
      <c r="L410" s="454"/>
      <c r="M410" s="369"/>
      <c r="N410" s="369"/>
      <c r="O410" s="455"/>
    </row>
    <row r="411" spans="1:15" x14ac:dyDescent="0.25">
      <c r="A411" s="369"/>
      <c r="B411" s="369"/>
      <c r="C411" s="369"/>
      <c r="D411" s="369"/>
      <c r="E411" s="369"/>
      <c r="F411" s="452"/>
      <c r="G411" s="369"/>
      <c r="H411" s="369"/>
      <c r="I411" s="470"/>
      <c r="J411" s="369"/>
      <c r="K411" s="453"/>
      <c r="L411" s="454"/>
      <c r="M411" s="369"/>
      <c r="N411" s="369"/>
      <c r="O411" s="455"/>
    </row>
    <row r="412" spans="1:15" x14ac:dyDescent="0.25">
      <c r="A412" s="369"/>
      <c r="B412" s="369"/>
      <c r="C412" s="369"/>
      <c r="D412" s="369"/>
      <c r="E412" s="369"/>
      <c r="F412" s="452"/>
      <c r="G412" s="369"/>
      <c r="H412" s="369"/>
      <c r="I412" s="470"/>
      <c r="J412" s="369"/>
      <c r="K412" s="453"/>
      <c r="L412" s="454"/>
      <c r="M412" s="369"/>
      <c r="N412" s="369"/>
      <c r="O412" s="455"/>
    </row>
    <row r="413" spans="1:15" x14ac:dyDescent="0.25">
      <c r="A413" s="369"/>
      <c r="B413" s="369"/>
      <c r="C413" s="369"/>
      <c r="D413" s="369"/>
      <c r="E413" s="369"/>
      <c r="F413" s="452"/>
      <c r="G413" s="369"/>
      <c r="H413" s="369"/>
      <c r="I413" s="470"/>
      <c r="J413" s="369"/>
      <c r="K413" s="453"/>
      <c r="L413" s="454"/>
      <c r="M413" s="369"/>
      <c r="N413" s="369"/>
      <c r="O413" s="455"/>
    </row>
    <row r="414" spans="1:15" x14ac:dyDescent="0.25">
      <c r="A414" s="369"/>
      <c r="B414" s="369"/>
      <c r="C414" s="369"/>
      <c r="D414" s="369"/>
      <c r="E414" s="369"/>
      <c r="F414" s="452"/>
      <c r="G414" s="369"/>
      <c r="H414" s="369"/>
      <c r="I414" s="470"/>
      <c r="J414" s="369"/>
      <c r="K414" s="453"/>
      <c r="L414" s="454"/>
      <c r="M414" s="369"/>
      <c r="N414" s="369"/>
      <c r="O414" s="455"/>
    </row>
    <row r="415" spans="1:15" x14ac:dyDescent="0.25">
      <c r="A415" s="369"/>
      <c r="B415" s="369"/>
      <c r="C415" s="369"/>
      <c r="D415" s="369"/>
      <c r="E415" s="369"/>
      <c r="F415" s="452"/>
      <c r="G415" s="369"/>
      <c r="H415" s="369"/>
      <c r="I415" s="470"/>
      <c r="J415" s="369"/>
      <c r="K415" s="453"/>
      <c r="L415" s="454"/>
      <c r="M415" s="369"/>
      <c r="N415" s="369"/>
      <c r="O415" s="455"/>
    </row>
    <row r="416" spans="1:15" x14ac:dyDescent="0.25">
      <c r="A416" s="369"/>
      <c r="B416" s="369"/>
      <c r="C416" s="369"/>
      <c r="D416" s="369"/>
      <c r="E416" s="369"/>
      <c r="F416" s="452"/>
      <c r="G416" s="369"/>
      <c r="H416" s="369"/>
      <c r="I416" s="470"/>
      <c r="J416" s="369"/>
      <c r="K416" s="453"/>
      <c r="L416" s="454"/>
      <c r="M416" s="369"/>
      <c r="N416" s="369"/>
      <c r="O416" s="455"/>
    </row>
    <row r="417" spans="1:15" x14ac:dyDescent="0.25">
      <c r="A417" s="369"/>
      <c r="B417" s="369"/>
      <c r="C417" s="369"/>
      <c r="D417" s="369"/>
      <c r="E417" s="369"/>
      <c r="F417" s="452"/>
      <c r="G417" s="369"/>
      <c r="H417" s="369"/>
      <c r="I417" s="470"/>
      <c r="J417" s="369"/>
      <c r="K417" s="453"/>
      <c r="L417" s="454"/>
      <c r="M417" s="369"/>
      <c r="N417" s="369"/>
      <c r="O417" s="455"/>
    </row>
    <row r="418" spans="1:15" x14ac:dyDescent="0.25">
      <c r="A418" s="369"/>
      <c r="B418" s="369"/>
      <c r="C418" s="369"/>
      <c r="D418" s="369"/>
      <c r="E418" s="369"/>
      <c r="F418" s="452"/>
      <c r="G418" s="369"/>
      <c r="H418" s="369"/>
      <c r="I418" s="470"/>
      <c r="J418" s="369"/>
      <c r="K418" s="453"/>
      <c r="L418" s="454"/>
      <c r="M418" s="369"/>
      <c r="N418" s="369"/>
      <c r="O418" s="455"/>
    </row>
    <row r="419" spans="1:15" x14ac:dyDescent="0.25">
      <c r="A419" s="369"/>
      <c r="B419" s="369"/>
      <c r="C419" s="369"/>
      <c r="D419" s="369"/>
      <c r="E419" s="369"/>
      <c r="F419" s="452"/>
      <c r="G419" s="369"/>
      <c r="H419" s="369"/>
      <c r="I419" s="470"/>
      <c r="J419" s="369"/>
      <c r="K419" s="453"/>
      <c r="L419" s="454"/>
      <c r="M419" s="369"/>
      <c r="N419" s="369"/>
      <c r="O419" s="455"/>
    </row>
    <row r="420" spans="1:15" x14ac:dyDescent="0.25">
      <c r="A420" s="369"/>
      <c r="B420" s="369"/>
      <c r="C420" s="369"/>
      <c r="D420" s="369"/>
      <c r="E420" s="369"/>
      <c r="F420" s="452"/>
      <c r="G420" s="369"/>
      <c r="H420" s="369"/>
      <c r="I420" s="470"/>
      <c r="J420" s="369"/>
      <c r="K420" s="453"/>
      <c r="L420" s="454"/>
      <c r="M420" s="369"/>
      <c r="N420" s="369"/>
      <c r="O420" s="455"/>
    </row>
    <row r="421" spans="1:15" x14ac:dyDescent="0.25">
      <c r="A421" s="369"/>
      <c r="B421" s="369"/>
      <c r="C421" s="369"/>
      <c r="D421" s="369"/>
      <c r="E421" s="369"/>
      <c r="F421" s="452"/>
      <c r="G421" s="369"/>
      <c r="H421" s="369"/>
      <c r="I421" s="470"/>
      <c r="J421" s="369"/>
      <c r="K421" s="453"/>
      <c r="L421" s="454"/>
      <c r="M421" s="369"/>
      <c r="N421" s="369"/>
      <c r="O421" s="455"/>
    </row>
    <row r="422" spans="1:15" x14ac:dyDescent="0.25">
      <c r="A422" s="369"/>
      <c r="B422" s="369"/>
      <c r="C422" s="369"/>
      <c r="D422" s="369"/>
      <c r="E422" s="369"/>
      <c r="F422" s="452"/>
      <c r="G422" s="369"/>
      <c r="H422" s="369"/>
      <c r="I422" s="470"/>
      <c r="J422" s="369"/>
      <c r="K422" s="453"/>
      <c r="L422" s="454"/>
      <c r="M422" s="369"/>
      <c r="N422" s="369"/>
      <c r="O422" s="455"/>
    </row>
    <row r="423" spans="1:15" x14ac:dyDescent="0.25">
      <c r="A423" s="369"/>
      <c r="B423" s="369"/>
      <c r="C423" s="369"/>
      <c r="D423" s="369"/>
      <c r="E423" s="369"/>
      <c r="F423" s="452"/>
      <c r="G423" s="369"/>
      <c r="H423" s="369"/>
      <c r="I423" s="470"/>
      <c r="J423" s="369"/>
      <c r="K423" s="453"/>
      <c r="L423" s="454"/>
      <c r="M423" s="369"/>
      <c r="N423" s="369"/>
      <c r="O423" s="455"/>
    </row>
    <row r="424" spans="1:15" x14ac:dyDescent="0.25">
      <c r="A424" s="369"/>
      <c r="B424" s="369"/>
      <c r="C424" s="369"/>
      <c r="D424" s="369"/>
      <c r="E424" s="369"/>
      <c r="F424" s="452"/>
      <c r="G424" s="369"/>
      <c r="H424" s="369"/>
      <c r="I424" s="470"/>
      <c r="J424" s="369"/>
      <c r="K424" s="453"/>
      <c r="L424" s="454"/>
      <c r="M424" s="369"/>
      <c r="N424" s="369"/>
      <c r="O424" s="455"/>
    </row>
    <row r="425" spans="1:15" x14ac:dyDescent="0.25">
      <c r="A425" s="369"/>
      <c r="B425" s="369"/>
      <c r="C425" s="369"/>
      <c r="D425" s="369"/>
      <c r="E425" s="369"/>
      <c r="F425" s="452"/>
      <c r="G425" s="369"/>
      <c r="H425" s="369"/>
      <c r="I425" s="470"/>
      <c r="J425" s="369"/>
      <c r="K425" s="453"/>
      <c r="L425" s="454"/>
      <c r="M425" s="369"/>
      <c r="N425" s="369"/>
      <c r="O425" s="455"/>
    </row>
    <row r="426" spans="1:15" x14ac:dyDescent="0.25">
      <c r="A426" s="369"/>
      <c r="B426" s="369"/>
      <c r="C426" s="369"/>
      <c r="D426" s="369"/>
      <c r="E426" s="369"/>
      <c r="F426" s="452"/>
      <c r="G426" s="369"/>
      <c r="H426" s="369"/>
      <c r="I426" s="470"/>
      <c r="J426" s="369"/>
      <c r="K426" s="453"/>
      <c r="L426" s="454"/>
      <c r="M426" s="369"/>
      <c r="N426" s="369"/>
      <c r="O426" s="455"/>
    </row>
    <row r="427" spans="1:15" x14ac:dyDescent="0.25">
      <c r="A427" s="369"/>
      <c r="B427" s="369"/>
      <c r="C427" s="369"/>
      <c r="D427" s="369"/>
      <c r="E427" s="369"/>
      <c r="F427" s="452"/>
      <c r="G427" s="369"/>
      <c r="H427" s="369"/>
      <c r="I427" s="470"/>
      <c r="J427" s="369"/>
      <c r="K427" s="453"/>
      <c r="L427" s="454"/>
      <c r="M427" s="369"/>
      <c r="N427" s="369"/>
      <c r="O427" s="455"/>
    </row>
    <row r="428" spans="1:15" x14ac:dyDescent="0.25">
      <c r="A428" s="369"/>
      <c r="B428" s="369"/>
      <c r="C428" s="369"/>
      <c r="D428" s="369"/>
      <c r="E428" s="369"/>
      <c r="F428" s="452"/>
      <c r="G428" s="369"/>
      <c r="H428" s="369"/>
      <c r="I428" s="470"/>
      <c r="J428" s="369"/>
      <c r="K428" s="453"/>
      <c r="L428" s="454"/>
      <c r="M428" s="369"/>
      <c r="N428" s="369"/>
      <c r="O428" s="455"/>
    </row>
    <row r="429" spans="1:15" x14ac:dyDescent="0.25">
      <c r="A429" s="369"/>
      <c r="B429" s="369"/>
      <c r="C429" s="369"/>
      <c r="D429" s="369"/>
      <c r="E429" s="369"/>
      <c r="F429" s="452"/>
      <c r="G429" s="369"/>
      <c r="H429" s="369"/>
      <c r="I429" s="470"/>
      <c r="J429" s="369"/>
      <c r="K429" s="453"/>
      <c r="L429" s="454"/>
      <c r="M429" s="369"/>
      <c r="N429" s="369"/>
      <c r="O429" s="455"/>
    </row>
    <row r="430" spans="1:15" x14ac:dyDescent="0.25">
      <c r="A430" s="369"/>
      <c r="B430" s="369"/>
      <c r="C430" s="369"/>
      <c r="D430" s="369"/>
      <c r="E430" s="369"/>
      <c r="F430" s="452"/>
      <c r="G430" s="369"/>
      <c r="H430" s="369"/>
      <c r="I430" s="470"/>
      <c r="J430" s="369"/>
      <c r="K430" s="453"/>
      <c r="L430" s="454"/>
      <c r="M430" s="369"/>
      <c r="N430" s="369"/>
      <c r="O430" s="455"/>
    </row>
    <row r="431" spans="1:15" x14ac:dyDescent="0.25">
      <c r="A431" s="369"/>
      <c r="B431" s="369"/>
      <c r="C431" s="369"/>
      <c r="D431" s="369"/>
      <c r="E431" s="369"/>
      <c r="F431" s="452"/>
      <c r="G431" s="369"/>
      <c r="H431" s="369"/>
      <c r="I431" s="470"/>
      <c r="J431" s="369"/>
      <c r="K431" s="453"/>
      <c r="L431" s="454"/>
      <c r="M431" s="369"/>
      <c r="N431" s="369"/>
      <c r="O431" s="455"/>
    </row>
    <row r="432" spans="1:15" x14ac:dyDescent="0.25">
      <c r="A432" s="369"/>
      <c r="B432" s="369"/>
      <c r="C432" s="369"/>
      <c r="D432" s="369"/>
      <c r="E432" s="369"/>
      <c r="F432" s="452"/>
      <c r="G432" s="369"/>
      <c r="H432" s="369"/>
      <c r="I432" s="470"/>
      <c r="J432" s="369"/>
      <c r="K432" s="453"/>
      <c r="L432" s="454"/>
      <c r="M432" s="369"/>
      <c r="N432" s="369"/>
      <c r="O432" s="455"/>
    </row>
    <row r="433" spans="1:15" x14ac:dyDescent="0.25">
      <c r="A433" s="369"/>
      <c r="B433" s="369"/>
      <c r="C433" s="369"/>
      <c r="D433" s="369"/>
      <c r="E433" s="369"/>
      <c r="F433" s="452"/>
      <c r="G433" s="369"/>
      <c r="H433" s="369"/>
      <c r="I433" s="470"/>
      <c r="J433" s="369"/>
      <c r="K433" s="453"/>
      <c r="L433" s="454"/>
      <c r="M433" s="369"/>
      <c r="N433" s="369"/>
      <c r="O433" s="455"/>
    </row>
    <row r="434" spans="1:15" x14ac:dyDescent="0.25">
      <c r="A434" s="369"/>
      <c r="B434" s="369"/>
      <c r="C434" s="369"/>
      <c r="D434" s="369"/>
      <c r="E434" s="369"/>
      <c r="F434" s="452"/>
      <c r="G434" s="369"/>
      <c r="H434" s="369"/>
      <c r="I434" s="470"/>
      <c r="J434" s="369"/>
      <c r="K434" s="453"/>
      <c r="L434" s="454"/>
      <c r="M434" s="369"/>
      <c r="N434" s="369"/>
      <c r="O434" s="455"/>
    </row>
    <row r="435" spans="1:15" x14ac:dyDescent="0.25">
      <c r="A435" s="369"/>
      <c r="B435" s="369"/>
      <c r="C435" s="369"/>
      <c r="D435" s="369"/>
      <c r="E435" s="369"/>
      <c r="F435" s="452"/>
      <c r="G435" s="369"/>
      <c r="H435" s="369"/>
      <c r="I435" s="470"/>
      <c r="J435" s="369"/>
      <c r="K435" s="453"/>
      <c r="L435" s="454"/>
      <c r="M435" s="369"/>
      <c r="N435" s="369"/>
      <c r="O435" s="455"/>
    </row>
    <row r="436" spans="1:15" x14ac:dyDescent="0.25">
      <c r="A436" s="369"/>
      <c r="B436" s="369"/>
      <c r="C436" s="369"/>
      <c r="D436" s="369"/>
      <c r="E436" s="369"/>
      <c r="F436" s="452"/>
      <c r="G436" s="369"/>
      <c r="H436" s="369"/>
      <c r="I436" s="470"/>
      <c r="J436" s="369"/>
      <c r="K436" s="453"/>
      <c r="L436" s="454"/>
      <c r="M436" s="369"/>
      <c r="N436" s="369"/>
      <c r="O436" s="455"/>
    </row>
    <row r="437" spans="1:15" x14ac:dyDescent="0.25">
      <c r="A437" s="369"/>
      <c r="B437" s="369"/>
      <c r="C437" s="369"/>
      <c r="D437" s="369"/>
      <c r="E437" s="369"/>
      <c r="F437" s="452"/>
      <c r="G437" s="369"/>
      <c r="H437" s="369"/>
      <c r="I437" s="470"/>
      <c r="J437" s="369"/>
      <c r="K437" s="453"/>
      <c r="L437" s="454"/>
      <c r="M437" s="369"/>
      <c r="N437" s="369"/>
      <c r="O437" s="455"/>
    </row>
    <row r="438" spans="1:15" x14ac:dyDescent="0.25">
      <c r="A438" s="369"/>
      <c r="B438" s="369"/>
      <c r="C438" s="369"/>
      <c r="D438" s="369"/>
      <c r="E438" s="369"/>
      <c r="F438" s="452"/>
      <c r="G438" s="369"/>
      <c r="H438" s="369"/>
      <c r="I438" s="470"/>
      <c r="J438" s="369"/>
      <c r="K438" s="453"/>
      <c r="L438" s="454"/>
      <c r="M438" s="369"/>
      <c r="N438" s="369"/>
      <c r="O438" s="455"/>
    </row>
    <row r="439" spans="1:15" x14ac:dyDescent="0.25">
      <c r="A439" s="369"/>
      <c r="B439" s="369"/>
      <c r="C439" s="369"/>
      <c r="D439" s="369"/>
      <c r="E439" s="369"/>
      <c r="F439" s="452"/>
      <c r="G439" s="369"/>
      <c r="H439" s="369"/>
      <c r="I439" s="470"/>
      <c r="J439" s="369"/>
      <c r="K439" s="453"/>
      <c r="L439" s="454"/>
      <c r="M439" s="369"/>
      <c r="N439" s="369"/>
      <c r="O439" s="455"/>
    </row>
    <row r="440" spans="1:15" x14ac:dyDescent="0.25">
      <c r="A440" s="369"/>
      <c r="B440" s="369"/>
      <c r="C440" s="369"/>
      <c r="D440" s="369"/>
      <c r="E440" s="369"/>
      <c r="F440" s="452"/>
      <c r="G440" s="369"/>
      <c r="H440" s="369"/>
      <c r="I440" s="470"/>
      <c r="J440" s="369"/>
      <c r="K440" s="453"/>
      <c r="L440" s="454"/>
      <c r="M440" s="369"/>
      <c r="N440" s="369"/>
      <c r="O440" s="455"/>
    </row>
    <row r="441" spans="1:15" x14ac:dyDescent="0.25">
      <c r="A441" s="369"/>
      <c r="B441" s="369"/>
      <c r="C441" s="369"/>
      <c r="D441" s="369"/>
      <c r="E441" s="369"/>
      <c r="F441" s="452"/>
      <c r="G441" s="369"/>
      <c r="H441" s="369"/>
      <c r="I441" s="470"/>
      <c r="J441" s="369"/>
      <c r="K441" s="453"/>
      <c r="L441" s="454"/>
      <c r="M441" s="369"/>
      <c r="N441" s="369"/>
      <c r="O441" s="455"/>
    </row>
    <row r="442" spans="1:15" x14ac:dyDescent="0.25">
      <c r="A442" s="369"/>
      <c r="B442" s="369"/>
      <c r="C442" s="369"/>
      <c r="D442" s="369"/>
      <c r="E442" s="369"/>
      <c r="F442" s="452"/>
      <c r="G442" s="369"/>
      <c r="H442" s="369"/>
      <c r="I442" s="470"/>
      <c r="J442" s="369"/>
      <c r="K442" s="453"/>
      <c r="L442" s="454"/>
      <c r="M442" s="369"/>
      <c r="N442" s="369"/>
      <c r="O442" s="455"/>
    </row>
    <row r="443" spans="1:15" x14ac:dyDescent="0.25">
      <c r="A443" s="369"/>
      <c r="B443" s="369"/>
      <c r="C443" s="369"/>
      <c r="D443" s="369"/>
      <c r="E443" s="369"/>
      <c r="F443" s="452"/>
      <c r="G443" s="369"/>
      <c r="H443" s="369"/>
      <c r="I443" s="470"/>
      <c r="J443" s="369"/>
      <c r="K443" s="453"/>
      <c r="L443" s="454"/>
      <c r="M443" s="369"/>
      <c r="N443" s="369"/>
      <c r="O443" s="455"/>
    </row>
    <row r="444" spans="1:15" x14ac:dyDescent="0.25">
      <c r="A444" s="369"/>
      <c r="B444" s="369"/>
      <c r="C444" s="369"/>
      <c r="D444" s="369"/>
      <c r="E444" s="369"/>
      <c r="F444" s="452"/>
      <c r="G444" s="369"/>
      <c r="H444" s="369"/>
      <c r="I444" s="470"/>
      <c r="J444" s="369"/>
      <c r="K444" s="453"/>
      <c r="L444" s="454"/>
      <c r="M444" s="369"/>
      <c r="N444" s="369"/>
      <c r="O444" s="455"/>
    </row>
    <row r="445" spans="1:15" x14ac:dyDescent="0.25">
      <c r="A445" s="369"/>
      <c r="B445" s="369"/>
      <c r="C445" s="369"/>
      <c r="D445" s="369"/>
      <c r="E445" s="369"/>
      <c r="F445" s="452"/>
      <c r="G445" s="369"/>
      <c r="H445" s="369"/>
      <c r="I445" s="470"/>
      <c r="J445" s="369"/>
      <c r="K445" s="453"/>
      <c r="L445" s="454"/>
      <c r="M445" s="369"/>
      <c r="N445" s="369"/>
      <c r="O445" s="455"/>
    </row>
    <row r="446" spans="1:15" x14ac:dyDescent="0.25">
      <c r="A446" s="369"/>
      <c r="B446" s="369"/>
      <c r="C446" s="369"/>
      <c r="D446" s="369"/>
      <c r="E446" s="369"/>
      <c r="F446" s="452"/>
      <c r="G446" s="369"/>
      <c r="H446" s="369"/>
      <c r="I446" s="470"/>
      <c r="J446" s="369"/>
      <c r="K446" s="453"/>
      <c r="L446" s="454"/>
      <c r="M446" s="369"/>
      <c r="N446" s="369"/>
      <c r="O446" s="455"/>
    </row>
    <row r="447" spans="1:15" x14ac:dyDescent="0.25">
      <c r="A447" s="369"/>
      <c r="B447" s="369"/>
      <c r="C447" s="369"/>
      <c r="D447" s="369"/>
      <c r="E447" s="369"/>
      <c r="F447" s="452"/>
      <c r="G447" s="369"/>
      <c r="H447" s="369"/>
      <c r="I447" s="470"/>
      <c r="J447" s="369"/>
      <c r="K447" s="453"/>
      <c r="L447" s="454"/>
      <c r="M447" s="369"/>
      <c r="N447" s="369"/>
      <c r="O447" s="455"/>
    </row>
    <row r="448" spans="1:15" x14ac:dyDescent="0.25">
      <c r="A448" s="369"/>
      <c r="B448" s="369"/>
      <c r="C448" s="369"/>
      <c r="D448" s="369"/>
      <c r="E448" s="369"/>
      <c r="F448" s="452"/>
      <c r="G448" s="369"/>
      <c r="H448" s="369"/>
      <c r="I448" s="470"/>
      <c r="J448" s="369"/>
      <c r="K448" s="453"/>
      <c r="L448" s="454"/>
      <c r="M448" s="369"/>
      <c r="N448" s="369"/>
      <c r="O448" s="455"/>
    </row>
    <row r="449" spans="1:15" x14ac:dyDescent="0.25">
      <c r="A449" s="369"/>
      <c r="B449" s="369"/>
      <c r="C449" s="369"/>
      <c r="D449" s="369"/>
      <c r="E449" s="369"/>
      <c r="F449" s="452"/>
      <c r="G449" s="369"/>
      <c r="H449" s="369"/>
      <c r="I449" s="470"/>
      <c r="J449" s="369"/>
      <c r="K449" s="453"/>
      <c r="L449" s="454"/>
      <c r="M449" s="369"/>
      <c r="N449" s="369"/>
      <c r="O449" s="455"/>
    </row>
    <row r="450" spans="1:15" x14ac:dyDescent="0.25">
      <c r="A450" s="369"/>
      <c r="B450" s="369"/>
      <c r="C450" s="369"/>
      <c r="D450" s="369"/>
      <c r="E450" s="369"/>
      <c r="F450" s="452"/>
      <c r="G450" s="369"/>
      <c r="H450" s="369"/>
      <c r="I450" s="470"/>
      <c r="J450" s="369"/>
      <c r="K450" s="453"/>
      <c r="L450" s="454"/>
      <c r="M450" s="369"/>
      <c r="N450" s="369"/>
      <c r="O450" s="455"/>
    </row>
    <row r="451" spans="1:15" x14ac:dyDescent="0.25">
      <c r="A451" s="369"/>
      <c r="B451" s="369"/>
      <c r="C451" s="369"/>
      <c r="D451" s="369"/>
      <c r="E451" s="369"/>
      <c r="F451" s="452"/>
      <c r="G451" s="369"/>
      <c r="H451" s="369"/>
      <c r="I451" s="470"/>
      <c r="J451" s="369"/>
      <c r="K451" s="453"/>
      <c r="L451" s="454"/>
      <c r="M451" s="369"/>
      <c r="N451" s="369"/>
      <c r="O451" s="455"/>
    </row>
    <row r="452" spans="1:15" x14ac:dyDescent="0.25">
      <c r="A452" s="369"/>
      <c r="B452" s="369"/>
      <c r="C452" s="369"/>
      <c r="D452" s="369"/>
      <c r="E452" s="369"/>
      <c r="F452" s="452"/>
      <c r="G452" s="369"/>
      <c r="H452" s="369"/>
      <c r="I452" s="470"/>
      <c r="J452" s="369"/>
      <c r="K452" s="453"/>
      <c r="L452" s="454"/>
      <c r="M452" s="369"/>
      <c r="N452" s="369"/>
      <c r="O452" s="455"/>
    </row>
    <row r="453" spans="1:15" x14ac:dyDescent="0.25">
      <c r="A453" s="369"/>
      <c r="B453" s="369"/>
      <c r="C453" s="369"/>
      <c r="D453" s="369"/>
      <c r="E453" s="369"/>
      <c r="F453" s="452"/>
      <c r="G453" s="369"/>
      <c r="H453" s="369"/>
      <c r="I453" s="470"/>
      <c r="J453" s="369"/>
      <c r="K453" s="453"/>
      <c r="L453" s="454"/>
      <c r="M453" s="369"/>
      <c r="N453" s="369"/>
      <c r="O453" s="455"/>
    </row>
    <row r="454" spans="1:15" x14ac:dyDescent="0.25">
      <c r="A454" s="369"/>
      <c r="B454" s="369"/>
      <c r="C454" s="369"/>
      <c r="D454" s="369"/>
      <c r="E454" s="369"/>
      <c r="F454" s="452"/>
      <c r="G454" s="369"/>
      <c r="H454" s="369"/>
      <c r="I454" s="470"/>
      <c r="J454" s="369"/>
      <c r="K454" s="453"/>
      <c r="L454" s="454"/>
      <c r="M454" s="369"/>
      <c r="N454" s="369"/>
      <c r="O454" s="455"/>
    </row>
    <row r="455" spans="1:15" x14ac:dyDescent="0.25">
      <c r="A455" s="369"/>
      <c r="B455" s="369"/>
      <c r="C455" s="369"/>
      <c r="D455" s="369"/>
      <c r="E455" s="369"/>
      <c r="F455" s="452"/>
      <c r="G455" s="369"/>
      <c r="H455" s="369"/>
      <c r="I455" s="470"/>
      <c r="J455" s="369"/>
      <c r="K455" s="453"/>
      <c r="L455" s="454"/>
      <c r="M455" s="369"/>
      <c r="N455" s="369"/>
      <c r="O455" s="455"/>
    </row>
    <row r="456" spans="1:15" x14ac:dyDescent="0.25">
      <c r="A456" s="369"/>
      <c r="B456" s="369"/>
      <c r="C456" s="369"/>
      <c r="D456" s="369"/>
      <c r="E456" s="369"/>
      <c r="F456" s="452"/>
      <c r="G456" s="369"/>
      <c r="H456" s="369"/>
      <c r="I456" s="470"/>
      <c r="J456" s="369"/>
      <c r="K456" s="453"/>
      <c r="L456" s="454"/>
      <c r="M456" s="369"/>
      <c r="N456" s="369"/>
      <c r="O456" s="455"/>
    </row>
    <row r="457" spans="1:15" x14ac:dyDescent="0.25">
      <c r="A457" s="369"/>
      <c r="B457" s="369"/>
      <c r="C457" s="369"/>
      <c r="D457" s="369"/>
      <c r="E457" s="369"/>
      <c r="F457" s="452"/>
      <c r="G457" s="369"/>
      <c r="H457" s="369"/>
      <c r="I457" s="470"/>
      <c r="J457" s="369"/>
      <c r="K457" s="453"/>
      <c r="L457" s="454"/>
      <c r="M457" s="369"/>
      <c r="N457" s="369"/>
      <c r="O457" s="455"/>
    </row>
    <row r="458" spans="1:15" x14ac:dyDescent="0.25">
      <c r="A458" s="369"/>
      <c r="B458" s="369"/>
      <c r="C458" s="369"/>
      <c r="D458" s="369"/>
      <c r="E458" s="369"/>
      <c r="F458" s="452"/>
      <c r="G458" s="369"/>
      <c r="H458" s="369"/>
      <c r="I458" s="470"/>
      <c r="J458" s="369"/>
      <c r="K458" s="453"/>
      <c r="L458" s="454"/>
      <c r="M458" s="369"/>
      <c r="N458" s="369"/>
      <c r="O458" s="455"/>
    </row>
    <row r="459" spans="1:15" x14ac:dyDescent="0.25">
      <c r="A459" s="369"/>
      <c r="B459" s="369"/>
      <c r="C459" s="369"/>
      <c r="D459" s="369"/>
      <c r="E459" s="369"/>
      <c r="F459" s="452"/>
      <c r="G459" s="369"/>
      <c r="H459" s="369"/>
      <c r="I459" s="470"/>
      <c r="J459" s="369"/>
      <c r="K459" s="453"/>
      <c r="L459" s="454"/>
      <c r="M459" s="369"/>
      <c r="N459" s="369"/>
      <c r="O459" s="455"/>
    </row>
    <row r="460" spans="1:15" x14ac:dyDescent="0.25">
      <c r="A460" s="369"/>
      <c r="B460" s="369"/>
      <c r="C460" s="369"/>
      <c r="D460" s="369"/>
      <c r="E460" s="369"/>
      <c r="F460" s="452"/>
      <c r="G460" s="369"/>
      <c r="H460" s="369"/>
      <c r="I460" s="470"/>
      <c r="J460" s="369"/>
      <c r="K460" s="453"/>
      <c r="L460" s="454"/>
      <c r="M460" s="369"/>
      <c r="N460" s="369"/>
      <c r="O460" s="455"/>
    </row>
    <row r="461" spans="1:15" x14ac:dyDescent="0.25">
      <c r="A461" s="369"/>
      <c r="B461" s="369"/>
      <c r="C461" s="369"/>
      <c r="D461" s="369"/>
      <c r="E461" s="369"/>
      <c r="F461" s="452"/>
      <c r="G461" s="369"/>
      <c r="H461" s="369"/>
      <c r="I461" s="470"/>
      <c r="J461" s="369"/>
      <c r="K461" s="453"/>
      <c r="L461" s="454"/>
      <c r="M461" s="369"/>
      <c r="N461" s="369"/>
      <c r="O461" s="455"/>
    </row>
    <row r="462" spans="1:15" x14ac:dyDescent="0.25">
      <c r="A462" s="369"/>
      <c r="B462" s="369"/>
      <c r="C462" s="369"/>
      <c r="D462" s="369"/>
      <c r="E462" s="369"/>
      <c r="F462" s="452"/>
      <c r="G462" s="369"/>
      <c r="H462" s="369"/>
      <c r="I462" s="470"/>
      <c r="J462" s="369"/>
      <c r="K462" s="453"/>
      <c r="L462" s="454"/>
      <c r="M462" s="369"/>
      <c r="N462" s="369"/>
      <c r="O462" s="455"/>
    </row>
    <row r="463" spans="1:15" x14ac:dyDescent="0.25">
      <c r="A463" s="369"/>
      <c r="B463" s="369"/>
      <c r="C463" s="369"/>
      <c r="D463" s="369"/>
      <c r="E463" s="369"/>
      <c r="F463" s="452"/>
      <c r="G463" s="369"/>
      <c r="H463" s="369"/>
      <c r="I463" s="470"/>
      <c r="J463" s="369"/>
      <c r="K463" s="453"/>
      <c r="L463" s="454"/>
      <c r="M463" s="369"/>
      <c r="N463" s="369"/>
      <c r="O463" s="455"/>
    </row>
    <row r="464" spans="1:15" x14ac:dyDescent="0.25">
      <c r="A464" s="369"/>
      <c r="B464" s="369"/>
      <c r="C464" s="369"/>
      <c r="D464" s="369"/>
      <c r="E464" s="369"/>
      <c r="F464" s="452"/>
      <c r="G464" s="369"/>
      <c r="H464" s="369"/>
      <c r="I464" s="470"/>
      <c r="J464" s="369"/>
      <c r="K464" s="453"/>
      <c r="L464" s="454"/>
      <c r="M464" s="369"/>
      <c r="N464" s="369"/>
      <c r="O464" s="455"/>
    </row>
    <row r="465" spans="1:15" x14ac:dyDescent="0.25">
      <c r="A465" s="369"/>
      <c r="B465" s="369"/>
      <c r="C465" s="369"/>
      <c r="D465" s="369"/>
      <c r="E465" s="369"/>
      <c r="F465" s="452"/>
      <c r="G465" s="369"/>
      <c r="H465" s="369"/>
      <c r="I465" s="470"/>
      <c r="J465" s="369"/>
      <c r="K465" s="453"/>
      <c r="L465" s="454"/>
      <c r="M465" s="369"/>
      <c r="N465" s="369"/>
      <c r="O465" s="455"/>
    </row>
    <row r="466" spans="1:15" x14ac:dyDescent="0.25">
      <c r="A466" s="369"/>
      <c r="B466" s="369"/>
      <c r="C466" s="369"/>
      <c r="D466" s="369"/>
      <c r="E466" s="369"/>
      <c r="F466" s="452"/>
      <c r="G466" s="369"/>
      <c r="H466" s="369"/>
      <c r="I466" s="470"/>
      <c r="J466" s="369"/>
      <c r="K466" s="453"/>
      <c r="L466" s="454"/>
      <c r="M466" s="369"/>
      <c r="N466" s="369"/>
      <c r="O466" s="455"/>
    </row>
    <row r="467" spans="1:15" x14ac:dyDescent="0.25">
      <c r="A467" s="369"/>
      <c r="B467" s="369"/>
      <c r="C467" s="369"/>
      <c r="D467" s="369"/>
      <c r="E467" s="369"/>
      <c r="F467" s="452"/>
      <c r="G467" s="369"/>
      <c r="H467" s="369"/>
      <c r="I467" s="470"/>
      <c r="J467" s="369"/>
      <c r="K467" s="453"/>
      <c r="L467" s="454"/>
      <c r="M467" s="369"/>
      <c r="N467" s="369"/>
      <c r="O467" s="455"/>
    </row>
    <row r="468" spans="1:15" x14ac:dyDescent="0.25">
      <c r="A468" s="369"/>
      <c r="B468" s="369"/>
      <c r="C468" s="369"/>
      <c r="D468" s="369"/>
      <c r="E468" s="369"/>
      <c r="F468" s="452"/>
      <c r="G468" s="369"/>
      <c r="H468" s="369"/>
      <c r="I468" s="470"/>
      <c r="J468" s="369"/>
      <c r="K468" s="453"/>
      <c r="L468" s="454"/>
      <c r="M468" s="369"/>
      <c r="N468" s="369"/>
      <c r="O468" s="455"/>
    </row>
    <row r="469" spans="1:15" x14ac:dyDescent="0.25">
      <c r="A469" s="369"/>
      <c r="B469" s="369"/>
      <c r="C469" s="369"/>
      <c r="D469" s="369"/>
      <c r="E469" s="369"/>
      <c r="F469" s="452"/>
      <c r="G469" s="369"/>
      <c r="H469" s="369"/>
      <c r="I469" s="470"/>
      <c r="J469" s="369"/>
      <c r="K469" s="453"/>
      <c r="L469" s="454"/>
      <c r="M469" s="369"/>
      <c r="N469" s="369"/>
      <c r="O469" s="455"/>
    </row>
    <row r="470" spans="1:15" x14ac:dyDescent="0.25">
      <c r="A470" s="369"/>
      <c r="B470" s="369"/>
      <c r="C470" s="369"/>
      <c r="D470" s="369"/>
      <c r="E470" s="369"/>
      <c r="F470" s="452"/>
      <c r="G470" s="369"/>
      <c r="H470" s="369"/>
      <c r="I470" s="470"/>
      <c r="J470" s="369"/>
      <c r="K470" s="453"/>
      <c r="L470" s="454"/>
      <c r="M470" s="369"/>
      <c r="N470" s="369"/>
      <c r="O470" s="455"/>
    </row>
    <row r="471" spans="1:15" x14ac:dyDescent="0.25">
      <c r="A471" s="369"/>
      <c r="B471" s="369"/>
      <c r="C471" s="369"/>
      <c r="D471" s="369"/>
      <c r="E471" s="369"/>
      <c r="F471" s="452"/>
      <c r="G471" s="369"/>
      <c r="H471" s="369"/>
      <c r="I471" s="470"/>
      <c r="J471" s="369"/>
      <c r="K471" s="453"/>
      <c r="L471" s="454"/>
      <c r="M471" s="369"/>
      <c r="N471" s="369"/>
      <c r="O471" s="455"/>
    </row>
    <row r="472" spans="1:15" x14ac:dyDescent="0.25">
      <c r="A472" s="369"/>
      <c r="B472" s="369"/>
      <c r="C472" s="369"/>
      <c r="D472" s="369"/>
      <c r="E472" s="369"/>
      <c r="F472" s="452"/>
      <c r="G472" s="369"/>
      <c r="H472" s="369"/>
      <c r="I472" s="470"/>
      <c r="J472" s="369"/>
      <c r="K472" s="453"/>
      <c r="L472" s="454"/>
      <c r="M472" s="369"/>
      <c r="N472" s="369"/>
      <c r="O472" s="455"/>
    </row>
    <row r="473" spans="1:15" x14ac:dyDescent="0.25">
      <c r="A473" s="369"/>
      <c r="B473" s="369"/>
      <c r="C473" s="369"/>
      <c r="D473" s="369"/>
      <c r="E473" s="369"/>
      <c r="F473" s="452"/>
      <c r="G473" s="369"/>
      <c r="H473" s="369"/>
      <c r="I473" s="470"/>
      <c r="J473" s="369"/>
      <c r="K473" s="453"/>
      <c r="L473" s="454"/>
      <c r="M473" s="369"/>
      <c r="N473" s="369"/>
      <c r="O473" s="455"/>
    </row>
    <row r="474" spans="1:15" x14ac:dyDescent="0.25">
      <c r="A474" s="369"/>
      <c r="B474" s="369"/>
      <c r="C474" s="369"/>
      <c r="D474" s="369"/>
      <c r="E474" s="369"/>
      <c r="F474" s="452"/>
      <c r="G474" s="369"/>
      <c r="H474" s="369"/>
      <c r="I474" s="470"/>
      <c r="J474" s="369"/>
      <c r="K474" s="453"/>
      <c r="L474" s="454"/>
      <c r="M474" s="369"/>
      <c r="N474" s="369"/>
      <c r="O474" s="455"/>
    </row>
    <row r="475" spans="1:15" x14ac:dyDescent="0.25">
      <c r="A475" s="369"/>
      <c r="B475" s="369"/>
      <c r="C475" s="369"/>
      <c r="D475" s="369"/>
      <c r="E475" s="369"/>
      <c r="F475" s="452"/>
      <c r="G475" s="369"/>
      <c r="H475" s="369"/>
      <c r="I475" s="470"/>
      <c r="J475" s="369"/>
      <c r="K475" s="453"/>
      <c r="L475" s="454"/>
      <c r="M475" s="369"/>
      <c r="N475" s="369"/>
      <c r="O475" s="455"/>
    </row>
    <row r="476" spans="1:15" x14ac:dyDescent="0.25">
      <c r="A476" s="369"/>
      <c r="B476" s="369"/>
      <c r="C476" s="369"/>
      <c r="D476" s="369"/>
      <c r="E476" s="369"/>
      <c r="F476" s="452"/>
      <c r="G476" s="369"/>
      <c r="H476" s="369"/>
      <c r="I476" s="470"/>
      <c r="J476" s="369"/>
      <c r="K476" s="453"/>
      <c r="L476" s="454"/>
      <c r="M476" s="369"/>
      <c r="N476" s="369"/>
      <c r="O476" s="455"/>
    </row>
    <row r="477" spans="1:15" x14ac:dyDescent="0.25">
      <c r="A477" s="369"/>
      <c r="B477" s="369"/>
      <c r="C477" s="369"/>
      <c r="D477" s="369"/>
      <c r="E477" s="369"/>
      <c r="F477" s="452"/>
      <c r="G477" s="369"/>
      <c r="H477" s="369"/>
      <c r="I477" s="470"/>
      <c r="J477" s="369"/>
      <c r="K477" s="453"/>
      <c r="L477" s="454"/>
      <c r="M477" s="369"/>
      <c r="N477" s="369"/>
      <c r="O477" s="455"/>
    </row>
    <row r="478" spans="1:15" x14ac:dyDescent="0.25">
      <c r="A478" s="369"/>
      <c r="B478" s="369"/>
      <c r="C478" s="369"/>
      <c r="D478" s="369"/>
      <c r="E478" s="369"/>
      <c r="F478" s="452"/>
      <c r="G478" s="369"/>
      <c r="H478" s="369"/>
      <c r="I478" s="470"/>
      <c r="J478" s="369"/>
      <c r="K478" s="453"/>
      <c r="L478" s="454"/>
      <c r="M478" s="369"/>
      <c r="N478" s="369"/>
      <c r="O478" s="455"/>
    </row>
    <row r="479" spans="1:15" x14ac:dyDescent="0.25">
      <c r="A479" s="369"/>
      <c r="B479" s="369"/>
      <c r="C479" s="369"/>
      <c r="D479" s="369"/>
      <c r="E479" s="369"/>
      <c r="F479" s="452"/>
      <c r="G479" s="369"/>
      <c r="H479" s="369"/>
      <c r="I479" s="470"/>
      <c r="J479" s="369"/>
      <c r="K479" s="453"/>
      <c r="L479" s="454"/>
      <c r="M479" s="369"/>
      <c r="N479" s="369"/>
      <c r="O479" s="455"/>
    </row>
    <row r="480" spans="1:15" x14ac:dyDescent="0.25">
      <c r="A480" s="369"/>
      <c r="B480" s="369"/>
      <c r="C480" s="369"/>
      <c r="D480" s="369"/>
      <c r="E480" s="369"/>
      <c r="F480" s="452"/>
      <c r="G480" s="369"/>
      <c r="H480" s="369"/>
      <c r="I480" s="470"/>
      <c r="J480" s="369"/>
      <c r="K480" s="453"/>
      <c r="L480" s="454"/>
      <c r="M480" s="369"/>
      <c r="N480" s="369"/>
      <c r="O480" s="455"/>
    </row>
    <row r="481" spans="1:15" x14ac:dyDescent="0.25">
      <c r="A481" s="369"/>
      <c r="B481" s="369"/>
      <c r="C481" s="369"/>
      <c r="D481" s="369"/>
      <c r="E481" s="369"/>
      <c r="F481" s="452"/>
      <c r="G481" s="369"/>
      <c r="H481" s="369"/>
      <c r="I481" s="470"/>
      <c r="J481" s="369"/>
      <c r="K481" s="453"/>
      <c r="L481" s="454"/>
      <c r="M481" s="369"/>
      <c r="N481" s="369"/>
      <c r="O481" s="455"/>
    </row>
    <row r="482" spans="1:15" x14ac:dyDescent="0.25">
      <c r="A482" s="369"/>
      <c r="B482" s="369"/>
      <c r="C482" s="369"/>
      <c r="D482" s="369"/>
      <c r="E482" s="369"/>
      <c r="F482" s="452"/>
      <c r="G482" s="369"/>
      <c r="H482" s="369"/>
      <c r="I482" s="470"/>
      <c r="J482" s="369"/>
      <c r="K482" s="453"/>
      <c r="L482" s="454"/>
      <c r="M482" s="369"/>
      <c r="N482" s="369"/>
      <c r="O482" s="455"/>
    </row>
    <row r="483" spans="1:15" x14ac:dyDescent="0.25">
      <c r="A483" s="369"/>
      <c r="B483" s="369"/>
      <c r="C483" s="369"/>
      <c r="D483" s="369"/>
      <c r="E483" s="369"/>
      <c r="F483" s="452"/>
      <c r="G483" s="369"/>
      <c r="H483" s="369"/>
      <c r="I483" s="470"/>
      <c r="J483" s="369"/>
      <c r="K483" s="453"/>
      <c r="L483" s="454"/>
      <c r="M483" s="369"/>
      <c r="N483" s="369"/>
      <c r="O483" s="455"/>
    </row>
    <row r="484" spans="1:15" x14ac:dyDescent="0.25">
      <c r="A484" s="369"/>
      <c r="B484" s="369"/>
      <c r="C484" s="369"/>
      <c r="D484" s="369"/>
      <c r="E484" s="369"/>
      <c r="F484" s="452"/>
      <c r="G484" s="369"/>
      <c r="H484" s="369"/>
      <c r="I484" s="470"/>
      <c r="J484" s="369"/>
      <c r="K484" s="453"/>
      <c r="L484" s="454"/>
      <c r="M484" s="369"/>
      <c r="N484" s="369"/>
      <c r="O484" s="455"/>
    </row>
    <row r="485" spans="1:15" x14ac:dyDescent="0.25">
      <c r="A485" s="369"/>
      <c r="B485" s="369"/>
      <c r="C485" s="369"/>
      <c r="D485" s="369"/>
      <c r="E485" s="369"/>
      <c r="F485" s="452"/>
      <c r="G485" s="369"/>
      <c r="H485" s="369"/>
      <c r="I485" s="470"/>
      <c r="J485" s="369"/>
      <c r="K485" s="453"/>
      <c r="L485" s="454"/>
      <c r="M485" s="369"/>
      <c r="N485" s="369"/>
      <c r="O485" s="455"/>
    </row>
    <row r="486" spans="1:15" x14ac:dyDescent="0.25">
      <c r="A486" s="369"/>
      <c r="B486" s="369"/>
      <c r="C486" s="369"/>
      <c r="D486" s="369"/>
      <c r="E486" s="369"/>
      <c r="F486" s="452"/>
      <c r="G486" s="369"/>
      <c r="H486" s="369"/>
      <c r="I486" s="470"/>
      <c r="J486" s="369"/>
      <c r="K486" s="453"/>
      <c r="L486" s="454"/>
      <c r="M486" s="369"/>
      <c r="N486" s="369"/>
      <c r="O486" s="455"/>
    </row>
    <row r="487" spans="1:15" x14ac:dyDescent="0.25">
      <c r="A487" s="369"/>
      <c r="B487" s="369"/>
      <c r="C487" s="369"/>
      <c r="D487" s="369"/>
      <c r="E487" s="369"/>
      <c r="F487" s="452"/>
      <c r="G487" s="369"/>
      <c r="H487" s="369"/>
      <c r="I487" s="470"/>
      <c r="J487" s="369"/>
      <c r="K487" s="453"/>
      <c r="L487" s="454"/>
      <c r="M487" s="369"/>
      <c r="N487" s="369"/>
      <c r="O487" s="455"/>
    </row>
    <row r="488" spans="1:15" x14ac:dyDescent="0.25">
      <c r="A488" s="369"/>
      <c r="B488" s="369"/>
      <c r="C488" s="369"/>
      <c r="D488" s="369"/>
      <c r="E488" s="369"/>
      <c r="F488" s="452"/>
      <c r="G488" s="369"/>
      <c r="H488" s="369"/>
      <c r="I488" s="470"/>
      <c r="J488" s="369"/>
      <c r="K488" s="453"/>
      <c r="L488" s="454"/>
      <c r="M488" s="369"/>
      <c r="N488" s="369"/>
      <c r="O488" s="455"/>
    </row>
    <row r="489" spans="1:15" x14ac:dyDescent="0.25">
      <c r="A489" s="369"/>
      <c r="B489" s="369"/>
      <c r="C489" s="369"/>
      <c r="D489" s="369"/>
      <c r="E489" s="369"/>
      <c r="F489" s="452"/>
      <c r="G489" s="369"/>
      <c r="H489" s="369"/>
      <c r="I489" s="470"/>
      <c r="J489" s="369"/>
      <c r="K489" s="453"/>
      <c r="L489" s="454"/>
      <c r="M489" s="369"/>
      <c r="N489" s="369"/>
      <c r="O489" s="455"/>
    </row>
    <row r="490" spans="1:15" x14ac:dyDescent="0.25">
      <c r="A490" s="369"/>
      <c r="B490" s="369"/>
      <c r="C490" s="369"/>
      <c r="D490" s="369"/>
      <c r="E490" s="369"/>
      <c r="F490" s="452"/>
      <c r="G490" s="369"/>
      <c r="H490" s="369"/>
      <c r="I490" s="470"/>
      <c r="J490" s="369"/>
      <c r="K490" s="453"/>
      <c r="L490" s="454"/>
      <c r="M490" s="369"/>
      <c r="N490" s="369"/>
      <c r="O490" s="455"/>
    </row>
    <row r="491" spans="1:15" x14ac:dyDescent="0.25">
      <c r="A491" s="369"/>
      <c r="B491" s="369"/>
      <c r="C491" s="369"/>
      <c r="D491" s="369"/>
      <c r="E491" s="369"/>
      <c r="F491" s="452"/>
      <c r="G491" s="369"/>
      <c r="H491" s="369"/>
      <c r="I491" s="470"/>
      <c r="J491" s="369"/>
      <c r="K491" s="453"/>
      <c r="L491" s="454"/>
      <c r="M491" s="369"/>
      <c r="N491" s="369"/>
      <c r="O491" s="455"/>
    </row>
    <row r="492" spans="1:15" x14ac:dyDescent="0.25">
      <c r="A492" s="369"/>
      <c r="B492" s="369"/>
      <c r="C492" s="369"/>
      <c r="D492" s="369"/>
      <c r="E492" s="369"/>
      <c r="F492" s="452"/>
      <c r="G492" s="369"/>
      <c r="H492" s="369"/>
      <c r="I492" s="470"/>
      <c r="J492" s="369"/>
      <c r="K492" s="453"/>
      <c r="L492" s="454"/>
      <c r="M492" s="369"/>
      <c r="N492" s="369"/>
      <c r="O492" s="455"/>
    </row>
    <row r="493" spans="1:15" x14ac:dyDescent="0.25">
      <c r="A493" s="369"/>
      <c r="B493" s="369"/>
      <c r="C493" s="369"/>
      <c r="D493" s="369"/>
      <c r="E493" s="369"/>
      <c r="F493" s="452"/>
      <c r="G493" s="369"/>
      <c r="H493" s="369"/>
      <c r="I493" s="470"/>
      <c r="J493" s="369"/>
      <c r="K493" s="453"/>
      <c r="L493" s="454"/>
      <c r="M493" s="369"/>
      <c r="N493" s="369"/>
      <c r="O493" s="455"/>
    </row>
    <row r="494" spans="1:15" x14ac:dyDescent="0.25">
      <c r="A494" s="369"/>
      <c r="B494" s="369"/>
      <c r="C494" s="369"/>
      <c r="D494" s="369"/>
      <c r="E494" s="369"/>
      <c r="F494" s="452"/>
      <c r="G494" s="369"/>
      <c r="H494" s="369"/>
      <c r="I494" s="470"/>
      <c r="J494" s="369"/>
      <c r="K494" s="453"/>
      <c r="L494" s="454"/>
      <c r="M494" s="369"/>
      <c r="N494" s="369"/>
      <c r="O494" s="455"/>
    </row>
    <row r="495" spans="1:15" x14ac:dyDescent="0.25">
      <c r="A495" s="369"/>
      <c r="B495" s="369"/>
      <c r="C495" s="369"/>
      <c r="D495" s="369"/>
      <c r="E495" s="369"/>
      <c r="F495" s="452"/>
      <c r="G495" s="369"/>
      <c r="H495" s="369"/>
      <c r="I495" s="470"/>
      <c r="J495" s="369"/>
      <c r="K495" s="453"/>
      <c r="L495" s="454"/>
      <c r="M495" s="369"/>
      <c r="N495" s="369"/>
      <c r="O495" s="455"/>
    </row>
    <row r="496" spans="1:15" x14ac:dyDescent="0.25">
      <c r="A496" s="369"/>
      <c r="B496" s="369"/>
      <c r="C496" s="369"/>
      <c r="D496" s="369"/>
      <c r="E496" s="369"/>
      <c r="F496" s="452"/>
      <c r="G496" s="369"/>
      <c r="H496" s="369"/>
      <c r="I496" s="470"/>
      <c r="J496" s="369"/>
      <c r="K496" s="453"/>
      <c r="L496" s="454"/>
      <c r="M496" s="369"/>
      <c r="N496" s="369"/>
      <c r="O496" s="455"/>
    </row>
    <row r="497" spans="1:15" x14ac:dyDescent="0.25">
      <c r="A497" s="369"/>
      <c r="B497" s="369"/>
      <c r="C497" s="369"/>
      <c r="D497" s="369"/>
      <c r="E497" s="369"/>
      <c r="F497" s="452"/>
      <c r="G497" s="369"/>
      <c r="H497" s="369"/>
      <c r="I497" s="470"/>
      <c r="J497" s="369"/>
      <c r="K497" s="453"/>
      <c r="L497" s="454"/>
      <c r="M497" s="369"/>
      <c r="N497" s="369"/>
      <c r="O497" s="455"/>
    </row>
    <row r="498" spans="1:15" x14ac:dyDescent="0.25">
      <c r="A498" s="369"/>
      <c r="B498" s="369"/>
      <c r="C498" s="369"/>
      <c r="D498" s="369"/>
      <c r="E498" s="369"/>
      <c r="F498" s="452"/>
      <c r="G498" s="369"/>
      <c r="H498" s="369"/>
      <c r="I498" s="470"/>
      <c r="J498" s="369"/>
      <c r="K498" s="453"/>
      <c r="L498" s="454"/>
      <c r="M498" s="369"/>
      <c r="N498" s="369"/>
      <c r="O498" s="455"/>
    </row>
    <row r="499" spans="1:15" x14ac:dyDescent="0.25">
      <c r="A499" s="369"/>
      <c r="B499" s="369"/>
      <c r="C499" s="369"/>
      <c r="D499" s="369"/>
      <c r="E499" s="369"/>
      <c r="F499" s="452"/>
      <c r="G499" s="369"/>
      <c r="H499" s="369"/>
      <c r="I499" s="470"/>
      <c r="J499" s="369"/>
      <c r="K499" s="453"/>
      <c r="L499" s="454"/>
      <c r="M499" s="369"/>
      <c r="N499" s="369"/>
      <c r="O499" s="455"/>
    </row>
    <row r="500" spans="1:15" x14ac:dyDescent="0.25">
      <c r="A500" s="369"/>
      <c r="B500" s="369"/>
      <c r="C500" s="369"/>
      <c r="D500" s="369"/>
      <c r="E500" s="369"/>
      <c r="F500" s="452"/>
      <c r="G500" s="369"/>
      <c r="H500" s="369"/>
      <c r="I500" s="470"/>
      <c r="J500" s="369"/>
      <c r="K500" s="453"/>
      <c r="L500" s="454"/>
      <c r="M500" s="369"/>
      <c r="N500" s="369"/>
      <c r="O500" s="455"/>
    </row>
    <row r="501" spans="1:15" x14ac:dyDescent="0.25">
      <c r="A501" s="369"/>
      <c r="B501" s="369"/>
      <c r="C501" s="369"/>
      <c r="D501" s="369"/>
      <c r="E501" s="369"/>
      <c r="F501" s="452"/>
      <c r="G501" s="369"/>
      <c r="H501" s="369"/>
      <c r="I501" s="470"/>
      <c r="J501" s="369"/>
      <c r="K501" s="453"/>
      <c r="L501" s="454"/>
      <c r="M501" s="369"/>
      <c r="N501" s="369"/>
      <c r="O501" s="455"/>
    </row>
    <row r="502" spans="1:15" x14ac:dyDescent="0.25">
      <c r="A502" s="369"/>
      <c r="B502" s="369"/>
      <c r="C502" s="369"/>
      <c r="D502" s="369"/>
      <c r="E502" s="369"/>
      <c r="F502" s="452"/>
      <c r="G502" s="369"/>
      <c r="H502" s="369"/>
      <c r="I502" s="470"/>
      <c r="J502" s="369"/>
      <c r="K502" s="453"/>
      <c r="L502" s="454"/>
      <c r="M502" s="369"/>
      <c r="N502" s="369"/>
      <c r="O502" s="455"/>
    </row>
    <row r="503" spans="1:15" x14ac:dyDescent="0.25">
      <c r="A503" s="369"/>
      <c r="B503" s="369"/>
      <c r="C503" s="369"/>
      <c r="D503" s="369"/>
      <c r="E503" s="369"/>
      <c r="F503" s="452"/>
      <c r="G503" s="369"/>
      <c r="H503" s="369"/>
      <c r="I503" s="470"/>
      <c r="J503" s="369"/>
      <c r="K503" s="453"/>
      <c r="L503" s="454"/>
      <c r="M503" s="369"/>
      <c r="N503" s="369"/>
      <c r="O503" s="455"/>
    </row>
    <row r="504" spans="1:15" x14ac:dyDescent="0.25">
      <c r="A504" s="369"/>
      <c r="B504" s="369"/>
      <c r="C504" s="369"/>
      <c r="D504" s="369"/>
      <c r="E504" s="369"/>
      <c r="F504" s="452"/>
      <c r="G504" s="369"/>
      <c r="H504" s="369"/>
      <c r="I504" s="470"/>
      <c r="J504" s="369"/>
      <c r="K504" s="453"/>
      <c r="L504" s="454"/>
      <c r="M504" s="369"/>
      <c r="N504" s="369"/>
      <c r="O504" s="455"/>
    </row>
    <row r="505" spans="1:15" x14ac:dyDescent="0.25">
      <c r="A505" s="369"/>
      <c r="B505" s="369"/>
      <c r="C505" s="369"/>
      <c r="D505" s="369"/>
      <c r="E505" s="369"/>
      <c r="F505" s="452"/>
      <c r="G505" s="369"/>
      <c r="H505" s="369"/>
      <c r="I505" s="470"/>
      <c r="J505" s="369"/>
      <c r="K505" s="453"/>
      <c r="L505" s="454"/>
      <c r="M505" s="369"/>
      <c r="N505" s="369"/>
      <c r="O505" s="455"/>
    </row>
    <row r="506" spans="1:15" x14ac:dyDescent="0.25">
      <c r="A506" s="369"/>
      <c r="B506" s="369"/>
      <c r="C506" s="369"/>
      <c r="D506" s="369"/>
      <c r="E506" s="369"/>
      <c r="F506" s="452"/>
      <c r="G506" s="369"/>
      <c r="H506" s="369"/>
      <c r="I506" s="470"/>
      <c r="J506" s="369"/>
      <c r="K506" s="453"/>
      <c r="L506" s="454"/>
      <c r="M506" s="369"/>
      <c r="N506" s="369"/>
      <c r="O506" s="455"/>
    </row>
    <row r="507" spans="1:15" x14ac:dyDescent="0.25">
      <c r="A507" s="369"/>
      <c r="B507" s="369"/>
      <c r="C507" s="369"/>
      <c r="D507" s="369"/>
      <c r="E507" s="369"/>
      <c r="F507" s="452"/>
      <c r="G507" s="369"/>
      <c r="H507" s="369"/>
      <c r="I507" s="470"/>
      <c r="J507" s="369"/>
      <c r="K507" s="453"/>
      <c r="L507" s="454"/>
      <c r="M507" s="369"/>
      <c r="N507" s="369"/>
      <c r="O507" s="455"/>
    </row>
    <row r="508" spans="1:15" x14ac:dyDescent="0.25">
      <c r="A508" s="369"/>
      <c r="B508" s="369"/>
      <c r="C508" s="369"/>
      <c r="D508" s="369"/>
      <c r="E508" s="369"/>
      <c r="F508" s="452"/>
      <c r="G508" s="369"/>
      <c r="H508" s="369"/>
      <c r="I508" s="470"/>
      <c r="J508" s="369"/>
      <c r="K508" s="453"/>
      <c r="L508" s="454"/>
      <c r="M508" s="369"/>
      <c r="N508" s="369"/>
      <c r="O508" s="455"/>
    </row>
    <row r="509" spans="1:15" x14ac:dyDescent="0.25">
      <c r="A509" s="369"/>
      <c r="B509" s="369"/>
      <c r="C509" s="369"/>
      <c r="D509" s="369"/>
      <c r="E509" s="369"/>
      <c r="F509" s="452"/>
      <c r="G509" s="369"/>
      <c r="H509" s="369"/>
      <c r="I509" s="470"/>
      <c r="J509" s="369"/>
      <c r="K509" s="453"/>
      <c r="L509" s="454"/>
      <c r="M509" s="369"/>
      <c r="N509" s="369"/>
      <c r="O509" s="455"/>
    </row>
    <row r="510" spans="1:15" x14ac:dyDescent="0.25">
      <c r="A510" s="369"/>
      <c r="B510" s="369"/>
      <c r="C510" s="369"/>
      <c r="D510" s="369"/>
      <c r="E510" s="369"/>
      <c r="F510" s="452"/>
      <c r="G510" s="369"/>
      <c r="H510" s="369"/>
      <c r="I510" s="470"/>
      <c r="J510" s="369"/>
      <c r="K510" s="453"/>
      <c r="L510" s="454"/>
      <c r="M510" s="369"/>
      <c r="N510" s="369"/>
      <c r="O510" s="455"/>
    </row>
    <row r="511" spans="1:15" x14ac:dyDescent="0.25">
      <c r="A511" s="369"/>
      <c r="B511" s="369"/>
      <c r="C511" s="369"/>
      <c r="D511" s="369"/>
      <c r="E511" s="369"/>
      <c r="F511" s="452"/>
      <c r="G511" s="369"/>
      <c r="H511" s="369"/>
      <c r="I511" s="470"/>
      <c r="J511" s="369"/>
      <c r="K511" s="453"/>
      <c r="L511" s="454"/>
      <c r="M511" s="369"/>
      <c r="N511" s="369"/>
      <c r="O511" s="455"/>
    </row>
    <row r="512" spans="1:15" x14ac:dyDescent="0.25">
      <c r="A512" s="369"/>
      <c r="B512" s="369"/>
      <c r="C512" s="369"/>
      <c r="D512" s="369"/>
      <c r="E512" s="369"/>
      <c r="F512" s="452"/>
      <c r="G512" s="369"/>
      <c r="H512" s="369"/>
      <c r="I512" s="470"/>
      <c r="J512" s="369"/>
      <c r="K512" s="453"/>
      <c r="L512" s="454"/>
      <c r="M512" s="369"/>
      <c r="N512" s="369"/>
      <c r="O512" s="455"/>
    </row>
    <row r="513" spans="1:15" x14ac:dyDescent="0.25">
      <c r="A513" s="369"/>
      <c r="B513" s="369"/>
      <c r="C513" s="369"/>
      <c r="D513" s="369"/>
      <c r="E513" s="369"/>
      <c r="F513" s="452"/>
      <c r="G513" s="369"/>
      <c r="H513" s="369"/>
      <c r="I513" s="470"/>
      <c r="J513" s="369"/>
      <c r="K513" s="453"/>
      <c r="L513" s="454"/>
      <c r="M513" s="369"/>
      <c r="N513" s="369"/>
      <c r="O513" s="455"/>
    </row>
    <row r="514" spans="1:15" x14ac:dyDescent="0.25">
      <c r="A514" s="369"/>
      <c r="B514" s="369"/>
      <c r="C514" s="369"/>
      <c r="D514" s="369"/>
      <c r="E514" s="369"/>
      <c r="F514" s="452"/>
      <c r="G514" s="369"/>
      <c r="H514" s="369"/>
      <c r="I514" s="470"/>
      <c r="J514" s="369"/>
      <c r="K514" s="453"/>
      <c r="L514" s="454"/>
      <c r="M514" s="369"/>
      <c r="N514" s="369"/>
      <c r="O514" s="455"/>
    </row>
    <row r="515" spans="1:15" x14ac:dyDescent="0.25">
      <c r="A515" s="369"/>
      <c r="B515" s="369"/>
      <c r="C515" s="369"/>
      <c r="D515" s="369"/>
      <c r="E515" s="369"/>
      <c r="F515" s="452"/>
      <c r="G515" s="369"/>
      <c r="H515" s="369"/>
      <c r="I515" s="470"/>
      <c r="J515" s="369"/>
      <c r="K515" s="453"/>
      <c r="L515" s="454"/>
      <c r="M515" s="369"/>
      <c r="N515" s="369"/>
      <c r="O515" s="455"/>
    </row>
    <row r="516" spans="1:15" x14ac:dyDescent="0.25">
      <c r="A516" s="369"/>
      <c r="B516" s="369"/>
      <c r="C516" s="369"/>
      <c r="D516" s="369"/>
      <c r="E516" s="369"/>
      <c r="F516" s="452"/>
      <c r="G516" s="369"/>
      <c r="H516" s="369"/>
      <c r="I516" s="470"/>
      <c r="J516" s="369"/>
      <c r="K516" s="453"/>
      <c r="L516" s="454"/>
      <c r="M516" s="369"/>
      <c r="N516" s="369"/>
      <c r="O516" s="455"/>
    </row>
    <row r="517" spans="1:15" x14ac:dyDescent="0.25">
      <c r="A517" s="369"/>
      <c r="B517" s="369"/>
      <c r="C517" s="369"/>
      <c r="D517" s="369"/>
      <c r="E517" s="369"/>
      <c r="F517" s="452"/>
      <c r="G517" s="369"/>
      <c r="H517" s="369"/>
      <c r="I517" s="470"/>
      <c r="J517" s="369"/>
      <c r="K517" s="453"/>
      <c r="L517" s="454"/>
      <c r="M517" s="369"/>
      <c r="N517" s="369"/>
      <c r="O517" s="455"/>
    </row>
    <row r="518" spans="1:15" x14ac:dyDescent="0.25">
      <c r="A518" s="369"/>
      <c r="B518" s="369"/>
      <c r="C518" s="369"/>
      <c r="D518" s="369"/>
      <c r="E518" s="369"/>
      <c r="F518" s="452"/>
      <c r="G518" s="369"/>
      <c r="H518" s="369"/>
      <c r="I518" s="470"/>
      <c r="J518" s="369"/>
      <c r="K518" s="453"/>
      <c r="L518" s="454"/>
      <c r="M518" s="369"/>
      <c r="N518" s="369"/>
      <c r="O518" s="455"/>
    </row>
    <row r="519" spans="1:15" x14ac:dyDescent="0.25">
      <c r="A519" s="369"/>
      <c r="B519" s="369"/>
      <c r="C519" s="369"/>
      <c r="D519" s="369"/>
      <c r="E519" s="369"/>
      <c r="F519" s="452"/>
      <c r="G519" s="369"/>
      <c r="H519" s="369"/>
      <c r="I519" s="470"/>
      <c r="J519" s="369"/>
      <c r="K519" s="453"/>
      <c r="L519" s="454"/>
      <c r="M519" s="369"/>
      <c r="N519" s="369"/>
      <c r="O519" s="455"/>
    </row>
    <row r="520" spans="1:15" x14ac:dyDescent="0.25">
      <c r="A520" s="369"/>
      <c r="B520" s="369"/>
      <c r="C520" s="369"/>
      <c r="D520" s="369"/>
      <c r="E520" s="369"/>
      <c r="F520" s="452"/>
      <c r="G520" s="369"/>
      <c r="H520" s="369"/>
      <c r="I520" s="470"/>
      <c r="J520" s="369"/>
      <c r="K520" s="453"/>
      <c r="L520" s="454"/>
      <c r="M520" s="369"/>
      <c r="N520" s="369"/>
      <c r="O520" s="455"/>
    </row>
    <row r="521" spans="1:15" x14ac:dyDescent="0.25">
      <c r="A521" s="369"/>
      <c r="B521" s="369"/>
      <c r="C521" s="369"/>
      <c r="D521" s="369"/>
      <c r="E521" s="369"/>
      <c r="F521" s="452"/>
      <c r="G521" s="369"/>
      <c r="H521" s="369"/>
      <c r="I521" s="470"/>
      <c r="J521" s="369"/>
      <c r="K521" s="453"/>
      <c r="L521" s="454"/>
      <c r="M521" s="369"/>
      <c r="N521" s="369"/>
      <c r="O521" s="455"/>
    </row>
    <row r="522" spans="1:15" x14ac:dyDescent="0.25">
      <c r="A522" s="369"/>
      <c r="B522" s="369"/>
      <c r="C522" s="369"/>
      <c r="D522" s="369"/>
      <c r="E522" s="369"/>
      <c r="F522" s="452"/>
      <c r="G522" s="369"/>
      <c r="H522" s="369"/>
      <c r="I522" s="470"/>
      <c r="J522" s="369"/>
      <c r="K522" s="453"/>
      <c r="L522" s="454"/>
      <c r="M522" s="369"/>
      <c r="N522" s="369"/>
      <c r="O522" s="455"/>
    </row>
    <row r="523" spans="1:15" x14ac:dyDescent="0.25">
      <c r="A523" s="369"/>
      <c r="B523" s="369"/>
      <c r="C523" s="369"/>
      <c r="D523" s="369"/>
      <c r="E523" s="369"/>
      <c r="F523" s="452"/>
      <c r="G523" s="369"/>
      <c r="H523" s="369"/>
      <c r="I523" s="470"/>
      <c r="J523" s="369"/>
      <c r="K523" s="453"/>
      <c r="L523" s="454"/>
      <c r="M523" s="369"/>
      <c r="N523" s="369"/>
      <c r="O523" s="455"/>
    </row>
    <row r="524" spans="1:15" x14ac:dyDescent="0.25">
      <c r="A524" s="369"/>
      <c r="B524" s="369"/>
      <c r="C524" s="369"/>
      <c r="D524" s="369"/>
      <c r="E524" s="369"/>
      <c r="F524" s="452"/>
      <c r="G524" s="369"/>
      <c r="H524" s="369"/>
      <c r="I524" s="470"/>
      <c r="J524" s="369"/>
      <c r="K524" s="453"/>
      <c r="L524" s="454"/>
      <c r="M524" s="369"/>
      <c r="N524" s="369"/>
      <c r="O524" s="455"/>
    </row>
    <row r="525" spans="1:15" x14ac:dyDescent="0.25">
      <c r="A525" s="369"/>
      <c r="B525" s="369"/>
      <c r="C525" s="369"/>
      <c r="D525" s="369"/>
      <c r="E525" s="369"/>
      <c r="F525" s="452"/>
      <c r="G525" s="369"/>
      <c r="H525" s="369"/>
      <c r="I525" s="470"/>
      <c r="J525" s="369"/>
      <c r="K525" s="453"/>
      <c r="L525" s="454"/>
      <c r="M525" s="369"/>
      <c r="N525" s="369"/>
      <c r="O525" s="455"/>
    </row>
    <row r="526" spans="1:15" x14ac:dyDescent="0.25">
      <c r="A526" s="369"/>
      <c r="B526" s="369"/>
      <c r="C526" s="369"/>
      <c r="D526" s="369"/>
      <c r="E526" s="369"/>
      <c r="F526" s="452"/>
      <c r="G526" s="369"/>
      <c r="H526" s="369"/>
      <c r="I526" s="470"/>
      <c r="J526" s="369"/>
      <c r="K526" s="453"/>
      <c r="L526" s="454"/>
      <c r="M526" s="369"/>
      <c r="N526" s="369"/>
      <c r="O526" s="455"/>
    </row>
    <row r="527" spans="1:15" x14ac:dyDescent="0.25">
      <c r="A527" s="369"/>
      <c r="B527" s="369"/>
      <c r="C527" s="369"/>
      <c r="D527" s="369"/>
      <c r="E527" s="369"/>
      <c r="F527" s="452"/>
      <c r="G527" s="369"/>
      <c r="H527" s="369"/>
      <c r="I527" s="470"/>
      <c r="J527" s="369"/>
      <c r="K527" s="453"/>
      <c r="L527" s="454"/>
      <c r="M527" s="369"/>
      <c r="N527" s="369"/>
      <c r="O527" s="455"/>
    </row>
    <row r="528" spans="1:15" x14ac:dyDescent="0.25">
      <c r="A528" s="369"/>
      <c r="B528" s="369"/>
      <c r="C528" s="369"/>
      <c r="D528" s="369"/>
      <c r="E528" s="369"/>
      <c r="F528" s="452"/>
      <c r="G528" s="369"/>
      <c r="H528" s="369"/>
      <c r="I528" s="470"/>
      <c r="J528" s="369"/>
      <c r="K528" s="453"/>
      <c r="L528" s="454"/>
      <c r="M528" s="369"/>
      <c r="N528" s="369"/>
      <c r="O528" s="455"/>
    </row>
    <row r="529" spans="1:15" x14ac:dyDescent="0.25">
      <c r="A529" s="369"/>
      <c r="B529" s="369"/>
      <c r="C529" s="369"/>
      <c r="D529" s="369"/>
      <c r="E529" s="369"/>
      <c r="F529" s="452"/>
      <c r="G529" s="369"/>
      <c r="H529" s="369"/>
      <c r="I529" s="470"/>
      <c r="J529" s="369"/>
      <c r="K529" s="453"/>
      <c r="L529" s="454"/>
      <c r="M529" s="369"/>
      <c r="N529" s="369"/>
      <c r="O529" s="455"/>
    </row>
    <row r="530" spans="1:15" x14ac:dyDescent="0.25">
      <c r="A530" s="369"/>
      <c r="B530" s="369"/>
      <c r="C530" s="369"/>
      <c r="D530" s="369"/>
      <c r="E530" s="369"/>
      <c r="F530" s="452"/>
      <c r="G530" s="369"/>
      <c r="H530" s="369"/>
      <c r="I530" s="470"/>
      <c r="J530" s="369"/>
      <c r="K530" s="453"/>
      <c r="L530" s="454"/>
      <c r="M530" s="369"/>
      <c r="N530" s="369"/>
      <c r="O530" s="455"/>
    </row>
    <row r="531" spans="1:15" x14ac:dyDescent="0.25">
      <c r="A531" s="369"/>
      <c r="B531" s="369"/>
      <c r="C531" s="369"/>
      <c r="D531" s="369"/>
      <c r="E531" s="369"/>
      <c r="F531" s="452"/>
      <c r="G531" s="369"/>
      <c r="H531" s="369"/>
      <c r="I531" s="470"/>
      <c r="J531" s="369"/>
      <c r="K531" s="453"/>
      <c r="L531" s="454"/>
      <c r="M531" s="369"/>
      <c r="N531" s="369"/>
      <c r="O531" s="455"/>
    </row>
    <row r="532" spans="1:15" x14ac:dyDescent="0.25">
      <c r="A532" s="369"/>
      <c r="B532" s="369"/>
      <c r="C532" s="369"/>
      <c r="D532" s="369"/>
      <c r="E532" s="369"/>
      <c r="F532" s="452"/>
      <c r="G532" s="369"/>
      <c r="H532" s="369"/>
      <c r="I532" s="470"/>
      <c r="J532" s="369"/>
      <c r="K532" s="453"/>
      <c r="L532" s="454"/>
      <c r="M532" s="369"/>
      <c r="N532" s="369"/>
      <c r="O532" s="455"/>
    </row>
    <row r="533" spans="1:15" x14ac:dyDescent="0.25">
      <c r="A533" s="369"/>
      <c r="B533" s="369"/>
      <c r="C533" s="369"/>
      <c r="D533" s="369"/>
      <c r="E533" s="369"/>
      <c r="F533" s="452"/>
      <c r="G533" s="369"/>
      <c r="H533" s="369"/>
      <c r="I533" s="470"/>
      <c r="J533" s="369"/>
      <c r="K533" s="453"/>
      <c r="L533" s="454"/>
      <c r="M533" s="369"/>
      <c r="N533" s="369"/>
      <c r="O533" s="455"/>
    </row>
    <row r="534" spans="1:15" x14ac:dyDescent="0.25">
      <c r="A534" s="369"/>
      <c r="B534" s="369"/>
      <c r="C534" s="369"/>
      <c r="D534" s="369"/>
      <c r="E534" s="369"/>
      <c r="F534" s="452"/>
      <c r="G534" s="369"/>
      <c r="H534" s="369"/>
      <c r="I534" s="470"/>
      <c r="J534" s="369"/>
      <c r="K534" s="453"/>
      <c r="L534" s="454"/>
      <c r="M534" s="369"/>
      <c r="N534" s="369"/>
      <c r="O534" s="455"/>
    </row>
    <row r="535" spans="1:15" x14ac:dyDescent="0.25">
      <c r="A535" s="369"/>
      <c r="B535" s="369"/>
      <c r="C535" s="369"/>
      <c r="D535" s="369"/>
      <c r="E535" s="369"/>
      <c r="F535" s="452"/>
      <c r="G535" s="369"/>
      <c r="H535" s="369"/>
      <c r="I535" s="470"/>
      <c r="J535" s="369"/>
      <c r="K535" s="453"/>
      <c r="L535" s="454"/>
      <c r="M535" s="369"/>
      <c r="N535" s="369"/>
      <c r="O535" s="455"/>
    </row>
    <row r="536" spans="1:15" x14ac:dyDescent="0.25">
      <c r="A536" s="369"/>
      <c r="B536" s="369"/>
      <c r="C536" s="369"/>
      <c r="D536" s="369"/>
      <c r="E536" s="369"/>
      <c r="F536" s="452"/>
      <c r="G536" s="369"/>
      <c r="H536" s="369"/>
      <c r="I536" s="470"/>
      <c r="J536" s="369"/>
      <c r="K536" s="453"/>
      <c r="L536" s="454"/>
      <c r="M536" s="369"/>
      <c r="N536" s="369"/>
      <c r="O536" s="455"/>
    </row>
    <row r="537" spans="1:15" x14ac:dyDescent="0.25">
      <c r="A537" s="369"/>
      <c r="B537" s="369"/>
      <c r="C537" s="369"/>
      <c r="D537" s="369"/>
      <c r="E537" s="369"/>
      <c r="F537" s="452"/>
      <c r="G537" s="369"/>
      <c r="H537" s="369"/>
      <c r="I537" s="470"/>
      <c r="J537" s="369"/>
      <c r="K537" s="453"/>
      <c r="L537" s="454"/>
      <c r="M537" s="369"/>
      <c r="N537" s="369"/>
      <c r="O537" s="455"/>
    </row>
    <row r="538" spans="1:15" x14ac:dyDescent="0.25">
      <c r="A538" s="369"/>
      <c r="B538" s="369"/>
      <c r="C538" s="369"/>
      <c r="D538" s="369"/>
      <c r="E538" s="369"/>
      <c r="F538" s="452"/>
      <c r="G538" s="369"/>
      <c r="H538" s="369"/>
      <c r="I538" s="470"/>
      <c r="J538" s="369"/>
      <c r="K538" s="453"/>
      <c r="L538" s="454"/>
      <c r="M538" s="369"/>
      <c r="N538" s="369"/>
      <c r="O538" s="455"/>
    </row>
    <row r="539" spans="1:15" x14ac:dyDescent="0.25">
      <c r="A539" s="369"/>
      <c r="B539" s="369"/>
      <c r="C539" s="369"/>
      <c r="D539" s="369"/>
      <c r="E539" s="369"/>
      <c r="F539" s="452"/>
      <c r="G539" s="369"/>
      <c r="H539" s="369"/>
      <c r="I539" s="470"/>
      <c r="J539" s="369"/>
      <c r="K539" s="453"/>
      <c r="L539" s="454"/>
      <c r="M539" s="369"/>
      <c r="N539" s="369"/>
      <c r="O539" s="455"/>
    </row>
    <row r="540" spans="1:15" x14ac:dyDescent="0.25">
      <c r="A540" s="369"/>
      <c r="B540" s="369"/>
      <c r="C540" s="369"/>
      <c r="D540" s="369"/>
      <c r="E540" s="369"/>
      <c r="F540" s="452"/>
      <c r="G540" s="369"/>
      <c r="H540" s="369"/>
      <c r="I540" s="470"/>
      <c r="J540" s="369"/>
      <c r="K540" s="453"/>
      <c r="L540" s="454"/>
      <c r="M540" s="369"/>
      <c r="N540" s="369"/>
      <c r="O540" s="455"/>
    </row>
    <row r="541" spans="1:15" x14ac:dyDescent="0.25">
      <c r="A541" s="369"/>
      <c r="B541" s="369"/>
      <c r="C541" s="369"/>
      <c r="D541" s="369"/>
      <c r="E541" s="369"/>
      <c r="F541" s="452"/>
      <c r="G541" s="369"/>
      <c r="H541" s="369"/>
      <c r="I541" s="470"/>
      <c r="J541" s="369"/>
      <c r="K541" s="453"/>
      <c r="L541" s="454"/>
      <c r="M541" s="369"/>
      <c r="N541" s="369"/>
      <c r="O541" s="455"/>
    </row>
    <row r="542" spans="1:15" x14ac:dyDescent="0.25">
      <c r="A542" s="369"/>
      <c r="B542" s="369"/>
      <c r="C542" s="369"/>
      <c r="D542" s="369"/>
      <c r="E542" s="369"/>
      <c r="F542" s="452"/>
      <c r="G542" s="369"/>
      <c r="H542" s="369"/>
      <c r="I542" s="470"/>
      <c r="J542" s="369"/>
      <c r="K542" s="453"/>
      <c r="L542" s="454"/>
      <c r="M542" s="369"/>
      <c r="N542" s="369"/>
      <c r="O542" s="455"/>
    </row>
    <row r="543" spans="1:15" x14ac:dyDescent="0.25">
      <c r="A543" s="369"/>
      <c r="B543" s="369"/>
      <c r="C543" s="369"/>
      <c r="D543" s="369"/>
      <c r="E543" s="369"/>
      <c r="F543" s="452"/>
      <c r="G543" s="369"/>
      <c r="H543" s="369"/>
      <c r="I543" s="470"/>
      <c r="J543" s="369"/>
      <c r="K543" s="453"/>
      <c r="L543" s="454"/>
      <c r="M543" s="369"/>
      <c r="N543" s="369"/>
      <c r="O543" s="455"/>
    </row>
    <row r="544" spans="1:15" x14ac:dyDescent="0.25">
      <c r="A544" s="369"/>
      <c r="B544" s="369"/>
      <c r="C544" s="369"/>
      <c r="D544" s="369"/>
      <c r="E544" s="369"/>
      <c r="F544" s="452"/>
      <c r="G544" s="369"/>
      <c r="H544" s="369"/>
      <c r="I544" s="470"/>
      <c r="J544" s="369"/>
      <c r="K544" s="453"/>
      <c r="L544" s="454"/>
      <c r="M544" s="369"/>
      <c r="N544" s="369"/>
      <c r="O544" s="455"/>
    </row>
    <row r="545" spans="1:15" x14ac:dyDescent="0.25">
      <c r="A545" s="369"/>
      <c r="B545" s="369"/>
      <c r="C545" s="369"/>
      <c r="D545" s="369"/>
      <c r="E545" s="369"/>
      <c r="F545" s="452"/>
      <c r="G545" s="369"/>
      <c r="H545" s="369"/>
      <c r="I545" s="470"/>
      <c r="J545" s="369"/>
      <c r="K545" s="453"/>
      <c r="L545" s="454"/>
      <c r="M545" s="369"/>
      <c r="N545" s="369"/>
      <c r="O545" s="455"/>
    </row>
    <row r="546" spans="1:15" x14ac:dyDescent="0.25">
      <c r="A546" s="369"/>
      <c r="B546" s="369"/>
      <c r="C546" s="369"/>
      <c r="D546" s="369"/>
      <c r="E546" s="369"/>
      <c r="F546" s="452"/>
      <c r="G546" s="369"/>
      <c r="H546" s="369"/>
      <c r="I546" s="470"/>
      <c r="J546" s="369"/>
      <c r="K546" s="453"/>
      <c r="L546" s="454"/>
      <c r="M546" s="369"/>
      <c r="N546" s="369"/>
      <c r="O546" s="455"/>
    </row>
    <row r="547" spans="1:15" x14ac:dyDescent="0.25">
      <c r="A547" s="369"/>
      <c r="B547" s="369"/>
      <c r="C547" s="369"/>
      <c r="D547" s="369"/>
      <c r="E547" s="369"/>
      <c r="F547" s="452"/>
      <c r="G547" s="369"/>
      <c r="H547" s="369"/>
      <c r="I547" s="470"/>
      <c r="J547" s="369"/>
      <c r="K547" s="453"/>
      <c r="L547" s="454"/>
      <c r="M547" s="369"/>
      <c r="N547" s="369"/>
      <c r="O547" s="455"/>
    </row>
    <row r="548" spans="1:15" x14ac:dyDescent="0.25">
      <c r="A548" s="369"/>
      <c r="B548" s="369"/>
      <c r="C548" s="369"/>
      <c r="D548" s="369"/>
      <c r="E548" s="369"/>
      <c r="F548" s="452"/>
      <c r="G548" s="369"/>
      <c r="H548" s="369"/>
      <c r="I548" s="470"/>
      <c r="J548" s="369"/>
      <c r="K548" s="453"/>
      <c r="L548" s="454"/>
      <c r="M548" s="369"/>
      <c r="N548" s="369"/>
      <c r="O548" s="455"/>
    </row>
    <row r="549" spans="1:15" x14ac:dyDescent="0.25">
      <c r="A549" s="369"/>
      <c r="B549" s="369"/>
      <c r="C549" s="369"/>
      <c r="D549" s="369"/>
      <c r="E549" s="369"/>
      <c r="F549" s="452"/>
      <c r="G549" s="369"/>
      <c r="H549" s="369"/>
      <c r="I549" s="470"/>
      <c r="J549" s="369"/>
      <c r="K549" s="453"/>
      <c r="L549" s="454"/>
      <c r="M549" s="369"/>
      <c r="N549" s="369"/>
      <c r="O549" s="455"/>
    </row>
    <row r="550" spans="1:15" x14ac:dyDescent="0.25">
      <c r="A550" s="369"/>
      <c r="B550" s="369"/>
      <c r="C550" s="369"/>
      <c r="D550" s="369"/>
      <c r="E550" s="369"/>
      <c r="F550" s="452"/>
      <c r="G550" s="369"/>
      <c r="H550" s="369"/>
      <c r="I550" s="470"/>
      <c r="J550" s="369"/>
      <c r="K550" s="453"/>
      <c r="L550" s="454"/>
      <c r="M550" s="369"/>
      <c r="N550" s="369"/>
      <c r="O550" s="455"/>
    </row>
    <row r="551" spans="1:15" x14ac:dyDescent="0.25">
      <c r="A551" s="369"/>
      <c r="B551" s="369"/>
      <c r="C551" s="369"/>
      <c r="D551" s="369"/>
      <c r="E551" s="369"/>
      <c r="F551" s="452"/>
      <c r="G551" s="369"/>
      <c r="H551" s="369"/>
      <c r="I551" s="470"/>
      <c r="J551" s="369"/>
      <c r="K551" s="453"/>
      <c r="L551" s="454"/>
      <c r="M551" s="369"/>
      <c r="N551" s="369"/>
      <c r="O551" s="455"/>
    </row>
    <row r="552" spans="1:15" x14ac:dyDescent="0.25">
      <c r="A552" s="369"/>
      <c r="B552" s="369"/>
      <c r="C552" s="369"/>
      <c r="D552" s="369"/>
      <c r="E552" s="369"/>
      <c r="F552" s="452"/>
      <c r="G552" s="369"/>
      <c r="H552" s="369"/>
      <c r="I552" s="470"/>
      <c r="J552" s="369"/>
      <c r="K552" s="453"/>
      <c r="L552" s="454"/>
      <c r="M552" s="369"/>
      <c r="N552" s="369"/>
      <c r="O552" s="455"/>
    </row>
    <row r="553" spans="1:15" x14ac:dyDescent="0.25">
      <c r="A553" s="369"/>
      <c r="B553" s="369"/>
      <c r="C553" s="369"/>
      <c r="D553" s="369"/>
      <c r="E553" s="369"/>
      <c r="F553" s="452"/>
      <c r="G553" s="369"/>
      <c r="H553" s="369"/>
      <c r="I553" s="470"/>
      <c r="J553" s="369"/>
      <c r="K553" s="453"/>
      <c r="L553" s="454"/>
      <c r="M553" s="369"/>
      <c r="N553" s="369"/>
      <c r="O553" s="455"/>
    </row>
    <row r="554" spans="1:15" x14ac:dyDescent="0.25">
      <c r="A554" s="369"/>
      <c r="B554" s="369"/>
      <c r="C554" s="369"/>
      <c r="D554" s="369"/>
      <c r="E554" s="369"/>
      <c r="F554" s="452"/>
      <c r="G554" s="369"/>
      <c r="H554" s="369"/>
      <c r="I554" s="470"/>
      <c r="J554" s="369"/>
      <c r="K554" s="453"/>
      <c r="L554" s="454"/>
      <c r="M554" s="369"/>
      <c r="N554" s="369"/>
      <c r="O554" s="455"/>
    </row>
    <row r="555" spans="1:15" x14ac:dyDescent="0.25">
      <c r="A555" s="369"/>
      <c r="B555" s="369"/>
      <c r="C555" s="369"/>
      <c r="D555" s="369"/>
      <c r="E555" s="369"/>
      <c r="F555" s="452"/>
      <c r="G555" s="369"/>
      <c r="H555" s="369"/>
      <c r="I555" s="470"/>
      <c r="J555" s="369"/>
      <c r="K555" s="453"/>
      <c r="L555" s="454"/>
      <c r="M555" s="369"/>
      <c r="N555" s="369"/>
      <c r="O555" s="455"/>
    </row>
    <row r="556" spans="1:15" x14ac:dyDescent="0.25">
      <c r="A556" s="369"/>
      <c r="B556" s="369"/>
      <c r="C556" s="369"/>
      <c r="D556" s="369"/>
      <c r="E556" s="369"/>
      <c r="F556" s="452"/>
      <c r="G556" s="369"/>
      <c r="H556" s="369"/>
      <c r="I556" s="470"/>
      <c r="J556" s="369"/>
      <c r="K556" s="453"/>
      <c r="L556" s="454"/>
      <c r="M556" s="369"/>
      <c r="N556" s="369"/>
      <c r="O556" s="455"/>
    </row>
    <row r="557" spans="1:15" x14ac:dyDescent="0.25">
      <c r="A557" s="369"/>
      <c r="B557" s="369"/>
      <c r="C557" s="369"/>
      <c r="D557" s="369"/>
      <c r="E557" s="369"/>
      <c r="F557" s="452"/>
      <c r="G557" s="369"/>
      <c r="H557" s="369"/>
      <c r="I557" s="470"/>
      <c r="J557" s="369"/>
      <c r="K557" s="453"/>
      <c r="L557" s="454"/>
      <c r="M557" s="369"/>
      <c r="N557" s="369"/>
      <c r="O557" s="455"/>
    </row>
    <row r="558" spans="1:15" x14ac:dyDescent="0.25">
      <c r="A558" s="369"/>
      <c r="B558" s="369"/>
      <c r="C558" s="369"/>
      <c r="D558" s="369"/>
      <c r="E558" s="369"/>
      <c r="F558" s="452"/>
      <c r="G558" s="369"/>
      <c r="H558" s="369"/>
      <c r="I558" s="470"/>
      <c r="J558" s="369"/>
      <c r="K558" s="453"/>
      <c r="L558" s="454"/>
      <c r="M558" s="369"/>
      <c r="N558" s="369"/>
      <c r="O558" s="455"/>
    </row>
    <row r="559" spans="1:15" x14ac:dyDescent="0.25">
      <c r="A559" s="369"/>
      <c r="B559" s="369"/>
      <c r="C559" s="369"/>
      <c r="D559" s="369"/>
      <c r="E559" s="369"/>
      <c r="F559" s="452"/>
      <c r="G559" s="369"/>
      <c r="H559" s="369"/>
      <c r="I559" s="470"/>
      <c r="J559" s="369"/>
      <c r="K559" s="453"/>
      <c r="L559" s="454"/>
      <c r="M559" s="369"/>
      <c r="N559" s="369"/>
      <c r="O559" s="455"/>
    </row>
    <row r="560" spans="1:15" x14ac:dyDescent="0.25">
      <c r="A560" s="369"/>
      <c r="B560" s="369"/>
      <c r="C560" s="369"/>
      <c r="D560" s="369"/>
      <c r="E560" s="369"/>
      <c r="F560" s="452"/>
      <c r="G560" s="369"/>
      <c r="H560" s="369"/>
      <c r="I560" s="470"/>
      <c r="J560" s="369"/>
      <c r="K560" s="453"/>
      <c r="L560" s="454"/>
      <c r="M560" s="369"/>
      <c r="N560" s="369"/>
      <c r="O560" s="455"/>
    </row>
    <row r="561" spans="1:15" x14ac:dyDescent="0.25">
      <c r="A561" s="369"/>
      <c r="B561" s="369"/>
      <c r="C561" s="369"/>
      <c r="D561" s="369"/>
      <c r="E561" s="369"/>
      <c r="F561" s="452"/>
      <c r="G561" s="369"/>
      <c r="H561" s="369"/>
      <c r="I561" s="470"/>
      <c r="J561" s="369"/>
      <c r="K561" s="453"/>
      <c r="L561" s="454"/>
      <c r="M561" s="369"/>
      <c r="N561" s="369"/>
      <c r="O561" s="455"/>
    </row>
    <row r="562" spans="1:15" x14ac:dyDescent="0.25">
      <c r="A562" s="369"/>
      <c r="B562" s="369"/>
      <c r="C562" s="369"/>
      <c r="D562" s="369"/>
      <c r="E562" s="369"/>
      <c r="F562" s="452"/>
      <c r="G562" s="369"/>
      <c r="H562" s="369"/>
      <c r="I562" s="470"/>
      <c r="J562" s="369"/>
      <c r="K562" s="453"/>
      <c r="L562" s="454"/>
      <c r="M562" s="369"/>
      <c r="N562" s="369"/>
      <c r="O562" s="455"/>
    </row>
    <row r="563" spans="1:15" x14ac:dyDescent="0.25">
      <c r="A563" s="369"/>
      <c r="B563" s="369"/>
      <c r="C563" s="369"/>
      <c r="D563" s="369"/>
      <c r="E563" s="369"/>
      <c r="F563" s="452"/>
      <c r="G563" s="369"/>
      <c r="H563" s="369"/>
      <c r="I563" s="470"/>
      <c r="J563" s="369"/>
      <c r="K563" s="453"/>
      <c r="L563" s="454"/>
      <c r="M563" s="369"/>
      <c r="N563" s="369"/>
      <c r="O563" s="455"/>
    </row>
    <row r="564" spans="1:15" x14ac:dyDescent="0.25">
      <c r="A564" s="369"/>
      <c r="B564" s="369"/>
      <c r="C564" s="369"/>
      <c r="D564" s="369"/>
      <c r="E564" s="369"/>
      <c r="F564" s="452"/>
      <c r="G564" s="369"/>
      <c r="H564" s="369"/>
      <c r="I564" s="470"/>
      <c r="J564" s="369"/>
      <c r="K564" s="453"/>
      <c r="L564" s="454"/>
      <c r="M564" s="369"/>
      <c r="N564" s="369"/>
      <c r="O564" s="455"/>
    </row>
    <row r="565" spans="1:15" x14ac:dyDescent="0.25">
      <c r="A565" s="369"/>
      <c r="B565" s="369"/>
      <c r="C565" s="369"/>
      <c r="D565" s="369"/>
      <c r="E565" s="369"/>
      <c r="F565" s="452"/>
      <c r="G565" s="369"/>
      <c r="H565" s="369"/>
      <c r="I565" s="470"/>
      <c r="J565" s="369"/>
      <c r="K565" s="453"/>
      <c r="L565" s="454"/>
      <c r="M565" s="369"/>
      <c r="N565" s="369"/>
      <c r="O565" s="455"/>
    </row>
    <row r="566" spans="1:15" x14ac:dyDescent="0.25">
      <c r="A566" s="369"/>
      <c r="B566" s="369"/>
      <c r="C566" s="369"/>
      <c r="D566" s="369"/>
      <c r="E566" s="369"/>
      <c r="F566" s="452"/>
      <c r="G566" s="369"/>
      <c r="H566" s="369"/>
      <c r="I566" s="470"/>
      <c r="J566" s="369"/>
      <c r="K566" s="453"/>
      <c r="L566" s="454"/>
      <c r="M566" s="369"/>
      <c r="N566" s="369"/>
      <c r="O566" s="455"/>
    </row>
    <row r="567" spans="1:15" x14ac:dyDescent="0.25">
      <c r="A567" s="369"/>
      <c r="B567" s="369"/>
      <c r="C567" s="369"/>
      <c r="D567" s="369"/>
      <c r="E567" s="369"/>
      <c r="F567" s="452"/>
      <c r="G567" s="369"/>
      <c r="H567" s="369"/>
      <c r="I567" s="470"/>
      <c r="J567" s="369"/>
      <c r="K567" s="453"/>
      <c r="L567" s="454"/>
      <c r="M567" s="369"/>
      <c r="N567" s="369"/>
      <c r="O567" s="455"/>
    </row>
    <row r="568" spans="1:15" x14ac:dyDescent="0.25">
      <c r="A568" s="369"/>
      <c r="B568" s="369"/>
      <c r="C568" s="369"/>
      <c r="D568" s="369"/>
      <c r="E568" s="369"/>
      <c r="F568" s="452"/>
      <c r="G568" s="369"/>
      <c r="H568" s="369"/>
      <c r="I568" s="470"/>
      <c r="J568" s="369"/>
      <c r="K568" s="453"/>
      <c r="L568" s="454"/>
      <c r="M568" s="369"/>
      <c r="N568" s="369"/>
      <c r="O568" s="455"/>
    </row>
    <row r="569" spans="1:15" x14ac:dyDescent="0.25">
      <c r="A569" s="369"/>
      <c r="B569" s="369"/>
      <c r="C569" s="369"/>
      <c r="D569" s="369"/>
      <c r="E569" s="369"/>
      <c r="F569" s="452"/>
      <c r="G569" s="369"/>
      <c r="H569" s="369"/>
      <c r="I569" s="470"/>
      <c r="J569" s="369"/>
      <c r="K569" s="453"/>
      <c r="L569" s="454"/>
      <c r="M569" s="369"/>
      <c r="N569" s="369"/>
      <c r="O569" s="455"/>
    </row>
    <row r="570" spans="1:15" x14ac:dyDescent="0.25">
      <c r="A570" s="369"/>
      <c r="B570" s="369"/>
      <c r="C570" s="369"/>
      <c r="D570" s="369"/>
      <c r="E570" s="369"/>
      <c r="F570" s="452"/>
      <c r="G570" s="369"/>
      <c r="H570" s="369"/>
      <c r="I570" s="470"/>
      <c r="J570" s="369"/>
      <c r="K570" s="453"/>
      <c r="L570" s="454"/>
      <c r="M570" s="369"/>
      <c r="N570" s="369"/>
      <c r="O570" s="455"/>
    </row>
    <row r="571" spans="1:15" x14ac:dyDescent="0.25">
      <c r="A571" s="369"/>
      <c r="B571" s="369"/>
      <c r="C571" s="369"/>
      <c r="D571" s="369"/>
      <c r="E571" s="369"/>
      <c r="F571" s="452"/>
      <c r="G571" s="369"/>
      <c r="H571" s="369"/>
      <c r="I571" s="470"/>
      <c r="J571" s="369"/>
      <c r="K571" s="453"/>
      <c r="L571" s="454"/>
      <c r="M571" s="369"/>
      <c r="N571" s="369"/>
      <c r="O571" s="455"/>
    </row>
    <row r="572" spans="1:15" x14ac:dyDescent="0.25">
      <c r="A572" s="369"/>
      <c r="B572" s="369"/>
      <c r="C572" s="369"/>
      <c r="D572" s="369"/>
      <c r="E572" s="369"/>
      <c r="F572" s="452"/>
      <c r="G572" s="369"/>
      <c r="H572" s="369"/>
      <c r="I572" s="470"/>
      <c r="J572" s="369"/>
      <c r="K572" s="453"/>
      <c r="L572" s="454"/>
      <c r="M572" s="369"/>
      <c r="N572" s="369"/>
      <c r="O572" s="455"/>
    </row>
    <row r="573" spans="1:15" x14ac:dyDescent="0.25">
      <c r="A573" s="369"/>
      <c r="B573" s="369"/>
      <c r="C573" s="369"/>
      <c r="D573" s="369"/>
      <c r="E573" s="369"/>
      <c r="F573" s="452"/>
      <c r="G573" s="369"/>
      <c r="H573" s="369"/>
      <c r="I573" s="470"/>
      <c r="J573" s="369"/>
      <c r="K573" s="453"/>
      <c r="L573" s="454"/>
      <c r="M573" s="369"/>
      <c r="N573" s="369"/>
      <c r="O573" s="455"/>
    </row>
    <row r="574" spans="1:15" x14ac:dyDescent="0.25">
      <c r="A574" s="369"/>
      <c r="B574" s="369"/>
      <c r="C574" s="369"/>
      <c r="D574" s="369"/>
      <c r="E574" s="369"/>
      <c r="F574" s="452"/>
      <c r="G574" s="369"/>
      <c r="H574" s="369"/>
      <c r="I574" s="470"/>
      <c r="J574" s="369"/>
      <c r="K574" s="453"/>
      <c r="L574" s="454"/>
      <c r="M574" s="369"/>
      <c r="N574" s="369"/>
      <c r="O574" s="455"/>
    </row>
    <row r="575" spans="1:15" x14ac:dyDescent="0.25">
      <c r="A575" s="369"/>
      <c r="B575" s="369"/>
      <c r="C575" s="369"/>
      <c r="D575" s="369"/>
      <c r="E575" s="369"/>
      <c r="F575" s="452"/>
      <c r="G575" s="369"/>
      <c r="H575" s="369"/>
      <c r="I575" s="470"/>
      <c r="J575" s="369"/>
      <c r="K575" s="453"/>
      <c r="L575" s="454"/>
      <c r="M575" s="369"/>
      <c r="N575" s="369"/>
      <c r="O575" s="455"/>
    </row>
    <row r="576" spans="1:15" x14ac:dyDescent="0.25">
      <c r="A576" s="369"/>
      <c r="B576" s="369"/>
      <c r="C576" s="369"/>
      <c r="D576" s="369"/>
      <c r="E576" s="369"/>
      <c r="F576" s="452"/>
      <c r="G576" s="369"/>
      <c r="H576" s="369"/>
      <c r="I576" s="470"/>
      <c r="J576" s="369"/>
      <c r="K576" s="453"/>
      <c r="L576" s="454"/>
      <c r="M576" s="369"/>
      <c r="N576" s="369"/>
      <c r="O576" s="455"/>
    </row>
    <row r="577" spans="1:15" x14ac:dyDescent="0.25">
      <c r="A577" s="369"/>
      <c r="B577" s="369"/>
      <c r="C577" s="369"/>
      <c r="D577" s="369"/>
      <c r="E577" s="369"/>
      <c r="F577" s="452"/>
      <c r="G577" s="369"/>
      <c r="H577" s="369"/>
      <c r="I577" s="470"/>
      <c r="J577" s="369"/>
      <c r="K577" s="453"/>
      <c r="L577" s="454"/>
      <c r="M577" s="369"/>
      <c r="N577" s="369"/>
      <c r="O577" s="455"/>
    </row>
    <row r="578" spans="1:15" x14ac:dyDescent="0.25">
      <c r="A578" s="369"/>
      <c r="B578" s="369"/>
      <c r="C578" s="369"/>
      <c r="D578" s="369"/>
      <c r="E578" s="369"/>
      <c r="F578" s="452"/>
      <c r="G578" s="369"/>
      <c r="H578" s="369"/>
      <c r="I578" s="470"/>
      <c r="J578" s="369"/>
      <c r="K578" s="453"/>
      <c r="L578" s="454"/>
      <c r="M578" s="369"/>
      <c r="N578" s="369"/>
      <c r="O578" s="455"/>
    </row>
    <row r="579" spans="1:15" x14ac:dyDescent="0.25">
      <c r="A579" s="369"/>
      <c r="B579" s="369"/>
      <c r="C579" s="369"/>
      <c r="D579" s="369"/>
      <c r="E579" s="369"/>
      <c r="F579" s="452"/>
      <c r="G579" s="369"/>
      <c r="H579" s="369"/>
      <c r="I579" s="470"/>
      <c r="J579" s="369"/>
      <c r="K579" s="453"/>
      <c r="L579" s="454"/>
      <c r="M579" s="369"/>
      <c r="N579" s="369"/>
      <c r="O579" s="455"/>
    </row>
    <row r="580" spans="1:15" x14ac:dyDescent="0.25">
      <c r="A580" s="369"/>
      <c r="B580" s="369"/>
      <c r="C580" s="369"/>
      <c r="D580" s="369"/>
      <c r="E580" s="369"/>
      <c r="F580" s="452"/>
      <c r="G580" s="369"/>
      <c r="H580" s="369"/>
      <c r="I580" s="470"/>
      <c r="J580" s="369"/>
      <c r="K580" s="453"/>
      <c r="L580" s="454"/>
      <c r="M580" s="369"/>
      <c r="N580" s="369"/>
      <c r="O580" s="455"/>
    </row>
    <row r="581" spans="1:15" x14ac:dyDescent="0.25">
      <c r="A581" s="369"/>
      <c r="B581" s="369"/>
      <c r="C581" s="369"/>
      <c r="D581" s="369"/>
      <c r="E581" s="369"/>
      <c r="F581" s="452"/>
      <c r="G581" s="369"/>
      <c r="H581" s="369"/>
      <c r="I581" s="470"/>
      <c r="J581" s="369"/>
      <c r="K581" s="453"/>
      <c r="L581" s="454"/>
      <c r="M581" s="369"/>
      <c r="N581" s="369"/>
      <c r="O581" s="455"/>
    </row>
    <row r="582" spans="1:15" x14ac:dyDescent="0.25">
      <c r="A582" s="369"/>
      <c r="B582" s="369"/>
      <c r="C582" s="369"/>
      <c r="D582" s="369"/>
      <c r="E582" s="369"/>
      <c r="F582" s="452"/>
      <c r="G582" s="369"/>
      <c r="H582" s="369"/>
      <c r="I582" s="470"/>
      <c r="J582" s="369"/>
      <c r="K582" s="453"/>
      <c r="L582" s="454"/>
      <c r="M582" s="369"/>
      <c r="N582" s="369"/>
      <c r="O582" s="455"/>
    </row>
    <row r="583" spans="1:15" x14ac:dyDescent="0.25">
      <c r="A583" s="369"/>
      <c r="B583" s="369"/>
      <c r="C583" s="369"/>
      <c r="D583" s="369"/>
      <c r="E583" s="369"/>
      <c r="F583" s="452"/>
      <c r="G583" s="369"/>
      <c r="H583" s="369"/>
      <c r="I583" s="470"/>
      <c r="J583" s="369"/>
      <c r="K583" s="453"/>
      <c r="L583" s="454"/>
      <c r="M583" s="369"/>
      <c r="N583" s="369"/>
      <c r="O583" s="455"/>
    </row>
    <row r="584" spans="1:15" x14ac:dyDescent="0.25">
      <c r="A584" s="369"/>
      <c r="B584" s="369"/>
      <c r="C584" s="369"/>
      <c r="D584" s="369"/>
      <c r="E584" s="369"/>
      <c r="F584" s="452"/>
      <c r="G584" s="369"/>
      <c r="H584" s="369"/>
      <c r="I584" s="470"/>
      <c r="J584" s="369"/>
      <c r="K584" s="453"/>
      <c r="L584" s="454"/>
      <c r="M584" s="369"/>
      <c r="N584" s="369"/>
      <c r="O584" s="455"/>
    </row>
    <row r="585" spans="1:15" x14ac:dyDescent="0.25">
      <c r="A585" s="369"/>
      <c r="B585" s="369"/>
      <c r="C585" s="369"/>
      <c r="D585" s="369"/>
      <c r="E585" s="369"/>
      <c r="F585" s="452"/>
      <c r="G585" s="369"/>
      <c r="H585" s="369"/>
      <c r="I585" s="470"/>
      <c r="J585" s="369"/>
      <c r="K585" s="453"/>
      <c r="L585" s="454"/>
      <c r="M585" s="369"/>
      <c r="N585" s="369"/>
      <c r="O585" s="455"/>
    </row>
    <row r="586" spans="1:15" x14ac:dyDescent="0.25">
      <c r="A586" s="369"/>
      <c r="B586" s="369"/>
      <c r="C586" s="369"/>
      <c r="D586" s="369"/>
      <c r="E586" s="369"/>
      <c r="F586" s="452"/>
      <c r="G586" s="369"/>
      <c r="H586" s="369"/>
      <c r="I586" s="470"/>
      <c r="J586" s="369"/>
      <c r="K586" s="453"/>
      <c r="L586" s="454"/>
      <c r="M586" s="369"/>
      <c r="N586" s="369"/>
      <c r="O586" s="455"/>
    </row>
    <row r="587" spans="1:15" x14ac:dyDescent="0.25">
      <c r="A587" s="369"/>
      <c r="B587" s="369"/>
      <c r="C587" s="369"/>
      <c r="D587" s="369"/>
      <c r="E587" s="369"/>
      <c r="F587" s="452"/>
      <c r="G587" s="369"/>
      <c r="H587" s="369"/>
      <c r="I587" s="470"/>
      <c r="J587" s="369"/>
      <c r="K587" s="453"/>
      <c r="L587" s="454"/>
      <c r="M587" s="369"/>
      <c r="N587" s="369"/>
      <c r="O587" s="455"/>
    </row>
    <row r="588" spans="1:15" x14ac:dyDescent="0.25">
      <c r="A588" s="369"/>
      <c r="B588" s="369"/>
      <c r="C588" s="369"/>
      <c r="D588" s="369"/>
      <c r="E588" s="369"/>
      <c r="F588" s="452"/>
      <c r="G588" s="369"/>
      <c r="H588" s="369"/>
      <c r="I588" s="470"/>
      <c r="J588" s="369"/>
      <c r="K588" s="453"/>
      <c r="L588" s="454"/>
      <c r="M588" s="369"/>
      <c r="N588" s="369"/>
      <c r="O588" s="455"/>
    </row>
    <row r="589" spans="1:15" x14ac:dyDescent="0.25">
      <c r="A589" s="369"/>
      <c r="B589" s="369"/>
      <c r="C589" s="369"/>
      <c r="D589" s="369"/>
      <c r="E589" s="369"/>
      <c r="F589" s="452"/>
      <c r="G589" s="369"/>
      <c r="H589" s="369"/>
      <c r="I589" s="470"/>
      <c r="J589" s="369"/>
      <c r="K589" s="453"/>
      <c r="L589" s="454"/>
      <c r="M589" s="369"/>
      <c r="N589" s="369"/>
      <c r="O589" s="455"/>
    </row>
    <row r="590" spans="1:15" x14ac:dyDescent="0.25">
      <c r="A590" s="369"/>
      <c r="B590" s="369"/>
      <c r="C590" s="369"/>
      <c r="D590" s="369"/>
      <c r="E590" s="369"/>
      <c r="F590" s="452"/>
      <c r="G590" s="369"/>
      <c r="H590" s="369"/>
      <c r="I590" s="470"/>
      <c r="J590" s="369"/>
      <c r="K590" s="453"/>
      <c r="L590" s="454"/>
      <c r="M590" s="369"/>
      <c r="N590" s="369"/>
      <c r="O590" s="455"/>
    </row>
    <row r="591" spans="1:15" x14ac:dyDescent="0.25">
      <c r="A591" s="369"/>
      <c r="B591" s="369"/>
      <c r="C591" s="369"/>
      <c r="D591" s="369"/>
      <c r="E591" s="369"/>
      <c r="F591" s="452"/>
      <c r="G591" s="369"/>
      <c r="H591" s="369"/>
      <c r="I591" s="470"/>
      <c r="J591" s="369"/>
      <c r="K591" s="453"/>
      <c r="L591" s="454"/>
      <c r="M591" s="369"/>
      <c r="N591" s="369"/>
      <c r="O591" s="455"/>
    </row>
    <row r="592" spans="1:15" x14ac:dyDescent="0.25">
      <c r="A592" s="369"/>
      <c r="B592" s="369"/>
      <c r="C592" s="369"/>
      <c r="D592" s="369"/>
      <c r="E592" s="369"/>
      <c r="F592" s="452"/>
      <c r="G592" s="369"/>
      <c r="H592" s="369"/>
      <c r="I592" s="470"/>
      <c r="J592" s="369"/>
      <c r="K592" s="453"/>
      <c r="L592" s="454"/>
      <c r="M592" s="369"/>
      <c r="N592" s="369"/>
      <c r="O592" s="455"/>
    </row>
    <row r="593" spans="1:15" x14ac:dyDescent="0.25">
      <c r="A593" s="369"/>
      <c r="B593" s="369"/>
      <c r="C593" s="369"/>
      <c r="D593" s="369"/>
      <c r="E593" s="369"/>
      <c r="F593" s="452"/>
      <c r="G593" s="369"/>
      <c r="H593" s="369"/>
      <c r="I593" s="470"/>
      <c r="J593" s="369"/>
      <c r="K593" s="453"/>
      <c r="L593" s="454"/>
      <c r="M593" s="369"/>
      <c r="N593" s="369"/>
      <c r="O593" s="455"/>
    </row>
    <row r="594" spans="1:15" x14ac:dyDescent="0.25">
      <c r="A594" s="369"/>
      <c r="B594" s="369"/>
      <c r="C594" s="369"/>
      <c r="D594" s="369"/>
      <c r="E594" s="369"/>
      <c r="F594" s="452"/>
      <c r="G594" s="369"/>
      <c r="H594" s="369"/>
      <c r="I594" s="470"/>
      <c r="J594" s="369"/>
      <c r="K594" s="453"/>
      <c r="L594" s="454"/>
      <c r="M594" s="369"/>
      <c r="N594" s="369"/>
      <c r="O594" s="455"/>
    </row>
    <row r="595" spans="1:15" x14ac:dyDescent="0.25">
      <c r="A595" s="369"/>
      <c r="B595" s="369"/>
      <c r="C595" s="369"/>
      <c r="D595" s="369"/>
      <c r="E595" s="369"/>
      <c r="F595" s="452"/>
      <c r="G595" s="369"/>
      <c r="H595" s="369"/>
      <c r="I595" s="470"/>
      <c r="J595" s="369"/>
      <c r="K595" s="453"/>
      <c r="L595" s="454"/>
      <c r="M595" s="369"/>
      <c r="N595" s="369"/>
      <c r="O595" s="455"/>
    </row>
    <row r="596" spans="1:15" x14ac:dyDescent="0.25">
      <c r="A596" s="369"/>
      <c r="B596" s="369"/>
      <c r="C596" s="369"/>
      <c r="D596" s="369"/>
      <c r="E596" s="369"/>
      <c r="F596" s="452"/>
      <c r="G596" s="369"/>
      <c r="H596" s="369"/>
      <c r="I596" s="470"/>
      <c r="J596" s="369"/>
      <c r="K596" s="453"/>
      <c r="L596" s="454"/>
      <c r="M596" s="369"/>
      <c r="N596" s="369"/>
      <c r="O596" s="455"/>
    </row>
    <row r="597" spans="1:15" x14ac:dyDescent="0.25">
      <c r="A597" s="369"/>
      <c r="B597" s="369"/>
      <c r="C597" s="369"/>
      <c r="D597" s="369"/>
      <c r="E597" s="369"/>
      <c r="F597" s="452"/>
      <c r="G597" s="369"/>
      <c r="H597" s="369"/>
      <c r="I597" s="470"/>
      <c r="J597" s="369"/>
      <c r="K597" s="453"/>
      <c r="L597" s="454"/>
      <c r="M597" s="369"/>
      <c r="N597" s="369"/>
      <c r="O597" s="455"/>
    </row>
    <row r="598" spans="1:15" x14ac:dyDescent="0.25">
      <c r="A598" s="369"/>
      <c r="B598" s="369"/>
      <c r="C598" s="369"/>
      <c r="D598" s="369"/>
      <c r="E598" s="369"/>
      <c r="F598" s="452"/>
      <c r="G598" s="369"/>
      <c r="H598" s="369"/>
      <c r="I598" s="470"/>
      <c r="J598" s="369"/>
      <c r="K598" s="453"/>
      <c r="L598" s="454"/>
      <c r="M598" s="369"/>
      <c r="N598" s="369"/>
      <c r="O598" s="455"/>
    </row>
    <row r="599" spans="1:15" x14ac:dyDescent="0.25">
      <c r="A599" s="369"/>
      <c r="B599" s="369"/>
      <c r="C599" s="369"/>
      <c r="D599" s="369"/>
      <c r="E599" s="369"/>
      <c r="F599" s="452"/>
      <c r="G599" s="369"/>
      <c r="H599" s="369"/>
      <c r="I599" s="470"/>
      <c r="J599" s="369"/>
      <c r="K599" s="453"/>
      <c r="L599" s="454"/>
      <c r="M599" s="369"/>
      <c r="N599" s="369"/>
      <c r="O599" s="455"/>
    </row>
    <row r="600" spans="1:15" x14ac:dyDescent="0.25">
      <c r="A600" s="369"/>
      <c r="B600" s="369"/>
      <c r="C600" s="369"/>
      <c r="D600" s="369"/>
      <c r="E600" s="369"/>
      <c r="F600" s="452"/>
      <c r="G600" s="369"/>
      <c r="H600" s="369"/>
      <c r="I600" s="470"/>
      <c r="J600" s="369"/>
      <c r="K600" s="453"/>
      <c r="L600" s="454"/>
      <c r="M600" s="369"/>
      <c r="N600" s="369"/>
      <c r="O600" s="455"/>
    </row>
    <row r="601" spans="1:15" x14ac:dyDescent="0.25">
      <c r="A601" s="369"/>
      <c r="B601" s="369"/>
      <c r="C601" s="369"/>
      <c r="D601" s="369"/>
      <c r="E601" s="369"/>
      <c r="F601" s="452"/>
      <c r="G601" s="369"/>
      <c r="H601" s="369"/>
      <c r="I601" s="470"/>
      <c r="J601" s="369"/>
      <c r="K601" s="453"/>
      <c r="L601" s="454"/>
      <c r="M601" s="369"/>
      <c r="N601" s="369"/>
      <c r="O601" s="455"/>
    </row>
    <row r="602" spans="1:15" x14ac:dyDescent="0.25">
      <c r="A602" s="369"/>
      <c r="B602" s="369"/>
      <c r="C602" s="369"/>
      <c r="D602" s="369"/>
      <c r="E602" s="369"/>
      <c r="F602" s="452"/>
      <c r="G602" s="369"/>
      <c r="H602" s="369"/>
      <c r="I602" s="470"/>
      <c r="J602" s="369"/>
      <c r="K602" s="453"/>
      <c r="L602" s="454"/>
      <c r="M602" s="369"/>
      <c r="N602" s="369"/>
      <c r="O602" s="455"/>
    </row>
    <row r="603" spans="1:15" x14ac:dyDescent="0.25">
      <c r="A603" s="369"/>
      <c r="B603" s="369"/>
      <c r="C603" s="369"/>
      <c r="D603" s="369"/>
      <c r="E603" s="369"/>
      <c r="F603" s="452"/>
      <c r="G603" s="369"/>
      <c r="H603" s="369"/>
      <c r="I603" s="470"/>
      <c r="J603" s="369"/>
      <c r="K603" s="453"/>
      <c r="L603" s="454"/>
      <c r="M603" s="369"/>
      <c r="N603" s="369"/>
      <c r="O603" s="455"/>
    </row>
    <row r="604" spans="1:15" x14ac:dyDescent="0.25">
      <c r="A604" s="369"/>
      <c r="B604" s="369"/>
      <c r="C604" s="369"/>
      <c r="D604" s="369"/>
      <c r="E604" s="369"/>
      <c r="F604" s="452"/>
      <c r="G604" s="369"/>
      <c r="H604" s="369"/>
      <c r="I604" s="470"/>
      <c r="J604" s="369"/>
      <c r="K604" s="453"/>
      <c r="L604" s="454"/>
      <c r="M604" s="369"/>
      <c r="N604" s="369"/>
      <c r="O604" s="455"/>
    </row>
    <row r="605" spans="1:15" x14ac:dyDescent="0.25">
      <c r="A605" s="369"/>
      <c r="B605" s="369"/>
      <c r="C605" s="369"/>
      <c r="D605" s="369"/>
      <c r="E605" s="369"/>
      <c r="F605" s="452"/>
      <c r="G605" s="369"/>
      <c r="H605" s="369"/>
      <c r="I605" s="470"/>
      <c r="J605" s="369"/>
      <c r="K605" s="453"/>
      <c r="L605" s="454"/>
      <c r="M605" s="369"/>
      <c r="N605" s="369"/>
      <c r="O605" s="455"/>
    </row>
    <row r="606" spans="1:15" x14ac:dyDescent="0.25">
      <c r="A606" s="369"/>
      <c r="B606" s="369"/>
      <c r="C606" s="369"/>
      <c r="D606" s="369"/>
      <c r="E606" s="369"/>
      <c r="F606" s="452"/>
      <c r="G606" s="369"/>
      <c r="H606" s="369"/>
      <c r="I606" s="470"/>
      <c r="J606" s="369"/>
      <c r="K606" s="453"/>
      <c r="L606" s="454"/>
      <c r="M606" s="369"/>
      <c r="N606" s="369"/>
      <c r="O606" s="455"/>
    </row>
    <row r="607" spans="1:15" x14ac:dyDescent="0.25">
      <c r="A607" s="369"/>
      <c r="B607" s="369"/>
      <c r="C607" s="369"/>
      <c r="D607" s="369"/>
      <c r="E607" s="369"/>
      <c r="F607" s="452"/>
      <c r="G607" s="369"/>
      <c r="H607" s="369"/>
      <c r="I607" s="470"/>
      <c r="J607" s="369"/>
      <c r="K607" s="453"/>
      <c r="L607" s="454"/>
      <c r="M607" s="369"/>
      <c r="N607" s="369"/>
      <c r="O607" s="455"/>
    </row>
    <row r="608" spans="1:15" x14ac:dyDescent="0.25">
      <c r="A608" s="369"/>
      <c r="B608" s="369"/>
      <c r="C608" s="369"/>
      <c r="D608" s="369"/>
      <c r="E608" s="369"/>
      <c r="F608" s="452"/>
      <c r="G608" s="369"/>
      <c r="H608" s="369"/>
      <c r="I608" s="470"/>
      <c r="J608" s="369"/>
      <c r="K608" s="453"/>
      <c r="L608" s="454"/>
      <c r="M608" s="369"/>
      <c r="N608" s="369"/>
      <c r="O608" s="455"/>
    </row>
    <row r="609" spans="1:15" x14ac:dyDescent="0.25">
      <c r="A609" s="369"/>
      <c r="B609" s="369"/>
      <c r="C609" s="369"/>
      <c r="D609" s="369"/>
      <c r="E609" s="369"/>
      <c r="F609" s="452"/>
      <c r="G609" s="369"/>
      <c r="H609" s="369"/>
      <c r="I609" s="470"/>
      <c r="J609" s="369"/>
      <c r="K609" s="453"/>
      <c r="L609" s="454"/>
      <c r="M609" s="369"/>
      <c r="N609" s="369"/>
      <c r="O609" s="455"/>
    </row>
    <row r="610" spans="1:15" x14ac:dyDescent="0.25">
      <c r="A610" s="369"/>
      <c r="B610" s="369"/>
      <c r="C610" s="369"/>
      <c r="D610" s="369"/>
      <c r="E610" s="369"/>
      <c r="F610" s="452"/>
      <c r="G610" s="369"/>
      <c r="H610" s="369"/>
      <c r="I610" s="470"/>
      <c r="J610" s="369"/>
      <c r="K610" s="453"/>
      <c r="L610" s="454"/>
      <c r="M610" s="369"/>
      <c r="N610" s="369"/>
      <c r="O610" s="455"/>
    </row>
    <row r="611" spans="1:15" x14ac:dyDescent="0.25">
      <c r="A611" s="369"/>
      <c r="B611" s="369"/>
      <c r="C611" s="369"/>
      <c r="D611" s="369"/>
      <c r="E611" s="369"/>
      <c r="F611" s="452"/>
      <c r="G611" s="369"/>
      <c r="H611" s="369"/>
      <c r="I611" s="470"/>
      <c r="J611" s="369"/>
      <c r="K611" s="453"/>
      <c r="L611" s="454"/>
      <c r="M611" s="369"/>
      <c r="N611" s="369"/>
      <c r="O611" s="455"/>
    </row>
    <row r="612" spans="1:15" x14ac:dyDescent="0.25">
      <c r="A612" s="369"/>
      <c r="B612" s="369"/>
      <c r="C612" s="369"/>
      <c r="D612" s="369"/>
      <c r="E612" s="369"/>
      <c r="F612" s="452"/>
      <c r="G612" s="369"/>
      <c r="H612" s="369"/>
      <c r="I612" s="470"/>
      <c r="J612" s="369"/>
      <c r="K612" s="453"/>
      <c r="L612" s="454"/>
      <c r="M612" s="369"/>
      <c r="N612" s="369"/>
      <c r="O612" s="455"/>
    </row>
    <row r="613" spans="1:15" x14ac:dyDescent="0.25">
      <c r="A613" s="369"/>
      <c r="B613" s="369"/>
      <c r="C613" s="369"/>
      <c r="D613" s="369"/>
      <c r="E613" s="369"/>
      <c r="F613" s="452"/>
      <c r="G613" s="369"/>
      <c r="H613" s="369"/>
      <c r="I613" s="470"/>
      <c r="J613" s="369"/>
      <c r="K613" s="453"/>
      <c r="L613" s="454"/>
      <c r="M613" s="369"/>
      <c r="N613" s="369"/>
      <c r="O613" s="455"/>
    </row>
    <row r="614" spans="1:15" x14ac:dyDescent="0.25">
      <c r="A614" s="369"/>
      <c r="B614" s="369"/>
      <c r="C614" s="369"/>
      <c r="D614" s="369"/>
      <c r="E614" s="369"/>
      <c r="F614" s="452"/>
      <c r="G614" s="369"/>
      <c r="H614" s="369"/>
      <c r="I614" s="470"/>
      <c r="J614" s="369"/>
      <c r="K614" s="453"/>
      <c r="L614" s="454"/>
      <c r="M614" s="369"/>
      <c r="N614" s="369"/>
      <c r="O614" s="455"/>
    </row>
    <row r="615" spans="1:15" x14ac:dyDescent="0.25">
      <c r="A615" s="369"/>
      <c r="B615" s="369"/>
      <c r="C615" s="369"/>
      <c r="D615" s="369"/>
      <c r="E615" s="369"/>
      <c r="F615" s="452"/>
      <c r="G615" s="369"/>
      <c r="H615" s="369"/>
      <c r="I615" s="470"/>
      <c r="J615" s="369"/>
      <c r="K615" s="453"/>
      <c r="L615" s="454"/>
      <c r="M615" s="369"/>
      <c r="N615" s="369"/>
      <c r="O615" s="455"/>
    </row>
    <row r="616" spans="1:15" x14ac:dyDescent="0.25">
      <c r="A616" s="369"/>
      <c r="B616" s="369"/>
      <c r="C616" s="369"/>
      <c r="D616" s="369"/>
      <c r="E616" s="369"/>
      <c r="F616" s="452"/>
      <c r="G616" s="369"/>
      <c r="H616" s="369"/>
      <c r="I616" s="470"/>
      <c r="J616" s="369"/>
      <c r="K616" s="453"/>
      <c r="L616" s="454"/>
      <c r="M616" s="369"/>
      <c r="N616" s="369"/>
      <c r="O616" s="455"/>
    </row>
    <row r="617" spans="1:15" x14ac:dyDescent="0.25">
      <c r="A617" s="369"/>
      <c r="B617" s="369"/>
      <c r="C617" s="369"/>
      <c r="D617" s="369"/>
      <c r="E617" s="369"/>
      <c r="F617" s="452"/>
      <c r="G617" s="369"/>
      <c r="H617" s="369"/>
      <c r="I617" s="470"/>
      <c r="J617" s="369"/>
      <c r="K617" s="453"/>
      <c r="L617" s="454"/>
      <c r="M617" s="369"/>
      <c r="N617" s="369"/>
      <c r="O617" s="455"/>
    </row>
    <row r="618" spans="1:15" x14ac:dyDescent="0.25">
      <c r="A618" s="369"/>
      <c r="B618" s="369"/>
      <c r="C618" s="369"/>
      <c r="D618" s="369"/>
      <c r="E618" s="369"/>
      <c r="F618" s="452"/>
      <c r="G618" s="369"/>
      <c r="H618" s="369"/>
      <c r="I618" s="470"/>
      <c r="J618" s="369"/>
      <c r="K618" s="453"/>
      <c r="L618" s="454"/>
      <c r="M618" s="369"/>
      <c r="N618" s="369"/>
      <c r="O618" s="455"/>
    </row>
    <row r="619" spans="1:15" x14ac:dyDescent="0.25">
      <c r="A619" s="369"/>
      <c r="B619" s="369"/>
      <c r="C619" s="369"/>
      <c r="D619" s="369"/>
      <c r="E619" s="369"/>
      <c r="F619" s="452"/>
      <c r="G619" s="369"/>
      <c r="H619" s="369"/>
      <c r="I619" s="470"/>
      <c r="J619" s="369"/>
      <c r="K619" s="453"/>
      <c r="L619" s="454"/>
      <c r="M619" s="369"/>
      <c r="N619" s="369"/>
      <c r="O619" s="455"/>
    </row>
    <row r="620" spans="1:15" x14ac:dyDescent="0.25">
      <c r="A620" s="369"/>
      <c r="B620" s="369"/>
      <c r="C620" s="369"/>
      <c r="D620" s="369"/>
      <c r="E620" s="369"/>
      <c r="F620" s="452"/>
      <c r="G620" s="369"/>
      <c r="H620" s="369"/>
      <c r="I620" s="470"/>
      <c r="J620" s="369"/>
      <c r="K620" s="453"/>
      <c r="L620" s="454"/>
      <c r="M620" s="369"/>
      <c r="N620" s="369"/>
      <c r="O620" s="455"/>
    </row>
    <row r="621" spans="1:15" x14ac:dyDescent="0.25">
      <c r="A621" s="369"/>
      <c r="B621" s="369"/>
      <c r="C621" s="369"/>
      <c r="D621" s="369"/>
      <c r="E621" s="369"/>
      <c r="F621" s="452"/>
      <c r="G621" s="369"/>
      <c r="H621" s="369"/>
      <c r="I621" s="470"/>
      <c r="J621" s="369"/>
      <c r="K621" s="453"/>
      <c r="L621" s="454"/>
      <c r="M621" s="369"/>
      <c r="N621" s="369"/>
      <c r="O621" s="455"/>
    </row>
    <row r="622" spans="1:15" x14ac:dyDescent="0.25">
      <c r="A622" s="369"/>
      <c r="B622" s="369"/>
      <c r="C622" s="369"/>
      <c r="D622" s="369"/>
      <c r="E622" s="369"/>
      <c r="F622" s="452"/>
      <c r="G622" s="369"/>
      <c r="H622" s="369"/>
      <c r="I622" s="470"/>
      <c r="J622" s="369"/>
      <c r="K622" s="453"/>
      <c r="L622" s="454"/>
      <c r="M622" s="369"/>
      <c r="N622" s="369"/>
      <c r="O622" s="455"/>
    </row>
    <row r="623" spans="1:15" x14ac:dyDescent="0.25">
      <c r="A623" s="369"/>
      <c r="B623" s="369"/>
      <c r="C623" s="369"/>
      <c r="D623" s="369"/>
      <c r="E623" s="369"/>
      <c r="F623" s="452"/>
      <c r="G623" s="369"/>
      <c r="H623" s="369"/>
      <c r="I623" s="470"/>
      <c r="J623" s="369"/>
      <c r="K623" s="453"/>
      <c r="L623" s="454"/>
      <c r="M623" s="369"/>
      <c r="N623" s="369"/>
      <c r="O623" s="455"/>
    </row>
    <row r="624" spans="1:15" x14ac:dyDescent="0.25">
      <c r="A624" s="369"/>
      <c r="B624" s="369"/>
      <c r="C624" s="369"/>
      <c r="D624" s="369"/>
      <c r="E624" s="369"/>
      <c r="F624" s="452"/>
      <c r="G624" s="369"/>
      <c r="H624" s="369"/>
      <c r="I624" s="470"/>
      <c r="J624" s="369"/>
      <c r="K624" s="453"/>
      <c r="L624" s="454"/>
      <c r="M624" s="369"/>
      <c r="N624" s="369"/>
      <c r="O624" s="455"/>
    </row>
    <row r="625" spans="1:15" x14ac:dyDescent="0.25">
      <c r="A625" s="369"/>
      <c r="B625" s="369"/>
      <c r="C625" s="369"/>
      <c r="D625" s="369"/>
      <c r="E625" s="369"/>
      <c r="F625" s="452"/>
      <c r="G625" s="369"/>
      <c r="H625" s="369"/>
      <c r="I625" s="470"/>
      <c r="J625" s="369"/>
      <c r="K625" s="453"/>
      <c r="L625" s="454"/>
      <c r="M625" s="369"/>
      <c r="N625" s="369"/>
      <c r="O625" s="455"/>
    </row>
    <row r="626" spans="1:15" x14ac:dyDescent="0.25">
      <c r="A626" s="369"/>
      <c r="B626" s="369"/>
      <c r="C626" s="369"/>
      <c r="D626" s="369"/>
      <c r="E626" s="369"/>
      <c r="F626" s="452"/>
      <c r="G626" s="369"/>
      <c r="H626" s="369"/>
      <c r="I626" s="470"/>
      <c r="J626" s="369"/>
      <c r="K626" s="453"/>
      <c r="L626" s="454"/>
      <c r="M626" s="369"/>
      <c r="N626" s="369"/>
      <c r="O626" s="455"/>
    </row>
    <row r="627" spans="1:15" x14ac:dyDescent="0.25">
      <c r="A627" s="369"/>
      <c r="B627" s="369"/>
      <c r="C627" s="369"/>
      <c r="D627" s="369"/>
      <c r="E627" s="369"/>
      <c r="F627" s="452"/>
      <c r="G627" s="369"/>
      <c r="H627" s="369"/>
      <c r="I627" s="470"/>
      <c r="J627" s="369"/>
      <c r="K627" s="453"/>
      <c r="L627" s="454"/>
      <c r="M627" s="369"/>
      <c r="N627" s="369"/>
      <c r="O627" s="455"/>
    </row>
    <row r="628" spans="1:15" x14ac:dyDescent="0.25">
      <c r="A628" s="369"/>
      <c r="B628" s="369"/>
      <c r="C628" s="369"/>
      <c r="D628" s="369"/>
      <c r="E628" s="369"/>
      <c r="F628" s="452"/>
      <c r="G628" s="369"/>
      <c r="H628" s="369"/>
      <c r="I628" s="470"/>
      <c r="J628" s="369"/>
      <c r="K628" s="453"/>
      <c r="L628" s="454"/>
      <c r="M628" s="369"/>
      <c r="N628" s="369"/>
      <c r="O628" s="455"/>
    </row>
    <row r="629" spans="1:15" x14ac:dyDescent="0.25">
      <c r="A629" s="369"/>
      <c r="B629" s="369"/>
      <c r="C629" s="369"/>
      <c r="D629" s="369"/>
      <c r="E629" s="369"/>
      <c r="F629" s="452"/>
      <c r="G629" s="369"/>
      <c r="H629" s="369"/>
      <c r="I629" s="470"/>
      <c r="J629" s="369"/>
      <c r="K629" s="453"/>
      <c r="L629" s="454"/>
      <c r="M629" s="369"/>
      <c r="N629" s="369"/>
      <c r="O629" s="455"/>
    </row>
    <row r="630" spans="1:15" x14ac:dyDescent="0.25">
      <c r="A630" s="369"/>
      <c r="B630" s="369"/>
      <c r="C630" s="369"/>
      <c r="D630" s="369"/>
      <c r="E630" s="369"/>
      <c r="F630" s="452"/>
      <c r="G630" s="369"/>
      <c r="H630" s="369"/>
      <c r="I630" s="470"/>
      <c r="J630" s="369"/>
      <c r="K630" s="453"/>
      <c r="L630" s="454"/>
      <c r="M630" s="369"/>
      <c r="N630" s="369"/>
      <c r="O630" s="455"/>
    </row>
    <row r="631" spans="1:15" x14ac:dyDescent="0.25">
      <c r="A631" s="369"/>
      <c r="B631" s="369"/>
      <c r="C631" s="369"/>
      <c r="D631" s="369"/>
      <c r="E631" s="369"/>
      <c r="F631" s="452"/>
      <c r="G631" s="369"/>
      <c r="H631" s="369"/>
      <c r="I631" s="470"/>
      <c r="J631" s="369"/>
      <c r="K631" s="453"/>
      <c r="L631" s="454"/>
      <c r="M631" s="369"/>
      <c r="N631" s="369"/>
      <c r="O631" s="455"/>
    </row>
    <row r="632" spans="1:15" x14ac:dyDescent="0.25">
      <c r="A632" s="369"/>
      <c r="B632" s="369"/>
      <c r="C632" s="369"/>
      <c r="D632" s="369"/>
      <c r="E632" s="369"/>
      <c r="F632" s="452"/>
      <c r="G632" s="369"/>
      <c r="H632" s="369"/>
      <c r="I632" s="470"/>
      <c r="J632" s="369"/>
      <c r="K632" s="453"/>
      <c r="L632" s="454"/>
      <c r="M632" s="369"/>
      <c r="N632" s="369"/>
      <c r="O632" s="455"/>
    </row>
    <row r="633" spans="1:15" x14ac:dyDescent="0.25">
      <c r="A633" s="369"/>
      <c r="B633" s="369"/>
      <c r="C633" s="369"/>
      <c r="D633" s="369"/>
      <c r="E633" s="369"/>
      <c r="F633" s="452"/>
      <c r="G633" s="369"/>
      <c r="H633" s="369"/>
      <c r="I633" s="470"/>
      <c r="J633" s="369"/>
      <c r="K633" s="453"/>
      <c r="L633" s="454"/>
      <c r="M633" s="369"/>
      <c r="N633" s="369"/>
      <c r="O633" s="455"/>
    </row>
    <row r="634" spans="1:15" x14ac:dyDescent="0.25">
      <c r="A634" s="369"/>
      <c r="B634" s="369"/>
      <c r="C634" s="369"/>
      <c r="D634" s="369"/>
      <c r="E634" s="369"/>
      <c r="F634" s="452"/>
      <c r="G634" s="369"/>
      <c r="H634" s="369"/>
      <c r="I634" s="470"/>
      <c r="J634" s="369"/>
      <c r="K634" s="453"/>
      <c r="L634" s="454"/>
      <c r="M634" s="369"/>
      <c r="N634" s="369"/>
      <c r="O634" s="455"/>
    </row>
    <row r="635" spans="1:15" x14ac:dyDescent="0.25">
      <c r="A635" s="369"/>
      <c r="B635" s="369"/>
      <c r="C635" s="369"/>
      <c r="D635" s="369"/>
      <c r="E635" s="369"/>
      <c r="F635" s="452"/>
      <c r="G635" s="369"/>
      <c r="H635" s="369"/>
      <c r="I635" s="470"/>
      <c r="J635" s="369"/>
      <c r="K635" s="453"/>
      <c r="L635" s="454"/>
      <c r="M635" s="369"/>
      <c r="N635" s="369"/>
      <c r="O635" s="455"/>
    </row>
    <row r="636" spans="1:15" x14ac:dyDescent="0.25">
      <c r="A636" s="369"/>
      <c r="B636" s="369"/>
      <c r="C636" s="369"/>
      <c r="D636" s="369"/>
      <c r="E636" s="369"/>
      <c r="F636" s="452"/>
      <c r="G636" s="369"/>
      <c r="H636" s="369"/>
      <c r="I636" s="470"/>
      <c r="J636" s="369"/>
      <c r="K636" s="453"/>
      <c r="L636" s="454"/>
      <c r="M636" s="369"/>
      <c r="N636" s="369"/>
      <c r="O636" s="455"/>
    </row>
    <row r="637" spans="1:15" x14ac:dyDescent="0.25">
      <c r="A637" s="369"/>
      <c r="B637" s="369"/>
      <c r="C637" s="369"/>
      <c r="D637" s="369"/>
      <c r="E637" s="369"/>
      <c r="F637" s="452"/>
      <c r="G637" s="369"/>
      <c r="H637" s="369"/>
      <c r="I637" s="470"/>
      <c r="J637" s="369"/>
      <c r="K637" s="453"/>
      <c r="L637" s="454"/>
      <c r="M637" s="369"/>
      <c r="N637" s="369"/>
      <c r="O637" s="455"/>
    </row>
    <row r="638" spans="1:15" x14ac:dyDescent="0.25">
      <c r="A638" s="369"/>
      <c r="B638" s="369"/>
      <c r="C638" s="369"/>
      <c r="D638" s="369"/>
      <c r="E638" s="369"/>
      <c r="F638" s="452"/>
      <c r="G638" s="369"/>
      <c r="H638" s="369"/>
      <c r="I638" s="470"/>
      <c r="J638" s="369"/>
      <c r="K638" s="453"/>
      <c r="L638" s="454"/>
      <c r="M638" s="369"/>
      <c r="N638" s="369"/>
      <c r="O638" s="455"/>
    </row>
    <row r="639" spans="1:15" x14ac:dyDescent="0.25">
      <c r="A639" s="369"/>
      <c r="B639" s="369"/>
      <c r="C639" s="369"/>
      <c r="D639" s="369"/>
      <c r="E639" s="369"/>
      <c r="F639" s="452"/>
      <c r="G639" s="369"/>
      <c r="H639" s="369"/>
      <c r="I639" s="470"/>
      <c r="J639" s="369"/>
      <c r="K639" s="453"/>
      <c r="L639" s="454"/>
      <c r="M639" s="369"/>
      <c r="N639" s="369"/>
      <c r="O639" s="455"/>
    </row>
    <row r="640" spans="1:15" x14ac:dyDescent="0.25">
      <c r="A640" s="369"/>
      <c r="B640" s="369"/>
      <c r="C640" s="369"/>
      <c r="D640" s="369"/>
      <c r="E640" s="369"/>
      <c r="F640" s="452"/>
      <c r="G640" s="369"/>
      <c r="H640" s="369"/>
      <c r="I640" s="470"/>
      <c r="J640" s="369"/>
      <c r="K640" s="453"/>
      <c r="L640" s="454"/>
      <c r="M640" s="369"/>
      <c r="N640" s="369"/>
      <c r="O640" s="455"/>
    </row>
    <row r="641" spans="1:15" x14ac:dyDescent="0.25">
      <c r="A641" s="369"/>
      <c r="B641" s="369"/>
      <c r="C641" s="369"/>
      <c r="D641" s="369"/>
      <c r="E641" s="369"/>
      <c r="F641" s="452"/>
      <c r="G641" s="369"/>
      <c r="H641" s="369"/>
      <c r="I641" s="470"/>
      <c r="J641" s="369"/>
      <c r="K641" s="453"/>
      <c r="L641" s="454"/>
      <c r="M641" s="369"/>
      <c r="N641" s="369"/>
      <c r="O641" s="455"/>
    </row>
    <row r="642" spans="1:15" x14ac:dyDescent="0.25">
      <c r="A642" s="369"/>
      <c r="B642" s="369"/>
      <c r="C642" s="369"/>
      <c r="D642" s="369"/>
      <c r="E642" s="369"/>
      <c r="F642" s="452"/>
      <c r="G642" s="369"/>
      <c r="H642" s="369"/>
      <c r="I642" s="470"/>
      <c r="J642" s="369"/>
      <c r="K642" s="453"/>
      <c r="L642" s="454"/>
      <c r="M642" s="369"/>
      <c r="N642" s="369"/>
      <c r="O642" s="455"/>
    </row>
    <row r="643" spans="1:15" x14ac:dyDescent="0.25">
      <c r="A643" s="369"/>
      <c r="B643" s="369"/>
      <c r="C643" s="369"/>
      <c r="D643" s="369"/>
      <c r="E643" s="369"/>
      <c r="F643" s="452"/>
      <c r="G643" s="369"/>
      <c r="H643" s="369"/>
      <c r="I643" s="470"/>
      <c r="J643" s="369"/>
      <c r="K643" s="453"/>
      <c r="L643" s="454"/>
      <c r="M643" s="369"/>
      <c r="N643" s="369"/>
      <c r="O643" s="455"/>
    </row>
    <row r="644" spans="1:15" x14ac:dyDescent="0.25">
      <c r="A644" s="369"/>
      <c r="B644" s="369"/>
      <c r="C644" s="369"/>
      <c r="D644" s="369"/>
      <c r="E644" s="369"/>
      <c r="F644" s="452"/>
      <c r="G644" s="369"/>
      <c r="H644" s="369"/>
      <c r="I644" s="470"/>
      <c r="J644" s="369"/>
      <c r="K644" s="453"/>
      <c r="L644" s="454"/>
      <c r="M644" s="369"/>
      <c r="N644" s="369"/>
      <c r="O644" s="455"/>
    </row>
    <row r="645" spans="1:15" x14ac:dyDescent="0.25">
      <c r="A645" s="369"/>
      <c r="B645" s="369"/>
      <c r="C645" s="369"/>
      <c r="D645" s="369"/>
      <c r="E645" s="369"/>
      <c r="F645" s="452"/>
      <c r="G645" s="369"/>
      <c r="H645" s="369"/>
      <c r="I645" s="470"/>
      <c r="J645" s="369"/>
      <c r="K645" s="453"/>
      <c r="L645" s="454"/>
      <c r="M645" s="369"/>
      <c r="N645" s="369"/>
      <c r="O645" s="455"/>
    </row>
    <row r="646" spans="1:15" x14ac:dyDescent="0.25">
      <c r="A646" s="369"/>
      <c r="B646" s="369"/>
      <c r="C646" s="369"/>
      <c r="D646" s="369"/>
      <c r="E646" s="369"/>
      <c r="F646" s="452"/>
      <c r="G646" s="369"/>
      <c r="H646" s="369"/>
      <c r="I646" s="470"/>
      <c r="J646" s="369"/>
      <c r="K646" s="453"/>
      <c r="L646" s="454"/>
      <c r="M646" s="369"/>
      <c r="N646" s="369"/>
      <c r="O646" s="455"/>
    </row>
    <row r="647" spans="1:15" x14ac:dyDescent="0.25">
      <c r="A647" s="369"/>
      <c r="B647" s="369"/>
      <c r="C647" s="369"/>
      <c r="D647" s="369"/>
      <c r="E647" s="369"/>
      <c r="F647" s="452"/>
      <c r="G647" s="369"/>
      <c r="H647" s="369"/>
      <c r="I647" s="470"/>
      <c r="J647" s="369"/>
      <c r="K647" s="453"/>
      <c r="L647" s="454"/>
      <c r="M647" s="369"/>
      <c r="N647" s="369"/>
      <c r="O647" s="455"/>
    </row>
    <row r="648" spans="1:15" x14ac:dyDescent="0.25">
      <c r="A648" s="369"/>
      <c r="B648" s="369"/>
      <c r="C648" s="369"/>
      <c r="D648" s="369"/>
      <c r="E648" s="369"/>
      <c r="F648" s="452"/>
      <c r="G648" s="369"/>
      <c r="H648" s="369"/>
      <c r="I648" s="470"/>
      <c r="J648" s="369"/>
      <c r="K648" s="453"/>
      <c r="L648" s="454"/>
      <c r="M648" s="369"/>
      <c r="N648" s="369"/>
      <c r="O648" s="455"/>
    </row>
    <row r="649" spans="1:15" x14ac:dyDescent="0.25">
      <c r="A649" s="369"/>
      <c r="B649" s="369"/>
      <c r="C649" s="369"/>
      <c r="D649" s="369"/>
      <c r="E649" s="369"/>
      <c r="F649" s="452"/>
      <c r="G649" s="369"/>
      <c r="H649" s="369"/>
      <c r="I649" s="470"/>
      <c r="J649" s="369"/>
      <c r="K649" s="453"/>
      <c r="L649" s="454"/>
      <c r="M649" s="369"/>
      <c r="N649" s="369"/>
      <c r="O649" s="455"/>
    </row>
    <row r="650" spans="1:15" x14ac:dyDescent="0.25">
      <c r="A650" s="369"/>
      <c r="B650" s="369"/>
      <c r="C650" s="369"/>
      <c r="D650" s="369"/>
      <c r="E650" s="369"/>
      <c r="F650" s="452"/>
      <c r="G650" s="369"/>
      <c r="H650" s="369"/>
      <c r="I650" s="470"/>
      <c r="J650" s="369"/>
      <c r="K650" s="453"/>
      <c r="L650" s="454"/>
      <c r="M650" s="369"/>
      <c r="N650" s="369"/>
      <c r="O650" s="455"/>
    </row>
    <row r="651" spans="1:15" x14ac:dyDescent="0.25">
      <c r="A651" s="369"/>
      <c r="B651" s="369"/>
      <c r="C651" s="369"/>
      <c r="D651" s="369"/>
      <c r="E651" s="369"/>
      <c r="F651" s="452"/>
      <c r="G651" s="369"/>
      <c r="H651" s="369"/>
      <c r="I651" s="470"/>
      <c r="J651" s="369"/>
      <c r="K651" s="453"/>
      <c r="L651" s="454"/>
      <c r="M651" s="369"/>
      <c r="N651" s="369"/>
      <c r="O651" s="455"/>
    </row>
    <row r="652" spans="1:15" x14ac:dyDescent="0.25">
      <c r="A652" s="369"/>
      <c r="B652" s="369"/>
      <c r="C652" s="369"/>
      <c r="D652" s="369"/>
      <c r="E652" s="369"/>
      <c r="F652" s="452"/>
      <c r="G652" s="369"/>
      <c r="H652" s="369"/>
      <c r="I652" s="470"/>
      <c r="J652" s="369"/>
      <c r="K652" s="453"/>
      <c r="L652" s="454"/>
      <c r="M652" s="369"/>
      <c r="N652" s="369"/>
      <c r="O652" s="455"/>
    </row>
    <row r="653" spans="1:15" x14ac:dyDescent="0.25">
      <c r="A653" s="369"/>
      <c r="B653" s="369"/>
      <c r="C653" s="369"/>
      <c r="D653" s="369"/>
      <c r="E653" s="369"/>
      <c r="F653" s="452"/>
      <c r="G653" s="369"/>
      <c r="H653" s="369"/>
      <c r="I653" s="470"/>
      <c r="J653" s="369"/>
      <c r="K653" s="453"/>
      <c r="L653" s="454"/>
      <c r="M653" s="369"/>
      <c r="N653" s="369"/>
      <c r="O653" s="455"/>
    </row>
    <row r="654" spans="1:15" x14ac:dyDescent="0.25">
      <c r="A654" s="369"/>
      <c r="B654" s="369"/>
      <c r="C654" s="369"/>
      <c r="D654" s="369"/>
      <c r="E654" s="369"/>
      <c r="F654" s="452"/>
      <c r="G654" s="369"/>
      <c r="H654" s="369"/>
      <c r="I654" s="470"/>
      <c r="J654" s="369"/>
      <c r="K654" s="453"/>
      <c r="L654" s="454"/>
      <c r="M654" s="369"/>
      <c r="N654" s="369"/>
      <c r="O654" s="455"/>
    </row>
    <row r="655" spans="1:15" x14ac:dyDescent="0.25">
      <c r="A655" s="369"/>
      <c r="B655" s="369"/>
      <c r="C655" s="369"/>
      <c r="D655" s="369"/>
      <c r="E655" s="369"/>
      <c r="F655" s="452"/>
      <c r="G655" s="369"/>
      <c r="H655" s="369"/>
      <c r="I655" s="470"/>
      <c r="J655" s="369"/>
      <c r="K655" s="453"/>
      <c r="L655" s="454"/>
      <c r="M655" s="369"/>
      <c r="N655" s="369"/>
      <c r="O655" s="455"/>
    </row>
    <row r="656" spans="1:15" x14ac:dyDescent="0.25">
      <c r="A656" s="369"/>
      <c r="B656" s="369"/>
      <c r="C656" s="369"/>
      <c r="D656" s="369"/>
      <c r="E656" s="369"/>
      <c r="F656" s="452"/>
      <c r="G656" s="369"/>
      <c r="H656" s="369"/>
      <c r="I656" s="470"/>
      <c r="J656" s="369"/>
      <c r="K656" s="453"/>
      <c r="L656" s="454"/>
      <c r="M656" s="369"/>
      <c r="N656" s="369"/>
      <c r="O656" s="455"/>
    </row>
    <row r="657" spans="1:15" x14ac:dyDescent="0.25">
      <c r="A657" s="369"/>
      <c r="B657" s="369"/>
      <c r="C657" s="369"/>
      <c r="D657" s="369"/>
      <c r="E657" s="369"/>
      <c r="F657" s="452"/>
      <c r="G657" s="369"/>
      <c r="H657" s="369"/>
      <c r="I657" s="470"/>
      <c r="J657" s="369"/>
      <c r="K657" s="453"/>
      <c r="L657" s="454"/>
      <c r="M657" s="369"/>
      <c r="N657" s="369"/>
      <c r="O657" s="455"/>
    </row>
    <row r="658" spans="1:15" x14ac:dyDescent="0.25">
      <c r="A658" s="369"/>
      <c r="B658" s="369"/>
      <c r="C658" s="369"/>
      <c r="D658" s="369"/>
      <c r="E658" s="369"/>
      <c r="F658" s="452"/>
      <c r="G658" s="369"/>
      <c r="H658" s="369"/>
      <c r="I658" s="470"/>
      <c r="J658" s="369"/>
      <c r="K658" s="453"/>
      <c r="L658" s="454"/>
      <c r="M658" s="369"/>
      <c r="N658" s="369"/>
      <c r="O658" s="455"/>
    </row>
    <row r="659" spans="1:15" x14ac:dyDescent="0.25">
      <c r="A659" s="369"/>
      <c r="B659" s="369"/>
      <c r="C659" s="369"/>
      <c r="D659" s="369"/>
      <c r="E659" s="369"/>
      <c r="F659" s="452"/>
      <c r="G659" s="369"/>
      <c r="H659" s="369"/>
      <c r="I659" s="470"/>
      <c r="J659" s="369"/>
      <c r="K659" s="453"/>
      <c r="L659" s="454"/>
      <c r="M659" s="369"/>
      <c r="N659" s="369"/>
      <c r="O659" s="455"/>
    </row>
    <row r="660" spans="1:15" x14ac:dyDescent="0.25">
      <c r="A660" s="369"/>
      <c r="B660" s="369"/>
      <c r="C660" s="369"/>
      <c r="D660" s="369"/>
      <c r="E660" s="369"/>
      <c r="F660" s="452"/>
      <c r="G660" s="369"/>
      <c r="H660" s="369"/>
      <c r="I660" s="470"/>
      <c r="J660" s="369"/>
      <c r="K660" s="453"/>
      <c r="L660" s="454"/>
      <c r="M660" s="369"/>
      <c r="N660" s="369"/>
      <c r="O660" s="455"/>
    </row>
    <row r="661" spans="1:15" x14ac:dyDescent="0.25">
      <c r="A661" s="369"/>
      <c r="B661" s="369"/>
      <c r="C661" s="369"/>
      <c r="D661" s="369"/>
      <c r="E661" s="369"/>
      <c r="F661" s="452"/>
      <c r="G661" s="369"/>
      <c r="H661" s="369"/>
      <c r="I661" s="470"/>
      <c r="J661" s="369"/>
      <c r="K661" s="453"/>
      <c r="L661" s="454"/>
      <c r="M661" s="369"/>
      <c r="N661" s="369"/>
      <c r="O661" s="455"/>
    </row>
    <row r="662" spans="1:15" x14ac:dyDescent="0.25">
      <c r="A662" s="369"/>
      <c r="B662" s="369"/>
      <c r="C662" s="369"/>
      <c r="D662" s="369"/>
      <c r="E662" s="369"/>
      <c r="F662" s="452"/>
      <c r="G662" s="369"/>
      <c r="H662" s="369"/>
      <c r="I662" s="470"/>
      <c r="J662" s="369"/>
      <c r="K662" s="453"/>
      <c r="L662" s="454"/>
      <c r="M662" s="369"/>
      <c r="N662" s="369"/>
      <c r="O662" s="455"/>
    </row>
    <row r="663" spans="1:15" x14ac:dyDescent="0.25">
      <c r="A663" s="369"/>
      <c r="B663" s="369"/>
      <c r="C663" s="369"/>
      <c r="D663" s="369"/>
      <c r="E663" s="369"/>
      <c r="F663" s="452"/>
      <c r="G663" s="369"/>
      <c r="H663" s="369"/>
      <c r="I663" s="470"/>
      <c r="J663" s="369"/>
      <c r="K663" s="453"/>
      <c r="L663" s="454"/>
      <c r="M663" s="369"/>
      <c r="N663" s="369"/>
      <c r="O663" s="455"/>
    </row>
    <row r="664" spans="1:15" x14ac:dyDescent="0.25">
      <c r="A664" s="369"/>
      <c r="B664" s="369"/>
      <c r="C664" s="369"/>
      <c r="D664" s="369"/>
      <c r="E664" s="369"/>
      <c r="F664" s="452"/>
      <c r="G664" s="369"/>
      <c r="H664" s="369"/>
      <c r="I664" s="470"/>
      <c r="J664" s="369"/>
      <c r="K664" s="453"/>
      <c r="L664" s="454"/>
      <c r="M664" s="369"/>
      <c r="N664" s="369"/>
      <c r="O664" s="455"/>
    </row>
    <row r="665" spans="1:15" x14ac:dyDescent="0.25">
      <c r="A665" s="369"/>
      <c r="B665" s="369"/>
      <c r="C665" s="369"/>
      <c r="D665" s="369"/>
      <c r="E665" s="369"/>
      <c r="F665" s="452"/>
      <c r="G665" s="369"/>
      <c r="H665" s="369"/>
      <c r="I665" s="470"/>
      <c r="J665" s="369"/>
      <c r="K665" s="453"/>
      <c r="L665" s="454"/>
      <c r="M665" s="369"/>
      <c r="N665" s="369"/>
      <c r="O665" s="455"/>
    </row>
    <row r="666" spans="1:15" x14ac:dyDescent="0.25">
      <c r="A666" s="369"/>
      <c r="B666" s="369"/>
      <c r="C666" s="369"/>
      <c r="D666" s="369"/>
      <c r="E666" s="369"/>
      <c r="F666" s="452"/>
      <c r="G666" s="369"/>
      <c r="H666" s="369"/>
      <c r="I666" s="470"/>
      <c r="J666" s="369"/>
      <c r="K666" s="453"/>
      <c r="L666" s="454"/>
      <c r="M666" s="369"/>
      <c r="N666" s="369"/>
      <c r="O666" s="455"/>
    </row>
    <row r="667" spans="1:15" x14ac:dyDescent="0.25">
      <c r="A667" s="369"/>
      <c r="B667" s="369"/>
      <c r="C667" s="369"/>
      <c r="D667" s="369"/>
      <c r="E667" s="369"/>
      <c r="F667" s="452"/>
      <c r="G667" s="369"/>
      <c r="H667" s="369"/>
      <c r="I667" s="470"/>
      <c r="J667" s="369"/>
      <c r="K667" s="453"/>
      <c r="L667" s="454"/>
      <c r="M667" s="369"/>
      <c r="N667" s="369"/>
      <c r="O667" s="455"/>
    </row>
    <row r="668" spans="1:15" x14ac:dyDescent="0.25">
      <c r="A668" s="369"/>
      <c r="B668" s="369"/>
      <c r="C668" s="369"/>
      <c r="D668" s="369"/>
      <c r="E668" s="369"/>
      <c r="F668" s="452"/>
      <c r="G668" s="369"/>
      <c r="H668" s="369"/>
      <c r="I668" s="470"/>
      <c r="J668" s="369"/>
      <c r="K668" s="453"/>
      <c r="L668" s="454"/>
      <c r="M668" s="369"/>
      <c r="N668" s="369"/>
      <c r="O668" s="455"/>
    </row>
    <row r="669" spans="1:15" x14ac:dyDescent="0.25">
      <c r="A669" s="369"/>
      <c r="B669" s="369"/>
      <c r="C669" s="369"/>
      <c r="D669" s="369"/>
      <c r="E669" s="369"/>
      <c r="F669" s="452"/>
      <c r="G669" s="369"/>
      <c r="H669" s="369"/>
      <c r="I669" s="470"/>
      <c r="J669" s="369"/>
      <c r="K669" s="453"/>
      <c r="L669" s="454"/>
      <c r="M669" s="369"/>
      <c r="N669" s="369"/>
      <c r="O669" s="455"/>
    </row>
    <row r="670" spans="1:15" x14ac:dyDescent="0.25">
      <c r="A670" s="369"/>
      <c r="B670" s="369"/>
      <c r="C670" s="369"/>
      <c r="D670" s="369"/>
      <c r="E670" s="369"/>
      <c r="F670" s="452"/>
      <c r="G670" s="369"/>
      <c r="H670" s="369"/>
      <c r="I670" s="470"/>
      <c r="J670" s="369"/>
      <c r="K670" s="453"/>
      <c r="L670" s="454"/>
      <c r="M670" s="369"/>
      <c r="N670" s="369"/>
      <c r="O670" s="455"/>
    </row>
    <row r="671" spans="1:15" x14ac:dyDescent="0.25">
      <c r="A671" s="369"/>
      <c r="B671" s="369"/>
      <c r="C671" s="369"/>
      <c r="D671" s="369"/>
      <c r="E671" s="369"/>
      <c r="F671" s="452"/>
      <c r="G671" s="369"/>
      <c r="H671" s="369"/>
      <c r="I671" s="470"/>
      <c r="J671" s="369"/>
      <c r="K671" s="453"/>
      <c r="L671" s="454"/>
      <c r="M671" s="369"/>
      <c r="N671" s="369"/>
      <c r="O671" s="455"/>
    </row>
    <row r="672" spans="1:15" x14ac:dyDescent="0.25">
      <c r="A672" s="369"/>
      <c r="B672" s="369"/>
      <c r="C672" s="369"/>
      <c r="D672" s="369"/>
      <c r="E672" s="369"/>
      <c r="F672" s="452"/>
      <c r="G672" s="369"/>
      <c r="H672" s="369"/>
      <c r="I672" s="470"/>
      <c r="J672" s="369"/>
      <c r="K672" s="453"/>
      <c r="L672" s="454"/>
      <c r="M672" s="369"/>
      <c r="N672" s="369"/>
      <c r="O672" s="455"/>
    </row>
    <row r="673" spans="1:15" x14ac:dyDescent="0.25">
      <c r="A673" s="369"/>
      <c r="B673" s="369"/>
      <c r="C673" s="369"/>
      <c r="D673" s="369"/>
      <c r="E673" s="369"/>
      <c r="F673" s="452"/>
      <c r="G673" s="369"/>
      <c r="H673" s="369"/>
      <c r="I673" s="470"/>
      <c r="J673" s="369"/>
      <c r="K673" s="453"/>
      <c r="L673" s="454"/>
      <c r="M673" s="369"/>
      <c r="N673" s="369"/>
      <c r="O673" s="455"/>
    </row>
    <row r="674" spans="1:15" x14ac:dyDescent="0.25">
      <c r="A674" s="369"/>
      <c r="B674" s="369"/>
      <c r="C674" s="369"/>
      <c r="D674" s="369"/>
      <c r="E674" s="369"/>
      <c r="F674" s="452"/>
      <c r="G674" s="369"/>
      <c r="H674" s="369"/>
      <c r="I674" s="470"/>
      <c r="J674" s="369"/>
      <c r="K674" s="453"/>
      <c r="L674" s="454"/>
      <c r="M674" s="369"/>
      <c r="N674" s="369"/>
      <c r="O674" s="455"/>
    </row>
    <row r="675" spans="1:15" x14ac:dyDescent="0.25">
      <c r="A675" s="369"/>
      <c r="B675" s="369"/>
      <c r="C675" s="369"/>
      <c r="D675" s="369"/>
      <c r="E675" s="369"/>
      <c r="F675" s="452"/>
      <c r="G675" s="369"/>
      <c r="H675" s="369"/>
      <c r="I675" s="470"/>
      <c r="J675" s="369"/>
      <c r="K675" s="453"/>
      <c r="L675" s="454"/>
      <c r="M675" s="369"/>
      <c r="N675" s="369"/>
      <c r="O675" s="455"/>
    </row>
    <row r="676" spans="1:15" x14ac:dyDescent="0.25">
      <c r="A676" s="369"/>
      <c r="B676" s="369"/>
      <c r="C676" s="369"/>
      <c r="D676" s="369"/>
      <c r="E676" s="369"/>
      <c r="F676" s="452"/>
      <c r="G676" s="369"/>
      <c r="H676" s="369"/>
      <c r="I676" s="470"/>
      <c r="J676" s="369"/>
      <c r="K676" s="453"/>
      <c r="L676" s="454"/>
      <c r="M676" s="369"/>
      <c r="N676" s="369"/>
      <c r="O676" s="455"/>
    </row>
    <row r="677" spans="1:15" x14ac:dyDescent="0.25">
      <c r="A677" s="369"/>
      <c r="B677" s="369"/>
      <c r="C677" s="369"/>
      <c r="D677" s="369"/>
      <c r="E677" s="369"/>
      <c r="F677" s="452"/>
      <c r="G677" s="369"/>
      <c r="H677" s="369"/>
      <c r="I677" s="470"/>
      <c r="J677" s="369"/>
      <c r="K677" s="453"/>
      <c r="L677" s="454"/>
      <c r="M677" s="369"/>
      <c r="N677" s="369"/>
      <c r="O677" s="455"/>
    </row>
    <row r="678" spans="1:15" x14ac:dyDescent="0.25">
      <c r="A678" s="369"/>
      <c r="B678" s="369"/>
      <c r="C678" s="369"/>
      <c r="D678" s="369"/>
      <c r="E678" s="369"/>
      <c r="F678" s="452"/>
      <c r="G678" s="369"/>
      <c r="H678" s="369"/>
      <c r="I678" s="470"/>
      <c r="J678" s="369"/>
      <c r="K678" s="453"/>
      <c r="L678" s="454"/>
      <c r="M678" s="369"/>
      <c r="N678" s="369"/>
      <c r="O678" s="455"/>
    </row>
    <row r="679" spans="1:15" x14ac:dyDescent="0.25">
      <c r="A679" s="369"/>
      <c r="B679" s="369"/>
      <c r="C679" s="369"/>
      <c r="D679" s="369"/>
      <c r="E679" s="369"/>
      <c r="F679" s="452"/>
      <c r="G679" s="369"/>
      <c r="H679" s="369"/>
      <c r="I679" s="470"/>
      <c r="J679" s="369"/>
      <c r="K679" s="453"/>
      <c r="L679" s="454"/>
      <c r="M679" s="369"/>
      <c r="N679" s="369"/>
      <c r="O679" s="455"/>
    </row>
    <row r="680" spans="1:15" x14ac:dyDescent="0.25">
      <c r="A680" s="369"/>
      <c r="B680" s="369"/>
      <c r="C680" s="369"/>
      <c r="D680" s="369"/>
      <c r="E680" s="369"/>
      <c r="F680" s="452"/>
      <c r="G680" s="369"/>
      <c r="H680" s="369"/>
      <c r="I680" s="470"/>
      <c r="J680" s="369"/>
      <c r="K680" s="453"/>
      <c r="L680" s="454"/>
      <c r="M680" s="369"/>
      <c r="N680" s="369"/>
      <c r="O680" s="455"/>
    </row>
    <row r="681" spans="1:15" x14ac:dyDescent="0.25">
      <c r="A681" s="369"/>
      <c r="B681" s="369"/>
      <c r="C681" s="369"/>
      <c r="D681" s="369"/>
      <c r="E681" s="369"/>
      <c r="F681" s="452"/>
      <c r="G681" s="369"/>
      <c r="H681" s="369"/>
      <c r="I681" s="470"/>
      <c r="J681" s="369"/>
      <c r="K681" s="453"/>
      <c r="L681" s="454"/>
      <c r="M681" s="369"/>
      <c r="N681" s="369"/>
      <c r="O681" s="455"/>
    </row>
    <row r="682" spans="1:15" x14ac:dyDescent="0.25">
      <c r="A682" s="369"/>
      <c r="B682" s="369"/>
      <c r="C682" s="369"/>
      <c r="D682" s="369"/>
      <c r="E682" s="369"/>
      <c r="F682" s="452"/>
      <c r="G682" s="369"/>
      <c r="H682" s="369"/>
      <c r="I682" s="470"/>
      <c r="J682" s="369"/>
      <c r="K682" s="453"/>
      <c r="L682" s="454"/>
      <c r="M682" s="369"/>
      <c r="N682" s="369"/>
      <c r="O682" s="455"/>
    </row>
    <row r="683" spans="1:15" x14ac:dyDescent="0.25">
      <c r="A683" s="369"/>
      <c r="B683" s="369"/>
      <c r="C683" s="369"/>
      <c r="D683" s="369"/>
      <c r="E683" s="369"/>
      <c r="F683" s="452"/>
      <c r="G683" s="369"/>
      <c r="H683" s="369"/>
      <c r="I683" s="470"/>
      <c r="J683" s="369"/>
      <c r="K683" s="453"/>
      <c r="L683" s="454"/>
      <c r="M683" s="369"/>
      <c r="N683" s="369"/>
      <c r="O683" s="455"/>
    </row>
    <row r="684" spans="1:15" x14ac:dyDescent="0.25">
      <c r="A684" s="369"/>
      <c r="B684" s="369"/>
      <c r="C684" s="369"/>
      <c r="D684" s="369"/>
      <c r="E684" s="369"/>
      <c r="F684" s="452"/>
      <c r="G684" s="369"/>
      <c r="H684" s="369"/>
      <c r="I684" s="470"/>
      <c r="J684" s="369"/>
      <c r="K684" s="453"/>
      <c r="L684" s="454"/>
      <c r="M684" s="369"/>
      <c r="N684" s="369"/>
      <c r="O684" s="455"/>
    </row>
    <row r="685" spans="1:15" x14ac:dyDescent="0.25">
      <c r="A685" s="369"/>
      <c r="B685" s="369"/>
      <c r="C685" s="369"/>
      <c r="D685" s="369"/>
      <c r="E685" s="369"/>
      <c r="F685" s="452"/>
      <c r="G685" s="369"/>
      <c r="H685" s="369"/>
      <c r="I685" s="470"/>
      <c r="J685" s="369"/>
      <c r="K685" s="453"/>
      <c r="L685" s="454"/>
      <c r="M685" s="369"/>
      <c r="N685" s="369"/>
      <c r="O685" s="455"/>
    </row>
    <row r="686" spans="1:15" x14ac:dyDescent="0.25">
      <c r="A686" s="369"/>
      <c r="B686" s="369"/>
      <c r="C686" s="369"/>
      <c r="D686" s="369"/>
      <c r="E686" s="369"/>
      <c r="F686" s="452"/>
      <c r="G686" s="369"/>
      <c r="H686" s="369"/>
      <c r="I686" s="470"/>
      <c r="J686" s="369"/>
      <c r="K686" s="453"/>
      <c r="L686" s="454"/>
      <c r="M686" s="369"/>
      <c r="N686" s="369"/>
      <c r="O686" s="455"/>
    </row>
    <row r="687" spans="1:15" x14ac:dyDescent="0.25">
      <c r="A687" s="369"/>
      <c r="B687" s="369"/>
      <c r="C687" s="369"/>
      <c r="D687" s="369"/>
      <c r="E687" s="369"/>
      <c r="F687" s="452"/>
      <c r="G687" s="369"/>
      <c r="H687" s="369"/>
      <c r="I687" s="470"/>
      <c r="J687" s="369"/>
      <c r="K687" s="453"/>
      <c r="L687" s="454"/>
      <c r="M687" s="369"/>
      <c r="N687" s="369"/>
      <c r="O687" s="455"/>
    </row>
    <row r="688" spans="1:15" x14ac:dyDescent="0.25">
      <c r="A688" s="369"/>
      <c r="B688" s="369"/>
      <c r="C688" s="369"/>
      <c r="D688" s="369"/>
      <c r="E688" s="369"/>
      <c r="F688" s="452"/>
      <c r="G688" s="369"/>
      <c r="H688" s="369"/>
      <c r="I688" s="470"/>
      <c r="J688" s="369"/>
      <c r="K688" s="453"/>
      <c r="L688" s="454"/>
      <c r="M688" s="369"/>
      <c r="N688" s="369"/>
      <c r="O688" s="455"/>
    </row>
    <row r="689" spans="1:15" x14ac:dyDescent="0.25">
      <c r="A689" s="369"/>
      <c r="B689" s="369"/>
      <c r="C689" s="369"/>
      <c r="D689" s="369"/>
      <c r="E689" s="369"/>
      <c r="F689" s="452"/>
      <c r="G689" s="369"/>
      <c r="H689" s="369"/>
      <c r="I689" s="470"/>
      <c r="J689" s="369"/>
      <c r="K689" s="453"/>
      <c r="L689" s="454"/>
      <c r="M689" s="369"/>
      <c r="N689" s="369"/>
      <c r="O689" s="455"/>
    </row>
    <row r="690" spans="1:15" x14ac:dyDescent="0.25">
      <c r="A690" s="369"/>
      <c r="B690" s="369"/>
      <c r="C690" s="369"/>
      <c r="D690" s="369"/>
      <c r="E690" s="369"/>
      <c r="F690" s="452"/>
      <c r="G690" s="369"/>
      <c r="H690" s="369"/>
      <c r="I690" s="470"/>
      <c r="J690" s="369"/>
      <c r="K690" s="453"/>
      <c r="L690" s="454"/>
      <c r="M690" s="369"/>
      <c r="N690" s="369"/>
      <c r="O690" s="455"/>
    </row>
    <row r="691" spans="1:15" x14ac:dyDescent="0.25">
      <c r="A691" s="369"/>
      <c r="B691" s="369"/>
      <c r="C691" s="369"/>
      <c r="D691" s="369"/>
      <c r="E691" s="369"/>
      <c r="F691" s="452"/>
      <c r="G691" s="369"/>
      <c r="H691" s="369"/>
      <c r="I691" s="470"/>
      <c r="J691" s="369"/>
      <c r="K691" s="453"/>
      <c r="L691" s="454"/>
      <c r="M691" s="369"/>
      <c r="N691" s="369"/>
      <c r="O691" s="455"/>
    </row>
    <row r="692" spans="1:15" x14ac:dyDescent="0.25">
      <c r="A692" s="369"/>
      <c r="B692" s="369"/>
      <c r="C692" s="369"/>
      <c r="D692" s="369"/>
      <c r="E692" s="369"/>
      <c r="F692" s="452"/>
      <c r="G692" s="369"/>
      <c r="H692" s="369"/>
      <c r="I692" s="470"/>
      <c r="J692" s="369"/>
      <c r="K692" s="453"/>
      <c r="L692" s="454"/>
      <c r="M692" s="369"/>
      <c r="N692" s="369"/>
      <c r="O692" s="455"/>
    </row>
    <row r="693" spans="1:15" x14ac:dyDescent="0.25">
      <c r="A693" s="369"/>
      <c r="B693" s="369"/>
      <c r="C693" s="369"/>
      <c r="D693" s="369"/>
      <c r="E693" s="369"/>
      <c r="F693" s="452"/>
      <c r="G693" s="369"/>
      <c r="H693" s="369"/>
      <c r="I693" s="470"/>
      <c r="J693" s="369"/>
      <c r="K693" s="453"/>
      <c r="L693" s="454"/>
      <c r="M693" s="369"/>
      <c r="N693" s="369"/>
      <c r="O693" s="455"/>
    </row>
    <row r="694" spans="1:15" x14ac:dyDescent="0.25">
      <c r="A694" s="369"/>
      <c r="B694" s="369"/>
      <c r="C694" s="369"/>
      <c r="D694" s="369"/>
      <c r="E694" s="369"/>
      <c r="F694" s="452"/>
      <c r="G694" s="369"/>
      <c r="H694" s="369"/>
      <c r="I694" s="470"/>
      <c r="J694" s="369"/>
      <c r="K694" s="453"/>
      <c r="L694" s="454"/>
      <c r="M694" s="369"/>
      <c r="N694" s="369"/>
      <c r="O694" s="455"/>
    </row>
    <row r="695" spans="1:15" x14ac:dyDescent="0.25">
      <c r="A695" s="369"/>
      <c r="B695" s="369"/>
      <c r="C695" s="369"/>
      <c r="D695" s="369"/>
      <c r="E695" s="369"/>
      <c r="F695" s="452"/>
      <c r="G695" s="369"/>
      <c r="H695" s="369"/>
      <c r="I695" s="470"/>
      <c r="J695" s="369"/>
      <c r="K695" s="453"/>
      <c r="L695" s="454"/>
      <c r="M695" s="369"/>
      <c r="N695" s="369"/>
      <c r="O695" s="455"/>
    </row>
    <row r="696" spans="1:15" x14ac:dyDescent="0.25">
      <c r="A696" s="369"/>
      <c r="B696" s="369"/>
      <c r="C696" s="369"/>
      <c r="D696" s="369"/>
      <c r="E696" s="369"/>
      <c r="F696" s="452"/>
      <c r="G696" s="369"/>
      <c r="H696" s="369"/>
      <c r="I696" s="470"/>
      <c r="J696" s="369"/>
      <c r="K696" s="453"/>
      <c r="L696" s="454"/>
      <c r="M696" s="369"/>
      <c r="N696" s="369"/>
      <c r="O696" s="455"/>
    </row>
    <row r="697" spans="1:15" x14ac:dyDescent="0.25">
      <c r="A697" s="369"/>
      <c r="B697" s="369"/>
      <c r="C697" s="369"/>
      <c r="D697" s="369"/>
      <c r="E697" s="369"/>
      <c r="F697" s="452"/>
      <c r="G697" s="369"/>
      <c r="H697" s="369"/>
      <c r="I697" s="470"/>
      <c r="J697" s="369"/>
      <c r="K697" s="453"/>
      <c r="L697" s="454"/>
      <c r="M697" s="369"/>
      <c r="N697" s="369"/>
      <c r="O697" s="455"/>
    </row>
    <row r="698" spans="1:15" x14ac:dyDescent="0.25">
      <c r="A698" s="369"/>
      <c r="B698" s="369"/>
      <c r="C698" s="369"/>
      <c r="D698" s="369"/>
      <c r="E698" s="369"/>
      <c r="F698" s="452"/>
      <c r="G698" s="369"/>
      <c r="H698" s="369"/>
      <c r="I698" s="470"/>
      <c r="J698" s="369"/>
      <c r="K698" s="453"/>
      <c r="L698" s="454"/>
      <c r="M698" s="369"/>
      <c r="N698" s="369"/>
      <c r="O698" s="455"/>
    </row>
    <row r="699" spans="1:15" x14ac:dyDescent="0.25">
      <c r="A699" s="369"/>
      <c r="B699" s="369"/>
      <c r="C699" s="369"/>
      <c r="D699" s="369"/>
      <c r="E699" s="369"/>
      <c r="F699" s="452"/>
      <c r="G699" s="369"/>
      <c r="H699" s="369"/>
      <c r="I699" s="470"/>
      <c r="J699" s="369"/>
      <c r="K699" s="453"/>
      <c r="L699" s="454"/>
      <c r="M699" s="369"/>
      <c r="N699" s="369"/>
      <c r="O699" s="455"/>
    </row>
    <row r="700" spans="1:15" x14ac:dyDescent="0.25">
      <c r="A700" s="369"/>
      <c r="B700" s="369"/>
      <c r="C700" s="369"/>
      <c r="D700" s="369"/>
      <c r="E700" s="369"/>
      <c r="F700" s="452"/>
      <c r="G700" s="369"/>
      <c r="H700" s="369"/>
      <c r="I700" s="470"/>
      <c r="J700" s="369"/>
      <c r="K700" s="453"/>
      <c r="L700" s="454"/>
      <c r="M700" s="369"/>
      <c r="N700" s="369"/>
      <c r="O700" s="455"/>
    </row>
    <row r="701" spans="1:15" x14ac:dyDescent="0.25">
      <c r="A701" s="369"/>
      <c r="B701" s="369"/>
      <c r="C701" s="369"/>
      <c r="D701" s="369"/>
      <c r="E701" s="369"/>
      <c r="F701" s="452"/>
      <c r="G701" s="369"/>
      <c r="H701" s="369"/>
      <c r="I701" s="470"/>
      <c r="J701" s="369"/>
      <c r="K701" s="453"/>
      <c r="L701" s="454"/>
      <c r="M701" s="369"/>
      <c r="N701" s="369"/>
      <c r="O701" s="455"/>
    </row>
    <row r="702" spans="1:15" x14ac:dyDescent="0.25">
      <c r="A702" s="369"/>
      <c r="B702" s="369"/>
      <c r="C702" s="369"/>
      <c r="D702" s="369"/>
      <c r="E702" s="369"/>
      <c r="F702" s="452"/>
      <c r="G702" s="369"/>
      <c r="H702" s="369"/>
      <c r="I702" s="470"/>
      <c r="J702" s="369"/>
      <c r="K702" s="453"/>
      <c r="L702" s="454"/>
      <c r="M702" s="369"/>
      <c r="N702" s="369"/>
      <c r="O702" s="455"/>
    </row>
    <row r="703" spans="1:15" x14ac:dyDescent="0.25">
      <c r="A703" s="369"/>
      <c r="B703" s="369"/>
      <c r="C703" s="369"/>
      <c r="D703" s="369"/>
      <c r="E703" s="369"/>
      <c r="F703" s="452"/>
      <c r="G703" s="369"/>
      <c r="H703" s="369"/>
      <c r="I703" s="470"/>
      <c r="J703" s="369"/>
      <c r="K703" s="453"/>
      <c r="L703" s="454"/>
      <c r="M703" s="369"/>
      <c r="N703" s="369"/>
      <c r="O703" s="455"/>
    </row>
    <row r="704" spans="1:15" x14ac:dyDescent="0.25">
      <c r="A704" s="369"/>
      <c r="B704" s="369"/>
      <c r="C704" s="369"/>
      <c r="D704" s="369"/>
      <c r="E704" s="369"/>
      <c r="F704" s="452"/>
      <c r="G704" s="369"/>
      <c r="H704" s="369"/>
      <c r="I704" s="470"/>
      <c r="J704" s="369"/>
      <c r="K704" s="453"/>
      <c r="L704" s="454"/>
      <c r="M704" s="369"/>
      <c r="N704" s="369"/>
      <c r="O704" s="455"/>
    </row>
    <row r="705" spans="1:15" x14ac:dyDescent="0.25">
      <c r="A705" s="369"/>
      <c r="B705" s="369"/>
      <c r="C705" s="369"/>
      <c r="D705" s="369"/>
      <c r="E705" s="369"/>
      <c r="F705" s="452"/>
      <c r="G705" s="369"/>
      <c r="H705" s="369"/>
      <c r="I705" s="470"/>
      <c r="J705" s="369"/>
      <c r="K705" s="453"/>
      <c r="L705" s="454"/>
      <c r="M705" s="369"/>
      <c r="N705" s="369"/>
      <c r="O705" s="455"/>
    </row>
    <row r="706" spans="1:15" x14ac:dyDescent="0.25">
      <c r="A706" s="369"/>
      <c r="B706" s="369"/>
      <c r="C706" s="369"/>
      <c r="D706" s="369"/>
      <c r="E706" s="369"/>
      <c r="F706" s="452"/>
      <c r="G706" s="369"/>
      <c r="H706" s="369"/>
      <c r="I706" s="470"/>
      <c r="J706" s="369"/>
      <c r="K706" s="453"/>
      <c r="L706" s="454"/>
      <c r="M706" s="369"/>
      <c r="N706" s="369"/>
      <c r="O706" s="455"/>
    </row>
    <row r="707" spans="1:15" x14ac:dyDescent="0.25">
      <c r="A707" s="369"/>
      <c r="B707" s="369"/>
      <c r="C707" s="369"/>
      <c r="D707" s="369"/>
      <c r="E707" s="369"/>
      <c r="F707" s="452"/>
      <c r="G707" s="369"/>
      <c r="H707" s="369"/>
      <c r="I707" s="470"/>
      <c r="J707" s="369"/>
      <c r="K707" s="453"/>
      <c r="L707" s="454"/>
      <c r="M707" s="369"/>
      <c r="N707" s="369"/>
      <c r="O707" s="455"/>
    </row>
    <row r="708" spans="1:15" x14ac:dyDescent="0.25">
      <c r="A708" s="369"/>
      <c r="B708" s="369"/>
      <c r="C708" s="369"/>
      <c r="D708" s="369"/>
      <c r="E708" s="369"/>
      <c r="F708" s="452"/>
      <c r="G708" s="369"/>
      <c r="H708" s="369"/>
      <c r="I708" s="470"/>
      <c r="J708" s="369"/>
      <c r="K708" s="453"/>
      <c r="L708" s="454"/>
      <c r="M708" s="369"/>
      <c r="N708" s="369"/>
      <c r="O708" s="455"/>
    </row>
    <row r="709" spans="1:15" x14ac:dyDescent="0.25">
      <c r="A709" s="369"/>
      <c r="B709" s="369"/>
      <c r="C709" s="369"/>
      <c r="D709" s="369"/>
      <c r="E709" s="369"/>
      <c r="F709" s="452"/>
      <c r="G709" s="369"/>
      <c r="H709" s="369"/>
      <c r="I709" s="470"/>
      <c r="J709" s="369"/>
      <c r="K709" s="453"/>
      <c r="L709" s="454"/>
      <c r="M709" s="369"/>
      <c r="N709" s="369"/>
      <c r="O709" s="455"/>
    </row>
    <row r="710" spans="1:15" x14ac:dyDescent="0.25">
      <c r="A710" s="369"/>
      <c r="B710" s="369"/>
      <c r="C710" s="369"/>
      <c r="D710" s="369"/>
      <c r="E710" s="369"/>
      <c r="F710" s="452"/>
      <c r="G710" s="369"/>
      <c r="H710" s="369"/>
      <c r="I710" s="470"/>
      <c r="J710" s="369"/>
      <c r="K710" s="453"/>
      <c r="L710" s="454"/>
      <c r="M710" s="369"/>
      <c r="N710" s="369"/>
      <c r="O710" s="455"/>
    </row>
    <row r="711" spans="1:15" x14ac:dyDescent="0.25">
      <c r="A711" s="369"/>
      <c r="B711" s="369"/>
      <c r="C711" s="369"/>
      <c r="D711" s="369"/>
      <c r="E711" s="369"/>
      <c r="F711" s="452"/>
      <c r="G711" s="369"/>
      <c r="H711" s="369"/>
      <c r="I711" s="470"/>
      <c r="J711" s="369"/>
      <c r="K711" s="453"/>
      <c r="L711" s="454"/>
      <c r="M711" s="369"/>
      <c r="N711" s="369"/>
      <c r="O711" s="455"/>
    </row>
    <row r="712" spans="1:15" x14ac:dyDescent="0.25">
      <c r="A712" s="369"/>
      <c r="B712" s="369"/>
      <c r="C712" s="369"/>
      <c r="D712" s="369"/>
      <c r="E712" s="369"/>
      <c r="F712" s="452"/>
      <c r="G712" s="369"/>
      <c r="H712" s="369"/>
      <c r="I712" s="470"/>
      <c r="J712" s="369"/>
      <c r="K712" s="453"/>
      <c r="L712" s="454"/>
      <c r="M712" s="369"/>
      <c r="N712" s="369"/>
      <c r="O712" s="455"/>
    </row>
    <row r="713" spans="1:15" x14ac:dyDescent="0.25">
      <c r="A713" s="369"/>
      <c r="B713" s="369"/>
      <c r="C713" s="369"/>
      <c r="D713" s="369"/>
      <c r="E713" s="369"/>
      <c r="F713" s="452"/>
      <c r="G713" s="369"/>
      <c r="H713" s="369"/>
      <c r="I713" s="470"/>
      <c r="J713" s="369"/>
      <c r="K713" s="453"/>
      <c r="L713" s="454"/>
      <c r="M713" s="369"/>
      <c r="N713" s="369"/>
      <c r="O713" s="455"/>
    </row>
    <row r="714" spans="1:15" x14ac:dyDescent="0.25">
      <c r="A714" s="369"/>
      <c r="B714" s="369"/>
      <c r="C714" s="369"/>
      <c r="D714" s="369"/>
      <c r="E714" s="369"/>
      <c r="F714" s="452"/>
      <c r="G714" s="369"/>
      <c r="H714" s="369"/>
      <c r="I714" s="470"/>
      <c r="J714" s="369"/>
      <c r="K714" s="453"/>
      <c r="L714" s="454"/>
      <c r="M714" s="369"/>
      <c r="N714" s="369"/>
      <c r="O714" s="455"/>
    </row>
    <row r="715" spans="1:15" x14ac:dyDescent="0.25">
      <c r="A715" s="369"/>
      <c r="B715" s="369"/>
      <c r="C715" s="369"/>
      <c r="D715" s="369"/>
      <c r="E715" s="369"/>
      <c r="F715" s="452"/>
      <c r="G715" s="369"/>
      <c r="H715" s="369"/>
      <c r="I715" s="470"/>
      <c r="J715" s="369"/>
      <c r="K715" s="453"/>
      <c r="L715" s="454"/>
      <c r="M715" s="369"/>
      <c r="N715" s="369"/>
      <c r="O715" s="455"/>
    </row>
    <row r="716" spans="1:15" x14ac:dyDescent="0.25">
      <c r="A716" s="369"/>
      <c r="B716" s="369"/>
      <c r="C716" s="369"/>
      <c r="D716" s="369"/>
      <c r="E716" s="369"/>
      <c r="F716" s="452"/>
      <c r="G716" s="369"/>
      <c r="H716" s="369"/>
      <c r="I716" s="470"/>
      <c r="J716" s="369"/>
      <c r="K716" s="453"/>
      <c r="L716" s="454"/>
      <c r="M716" s="369"/>
      <c r="N716" s="369"/>
      <c r="O716" s="455"/>
    </row>
    <row r="717" spans="1:15" x14ac:dyDescent="0.25">
      <c r="A717" s="369"/>
      <c r="B717" s="369"/>
      <c r="C717" s="369"/>
      <c r="D717" s="369"/>
      <c r="E717" s="369"/>
      <c r="F717" s="452"/>
      <c r="G717" s="369"/>
      <c r="H717" s="369"/>
      <c r="I717" s="470"/>
      <c r="J717" s="369"/>
      <c r="K717" s="453"/>
      <c r="L717" s="454"/>
      <c r="M717" s="369"/>
      <c r="N717" s="369"/>
      <c r="O717" s="455"/>
    </row>
    <row r="718" spans="1:15" x14ac:dyDescent="0.25">
      <c r="A718" s="369"/>
      <c r="B718" s="369"/>
      <c r="C718" s="369"/>
      <c r="D718" s="369"/>
      <c r="E718" s="369"/>
      <c r="F718" s="452"/>
      <c r="G718" s="369"/>
      <c r="H718" s="369"/>
      <c r="I718" s="470"/>
      <c r="J718" s="369"/>
      <c r="K718" s="453"/>
      <c r="L718" s="454"/>
      <c r="M718" s="369"/>
      <c r="N718" s="369"/>
      <c r="O718" s="455"/>
    </row>
    <row r="719" spans="1:15" x14ac:dyDescent="0.25">
      <c r="A719" s="369"/>
      <c r="B719" s="369"/>
      <c r="C719" s="369"/>
      <c r="D719" s="369"/>
      <c r="E719" s="369"/>
      <c r="F719" s="452"/>
      <c r="G719" s="369"/>
      <c r="H719" s="369"/>
      <c r="I719" s="470"/>
      <c r="J719" s="369"/>
      <c r="K719" s="453"/>
      <c r="L719" s="454"/>
      <c r="M719" s="369"/>
      <c r="N719" s="369"/>
      <c r="O719" s="455"/>
    </row>
    <row r="720" spans="1:15" x14ac:dyDescent="0.25">
      <c r="A720" s="369"/>
      <c r="B720" s="369"/>
      <c r="C720" s="369"/>
      <c r="D720" s="369"/>
      <c r="E720" s="369"/>
      <c r="F720" s="452"/>
      <c r="G720" s="369"/>
      <c r="H720" s="369"/>
      <c r="I720" s="470"/>
      <c r="J720" s="369"/>
      <c r="K720" s="453"/>
      <c r="L720" s="454"/>
      <c r="M720" s="369"/>
      <c r="N720" s="369"/>
      <c r="O720" s="455"/>
    </row>
    <row r="721" spans="1:15" x14ac:dyDescent="0.25">
      <c r="A721" s="369"/>
      <c r="B721" s="369"/>
      <c r="C721" s="369"/>
      <c r="D721" s="369"/>
      <c r="E721" s="369"/>
      <c r="F721" s="452"/>
      <c r="G721" s="369"/>
      <c r="H721" s="369"/>
      <c r="I721" s="470"/>
      <c r="J721" s="369"/>
      <c r="K721" s="453"/>
      <c r="L721" s="454"/>
      <c r="M721" s="369"/>
      <c r="N721" s="369"/>
      <c r="O721" s="455"/>
    </row>
    <row r="722" spans="1:15" x14ac:dyDescent="0.25">
      <c r="A722" s="369"/>
      <c r="B722" s="369"/>
      <c r="C722" s="369"/>
      <c r="D722" s="369"/>
      <c r="E722" s="369"/>
      <c r="F722" s="452"/>
      <c r="G722" s="369"/>
      <c r="H722" s="369"/>
      <c r="I722" s="470"/>
      <c r="J722" s="369"/>
      <c r="K722" s="453"/>
      <c r="L722" s="454"/>
      <c r="M722" s="369"/>
      <c r="N722" s="369"/>
      <c r="O722" s="455"/>
    </row>
    <row r="723" spans="1:15" x14ac:dyDescent="0.25">
      <c r="A723" s="369"/>
      <c r="B723" s="369"/>
      <c r="C723" s="369"/>
      <c r="D723" s="369"/>
      <c r="E723" s="369"/>
      <c r="F723" s="452"/>
      <c r="G723" s="369"/>
      <c r="H723" s="369"/>
      <c r="I723" s="470"/>
      <c r="J723" s="369"/>
      <c r="K723" s="453"/>
      <c r="L723" s="454"/>
      <c r="M723" s="369"/>
      <c r="N723" s="369"/>
      <c r="O723" s="455"/>
    </row>
    <row r="724" spans="1:15" x14ac:dyDescent="0.25">
      <c r="A724" s="369"/>
      <c r="B724" s="369"/>
      <c r="C724" s="369"/>
      <c r="D724" s="369"/>
      <c r="E724" s="369"/>
      <c r="F724" s="452"/>
      <c r="G724" s="369"/>
      <c r="H724" s="369"/>
      <c r="I724" s="470"/>
      <c r="J724" s="369"/>
      <c r="K724" s="453"/>
      <c r="L724" s="454"/>
      <c r="M724" s="369"/>
      <c r="N724" s="369"/>
      <c r="O724" s="455"/>
    </row>
    <row r="725" spans="1:15" x14ac:dyDescent="0.25">
      <c r="A725" s="369"/>
      <c r="B725" s="369"/>
      <c r="C725" s="369"/>
      <c r="D725" s="369"/>
      <c r="E725" s="369"/>
      <c r="F725" s="452"/>
      <c r="G725" s="369"/>
      <c r="H725" s="369"/>
      <c r="I725" s="470"/>
      <c r="J725" s="369"/>
      <c r="K725" s="453"/>
      <c r="L725" s="454"/>
      <c r="M725" s="369"/>
      <c r="N725" s="369"/>
      <c r="O725" s="455"/>
    </row>
    <row r="726" spans="1:15" x14ac:dyDescent="0.25">
      <c r="A726" s="369"/>
      <c r="B726" s="369"/>
      <c r="C726" s="369"/>
      <c r="D726" s="369"/>
      <c r="E726" s="369"/>
      <c r="F726" s="452"/>
      <c r="G726" s="369"/>
      <c r="H726" s="369"/>
      <c r="I726" s="470"/>
      <c r="J726" s="369"/>
      <c r="K726" s="453"/>
      <c r="L726" s="454"/>
      <c r="M726" s="369"/>
      <c r="N726" s="369"/>
      <c r="O726" s="455"/>
    </row>
    <row r="727" spans="1:15" x14ac:dyDescent="0.25">
      <c r="A727" s="369"/>
      <c r="B727" s="369"/>
      <c r="C727" s="369"/>
      <c r="D727" s="369"/>
      <c r="E727" s="369"/>
      <c r="F727" s="452"/>
      <c r="G727" s="369"/>
      <c r="H727" s="369"/>
      <c r="I727" s="470"/>
      <c r="J727" s="369"/>
      <c r="K727" s="453"/>
      <c r="L727" s="454"/>
      <c r="M727" s="369"/>
      <c r="N727" s="369"/>
      <c r="O727" s="455"/>
    </row>
    <row r="728" spans="1:15" x14ac:dyDescent="0.25">
      <c r="A728" s="369"/>
      <c r="B728" s="369"/>
      <c r="C728" s="369"/>
      <c r="D728" s="369"/>
      <c r="E728" s="369"/>
      <c r="F728" s="452"/>
      <c r="G728" s="369"/>
      <c r="H728" s="369"/>
      <c r="I728" s="470"/>
      <c r="J728" s="369"/>
      <c r="K728" s="453"/>
      <c r="L728" s="454"/>
      <c r="M728" s="369"/>
      <c r="N728" s="369"/>
      <c r="O728" s="455"/>
    </row>
    <row r="729" spans="1:15" x14ac:dyDescent="0.25">
      <c r="A729" s="369"/>
      <c r="B729" s="369"/>
      <c r="C729" s="369"/>
      <c r="D729" s="369"/>
      <c r="E729" s="369"/>
      <c r="F729" s="452"/>
      <c r="G729" s="369"/>
      <c r="H729" s="369"/>
      <c r="I729" s="470"/>
      <c r="J729" s="369"/>
      <c r="K729" s="453"/>
      <c r="L729" s="454"/>
      <c r="M729" s="369"/>
      <c r="N729" s="369"/>
      <c r="O729" s="455"/>
    </row>
    <row r="730" spans="1:15" x14ac:dyDescent="0.25">
      <c r="A730" s="369"/>
      <c r="B730" s="369"/>
      <c r="C730" s="369"/>
      <c r="D730" s="369"/>
      <c r="E730" s="369"/>
      <c r="F730" s="452"/>
      <c r="G730" s="369"/>
      <c r="H730" s="369"/>
      <c r="I730" s="470"/>
      <c r="J730" s="369"/>
      <c r="K730" s="453"/>
      <c r="L730" s="454"/>
      <c r="M730" s="369"/>
      <c r="N730" s="369"/>
      <c r="O730" s="455"/>
    </row>
    <row r="731" spans="1:15" x14ac:dyDescent="0.25">
      <c r="A731" s="369"/>
      <c r="B731" s="369"/>
      <c r="C731" s="369"/>
      <c r="D731" s="369"/>
      <c r="E731" s="369"/>
      <c r="F731" s="452"/>
      <c r="G731" s="369"/>
      <c r="H731" s="369"/>
      <c r="I731" s="470"/>
      <c r="J731" s="369"/>
      <c r="K731" s="453"/>
      <c r="L731" s="454"/>
      <c r="M731" s="369"/>
      <c r="N731" s="369"/>
      <c r="O731" s="455"/>
    </row>
    <row r="732" spans="1:15" x14ac:dyDescent="0.25">
      <c r="A732" s="369"/>
      <c r="B732" s="369"/>
      <c r="C732" s="369"/>
      <c r="D732" s="369"/>
      <c r="E732" s="369"/>
      <c r="F732" s="452"/>
      <c r="G732" s="369"/>
      <c r="H732" s="369"/>
      <c r="I732" s="470"/>
      <c r="J732" s="369"/>
      <c r="K732" s="453"/>
      <c r="L732" s="454"/>
      <c r="M732" s="369"/>
      <c r="N732" s="369"/>
      <c r="O732" s="455"/>
    </row>
    <row r="733" spans="1:15" x14ac:dyDescent="0.25">
      <c r="A733" s="369"/>
      <c r="B733" s="369"/>
      <c r="C733" s="369"/>
      <c r="D733" s="369"/>
      <c r="E733" s="369"/>
      <c r="F733" s="452"/>
      <c r="G733" s="369"/>
      <c r="H733" s="369"/>
      <c r="I733" s="470"/>
      <c r="J733" s="369"/>
      <c r="K733" s="453"/>
      <c r="L733" s="454"/>
      <c r="M733" s="369"/>
      <c r="N733" s="369"/>
      <c r="O733" s="455"/>
    </row>
    <row r="734" spans="1:15" x14ac:dyDescent="0.25">
      <c r="A734" s="369"/>
      <c r="B734" s="369"/>
      <c r="C734" s="369"/>
      <c r="D734" s="369"/>
      <c r="E734" s="369"/>
      <c r="F734" s="452"/>
      <c r="G734" s="369"/>
      <c r="H734" s="369"/>
      <c r="I734" s="470"/>
      <c r="J734" s="369"/>
      <c r="K734" s="453"/>
      <c r="L734" s="454"/>
      <c r="M734" s="369"/>
      <c r="N734" s="369"/>
      <c r="O734" s="455"/>
    </row>
    <row r="735" spans="1:15" x14ac:dyDescent="0.25">
      <c r="A735" s="369"/>
      <c r="B735" s="369"/>
      <c r="C735" s="369"/>
      <c r="D735" s="369"/>
      <c r="E735" s="369"/>
      <c r="F735" s="452"/>
      <c r="G735" s="369"/>
      <c r="H735" s="369"/>
      <c r="I735" s="470"/>
      <c r="J735" s="369"/>
      <c r="K735" s="453"/>
      <c r="L735" s="454"/>
      <c r="M735" s="369"/>
      <c r="N735" s="369"/>
      <c r="O735" s="455"/>
    </row>
    <row r="736" spans="1:15" x14ac:dyDescent="0.25">
      <c r="A736" s="369"/>
      <c r="B736" s="369"/>
      <c r="C736" s="369"/>
      <c r="D736" s="369"/>
      <c r="E736" s="369"/>
      <c r="F736" s="452"/>
      <c r="G736" s="369"/>
      <c r="H736" s="369"/>
      <c r="I736" s="470"/>
      <c r="J736" s="369"/>
      <c r="K736" s="453"/>
      <c r="L736" s="454"/>
      <c r="M736" s="369"/>
      <c r="N736" s="369"/>
      <c r="O736" s="455"/>
    </row>
    <row r="737" spans="1:15" x14ac:dyDescent="0.25">
      <c r="A737" s="369"/>
      <c r="B737" s="369"/>
      <c r="C737" s="369"/>
      <c r="D737" s="369"/>
      <c r="E737" s="369"/>
      <c r="F737" s="452"/>
      <c r="G737" s="369"/>
      <c r="H737" s="369"/>
      <c r="I737" s="470"/>
      <c r="J737" s="369"/>
      <c r="K737" s="453"/>
      <c r="L737" s="454"/>
      <c r="M737" s="369"/>
      <c r="N737" s="369"/>
      <c r="O737" s="455"/>
    </row>
    <row r="738" spans="1:15" x14ac:dyDescent="0.25">
      <c r="A738" s="369"/>
      <c r="B738" s="369"/>
      <c r="C738" s="369"/>
      <c r="D738" s="369"/>
      <c r="E738" s="369"/>
      <c r="F738" s="452"/>
      <c r="G738" s="369"/>
      <c r="H738" s="369"/>
      <c r="I738" s="470"/>
      <c r="J738" s="369"/>
      <c r="K738" s="453"/>
      <c r="L738" s="454"/>
      <c r="M738" s="369"/>
      <c r="N738" s="369"/>
      <c r="O738" s="455"/>
    </row>
    <row r="739" spans="1:15" x14ac:dyDescent="0.25">
      <c r="A739" s="369"/>
      <c r="B739" s="369"/>
      <c r="C739" s="369"/>
      <c r="D739" s="369"/>
      <c r="E739" s="369"/>
      <c r="F739" s="452"/>
      <c r="G739" s="369"/>
      <c r="H739" s="369"/>
      <c r="I739" s="470"/>
      <c r="J739" s="369"/>
      <c r="K739" s="453"/>
      <c r="L739" s="454"/>
      <c r="M739" s="369"/>
      <c r="N739" s="369"/>
      <c r="O739" s="455"/>
    </row>
    <row r="740" spans="1:15" x14ac:dyDescent="0.25">
      <c r="A740" s="369"/>
      <c r="B740" s="369"/>
      <c r="C740" s="369"/>
      <c r="D740" s="369"/>
      <c r="E740" s="369"/>
      <c r="F740" s="452"/>
      <c r="G740" s="369"/>
      <c r="H740" s="369"/>
      <c r="I740" s="470"/>
      <c r="J740" s="369"/>
      <c r="K740" s="453"/>
      <c r="L740" s="454"/>
      <c r="M740" s="369"/>
      <c r="N740" s="369"/>
      <c r="O740" s="455"/>
    </row>
    <row r="741" spans="1:15" x14ac:dyDescent="0.25">
      <c r="A741" s="369"/>
      <c r="B741" s="369"/>
      <c r="C741" s="369"/>
      <c r="D741" s="369"/>
      <c r="E741" s="369"/>
      <c r="F741" s="452"/>
      <c r="G741" s="369"/>
      <c r="H741" s="369"/>
      <c r="I741" s="470"/>
      <c r="J741" s="369"/>
      <c r="K741" s="453"/>
      <c r="L741" s="454"/>
      <c r="M741" s="369"/>
      <c r="N741" s="369"/>
      <c r="O741" s="455"/>
    </row>
    <row r="742" spans="1:15" x14ac:dyDescent="0.25">
      <c r="A742" s="369"/>
      <c r="B742" s="369"/>
      <c r="C742" s="369"/>
      <c r="D742" s="369"/>
      <c r="E742" s="369"/>
      <c r="F742" s="452"/>
      <c r="G742" s="369"/>
      <c r="H742" s="369"/>
      <c r="I742" s="470"/>
      <c r="J742" s="369"/>
      <c r="K742" s="453"/>
      <c r="L742" s="454"/>
      <c r="M742" s="369"/>
      <c r="N742" s="369"/>
      <c r="O742" s="455"/>
    </row>
    <row r="743" spans="1:15" x14ac:dyDescent="0.25">
      <c r="A743" s="369"/>
      <c r="B743" s="369"/>
      <c r="C743" s="369"/>
      <c r="D743" s="369"/>
      <c r="E743" s="369"/>
      <c r="F743" s="452"/>
      <c r="G743" s="369"/>
      <c r="H743" s="369"/>
      <c r="I743" s="470"/>
      <c r="J743" s="369"/>
      <c r="K743" s="453"/>
      <c r="L743" s="454"/>
      <c r="M743" s="369"/>
      <c r="N743" s="369"/>
      <c r="O743" s="455"/>
    </row>
    <row r="744" spans="1:15" x14ac:dyDescent="0.25">
      <c r="A744" s="369"/>
      <c r="B744" s="369"/>
      <c r="C744" s="369"/>
      <c r="D744" s="369"/>
      <c r="E744" s="369"/>
      <c r="F744" s="452"/>
      <c r="G744" s="369"/>
      <c r="H744" s="369"/>
      <c r="I744" s="470"/>
      <c r="J744" s="369"/>
      <c r="K744" s="453"/>
      <c r="L744" s="454"/>
      <c r="M744" s="369"/>
      <c r="N744" s="369"/>
      <c r="O744" s="455"/>
    </row>
    <row r="745" spans="1:15" x14ac:dyDescent="0.25">
      <c r="A745" s="369"/>
      <c r="B745" s="369"/>
      <c r="C745" s="369"/>
      <c r="D745" s="369"/>
      <c r="E745" s="369"/>
      <c r="F745" s="452"/>
      <c r="G745" s="369"/>
      <c r="H745" s="369"/>
      <c r="I745" s="470"/>
      <c r="J745" s="369"/>
      <c r="K745" s="453"/>
      <c r="L745" s="454"/>
      <c r="M745" s="369"/>
      <c r="N745" s="369"/>
      <c r="O745" s="455"/>
    </row>
    <row r="746" spans="1:15" x14ac:dyDescent="0.25">
      <c r="A746" s="369"/>
      <c r="B746" s="369"/>
      <c r="C746" s="369"/>
      <c r="D746" s="369"/>
      <c r="E746" s="369"/>
      <c r="F746" s="452"/>
      <c r="G746" s="369"/>
      <c r="H746" s="369"/>
      <c r="I746" s="470"/>
      <c r="J746" s="369"/>
      <c r="K746" s="453"/>
      <c r="L746" s="454"/>
      <c r="M746" s="369"/>
      <c r="N746" s="369"/>
      <c r="O746" s="455"/>
    </row>
    <row r="747" spans="1:15" x14ac:dyDescent="0.25">
      <c r="A747" s="369"/>
      <c r="B747" s="369"/>
      <c r="C747" s="369"/>
      <c r="D747" s="369"/>
      <c r="E747" s="369"/>
      <c r="F747" s="452"/>
      <c r="G747" s="369"/>
      <c r="H747" s="369"/>
      <c r="I747" s="470"/>
      <c r="J747" s="369"/>
      <c r="K747" s="453"/>
      <c r="L747" s="454"/>
      <c r="M747" s="369"/>
      <c r="N747" s="369"/>
      <c r="O747" s="455"/>
    </row>
    <row r="748" spans="1:15" x14ac:dyDescent="0.25">
      <c r="A748" s="369"/>
      <c r="B748" s="369"/>
      <c r="C748" s="369"/>
      <c r="D748" s="369"/>
      <c r="E748" s="369"/>
      <c r="F748" s="452"/>
      <c r="G748" s="369"/>
      <c r="H748" s="369"/>
      <c r="I748" s="470"/>
      <c r="J748" s="369"/>
      <c r="K748" s="453"/>
      <c r="L748" s="454"/>
      <c r="M748" s="369"/>
      <c r="N748" s="369"/>
      <c r="O748" s="455"/>
    </row>
    <row r="749" spans="1:15" x14ac:dyDescent="0.25">
      <c r="A749" s="369"/>
      <c r="B749" s="369"/>
      <c r="C749" s="369"/>
      <c r="D749" s="369"/>
      <c r="E749" s="369"/>
      <c r="F749" s="452"/>
      <c r="G749" s="369"/>
      <c r="H749" s="369"/>
      <c r="I749" s="470"/>
      <c r="J749" s="369"/>
      <c r="K749" s="453"/>
      <c r="L749" s="454"/>
      <c r="M749" s="369"/>
      <c r="N749" s="369"/>
      <c r="O749" s="455"/>
    </row>
    <row r="750" spans="1:15" x14ac:dyDescent="0.25">
      <c r="A750" s="369"/>
      <c r="B750" s="369"/>
      <c r="C750" s="369"/>
      <c r="D750" s="369"/>
      <c r="E750" s="369"/>
      <c r="F750" s="452"/>
      <c r="G750" s="369"/>
      <c r="H750" s="369"/>
      <c r="I750" s="470"/>
      <c r="J750" s="369"/>
      <c r="K750" s="453"/>
      <c r="L750" s="454"/>
      <c r="M750" s="369"/>
      <c r="N750" s="369"/>
      <c r="O750" s="455"/>
    </row>
    <row r="751" spans="1:15" x14ac:dyDescent="0.25">
      <c r="A751" s="369"/>
      <c r="B751" s="369"/>
      <c r="C751" s="369"/>
      <c r="D751" s="369"/>
      <c r="E751" s="369"/>
      <c r="F751" s="452"/>
      <c r="G751" s="369"/>
      <c r="H751" s="369"/>
      <c r="I751" s="470"/>
      <c r="J751" s="369"/>
      <c r="K751" s="453"/>
      <c r="L751" s="454"/>
      <c r="M751" s="369"/>
      <c r="N751" s="369"/>
      <c r="O751" s="455"/>
    </row>
    <row r="752" spans="1:15" x14ac:dyDescent="0.25">
      <c r="A752" s="369"/>
      <c r="B752" s="369"/>
      <c r="C752" s="369"/>
      <c r="D752" s="369"/>
      <c r="E752" s="369"/>
      <c r="F752" s="452"/>
      <c r="G752" s="369"/>
      <c r="H752" s="369"/>
      <c r="I752" s="470"/>
      <c r="J752" s="369"/>
      <c r="K752" s="453"/>
      <c r="L752" s="454"/>
      <c r="M752" s="369"/>
      <c r="N752" s="369"/>
      <c r="O752" s="455"/>
    </row>
    <row r="753" spans="1:15" x14ac:dyDescent="0.25">
      <c r="A753" s="369"/>
      <c r="B753" s="369"/>
      <c r="C753" s="369"/>
      <c r="D753" s="369"/>
      <c r="E753" s="369"/>
      <c r="F753" s="452"/>
      <c r="G753" s="369"/>
      <c r="H753" s="369"/>
      <c r="I753" s="470"/>
      <c r="J753" s="369"/>
      <c r="K753" s="453"/>
      <c r="L753" s="454"/>
      <c r="M753" s="369"/>
      <c r="N753" s="369"/>
      <c r="O753" s="455"/>
    </row>
    <row r="754" spans="1:15" x14ac:dyDescent="0.25">
      <c r="A754" s="369"/>
      <c r="B754" s="369"/>
      <c r="C754" s="369"/>
      <c r="D754" s="369"/>
      <c r="E754" s="369"/>
      <c r="F754" s="452"/>
      <c r="G754" s="369"/>
      <c r="H754" s="369"/>
      <c r="I754" s="470"/>
      <c r="J754" s="369"/>
      <c r="K754" s="453"/>
      <c r="L754" s="454"/>
      <c r="M754" s="369"/>
      <c r="N754" s="369"/>
      <c r="O754" s="455"/>
    </row>
    <row r="755" spans="1:15" x14ac:dyDescent="0.25">
      <c r="A755" s="369"/>
      <c r="B755" s="369"/>
      <c r="C755" s="369"/>
      <c r="D755" s="369"/>
      <c r="E755" s="369"/>
      <c r="F755" s="452"/>
      <c r="G755" s="369"/>
      <c r="H755" s="369"/>
      <c r="I755" s="470"/>
      <c r="J755" s="369"/>
      <c r="K755" s="453"/>
      <c r="L755" s="454"/>
      <c r="M755" s="369"/>
      <c r="N755" s="369"/>
      <c r="O755" s="455"/>
    </row>
    <row r="756" spans="1:15" x14ac:dyDescent="0.25">
      <c r="A756" s="369"/>
      <c r="B756" s="369"/>
      <c r="C756" s="369"/>
      <c r="D756" s="369"/>
      <c r="E756" s="369"/>
      <c r="F756" s="452"/>
      <c r="G756" s="369"/>
      <c r="H756" s="369"/>
      <c r="I756" s="470"/>
      <c r="J756" s="369"/>
      <c r="K756" s="453"/>
      <c r="L756" s="454"/>
      <c r="M756" s="369"/>
      <c r="N756" s="369"/>
      <c r="O756" s="455"/>
    </row>
    <row r="757" spans="1:15" x14ac:dyDescent="0.25">
      <c r="A757" s="369"/>
      <c r="B757" s="369"/>
      <c r="C757" s="369"/>
      <c r="D757" s="369"/>
      <c r="E757" s="369"/>
      <c r="F757" s="452"/>
      <c r="G757" s="369"/>
      <c r="H757" s="369"/>
      <c r="I757" s="470"/>
      <c r="J757" s="369"/>
      <c r="K757" s="453"/>
      <c r="L757" s="454"/>
      <c r="M757" s="369"/>
      <c r="N757" s="369"/>
      <c r="O757" s="455"/>
    </row>
    <row r="758" spans="1:15" x14ac:dyDescent="0.25">
      <c r="A758" s="369"/>
      <c r="B758" s="369"/>
      <c r="C758" s="369"/>
      <c r="D758" s="369"/>
      <c r="E758" s="369"/>
      <c r="F758" s="452"/>
      <c r="G758" s="369"/>
      <c r="H758" s="369"/>
      <c r="I758" s="470"/>
      <c r="J758" s="369"/>
      <c r="K758" s="453"/>
      <c r="L758" s="454"/>
      <c r="M758" s="369"/>
      <c r="N758" s="369"/>
      <c r="O758" s="455"/>
    </row>
    <row r="759" spans="1:15" x14ac:dyDescent="0.25">
      <c r="A759" s="369"/>
      <c r="B759" s="369"/>
      <c r="C759" s="369"/>
      <c r="D759" s="369"/>
      <c r="E759" s="369"/>
      <c r="F759" s="452"/>
      <c r="G759" s="369"/>
      <c r="H759" s="369"/>
      <c r="I759" s="470"/>
      <c r="J759" s="369"/>
      <c r="K759" s="453"/>
      <c r="L759" s="454"/>
      <c r="M759" s="369"/>
      <c r="N759" s="369"/>
      <c r="O759" s="455"/>
    </row>
    <row r="760" spans="1:15" x14ac:dyDescent="0.25">
      <c r="A760" s="369"/>
      <c r="B760" s="369"/>
      <c r="C760" s="369"/>
      <c r="D760" s="369"/>
      <c r="E760" s="369"/>
      <c r="F760" s="452"/>
      <c r="G760" s="369"/>
      <c r="H760" s="369"/>
      <c r="I760" s="470"/>
      <c r="J760" s="369"/>
      <c r="K760" s="453"/>
      <c r="L760" s="454"/>
      <c r="M760" s="369"/>
      <c r="N760" s="369"/>
      <c r="O760" s="455"/>
    </row>
    <row r="761" spans="1:15" x14ac:dyDescent="0.25">
      <c r="A761" s="369"/>
      <c r="B761" s="369"/>
      <c r="C761" s="369"/>
      <c r="D761" s="369"/>
      <c r="E761" s="369"/>
      <c r="F761" s="452"/>
      <c r="G761" s="369"/>
      <c r="H761" s="369"/>
      <c r="I761" s="470"/>
      <c r="J761" s="369"/>
      <c r="K761" s="453"/>
      <c r="L761" s="454"/>
      <c r="M761" s="369"/>
      <c r="N761" s="369"/>
      <c r="O761" s="455"/>
    </row>
    <row r="762" spans="1:15" x14ac:dyDescent="0.25">
      <c r="A762" s="369"/>
      <c r="B762" s="369"/>
      <c r="C762" s="369"/>
      <c r="D762" s="369"/>
      <c r="E762" s="369"/>
      <c r="F762" s="452"/>
      <c r="G762" s="369"/>
      <c r="H762" s="369"/>
      <c r="I762" s="470"/>
      <c r="J762" s="369"/>
      <c r="K762" s="453"/>
      <c r="L762" s="454"/>
      <c r="M762" s="369"/>
      <c r="N762" s="369"/>
      <c r="O762" s="455"/>
    </row>
    <row r="763" spans="1:15" x14ac:dyDescent="0.25">
      <c r="A763" s="369"/>
      <c r="B763" s="369"/>
      <c r="C763" s="369"/>
      <c r="D763" s="369"/>
      <c r="E763" s="369"/>
      <c r="F763" s="452"/>
      <c r="G763" s="369"/>
      <c r="H763" s="369"/>
      <c r="I763" s="470"/>
      <c r="J763" s="369"/>
      <c r="K763" s="453"/>
      <c r="L763" s="454"/>
      <c r="M763" s="369"/>
      <c r="N763" s="369"/>
      <c r="O763" s="455"/>
    </row>
    <row r="764" spans="1:15" x14ac:dyDescent="0.25">
      <c r="A764" s="369"/>
      <c r="B764" s="369"/>
      <c r="C764" s="369"/>
      <c r="D764" s="369"/>
      <c r="E764" s="369"/>
      <c r="F764" s="452"/>
      <c r="G764" s="369"/>
      <c r="H764" s="369"/>
      <c r="I764" s="470"/>
      <c r="J764" s="369"/>
      <c r="K764" s="453"/>
      <c r="L764" s="454"/>
      <c r="M764" s="369"/>
      <c r="N764" s="369"/>
      <c r="O764" s="455"/>
    </row>
    <row r="765" spans="1:15" x14ac:dyDescent="0.25">
      <c r="A765" s="369"/>
      <c r="B765" s="369"/>
      <c r="C765" s="369"/>
      <c r="D765" s="369"/>
      <c r="E765" s="369"/>
      <c r="F765" s="452"/>
      <c r="G765" s="369"/>
      <c r="H765" s="369"/>
      <c r="I765" s="470"/>
      <c r="J765" s="369"/>
      <c r="K765" s="453"/>
      <c r="L765" s="454"/>
      <c r="M765" s="369"/>
      <c r="N765" s="369"/>
      <c r="O765" s="455"/>
    </row>
    <row r="766" spans="1:15" x14ac:dyDescent="0.25">
      <c r="A766" s="369"/>
      <c r="B766" s="369"/>
      <c r="C766" s="369"/>
      <c r="D766" s="369"/>
      <c r="E766" s="369"/>
      <c r="F766" s="452"/>
      <c r="G766" s="369"/>
      <c r="H766" s="369"/>
      <c r="I766" s="470"/>
      <c r="J766" s="369"/>
      <c r="K766" s="453"/>
      <c r="L766" s="454"/>
      <c r="M766" s="369"/>
      <c r="N766" s="369"/>
      <c r="O766" s="455"/>
    </row>
    <row r="767" spans="1:15" x14ac:dyDescent="0.25">
      <c r="A767" s="369"/>
      <c r="B767" s="369"/>
      <c r="C767" s="369"/>
      <c r="D767" s="369"/>
      <c r="E767" s="369"/>
      <c r="F767" s="452"/>
      <c r="G767" s="369"/>
      <c r="H767" s="369"/>
      <c r="I767" s="470"/>
      <c r="J767" s="369"/>
      <c r="K767" s="453"/>
      <c r="L767" s="454"/>
      <c r="M767" s="369"/>
      <c r="N767" s="369"/>
      <c r="O767" s="455"/>
    </row>
    <row r="768" spans="1:15" x14ac:dyDescent="0.25">
      <c r="A768" s="369"/>
      <c r="B768" s="369"/>
      <c r="C768" s="369"/>
      <c r="D768" s="369"/>
      <c r="E768" s="369"/>
      <c r="F768" s="452"/>
      <c r="G768" s="369"/>
      <c r="H768" s="369"/>
      <c r="I768" s="470"/>
      <c r="J768" s="369"/>
      <c r="K768" s="453"/>
      <c r="L768" s="454"/>
      <c r="M768" s="369"/>
      <c r="N768" s="369"/>
      <c r="O768" s="455"/>
    </row>
    <row r="769" spans="1:15" x14ac:dyDescent="0.25">
      <c r="A769" s="369"/>
      <c r="B769" s="369"/>
      <c r="C769" s="369"/>
      <c r="D769" s="369"/>
      <c r="E769" s="369"/>
      <c r="F769" s="452"/>
      <c r="G769" s="369"/>
      <c r="H769" s="369"/>
      <c r="I769" s="470"/>
      <c r="J769" s="369"/>
      <c r="K769" s="453"/>
      <c r="L769" s="454"/>
      <c r="M769" s="369"/>
      <c r="N769" s="369"/>
      <c r="O769" s="455"/>
    </row>
    <row r="770" spans="1:15" x14ac:dyDescent="0.25">
      <c r="A770" s="369"/>
      <c r="B770" s="369"/>
      <c r="C770" s="369"/>
      <c r="D770" s="369"/>
      <c r="E770" s="369"/>
      <c r="F770" s="452"/>
      <c r="G770" s="369"/>
      <c r="H770" s="369"/>
      <c r="I770" s="470"/>
      <c r="J770" s="369"/>
      <c r="K770" s="453"/>
      <c r="L770" s="454"/>
      <c r="M770" s="369"/>
      <c r="N770" s="369"/>
      <c r="O770" s="455"/>
    </row>
    <row r="771" spans="1:15" x14ac:dyDescent="0.25">
      <c r="A771" s="369"/>
      <c r="B771" s="369"/>
      <c r="C771" s="369"/>
      <c r="D771" s="369"/>
      <c r="E771" s="369"/>
      <c r="F771" s="452"/>
      <c r="G771" s="369"/>
      <c r="H771" s="369"/>
      <c r="I771" s="470"/>
      <c r="J771" s="369"/>
      <c r="K771" s="453"/>
      <c r="L771" s="454"/>
      <c r="M771" s="369"/>
      <c r="N771" s="369"/>
      <c r="O771" s="455"/>
    </row>
    <row r="772" spans="1:15" x14ac:dyDescent="0.25">
      <c r="A772" s="369"/>
      <c r="B772" s="369"/>
      <c r="C772" s="369"/>
      <c r="D772" s="369"/>
      <c r="E772" s="369"/>
      <c r="F772" s="452"/>
      <c r="G772" s="369"/>
      <c r="H772" s="369"/>
      <c r="I772" s="470"/>
      <c r="J772" s="369"/>
      <c r="K772" s="453"/>
      <c r="L772" s="454"/>
      <c r="M772" s="369"/>
      <c r="N772" s="369"/>
      <c r="O772" s="455"/>
    </row>
    <row r="773" spans="1:15" x14ac:dyDescent="0.25">
      <c r="A773" s="369"/>
      <c r="B773" s="369"/>
      <c r="C773" s="369"/>
      <c r="D773" s="369"/>
      <c r="E773" s="369"/>
      <c r="F773" s="452"/>
      <c r="G773" s="369"/>
      <c r="H773" s="369"/>
      <c r="I773" s="470"/>
      <c r="J773" s="369"/>
      <c r="K773" s="453"/>
      <c r="L773" s="454"/>
      <c r="M773" s="369"/>
      <c r="N773" s="369"/>
      <c r="O773" s="455"/>
    </row>
    <row r="774" spans="1:15" x14ac:dyDescent="0.25">
      <c r="A774" s="369"/>
      <c r="B774" s="369"/>
      <c r="C774" s="369"/>
      <c r="D774" s="369"/>
      <c r="E774" s="369"/>
      <c r="F774" s="452"/>
      <c r="G774" s="369"/>
      <c r="H774" s="369"/>
      <c r="I774" s="470"/>
      <c r="J774" s="369"/>
      <c r="K774" s="453"/>
      <c r="L774" s="454"/>
      <c r="M774" s="369"/>
      <c r="N774" s="369"/>
      <c r="O774" s="455"/>
    </row>
    <row r="775" spans="1:15" x14ac:dyDescent="0.25">
      <c r="A775" s="369"/>
      <c r="B775" s="369"/>
      <c r="C775" s="369"/>
      <c r="D775" s="369"/>
      <c r="E775" s="369"/>
      <c r="F775" s="452"/>
      <c r="G775" s="369"/>
      <c r="H775" s="369"/>
      <c r="I775" s="470"/>
      <c r="J775" s="369"/>
      <c r="K775" s="453"/>
      <c r="L775" s="454"/>
      <c r="M775" s="369"/>
      <c r="N775" s="369"/>
      <c r="O775" s="455"/>
    </row>
    <row r="776" spans="1:15" x14ac:dyDescent="0.25">
      <c r="A776" s="369"/>
      <c r="B776" s="369"/>
      <c r="C776" s="369"/>
      <c r="D776" s="369"/>
      <c r="E776" s="369"/>
      <c r="F776" s="452"/>
      <c r="G776" s="369"/>
      <c r="H776" s="369"/>
      <c r="I776" s="470"/>
      <c r="J776" s="369"/>
      <c r="K776" s="453"/>
      <c r="L776" s="454"/>
      <c r="M776" s="369"/>
      <c r="N776" s="369"/>
      <c r="O776" s="455"/>
    </row>
    <row r="777" spans="1:15" x14ac:dyDescent="0.25">
      <c r="A777" s="369"/>
      <c r="B777" s="369"/>
      <c r="C777" s="369"/>
      <c r="D777" s="369"/>
      <c r="E777" s="369"/>
      <c r="F777" s="452"/>
      <c r="G777" s="369"/>
      <c r="H777" s="369"/>
      <c r="I777" s="470"/>
      <c r="J777" s="369"/>
      <c r="K777" s="453"/>
      <c r="L777" s="454"/>
      <c r="M777" s="369"/>
      <c r="N777" s="369"/>
      <c r="O777" s="455"/>
    </row>
    <row r="778" spans="1:15" x14ac:dyDescent="0.25">
      <c r="A778" s="369"/>
      <c r="B778" s="369"/>
      <c r="C778" s="369"/>
      <c r="D778" s="369"/>
      <c r="E778" s="369"/>
      <c r="F778" s="452"/>
      <c r="G778" s="369"/>
      <c r="H778" s="369"/>
      <c r="I778" s="470"/>
      <c r="J778" s="369"/>
      <c r="K778" s="453"/>
      <c r="L778" s="454"/>
      <c r="M778" s="369"/>
      <c r="N778" s="369"/>
      <c r="O778" s="455"/>
    </row>
    <row r="779" spans="1:15" x14ac:dyDescent="0.25">
      <c r="A779" s="369"/>
      <c r="B779" s="369"/>
      <c r="C779" s="369"/>
      <c r="D779" s="369"/>
      <c r="E779" s="369"/>
      <c r="F779" s="452"/>
      <c r="G779" s="369"/>
      <c r="H779" s="369"/>
      <c r="I779" s="470"/>
      <c r="J779" s="369"/>
      <c r="K779" s="453"/>
      <c r="L779" s="454"/>
      <c r="M779" s="369"/>
      <c r="N779" s="369"/>
      <c r="O779" s="455"/>
    </row>
    <row r="780" spans="1:15" x14ac:dyDescent="0.25">
      <c r="A780" s="369"/>
      <c r="B780" s="369"/>
      <c r="C780" s="369"/>
      <c r="D780" s="369"/>
      <c r="E780" s="369"/>
      <c r="F780" s="452"/>
      <c r="G780" s="369"/>
      <c r="H780" s="369"/>
      <c r="I780" s="470"/>
      <c r="J780" s="369"/>
      <c r="K780" s="453"/>
      <c r="L780" s="454"/>
      <c r="M780" s="369"/>
      <c r="N780" s="369"/>
      <c r="O780" s="455"/>
    </row>
    <row r="781" spans="1:15" x14ac:dyDescent="0.25">
      <c r="A781" s="369"/>
      <c r="B781" s="369"/>
      <c r="C781" s="369"/>
      <c r="D781" s="369"/>
      <c r="E781" s="369"/>
      <c r="F781" s="452"/>
      <c r="G781" s="369"/>
      <c r="H781" s="369"/>
      <c r="I781" s="470"/>
      <c r="J781" s="369"/>
      <c r="K781" s="453"/>
      <c r="L781" s="454"/>
      <c r="M781" s="369"/>
      <c r="N781" s="369"/>
      <c r="O781" s="455"/>
    </row>
    <row r="782" spans="1:15" x14ac:dyDescent="0.25">
      <c r="A782" s="369"/>
      <c r="B782" s="369"/>
      <c r="C782" s="369"/>
      <c r="D782" s="369"/>
      <c r="E782" s="369"/>
      <c r="F782" s="452"/>
      <c r="G782" s="369"/>
      <c r="H782" s="369"/>
      <c r="I782" s="470"/>
      <c r="J782" s="369"/>
      <c r="K782" s="453"/>
      <c r="L782" s="454"/>
      <c r="M782" s="369"/>
      <c r="N782" s="369"/>
      <c r="O782" s="455"/>
    </row>
    <row r="783" spans="1:15" x14ac:dyDescent="0.25">
      <c r="A783" s="369"/>
      <c r="B783" s="369"/>
      <c r="C783" s="369"/>
      <c r="D783" s="369"/>
      <c r="E783" s="369"/>
      <c r="F783" s="452"/>
      <c r="G783" s="369"/>
      <c r="H783" s="369"/>
      <c r="I783" s="470"/>
      <c r="J783" s="369"/>
      <c r="K783" s="453"/>
      <c r="L783" s="454"/>
      <c r="M783" s="369"/>
      <c r="N783" s="369"/>
      <c r="O783" s="455"/>
    </row>
    <row r="784" spans="1:15" x14ac:dyDescent="0.25">
      <c r="A784" s="369"/>
      <c r="B784" s="369"/>
      <c r="C784" s="369"/>
      <c r="D784" s="369"/>
      <c r="E784" s="369"/>
      <c r="F784" s="452"/>
      <c r="G784" s="369"/>
      <c r="H784" s="369"/>
      <c r="I784" s="470"/>
      <c r="J784" s="369"/>
      <c r="K784" s="453"/>
      <c r="L784" s="454"/>
      <c r="M784" s="369"/>
      <c r="N784" s="369"/>
      <c r="O784" s="455"/>
    </row>
    <row r="785" spans="1:15" x14ac:dyDescent="0.25">
      <c r="A785" s="369"/>
      <c r="B785" s="369"/>
      <c r="C785" s="369"/>
      <c r="D785" s="369"/>
      <c r="E785" s="369"/>
      <c r="F785" s="452"/>
      <c r="G785" s="369"/>
      <c r="H785" s="369"/>
      <c r="I785" s="470"/>
      <c r="J785" s="369"/>
      <c r="K785" s="453"/>
      <c r="L785" s="454"/>
      <c r="M785" s="369"/>
      <c r="N785" s="369"/>
      <c r="O785" s="455"/>
    </row>
    <row r="786" spans="1:15" x14ac:dyDescent="0.25">
      <c r="A786" s="369"/>
      <c r="B786" s="369"/>
      <c r="C786" s="369"/>
      <c r="D786" s="369"/>
      <c r="E786" s="369"/>
      <c r="F786" s="452"/>
      <c r="G786" s="369"/>
      <c r="H786" s="369"/>
      <c r="I786" s="470"/>
      <c r="J786" s="369"/>
      <c r="K786" s="453"/>
      <c r="L786" s="454"/>
      <c r="M786" s="369"/>
      <c r="N786" s="369"/>
      <c r="O786" s="455"/>
    </row>
    <row r="787" spans="1:15" x14ac:dyDescent="0.25">
      <c r="A787" s="369"/>
      <c r="B787" s="369"/>
      <c r="C787" s="369"/>
      <c r="D787" s="369"/>
      <c r="E787" s="369"/>
      <c r="F787" s="452"/>
      <c r="G787" s="369"/>
      <c r="H787" s="369"/>
      <c r="I787" s="470"/>
      <c r="J787" s="369"/>
      <c r="K787" s="453"/>
      <c r="L787" s="454"/>
      <c r="M787" s="369"/>
      <c r="N787" s="369"/>
      <c r="O787" s="455"/>
    </row>
    <row r="788" spans="1:15" x14ac:dyDescent="0.25">
      <c r="A788" s="369"/>
      <c r="B788" s="369"/>
      <c r="C788" s="369"/>
      <c r="D788" s="369"/>
      <c r="E788" s="369"/>
      <c r="F788" s="452"/>
      <c r="G788" s="369"/>
      <c r="H788" s="369"/>
      <c r="I788" s="470"/>
      <c r="J788" s="369"/>
      <c r="K788" s="453"/>
      <c r="L788" s="454"/>
      <c r="M788" s="369"/>
      <c r="N788" s="369"/>
      <c r="O788" s="455"/>
    </row>
    <row r="789" spans="1:15" x14ac:dyDescent="0.25">
      <c r="A789" s="369"/>
      <c r="B789" s="369"/>
      <c r="C789" s="369"/>
      <c r="D789" s="369"/>
      <c r="E789" s="369"/>
      <c r="F789" s="452"/>
      <c r="G789" s="369"/>
      <c r="H789" s="369"/>
      <c r="I789" s="470"/>
      <c r="J789" s="369"/>
      <c r="K789" s="453"/>
      <c r="L789" s="454"/>
      <c r="M789" s="369"/>
      <c r="N789" s="369"/>
      <c r="O789" s="455"/>
    </row>
    <row r="790" spans="1:15" x14ac:dyDescent="0.25">
      <c r="A790" s="369"/>
      <c r="B790" s="369"/>
      <c r="C790" s="369"/>
      <c r="D790" s="369"/>
      <c r="E790" s="369"/>
      <c r="F790" s="452"/>
      <c r="G790" s="369"/>
      <c r="H790" s="369"/>
      <c r="I790" s="470"/>
      <c r="J790" s="369"/>
      <c r="K790" s="453"/>
      <c r="L790" s="454"/>
      <c r="M790" s="369"/>
      <c r="N790" s="369"/>
      <c r="O790" s="455"/>
    </row>
    <row r="791" spans="1:15" x14ac:dyDescent="0.25">
      <c r="A791" s="369"/>
      <c r="B791" s="369"/>
      <c r="C791" s="369"/>
      <c r="D791" s="369"/>
      <c r="E791" s="369"/>
      <c r="F791" s="452"/>
      <c r="G791" s="369"/>
      <c r="H791" s="369"/>
      <c r="I791" s="470"/>
      <c r="J791" s="369"/>
      <c r="K791" s="453"/>
      <c r="L791" s="454"/>
      <c r="M791" s="369"/>
      <c r="N791" s="369"/>
      <c r="O791" s="455"/>
    </row>
    <row r="792" spans="1:15" x14ac:dyDescent="0.25">
      <c r="A792" s="369"/>
      <c r="B792" s="369"/>
      <c r="C792" s="369"/>
      <c r="D792" s="369"/>
      <c r="E792" s="369"/>
      <c r="F792" s="452"/>
      <c r="G792" s="369"/>
      <c r="H792" s="369"/>
      <c r="I792" s="470"/>
      <c r="J792" s="369"/>
      <c r="K792" s="453"/>
      <c r="L792" s="454"/>
      <c r="M792" s="369"/>
      <c r="N792" s="369"/>
      <c r="O792" s="455"/>
    </row>
    <row r="793" spans="1:15" x14ac:dyDescent="0.25">
      <c r="A793" s="369"/>
      <c r="B793" s="369"/>
      <c r="C793" s="369"/>
      <c r="D793" s="369"/>
      <c r="E793" s="369"/>
      <c r="F793" s="452"/>
      <c r="G793" s="369"/>
      <c r="H793" s="369"/>
      <c r="I793" s="470"/>
      <c r="J793" s="369"/>
      <c r="K793" s="453"/>
      <c r="L793" s="454"/>
      <c r="M793" s="369"/>
      <c r="N793" s="369"/>
      <c r="O793" s="455"/>
    </row>
    <row r="794" spans="1:15" x14ac:dyDescent="0.25">
      <c r="A794" s="369"/>
      <c r="B794" s="369"/>
      <c r="C794" s="369"/>
      <c r="D794" s="369"/>
      <c r="E794" s="369"/>
      <c r="F794" s="452"/>
      <c r="G794" s="369"/>
      <c r="H794" s="369"/>
      <c r="I794" s="470"/>
      <c r="J794" s="369"/>
      <c r="K794" s="453"/>
      <c r="L794" s="454"/>
      <c r="M794" s="369"/>
      <c r="N794" s="369"/>
      <c r="O794" s="455"/>
    </row>
    <row r="795" spans="1:15" x14ac:dyDescent="0.25">
      <c r="A795" s="369"/>
      <c r="B795" s="369"/>
      <c r="C795" s="369"/>
      <c r="D795" s="369"/>
      <c r="E795" s="369"/>
      <c r="F795" s="452"/>
      <c r="G795" s="369"/>
      <c r="H795" s="369"/>
      <c r="I795" s="470"/>
      <c r="J795" s="369"/>
      <c r="K795" s="453"/>
      <c r="L795" s="454"/>
      <c r="M795" s="369"/>
      <c r="N795" s="369"/>
      <c r="O795" s="455"/>
    </row>
    <row r="796" spans="1:15" x14ac:dyDescent="0.25">
      <c r="A796" s="369"/>
      <c r="B796" s="369"/>
      <c r="C796" s="369"/>
      <c r="D796" s="369"/>
      <c r="E796" s="369"/>
      <c r="F796" s="452"/>
      <c r="G796" s="369"/>
      <c r="H796" s="369"/>
      <c r="I796" s="470"/>
      <c r="J796" s="369"/>
      <c r="K796" s="453"/>
      <c r="L796" s="454"/>
      <c r="M796" s="369"/>
      <c r="N796" s="369"/>
      <c r="O796" s="455"/>
    </row>
    <row r="797" spans="1:15" x14ac:dyDescent="0.25">
      <c r="A797" s="369"/>
      <c r="B797" s="369"/>
      <c r="C797" s="369"/>
      <c r="D797" s="369"/>
      <c r="E797" s="369"/>
      <c r="F797" s="452"/>
      <c r="G797" s="369"/>
      <c r="H797" s="369"/>
      <c r="I797" s="470"/>
      <c r="J797" s="369"/>
      <c r="K797" s="453"/>
      <c r="L797" s="454"/>
      <c r="M797" s="369"/>
      <c r="N797" s="369"/>
      <c r="O797" s="455"/>
    </row>
    <row r="798" spans="1:15" x14ac:dyDescent="0.25">
      <c r="A798" s="369"/>
      <c r="B798" s="369"/>
      <c r="C798" s="369"/>
      <c r="D798" s="369"/>
      <c r="E798" s="369"/>
      <c r="F798" s="452"/>
      <c r="G798" s="369"/>
      <c r="H798" s="369"/>
      <c r="I798" s="470"/>
      <c r="J798" s="369"/>
      <c r="K798" s="453"/>
      <c r="L798" s="454"/>
      <c r="M798" s="369"/>
      <c r="N798" s="369"/>
      <c r="O798" s="455"/>
    </row>
    <row r="799" spans="1:15" x14ac:dyDescent="0.25">
      <c r="A799" s="369"/>
      <c r="B799" s="369"/>
      <c r="C799" s="369"/>
      <c r="D799" s="369"/>
      <c r="E799" s="369"/>
      <c r="F799" s="452"/>
      <c r="G799" s="369"/>
      <c r="H799" s="369"/>
      <c r="I799" s="470"/>
      <c r="J799" s="369"/>
      <c r="K799" s="453"/>
      <c r="L799" s="454"/>
      <c r="M799" s="369"/>
      <c r="N799" s="369"/>
      <c r="O799" s="455"/>
    </row>
    <row r="800" spans="1:15" x14ac:dyDescent="0.25">
      <c r="A800" s="369"/>
      <c r="B800" s="369"/>
      <c r="C800" s="369"/>
      <c r="D800" s="369"/>
      <c r="E800" s="369"/>
      <c r="F800" s="452"/>
      <c r="G800" s="369"/>
      <c r="H800" s="369"/>
      <c r="I800" s="470"/>
      <c r="J800" s="369"/>
      <c r="K800" s="453"/>
      <c r="L800" s="454"/>
      <c r="M800" s="369"/>
      <c r="N800" s="369"/>
      <c r="O800" s="455"/>
    </row>
    <row r="801" spans="1:15" x14ac:dyDescent="0.25">
      <c r="A801" s="369"/>
      <c r="B801" s="369"/>
      <c r="C801" s="369"/>
      <c r="D801" s="369"/>
      <c r="E801" s="369"/>
      <c r="F801" s="452"/>
      <c r="G801" s="369"/>
      <c r="H801" s="369"/>
      <c r="I801" s="470"/>
      <c r="J801" s="369"/>
      <c r="K801" s="453"/>
      <c r="L801" s="454"/>
      <c r="M801" s="369"/>
      <c r="N801" s="369"/>
      <c r="O801" s="455"/>
    </row>
    <row r="802" spans="1:15" x14ac:dyDescent="0.25">
      <c r="A802" s="369"/>
      <c r="B802" s="369"/>
      <c r="C802" s="369"/>
      <c r="D802" s="369"/>
      <c r="E802" s="369"/>
      <c r="F802" s="452"/>
      <c r="G802" s="369"/>
      <c r="H802" s="369"/>
      <c r="I802" s="470"/>
      <c r="J802" s="369"/>
      <c r="K802" s="453"/>
      <c r="L802" s="454"/>
      <c r="M802" s="369"/>
      <c r="N802" s="369"/>
      <c r="O802" s="455"/>
    </row>
    <row r="803" spans="1:15" x14ac:dyDescent="0.25">
      <c r="A803" s="369"/>
      <c r="B803" s="369"/>
      <c r="C803" s="369"/>
      <c r="D803" s="369"/>
      <c r="E803" s="369"/>
      <c r="F803" s="452"/>
      <c r="G803" s="369"/>
      <c r="H803" s="369"/>
      <c r="I803" s="470"/>
      <c r="J803" s="369"/>
      <c r="K803" s="453"/>
      <c r="L803" s="454"/>
      <c r="M803" s="369"/>
      <c r="N803" s="369"/>
      <c r="O803" s="455"/>
    </row>
    <row r="804" spans="1:15" x14ac:dyDescent="0.25">
      <c r="A804" s="369"/>
      <c r="B804" s="369"/>
      <c r="C804" s="369"/>
      <c r="D804" s="369"/>
      <c r="E804" s="369"/>
      <c r="F804" s="452"/>
      <c r="G804" s="369"/>
      <c r="H804" s="369"/>
      <c r="I804" s="470"/>
      <c r="J804" s="369"/>
      <c r="K804" s="453"/>
      <c r="L804" s="454"/>
      <c r="M804" s="369"/>
      <c r="N804" s="369"/>
      <c r="O804" s="455"/>
    </row>
    <row r="805" spans="1:15" x14ac:dyDescent="0.25">
      <c r="A805" s="369"/>
      <c r="B805" s="369"/>
      <c r="C805" s="369"/>
      <c r="D805" s="369"/>
      <c r="E805" s="369"/>
      <c r="F805" s="452"/>
      <c r="G805" s="369"/>
      <c r="H805" s="369"/>
      <c r="I805" s="470"/>
      <c r="J805" s="369"/>
      <c r="K805" s="453"/>
      <c r="L805" s="454"/>
      <c r="M805" s="369"/>
      <c r="N805" s="369"/>
      <c r="O805" s="455"/>
    </row>
    <row r="806" spans="1:15" x14ac:dyDescent="0.25">
      <c r="A806" s="369"/>
      <c r="B806" s="369"/>
      <c r="C806" s="369"/>
      <c r="D806" s="369"/>
      <c r="E806" s="369"/>
      <c r="F806" s="452"/>
      <c r="G806" s="369"/>
      <c r="H806" s="369"/>
      <c r="I806" s="470"/>
      <c r="J806" s="369"/>
      <c r="K806" s="453"/>
      <c r="L806" s="454"/>
      <c r="M806" s="369"/>
      <c r="N806" s="369"/>
      <c r="O806" s="455"/>
    </row>
    <row r="807" spans="1:15" x14ac:dyDescent="0.25">
      <c r="A807" s="369"/>
      <c r="B807" s="369"/>
      <c r="C807" s="369"/>
      <c r="D807" s="369"/>
      <c r="E807" s="369"/>
      <c r="F807" s="452"/>
      <c r="G807" s="369"/>
      <c r="H807" s="369"/>
      <c r="I807" s="470"/>
      <c r="J807" s="369"/>
      <c r="K807" s="453"/>
      <c r="L807" s="454"/>
      <c r="M807" s="369"/>
      <c r="N807" s="369"/>
      <c r="O807" s="455"/>
    </row>
    <row r="808" spans="1:15" x14ac:dyDescent="0.25">
      <c r="A808" s="369"/>
      <c r="B808" s="369"/>
      <c r="C808" s="369"/>
      <c r="D808" s="369"/>
      <c r="E808" s="369"/>
      <c r="F808" s="452"/>
      <c r="G808" s="369"/>
      <c r="H808" s="369"/>
      <c r="I808" s="470"/>
      <c r="J808" s="369"/>
      <c r="K808" s="453"/>
      <c r="L808" s="454"/>
      <c r="M808" s="369"/>
      <c r="N808" s="369"/>
      <c r="O808" s="455"/>
    </row>
    <row r="809" spans="1:15" x14ac:dyDescent="0.25">
      <c r="A809" s="369"/>
      <c r="B809" s="369"/>
      <c r="C809" s="369"/>
      <c r="D809" s="369"/>
      <c r="E809" s="369"/>
      <c r="F809" s="452"/>
      <c r="G809" s="369"/>
      <c r="H809" s="369"/>
      <c r="I809" s="470"/>
      <c r="J809" s="369"/>
      <c r="K809" s="453"/>
      <c r="L809" s="454"/>
      <c r="M809" s="369"/>
      <c r="N809" s="369"/>
      <c r="O809" s="455"/>
    </row>
    <row r="810" spans="1:15" x14ac:dyDescent="0.25">
      <c r="A810" s="369"/>
      <c r="B810" s="369"/>
      <c r="C810" s="369"/>
      <c r="D810" s="369"/>
      <c r="E810" s="369"/>
      <c r="F810" s="452"/>
      <c r="G810" s="369"/>
      <c r="H810" s="369"/>
      <c r="I810" s="470"/>
      <c r="J810" s="369"/>
      <c r="K810" s="453"/>
      <c r="L810" s="454"/>
      <c r="M810" s="369"/>
      <c r="N810" s="369"/>
      <c r="O810" s="455"/>
    </row>
    <row r="811" spans="1:15" x14ac:dyDescent="0.25">
      <c r="A811" s="369"/>
      <c r="B811" s="369"/>
      <c r="C811" s="369"/>
      <c r="D811" s="369"/>
      <c r="E811" s="369"/>
      <c r="F811" s="452"/>
      <c r="G811" s="369"/>
      <c r="H811" s="369"/>
      <c r="I811" s="470"/>
      <c r="J811" s="369"/>
      <c r="K811" s="453"/>
      <c r="L811" s="454"/>
      <c r="M811" s="369"/>
      <c r="N811" s="369"/>
      <c r="O811" s="455"/>
    </row>
    <row r="812" spans="1:15" x14ac:dyDescent="0.25">
      <c r="A812" s="369"/>
      <c r="B812" s="369"/>
      <c r="C812" s="369"/>
      <c r="D812" s="369"/>
      <c r="E812" s="369"/>
      <c r="F812" s="452"/>
      <c r="G812" s="369"/>
      <c r="H812" s="369"/>
      <c r="I812" s="470"/>
      <c r="J812" s="369"/>
      <c r="K812" s="453"/>
      <c r="L812" s="454"/>
      <c r="M812" s="369"/>
      <c r="N812" s="369"/>
      <c r="O812" s="455"/>
    </row>
    <row r="813" spans="1:15" x14ac:dyDescent="0.25">
      <c r="A813" s="369"/>
      <c r="B813" s="369"/>
      <c r="C813" s="369"/>
      <c r="D813" s="369"/>
      <c r="E813" s="369"/>
      <c r="F813" s="452"/>
      <c r="G813" s="369"/>
      <c r="H813" s="369"/>
      <c r="I813" s="470"/>
      <c r="J813" s="369"/>
      <c r="K813" s="453"/>
      <c r="L813" s="454"/>
      <c r="M813" s="369"/>
      <c r="N813" s="369"/>
      <c r="O813" s="455"/>
    </row>
    <row r="814" spans="1:15" x14ac:dyDescent="0.25">
      <c r="A814" s="369"/>
      <c r="B814" s="369"/>
      <c r="C814" s="369"/>
      <c r="D814" s="369"/>
      <c r="E814" s="369"/>
      <c r="F814" s="452"/>
      <c r="G814" s="369"/>
      <c r="H814" s="369"/>
      <c r="I814" s="470"/>
      <c r="J814" s="369"/>
      <c r="K814" s="453"/>
      <c r="L814" s="454"/>
      <c r="M814" s="369"/>
      <c r="N814" s="369"/>
      <c r="O814" s="455"/>
    </row>
    <row r="815" spans="1:15" x14ac:dyDescent="0.25">
      <c r="A815" s="369"/>
      <c r="B815" s="369"/>
      <c r="C815" s="369"/>
      <c r="D815" s="369"/>
      <c r="E815" s="369"/>
      <c r="F815" s="452"/>
      <c r="G815" s="369"/>
      <c r="H815" s="369"/>
      <c r="I815" s="470"/>
      <c r="J815" s="369"/>
      <c r="K815" s="453"/>
      <c r="L815" s="454"/>
      <c r="M815" s="369"/>
      <c r="N815" s="369"/>
      <c r="O815" s="455"/>
    </row>
    <row r="816" spans="1:15" x14ac:dyDescent="0.25">
      <c r="A816" s="369"/>
      <c r="B816" s="369"/>
      <c r="C816" s="369"/>
      <c r="D816" s="369"/>
      <c r="E816" s="369"/>
      <c r="F816" s="452"/>
      <c r="G816" s="369"/>
      <c r="H816" s="369"/>
      <c r="I816" s="470"/>
      <c r="J816" s="369"/>
      <c r="K816" s="453"/>
      <c r="L816" s="454"/>
      <c r="M816" s="369"/>
      <c r="N816" s="369"/>
      <c r="O816" s="455"/>
    </row>
    <row r="817" spans="1:15" x14ac:dyDescent="0.25">
      <c r="A817" s="369"/>
      <c r="B817" s="369"/>
      <c r="C817" s="369"/>
      <c r="D817" s="369"/>
      <c r="E817" s="369"/>
      <c r="F817" s="452"/>
      <c r="G817" s="369"/>
      <c r="H817" s="369"/>
      <c r="I817" s="470"/>
      <c r="J817" s="369"/>
      <c r="K817" s="453"/>
      <c r="L817" s="454"/>
      <c r="M817" s="369"/>
      <c r="N817" s="369"/>
      <c r="O817" s="455"/>
    </row>
    <row r="818" spans="1:15" x14ac:dyDescent="0.25">
      <c r="A818" s="369"/>
      <c r="B818" s="369"/>
      <c r="C818" s="369"/>
      <c r="D818" s="369"/>
      <c r="E818" s="369"/>
      <c r="F818" s="452"/>
      <c r="G818" s="369"/>
      <c r="H818" s="369"/>
      <c r="I818" s="470"/>
      <c r="J818" s="369"/>
      <c r="K818" s="453"/>
      <c r="L818" s="454"/>
      <c r="M818" s="369"/>
      <c r="N818" s="369"/>
      <c r="O818" s="455"/>
    </row>
    <row r="819" spans="1:15" x14ac:dyDescent="0.25">
      <c r="A819" s="369"/>
      <c r="B819" s="369"/>
      <c r="C819" s="369"/>
      <c r="D819" s="369"/>
      <c r="E819" s="369"/>
      <c r="F819" s="452"/>
      <c r="G819" s="369"/>
      <c r="H819" s="369"/>
      <c r="I819" s="470"/>
      <c r="J819" s="369"/>
      <c r="K819" s="453"/>
      <c r="L819" s="454"/>
      <c r="M819" s="369"/>
      <c r="N819" s="369"/>
      <c r="O819" s="455"/>
    </row>
    <row r="820" spans="1:15" x14ac:dyDescent="0.25">
      <c r="A820" s="369"/>
      <c r="B820" s="369"/>
      <c r="C820" s="369"/>
      <c r="D820" s="369"/>
      <c r="E820" s="369"/>
      <c r="F820" s="452"/>
      <c r="G820" s="369"/>
      <c r="H820" s="369"/>
      <c r="I820" s="470"/>
      <c r="J820" s="369"/>
      <c r="K820" s="453"/>
      <c r="L820" s="454"/>
      <c r="M820" s="369"/>
      <c r="N820" s="369"/>
      <c r="O820" s="455"/>
    </row>
    <row r="821" spans="1:15" x14ac:dyDescent="0.25">
      <c r="A821" s="369"/>
      <c r="B821" s="369"/>
      <c r="C821" s="369"/>
      <c r="D821" s="369"/>
      <c r="E821" s="369"/>
      <c r="F821" s="452"/>
      <c r="G821" s="369"/>
      <c r="H821" s="369"/>
      <c r="I821" s="470"/>
      <c r="J821" s="369"/>
      <c r="K821" s="453"/>
      <c r="L821" s="454"/>
      <c r="M821" s="369"/>
      <c r="N821" s="369"/>
      <c r="O821" s="455"/>
    </row>
    <row r="822" spans="1:15" x14ac:dyDescent="0.25">
      <c r="A822" s="369"/>
      <c r="B822" s="369"/>
      <c r="C822" s="369"/>
      <c r="D822" s="369"/>
      <c r="E822" s="369"/>
      <c r="F822" s="452"/>
      <c r="G822" s="369"/>
      <c r="H822" s="369"/>
      <c r="I822" s="470"/>
      <c r="J822" s="369"/>
      <c r="K822" s="453"/>
      <c r="L822" s="454"/>
      <c r="M822" s="369"/>
      <c r="N822" s="369"/>
      <c r="O822" s="455"/>
    </row>
    <row r="823" spans="1:15" x14ac:dyDescent="0.25">
      <c r="A823" s="369"/>
      <c r="B823" s="369"/>
      <c r="C823" s="369"/>
      <c r="D823" s="369"/>
      <c r="E823" s="369"/>
      <c r="F823" s="452"/>
      <c r="G823" s="369"/>
      <c r="H823" s="369"/>
      <c r="I823" s="470"/>
      <c r="J823" s="369"/>
      <c r="K823" s="453"/>
      <c r="L823" s="454"/>
      <c r="M823" s="369"/>
      <c r="N823" s="369"/>
      <c r="O823" s="455"/>
    </row>
    <row r="824" spans="1:15" x14ac:dyDescent="0.25">
      <c r="A824" s="369"/>
      <c r="B824" s="369"/>
      <c r="C824" s="369"/>
      <c r="D824" s="369"/>
      <c r="E824" s="369"/>
      <c r="F824" s="452"/>
      <c r="G824" s="369"/>
      <c r="H824" s="369"/>
      <c r="I824" s="470"/>
      <c r="J824" s="369"/>
      <c r="K824" s="453"/>
      <c r="L824" s="454"/>
      <c r="M824" s="369"/>
      <c r="N824" s="369"/>
      <c r="O824" s="455"/>
    </row>
    <row r="825" spans="1:15" x14ac:dyDescent="0.25">
      <c r="A825" s="369"/>
      <c r="B825" s="369"/>
      <c r="C825" s="369"/>
      <c r="D825" s="369"/>
      <c r="E825" s="369"/>
      <c r="F825" s="452"/>
      <c r="G825" s="369"/>
      <c r="H825" s="369"/>
      <c r="I825" s="470"/>
      <c r="J825" s="369"/>
      <c r="K825" s="453"/>
      <c r="L825" s="454"/>
      <c r="M825" s="369"/>
      <c r="N825" s="369"/>
      <c r="O825" s="455"/>
    </row>
    <row r="826" spans="1:15" x14ac:dyDescent="0.25">
      <c r="A826" s="369"/>
      <c r="B826" s="369"/>
      <c r="C826" s="369"/>
      <c r="D826" s="369"/>
      <c r="E826" s="369"/>
      <c r="F826" s="452"/>
      <c r="G826" s="369"/>
      <c r="H826" s="369"/>
      <c r="I826" s="470"/>
      <c r="J826" s="369"/>
      <c r="K826" s="453"/>
      <c r="L826" s="454"/>
      <c r="M826" s="369"/>
      <c r="N826" s="369"/>
      <c r="O826" s="455"/>
    </row>
    <row r="827" spans="1:15" x14ac:dyDescent="0.25">
      <c r="A827" s="369"/>
      <c r="B827" s="369"/>
      <c r="C827" s="369"/>
      <c r="D827" s="369"/>
      <c r="E827" s="369"/>
      <c r="F827" s="452"/>
      <c r="G827" s="369"/>
      <c r="H827" s="369"/>
      <c r="I827" s="470"/>
      <c r="J827" s="369"/>
      <c r="K827" s="453"/>
      <c r="L827" s="454"/>
      <c r="M827" s="369"/>
      <c r="N827" s="369"/>
      <c r="O827" s="455"/>
    </row>
    <row r="828" spans="1:15" x14ac:dyDescent="0.25">
      <c r="A828" s="369"/>
      <c r="B828" s="369"/>
      <c r="C828" s="369"/>
      <c r="D828" s="369"/>
      <c r="E828" s="369"/>
      <c r="F828" s="452"/>
      <c r="G828" s="369"/>
      <c r="H828" s="369"/>
      <c r="I828" s="470"/>
      <c r="J828" s="369"/>
      <c r="K828" s="453"/>
      <c r="L828" s="454"/>
      <c r="M828" s="369"/>
      <c r="N828" s="369"/>
      <c r="O828" s="455"/>
    </row>
    <row r="829" spans="1:15" x14ac:dyDescent="0.25">
      <c r="A829" s="369"/>
      <c r="B829" s="369"/>
      <c r="C829" s="369"/>
      <c r="D829" s="369"/>
      <c r="E829" s="369"/>
      <c r="F829" s="452"/>
      <c r="G829" s="369"/>
      <c r="H829" s="369"/>
      <c r="I829" s="470"/>
      <c r="J829" s="369"/>
      <c r="K829" s="453"/>
      <c r="L829" s="454"/>
      <c r="M829" s="369"/>
      <c r="N829" s="369"/>
      <c r="O829" s="455"/>
    </row>
    <row r="830" spans="1:15" x14ac:dyDescent="0.25">
      <c r="A830" s="369"/>
      <c r="B830" s="369"/>
      <c r="C830" s="369"/>
      <c r="D830" s="369"/>
      <c r="E830" s="369"/>
      <c r="F830" s="452"/>
      <c r="G830" s="369"/>
      <c r="H830" s="369"/>
      <c r="I830" s="470"/>
      <c r="J830" s="369"/>
      <c r="K830" s="453"/>
      <c r="L830" s="454"/>
      <c r="M830" s="369"/>
      <c r="N830" s="369"/>
      <c r="O830" s="455"/>
    </row>
    <row r="831" spans="1:15" x14ac:dyDescent="0.25">
      <c r="A831" s="369"/>
      <c r="B831" s="369"/>
      <c r="C831" s="369"/>
      <c r="D831" s="369"/>
      <c r="E831" s="369"/>
      <c r="F831" s="452"/>
      <c r="G831" s="369"/>
      <c r="H831" s="369"/>
      <c r="I831" s="470"/>
      <c r="J831" s="369"/>
      <c r="K831" s="453"/>
      <c r="L831" s="454"/>
      <c r="M831" s="369"/>
      <c r="N831" s="369"/>
      <c r="O831" s="455"/>
    </row>
    <row r="832" spans="1:15" x14ac:dyDescent="0.25">
      <c r="A832" s="369"/>
      <c r="B832" s="369"/>
      <c r="C832" s="369"/>
      <c r="D832" s="369"/>
      <c r="E832" s="369"/>
      <c r="F832" s="452"/>
      <c r="G832" s="369"/>
      <c r="H832" s="369"/>
      <c r="I832" s="470"/>
      <c r="J832" s="369"/>
      <c r="K832" s="453"/>
      <c r="L832" s="454"/>
      <c r="M832" s="369"/>
      <c r="N832" s="369"/>
      <c r="O832" s="455"/>
    </row>
    <row r="833" spans="1:15" x14ac:dyDescent="0.25">
      <c r="A833" s="369"/>
      <c r="B833" s="369"/>
      <c r="C833" s="369"/>
      <c r="D833" s="369"/>
      <c r="E833" s="369"/>
      <c r="F833" s="452"/>
      <c r="G833" s="369"/>
      <c r="H833" s="369"/>
      <c r="I833" s="470"/>
      <c r="J833" s="369"/>
      <c r="K833" s="453"/>
      <c r="L833" s="454"/>
      <c r="M833" s="369"/>
      <c r="N833" s="369"/>
      <c r="O833" s="455"/>
    </row>
    <row r="834" spans="1:15" x14ac:dyDescent="0.25">
      <c r="A834" s="369"/>
      <c r="B834" s="369"/>
      <c r="C834" s="369"/>
      <c r="D834" s="369"/>
      <c r="E834" s="369"/>
      <c r="F834" s="452"/>
      <c r="G834" s="369"/>
      <c r="H834" s="369"/>
      <c r="I834" s="470"/>
      <c r="J834" s="369"/>
      <c r="K834" s="453"/>
      <c r="L834" s="454"/>
      <c r="M834" s="369"/>
      <c r="N834" s="369"/>
      <c r="O834" s="455"/>
    </row>
    <row r="835" spans="1:15" x14ac:dyDescent="0.25">
      <c r="A835" s="369"/>
      <c r="B835" s="369"/>
      <c r="C835" s="369"/>
      <c r="D835" s="369"/>
      <c r="E835" s="369"/>
      <c r="F835" s="452"/>
      <c r="G835" s="369"/>
      <c r="H835" s="369"/>
      <c r="I835" s="470"/>
      <c r="J835" s="369"/>
      <c r="K835" s="453"/>
      <c r="L835" s="454"/>
      <c r="M835" s="369"/>
      <c r="N835" s="369"/>
      <c r="O835" s="455"/>
    </row>
    <row r="836" spans="1:15" x14ac:dyDescent="0.25">
      <c r="A836" s="369"/>
      <c r="B836" s="369"/>
      <c r="C836" s="369"/>
      <c r="D836" s="369"/>
      <c r="E836" s="369"/>
      <c r="F836" s="452"/>
      <c r="G836" s="369"/>
      <c r="H836" s="369"/>
      <c r="I836" s="470"/>
      <c r="J836" s="369"/>
      <c r="K836" s="453"/>
      <c r="L836" s="454"/>
      <c r="M836" s="369"/>
      <c r="N836" s="369"/>
      <c r="O836" s="455"/>
    </row>
    <row r="837" spans="1:15" x14ac:dyDescent="0.25">
      <c r="A837" s="369"/>
      <c r="B837" s="369"/>
      <c r="C837" s="369"/>
      <c r="D837" s="369"/>
      <c r="E837" s="369"/>
      <c r="F837" s="452"/>
      <c r="G837" s="369"/>
      <c r="H837" s="369"/>
      <c r="I837" s="470"/>
      <c r="J837" s="369"/>
      <c r="K837" s="453"/>
      <c r="L837" s="454"/>
      <c r="M837" s="369"/>
      <c r="N837" s="369"/>
      <c r="O837" s="455"/>
    </row>
    <row r="838" spans="1:15" x14ac:dyDescent="0.25">
      <c r="A838" s="369"/>
      <c r="B838" s="369"/>
      <c r="C838" s="369"/>
      <c r="D838" s="369"/>
      <c r="E838" s="369"/>
      <c r="F838" s="452"/>
      <c r="G838" s="369"/>
      <c r="H838" s="369"/>
      <c r="I838" s="470"/>
      <c r="J838" s="369"/>
      <c r="K838" s="453"/>
      <c r="L838" s="454"/>
      <c r="M838" s="369"/>
      <c r="N838" s="369"/>
      <c r="O838" s="455"/>
    </row>
    <row r="839" spans="1:15" x14ac:dyDescent="0.25">
      <c r="A839" s="369"/>
      <c r="B839" s="369"/>
      <c r="C839" s="369"/>
      <c r="D839" s="369"/>
      <c r="E839" s="369"/>
      <c r="F839" s="452"/>
      <c r="G839" s="369"/>
      <c r="H839" s="369"/>
      <c r="I839" s="470"/>
      <c r="J839" s="369"/>
      <c r="K839" s="453"/>
      <c r="L839" s="454"/>
      <c r="M839" s="369"/>
      <c r="N839" s="369"/>
      <c r="O839" s="455"/>
    </row>
    <row r="840" spans="1:15" x14ac:dyDescent="0.25">
      <c r="A840" s="369"/>
      <c r="B840" s="369"/>
      <c r="C840" s="369"/>
      <c r="D840" s="369"/>
      <c r="E840" s="369"/>
      <c r="F840" s="452"/>
      <c r="G840" s="369"/>
      <c r="H840" s="369"/>
      <c r="I840" s="470"/>
      <c r="J840" s="369"/>
      <c r="K840" s="453"/>
      <c r="L840" s="454"/>
      <c r="M840" s="369"/>
      <c r="N840" s="369"/>
      <c r="O840" s="455"/>
    </row>
    <row r="841" spans="1:15" x14ac:dyDescent="0.25">
      <c r="A841" s="369"/>
      <c r="B841" s="369"/>
      <c r="C841" s="369"/>
      <c r="D841" s="369"/>
      <c r="E841" s="369"/>
      <c r="F841" s="452"/>
      <c r="G841" s="369"/>
      <c r="H841" s="369"/>
      <c r="I841" s="470"/>
      <c r="J841" s="369"/>
      <c r="K841" s="453"/>
      <c r="L841" s="454"/>
      <c r="M841" s="369"/>
      <c r="N841" s="369"/>
      <c r="O841" s="455"/>
    </row>
    <row r="842" spans="1:15" x14ac:dyDescent="0.25">
      <c r="A842" s="369"/>
      <c r="B842" s="369"/>
      <c r="C842" s="369"/>
      <c r="D842" s="369"/>
      <c r="E842" s="369"/>
      <c r="F842" s="452"/>
      <c r="G842" s="369"/>
      <c r="H842" s="369"/>
      <c r="I842" s="470"/>
      <c r="J842" s="369"/>
      <c r="K842" s="453"/>
      <c r="L842" s="454"/>
      <c r="M842" s="369"/>
      <c r="N842" s="369"/>
      <c r="O842" s="455"/>
    </row>
    <row r="843" spans="1:15" x14ac:dyDescent="0.25">
      <c r="A843" s="369"/>
      <c r="B843" s="369"/>
      <c r="C843" s="369"/>
      <c r="D843" s="369"/>
      <c r="E843" s="369"/>
      <c r="F843" s="452"/>
      <c r="G843" s="369"/>
      <c r="H843" s="369"/>
      <c r="I843" s="470"/>
      <c r="J843" s="369"/>
      <c r="K843" s="453"/>
      <c r="L843" s="454"/>
      <c r="M843" s="369"/>
      <c r="N843" s="369"/>
      <c r="O843" s="455"/>
    </row>
    <row r="844" spans="1:15" x14ac:dyDescent="0.25">
      <c r="A844" s="369"/>
      <c r="B844" s="369"/>
      <c r="C844" s="369"/>
      <c r="D844" s="369"/>
      <c r="E844" s="369"/>
      <c r="F844" s="452"/>
      <c r="G844" s="369"/>
      <c r="H844" s="369"/>
      <c r="I844" s="470"/>
      <c r="J844" s="369"/>
      <c r="K844" s="453"/>
      <c r="L844" s="454"/>
      <c r="M844" s="369"/>
      <c r="N844" s="369"/>
      <c r="O844" s="455"/>
    </row>
    <row r="845" spans="1:15" x14ac:dyDescent="0.25">
      <c r="A845" s="369"/>
      <c r="B845" s="369"/>
      <c r="C845" s="369"/>
      <c r="D845" s="369"/>
      <c r="E845" s="369"/>
      <c r="F845" s="452"/>
      <c r="G845" s="369"/>
      <c r="H845" s="369"/>
      <c r="I845" s="470"/>
      <c r="J845" s="369"/>
      <c r="K845" s="453"/>
      <c r="L845" s="454"/>
      <c r="M845" s="369"/>
      <c r="N845" s="369"/>
      <c r="O845" s="455"/>
    </row>
    <row r="846" spans="1:15" x14ac:dyDescent="0.25">
      <c r="A846" s="369"/>
      <c r="B846" s="369"/>
      <c r="C846" s="369"/>
      <c r="D846" s="369"/>
      <c r="E846" s="369"/>
      <c r="F846" s="452"/>
      <c r="G846" s="369"/>
      <c r="H846" s="369"/>
      <c r="I846" s="470"/>
      <c r="J846" s="369"/>
      <c r="K846" s="453"/>
      <c r="L846" s="454"/>
      <c r="M846" s="369"/>
      <c r="N846" s="369"/>
      <c r="O846" s="455"/>
    </row>
    <row r="847" spans="1:15" x14ac:dyDescent="0.25">
      <c r="A847" s="369"/>
      <c r="B847" s="369"/>
      <c r="C847" s="369"/>
      <c r="D847" s="369"/>
      <c r="E847" s="369"/>
      <c r="F847" s="452"/>
      <c r="G847" s="369"/>
      <c r="H847" s="369"/>
      <c r="I847" s="470"/>
      <c r="J847" s="369"/>
      <c r="K847" s="453"/>
      <c r="L847" s="454"/>
      <c r="M847" s="369"/>
      <c r="N847" s="369"/>
      <c r="O847" s="455"/>
    </row>
    <row r="848" spans="1:15" x14ac:dyDescent="0.25">
      <c r="A848" s="369"/>
      <c r="B848" s="369"/>
      <c r="C848" s="369"/>
      <c r="D848" s="369"/>
      <c r="E848" s="369"/>
      <c r="F848" s="452"/>
      <c r="G848" s="369"/>
      <c r="H848" s="369"/>
      <c r="I848" s="470"/>
      <c r="J848" s="369"/>
      <c r="K848" s="453"/>
      <c r="L848" s="454"/>
      <c r="M848" s="369"/>
      <c r="N848" s="369"/>
      <c r="O848" s="455"/>
    </row>
    <row r="849" spans="1:15" x14ac:dyDescent="0.25">
      <c r="A849" s="369"/>
      <c r="B849" s="369"/>
      <c r="C849" s="369"/>
      <c r="D849" s="369"/>
      <c r="E849" s="369"/>
      <c r="F849" s="452"/>
      <c r="G849" s="369"/>
      <c r="H849" s="369"/>
      <c r="I849" s="470"/>
      <c r="J849" s="369"/>
      <c r="K849" s="453"/>
      <c r="L849" s="454"/>
      <c r="M849" s="369"/>
      <c r="N849" s="369"/>
      <c r="O849" s="455"/>
    </row>
    <row r="850" spans="1:15" x14ac:dyDescent="0.25">
      <c r="A850" s="369"/>
      <c r="B850" s="369"/>
      <c r="C850" s="369"/>
      <c r="D850" s="369"/>
      <c r="E850" s="369"/>
      <c r="F850" s="452"/>
      <c r="G850" s="369"/>
      <c r="H850" s="369"/>
      <c r="I850" s="470"/>
      <c r="J850" s="369"/>
      <c r="K850" s="453"/>
      <c r="L850" s="454"/>
      <c r="M850" s="369"/>
      <c r="N850" s="369"/>
      <c r="O850" s="455"/>
    </row>
    <row r="851" spans="1:15" x14ac:dyDescent="0.25">
      <c r="A851" s="369"/>
      <c r="B851" s="369"/>
      <c r="C851" s="369"/>
      <c r="D851" s="369"/>
      <c r="E851" s="369"/>
      <c r="F851" s="452"/>
      <c r="G851" s="369"/>
      <c r="H851" s="369"/>
      <c r="I851" s="470"/>
      <c r="J851" s="369"/>
      <c r="K851" s="453"/>
      <c r="L851" s="454"/>
      <c r="M851" s="369"/>
      <c r="N851" s="369"/>
      <c r="O851" s="455"/>
    </row>
    <row r="852" spans="1:15" x14ac:dyDescent="0.25">
      <c r="A852" s="369"/>
      <c r="B852" s="369"/>
      <c r="C852" s="369"/>
      <c r="D852" s="369"/>
      <c r="E852" s="369"/>
      <c r="F852" s="452"/>
      <c r="G852" s="369"/>
      <c r="H852" s="369"/>
      <c r="I852" s="470"/>
      <c r="J852" s="369"/>
      <c r="K852" s="453"/>
      <c r="L852" s="454"/>
      <c r="M852" s="369"/>
      <c r="N852" s="369"/>
      <c r="O852" s="455"/>
    </row>
    <row r="853" spans="1:15" x14ac:dyDescent="0.25">
      <c r="A853" s="369"/>
      <c r="B853" s="369"/>
      <c r="C853" s="369"/>
      <c r="D853" s="369"/>
      <c r="E853" s="369"/>
      <c r="F853" s="452"/>
      <c r="G853" s="369"/>
      <c r="H853" s="369"/>
      <c r="I853" s="470"/>
      <c r="J853" s="369"/>
      <c r="K853" s="453"/>
      <c r="L853" s="454"/>
      <c r="M853" s="369"/>
      <c r="N853" s="369"/>
      <c r="O853" s="455"/>
    </row>
    <row r="854" spans="1:15" x14ac:dyDescent="0.25">
      <c r="A854" s="369"/>
      <c r="B854" s="369"/>
      <c r="C854" s="369"/>
      <c r="D854" s="369"/>
      <c r="E854" s="369"/>
      <c r="F854" s="452"/>
      <c r="G854" s="369"/>
      <c r="H854" s="369"/>
      <c r="I854" s="470"/>
      <c r="J854" s="369"/>
      <c r="K854" s="453"/>
      <c r="L854" s="454"/>
      <c r="M854" s="369"/>
      <c r="N854" s="369"/>
      <c r="O854" s="455"/>
    </row>
    <row r="855" spans="1:15" x14ac:dyDescent="0.25">
      <c r="A855" s="369"/>
      <c r="B855" s="369"/>
      <c r="C855" s="369"/>
      <c r="D855" s="369"/>
      <c r="E855" s="369"/>
      <c r="F855" s="452"/>
      <c r="G855" s="369"/>
      <c r="H855" s="369"/>
      <c r="I855" s="470"/>
      <c r="J855" s="369"/>
      <c r="K855" s="453"/>
      <c r="L855" s="454"/>
      <c r="M855" s="369"/>
      <c r="N855" s="369"/>
      <c r="O855" s="455"/>
    </row>
    <row r="856" spans="1:15" x14ac:dyDescent="0.25">
      <c r="A856" s="369"/>
      <c r="B856" s="369"/>
      <c r="C856" s="369"/>
      <c r="D856" s="369"/>
      <c r="E856" s="369"/>
      <c r="F856" s="452"/>
      <c r="G856" s="369"/>
      <c r="H856" s="369"/>
      <c r="I856" s="470"/>
      <c r="J856" s="369"/>
      <c r="K856" s="453"/>
      <c r="L856" s="454"/>
      <c r="M856" s="369"/>
      <c r="N856" s="369"/>
      <c r="O856" s="455"/>
    </row>
    <row r="857" spans="1:15" x14ac:dyDescent="0.25">
      <c r="A857" s="369"/>
      <c r="B857" s="369"/>
      <c r="C857" s="369"/>
      <c r="D857" s="369"/>
      <c r="E857" s="369"/>
      <c r="F857" s="452"/>
      <c r="G857" s="369"/>
      <c r="H857" s="369"/>
      <c r="I857" s="470"/>
      <c r="J857" s="369"/>
      <c r="K857" s="453"/>
      <c r="L857" s="454"/>
      <c r="M857" s="369"/>
      <c r="N857" s="369"/>
      <c r="O857" s="455"/>
    </row>
    <row r="858" spans="1:15" x14ac:dyDescent="0.25">
      <c r="A858" s="369"/>
      <c r="B858" s="369"/>
      <c r="C858" s="369"/>
      <c r="D858" s="369"/>
      <c r="E858" s="369"/>
      <c r="F858" s="452"/>
      <c r="G858" s="369"/>
      <c r="H858" s="369"/>
      <c r="I858" s="470"/>
      <c r="J858" s="369"/>
      <c r="K858" s="453"/>
      <c r="L858" s="454"/>
      <c r="M858" s="369"/>
      <c r="N858" s="369"/>
      <c r="O858" s="455"/>
    </row>
    <row r="859" spans="1:15" x14ac:dyDescent="0.25">
      <c r="A859" s="369"/>
      <c r="B859" s="369"/>
      <c r="C859" s="369"/>
      <c r="D859" s="369"/>
      <c r="E859" s="369"/>
      <c r="F859" s="452"/>
      <c r="G859" s="369"/>
      <c r="H859" s="369"/>
      <c r="I859" s="470"/>
      <c r="J859" s="369"/>
      <c r="K859" s="453"/>
      <c r="L859" s="454"/>
      <c r="M859" s="369"/>
      <c r="N859" s="369"/>
      <c r="O859" s="455"/>
    </row>
    <row r="860" spans="1:15" x14ac:dyDescent="0.25">
      <c r="A860" s="369"/>
      <c r="B860" s="369"/>
      <c r="C860" s="369"/>
      <c r="D860" s="369"/>
      <c r="E860" s="369"/>
      <c r="F860" s="452"/>
      <c r="G860" s="369"/>
      <c r="H860" s="369"/>
      <c r="I860" s="470"/>
      <c r="J860" s="369"/>
      <c r="K860" s="453"/>
      <c r="L860" s="454"/>
      <c r="M860" s="369"/>
      <c r="N860" s="369"/>
      <c r="O860" s="455"/>
    </row>
    <row r="861" spans="1:15" x14ac:dyDescent="0.25">
      <c r="A861" s="369"/>
      <c r="B861" s="369"/>
      <c r="C861" s="369"/>
      <c r="D861" s="369"/>
      <c r="E861" s="369"/>
      <c r="F861" s="452"/>
      <c r="G861" s="369"/>
      <c r="H861" s="369"/>
      <c r="I861" s="470"/>
      <c r="J861" s="369"/>
      <c r="K861" s="453"/>
      <c r="L861" s="454"/>
      <c r="M861" s="369"/>
      <c r="N861" s="369"/>
      <c r="O861" s="455"/>
    </row>
    <row r="862" spans="1:15" x14ac:dyDescent="0.25">
      <c r="A862" s="369"/>
      <c r="B862" s="369"/>
      <c r="C862" s="369"/>
      <c r="D862" s="369"/>
      <c r="E862" s="369"/>
      <c r="F862" s="452"/>
      <c r="G862" s="369"/>
      <c r="H862" s="369"/>
      <c r="I862" s="470"/>
      <c r="J862" s="369"/>
      <c r="K862" s="453"/>
      <c r="L862" s="454"/>
      <c r="M862" s="369"/>
      <c r="N862" s="369"/>
      <c r="O862" s="455"/>
    </row>
    <row r="863" spans="1:15" x14ac:dyDescent="0.25">
      <c r="A863" s="369"/>
      <c r="B863" s="369"/>
      <c r="C863" s="369"/>
      <c r="D863" s="369"/>
      <c r="E863" s="369"/>
      <c r="F863" s="452"/>
      <c r="G863" s="369"/>
      <c r="H863" s="369"/>
      <c r="I863" s="470"/>
      <c r="J863" s="369"/>
      <c r="K863" s="453"/>
      <c r="L863" s="454"/>
      <c r="M863" s="369"/>
      <c r="N863" s="369"/>
      <c r="O863" s="455"/>
    </row>
    <row r="864" spans="1:15" x14ac:dyDescent="0.25">
      <c r="A864" s="369"/>
      <c r="B864" s="369"/>
      <c r="C864" s="369"/>
      <c r="D864" s="369"/>
      <c r="E864" s="369"/>
      <c r="F864" s="452"/>
      <c r="G864" s="369"/>
      <c r="H864" s="369"/>
      <c r="I864" s="470"/>
      <c r="J864" s="369"/>
      <c r="K864" s="453"/>
      <c r="L864" s="454"/>
      <c r="M864" s="369"/>
      <c r="N864" s="369"/>
      <c r="O864" s="455"/>
    </row>
    <row r="865" spans="1:15" x14ac:dyDescent="0.25">
      <c r="A865" s="369"/>
      <c r="B865" s="369"/>
      <c r="C865" s="369"/>
      <c r="D865" s="369"/>
      <c r="E865" s="369"/>
      <c r="F865" s="452"/>
      <c r="G865" s="369"/>
      <c r="H865" s="369"/>
      <c r="I865" s="470"/>
      <c r="J865" s="369"/>
      <c r="K865" s="453"/>
      <c r="L865" s="454"/>
      <c r="M865" s="369"/>
      <c r="N865" s="369"/>
      <c r="O865" s="455"/>
    </row>
    <row r="866" spans="1:15" x14ac:dyDescent="0.25">
      <c r="A866" s="369"/>
      <c r="B866" s="369"/>
      <c r="C866" s="369"/>
      <c r="D866" s="369"/>
      <c r="E866" s="369"/>
      <c r="F866" s="452"/>
      <c r="G866" s="369"/>
      <c r="H866" s="369"/>
      <c r="I866" s="470"/>
      <c r="J866" s="369"/>
      <c r="K866" s="453"/>
      <c r="L866" s="454"/>
      <c r="M866" s="369"/>
      <c r="N866" s="369"/>
      <c r="O866" s="455"/>
    </row>
    <row r="867" spans="1:15" x14ac:dyDescent="0.25">
      <c r="A867" s="369"/>
      <c r="B867" s="369"/>
      <c r="C867" s="369"/>
      <c r="D867" s="369"/>
      <c r="E867" s="369"/>
      <c r="F867" s="452"/>
      <c r="G867" s="369"/>
      <c r="H867" s="369"/>
      <c r="I867" s="470"/>
      <c r="J867" s="369"/>
      <c r="K867" s="453"/>
      <c r="L867" s="454"/>
      <c r="M867" s="369"/>
      <c r="N867" s="369"/>
      <c r="O867" s="455"/>
    </row>
    <row r="868" spans="1:15" x14ac:dyDescent="0.25">
      <c r="A868" s="369"/>
      <c r="B868" s="369"/>
      <c r="C868" s="369"/>
      <c r="D868" s="369"/>
      <c r="E868" s="369"/>
      <c r="F868" s="452"/>
      <c r="G868" s="369"/>
      <c r="H868" s="369"/>
      <c r="I868" s="470"/>
      <c r="J868" s="369"/>
      <c r="K868" s="453"/>
      <c r="L868" s="454"/>
      <c r="M868" s="369"/>
      <c r="N868" s="369"/>
      <c r="O868" s="455"/>
    </row>
    <row r="869" spans="1:15" x14ac:dyDescent="0.25">
      <c r="A869" s="369"/>
      <c r="B869" s="369"/>
      <c r="C869" s="369"/>
      <c r="D869" s="369"/>
      <c r="E869" s="369"/>
      <c r="F869" s="452"/>
      <c r="G869" s="369"/>
      <c r="H869" s="369"/>
      <c r="I869" s="470"/>
      <c r="J869" s="369"/>
      <c r="K869" s="453"/>
      <c r="L869" s="454"/>
      <c r="M869" s="369"/>
      <c r="N869" s="369"/>
      <c r="O869" s="455"/>
    </row>
    <row r="870" spans="1:15" x14ac:dyDescent="0.25">
      <c r="A870" s="369"/>
      <c r="B870" s="369"/>
      <c r="C870" s="369"/>
      <c r="D870" s="369"/>
      <c r="E870" s="369"/>
      <c r="F870" s="452"/>
      <c r="G870" s="369"/>
      <c r="H870" s="369"/>
      <c r="I870" s="470"/>
      <c r="J870" s="369"/>
      <c r="K870" s="453"/>
      <c r="L870" s="454"/>
      <c r="M870" s="369"/>
      <c r="N870" s="369"/>
      <c r="O870" s="455"/>
    </row>
    <row r="871" spans="1:15" x14ac:dyDescent="0.25">
      <c r="A871" s="369"/>
      <c r="B871" s="369"/>
      <c r="C871" s="369"/>
      <c r="D871" s="369"/>
      <c r="E871" s="369"/>
      <c r="F871" s="452"/>
      <c r="G871" s="369"/>
      <c r="H871" s="369"/>
      <c r="I871" s="470"/>
      <c r="J871" s="369"/>
      <c r="K871" s="453"/>
      <c r="L871" s="454"/>
      <c r="M871" s="369"/>
      <c r="N871" s="369"/>
      <c r="O871" s="455"/>
    </row>
    <row r="872" spans="1:15" x14ac:dyDescent="0.25">
      <c r="A872" s="369"/>
      <c r="B872" s="369"/>
      <c r="C872" s="369"/>
      <c r="D872" s="369"/>
      <c r="E872" s="369"/>
      <c r="F872" s="452"/>
      <c r="G872" s="369"/>
      <c r="H872" s="369"/>
      <c r="I872" s="470"/>
      <c r="J872" s="369"/>
      <c r="K872" s="453"/>
      <c r="L872" s="454"/>
      <c r="M872" s="369"/>
      <c r="N872" s="369"/>
      <c r="O872" s="455"/>
    </row>
    <row r="873" spans="1:15" x14ac:dyDescent="0.25">
      <c r="A873" s="369"/>
      <c r="B873" s="369"/>
      <c r="C873" s="369"/>
      <c r="D873" s="369"/>
      <c r="E873" s="369"/>
      <c r="F873" s="452"/>
      <c r="G873" s="369"/>
      <c r="H873" s="369"/>
      <c r="I873" s="470"/>
      <c r="J873" s="369"/>
      <c r="K873" s="453"/>
      <c r="L873" s="454"/>
      <c r="M873" s="369"/>
      <c r="N873" s="369"/>
      <c r="O873" s="455"/>
    </row>
    <row r="874" spans="1:15" x14ac:dyDescent="0.25">
      <c r="A874" s="369"/>
      <c r="B874" s="369"/>
      <c r="C874" s="369"/>
      <c r="D874" s="369"/>
      <c r="E874" s="369"/>
      <c r="F874" s="452"/>
      <c r="G874" s="369"/>
      <c r="H874" s="369"/>
      <c r="I874" s="470"/>
      <c r="J874" s="369"/>
      <c r="K874" s="453"/>
      <c r="L874" s="454"/>
      <c r="M874" s="369"/>
      <c r="N874" s="369"/>
      <c r="O874" s="455"/>
    </row>
    <row r="875" spans="1:15" x14ac:dyDescent="0.25">
      <c r="A875" s="369"/>
      <c r="B875" s="369"/>
      <c r="C875" s="369"/>
      <c r="D875" s="369"/>
      <c r="E875" s="369"/>
      <c r="F875" s="452"/>
      <c r="G875" s="369"/>
      <c r="H875" s="369"/>
      <c r="I875" s="470"/>
      <c r="J875" s="369"/>
      <c r="K875" s="453"/>
      <c r="L875" s="454"/>
      <c r="M875" s="369"/>
      <c r="N875" s="369"/>
      <c r="O875" s="455"/>
    </row>
    <row r="876" spans="1:15" x14ac:dyDescent="0.25">
      <c r="A876" s="369"/>
      <c r="B876" s="369"/>
      <c r="C876" s="369"/>
      <c r="D876" s="369"/>
      <c r="E876" s="369"/>
      <c r="F876" s="452"/>
      <c r="G876" s="369"/>
      <c r="H876" s="369"/>
      <c r="I876" s="470"/>
      <c r="J876" s="369"/>
      <c r="K876" s="453"/>
      <c r="L876" s="454"/>
      <c r="M876" s="369"/>
      <c r="N876" s="369"/>
      <c r="O876" s="455"/>
    </row>
    <row r="877" spans="1:15" x14ac:dyDescent="0.25">
      <c r="A877" s="369"/>
      <c r="B877" s="369"/>
      <c r="C877" s="369"/>
      <c r="D877" s="369"/>
      <c r="E877" s="369"/>
      <c r="F877" s="452"/>
      <c r="G877" s="369"/>
      <c r="H877" s="369"/>
      <c r="I877" s="470"/>
      <c r="J877" s="369"/>
      <c r="K877" s="453"/>
      <c r="L877" s="454"/>
      <c r="M877" s="369"/>
      <c r="N877" s="369"/>
      <c r="O877" s="455"/>
    </row>
    <row r="878" spans="1:15" x14ac:dyDescent="0.25">
      <c r="A878" s="369"/>
      <c r="B878" s="369"/>
      <c r="C878" s="369"/>
      <c r="D878" s="369"/>
      <c r="E878" s="369"/>
      <c r="F878" s="452"/>
      <c r="G878" s="369"/>
      <c r="H878" s="369"/>
      <c r="I878" s="470"/>
      <c r="J878" s="369"/>
      <c r="K878" s="453"/>
      <c r="L878" s="454"/>
      <c r="M878" s="369"/>
      <c r="N878" s="369"/>
      <c r="O878" s="455"/>
    </row>
    <row r="879" spans="1:15" x14ac:dyDescent="0.25">
      <c r="A879" s="369"/>
      <c r="B879" s="369"/>
      <c r="C879" s="369"/>
      <c r="D879" s="369"/>
      <c r="E879" s="369"/>
      <c r="F879" s="452"/>
      <c r="G879" s="369"/>
      <c r="H879" s="369"/>
      <c r="I879" s="470"/>
      <c r="J879" s="369"/>
      <c r="K879" s="453"/>
      <c r="L879" s="454"/>
      <c r="M879" s="369"/>
      <c r="N879" s="369"/>
      <c r="O879" s="455"/>
    </row>
    <row r="880" spans="1:15" x14ac:dyDescent="0.25">
      <c r="A880" s="369"/>
      <c r="B880" s="369"/>
      <c r="C880" s="369"/>
      <c r="D880" s="369"/>
      <c r="E880" s="369"/>
      <c r="F880" s="452"/>
      <c r="G880" s="369"/>
      <c r="H880" s="369"/>
      <c r="I880" s="470"/>
      <c r="J880" s="369"/>
      <c r="K880" s="453"/>
      <c r="L880" s="454"/>
      <c r="M880" s="369"/>
      <c r="N880" s="369"/>
      <c r="O880" s="455"/>
    </row>
    <row r="881" spans="1:15" x14ac:dyDescent="0.25">
      <c r="A881" s="369"/>
      <c r="B881" s="369"/>
      <c r="C881" s="369"/>
      <c r="D881" s="369"/>
      <c r="E881" s="369"/>
      <c r="F881" s="452"/>
      <c r="G881" s="369"/>
      <c r="H881" s="369"/>
      <c r="I881" s="470"/>
      <c r="J881" s="369"/>
      <c r="K881" s="453"/>
      <c r="L881" s="454"/>
      <c r="M881" s="369"/>
      <c r="N881" s="369"/>
      <c r="O881" s="455"/>
    </row>
    <row r="882" spans="1:15" x14ac:dyDescent="0.25">
      <c r="A882" s="369"/>
      <c r="B882" s="369"/>
      <c r="C882" s="369"/>
      <c r="D882" s="369"/>
      <c r="E882" s="369"/>
      <c r="F882" s="452"/>
      <c r="G882" s="369"/>
      <c r="H882" s="369"/>
      <c r="I882" s="470"/>
      <c r="J882" s="369"/>
      <c r="K882" s="453"/>
      <c r="L882" s="454"/>
      <c r="M882" s="369"/>
      <c r="N882" s="369"/>
      <c r="O882" s="455"/>
    </row>
    <row r="883" spans="1:15" x14ac:dyDescent="0.25">
      <c r="A883" s="369"/>
      <c r="B883" s="369"/>
      <c r="C883" s="369"/>
      <c r="D883" s="369"/>
      <c r="E883" s="369"/>
      <c r="F883" s="452"/>
      <c r="G883" s="369"/>
      <c r="H883" s="369"/>
      <c r="I883" s="470"/>
      <c r="J883" s="369"/>
      <c r="K883" s="453"/>
      <c r="L883" s="454"/>
      <c r="M883" s="369"/>
      <c r="N883" s="369"/>
      <c r="O883" s="455"/>
    </row>
    <row r="884" spans="1:15" x14ac:dyDescent="0.25">
      <c r="A884" s="369"/>
      <c r="B884" s="369"/>
      <c r="C884" s="369"/>
      <c r="D884" s="369"/>
      <c r="E884" s="369"/>
      <c r="F884" s="452"/>
      <c r="G884" s="369"/>
      <c r="H884" s="369"/>
      <c r="I884" s="470"/>
      <c r="J884" s="369"/>
      <c r="K884" s="453"/>
      <c r="L884" s="454"/>
      <c r="M884" s="369"/>
      <c r="N884" s="369"/>
      <c r="O884" s="455"/>
    </row>
    <row r="885" spans="1:15" x14ac:dyDescent="0.25">
      <c r="A885" s="369"/>
      <c r="B885" s="369"/>
      <c r="C885" s="369"/>
      <c r="D885" s="369"/>
      <c r="E885" s="369"/>
      <c r="F885" s="452"/>
      <c r="G885" s="369"/>
      <c r="H885" s="369"/>
      <c r="I885" s="470"/>
      <c r="J885" s="369"/>
      <c r="K885" s="453"/>
      <c r="L885" s="454"/>
      <c r="M885" s="369"/>
      <c r="N885" s="369"/>
      <c r="O885" s="455"/>
    </row>
    <row r="886" spans="1:15" x14ac:dyDescent="0.25">
      <c r="A886" s="369"/>
      <c r="B886" s="369"/>
      <c r="C886" s="369"/>
      <c r="D886" s="369"/>
      <c r="E886" s="369"/>
      <c r="F886" s="452"/>
      <c r="G886" s="369"/>
      <c r="H886" s="369"/>
      <c r="I886" s="470"/>
      <c r="J886" s="369"/>
      <c r="K886" s="453"/>
      <c r="L886" s="454"/>
      <c r="M886" s="369"/>
      <c r="N886" s="369"/>
      <c r="O886" s="455"/>
    </row>
    <row r="887" spans="1:15" x14ac:dyDescent="0.25">
      <c r="A887" s="369"/>
      <c r="B887" s="369"/>
      <c r="C887" s="369"/>
      <c r="D887" s="369"/>
      <c r="E887" s="369"/>
      <c r="F887" s="452"/>
      <c r="G887" s="369"/>
      <c r="H887" s="369"/>
      <c r="I887" s="470"/>
      <c r="J887" s="369"/>
      <c r="K887" s="453"/>
      <c r="L887" s="454"/>
      <c r="M887" s="369"/>
      <c r="N887" s="369"/>
      <c r="O887" s="455"/>
    </row>
    <row r="888" spans="1:15" x14ac:dyDescent="0.25">
      <c r="A888" s="369"/>
      <c r="B888" s="369"/>
      <c r="C888" s="369"/>
      <c r="D888" s="369"/>
      <c r="E888" s="369"/>
      <c r="F888" s="452"/>
      <c r="G888" s="369"/>
      <c r="H888" s="369"/>
      <c r="I888" s="470"/>
      <c r="J888" s="369"/>
      <c r="K888" s="453"/>
      <c r="L888" s="454"/>
      <c r="M888" s="369"/>
      <c r="N888" s="369"/>
      <c r="O888" s="455"/>
    </row>
    <row r="889" spans="1:15" x14ac:dyDescent="0.25">
      <c r="A889" s="369"/>
      <c r="B889" s="369"/>
      <c r="C889" s="369"/>
      <c r="D889" s="369"/>
      <c r="E889" s="369"/>
      <c r="F889" s="452"/>
      <c r="G889" s="369"/>
      <c r="H889" s="369"/>
      <c r="I889" s="470"/>
      <c r="J889" s="369"/>
      <c r="K889" s="453"/>
      <c r="L889" s="454"/>
      <c r="M889" s="369"/>
      <c r="N889" s="369"/>
      <c r="O889" s="455"/>
    </row>
    <row r="890" spans="1:15" x14ac:dyDescent="0.25">
      <c r="A890" s="369"/>
      <c r="B890" s="369"/>
      <c r="C890" s="369"/>
      <c r="D890" s="369"/>
      <c r="E890" s="369"/>
      <c r="F890" s="452"/>
      <c r="G890" s="369"/>
      <c r="H890" s="369"/>
      <c r="I890" s="470"/>
      <c r="J890" s="369"/>
      <c r="K890" s="453"/>
      <c r="L890" s="454"/>
      <c r="M890" s="369"/>
      <c r="N890" s="369"/>
      <c r="O890" s="455"/>
    </row>
    <row r="891" spans="1:15" x14ac:dyDescent="0.25">
      <c r="A891" s="369"/>
      <c r="B891" s="369"/>
      <c r="C891" s="369"/>
      <c r="D891" s="369"/>
      <c r="E891" s="369"/>
      <c r="F891" s="452"/>
      <c r="G891" s="369"/>
      <c r="H891" s="369"/>
      <c r="I891" s="470"/>
      <c r="J891" s="369"/>
      <c r="K891" s="453"/>
      <c r="L891" s="454"/>
      <c r="M891" s="369"/>
      <c r="N891" s="369"/>
      <c r="O891" s="455"/>
    </row>
    <row r="892" spans="1:15" x14ac:dyDescent="0.25">
      <c r="A892" s="369"/>
      <c r="B892" s="369"/>
      <c r="C892" s="369"/>
      <c r="D892" s="369"/>
      <c r="E892" s="369"/>
      <c r="F892" s="452"/>
      <c r="G892" s="369"/>
      <c r="H892" s="369"/>
      <c r="I892" s="470"/>
      <c r="J892" s="369"/>
      <c r="K892" s="453"/>
      <c r="L892" s="454"/>
      <c r="M892" s="369"/>
      <c r="N892" s="369"/>
      <c r="O892" s="455"/>
    </row>
    <row r="893" spans="1:15" x14ac:dyDescent="0.25">
      <c r="A893" s="369"/>
      <c r="B893" s="369"/>
      <c r="C893" s="369"/>
      <c r="D893" s="369"/>
      <c r="E893" s="369"/>
      <c r="F893" s="452"/>
      <c r="G893" s="369"/>
      <c r="H893" s="369"/>
      <c r="I893" s="470"/>
      <c r="J893" s="369"/>
      <c r="K893" s="453"/>
      <c r="L893" s="454"/>
      <c r="M893" s="369"/>
      <c r="N893" s="369"/>
      <c r="O893" s="455"/>
    </row>
    <row r="894" spans="1:15" x14ac:dyDescent="0.25">
      <c r="A894" s="369"/>
      <c r="B894" s="369"/>
      <c r="C894" s="369"/>
      <c r="D894" s="369"/>
      <c r="E894" s="369"/>
      <c r="F894" s="452"/>
      <c r="G894" s="369"/>
      <c r="H894" s="369"/>
      <c r="I894" s="470"/>
      <c r="J894" s="369"/>
      <c r="K894" s="453"/>
      <c r="L894" s="454"/>
      <c r="M894" s="369"/>
      <c r="N894" s="369"/>
      <c r="O894" s="455"/>
    </row>
    <row r="895" spans="1:15" x14ac:dyDescent="0.25">
      <c r="A895" s="369"/>
      <c r="B895" s="369"/>
      <c r="C895" s="369"/>
      <c r="D895" s="369"/>
      <c r="E895" s="369"/>
      <c r="F895" s="452"/>
      <c r="G895" s="369"/>
      <c r="H895" s="369"/>
      <c r="I895" s="470"/>
      <c r="J895" s="369"/>
      <c r="K895" s="453"/>
      <c r="L895" s="454"/>
      <c r="M895" s="369"/>
      <c r="N895" s="369"/>
      <c r="O895" s="455"/>
    </row>
    <row r="896" spans="1:15" x14ac:dyDescent="0.25">
      <c r="A896" s="369"/>
      <c r="B896" s="369"/>
      <c r="C896" s="369"/>
      <c r="D896" s="369"/>
      <c r="E896" s="369"/>
      <c r="F896" s="452"/>
      <c r="G896" s="369"/>
      <c r="H896" s="369"/>
      <c r="I896" s="470"/>
      <c r="J896" s="369"/>
      <c r="K896" s="453"/>
      <c r="L896" s="454"/>
      <c r="M896" s="369"/>
      <c r="N896" s="369"/>
      <c r="O896" s="455"/>
    </row>
    <row r="897" spans="1:15" x14ac:dyDescent="0.25">
      <c r="A897" s="369"/>
      <c r="B897" s="369"/>
      <c r="C897" s="369"/>
      <c r="D897" s="369"/>
      <c r="E897" s="369"/>
      <c r="F897" s="452"/>
      <c r="G897" s="369"/>
      <c r="H897" s="369"/>
      <c r="I897" s="470"/>
      <c r="J897" s="369"/>
      <c r="K897" s="453"/>
      <c r="L897" s="454"/>
      <c r="M897" s="369"/>
      <c r="N897" s="369"/>
      <c r="O897" s="455"/>
    </row>
    <row r="898" spans="1:15" x14ac:dyDescent="0.25">
      <c r="A898" s="369"/>
      <c r="B898" s="369"/>
      <c r="C898" s="369"/>
      <c r="D898" s="369"/>
      <c r="E898" s="369"/>
      <c r="F898" s="452"/>
      <c r="G898" s="369"/>
      <c r="H898" s="369"/>
      <c r="I898" s="470"/>
      <c r="J898" s="369"/>
      <c r="K898" s="453"/>
      <c r="L898" s="454"/>
      <c r="M898" s="369"/>
      <c r="N898" s="369"/>
      <c r="O898" s="455"/>
    </row>
    <row r="899" spans="1:15" x14ac:dyDescent="0.25">
      <c r="A899" s="369"/>
      <c r="B899" s="369"/>
      <c r="C899" s="369"/>
      <c r="D899" s="369"/>
      <c r="E899" s="369"/>
      <c r="F899" s="452"/>
      <c r="G899" s="369"/>
      <c r="H899" s="369"/>
      <c r="I899" s="470"/>
      <c r="J899" s="369"/>
      <c r="K899" s="453"/>
      <c r="L899" s="454"/>
      <c r="M899" s="369"/>
      <c r="N899" s="369"/>
      <c r="O899" s="455"/>
    </row>
    <row r="900" spans="1:15" x14ac:dyDescent="0.25">
      <c r="A900" s="369"/>
      <c r="B900" s="369"/>
      <c r="C900" s="369"/>
      <c r="D900" s="369"/>
      <c r="E900" s="369"/>
      <c r="F900" s="452"/>
      <c r="G900" s="369"/>
      <c r="H900" s="369"/>
      <c r="I900" s="470"/>
      <c r="J900" s="369"/>
      <c r="K900" s="453"/>
      <c r="L900" s="454"/>
      <c r="M900" s="369"/>
      <c r="N900" s="369"/>
      <c r="O900" s="455"/>
    </row>
    <row r="901" spans="1:15" x14ac:dyDescent="0.25">
      <c r="A901" s="369"/>
      <c r="B901" s="369"/>
      <c r="C901" s="369"/>
      <c r="D901" s="369"/>
      <c r="E901" s="369"/>
      <c r="F901" s="452"/>
      <c r="G901" s="369"/>
      <c r="H901" s="369"/>
      <c r="I901" s="470"/>
      <c r="J901" s="369"/>
      <c r="K901" s="453"/>
      <c r="L901" s="454"/>
      <c r="M901" s="369"/>
      <c r="N901" s="369"/>
      <c r="O901" s="455"/>
    </row>
    <row r="902" spans="1:15" x14ac:dyDescent="0.25">
      <c r="A902" s="369"/>
      <c r="B902" s="369"/>
      <c r="C902" s="369"/>
      <c r="D902" s="369"/>
      <c r="E902" s="369"/>
      <c r="F902" s="452"/>
      <c r="G902" s="369"/>
      <c r="H902" s="369"/>
      <c r="I902" s="470"/>
      <c r="J902" s="369"/>
      <c r="K902" s="453"/>
      <c r="L902" s="454"/>
      <c r="M902" s="369"/>
      <c r="N902" s="369"/>
      <c r="O902" s="455"/>
    </row>
    <row r="903" spans="1:15" x14ac:dyDescent="0.25">
      <c r="A903" s="369"/>
      <c r="B903" s="369"/>
      <c r="C903" s="369"/>
      <c r="D903" s="369"/>
      <c r="E903" s="369"/>
      <c r="F903" s="452"/>
      <c r="G903" s="369"/>
      <c r="H903" s="369"/>
      <c r="I903" s="470"/>
      <c r="J903" s="369"/>
      <c r="K903" s="453"/>
      <c r="L903" s="454"/>
      <c r="M903" s="369"/>
      <c r="N903" s="369"/>
      <c r="O903" s="455"/>
    </row>
    <row r="904" spans="1:15" x14ac:dyDescent="0.25">
      <c r="A904" s="369"/>
      <c r="B904" s="369"/>
      <c r="C904" s="369"/>
      <c r="D904" s="369"/>
      <c r="E904" s="369"/>
      <c r="F904" s="452"/>
      <c r="G904" s="369"/>
      <c r="H904" s="369"/>
      <c r="I904" s="470"/>
      <c r="J904" s="369"/>
      <c r="K904" s="453"/>
      <c r="L904" s="454"/>
      <c r="M904" s="369"/>
      <c r="N904" s="369"/>
      <c r="O904" s="455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O7:O124"/>
    <mergeCell ref="I8:I9"/>
    <mergeCell ref="M8:M9"/>
    <mergeCell ref="S8:S9"/>
    <mergeCell ref="E9:G9"/>
    <mergeCell ref="L10:L124"/>
    <mergeCell ref="B7:K7"/>
    <mergeCell ref="M7:N7"/>
    <mergeCell ref="B2:C2"/>
    <mergeCell ref="B3:C4"/>
    <mergeCell ref="N3:N4"/>
    <mergeCell ref="G5:I5"/>
    <mergeCell ref="D6:G6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4</xdr:col>
                <xdr:colOff>388620</xdr:colOff>
                <xdr:row>4</xdr:row>
                <xdr:rowOff>137160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388620</xdr:colOff>
                <xdr:row>2</xdr:row>
                <xdr:rowOff>106680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C10" sqref="C10:D10"/>
    </sheetView>
  </sheetViews>
  <sheetFormatPr defaultColWidth="9.109375" defaultRowHeight="14.4" x14ac:dyDescent="0.3"/>
  <cols>
    <col min="1" max="1" width="1.6640625" style="324" customWidth="1"/>
    <col min="2" max="2" width="28.88671875" style="323" customWidth="1"/>
    <col min="3" max="3" width="29.33203125" style="323" customWidth="1"/>
    <col min="4" max="4" width="28.88671875" style="323" customWidth="1"/>
    <col min="5" max="5" width="1.6640625" style="324" customWidth="1"/>
    <col min="6" max="6" width="4" style="324" customWidth="1"/>
    <col min="7" max="7" width="9.109375" style="334"/>
    <col min="8" max="8" width="22.5546875" style="334" bestFit="1" customWidth="1"/>
    <col min="9" max="66" width="9.109375" style="333"/>
    <col min="67" max="16384" width="9.109375" style="323"/>
  </cols>
  <sheetData>
    <row r="1" spans="1:66" s="324" customFormat="1" ht="19.5" customHeight="1" thickBot="1" x14ac:dyDescent="0.35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 x14ac:dyDescent="0.3">
      <c r="A2" s="328"/>
      <c r="B2" s="338" t="s">
        <v>122</v>
      </c>
      <c r="C2" s="329"/>
      <c r="D2" s="338" t="s">
        <v>123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 x14ac:dyDescent="0.35">
      <c r="A3" s="328"/>
      <c r="B3" s="337" t="str">
        <f>'Cover - Location Info'!$J$8</f>
        <v>101736</v>
      </c>
      <c r="C3" s="329"/>
      <c r="D3" s="336" t="str">
        <f>'Cover - Location Info'!$J$10</f>
        <v>1.0</v>
      </c>
      <c r="E3" s="330"/>
      <c r="F3" s="344"/>
      <c r="G3" s="632" t="s">
        <v>107</v>
      </c>
      <c r="H3" s="632"/>
      <c r="I3" s="334" t="s">
        <v>141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 x14ac:dyDescent="0.35">
      <c r="A4" s="328"/>
      <c r="B4" s="329"/>
      <c r="C4" s="339" t="s">
        <v>124</v>
      </c>
      <c r="D4" s="329"/>
      <c r="E4" s="330"/>
      <c r="F4" s="344"/>
      <c r="G4" s="335" t="s">
        <v>108</v>
      </c>
      <c r="H4" s="335" t="s">
        <v>109</v>
      </c>
      <c r="I4" s="334" t="s">
        <v>142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 x14ac:dyDescent="0.3">
      <c r="A5" s="328"/>
      <c r="B5" s="624" t="s">
        <v>118</v>
      </c>
      <c r="C5" s="625"/>
      <c r="D5" s="626"/>
      <c r="E5" s="330"/>
      <c r="F5" s="344"/>
      <c r="G5" s="334" t="s">
        <v>110</v>
      </c>
      <c r="H5" s="334" t="s">
        <v>111</v>
      </c>
    </row>
    <row r="6" spans="1:66" x14ac:dyDescent="0.3">
      <c r="A6" s="328"/>
      <c r="B6" s="349" t="s">
        <v>132</v>
      </c>
      <c r="C6" s="350" t="s">
        <v>133</v>
      </c>
      <c r="D6" s="351" t="s">
        <v>125</v>
      </c>
      <c r="E6" s="330"/>
      <c r="F6" s="344"/>
      <c r="G6" s="334" t="s">
        <v>112</v>
      </c>
      <c r="H6" s="334" t="s">
        <v>139</v>
      </c>
    </row>
    <row r="7" spans="1:66" ht="30.75" customHeight="1" thickBot="1" x14ac:dyDescent="0.35">
      <c r="A7" s="328"/>
      <c r="B7" s="352">
        <f>IF('Cover - Location Info'!D41="","",'Cover - Location Info'!D41)</f>
        <v>1</v>
      </c>
      <c r="C7" s="353" t="str">
        <f>IF('Cover - Location Info'!E41="","",'Cover - Location Info'!E41)</f>
        <v/>
      </c>
      <c r="D7" s="354"/>
      <c r="E7" s="330"/>
      <c r="F7" s="344"/>
      <c r="H7" s="334" t="s">
        <v>113</v>
      </c>
    </row>
    <row r="8" spans="1:66" s="324" customFormat="1" ht="15" thickBot="1" x14ac:dyDescent="0.35">
      <c r="A8" s="328"/>
      <c r="B8" s="329"/>
      <c r="C8" s="329"/>
      <c r="D8" s="329"/>
      <c r="E8" s="330"/>
      <c r="F8" s="344"/>
      <c r="G8" s="334"/>
      <c r="H8" s="334" t="s">
        <v>114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 x14ac:dyDescent="0.3">
      <c r="A9" s="328"/>
      <c r="B9" s="627" t="s">
        <v>119</v>
      </c>
      <c r="C9" s="628"/>
      <c r="D9" s="629"/>
      <c r="E9" s="330"/>
      <c r="F9" s="344"/>
      <c r="H9" s="334" t="s">
        <v>115</v>
      </c>
    </row>
    <row r="10" spans="1:66" ht="17.25" customHeight="1" x14ac:dyDescent="0.35">
      <c r="A10" s="328"/>
      <c r="B10" s="348" t="s">
        <v>140</v>
      </c>
      <c r="C10" s="622"/>
      <c r="D10" s="623"/>
      <c r="E10" s="330"/>
      <c r="F10" s="344"/>
      <c r="H10" s="334" t="s">
        <v>116</v>
      </c>
    </row>
    <row r="11" spans="1:66" ht="17.25" customHeight="1" x14ac:dyDescent="0.35">
      <c r="A11" s="328"/>
      <c r="B11" s="348" t="s">
        <v>126</v>
      </c>
      <c r="C11" s="622"/>
      <c r="D11" s="623"/>
      <c r="E11" s="330"/>
      <c r="F11" s="344"/>
      <c r="H11" s="334" t="s">
        <v>117</v>
      </c>
    </row>
    <row r="12" spans="1:66" s="324" customFormat="1" ht="17.25" customHeight="1" thickBot="1" x14ac:dyDescent="0.4">
      <c r="A12" s="328"/>
      <c r="B12" s="356" t="s">
        <v>121</v>
      </c>
      <c r="C12" s="630"/>
      <c r="D12" s="631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 x14ac:dyDescent="0.35">
      <c r="A13" s="328"/>
      <c r="B13" s="329"/>
      <c r="C13" s="329"/>
      <c r="D13" s="329"/>
      <c r="E13" s="330"/>
      <c r="F13" s="344"/>
    </row>
    <row r="14" spans="1:66" ht="22.5" customHeight="1" x14ac:dyDescent="0.3">
      <c r="A14" s="328"/>
      <c r="B14" s="627" t="s">
        <v>120</v>
      </c>
      <c r="C14" s="628"/>
      <c r="D14" s="629"/>
      <c r="E14" s="330"/>
      <c r="F14" s="344"/>
    </row>
    <row r="15" spans="1:66" ht="17.25" customHeight="1" x14ac:dyDescent="0.3">
      <c r="A15" s="328"/>
      <c r="B15" s="355" t="s">
        <v>127</v>
      </c>
      <c r="C15" s="633"/>
      <c r="D15" s="634"/>
      <c r="E15" s="330"/>
      <c r="F15" s="344"/>
    </row>
    <row r="16" spans="1:66" ht="17.25" customHeight="1" x14ac:dyDescent="0.3">
      <c r="A16" s="328"/>
      <c r="B16" s="355" t="s">
        <v>128</v>
      </c>
      <c r="C16" s="633"/>
      <c r="D16" s="634"/>
      <c r="E16" s="330"/>
      <c r="F16" s="344"/>
    </row>
    <row r="17" spans="1:66" ht="17.25" customHeight="1" x14ac:dyDescent="0.3">
      <c r="A17" s="328"/>
      <c r="B17" s="355" t="s">
        <v>129</v>
      </c>
      <c r="C17" s="635"/>
      <c r="D17" s="636"/>
      <c r="E17" s="330"/>
      <c r="F17" s="344"/>
    </row>
    <row r="18" spans="1:66" ht="17.25" customHeight="1" x14ac:dyDescent="0.3">
      <c r="A18" s="328"/>
      <c r="B18" s="355" t="s">
        <v>130</v>
      </c>
      <c r="C18" s="635"/>
      <c r="D18" s="636"/>
      <c r="E18" s="330"/>
      <c r="F18" s="344"/>
    </row>
    <row r="19" spans="1:66" s="324" customFormat="1" ht="17.25" customHeight="1" thickBot="1" x14ac:dyDescent="0.35">
      <c r="A19" s="341"/>
      <c r="B19" s="357" t="s">
        <v>131</v>
      </c>
      <c r="C19" s="620"/>
      <c r="D19" s="621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 x14ac:dyDescent="0.35">
      <c r="A20" s="328"/>
      <c r="B20" s="343" t="s">
        <v>86</v>
      </c>
      <c r="C20" s="326"/>
      <c r="D20" s="326"/>
      <c r="E20" s="330"/>
      <c r="F20" s="345"/>
      <c r="G20" s="334"/>
      <c r="H20" s="334"/>
    </row>
    <row r="21" spans="1:66" s="333" customFormat="1" ht="16.5" customHeight="1" x14ac:dyDescent="0.3">
      <c r="A21" s="328"/>
      <c r="B21" s="611"/>
      <c r="C21" s="612"/>
      <c r="D21" s="613"/>
      <c r="E21" s="330"/>
      <c r="F21" s="345"/>
      <c r="G21" s="334"/>
      <c r="H21" s="334"/>
    </row>
    <row r="22" spans="1:66" s="333" customFormat="1" ht="16.5" customHeight="1" x14ac:dyDescent="0.3">
      <c r="A22" s="328"/>
      <c r="B22" s="614"/>
      <c r="C22" s="615"/>
      <c r="D22" s="616"/>
      <c r="E22" s="330"/>
      <c r="F22" s="345"/>
      <c r="G22" s="334"/>
      <c r="H22" s="334"/>
    </row>
    <row r="23" spans="1:66" s="333" customFormat="1" ht="16.5" customHeight="1" x14ac:dyDescent="0.3">
      <c r="A23" s="328"/>
      <c r="B23" s="614"/>
      <c r="C23" s="615"/>
      <c r="D23" s="616"/>
      <c r="E23" s="330"/>
      <c r="F23" s="345"/>
      <c r="G23" s="334"/>
      <c r="H23" s="334"/>
    </row>
    <row r="24" spans="1:66" s="333" customFormat="1" ht="16.5" customHeight="1" x14ac:dyDescent="0.3">
      <c r="A24" s="328"/>
      <c r="B24" s="614"/>
      <c r="C24" s="615"/>
      <c r="D24" s="616"/>
      <c r="E24" s="330"/>
      <c r="F24" s="345"/>
      <c r="G24" s="334"/>
      <c r="H24" s="334"/>
    </row>
    <row r="25" spans="1:66" s="333" customFormat="1" ht="16.5" customHeight="1" x14ac:dyDescent="0.3">
      <c r="A25" s="328"/>
      <c r="B25" s="614"/>
      <c r="C25" s="615"/>
      <c r="D25" s="616"/>
      <c r="E25" s="330"/>
      <c r="F25" s="345"/>
      <c r="G25" s="334"/>
      <c r="H25" s="334"/>
    </row>
    <row r="26" spans="1:66" s="333" customFormat="1" ht="16.5" customHeight="1" x14ac:dyDescent="0.3">
      <c r="A26" s="328"/>
      <c r="B26" s="614"/>
      <c r="C26" s="615"/>
      <c r="D26" s="616"/>
      <c r="E26" s="330"/>
      <c r="F26" s="345"/>
      <c r="G26" s="334"/>
      <c r="H26" s="334"/>
    </row>
    <row r="27" spans="1:66" s="333" customFormat="1" ht="16.5" customHeight="1" x14ac:dyDescent="0.3">
      <c r="A27" s="328"/>
      <c r="B27" s="614"/>
      <c r="C27" s="615"/>
      <c r="D27" s="616"/>
      <c r="E27" s="330"/>
      <c r="F27" s="345"/>
      <c r="G27" s="334"/>
      <c r="H27" s="334"/>
    </row>
    <row r="28" spans="1:66" s="333" customFormat="1" ht="16.5" customHeight="1" x14ac:dyDescent="0.3">
      <c r="A28" s="328"/>
      <c r="B28" s="614"/>
      <c r="C28" s="615"/>
      <c r="D28" s="616"/>
      <c r="E28" s="330"/>
      <c r="F28" s="345"/>
      <c r="G28" s="334"/>
      <c r="H28" s="334"/>
    </row>
    <row r="29" spans="1:66" s="333" customFormat="1" ht="16.5" customHeight="1" x14ac:dyDescent="0.3">
      <c r="A29" s="328"/>
      <c r="B29" s="617"/>
      <c r="C29" s="618"/>
      <c r="D29" s="619"/>
      <c r="E29" s="330"/>
      <c r="F29" s="345"/>
      <c r="G29" s="334"/>
      <c r="H29" s="334"/>
    </row>
    <row r="30" spans="1:66" s="333" customFormat="1" ht="15" thickBot="1" x14ac:dyDescent="0.35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 x14ac:dyDescent="0.3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 x14ac:dyDescent="0.3">
      <c r="G32" s="334"/>
      <c r="H32" s="334"/>
    </row>
    <row r="33" spans="7:8" s="333" customFormat="1" x14ac:dyDescent="0.3">
      <c r="G33" s="334"/>
      <c r="H33" s="334"/>
    </row>
    <row r="34" spans="7:8" s="333" customFormat="1" x14ac:dyDescent="0.3">
      <c r="G34" s="334"/>
      <c r="H34" s="334"/>
    </row>
    <row r="35" spans="7:8" s="333" customFormat="1" x14ac:dyDescent="0.3">
      <c r="G35" s="334"/>
      <c r="H35" s="334"/>
    </row>
    <row r="36" spans="7:8" s="333" customFormat="1" x14ac:dyDescent="0.3">
      <c r="G36" s="334"/>
      <c r="H36" s="334"/>
    </row>
    <row r="37" spans="7:8" s="333" customFormat="1" x14ac:dyDescent="0.3">
      <c r="G37" s="334"/>
      <c r="H37" s="334"/>
    </row>
    <row r="38" spans="7:8" s="333" customFormat="1" x14ac:dyDescent="0.3">
      <c r="G38" s="334"/>
      <c r="H38" s="334"/>
    </row>
    <row r="39" spans="7:8" s="333" customFormat="1" x14ac:dyDescent="0.3">
      <c r="G39" s="334"/>
      <c r="H39" s="334"/>
    </row>
    <row r="40" spans="7:8" s="333" customFormat="1" x14ac:dyDescent="0.3">
      <c r="G40" s="334"/>
      <c r="H40" s="334"/>
    </row>
    <row r="41" spans="7:8" s="333" customFormat="1" x14ac:dyDescent="0.3">
      <c r="G41" s="334"/>
      <c r="H41" s="334"/>
    </row>
    <row r="42" spans="7:8" s="333" customFormat="1" x14ac:dyDescent="0.3">
      <c r="G42" s="334"/>
      <c r="H42" s="334"/>
    </row>
    <row r="43" spans="7:8" s="333" customFormat="1" x14ac:dyDescent="0.3">
      <c r="G43" s="334"/>
      <c r="H43" s="334"/>
    </row>
    <row r="44" spans="7:8" s="333" customFormat="1" x14ac:dyDescent="0.3">
      <c r="G44" s="334"/>
      <c r="H44" s="334"/>
    </row>
    <row r="45" spans="7:8" s="333" customFormat="1" x14ac:dyDescent="0.3">
      <c r="G45" s="334"/>
      <c r="H45" s="334"/>
    </row>
    <row r="46" spans="7:8" s="333" customFormat="1" x14ac:dyDescent="0.3">
      <c r="G46" s="334"/>
      <c r="H46" s="334"/>
    </row>
    <row r="47" spans="7:8" s="333" customFormat="1" x14ac:dyDescent="0.3">
      <c r="G47" s="334"/>
      <c r="H47" s="334"/>
    </row>
    <row r="48" spans="7:8" s="333" customFormat="1" x14ac:dyDescent="0.3">
      <c r="G48" s="334"/>
      <c r="H48" s="334"/>
    </row>
    <row r="49" spans="7:8" s="333" customFormat="1" x14ac:dyDescent="0.3">
      <c r="G49" s="334"/>
      <c r="H49" s="334"/>
    </row>
    <row r="50" spans="7:8" s="333" customFormat="1" x14ac:dyDescent="0.3">
      <c r="G50" s="334"/>
      <c r="H50" s="334"/>
    </row>
    <row r="51" spans="7:8" s="333" customFormat="1" x14ac:dyDescent="0.3">
      <c r="G51" s="334"/>
      <c r="H51" s="334"/>
    </row>
    <row r="52" spans="7:8" s="333" customFormat="1" x14ac:dyDescent="0.3">
      <c r="G52" s="334"/>
      <c r="H52" s="334"/>
    </row>
    <row r="53" spans="7:8" s="333" customFormat="1" x14ac:dyDescent="0.3">
      <c r="G53" s="334"/>
      <c r="H53" s="334"/>
    </row>
    <row r="54" spans="7:8" s="333" customFormat="1" x14ac:dyDescent="0.3">
      <c r="G54" s="334"/>
      <c r="H54" s="334"/>
    </row>
    <row r="55" spans="7:8" s="333" customFormat="1" x14ac:dyDescent="0.3">
      <c r="G55" s="334"/>
      <c r="H55" s="334"/>
    </row>
    <row r="56" spans="7:8" s="333" customFormat="1" x14ac:dyDescent="0.3">
      <c r="G56" s="334"/>
      <c r="H56" s="334"/>
    </row>
    <row r="57" spans="7:8" s="333" customFormat="1" x14ac:dyDescent="0.3">
      <c r="G57" s="334"/>
      <c r="H57" s="334"/>
    </row>
    <row r="58" spans="7:8" s="333" customFormat="1" x14ac:dyDescent="0.3">
      <c r="G58" s="334"/>
      <c r="H58" s="334"/>
    </row>
    <row r="59" spans="7:8" s="333" customFormat="1" x14ac:dyDescent="0.3">
      <c r="G59" s="334"/>
      <c r="H59" s="334"/>
    </row>
    <row r="60" spans="7:8" s="333" customFormat="1" x14ac:dyDescent="0.3">
      <c r="G60" s="334"/>
      <c r="H60" s="334"/>
    </row>
    <row r="61" spans="7:8" s="333" customFormat="1" x14ac:dyDescent="0.3">
      <c r="G61" s="334"/>
      <c r="H61" s="334"/>
    </row>
    <row r="62" spans="7:8" s="333" customFormat="1" x14ac:dyDescent="0.3">
      <c r="G62" s="334"/>
      <c r="H62" s="334"/>
    </row>
    <row r="63" spans="7:8" s="333" customFormat="1" x14ac:dyDescent="0.3">
      <c r="G63" s="334"/>
      <c r="H63" s="334"/>
    </row>
    <row r="64" spans="7:8" s="333" customFormat="1" x14ac:dyDescent="0.3">
      <c r="G64" s="334"/>
      <c r="H64" s="334"/>
    </row>
    <row r="65" spans="7:8" s="333" customFormat="1" x14ac:dyDescent="0.3">
      <c r="G65" s="334"/>
      <c r="H65" s="334"/>
    </row>
    <row r="66" spans="7:8" s="333" customFormat="1" x14ac:dyDescent="0.3">
      <c r="G66" s="334"/>
      <c r="H66" s="334"/>
    </row>
    <row r="67" spans="7:8" s="333" customFormat="1" x14ac:dyDescent="0.3">
      <c r="G67" s="334"/>
      <c r="H67" s="334"/>
    </row>
    <row r="68" spans="7:8" s="333" customFormat="1" x14ac:dyDescent="0.3">
      <c r="G68" s="334"/>
      <c r="H68" s="334"/>
    </row>
    <row r="69" spans="7:8" s="333" customFormat="1" x14ac:dyDescent="0.3">
      <c r="G69" s="334"/>
      <c r="H69" s="334"/>
    </row>
    <row r="70" spans="7:8" s="333" customFormat="1" x14ac:dyDescent="0.3">
      <c r="G70" s="334"/>
      <c r="H70" s="334"/>
    </row>
    <row r="71" spans="7:8" s="333" customFormat="1" x14ac:dyDescent="0.3">
      <c r="G71" s="334"/>
      <c r="H71" s="334"/>
    </row>
    <row r="72" spans="7:8" s="333" customFormat="1" x14ac:dyDescent="0.3">
      <c r="G72" s="334"/>
      <c r="H72" s="334"/>
    </row>
    <row r="73" spans="7:8" s="333" customFormat="1" x14ac:dyDescent="0.3">
      <c r="G73" s="334"/>
      <c r="H73" s="334"/>
    </row>
    <row r="74" spans="7:8" s="333" customFormat="1" x14ac:dyDescent="0.3">
      <c r="G74" s="334"/>
      <c r="H74" s="334"/>
    </row>
    <row r="75" spans="7:8" s="333" customFormat="1" x14ac:dyDescent="0.3">
      <c r="G75" s="334"/>
      <c r="H75" s="334"/>
    </row>
    <row r="76" spans="7:8" s="333" customFormat="1" x14ac:dyDescent="0.3">
      <c r="G76" s="334"/>
      <c r="H76" s="334"/>
    </row>
    <row r="77" spans="7:8" s="333" customFormat="1" x14ac:dyDescent="0.3">
      <c r="G77" s="334"/>
      <c r="H77" s="334"/>
    </row>
    <row r="78" spans="7:8" s="333" customFormat="1" x14ac:dyDescent="0.3">
      <c r="G78" s="334"/>
      <c r="H78" s="334"/>
    </row>
    <row r="79" spans="7:8" s="333" customFormat="1" x14ac:dyDescent="0.3">
      <c r="G79" s="334"/>
      <c r="H79" s="334"/>
    </row>
    <row r="80" spans="7:8" s="333" customFormat="1" x14ac:dyDescent="0.3">
      <c r="G80" s="334"/>
      <c r="H80" s="334"/>
    </row>
    <row r="81" spans="7:8" s="333" customFormat="1" x14ac:dyDescent="0.3">
      <c r="G81" s="334"/>
      <c r="H81" s="334"/>
    </row>
    <row r="82" spans="7:8" s="333" customFormat="1" x14ac:dyDescent="0.3">
      <c r="G82" s="334"/>
      <c r="H82" s="334"/>
    </row>
    <row r="83" spans="7:8" s="333" customFormat="1" x14ac:dyDescent="0.3">
      <c r="G83" s="334"/>
      <c r="H83" s="334"/>
    </row>
    <row r="84" spans="7:8" s="333" customFormat="1" x14ac:dyDescent="0.3">
      <c r="G84" s="334"/>
      <c r="H84" s="334"/>
    </row>
    <row r="85" spans="7:8" s="333" customFormat="1" x14ac:dyDescent="0.3">
      <c r="G85" s="334"/>
      <c r="H85" s="334"/>
    </row>
    <row r="86" spans="7:8" s="333" customFormat="1" x14ac:dyDescent="0.3">
      <c r="G86" s="334"/>
      <c r="H86" s="334"/>
    </row>
    <row r="87" spans="7:8" s="333" customFormat="1" x14ac:dyDescent="0.3">
      <c r="G87" s="334"/>
      <c r="H87" s="334"/>
    </row>
    <row r="88" spans="7:8" s="333" customFormat="1" x14ac:dyDescent="0.3">
      <c r="G88" s="334"/>
      <c r="H88" s="334"/>
    </row>
    <row r="89" spans="7:8" s="333" customFormat="1" x14ac:dyDescent="0.3">
      <c r="G89" s="334"/>
      <c r="H89" s="334"/>
    </row>
    <row r="90" spans="7:8" s="333" customFormat="1" x14ac:dyDescent="0.3">
      <c r="G90" s="334"/>
      <c r="H90" s="334"/>
    </row>
    <row r="91" spans="7:8" s="333" customFormat="1" x14ac:dyDescent="0.3">
      <c r="G91" s="334"/>
      <c r="H91" s="334"/>
    </row>
    <row r="92" spans="7:8" s="333" customFormat="1" x14ac:dyDescent="0.3">
      <c r="G92" s="334"/>
      <c r="H92" s="334"/>
    </row>
    <row r="93" spans="7:8" s="333" customFormat="1" x14ac:dyDescent="0.3">
      <c r="G93" s="334"/>
      <c r="H93" s="334"/>
    </row>
    <row r="94" spans="7:8" s="333" customFormat="1" x14ac:dyDescent="0.3">
      <c r="G94" s="334"/>
      <c r="H94" s="334"/>
    </row>
    <row r="95" spans="7:8" s="333" customFormat="1" x14ac:dyDescent="0.3">
      <c r="G95" s="334"/>
      <c r="H95" s="334"/>
    </row>
    <row r="96" spans="7:8" s="333" customFormat="1" x14ac:dyDescent="0.3">
      <c r="G96" s="334"/>
      <c r="H96" s="334"/>
    </row>
    <row r="97" spans="7:8" s="333" customFormat="1" x14ac:dyDescent="0.3">
      <c r="G97" s="334"/>
      <c r="H97" s="334"/>
    </row>
    <row r="98" spans="7:8" s="333" customFormat="1" x14ac:dyDescent="0.3">
      <c r="G98" s="334"/>
      <c r="H98" s="334"/>
    </row>
    <row r="99" spans="7:8" s="333" customFormat="1" x14ac:dyDescent="0.3">
      <c r="G99" s="334"/>
      <c r="H99" s="334"/>
    </row>
    <row r="100" spans="7:8" s="333" customFormat="1" x14ac:dyDescent="0.3">
      <c r="G100" s="334"/>
      <c r="H100" s="334"/>
    </row>
    <row r="101" spans="7:8" s="333" customFormat="1" x14ac:dyDescent="0.3">
      <c r="G101" s="334"/>
      <c r="H101" s="334"/>
    </row>
    <row r="102" spans="7:8" s="333" customFormat="1" x14ac:dyDescent="0.3">
      <c r="G102" s="334"/>
      <c r="H102" s="334"/>
    </row>
    <row r="103" spans="7:8" s="333" customFormat="1" x14ac:dyDescent="0.3">
      <c r="G103" s="334"/>
      <c r="H103" s="334"/>
    </row>
    <row r="104" spans="7:8" s="333" customFormat="1" x14ac:dyDescent="0.3">
      <c r="G104" s="334"/>
      <c r="H104" s="334"/>
    </row>
    <row r="105" spans="7:8" s="333" customFormat="1" x14ac:dyDescent="0.3">
      <c r="G105" s="334"/>
      <c r="H105" s="334"/>
    </row>
    <row r="106" spans="7:8" s="333" customFormat="1" x14ac:dyDescent="0.3">
      <c r="G106" s="334"/>
      <c r="H106" s="334"/>
    </row>
    <row r="107" spans="7:8" s="333" customFormat="1" x14ac:dyDescent="0.3">
      <c r="G107" s="334"/>
      <c r="H107" s="334"/>
    </row>
    <row r="108" spans="7:8" s="333" customFormat="1" x14ac:dyDescent="0.3">
      <c r="G108" s="334"/>
      <c r="H108" s="334"/>
    </row>
    <row r="109" spans="7:8" s="333" customFormat="1" x14ac:dyDescent="0.3">
      <c r="G109" s="334"/>
      <c r="H109" s="334"/>
    </row>
    <row r="110" spans="7:8" s="333" customFormat="1" x14ac:dyDescent="0.3">
      <c r="G110" s="334"/>
      <c r="H110" s="334"/>
    </row>
    <row r="111" spans="7:8" s="333" customFormat="1" x14ac:dyDescent="0.3">
      <c r="G111" s="334"/>
      <c r="H111" s="334"/>
    </row>
    <row r="112" spans="7:8" s="333" customFormat="1" x14ac:dyDescent="0.3">
      <c r="G112" s="334"/>
      <c r="H112" s="334"/>
    </row>
    <row r="113" spans="7:8" s="333" customFormat="1" x14ac:dyDescent="0.3">
      <c r="G113" s="334"/>
      <c r="H113" s="334"/>
    </row>
    <row r="114" spans="7:8" s="333" customFormat="1" x14ac:dyDescent="0.3">
      <c r="G114" s="334"/>
      <c r="H114" s="334"/>
    </row>
    <row r="115" spans="7:8" s="333" customFormat="1" x14ac:dyDescent="0.3">
      <c r="G115" s="334"/>
      <c r="H115" s="334"/>
    </row>
    <row r="116" spans="7:8" s="333" customFormat="1" x14ac:dyDescent="0.3">
      <c r="G116" s="334"/>
      <c r="H116" s="334"/>
    </row>
    <row r="117" spans="7:8" s="333" customFormat="1" x14ac:dyDescent="0.3">
      <c r="G117" s="334"/>
      <c r="H117" s="334"/>
    </row>
    <row r="118" spans="7:8" s="333" customFormat="1" x14ac:dyDescent="0.3">
      <c r="G118" s="334"/>
      <c r="H118" s="334"/>
    </row>
    <row r="119" spans="7:8" s="333" customFormat="1" x14ac:dyDescent="0.3">
      <c r="G119" s="334"/>
      <c r="H119" s="334"/>
    </row>
    <row r="120" spans="7:8" s="333" customFormat="1" x14ac:dyDescent="0.3">
      <c r="G120" s="334"/>
      <c r="H120" s="334"/>
    </row>
    <row r="121" spans="7:8" s="333" customFormat="1" x14ac:dyDescent="0.3">
      <c r="G121" s="334"/>
      <c r="H121" s="334"/>
    </row>
    <row r="122" spans="7:8" s="333" customFormat="1" x14ac:dyDescent="0.3">
      <c r="G122" s="334"/>
      <c r="H122" s="334"/>
    </row>
    <row r="123" spans="7:8" s="333" customFormat="1" x14ac:dyDescent="0.3">
      <c r="G123" s="334"/>
      <c r="H123" s="334"/>
    </row>
    <row r="124" spans="7:8" s="333" customFormat="1" x14ac:dyDescent="0.3">
      <c r="G124" s="334"/>
      <c r="H124" s="334"/>
    </row>
    <row r="125" spans="7:8" s="333" customFormat="1" x14ac:dyDescent="0.3">
      <c r="G125" s="334"/>
      <c r="H125" s="334"/>
    </row>
    <row r="126" spans="7:8" s="333" customFormat="1" x14ac:dyDescent="0.3">
      <c r="G126" s="334"/>
      <c r="H126" s="334"/>
    </row>
    <row r="127" spans="7:8" s="333" customFormat="1" x14ac:dyDescent="0.3">
      <c r="G127" s="334"/>
      <c r="H127" s="334"/>
    </row>
    <row r="128" spans="7:8" s="333" customFormat="1" x14ac:dyDescent="0.3">
      <c r="G128" s="334"/>
      <c r="H128" s="334"/>
    </row>
    <row r="129" spans="7:8" s="333" customFormat="1" x14ac:dyDescent="0.3">
      <c r="G129" s="334"/>
      <c r="H129" s="334"/>
    </row>
    <row r="130" spans="7:8" s="333" customFormat="1" x14ac:dyDescent="0.3">
      <c r="G130" s="334"/>
      <c r="H130" s="334"/>
    </row>
    <row r="131" spans="7:8" s="333" customFormat="1" x14ac:dyDescent="0.3">
      <c r="G131" s="334"/>
      <c r="H131" s="334"/>
    </row>
    <row r="132" spans="7:8" s="333" customFormat="1" x14ac:dyDescent="0.3">
      <c r="G132" s="334"/>
      <c r="H132" s="334"/>
    </row>
    <row r="133" spans="7:8" s="333" customFormat="1" x14ac:dyDescent="0.3">
      <c r="G133" s="334"/>
      <c r="H133" s="334"/>
    </row>
    <row r="134" spans="7:8" s="333" customFormat="1" x14ac:dyDescent="0.3">
      <c r="G134" s="334"/>
      <c r="H134" s="334"/>
    </row>
    <row r="135" spans="7:8" s="333" customFormat="1" x14ac:dyDescent="0.3">
      <c r="G135" s="334"/>
      <c r="H135" s="334"/>
    </row>
    <row r="136" spans="7:8" s="333" customFormat="1" x14ac:dyDescent="0.3">
      <c r="G136" s="334"/>
      <c r="H136" s="334"/>
    </row>
    <row r="137" spans="7:8" s="333" customFormat="1" x14ac:dyDescent="0.3">
      <c r="G137" s="334"/>
      <c r="H137" s="334"/>
    </row>
    <row r="138" spans="7:8" s="333" customFormat="1" x14ac:dyDescent="0.3">
      <c r="G138" s="334"/>
      <c r="H138" s="334"/>
    </row>
    <row r="139" spans="7:8" s="333" customFormat="1" x14ac:dyDescent="0.3">
      <c r="G139" s="334"/>
      <c r="H139" s="334"/>
    </row>
    <row r="140" spans="7:8" s="333" customFormat="1" x14ac:dyDescent="0.3">
      <c r="G140" s="334"/>
      <c r="H140" s="334"/>
    </row>
    <row r="141" spans="7:8" s="333" customFormat="1" x14ac:dyDescent="0.3">
      <c r="G141" s="334"/>
      <c r="H141" s="334"/>
    </row>
    <row r="142" spans="7:8" s="333" customFormat="1" x14ac:dyDescent="0.3">
      <c r="G142" s="334"/>
      <c r="H142" s="334"/>
    </row>
    <row r="143" spans="7:8" s="333" customFormat="1" x14ac:dyDescent="0.3">
      <c r="G143" s="334"/>
      <c r="H143" s="334"/>
    </row>
    <row r="144" spans="7:8" s="333" customFormat="1" x14ac:dyDescent="0.3">
      <c r="G144" s="334"/>
      <c r="H144" s="334"/>
    </row>
    <row r="145" spans="7:8" s="333" customFormat="1" x14ac:dyDescent="0.3">
      <c r="G145" s="334"/>
      <c r="H145" s="334"/>
    </row>
    <row r="146" spans="7:8" s="333" customFormat="1" x14ac:dyDescent="0.3">
      <c r="G146" s="334"/>
      <c r="H146" s="334"/>
    </row>
    <row r="147" spans="7:8" s="333" customFormat="1" x14ac:dyDescent="0.3">
      <c r="G147" s="334"/>
      <c r="H147" s="334"/>
    </row>
    <row r="148" spans="7:8" s="333" customFormat="1" x14ac:dyDescent="0.3">
      <c r="G148" s="334"/>
      <c r="H148" s="334"/>
    </row>
    <row r="149" spans="7:8" s="333" customFormat="1" x14ac:dyDescent="0.3">
      <c r="G149" s="334"/>
      <c r="H149" s="334"/>
    </row>
    <row r="150" spans="7:8" s="333" customFormat="1" x14ac:dyDescent="0.3">
      <c r="G150" s="334"/>
      <c r="H150" s="334"/>
    </row>
    <row r="151" spans="7:8" s="333" customFormat="1" x14ac:dyDescent="0.3">
      <c r="G151" s="334"/>
      <c r="H151" s="334"/>
    </row>
    <row r="152" spans="7:8" s="333" customFormat="1" x14ac:dyDescent="0.3">
      <c r="G152" s="334"/>
      <c r="H152" s="334"/>
    </row>
    <row r="153" spans="7:8" s="333" customFormat="1" x14ac:dyDescent="0.3">
      <c r="G153" s="334"/>
      <c r="H153" s="334"/>
    </row>
    <row r="154" spans="7:8" s="333" customFormat="1" x14ac:dyDescent="0.3">
      <c r="G154" s="334"/>
      <c r="H154" s="334"/>
    </row>
    <row r="155" spans="7:8" s="333" customFormat="1" x14ac:dyDescent="0.3">
      <c r="G155" s="334"/>
      <c r="H155" s="334"/>
    </row>
    <row r="156" spans="7:8" s="333" customFormat="1" x14ac:dyDescent="0.3">
      <c r="G156" s="334"/>
      <c r="H156" s="334"/>
    </row>
    <row r="157" spans="7:8" s="333" customFormat="1" x14ac:dyDescent="0.3">
      <c r="G157" s="334"/>
      <c r="H157" s="334"/>
    </row>
    <row r="158" spans="7:8" s="333" customFormat="1" x14ac:dyDescent="0.3">
      <c r="G158" s="334"/>
      <c r="H158" s="334"/>
    </row>
    <row r="159" spans="7:8" s="333" customFormat="1" x14ac:dyDescent="0.3">
      <c r="G159" s="334"/>
      <c r="H159" s="334"/>
    </row>
    <row r="160" spans="7:8" s="333" customFormat="1" x14ac:dyDescent="0.3">
      <c r="G160" s="334"/>
      <c r="H160" s="334"/>
    </row>
    <row r="161" spans="7:8" s="333" customFormat="1" x14ac:dyDescent="0.3">
      <c r="G161" s="334"/>
      <c r="H161" s="334"/>
    </row>
    <row r="162" spans="7:8" s="333" customFormat="1" x14ac:dyDescent="0.3">
      <c r="G162" s="334"/>
      <c r="H162" s="334"/>
    </row>
    <row r="163" spans="7:8" s="333" customFormat="1" x14ac:dyDescent="0.3">
      <c r="G163" s="334"/>
      <c r="H163" s="334"/>
    </row>
    <row r="164" spans="7:8" s="333" customFormat="1" x14ac:dyDescent="0.3">
      <c r="G164" s="334"/>
      <c r="H164" s="334"/>
    </row>
    <row r="165" spans="7:8" s="333" customFormat="1" x14ac:dyDescent="0.3">
      <c r="G165" s="334"/>
      <c r="H165" s="334"/>
    </row>
    <row r="166" spans="7:8" s="333" customFormat="1" x14ac:dyDescent="0.3">
      <c r="G166" s="334"/>
      <c r="H166" s="334"/>
    </row>
    <row r="167" spans="7:8" s="333" customFormat="1" x14ac:dyDescent="0.3">
      <c r="G167" s="334"/>
      <c r="H167" s="334"/>
    </row>
    <row r="168" spans="7:8" s="333" customFormat="1" x14ac:dyDescent="0.3">
      <c r="G168" s="334"/>
      <c r="H168" s="334"/>
    </row>
    <row r="169" spans="7:8" s="333" customFormat="1" x14ac:dyDescent="0.3">
      <c r="G169" s="334"/>
      <c r="H169" s="334"/>
    </row>
    <row r="170" spans="7:8" s="333" customFormat="1" x14ac:dyDescent="0.3">
      <c r="G170" s="334"/>
      <c r="H170" s="334"/>
    </row>
    <row r="171" spans="7:8" s="333" customFormat="1" x14ac:dyDescent="0.3">
      <c r="G171" s="334"/>
      <c r="H171" s="334"/>
    </row>
    <row r="172" spans="7:8" s="333" customFormat="1" x14ac:dyDescent="0.3">
      <c r="G172" s="334"/>
      <c r="H172" s="334"/>
    </row>
    <row r="173" spans="7:8" s="333" customFormat="1" x14ac:dyDescent="0.3">
      <c r="G173" s="334"/>
      <c r="H173" s="334"/>
    </row>
    <row r="174" spans="7:8" s="333" customFormat="1" x14ac:dyDescent="0.3">
      <c r="G174" s="334"/>
      <c r="H174" s="334"/>
    </row>
    <row r="175" spans="7:8" s="333" customFormat="1" x14ac:dyDescent="0.3">
      <c r="G175" s="334"/>
      <c r="H175" s="334"/>
    </row>
    <row r="176" spans="7:8" s="333" customFormat="1" x14ac:dyDescent="0.3">
      <c r="G176" s="334"/>
      <c r="H176" s="334"/>
    </row>
    <row r="177" spans="7:8" s="333" customFormat="1" x14ac:dyDescent="0.3">
      <c r="G177" s="334"/>
      <c r="H177" s="334"/>
    </row>
    <row r="178" spans="7:8" s="333" customFormat="1" x14ac:dyDescent="0.3">
      <c r="G178" s="334"/>
      <c r="H178" s="334"/>
    </row>
    <row r="179" spans="7:8" s="333" customFormat="1" x14ac:dyDescent="0.3">
      <c r="G179" s="334"/>
      <c r="H179" s="334"/>
    </row>
    <row r="180" spans="7:8" s="333" customFormat="1" x14ac:dyDescent="0.3">
      <c r="G180" s="334"/>
      <c r="H180" s="334"/>
    </row>
    <row r="181" spans="7:8" s="333" customFormat="1" x14ac:dyDescent="0.3">
      <c r="G181" s="334"/>
      <c r="H181" s="334"/>
    </row>
    <row r="182" spans="7:8" s="333" customFormat="1" x14ac:dyDescent="0.3">
      <c r="G182" s="334"/>
      <c r="H182" s="334"/>
    </row>
    <row r="183" spans="7:8" s="333" customFormat="1" x14ac:dyDescent="0.3">
      <c r="G183" s="334"/>
      <c r="H183" s="334"/>
    </row>
    <row r="184" spans="7:8" s="333" customFormat="1" x14ac:dyDescent="0.3">
      <c r="G184" s="334"/>
      <c r="H184" s="334"/>
    </row>
    <row r="185" spans="7:8" s="333" customFormat="1" x14ac:dyDescent="0.3">
      <c r="G185" s="334"/>
      <c r="H185" s="334"/>
    </row>
    <row r="186" spans="7:8" s="333" customFormat="1" x14ac:dyDescent="0.3">
      <c r="G186" s="334"/>
      <c r="H186" s="334"/>
    </row>
    <row r="187" spans="7:8" s="333" customFormat="1" x14ac:dyDescent="0.3">
      <c r="G187" s="334"/>
      <c r="H187" s="334"/>
    </row>
    <row r="188" spans="7:8" s="333" customFormat="1" x14ac:dyDescent="0.3">
      <c r="G188" s="334"/>
      <c r="H188" s="334"/>
    </row>
    <row r="189" spans="7:8" s="333" customFormat="1" x14ac:dyDescent="0.3">
      <c r="G189" s="334"/>
      <c r="H189" s="334"/>
    </row>
    <row r="190" spans="7:8" s="333" customFormat="1" x14ac:dyDescent="0.3">
      <c r="G190" s="334"/>
      <c r="H190" s="334"/>
    </row>
    <row r="191" spans="7:8" s="333" customFormat="1" x14ac:dyDescent="0.3">
      <c r="G191" s="334"/>
      <c r="H191" s="334"/>
    </row>
    <row r="192" spans="7:8" s="333" customFormat="1" x14ac:dyDescent="0.3">
      <c r="G192" s="334"/>
      <c r="H192" s="334"/>
    </row>
    <row r="193" spans="7:8" s="333" customFormat="1" x14ac:dyDescent="0.3">
      <c r="G193" s="334"/>
      <c r="H193" s="334"/>
    </row>
    <row r="194" spans="7:8" s="333" customFormat="1" x14ac:dyDescent="0.3">
      <c r="G194" s="334"/>
      <c r="H194" s="334"/>
    </row>
    <row r="195" spans="7:8" s="333" customFormat="1" x14ac:dyDescent="0.3">
      <c r="G195" s="334"/>
      <c r="H195" s="334"/>
    </row>
    <row r="196" spans="7:8" s="333" customFormat="1" x14ac:dyDescent="0.3">
      <c r="G196" s="334"/>
      <c r="H196" s="334"/>
    </row>
    <row r="197" spans="7:8" s="333" customFormat="1" x14ac:dyDescent="0.3">
      <c r="G197" s="334"/>
      <c r="H197" s="334"/>
    </row>
    <row r="198" spans="7:8" s="333" customFormat="1" x14ac:dyDescent="0.3">
      <c r="G198" s="334"/>
      <c r="H198" s="334"/>
    </row>
    <row r="199" spans="7:8" s="333" customFormat="1" x14ac:dyDescent="0.3">
      <c r="G199" s="334"/>
      <c r="H199" s="334"/>
    </row>
    <row r="200" spans="7:8" s="333" customFormat="1" x14ac:dyDescent="0.3">
      <c r="G200" s="334"/>
      <c r="H200" s="334"/>
    </row>
    <row r="201" spans="7:8" s="333" customFormat="1" x14ac:dyDescent="0.3">
      <c r="G201" s="334"/>
      <c r="H201" s="334"/>
    </row>
    <row r="202" spans="7:8" s="333" customFormat="1" x14ac:dyDescent="0.3">
      <c r="G202" s="334"/>
      <c r="H202" s="334"/>
    </row>
    <row r="203" spans="7:8" s="333" customFormat="1" x14ac:dyDescent="0.3">
      <c r="G203" s="334"/>
      <c r="H203" s="334"/>
    </row>
    <row r="204" spans="7:8" s="333" customFormat="1" x14ac:dyDescent="0.3">
      <c r="G204" s="334"/>
      <c r="H204" s="334"/>
    </row>
    <row r="205" spans="7:8" s="333" customFormat="1" x14ac:dyDescent="0.3">
      <c r="G205" s="334"/>
      <c r="H205" s="334"/>
    </row>
    <row r="206" spans="7:8" s="333" customFormat="1" x14ac:dyDescent="0.3">
      <c r="G206" s="334"/>
      <c r="H206" s="334"/>
    </row>
    <row r="207" spans="7:8" s="333" customFormat="1" x14ac:dyDescent="0.3">
      <c r="G207" s="334"/>
      <c r="H207" s="334"/>
    </row>
    <row r="208" spans="7:8" s="333" customFormat="1" x14ac:dyDescent="0.3">
      <c r="G208" s="334"/>
      <c r="H208" s="334"/>
    </row>
    <row r="209" spans="7:8" s="333" customFormat="1" x14ac:dyDescent="0.3">
      <c r="G209" s="334"/>
      <c r="H209" s="334"/>
    </row>
    <row r="210" spans="7:8" s="333" customFormat="1" x14ac:dyDescent="0.3">
      <c r="G210" s="334"/>
      <c r="H210" s="334"/>
    </row>
    <row r="211" spans="7:8" s="333" customFormat="1" x14ac:dyDescent="0.3">
      <c r="G211" s="334"/>
      <c r="H211" s="334"/>
    </row>
    <row r="212" spans="7:8" s="333" customFormat="1" x14ac:dyDescent="0.3">
      <c r="G212" s="334"/>
      <c r="H212" s="334"/>
    </row>
    <row r="213" spans="7:8" s="333" customFormat="1" x14ac:dyDescent="0.3">
      <c r="G213" s="334"/>
      <c r="H213" s="334"/>
    </row>
    <row r="214" spans="7:8" s="333" customFormat="1" x14ac:dyDescent="0.3">
      <c r="G214" s="334"/>
      <c r="H214" s="334"/>
    </row>
    <row r="215" spans="7:8" s="333" customFormat="1" x14ac:dyDescent="0.3">
      <c r="G215" s="334"/>
      <c r="H215" s="334"/>
    </row>
    <row r="216" spans="7:8" s="333" customFormat="1" x14ac:dyDescent="0.3">
      <c r="G216" s="334"/>
      <c r="H216" s="334"/>
    </row>
    <row r="217" spans="7:8" s="333" customFormat="1" x14ac:dyDescent="0.3">
      <c r="G217" s="334"/>
      <c r="H217" s="334"/>
    </row>
    <row r="218" spans="7:8" s="333" customFormat="1" x14ac:dyDescent="0.3">
      <c r="G218" s="334"/>
      <c r="H218" s="334"/>
    </row>
    <row r="219" spans="7:8" s="333" customFormat="1" x14ac:dyDescent="0.3">
      <c r="G219" s="334"/>
      <c r="H219" s="334"/>
    </row>
    <row r="220" spans="7:8" s="333" customFormat="1" x14ac:dyDescent="0.3">
      <c r="G220" s="334"/>
      <c r="H220" s="334"/>
    </row>
    <row r="221" spans="7:8" s="333" customFormat="1" x14ac:dyDescent="0.3">
      <c r="G221" s="334"/>
      <c r="H221" s="334"/>
    </row>
    <row r="222" spans="7:8" s="333" customFormat="1" x14ac:dyDescent="0.3">
      <c r="G222" s="334"/>
      <c r="H222" s="334"/>
    </row>
    <row r="223" spans="7:8" s="333" customFormat="1" x14ac:dyDescent="0.3">
      <c r="G223" s="334"/>
      <c r="H223" s="334"/>
    </row>
    <row r="224" spans="7:8" s="333" customFormat="1" x14ac:dyDescent="0.3">
      <c r="G224" s="334"/>
      <c r="H224" s="334"/>
    </row>
    <row r="225" spans="7:8" s="333" customFormat="1" x14ac:dyDescent="0.3">
      <c r="G225" s="334"/>
      <c r="H225" s="334"/>
    </row>
    <row r="226" spans="7:8" s="333" customFormat="1" x14ac:dyDescent="0.3">
      <c r="G226" s="334"/>
      <c r="H226" s="334"/>
    </row>
    <row r="227" spans="7:8" s="333" customFormat="1" x14ac:dyDescent="0.3">
      <c r="G227" s="334"/>
      <c r="H227" s="334"/>
    </row>
    <row r="228" spans="7:8" s="333" customFormat="1" x14ac:dyDescent="0.3">
      <c r="G228" s="334"/>
      <c r="H228" s="334"/>
    </row>
    <row r="229" spans="7:8" s="333" customFormat="1" x14ac:dyDescent="0.3">
      <c r="G229" s="334"/>
      <c r="H229" s="334"/>
    </row>
    <row r="230" spans="7:8" s="333" customFormat="1" x14ac:dyDescent="0.3">
      <c r="G230" s="334"/>
      <c r="H230" s="334"/>
    </row>
    <row r="231" spans="7:8" s="333" customFormat="1" x14ac:dyDescent="0.3">
      <c r="G231" s="334"/>
      <c r="H231" s="334"/>
    </row>
    <row r="232" spans="7:8" s="333" customFormat="1" x14ac:dyDescent="0.3">
      <c r="G232" s="334"/>
      <c r="H232" s="334"/>
    </row>
    <row r="233" spans="7:8" s="333" customFormat="1" x14ac:dyDescent="0.3">
      <c r="G233" s="334"/>
      <c r="H233" s="334"/>
    </row>
    <row r="234" spans="7:8" s="333" customFormat="1" x14ac:dyDescent="0.3">
      <c r="G234" s="334"/>
      <c r="H234" s="334"/>
    </row>
    <row r="235" spans="7:8" s="333" customFormat="1" x14ac:dyDescent="0.3">
      <c r="G235" s="334"/>
      <c r="H235" s="334"/>
    </row>
    <row r="236" spans="7:8" s="333" customFormat="1" x14ac:dyDescent="0.3">
      <c r="G236" s="334"/>
      <c r="H236" s="334"/>
    </row>
    <row r="237" spans="7:8" s="333" customFormat="1" x14ac:dyDescent="0.3">
      <c r="G237" s="334"/>
      <c r="H237" s="334"/>
    </row>
    <row r="238" spans="7:8" s="333" customFormat="1" x14ac:dyDescent="0.3">
      <c r="G238" s="334"/>
      <c r="H238" s="334"/>
    </row>
    <row r="239" spans="7:8" s="333" customFormat="1" x14ac:dyDescent="0.3">
      <c r="G239" s="334"/>
      <c r="H239" s="334"/>
    </row>
    <row r="240" spans="7:8" s="333" customFormat="1" x14ac:dyDescent="0.3">
      <c r="G240" s="334"/>
      <c r="H240" s="334"/>
    </row>
    <row r="241" spans="7:8" s="333" customFormat="1" x14ac:dyDescent="0.3">
      <c r="G241" s="334"/>
      <c r="H241" s="334"/>
    </row>
    <row r="242" spans="7:8" s="333" customFormat="1" x14ac:dyDescent="0.3">
      <c r="G242" s="334"/>
      <c r="H242" s="334"/>
    </row>
    <row r="243" spans="7:8" s="333" customFormat="1" x14ac:dyDescent="0.3">
      <c r="G243" s="334"/>
      <c r="H243" s="334"/>
    </row>
    <row r="244" spans="7:8" s="333" customFormat="1" x14ac:dyDescent="0.3">
      <c r="G244" s="334"/>
      <c r="H244" s="334"/>
    </row>
    <row r="245" spans="7:8" s="333" customFormat="1" x14ac:dyDescent="0.3">
      <c r="G245" s="334"/>
      <c r="H245" s="334"/>
    </row>
    <row r="246" spans="7:8" s="333" customFormat="1" x14ac:dyDescent="0.3">
      <c r="G246" s="334"/>
      <c r="H246" s="334"/>
    </row>
    <row r="247" spans="7:8" s="333" customFormat="1" x14ac:dyDescent="0.3">
      <c r="G247" s="334"/>
      <c r="H247" s="334"/>
    </row>
    <row r="248" spans="7:8" s="333" customFormat="1" x14ac:dyDescent="0.3">
      <c r="G248" s="334"/>
      <c r="H248" s="334"/>
    </row>
    <row r="249" spans="7:8" s="333" customFormat="1" x14ac:dyDescent="0.3">
      <c r="G249" s="334"/>
      <c r="H249" s="334"/>
    </row>
    <row r="250" spans="7:8" s="333" customFormat="1" x14ac:dyDescent="0.3">
      <c r="G250" s="334"/>
      <c r="H250" s="334"/>
    </row>
    <row r="251" spans="7:8" s="333" customFormat="1" x14ac:dyDescent="0.3">
      <c r="G251" s="334"/>
      <c r="H251" s="334"/>
    </row>
    <row r="252" spans="7:8" s="333" customFormat="1" x14ac:dyDescent="0.3">
      <c r="G252" s="334"/>
      <c r="H252" s="334"/>
    </row>
    <row r="253" spans="7:8" s="333" customFormat="1" x14ac:dyDescent="0.3">
      <c r="G253" s="334"/>
      <c r="H253" s="334"/>
    </row>
    <row r="254" spans="7:8" s="333" customFormat="1" x14ac:dyDescent="0.3">
      <c r="G254" s="334"/>
      <c r="H254" s="334"/>
    </row>
    <row r="255" spans="7:8" s="333" customFormat="1" x14ac:dyDescent="0.3">
      <c r="G255" s="334"/>
      <c r="H255" s="334"/>
    </row>
    <row r="256" spans="7:8" s="333" customFormat="1" x14ac:dyDescent="0.3">
      <c r="G256" s="334"/>
      <c r="H256" s="334"/>
    </row>
    <row r="257" spans="7:8" s="333" customFormat="1" x14ac:dyDescent="0.3">
      <c r="G257" s="334"/>
      <c r="H257" s="334"/>
    </row>
    <row r="258" spans="7:8" s="333" customFormat="1" x14ac:dyDescent="0.3">
      <c r="G258" s="334"/>
      <c r="H258" s="334"/>
    </row>
    <row r="259" spans="7:8" s="333" customFormat="1" x14ac:dyDescent="0.3">
      <c r="G259" s="334"/>
      <c r="H259" s="334"/>
    </row>
    <row r="260" spans="7:8" s="333" customFormat="1" x14ac:dyDescent="0.3">
      <c r="G260" s="334"/>
      <c r="H260" s="334"/>
    </row>
    <row r="261" spans="7:8" s="333" customFormat="1" x14ac:dyDescent="0.3">
      <c r="G261" s="334"/>
      <c r="H261" s="334"/>
    </row>
    <row r="262" spans="7:8" s="333" customFormat="1" x14ac:dyDescent="0.3">
      <c r="G262" s="334"/>
      <c r="H262" s="334"/>
    </row>
    <row r="263" spans="7:8" s="333" customFormat="1" x14ac:dyDescent="0.3">
      <c r="G263" s="334"/>
      <c r="H263" s="334"/>
    </row>
    <row r="264" spans="7:8" s="333" customFormat="1" x14ac:dyDescent="0.3">
      <c r="G264" s="334"/>
      <c r="H264" s="334"/>
    </row>
    <row r="265" spans="7:8" s="333" customFormat="1" x14ac:dyDescent="0.3">
      <c r="G265" s="334"/>
      <c r="H265" s="334"/>
    </row>
    <row r="266" spans="7:8" s="333" customFormat="1" x14ac:dyDescent="0.3">
      <c r="G266" s="334"/>
      <c r="H266" s="334"/>
    </row>
    <row r="267" spans="7:8" s="333" customFormat="1" x14ac:dyDescent="0.3">
      <c r="G267" s="334"/>
      <c r="H267" s="334"/>
    </row>
    <row r="268" spans="7:8" s="333" customFormat="1" x14ac:dyDescent="0.3">
      <c r="G268" s="334"/>
      <c r="H268" s="334"/>
    </row>
    <row r="269" spans="7:8" s="333" customFormat="1" x14ac:dyDescent="0.3">
      <c r="G269" s="334"/>
      <c r="H269" s="334"/>
    </row>
    <row r="270" spans="7:8" s="333" customFormat="1" x14ac:dyDescent="0.3">
      <c r="G270" s="334"/>
      <c r="H270" s="334"/>
    </row>
    <row r="271" spans="7:8" s="333" customFormat="1" x14ac:dyDescent="0.3">
      <c r="G271" s="334"/>
      <c r="H271" s="334"/>
    </row>
    <row r="272" spans="7:8" s="333" customFormat="1" x14ac:dyDescent="0.3">
      <c r="G272" s="334"/>
      <c r="H272" s="334"/>
    </row>
    <row r="273" spans="7:8" s="333" customFormat="1" x14ac:dyDescent="0.3">
      <c r="G273" s="334"/>
      <c r="H273" s="334"/>
    </row>
    <row r="274" spans="7:8" s="333" customFormat="1" x14ac:dyDescent="0.3">
      <c r="G274" s="334"/>
      <c r="H274" s="334"/>
    </row>
    <row r="275" spans="7:8" s="333" customFormat="1" x14ac:dyDescent="0.3">
      <c r="G275" s="334"/>
      <c r="H275" s="334"/>
    </row>
    <row r="276" spans="7:8" s="333" customFormat="1" x14ac:dyDescent="0.3">
      <c r="G276" s="334"/>
      <c r="H276" s="334"/>
    </row>
    <row r="277" spans="7:8" s="333" customFormat="1" x14ac:dyDescent="0.3">
      <c r="G277" s="334"/>
      <c r="H277" s="334"/>
    </row>
    <row r="278" spans="7:8" s="333" customFormat="1" x14ac:dyDescent="0.3">
      <c r="G278" s="334"/>
      <c r="H278" s="334"/>
    </row>
    <row r="279" spans="7:8" s="333" customFormat="1" x14ac:dyDescent="0.3">
      <c r="G279" s="334"/>
      <c r="H279" s="334"/>
    </row>
    <row r="280" spans="7:8" s="333" customFormat="1" x14ac:dyDescent="0.3">
      <c r="G280" s="334"/>
      <c r="H280" s="334"/>
    </row>
    <row r="281" spans="7:8" s="333" customFormat="1" x14ac:dyDescent="0.3">
      <c r="G281" s="334"/>
      <c r="H281" s="334"/>
    </row>
    <row r="282" spans="7:8" s="333" customFormat="1" x14ac:dyDescent="0.3">
      <c r="G282" s="334"/>
      <c r="H282" s="334"/>
    </row>
    <row r="283" spans="7:8" s="333" customFormat="1" x14ac:dyDescent="0.3">
      <c r="G283" s="334"/>
      <c r="H283" s="334"/>
    </row>
    <row r="284" spans="7:8" s="333" customFormat="1" x14ac:dyDescent="0.3">
      <c r="G284" s="334"/>
      <c r="H284" s="334"/>
    </row>
    <row r="285" spans="7:8" s="333" customFormat="1" x14ac:dyDescent="0.3">
      <c r="G285" s="334"/>
      <c r="H285" s="334"/>
    </row>
    <row r="286" spans="7:8" s="333" customFormat="1" x14ac:dyDescent="0.3">
      <c r="G286" s="334"/>
      <c r="H286" s="334"/>
    </row>
    <row r="287" spans="7:8" s="333" customFormat="1" x14ac:dyDescent="0.3">
      <c r="G287" s="334"/>
      <c r="H287" s="334"/>
    </row>
    <row r="288" spans="7:8" s="333" customFormat="1" x14ac:dyDescent="0.3">
      <c r="G288" s="334"/>
      <c r="H288" s="334"/>
    </row>
    <row r="289" spans="7:8" s="333" customFormat="1" x14ac:dyDescent="0.3">
      <c r="G289" s="334"/>
      <c r="H289" s="334"/>
    </row>
    <row r="290" spans="7:8" s="333" customFormat="1" x14ac:dyDescent="0.3">
      <c r="G290" s="334"/>
      <c r="H290" s="334"/>
    </row>
    <row r="291" spans="7:8" s="333" customFormat="1" x14ac:dyDescent="0.3">
      <c r="G291" s="334"/>
      <c r="H291" s="334"/>
    </row>
    <row r="292" spans="7:8" s="333" customFormat="1" x14ac:dyDescent="0.3">
      <c r="G292" s="334"/>
      <c r="H292" s="334"/>
    </row>
    <row r="293" spans="7:8" s="333" customFormat="1" x14ac:dyDescent="0.3">
      <c r="G293" s="334"/>
      <c r="H293" s="334"/>
    </row>
    <row r="294" spans="7:8" s="333" customFormat="1" x14ac:dyDescent="0.3">
      <c r="G294" s="334"/>
      <c r="H294" s="334"/>
    </row>
    <row r="295" spans="7:8" s="333" customFormat="1" x14ac:dyDescent="0.3">
      <c r="G295" s="334"/>
      <c r="H295" s="334"/>
    </row>
    <row r="296" spans="7:8" s="333" customFormat="1" x14ac:dyDescent="0.3">
      <c r="G296" s="334"/>
      <c r="H296" s="334"/>
    </row>
    <row r="297" spans="7:8" s="333" customFormat="1" x14ac:dyDescent="0.3">
      <c r="G297" s="334"/>
      <c r="H297" s="334"/>
    </row>
    <row r="298" spans="7:8" s="333" customFormat="1" x14ac:dyDescent="0.3">
      <c r="G298" s="334"/>
      <c r="H298" s="334"/>
    </row>
    <row r="299" spans="7:8" s="333" customFormat="1" x14ac:dyDescent="0.3">
      <c r="G299" s="334"/>
      <c r="H299" s="334"/>
    </row>
    <row r="300" spans="7:8" s="333" customFormat="1" x14ac:dyDescent="0.3">
      <c r="G300" s="334"/>
      <c r="H300" s="334"/>
    </row>
    <row r="301" spans="7:8" s="333" customFormat="1" x14ac:dyDescent="0.3">
      <c r="G301" s="334"/>
      <c r="H301" s="334"/>
    </row>
    <row r="302" spans="7:8" s="333" customFormat="1" x14ac:dyDescent="0.3">
      <c r="G302" s="334"/>
      <c r="H302" s="334"/>
    </row>
    <row r="303" spans="7:8" s="333" customFormat="1" x14ac:dyDescent="0.3">
      <c r="G303" s="334"/>
      <c r="H303" s="334"/>
    </row>
    <row r="304" spans="7:8" s="333" customFormat="1" x14ac:dyDescent="0.3">
      <c r="G304" s="334"/>
      <c r="H304" s="334"/>
    </row>
    <row r="305" spans="7:8" s="333" customFormat="1" x14ac:dyDescent="0.3">
      <c r="G305" s="334"/>
      <c r="H305" s="334"/>
    </row>
    <row r="306" spans="7:8" s="333" customFormat="1" x14ac:dyDescent="0.3">
      <c r="G306" s="334"/>
      <c r="H306" s="334"/>
    </row>
    <row r="307" spans="7:8" s="333" customFormat="1" x14ac:dyDescent="0.3">
      <c r="G307" s="334"/>
      <c r="H307" s="334"/>
    </row>
    <row r="308" spans="7:8" s="333" customFormat="1" x14ac:dyDescent="0.3">
      <c r="G308" s="334"/>
      <c r="H308" s="334"/>
    </row>
    <row r="309" spans="7:8" s="333" customFormat="1" x14ac:dyDescent="0.3">
      <c r="G309" s="334"/>
      <c r="H309" s="334"/>
    </row>
    <row r="310" spans="7:8" s="333" customFormat="1" x14ac:dyDescent="0.3">
      <c r="G310" s="334"/>
      <c r="H310" s="334"/>
    </row>
    <row r="311" spans="7:8" s="333" customFormat="1" x14ac:dyDescent="0.3">
      <c r="G311" s="334"/>
      <c r="H311" s="334"/>
    </row>
    <row r="312" spans="7:8" s="333" customFormat="1" x14ac:dyDescent="0.3">
      <c r="G312" s="334"/>
      <c r="H312" s="334"/>
    </row>
    <row r="313" spans="7:8" s="333" customFormat="1" x14ac:dyDescent="0.3">
      <c r="G313" s="334"/>
      <c r="H313" s="334"/>
    </row>
    <row r="314" spans="7:8" s="333" customFormat="1" x14ac:dyDescent="0.3">
      <c r="G314" s="334"/>
      <c r="H314" s="334"/>
    </row>
    <row r="315" spans="7:8" s="333" customFormat="1" x14ac:dyDescent="0.3">
      <c r="G315" s="334"/>
      <c r="H315" s="334"/>
    </row>
    <row r="316" spans="7:8" s="333" customFormat="1" x14ac:dyDescent="0.3">
      <c r="G316" s="334"/>
      <c r="H316" s="334"/>
    </row>
    <row r="317" spans="7:8" s="333" customFormat="1" x14ac:dyDescent="0.3">
      <c r="G317" s="334"/>
      <c r="H317" s="334"/>
    </row>
    <row r="318" spans="7:8" s="333" customFormat="1" x14ac:dyDescent="0.3">
      <c r="G318" s="334"/>
      <c r="H318" s="334"/>
    </row>
    <row r="319" spans="7:8" s="333" customFormat="1" x14ac:dyDescent="0.3">
      <c r="G319" s="334"/>
      <c r="H319" s="334"/>
    </row>
    <row r="320" spans="7:8" s="333" customFormat="1" x14ac:dyDescent="0.3">
      <c r="G320" s="334"/>
      <c r="H320" s="334"/>
    </row>
    <row r="321" spans="7:8" s="333" customFormat="1" x14ac:dyDescent="0.3">
      <c r="G321" s="334"/>
      <c r="H321" s="334"/>
    </row>
    <row r="322" spans="7:8" s="333" customFormat="1" x14ac:dyDescent="0.3">
      <c r="G322" s="334"/>
      <c r="H322" s="334"/>
    </row>
    <row r="323" spans="7:8" s="333" customFormat="1" x14ac:dyDescent="0.3">
      <c r="G323" s="334"/>
      <c r="H323" s="334"/>
    </row>
    <row r="324" spans="7:8" s="333" customFormat="1" x14ac:dyDescent="0.3">
      <c r="G324" s="334"/>
      <c r="H324" s="334"/>
    </row>
    <row r="325" spans="7:8" s="333" customFormat="1" x14ac:dyDescent="0.3">
      <c r="G325" s="334"/>
      <c r="H325" s="334"/>
    </row>
    <row r="326" spans="7:8" s="333" customFormat="1" x14ac:dyDescent="0.3">
      <c r="G326" s="334"/>
      <c r="H326" s="334"/>
    </row>
    <row r="327" spans="7:8" s="333" customFormat="1" x14ac:dyDescent="0.3">
      <c r="G327" s="334"/>
      <c r="H327" s="334"/>
    </row>
    <row r="328" spans="7:8" s="333" customFormat="1" x14ac:dyDescent="0.3">
      <c r="G328" s="334"/>
      <c r="H328" s="334"/>
    </row>
    <row r="329" spans="7:8" s="333" customFormat="1" x14ac:dyDescent="0.3">
      <c r="G329" s="334"/>
      <c r="H329" s="334"/>
    </row>
    <row r="330" spans="7:8" s="333" customFormat="1" x14ac:dyDescent="0.3">
      <c r="G330" s="334"/>
      <c r="H330" s="334"/>
    </row>
    <row r="331" spans="7:8" s="333" customFormat="1" x14ac:dyDescent="0.3">
      <c r="G331" s="334"/>
      <c r="H331" s="334"/>
    </row>
    <row r="332" spans="7:8" s="333" customFormat="1" x14ac:dyDescent="0.3">
      <c r="G332" s="334"/>
      <c r="H332" s="334"/>
    </row>
    <row r="333" spans="7:8" s="333" customFormat="1" x14ac:dyDescent="0.3">
      <c r="G333" s="334"/>
      <c r="H333" s="334"/>
    </row>
    <row r="334" spans="7:8" s="333" customFormat="1" x14ac:dyDescent="0.3">
      <c r="G334" s="334"/>
      <c r="H334" s="334"/>
    </row>
    <row r="335" spans="7:8" s="333" customFormat="1" x14ac:dyDescent="0.3">
      <c r="G335" s="334"/>
      <c r="H335" s="334"/>
    </row>
    <row r="336" spans="7:8" s="333" customFormat="1" x14ac:dyDescent="0.3">
      <c r="G336" s="334"/>
      <c r="H336" s="334"/>
    </row>
    <row r="337" spans="7:8" s="333" customFormat="1" x14ac:dyDescent="0.3">
      <c r="G337" s="334"/>
      <c r="H337" s="334"/>
    </row>
    <row r="338" spans="7:8" s="333" customFormat="1" x14ac:dyDescent="0.3">
      <c r="G338" s="334"/>
      <c r="H338" s="334"/>
    </row>
    <row r="339" spans="7:8" s="333" customFormat="1" x14ac:dyDescent="0.3">
      <c r="G339" s="334"/>
      <c r="H339" s="334"/>
    </row>
    <row r="340" spans="7:8" s="333" customFormat="1" x14ac:dyDescent="0.3">
      <c r="G340" s="334"/>
      <c r="H340" s="334"/>
    </row>
    <row r="341" spans="7:8" s="333" customFormat="1" x14ac:dyDescent="0.3">
      <c r="G341" s="334"/>
      <c r="H341" s="334"/>
    </row>
    <row r="342" spans="7:8" s="333" customFormat="1" x14ac:dyDescent="0.3">
      <c r="G342" s="334"/>
      <c r="H342" s="334"/>
    </row>
    <row r="343" spans="7:8" s="333" customFormat="1" x14ac:dyDescent="0.3">
      <c r="G343" s="334"/>
      <c r="H343" s="334"/>
    </row>
    <row r="344" spans="7:8" s="333" customFormat="1" x14ac:dyDescent="0.3">
      <c r="G344" s="334"/>
      <c r="H344" s="334"/>
    </row>
    <row r="345" spans="7:8" s="333" customFormat="1" x14ac:dyDescent="0.3">
      <c r="G345" s="334"/>
      <c r="H345" s="334"/>
    </row>
    <row r="346" spans="7:8" s="333" customFormat="1" x14ac:dyDescent="0.3">
      <c r="G346" s="334"/>
      <c r="H346" s="334"/>
    </row>
    <row r="347" spans="7:8" s="333" customFormat="1" x14ac:dyDescent="0.3">
      <c r="G347" s="334"/>
      <c r="H347" s="334"/>
    </row>
    <row r="348" spans="7:8" s="333" customFormat="1" x14ac:dyDescent="0.3">
      <c r="G348" s="334"/>
      <c r="H348" s="334"/>
    </row>
    <row r="349" spans="7:8" s="333" customFormat="1" x14ac:dyDescent="0.3">
      <c r="G349" s="334"/>
      <c r="H349" s="334"/>
    </row>
    <row r="350" spans="7:8" s="333" customFormat="1" x14ac:dyDescent="0.3">
      <c r="G350" s="334"/>
      <c r="H350" s="334"/>
    </row>
    <row r="351" spans="7:8" s="333" customFormat="1" x14ac:dyDescent="0.3">
      <c r="G351" s="334"/>
      <c r="H351" s="334"/>
    </row>
    <row r="352" spans="7:8" s="333" customFormat="1" x14ac:dyDescent="0.3">
      <c r="G352" s="334"/>
      <c r="H352" s="334"/>
    </row>
    <row r="353" spans="7:8" s="333" customFormat="1" x14ac:dyDescent="0.3">
      <c r="G353" s="334"/>
      <c r="H353" s="334"/>
    </row>
    <row r="354" spans="7:8" s="333" customFormat="1" x14ac:dyDescent="0.3">
      <c r="G354" s="334"/>
      <c r="H354" s="334"/>
    </row>
    <row r="355" spans="7:8" s="333" customFormat="1" x14ac:dyDescent="0.3">
      <c r="G355" s="334"/>
      <c r="H355" s="334"/>
    </row>
    <row r="356" spans="7:8" s="333" customFormat="1" x14ac:dyDescent="0.3">
      <c r="G356" s="334"/>
      <c r="H356" s="334"/>
    </row>
    <row r="357" spans="7:8" s="333" customFormat="1" x14ac:dyDescent="0.3">
      <c r="G357" s="334"/>
      <c r="H357" s="334"/>
    </row>
    <row r="358" spans="7:8" s="333" customFormat="1" x14ac:dyDescent="0.3">
      <c r="G358" s="334"/>
      <c r="H358" s="334"/>
    </row>
    <row r="359" spans="7:8" s="333" customFormat="1" x14ac:dyDescent="0.3">
      <c r="G359" s="334"/>
      <c r="H359" s="334"/>
    </row>
    <row r="360" spans="7:8" s="333" customFormat="1" x14ac:dyDescent="0.3">
      <c r="G360" s="334"/>
      <c r="H360" s="334"/>
    </row>
    <row r="361" spans="7:8" s="333" customFormat="1" x14ac:dyDescent="0.3">
      <c r="G361" s="334"/>
      <c r="H361" s="334"/>
    </row>
    <row r="362" spans="7:8" s="333" customFormat="1" x14ac:dyDescent="0.3">
      <c r="G362" s="334"/>
      <c r="H362" s="334"/>
    </row>
    <row r="363" spans="7:8" s="333" customFormat="1" x14ac:dyDescent="0.3">
      <c r="G363" s="334"/>
      <c r="H363" s="334"/>
    </row>
    <row r="364" spans="7:8" s="333" customFormat="1" x14ac:dyDescent="0.3">
      <c r="G364" s="334"/>
      <c r="H364" s="334"/>
    </row>
    <row r="365" spans="7:8" s="333" customFormat="1" x14ac:dyDescent="0.3">
      <c r="G365" s="334"/>
      <c r="H365" s="334"/>
    </row>
    <row r="366" spans="7:8" s="333" customFormat="1" x14ac:dyDescent="0.3">
      <c r="G366" s="334"/>
      <c r="H366" s="334"/>
    </row>
    <row r="367" spans="7:8" s="333" customFormat="1" x14ac:dyDescent="0.3">
      <c r="G367" s="334"/>
      <c r="H367" s="334"/>
    </row>
    <row r="368" spans="7:8" s="333" customFormat="1" x14ac:dyDescent="0.3">
      <c r="G368" s="334"/>
      <c r="H368" s="334"/>
    </row>
    <row r="369" spans="7:8" s="333" customFormat="1" x14ac:dyDescent="0.3">
      <c r="G369" s="334"/>
      <c r="H369" s="334"/>
    </row>
    <row r="370" spans="7:8" s="333" customFormat="1" x14ac:dyDescent="0.3">
      <c r="G370" s="334"/>
      <c r="H370" s="334"/>
    </row>
    <row r="371" spans="7:8" s="333" customFormat="1" x14ac:dyDescent="0.3">
      <c r="G371" s="334"/>
      <c r="H371" s="334"/>
    </row>
    <row r="372" spans="7:8" s="333" customFormat="1" x14ac:dyDescent="0.3">
      <c r="G372" s="334"/>
      <c r="H372" s="334"/>
    </row>
    <row r="373" spans="7:8" s="333" customFormat="1" x14ac:dyDescent="0.3">
      <c r="G373" s="334"/>
      <c r="H373" s="334"/>
    </row>
    <row r="374" spans="7:8" s="333" customFormat="1" x14ac:dyDescent="0.3">
      <c r="G374" s="334"/>
      <c r="H374" s="334"/>
    </row>
    <row r="375" spans="7:8" s="333" customFormat="1" x14ac:dyDescent="0.3">
      <c r="G375" s="334"/>
      <c r="H375" s="334"/>
    </row>
    <row r="376" spans="7:8" s="333" customFormat="1" x14ac:dyDescent="0.3">
      <c r="G376" s="334"/>
      <c r="H376" s="334"/>
    </row>
    <row r="377" spans="7:8" s="333" customFormat="1" x14ac:dyDescent="0.3">
      <c r="G377" s="334"/>
      <c r="H377" s="334"/>
    </row>
    <row r="378" spans="7:8" s="333" customFormat="1" x14ac:dyDescent="0.3">
      <c r="G378" s="334"/>
      <c r="H378" s="334"/>
    </row>
    <row r="379" spans="7:8" s="333" customFormat="1" x14ac:dyDescent="0.3">
      <c r="G379" s="334"/>
      <c r="H379" s="334"/>
    </row>
    <row r="380" spans="7:8" s="333" customFormat="1" x14ac:dyDescent="0.3">
      <c r="G380" s="334"/>
      <c r="H380" s="334"/>
    </row>
    <row r="381" spans="7:8" s="333" customFormat="1" x14ac:dyDescent="0.3">
      <c r="G381" s="334"/>
      <c r="H381" s="334"/>
    </row>
    <row r="382" spans="7:8" s="333" customFormat="1" x14ac:dyDescent="0.3">
      <c r="G382" s="334"/>
      <c r="H382" s="334"/>
    </row>
    <row r="383" spans="7:8" s="333" customFormat="1" x14ac:dyDescent="0.3">
      <c r="G383" s="334"/>
      <c r="H383" s="334"/>
    </row>
    <row r="384" spans="7:8" s="333" customFormat="1" x14ac:dyDescent="0.3">
      <c r="G384" s="334"/>
      <c r="H384" s="334"/>
    </row>
    <row r="385" spans="7:8" s="333" customFormat="1" x14ac:dyDescent="0.3">
      <c r="G385" s="334"/>
      <c r="H385" s="334"/>
    </row>
    <row r="386" spans="7:8" s="333" customFormat="1" x14ac:dyDescent="0.3">
      <c r="G386" s="334"/>
      <c r="H386" s="334"/>
    </row>
    <row r="387" spans="7:8" s="333" customFormat="1" x14ac:dyDescent="0.3">
      <c r="G387" s="334"/>
      <c r="H387" s="334"/>
    </row>
    <row r="388" spans="7:8" s="333" customFormat="1" x14ac:dyDescent="0.3">
      <c r="G388" s="334"/>
      <c r="H388" s="334"/>
    </row>
    <row r="389" spans="7:8" s="333" customFormat="1" x14ac:dyDescent="0.3">
      <c r="G389" s="334"/>
      <c r="H389" s="334"/>
    </row>
    <row r="390" spans="7:8" s="333" customFormat="1" x14ac:dyDescent="0.3">
      <c r="G390" s="334"/>
      <c r="H390" s="334"/>
    </row>
    <row r="391" spans="7:8" s="333" customFormat="1" x14ac:dyDescent="0.3">
      <c r="G391" s="334"/>
      <c r="H391" s="334"/>
    </row>
    <row r="392" spans="7:8" s="333" customFormat="1" x14ac:dyDescent="0.3">
      <c r="G392" s="334"/>
      <c r="H392" s="334"/>
    </row>
    <row r="393" spans="7:8" s="333" customFormat="1" x14ac:dyDescent="0.3">
      <c r="G393" s="334"/>
      <c r="H393" s="334"/>
    </row>
    <row r="394" spans="7:8" s="333" customFormat="1" x14ac:dyDescent="0.3">
      <c r="G394" s="334"/>
      <c r="H394" s="334"/>
    </row>
    <row r="395" spans="7:8" s="333" customFormat="1" x14ac:dyDescent="0.3">
      <c r="G395" s="334"/>
      <c r="H395" s="334"/>
    </row>
    <row r="396" spans="7:8" s="333" customFormat="1" x14ac:dyDescent="0.3">
      <c r="G396" s="334"/>
      <c r="H396" s="334"/>
    </row>
    <row r="397" spans="7:8" s="333" customFormat="1" x14ac:dyDescent="0.3">
      <c r="G397" s="334"/>
      <c r="H397" s="334"/>
    </row>
    <row r="398" spans="7:8" s="333" customFormat="1" x14ac:dyDescent="0.3">
      <c r="G398" s="334"/>
      <c r="H398" s="334"/>
    </row>
    <row r="399" spans="7:8" s="333" customFormat="1" x14ac:dyDescent="0.3">
      <c r="G399" s="334"/>
      <c r="H399" s="334"/>
    </row>
    <row r="400" spans="7:8" s="333" customFormat="1" x14ac:dyDescent="0.3">
      <c r="G400" s="334"/>
      <c r="H400" s="334"/>
    </row>
    <row r="401" spans="7:8" s="333" customFormat="1" x14ac:dyDescent="0.3">
      <c r="G401" s="334"/>
      <c r="H401" s="334"/>
    </row>
    <row r="402" spans="7:8" s="333" customFormat="1" x14ac:dyDescent="0.3">
      <c r="G402" s="334"/>
      <c r="H402" s="334"/>
    </row>
    <row r="403" spans="7:8" s="333" customFormat="1" x14ac:dyDescent="0.3">
      <c r="G403" s="334"/>
      <c r="H403" s="334"/>
    </row>
    <row r="404" spans="7:8" s="333" customFormat="1" x14ac:dyDescent="0.3">
      <c r="G404" s="334"/>
      <c r="H404" s="334"/>
    </row>
    <row r="405" spans="7:8" s="333" customFormat="1" x14ac:dyDescent="0.3">
      <c r="G405" s="334"/>
      <c r="H405" s="334"/>
    </row>
    <row r="406" spans="7:8" s="333" customFormat="1" x14ac:dyDescent="0.3">
      <c r="G406" s="334"/>
      <c r="H406" s="334"/>
    </row>
    <row r="407" spans="7:8" s="333" customFormat="1" x14ac:dyDescent="0.3">
      <c r="G407" s="334"/>
      <c r="H407" s="334"/>
    </row>
    <row r="408" spans="7:8" s="333" customFormat="1" x14ac:dyDescent="0.3">
      <c r="G408" s="334"/>
      <c r="H408" s="334"/>
    </row>
    <row r="409" spans="7:8" s="333" customFormat="1" x14ac:dyDescent="0.3">
      <c r="G409" s="334"/>
      <c r="H409" s="334"/>
    </row>
    <row r="410" spans="7:8" s="333" customFormat="1" x14ac:dyDescent="0.3">
      <c r="G410" s="334"/>
      <c r="H410" s="334"/>
    </row>
    <row r="411" spans="7:8" s="333" customFormat="1" x14ac:dyDescent="0.3">
      <c r="G411" s="334"/>
      <c r="H411" s="334"/>
    </row>
    <row r="412" spans="7:8" s="333" customFormat="1" x14ac:dyDescent="0.3">
      <c r="G412" s="334"/>
      <c r="H412" s="334"/>
    </row>
    <row r="413" spans="7:8" s="333" customFormat="1" x14ac:dyDescent="0.3">
      <c r="G413" s="334"/>
      <c r="H413" s="334"/>
    </row>
    <row r="414" spans="7:8" s="333" customFormat="1" x14ac:dyDescent="0.3">
      <c r="G414" s="334"/>
      <c r="H414" s="334"/>
    </row>
    <row r="415" spans="7:8" s="333" customFormat="1" x14ac:dyDescent="0.3">
      <c r="G415" s="334"/>
      <c r="H415" s="334"/>
    </row>
    <row r="416" spans="7:8" s="333" customFormat="1" x14ac:dyDescent="0.3">
      <c r="G416" s="334"/>
      <c r="H416" s="334"/>
    </row>
    <row r="417" spans="7:8" s="333" customFormat="1" x14ac:dyDescent="0.3">
      <c r="G417" s="334"/>
      <c r="H417" s="334"/>
    </row>
    <row r="418" spans="7:8" s="333" customFormat="1" x14ac:dyDescent="0.3">
      <c r="G418" s="334"/>
      <c r="H418" s="334"/>
    </row>
    <row r="419" spans="7:8" s="333" customFormat="1" x14ac:dyDescent="0.3">
      <c r="G419" s="334"/>
      <c r="H419" s="334"/>
    </row>
    <row r="420" spans="7:8" s="333" customFormat="1" x14ac:dyDescent="0.3">
      <c r="G420" s="334"/>
      <c r="H420" s="334"/>
    </row>
    <row r="421" spans="7:8" s="333" customFormat="1" x14ac:dyDescent="0.3">
      <c r="G421" s="334"/>
      <c r="H421" s="334"/>
    </row>
    <row r="422" spans="7:8" s="333" customFormat="1" x14ac:dyDescent="0.3">
      <c r="G422" s="334"/>
      <c r="H422" s="334"/>
    </row>
    <row r="423" spans="7:8" s="333" customFormat="1" x14ac:dyDescent="0.3">
      <c r="G423" s="334"/>
      <c r="H423" s="334"/>
    </row>
    <row r="424" spans="7:8" s="333" customFormat="1" x14ac:dyDescent="0.3">
      <c r="G424" s="334"/>
      <c r="H424" s="334"/>
    </row>
    <row r="425" spans="7:8" s="333" customFormat="1" x14ac:dyDescent="0.3">
      <c r="G425" s="334"/>
      <c r="H425" s="334"/>
    </row>
    <row r="426" spans="7:8" s="333" customFormat="1" x14ac:dyDescent="0.3">
      <c r="G426" s="334"/>
      <c r="H426" s="334"/>
    </row>
    <row r="427" spans="7:8" s="333" customFormat="1" x14ac:dyDescent="0.3">
      <c r="G427" s="334"/>
      <c r="H427" s="334"/>
    </row>
    <row r="428" spans="7:8" s="333" customFormat="1" x14ac:dyDescent="0.3">
      <c r="G428" s="334"/>
      <c r="H428" s="334"/>
    </row>
    <row r="429" spans="7:8" s="333" customFormat="1" x14ac:dyDescent="0.3">
      <c r="G429" s="334"/>
      <c r="H429" s="334"/>
    </row>
    <row r="430" spans="7:8" s="333" customFormat="1" x14ac:dyDescent="0.3">
      <c r="G430" s="334"/>
      <c r="H430" s="334"/>
    </row>
    <row r="431" spans="7:8" s="333" customFormat="1" x14ac:dyDescent="0.3">
      <c r="G431" s="334"/>
      <c r="H431" s="334"/>
    </row>
    <row r="432" spans="7:8" s="333" customFormat="1" x14ac:dyDescent="0.3">
      <c r="G432" s="334"/>
      <c r="H432" s="334"/>
    </row>
    <row r="433" spans="7:8" s="333" customFormat="1" x14ac:dyDescent="0.3">
      <c r="G433" s="334"/>
      <c r="H433" s="334"/>
    </row>
    <row r="434" spans="7:8" s="333" customFormat="1" x14ac:dyDescent="0.3">
      <c r="G434" s="334"/>
      <c r="H434" s="334"/>
    </row>
    <row r="435" spans="7:8" s="333" customFormat="1" x14ac:dyDescent="0.3">
      <c r="G435" s="334"/>
      <c r="H435" s="334"/>
    </row>
    <row r="436" spans="7:8" s="333" customFormat="1" x14ac:dyDescent="0.3">
      <c r="G436" s="334"/>
      <c r="H436" s="334"/>
    </row>
    <row r="437" spans="7:8" s="333" customFormat="1" x14ac:dyDescent="0.3">
      <c r="G437" s="334"/>
      <c r="H437" s="334"/>
    </row>
    <row r="438" spans="7:8" s="333" customFormat="1" x14ac:dyDescent="0.3">
      <c r="G438" s="334"/>
      <c r="H438" s="334"/>
    </row>
    <row r="439" spans="7:8" s="333" customFormat="1" x14ac:dyDescent="0.3">
      <c r="G439" s="334"/>
      <c r="H439" s="334"/>
    </row>
    <row r="440" spans="7:8" s="333" customFormat="1" x14ac:dyDescent="0.3">
      <c r="G440" s="334"/>
      <c r="H440" s="334"/>
    </row>
    <row r="441" spans="7:8" s="333" customFormat="1" x14ac:dyDescent="0.3">
      <c r="G441" s="334"/>
      <c r="H441" s="334"/>
    </row>
    <row r="442" spans="7:8" s="333" customFormat="1" x14ac:dyDescent="0.3">
      <c r="G442" s="334"/>
      <c r="H442" s="334"/>
    </row>
    <row r="443" spans="7:8" s="333" customFormat="1" x14ac:dyDescent="0.3">
      <c r="G443" s="334"/>
      <c r="H443" s="334"/>
    </row>
    <row r="444" spans="7:8" s="333" customFormat="1" x14ac:dyDescent="0.3">
      <c r="G444" s="334"/>
      <c r="H444" s="334"/>
    </row>
    <row r="445" spans="7:8" s="333" customFormat="1" x14ac:dyDescent="0.3">
      <c r="G445" s="334"/>
      <c r="H445" s="334"/>
    </row>
    <row r="446" spans="7:8" s="333" customFormat="1" x14ac:dyDescent="0.3">
      <c r="G446" s="334"/>
      <c r="H446" s="334"/>
    </row>
    <row r="447" spans="7:8" s="333" customFormat="1" x14ac:dyDescent="0.3">
      <c r="G447" s="334"/>
      <c r="H447" s="334"/>
    </row>
    <row r="448" spans="7:8" s="333" customFormat="1" x14ac:dyDescent="0.3">
      <c r="G448" s="334"/>
      <c r="H448" s="334"/>
    </row>
    <row r="449" spans="7:8" s="333" customFormat="1" x14ac:dyDescent="0.3">
      <c r="G449" s="334"/>
      <c r="H449" s="334"/>
    </row>
    <row r="450" spans="7:8" s="333" customFormat="1" x14ac:dyDescent="0.3">
      <c r="G450" s="334"/>
      <c r="H450" s="334"/>
    </row>
    <row r="451" spans="7:8" s="333" customFormat="1" x14ac:dyDescent="0.3">
      <c r="G451" s="334"/>
      <c r="H451" s="334"/>
    </row>
    <row r="452" spans="7:8" s="333" customFormat="1" x14ac:dyDescent="0.3">
      <c r="G452" s="334"/>
      <c r="H452" s="334"/>
    </row>
    <row r="453" spans="7:8" s="333" customFormat="1" x14ac:dyDescent="0.3">
      <c r="G453" s="334"/>
      <c r="H453" s="334"/>
    </row>
    <row r="454" spans="7:8" s="333" customFormat="1" x14ac:dyDescent="0.3">
      <c r="G454" s="334"/>
      <c r="H454" s="334"/>
    </row>
    <row r="455" spans="7:8" s="333" customFormat="1" x14ac:dyDescent="0.3">
      <c r="G455" s="334"/>
      <c r="H455" s="334"/>
    </row>
    <row r="456" spans="7:8" s="333" customFormat="1" x14ac:dyDescent="0.3">
      <c r="G456" s="334"/>
      <c r="H456" s="334"/>
    </row>
    <row r="457" spans="7:8" s="333" customFormat="1" x14ac:dyDescent="0.3">
      <c r="G457" s="334"/>
      <c r="H457" s="334"/>
    </row>
    <row r="458" spans="7:8" s="333" customFormat="1" x14ac:dyDescent="0.3">
      <c r="G458" s="334"/>
      <c r="H458" s="334"/>
    </row>
    <row r="459" spans="7:8" s="333" customFormat="1" x14ac:dyDescent="0.3">
      <c r="G459" s="334"/>
      <c r="H459" s="334"/>
    </row>
    <row r="460" spans="7:8" s="333" customFormat="1" x14ac:dyDescent="0.3">
      <c r="G460" s="334"/>
      <c r="H460" s="334"/>
    </row>
    <row r="461" spans="7:8" s="333" customFormat="1" x14ac:dyDescent="0.3">
      <c r="G461" s="334"/>
      <c r="H461" s="334"/>
    </row>
    <row r="462" spans="7:8" s="333" customFormat="1" x14ac:dyDescent="0.3">
      <c r="G462" s="334"/>
      <c r="H462" s="334"/>
    </row>
    <row r="463" spans="7:8" s="333" customFormat="1" x14ac:dyDescent="0.3">
      <c r="G463" s="334"/>
      <c r="H463" s="334"/>
    </row>
    <row r="464" spans="7:8" s="333" customFormat="1" x14ac:dyDescent="0.3">
      <c r="G464" s="334"/>
      <c r="H464" s="334"/>
    </row>
    <row r="465" spans="7:8" s="333" customFormat="1" x14ac:dyDescent="0.3">
      <c r="G465" s="334"/>
      <c r="H465" s="334"/>
    </row>
    <row r="466" spans="7:8" s="333" customFormat="1" x14ac:dyDescent="0.3">
      <c r="G466" s="334"/>
      <c r="H466" s="334"/>
    </row>
    <row r="467" spans="7:8" s="333" customFormat="1" x14ac:dyDescent="0.3">
      <c r="G467" s="334"/>
      <c r="H467" s="334"/>
    </row>
    <row r="468" spans="7:8" s="333" customFormat="1" x14ac:dyDescent="0.3">
      <c r="G468" s="334"/>
      <c r="H468" s="334"/>
    </row>
    <row r="469" spans="7:8" s="333" customFormat="1" x14ac:dyDescent="0.3">
      <c r="G469" s="334"/>
      <c r="H469" s="334"/>
    </row>
    <row r="470" spans="7:8" s="333" customFormat="1" x14ac:dyDescent="0.3">
      <c r="G470" s="334"/>
      <c r="H470" s="334"/>
    </row>
    <row r="471" spans="7:8" s="333" customFormat="1" x14ac:dyDescent="0.3">
      <c r="G471" s="334"/>
      <c r="H471" s="334"/>
    </row>
    <row r="472" spans="7:8" s="333" customFormat="1" x14ac:dyDescent="0.3">
      <c r="G472" s="334"/>
      <c r="H472" s="334"/>
    </row>
    <row r="473" spans="7:8" s="333" customFormat="1" x14ac:dyDescent="0.3">
      <c r="G473" s="334"/>
      <c r="H473" s="334"/>
    </row>
    <row r="474" spans="7:8" s="333" customFormat="1" x14ac:dyDescent="0.3">
      <c r="G474" s="334"/>
      <c r="H474" s="334"/>
    </row>
    <row r="475" spans="7:8" s="333" customFormat="1" x14ac:dyDescent="0.3">
      <c r="G475" s="334"/>
      <c r="H475" s="334"/>
    </row>
    <row r="476" spans="7:8" s="333" customFormat="1" x14ac:dyDescent="0.3">
      <c r="G476" s="334"/>
      <c r="H476" s="334"/>
    </row>
    <row r="477" spans="7:8" s="333" customFormat="1" x14ac:dyDescent="0.3">
      <c r="G477" s="334"/>
      <c r="H477" s="334"/>
    </row>
    <row r="478" spans="7:8" s="333" customFormat="1" x14ac:dyDescent="0.3">
      <c r="G478" s="334"/>
      <c r="H478" s="334"/>
    </row>
    <row r="479" spans="7:8" s="333" customFormat="1" x14ac:dyDescent="0.3">
      <c r="G479" s="334"/>
      <c r="H479" s="334"/>
    </row>
    <row r="480" spans="7:8" s="333" customFormat="1" x14ac:dyDescent="0.3">
      <c r="G480" s="334"/>
      <c r="H480" s="334"/>
    </row>
    <row r="481" spans="7:8" s="333" customFormat="1" x14ac:dyDescent="0.3">
      <c r="G481" s="334"/>
      <c r="H481" s="334"/>
    </row>
    <row r="482" spans="7:8" s="333" customFormat="1" x14ac:dyDescent="0.3">
      <c r="G482" s="334"/>
      <c r="H482" s="334"/>
    </row>
    <row r="483" spans="7:8" s="333" customFormat="1" x14ac:dyDescent="0.3">
      <c r="G483" s="334"/>
      <c r="H483" s="334"/>
    </row>
    <row r="484" spans="7:8" s="333" customFormat="1" x14ac:dyDescent="0.3">
      <c r="G484" s="334"/>
      <c r="H484" s="334"/>
    </row>
    <row r="485" spans="7:8" s="333" customFormat="1" x14ac:dyDescent="0.3">
      <c r="G485" s="334"/>
      <c r="H485" s="334"/>
    </row>
    <row r="486" spans="7:8" s="333" customFormat="1" x14ac:dyDescent="0.3">
      <c r="G486" s="334"/>
      <c r="H486" s="334"/>
    </row>
    <row r="487" spans="7:8" s="333" customFormat="1" x14ac:dyDescent="0.3">
      <c r="G487" s="334"/>
      <c r="H487" s="334"/>
    </row>
    <row r="488" spans="7:8" s="333" customFormat="1" x14ac:dyDescent="0.3">
      <c r="G488" s="334"/>
      <c r="H488" s="334"/>
    </row>
    <row r="489" spans="7:8" s="333" customFormat="1" x14ac:dyDescent="0.3">
      <c r="G489" s="334"/>
      <c r="H489" s="334"/>
    </row>
    <row r="490" spans="7:8" s="333" customFormat="1" x14ac:dyDescent="0.3">
      <c r="G490" s="334"/>
      <c r="H490" s="334"/>
    </row>
    <row r="491" spans="7:8" s="333" customFormat="1" x14ac:dyDescent="0.3">
      <c r="G491" s="334"/>
      <c r="H491" s="334"/>
    </row>
    <row r="492" spans="7:8" s="333" customFormat="1" x14ac:dyDescent="0.3">
      <c r="G492" s="334"/>
      <c r="H492" s="334"/>
    </row>
    <row r="493" spans="7:8" s="333" customFormat="1" x14ac:dyDescent="0.3">
      <c r="G493" s="334"/>
      <c r="H493" s="334"/>
    </row>
    <row r="494" spans="7:8" s="333" customFormat="1" x14ac:dyDescent="0.3">
      <c r="G494" s="334"/>
      <c r="H494" s="334"/>
    </row>
    <row r="495" spans="7:8" s="333" customFormat="1" x14ac:dyDescent="0.3">
      <c r="G495" s="334"/>
      <c r="H495" s="334"/>
    </row>
    <row r="496" spans="7:8" s="333" customFormat="1" x14ac:dyDescent="0.3">
      <c r="G496" s="334"/>
      <c r="H496" s="334"/>
    </row>
    <row r="497" spans="7:8" s="333" customFormat="1" x14ac:dyDescent="0.3">
      <c r="G497" s="334"/>
      <c r="H497" s="334"/>
    </row>
    <row r="498" spans="7:8" s="333" customFormat="1" x14ac:dyDescent="0.3">
      <c r="G498" s="334"/>
      <c r="H498" s="334"/>
    </row>
    <row r="499" spans="7:8" s="333" customFormat="1" x14ac:dyDescent="0.3">
      <c r="G499" s="334"/>
      <c r="H499" s="334"/>
    </row>
    <row r="500" spans="7:8" s="333" customFormat="1" x14ac:dyDescent="0.3">
      <c r="G500" s="334"/>
      <c r="H500" s="334"/>
    </row>
    <row r="501" spans="7:8" s="333" customFormat="1" x14ac:dyDescent="0.3">
      <c r="G501" s="334"/>
      <c r="H501" s="334"/>
    </row>
    <row r="502" spans="7:8" s="333" customFormat="1" x14ac:dyDescent="0.3">
      <c r="G502" s="334"/>
      <c r="H502" s="334"/>
    </row>
    <row r="503" spans="7:8" s="333" customFormat="1" x14ac:dyDescent="0.3">
      <c r="G503" s="334"/>
      <c r="H503" s="334"/>
    </row>
    <row r="504" spans="7:8" s="333" customFormat="1" x14ac:dyDescent="0.3">
      <c r="G504" s="334"/>
      <c r="H504" s="334"/>
    </row>
    <row r="505" spans="7:8" s="333" customFormat="1" x14ac:dyDescent="0.3">
      <c r="G505" s="334"/>
      <c r="H505" s="334"/>
    </row>
    <row r="506" spans="7:8" s="333" customFormat="1" x14ac:dyDescent="0.3">
      <c r="G506" s="334"/>
      <c r="H506" s="334"/>
    </row>
    <row r="507" spans="7:8" s="333" customFormat="1" x14ac:dyDescent="0.3">
      <c r="G507" s="334"/>
      <c r="H507" s="334"/>
    </row>
    <row r="508" spans="7:8" s="333" customFormat="1" x14ac:dyDescent="0.3">
      <c r="G508" s="334"/>
      <c r="H508" s="334"/>
    </row>
    <row r="509" spans="7:8" s="333" customFormat="1" x14ac:dyDescent="0.3">
      <c r="G509" s="334"/>
      <c r="H509" s="334"/>
    </row>
    <row r="510" spans="7:8" s="333" customFormat="1" x14ac:dyDescent="0.3">
      <c r="G510" s="334"/>
      <c r="H510" s="334"/>
    </row>
    <row r="511" spans="7:8" s="333" customFormat="1" x14ac:dyDescent="0.3">
      <c r="G511" s="334"/>
      <c r="H511" s="334"/>
    </row>
    <row r="512" spans="7:8" s="333" customFormat="1" x14ac:dyDescent="0.3">
      <c r="G512" s="334"/>
      <c r="H512" s="334"/>
    </row>
    <row r="513" spans="7:8" s="333" customFormat="1" x14ac:dyDescent="0.3">
      <c r="G513" s="334"/>
      <c r="H513" s="334"/>
    </row>
    <row r="514" spans="7:8" s="333" customFormat="1" x14ac:dyDescent="0.3">
      <c r="G514" s="334"/>
      <c r="H514" s="334"/>
    </row>
    <row r="515" spans="7:8" s="333" customFormat="1" x14ac:dyDescent="0.3">
      <c r="G515" s="334"/>
      <c r="H515" s="334"/>
    </row>
    <row r="516" spans="7:8" s="333" customFormat="1" x14ac:dyDescent="0.3">
      <c r="G516" s="334"/>
      <c r="H516" s="334"/>
    </row>
    <row r="517" spans="7:8" s="333" customFormat="1" x14ac:dyDescent="0.3">
      <c r="G517" s="334"/>
      <c r="H517" s="334"/>
    </row>
    <row r="518" spans="7:8" s="333" customFormat="1" x14ac:dyDescent="0.3">
      <c r="G518" s="334"/>
      <c r="H518" s="334"/>
    </row>
    <row r="519" spans="7:8" s="333" customFormat="1" x14ac:dyDescent="0.3">
      <c r="G519" s="334"/>
      <c r="H519" s="334"/>
    </row>
    <row r="520" spans="7:8" s="333" customFormat="1" x14ac:dyDescent="0.3">
      <c r="G520" s="334"/>
      <c r="H520" s="334"/>
    </row>
    <row r="521" spans="7:8" s="333" customFormat="1" x14ac:dyDescent="0.3">
      <c r="G521" s="334"/>
      <c r="H521" s="334"/>
    </row>
    <row r="522" spans="7:8" s="333" customFormat="1" x14ac:dyDescent="0.3">
      <c r="G522" s="334"/>
      <c r="H522" s="334"/>
    </row>
    <row r="523" spans="7:8" s="333" customFormat="1" x14ac:dyDescent="0.3">
      <c r="G523" s="334"/>
      <c r="H523" s="334"/>
    </row>
    <row r="524" spans="7:8" s="333" customFormat="1" x14ac:dyDescent="0.3">
      <c r="G524" s="334"/>
      <c r="H524" s="334"/>
    </row>
    <row r="525" spans="7:8" s="333" customFormat="1" x14ac:dyDescent="0.3">
      <c r="G525" s="334"/>
      <c r="H525" s="334"/>
    </row>
    <row r="526" spans="7:8" s="333" customFormat="1" x14ac:dyDescent="0.3">
      <c r="G526" s="334"/>
      <c r="H526" s="334"/>
    </row>
    <row r="527" spans="7:8" s="333" customFormat="1" x14ac:dyDescent="0.3">
      <c r="G527" s="334"/>
      <c r="H527" s="334"/>
    </row>
    <row r="528" spans="7:8" s="333" customFormat="1" x14ac:dyDescent="0.3">
      <c r="G528" s="334"/>
      <c r="H528" s="334"/>
    </row>
    <row r="529" spans="2:8" s="333" customFormat="1" x14ac:dyDescent="0.3">
      <c r="G529" s="334"/>
      <c r="H529" s="334"/>
    </row>
    <row r="530" spans="2:8" s="333" customFormat="1" x14ac:dyDescent="0.3">
      <c r="G530" s="334"/>
      <c r="H530" s="334"/>
    </row>
    <row r="531" spans="2:8" s="333" customFormat="1" x14ac:dyDescent="0.3">
      <c r="G531" s="334"/>
      <c r="H531" s="334"/>
    </row>
    <row r="532" spans="2:8" s="333" customFormat="1" x14ac:dyDescent="0.3">
      <c r="G532" s="334"/>
      <c r="H532" s="334"/>
    </row>
    <row r="533" spans="2:8" s="333" customFormat="1" x14ac:dyDescent="0.3">
      <c r="G533" s="334"/>
      <c r="H533" s="334"/>
    </row>
    <row r="534" spans="2:8" s="333" customFormat="1" x14ac:dyDescent="0.3">
      <c r="G534" s="334"/>
      <c r="H534" s="334"/>
    </row>
    <row r="535" spans="2:8" s="333" customFormat="1" x14ac:dyDescent="0.3">
      <c r="G535" s="334"/>
      <c r="H535" s="334"/>
    </row>
    <row r="536" spans="2:8" s="333" customFormat="1" x14ac:dyDescent="0.3">
      <c r="G536" s="334"/>
      <c r="H536" s="334"/>
    </row>
    <row r="537" spans="2:8" s="333" customFormat="1" x14ac:dyDescent="0.3">
      <c r="G537" s="334"/>
      <c r="H537" s="334"/>
    </row>
    <row r="538" spans="2:8" s="333" customFormat="1" x14ac:dyDescent="0.3">
      <c r="G538" s="334"/>
      <c r="H538" s="334"/>
    </row>
    <row r="539" spans="2:8" s="333" customFormat="1" x14ac:dyDescent="0.3">
      <c r="G539" s="334"/>
      <c r="H539" s="334"/>
    </row>
    <row r="540" spans="2:8" s="333" customFormat="1" x14ac:dyDescent="0.3">
      <c r="G540" s="334"/>
      <c r="H540" s="334"/>
    </row>
    <row r="541" spans="2:8" x14ac:dyDescent="0.3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G3:H3"/>
    <mergeCell ref="C15:D15"/>
    <mergeCell ref="C16:D16"/>
    <mergeCell ref="C17:D17"/>
    <mergeCell ref="C18:D18"/>
    <mergeCell ref="B21:D29"/>
    <mergeCell ref="C19:D19"/>
    <mergeCell ref="C11:D11"/>
    <mergeCell ref="B5:D5"/>
    <mergeCell ref="B9:D9"/>
    <mergeCell ref="B14:D14"/>
    <mergeCell ref="C12:D12"/>
    <mergeCell ref="C10:D10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ColWidth="9.109375" defaultRowHeight="13.2" x14ac:dyDescent="0.25"/>
  <cols>
    <col min="1" max="1" width="10.44140625" style="2" customWidth="1"/>
    <col min="2" max="2" width="2.109375" style="2" customWidth="1"/>
    <col min="3" max="3" width="75" style="2" customWidth="1"/>
    <col min="4" max="4" width="2.109375" style="2" customWidth="1"/>
    <col min="5" max="5" width="9.109375" style="2" customWidth="1"/>
    <col min="6" max="16384" width="9.109375" style="2"/>
  </cols>
  <sheetData>
    <row r="1" spans="2:4" ht="51" customHeight="1" x14ac:dyDescent="0.5">
      <c r="C1" s="305" t="s">
        <v>96</v>
      </c>
    </row>
    <row r="2" spans="2:4" ht="10.5" customHeight="1" x14ac:dyDescent="0.25">
      <c r="B2" s="303"/>
      <c r="C2" s="303"/>
      <c r="D2" s="303"/>
    </row>
    <row r="3" spans="2:4" ht="277.5" customHeight="1" x14ac:dyDescent="0.25">
      <c r="B3" s="303"/>
      <c r="C3" s="304" t="s">
        <v>99</v>
      </c>
      <c r="D3" s="303"/>
    </row>
    <row r="4" spans="2:4" ht="10.5" customHeight="1" x14ac:dyDescent="0.25">
      <c r="B4" s="303"/>
      <c r="C4" s="303"/>
      <c r="D4" s="303"/>
    </row>
    <row r="5" spans="2:4" ht="39.75" customHeight="1" x14ac:dyDescent="0.3">
      <c r="B5" s="637" t="s">
        <v>97</v>
      </c>
      <c r="C5" s="637"/>
      <c r="D5" s="637"/>
    </row>
    <row r="8" spans="2:4" ht="17.399999999999999" x14ac:dyDescent="0.3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Mary Mortensen</cp:lastModifiedBy>
  <cp:lastPrinted>2014-07-02T16:10:46Z</cp:lastPrinted>
  <dcterms:created xsi:type="dcterms:W3CDTF">1998-05-29T15:48:38Z</dcterms:created>
  <dcterms:modified xsi:type="dcterms:W3CDTF">2016-11-17T18:39:52Z</dcterms:modified>
</cp:coreProperties>
</file>