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621" i="3" l="1"/>
  <c r="AW621" i="3" s="1"/>
  <c r="AT650" i="3"/>
  <c r="AW650" i="3" s="1"/>
  <c r="AT637" i="3"/>
  <c r="AW637" i="3" s="1"/>
  <c r="AO485" i="3"/>
  <c r="AR485" i="3" s="1"/>
  <c r="AO474" i="3"/>
  <c r="AR474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<sst xmlns="http://schemas.openxmlformats.org/spreadsheetml/2006/main" count="1393" uniqueCount="103">
  <si>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</si>
  <si>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</si>
  <si>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</si>
  <si>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</si>
  <si>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</si>
  <si>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</si>
  <si>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</si>
  <si>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</si>
  <si>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</si>
  <si>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</si>
  <si>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</si>
  <si>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</si>
  <si>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</si>
  <si>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</si>
  <si>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</si>
  <si>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</si>
  <si>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</si>
  <si>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</si>
  <si>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</si>
  <si>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</si>
  <si>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</si>
  <si>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</si>
  <si>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</si>
  <si>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</si>
  <si>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</si>
  <si>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</si>
  <si>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</si>
  <si>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</si>
  <si>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</si>
  <si>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</si>
  <si>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</si>
  <si>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</si>
  <si>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</si>
  <si>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</si>
  <si>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</si>
  <si>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</si>
  <si>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</si>
  <si>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</si>
  <si>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</si>
  <si>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</si>
  <si>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</si>
  <si>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</si>
  <si>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</si>
  <si>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</si>
  <si>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</si>
  <si>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</si>
  <si>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</si>
  <si>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</si>
  <si>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</si>
  <si>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</si>
  <si>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</si>
  <si>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</si>
  <si>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</si>
  <si>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</si>
  <si>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</si>
  <si>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</si>
  <si>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</si>
  <si>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</si>
  <si>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</si>
  <si>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</si>
  <si>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</si>
  <si>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</si>
  <si>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</si>
  <si>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</si>
  <si>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</si>
  <si>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</si>
  <si>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</si>
  <si>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</si>
  <si>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</si>
  <si>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</si>
  <si>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</si>
  <si>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</si>
  <si>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</si>
  <si>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</si>
  <si>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</si>
  <si>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</si>
  <si>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</si>
  <si>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</si>
  <si>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</si>
  <si>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</si>
  <si>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</si>
  <si>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</si>
  <si>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</si>
  <si>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</si>
  <si>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</si>
  <si>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</si>
  <si>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</si>
  <si>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</si>
  <si>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</si>
  <si>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</si>
  <si>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HH</t>
  </si>
  <si>
    <t>See Above</t>
  </si>
  <si>
    <t>101416</t>
  </si>
  <si>
    <t>Elk River, MN</t>
  </si>
  <si>
    <t>144</t>
  </si>
  <si>
    <t>48</t>
  </si>
  <si>
    <t>MPS(Z)-B29</t>
  </si>
  <si>
    <t>West Backbone</t>
  </si>
  <si>
    <t>East Backbone</t>
  </si>
  <si>
    <t>North VZW Lateral</t>
  </si>
  <si>
    <t>MPS-B487</t>
  </si>
  <si>
    <t>167662</t>
  </si>
  <si>
    <t>VZW MILLENNIUM CRAN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</si>
</sst>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E41" sqref="E41:E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92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90</v>
      </c>
      <c r="C41" s="279" t="s">
        <v>88</v>
      </c>
      <c r="D41" s="279" t="s">
        <v>91</v>
      </c>
      <c r="E41" s="279" t="s">
        <v>93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89</v>
      </c>
      <c r="C45" s="317"/>
      <c r="D45" s="273" t="str">
        <f>CONCATENATE('Cable Info'!C11,"  ",'Cable Info'!C18,"   ",'Cable Info'!C25,"  ",'Cable Info'!C32,"   ",'Cable Info'!C39,"   ",'Cable Info'!C46)</f>
        <v xml:space="preserve">MPS(Z)-B29  MPS(Z)-B29   MPS-B487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87</v>
      </c>
      <c r="C50" s="301">
        <v>42673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101416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5" sqref="C2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101416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96</v>
      </c>
      <c r="D11" s="322" t="s">
        <v>97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94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96</v>
      </c>
      <c r="D18" s="322" t="s">
        <v>98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94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100</v>
      </c>
      <c r="D25" s="322" t="s">
        <v>99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95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101416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101416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T20" sqref="T20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MPS(Z)-B29</v>
      </c>
      <c r="AI1" s="120" t="s">
        <v>17</v>
      </c>
      <c r="AJ1" s="121" t="s">
        <v>12</v>
      </c>
      <c r="AM1" s="121" t="str">
        <f>AF1</f>
        <v>[A] MPS(Z)-B29</v>
      </c>
      <c r="AN1" s="121" t="s">
        <v>17</v>
      </c>
      <c r="AO1" s="121" t="s">
        <v>13</v>
      </c>
      <c r="AR1" s="121" t="str">
        <f>AF2</f>
        <v>[B] MPS(Z)-B29</v>
      </c>
      <c r="AS1" s="121" t="s">
        <v>17</v>
      </c>
      <c r="AT1" s="121" t="s">
        <v>36</v>
      </c>
      <c r="AW1" s="121" t="str">
        <f>AF3</f>
        <v>[C] MPS-B487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MPS(Z)-B29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101416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MPS-B487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MPS(Z)-B29</v>
      </c>
      <c r="D10" s="243"/>
      <c r="E10" s="259">
        <v>37</v>
      </c>
      <c r="F10" s="110" t="s">
        <v>45</v>
      </c>
      <c r="G10" s="262">
        <v>40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MPS-B487</v>
      </c>
      <c r="N10" s="129"/>
      <c r="O10" s="179"/>
      <c r="P10" s="130" t="s">
        <v>36</v>
      </c>
      <c r="Q10" s="190"/>
      <c r="R10" s="131" t="s">
        <v>59</v>
      </c>
      <c r="S10" s="131" t="s">
        <v>52</v>
      </c>
      <c r="T10" s="132">
        <v>42673</v>
      </c>
      <c r="U10" s="132"/>
      <c r="V10" s="133" t="s">
        <v>10</v>
      </c>
      <c r="W10" s="133" t="s">
        <v>101</v>
      </c>
      <c r="X10" s="194">
        <f>IF(V10="","",IF(R10="","",IF(S10="","",IF(R10="SPLICED",(IF(S10="SPLICE",0,9)),IF(V10=$U$3,(IF(S10="BREAK",12,11)),IF(S10="BREAK",2,1))))))</f>
        <v>11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102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Greg Landry</cp:lastModifiedBy>
  <cp:lastPrinted>2013-11-22T22:56:05Z</cp:lastPrinted>
  <dcterms:created xsi:type="dcterms:W3CDTF">1998-05-29T15:48:38Z</dcterms:created>
  <dcterms:modified xsi:type="dcterms:W3CDTF">2016-11-01T20:01:46Z</dcterms:modified>
</cp:coreProperties>
</file>