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60" windowWidth="28800" windowHeight="1296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Table'!$A$11:$X$315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BI10" i="3" l="1"/>
  <c r="BL10" i="3" s="1"/>
  <c r="BD10" i="3"/>
  <c r="BG10" i="3" s="1"/>
  <c r="AY10" i="3"/>
  <c r="BB10" i="3" s="1"/>
  <c r="AT10" i="3"/>
  <c r="AW10" i="3" s="1"/>
  <c r="AO10" i="3"/>
  <c r="AR10" i="3" s="1"/>
  <c r="AJ10" i="3"/>
  <c r="AM10" i="3" s="1"/>
  <c r="AA10" i="3"/>
  <c r="AB10" i="3" s="1"/>
  <c r="Z10" i="3"/>
  <c r="Y10" i="3"/>
  <c r="M10" i="3"/>
  <c r="H10" i="3"/>
  <c r="C10" i="3"/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1" i="3"/>
  <c r="C11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L859" i="7"/>
  <c r="M859" i="7" s="1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P816" i="7"/>
  <c r="Q816" i="7" s="1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L775" i="7"/>
  <c r="M775" i="7" s="1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T769" i="7"/>
  <c r="U769" i="7" s="1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L747" i="7"/>
  <c r="M747" i="7" s="1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T721" i="7"/>
  <c r="U721" i="7" s="1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T713" i="7"/>
  <c r="U713" i="7" s="1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P711" i="7"/>
  <c r="Q711" i="7" s="1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P704" i="7"/>
  <c r="Q704" i="7" s="1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L649" i="7"/>
  <c r="M649" i="7" s="1"/>
  <c r="V648" i="7"/>
  <c r="W648" i="7" s="1"/>
  <c r="U648" i="7"/>
  <c r="T648" i="7"/>
  <c r="R648" i="7"/>
  <c r="S648" i="7" s="1"/>
  <c r="P648" i="7"/>
  <c r="Q648" i="7" s="1"/>
  <c r="N648" i="7"/>
  <c r="O648" i="7" s="1"/>
  <c r="M648" i="7"/>
  <c r="L648" i="7"/>
  <c r="V647" i="7"/>
  <c r="W647" i="7" s="1"/>
  <c r="T647" i="7"/>
  <c r="U647" i="7" s="1"/>
  <c r="R647" i="7"/>
  <c r="S647" i="7" s="1"/>
  <c r="Q647" i="7"/>
  <c r="P647" i="7"/>
  <c r="N647" i="7"/>
  <c r="O647" i="7" s="1"/>
  <c r="L647" i="7"/>
  <c r="M647" i="7" s="1"/>
  <c r="V646" i="7"/>
  <c r="W646" i="7" s="1"/>
  <c r="U646" i="7"/>
  <c r="T646" i="7"/>
  <c r="R646" i="7"/>
  <c r="S646" i="7" s="1"/>
  <c r="P646" i="7"/>
  <c r="Q646" i="7" s="1"/>
  <c r="N646" i="7"/>
  <c r="O646" i="7" s="1"/>
  <c r="M646" i="7"/>
  <c r="L646" i="7"/>
  <c r="V645" i="7"/>
  <c r="W645" i="7" s="1"/>
  <c r="T645" i="7"/>
  <c r="U645" i="7" s="1"/>
  <c r="R645" i="7"/>
  <c r="S645" i="7" s="1"/>
  <c r="Q645" i="7"/>
  <c r="P645" i="7"/>
  <c r="N645" i="7"/>
  <c r="O645" i="7" s="1"/>
  <c r="L645" i="7"/>
  <c r="M645" i="7" s="1"/>
  <c r="V644" i="7"/>
  <c r="W644" i="7" s="1"/>
  <c r="U644" i="7"/>
  <c r="T644" i="7"/>
  <c r="R644" i="7"/>
  <c r="S644" i="7" s="1"/>
  <c r="P644" i="7"/>
  <c r="Q644" i="7" s="1"/>
  <c r="N644" i="7"/>
  <c r="O644" i="7" s="1"/>
  <c r="M644" i="7"/>
  <c r="L644" i="7"/>
  <c r="V643" i="7"/>
  <c r="W643" i="7" s="1"/>
  <c r="T643" i="7"/>
  <c r="U643" i="7" s="1"/>
  <c r="R643" i="7"/>
  <c r="S643" i="7" s="1"/>
  <c r="Q643" i="7"/>
  <c r="P643" i="7"/>
  <c r="N643" i="7"/>
  <c r="O643" i="7" s="1"/>
  <c r="L643" i="7"/>
  <c r="M643" i="7" s="1"/>
  <c r="V642" i="7"/>
  <c r="W642" i="7" s="1"/>
  <c r="U642" i="7"/>
  <c r="T642" i="7"/>
  <c r="R642" i="7"/>
  <c r="S642" i="7" s="1"/>
  <c r="P642" i="7"/>
  <c r="Q642" i="7" s="1"/>
  <c r="N642" i="7"/>
  <c r="O642" i="7" s="1"/>
  <c r="M642" i="7"/>
  <c r="L642" i="7"/>
  <c r="V641" i="7"/>
  <c r="W641" i="7" s="1"/>
  <c r="T641" i="7"/>
  <c r="U641" i="7" s="1"/>
  <c r="R641" i="7"/>
  <c r="S641" i="7" s="1"/>
  <c r="Q641" i="7"/>
  <c r="P641" i="7"/>
  <c r="N641" i="7"/>
  <c r="O641" i="7" s="1"/>
  <c r="L641" i="7"/>
  <c r="M641" i="7" s="1"/>
  <c r="V640" i="7"/>
  <c r="W640" i="7" s="1"/>
  <c r="U640" i="7"/>
  <c r="T640" i="7"/>
  <c r="R640" i="7"/>
  <c r="S640" i="7" s="1"/>
  <c r="P640" i="7"/>
  <c r="Q640" i="7" s="1"/>
  <c r="N640" i="7"/>
  <c r="O640" i="7" s="1"/>
  <c r="M640" i="7"/>
  <c r="L640" i="7"/>
  <c r="V639" i="7"/>
  <c r="W639" i="7" s="1"/>
  <c r="T639" i="7"/>
  <c r="U639" i="7" s="1"/>
  <c r="R639" i="7"/>
  <c r="S639" i="7" s="1"/>
  <c r="Q639" i="7"/>
  <c r="P639" i="7"/>
  <c r="N639" i="7"/>
  <c r="O639" i="7" s="1"/>
  <c r="L639" i="7"/>
  <c r="M639" i="7" s="1"/>
  <c r="V638" i="7"/>
  <c r="W638" i="7" s="1"/>
  <c r="U638" i="7"/>
  <c r="T638" i="7"/>
  <c r="R638" i="7"/>
  <c r="S638" i="7" s="1"/>
  <c r="P638" i="7"/>
  <c r="Q638" i="7" s="1"/>
  <c r="N638" i="7"/>
  <c r="O638" i="7" s="1"/>
  <c r="M638" i="7"/>
  <c r="L638" i="7"/>
  <c r="V637" i="7"/>
  <c r="W637" i="7" s="1"/>
  <c r="T637" i="7"/>
  <c r="U637" i="7" s="1"/>
  <c r="R637" i="7"/>
  <c r="S637" i="7" s="1"/>
  <c r="Q637" i="7"/>
  <c r="P637" i="7"/>
  <c r="N637" i="7"/>
  <c r="O637" i="7" s="1"/>
  <c r="L637" i="7"/>
  <c r="M637" i="7" s="1"/>
  <c r="V636" i="7"/>
  <c r="W636" i="7" s="1"/>
  <c r="U636" i="7"/>
  <c r="T636" i="7"/>
  <c r="R636" i="7"/>
  <c r="S636" i="7" s="1"/>
  <c r="P636" i="7"/>
  <c r="Q636" i="7" s="1"/>
  <c r="N636" i="7"/>
  <c r="O636" i="7" s="1"/>
  <c r="M636" i="7"/>
  <c r="L636" i="7"/>
  <c r="V635" i="7"/>
  <c r="W635" i="7" s="1"/>
  <c r="T635" i="7"/>
  <c r="U635" i="7" s="1"/>
  <c r="R635" i="7"/>
  <c r="S635" i="7" s="1"/>
  <c r="Q635" i="7"/>
  <c r="P635" i="7"/>
  <c r="N635" i="7"/>
  <c r="O635" i="7" s="1"/>
  <c r="L635" i="7"/>
  <c r="M635" i="7" s="1"/>
  <c r="V634" i="7"/>
  <c r="W634" i="7" s="1"/>
  <c r="U634" i="7"/>
  <c r="T634" i="7"/>
  <c r="R634" i="7"/>
  <c r="S634" i="7" s="1"/>
  <c r="P634" i="7"/>
  <c r="Q634" i="7" s="1"/>
  <c r="N634" i="7"/>
  <c r="O634" i="7" s="1"/>
  <c r="M634" i="7"/>
  <c r="L634" i="7"/>
  <c r="V633" i="7"/>
  <c r="W633" i="7" s="1"/>
  <c r="T633" i="7"/>
  <c r="U633" i="7" s="1"/>
  <c r="R633" i="7"/>
  <c r="S633" i="7" s="1"/>
  <c r="Q633" i="7"/>
  <c r="P633" i="7"/>
  <c r="N633" i="7"/>
  <c r="O633" i="7" s="1"/>
  <c r="L633" i="7"/>
  <c r="M633" i="7" s="1"/>
  <c r="V632" i="7"/>
  <c r="W632" i="7" s="1"/>
  <c r="U632" i="7"/>
  <c r="T632" i="7"/>
  <c r="R632" i="7"/>
  <c r="S632" i="7" s="1"/>
  <c r="P632" i="7"/>
  <c r="Q632" i="7" s="1"/>
  <c r="N632" i="7"/>
  <c r="O632" i="7" s="1"/>
  <c r="M632" i="7"/>
  <c r="L632" i="7"/>
  <c r="V631" i="7"/>
  <c r="W631" i="7" s="1"/>
  <c r="T631" i="7"/>
  <c r="U631" i="7" s="1"/>
  <c r="R631" i="7"/>
  <c r="S631" i="7" s="1"/>
  <c r="Q631" i="7"/>
  <c r="P631" i="7"/>
  <c r="N631" i="7"/>
  <c r="O631" i="7" s="1"/>
  <c r="L631" i="7"/>
  <c r="M631" i="7" s="1"/>
  <c r="V630" i="7"/>
  <c r="W630" i="7" s="1"/>
  <c r="U630" i="7"/>
  <c r="T630" i="7"/>
  <c r="R630" i="7"/>
  <c r="S630" i="7" s="1"/>
  <c r="P630" i="7"/>
  <c r="Q630" i="7" s="1"/>
  <c r="N630" i="7"/>
  <c r="O630" i="7" s="1"/>
  <c r="M630" i="7"/>
  <c r="L630" i="7"/>
  <c r="V629" i="7"/>
  <c r="W629" i="7" s="1"/>
  <c r="T629" i="7"/>
  <c r="U629" i="7" s="1"/>
  <c r="R629" i="7"/>
  <c r="S629" i="7" s="1"/>
  <c r="Q629" i="7"/>
  <c r="P629" i="7"/>
  <c r="N629" i="7"/>
  <c r="O629" i="7" s="1"/>
  <c r="L629" i="7"/>
  <c r="M629" i="7" s="1"/>
  <c r="V628" i="7"/>
  <c r="W628" i="7" s="1"/>
  <c r="U628" i="7"/>
  <c r="T628" i="7"/>
  <c r="R628" i="7"/>
  <c r="S628" i="7" s="1"/>
  <c r="P628" i="7"/>
  <c r="Q628" i="7" s="1"/>
  <c r="N628" i="7"/>
  <c r="O628" i="7" s="1"/>
  <c r="M628" i="7"/>
  <c r="L628" i="7"/>
  <c r="V627" i="7"/>
  <c r="W627" i="7" s="1"/>
  <c r="T627" i="7"/>
  <c r="U627" i="7" s="1"/>
  <c r="R627" i="7"/>
  <c r="S627" i="7" s="1"/>
  <c r="Q627" i="7"/>
  <c r="P627" i="7"/>
  <c r="N627" i="7"/>
  <c r="O627" i="7" s="1"/>
  <c r="L627" i="7"/>
  <c r="M627" i="7" s="1"/>
  <c r="V626" i="7"/>
  <c r="W626" i="7" s="1"/>
  <c r="U626" i="7"/>
  <c r="T626" i="7"/>
  <c r="R626" i="7"/>
  <c r="S626" i="7" s="1"/>
  <c r="P626" i="7"/>
  <c r="Q626" i="7" s="1"/>
  <c r="N626" i="7"/>
  <c r="O626" i="7" s="1"/>
  <c r="M626" i="7"/>
  <c r="L626" i="7"/>
  <c r="V625" i="7"/>
  <c r="W625" i="7" s="1"/>
  <c r="T625" i="7"/>
  <c r="U625" i="7" s="1"/>
  <c r="R625" i="7"/>
  <c r="S625" i="7" s="1"/>
  <c r="Q625" i="7"/>
  <c r="P625" i="7"/>
  <c r="N625" i="7"/>
  <c r="O625" i="7" s="1"/>
  <c r="L625" i="7"/>
  <c r="M625" i="7" s="1"/>
  <c r="V624" i="7"/>
  <c r="W624" i="7" s="1"/>
  <c r="U624" i="7"/>
  <c r="T624" i="7"/>
  <c r="R624" i="7"/>
  <c r="S624" i="7" s="1"/>
  <c r="P624" i="7"/>
  <c r="Q624" i="7" s="1"/>
  <c r="N624" i="7"/>
  <c r="O624" i="7" s="1"/>
  <c r="M624" i="7"/>
  <c r="L624" i="7"/>
  <c r="V623" i="7"/>
  <c r="W623" i="7" s="1"/>
  <c r="T623" i="7"/>
  <c r="U623" i="7" s="1"/>
  <c r="R623" i="7"/>
  <c r="S623" i="7" s="1"/>
  <c r="Q623" i="7"/>
  <c r="P623" i="7"/>
  <c r="N623" i="7"/>
  <c r="O623" i="7" s="1"/>
  <c r="L623" i="7"/>
  <c r="M623" i="7" s="1"/>
  <c r="V622" i="7"/>
  <c r="W622" i="7" s="1"/>
  <c r="U622" i="7"/>
  <c r="T622" i="7"/>
  <c r="R622" i="7"/>
  <c r="S622" i="7" s="1"/>
  <c r="P622" i="7"/>
  <c r="Q622" i="7" s="1"/>
  <c r="N622" i="7"/>
  <c r="O622" i="7" s="1"/>
  <c r="M622" i="7"/>
  <c r="L622" i="7"/>
  <c r="V621" i="7"/>
  <c r="W621" i="7" s="1"/>
  <c r="T621" i="7"/>
  <c r="U621" i="7" s="1"/>
  <c r="R621" i="7"/>
  <c r="S621" i="7" s="1"/>
  <c r="Q621" i="7"/>
  <c r="P621" i="7"/>
  <c r="N621" i="7"/>
  <c r="O621" i="7" s="1"/>
  <c r="L621" i="7"/>
  <c r="M621" i="7" s="1"/>
  <c r="V620" i="7"/>
  <c r="W620" i="7" s="1"/>
  <c r="U620" i="7"/>
  <c r="T620" i="7"/>
  <c r="R620" i="7"/>
  <c r="S620" i="7" s="1"/>
  <c r="P620" i="7"/>
  <c r="Q620" i="7" s="1"/>
  <c r="N620" i="7"/>
  <c r="O620" i="7" s="1"/>
  <c r="M620" i="7"/>
  <c r="L620" i="7"/>
  <c r="V619" i="7"/>
  <c r="W619" i="7" s="1"/>
  <c r="T619" i="7"/>
  <c r="U619" i="7" s="1"/>
  <c r="R619" i="7"/>
  <c r="S619" i="7" s="1"/>
  <c r="Q619" i="7"/>
  <c r="P619" i="7"/>
  <c r="N619" i="7"/>
  <c r="O619" i="7" s="1"/>
  <c r="L619" i="7"/>
  <c r="M619" i="7" s="1"/>
  <c r="V618" i="7"/>
  <c r="W618" i="7" s="1"/>
  <c r="U618" i="7"/>
  <c r="T618" i="7"/>
  <c r="R618" i="7"/>
  <c r="S618" i="7" s="1"/>
  <c r="P618" i="7"/>
  <c r="Q618" i="7" s="1"/>
  <c r="N618" i="7"/>
  <c r="O618" i="7" s="1"/>
  <c r="M618" i="7"/>
  <c r="L618" i="7"/>
  <c r="V617" i="7"/>
  <c r="W617" i="7" s="1"/>
  <c r="T617" i="7"/>
  <c r="U617" i="7" s="1"/>
  <c r="R617" i="7"/>
  <c r="S617" i="7" s="1"/>
  <c r="Q617" i="7"/>
  <c r="P617" i="7"/>
  <c r="N617" i="7"/>
  <c r="O617" i="7" s="1"/>
  <c r="L617" i="7"/>
  <c r="M617" i="7" s="1"/>
  <c r="V616" i="7"/>
  <c r="W616" i="7" s="1"/>
  <c r="U616" i="7"/>
  <c r="T616" i="7"/>
  <c r="R616" i="7"/>
  <c r="S616" i="7" s="1"/>
  <c r="P616" i="7"/>
  <c r="Q616" i="7" s="1"/>
  <c r="N616" i="7"/>
  <c r="O616" i="7" s="1"/>
  <c r="M616" i="7"/>
  <c r="L616" i="7"/>
  <c r="V615" i="7"/>
  <c r="W615" i="7" s="1"/>
  <c r="T615" i="7"/>
  <c r="U615" i="7" s="1"/>
  <c r="R615" i="7"/>
  <c r="S615" i="7" s="1"/>
  <c r="Q615" i="7"/>
  <c r="P615" i="7"/>
  <c r="N615" i="7"/>
  <c r="O615" i="7" s="1"/>
  <c r="L615" i="7"/>
  <c r="M615" i="7" s="1"/>
  <c r="V614" i="7"/>
  <c r="W614" i="7" s="1"/>
  <c r="U614" i="7"/>
  <c r="T614" i="7"/>
  <c r="R614" i="7"/>
  <c r="S614" i="7" s="1"/>
  <c r="P614" i="7"/>
  <c r="Q614" i="7" s="1"/>
  <c r="N614" i="7"/>
  <c r="O614" i="7" s="1"/>
  <c r="M614" i="7"/>
  <c r="L614" i="7"/>
  <c r="V613" i="7"/>
  <c r="W613" i="7" s="1"/>
  <c r="T613" i="7"/>
  <c r="U613" i="7" s="1"/>
  <c r="R613" i="7"/>
  <c r="S613" i="7" s="1"/>
  <c r="Q613" i="7"/>
  <c r="P613" i="7"/>
  <c r="N613" i="7"/>
  <c r="O613" i="7" s="1"/>
  <c r="L613" i="7"/>
  <c r="M613" i="7" s="1"/>
  <c r="V612" i="7"/>
  <c r="W612" i="7" s="1"/>
  <c r="U612" i="7"/>
  <c r="T612" i="7"/>
  <c r="R612" i="7"/>
  <c r="S612" i="7" s="1"/>
  <c r="P612" i="7"/>
  <c r="Q612" i="7" s="1"/>
  <c r="N612" i="7"/>
  <c r="O612" i="7" s="1"/>
  <c r="M612" i="7"/>
  <c r="L612" i="7"/>
  <c r="V611" i="7"/>
  <c r="W611" i="7" s="1"/>
  <c r="T611" i="7"/>
  <c r="U611" i="7" s="1"/>
  <c r="R611" i="7"/>
  <c r="S611" i="7" s="1"/>
  <c r="Q611" i="7"/>
  <c r="P611" i="7"/>
  <c r="N611" i="7"/>
  <c r="O611" i="7" s="1"/>
  <c r="L611" i="7"/>
  <c r="M611" i="7" s="1"/>
  <c r="V610" i="7"/>
  <c r="W610" i="7" s="1"/>
  <c r="U610" i="7"/>
  <c r="T610" i="7"/>
  <c r="R610" i="7"/>
  <c r="S610" i="7" s="1"/>
  <c r="P610" i="7"/>
  <c r="Q610" i="7" s="1"/>
  <c r="N610" i="7"/>
  <c r="O610" i="7" s="1"/>
  <c r="M610" i="7"/>
  <c r="L610" i="7"/>
  <c r="V609" i="7"/>
  <c r="W609" i="7" s="1"/>
  <c r="T609" i="7"/>
  <c r="U609" i="7" s="1"/>
  <c r="R609" i="7"/>
  <c r="S609" i="7" s="1"/>
  <c r="Q609" i="7"/>
  <c r="P609" i="7"/>
  <c r="N609" i="7"/>
  <c r="O609" i="7" s="1"/>
  <c r="L609" i="7"/>
  <c r="M609" i="7" s="1"/>
  <c r="V608" i="7"/>
  <c r="W608" i="7" s="1"/>
  <c r="U608" i="7"/>
  <c r="T608" i="7"/>
  <c r="R608" i="7"/>
  <c r="S608" i="7" s="1"/>
  <c r="P608" i="7"/>
  <c r="Q608" i="7" s="1"/>
  <c r="N608" i="7"/>
  <c r="O608" i="7" s="1"/>
  <c r="M608" i="7"/>
  <c r="L608" i="7"/>
  <c r="V607" i="7"/>
  <c r="W607" i="7" s="1"/>
  <c r="T607" i="7"/>
  <c r="U607" i="7" s="1"/>
  <c r="R607" i="7"/>
  <c r="S607" i="7" s="1"/>
  <c r="Q607" i="7"/>
  <c r="P607" i="7"/>
  <c r="N607" i="7"/>
  <c r="O607" i="7" s="1"/>
  <c r="L607" i="7"/>
  <c r="M607" i="7" s="1"/>
  <c r="V606" i="7"/>
  <c r="W606" i="7" s="1"/>
  <c r="U606" i="7"/>
  <c r="T606" i="7"/>
  <c r="R606" i="7"/>
  <c r="S606" i="7" s="1"/>
  <c r="P606" i="7"/>
  <c r="Q606" i="7" s="1"/>
  <c r="N606" i="7"/>
  <c r="O606" i="7" s="1"/>
  <c r="M606" i="7"/>
  <c r="L606" i="7"/>
  <c r="V605" i="7"/>
  <c r="W605" i="7" s="1"/>
  <c r="T605" i="7"/>
  <c r="U605" i="7" s="1"/>
  <c r="R605" i="7"/>
  <c r="S605" i="7" s="1"/>
  <c r="Q605" i="7"/>
  <c r="P605" i="7"/>
  <c r="N605" i="7"/>
  <c r="O605" i="7" s="1"/>
  <c r="L605" i="7"/>
  <c r="M605" i="7" s="1"/>
  <c r="V604" i="7"/>
  <c r="W604" i="7" s="1"/>
  <c r="U604" i="7"/>
  <c r="T604" i="7"/>
  <c r="R604" i="7"/>
  <c r="S604" i="7" s="1"/>
  <c r="P604" i="7"/>
  <c r="Q604" i="7" s="1"/>
  <c r="N604" i="7"/>
  <c r="O604" i="7" s="1"/>
  <c r="M604" i="7"/>
  <c r="L604" i="7"/>
  <c r="V603" i="7"/>
  <c r="W603" i="7" s="1"/>
  <c r="T603" i="7"/>
  <c r="U603" i="7" s="1"/>
  <c r="R603" i="7"/>
  <c r="S603" i="7" s="1"/>
  <c r="Q603" i="7"/>
  <c r="P603" i="7"/>
  <c r="N603" i="7"/>
  <c r="O603" i="7" s="1"/>
  <c r="L603" i="7"/>
  <c r="M603" i="7" s="1"/>
  <c r="V602" i="7"/>
  <c r="W602" i="7" s="1"/>
  <c r="U602" i="7"/>
  <c r="T602" i="7"/>
  <c r="R602" i="7"/>
  <c r="S602" i="7" s="1"/>
  <c r="P602" i="7"/>
  <c r="Q602" i="7" s="1"/>
  <c r="N602" i="7"/>
  <c r="O602" i="7" s="1"/>
  <c r="M602" i="7"/>
  <c r="L602" i="7"/>
  <c r="V601" i="7"/>
  <c r="W601" i="7" s="1"/>
  <c r="T601" i="7"/>
  <c r="U601" i="7" s="1"/>
  <c r="R601" i="7"/>
  <c r="S601" i="7" s="1"/>
  <c r="Q601" i="7"/>
  <c r="P601" i="7"/>
  <c r="N601" i="7"/>
  <c r="O601" i="7" s="1"/>
  <c r="L601" i="7"/>
  <c r="M601" i="7" s="1"/>
  <c r="V600" i="7"/>
  <c r="W600" i="7" s="1"/>
  <c r="U600" i="7"/>
  <c r="T600" i="7"/>
  <c r="R600" i="7"/>
  <c r="S600" i="7" s="1"/>
  <c r="P600" i="7"/>
  <c r="Q600" i="7" s="1"/>
  <c r="N600" i="7"/>
  <c r="O600" i="7" s="1"/>
  <c r="M600" i="7"/>
  <c r="L600" i="7"/>
  <c r="V599" i="7"/>
  <c r="W599" i="7" s="1"/>
  <c r="T599" i="7"/>
  <c r="U599" i="7" s="1"/>
  <c r="R599" i="7"/>
  <c r="S599" i="7" s="1"/>
  <c r="Q599" i="7"/>
  <c r="P599" i="7"/>
  <c r="N599" i="7"/>
  <c r="O599" i="7" s="1"/>
  <c r="L599" i="7"/>
  <c r="M599" i="7" s="1"/>
  <c r="V598" i="7"/>
  <c r="W598" i="7" s="1"/>
  <c r="U598" i="7"/>
  <c r="T598" i="7"/>
  <c r="R598" i="7"/>
  <c r="S598" i="7" s="1"/>
  <c r="P598" i="7"/>
  <c r="Q598" i="7" s="1"/>
  <c r="N598" i="7"/>
  <c r="O598" i="7" s="1"/>
  <c r="M598" i="7"/>
  <c r="L598" i="7"/>
  <c r="V597" i="7"/>
  <c r="W597" i="7" s="1"/>
  <c r="T597" i="7"/>
  <c r="U597" i="7" s="1"/>
  <c r="R597" i="7"/>
  <c r="S597" i="7" s="1"/>
  <c r="Q597" i="7"/>
  <c r="P597" i="7"/>
  <c r="N597" i="7"/>
  <c r="O597" i="7" s="1"/>
  <c r="L597" i="7"/>
  <c r="M597" i="7" s="1"/>
  <c r="V596" i="7"/>
  <c r="W596" i="7" s="1"/>
  <c r="U596" i="7"/>
  <c r="T596" i="7"/>
  <c r="R596" i="7"/>
  <c r="S596" i="7" s="1"/>
  <c r="P596" i="7"/>
  <c r="Q596" i="7" s="1"/>
  <c r="N596" i="7"/>
  <c r="O596" i="7" s="1"/>
  <c r="M596" i="7"/>
  <c r="L596" i="7"/>
  <c r="V595" i="7"/>
  <c r="W595" i="7" s="1"/>
  <c r="T595" i="7"/>
  <c r="U595" i="7" s="1"/>
  <c r="R595" i="7"/>
  <c r="S595" i="7" s="1"/>
  <c r="Q595" i="7"/>
  <c r="P595" i="7"/>
  <c r="N595" i="7"/>
  <c r="O595" i="7" s="1"/>
  <c r="L595" i="7"/>
  <c r="M595" i="7" s="1"/>
  <c r="V594" i="7"/>
  <c r="W594" i="7" s="1"/>
  <c r="U594" i="7"/>
  <c r="T594" i="7"/>
  <c r="R594" i="7"/>
  <c r="S594" i="7" s="1"/>
  <c r="P594" i="7"/>
  <c r="Q594" i="7" s="1"/>
  <c r="N594" i="7"/>
  <c r="O594" i="7" s="1"/>
  <c r="M594" i="7"/>
  <c r="L594" i="7"/>
  <c r="V593" i="7"/>
  <c r="W593" i="7" s="1"/>
  <c r="T593" i="7"/>
  <c r="U593" i="7" s="1"/>
  <c r="R593" i="7"/>
  <c r="S593" i="7" s="1"/>
  <c r="Q593" i="7"/>
  <c r="P593" i="7"/>
  <c r="N593" i="7"/>
  <c r="O593" i="7" s="1"/>
  <c r="L593" i="7"/>
  <c r="M593" i="7" s="1"/>
  <c r="V592" i="7"/>
  <c r="W592" i="7" s="1"/>
  <c r="U592" i="7"/>
  <c r="T592" i="7"/>
  <c r="R592" i="7"/>
  <c r="S592" i="7" s="1"/>
  <c r="P592" i="7"/>
  <c r="Q592" i="7" s="1"/>
  <c r="N592" i="7"/>
  <c r="O592" i="7" s="1"/>
  <c r="M592" i="7"/>
  <c r="L592" i="7"/>
  <c r="V591" i="7"/>
  <c r="W591" i="7" s="1"/>
  <c r="T591" i="7"/>
  <c r="U591" i="7" s="1"/>
  <c r="R591" i="7"/>
  <c r="S591" i="7" s="1"/>
  <c r="Q591" i="7"/>
  <c r="P591" i="7"/>
  <c r="N591" i="7"/>
  <c r="O591" i="7" s="1"/>
  <c r="L591" i="7"/>
  <c r="M591" i="7" s="1"/>
  <c r="V590" i="7"/>
  <c r="W590" i="7" s="1"/>
  <c r="U590" i="7"/>
  <c r="T590" i="7"/>
  <c r="R590" i="7"/>
  <c r="S590" i="7" s="1"/>
  <c r="P590" i="7"/>
  <c r="Q590" i="7" s="1"/>
  <c r="N590" i="7"/>
  <c r="O590" i="7" s="1"/>
  <c r="M590" i="7"/>
  <c r="L590" i="7"/>
  <c r="V589" i="7"/>
  <c r="W589" i="7" s="1"/>
  <c r="T589" i="7"/>
  <c r="U589" i="7" s="1"/>
  <c r="R589" i="7"/>
  <c r="S589" i="7" s="1"/>
  <c r="Q589" i="7"/>
  <c r="P589" i="7"/>
  <c r="N589" i="7"/>
  <c r="O589" i="7" s="1"/>
  <c r="L589" i="7"/>
  <c r="M589" i="7" s="1"/>
  <c r="V588" i="7"/>
  <c r="W588" i="7" s="1"/>
  <c r="U588" i="7"/>
  <c r="T588" i="7"/>
  <c r="R588" i="7"/>
  <c r="S588" i="7" s="1"/>
  <c r="P588" i="7"/>
  <c r="Q588" i="7" s="1"/>
  <c r="N588" i="7"/>
  <c r="O588" i="7" s="1"/>
  <c r="M588" i="7"/>
  <c r="L588" i="7"/>
  <c r="V587" i="7"/>
  <c r="W587" i="7" s="1"/>
  <c r="T587" i="7"/>
  <c r="U587" i="7" s="1"/>
  <c r="R587" i="7"/>
  <c r="S587" i="7" s="1"/>
  <c r="P587" i="7"/>
  <c r="Q587" i="7" s="1"/>
  <c r="N587" i="7"/>
  <c r="O587" i="7" s="1"/>
  <c r="M587" i="7"/>
  <c r="L587" i="7"/>
  <c r="V586" i="7"/>
  <c r="W586" i="7" s="1"/>
  <c r="T586" i="7"/>
  <c r="U586" i="7" s="1"/>
  <c r="R586" i="7"/>
  <c r="S586" i="7" s="1"/>
  <c r="Q586" i="7"/>
  <c r="P586" i="7"/>
  <c r="N586" i="7"/>
  <c r="O586" i="7" s="1"/>
  <c r="L586" i="7"/>
  <c r="M586" i="7" s="1"/>
  <c r="V585" i="7"/>
  <c r="W585" i="7" s="1"/>
  <c r="U585" i="7"/>
  <c r="T585" i="7"/>
  <c r="R585" i="7"/>
  <c r="S585" i="7" s="1"/>
  <c r="P585" i="7"/>
  <c r="Q585" i="7" s="1"/>
  <c r="N585" i="7"/>
  <c r="O585" i="7" s="1"/>
  <c r="M585" i="7"/>
  <c r="L585" i="7"/>
  <c r="V584" i="7"/>
  <c r="W584" i="7" s="1"/>
  <c r="T584" i="7"/>
  <c r="U584" i="7" s="1"/>
  <c r="R584" i="7"/>
  <c r="S584" i="7" s="1"/>
  <c r="Q584" i="7"/>
  <c r="P584" i="7"/>
  <c r="N584" i="7"/>
  <c r="O584" i="7" s="1"/>
  <c r="L584" i="7"/>
  <c r="M584" i="7" s="1"/>
  <c r="V583" i="7"/>
  <c r="W583" i="7" s="1"/>
  <c r="U583" i="7"/>
  <c r="T583" i="7"/>
  <c r="R583" i="7"/>
  <c r="S583" i="7" s="1"/>
  <c r="P583" i="7"/>
  <c r="Q583" i="7" s="1"/>
  <c r="N583" i="7"/>
  <c r="O583" i="7" s="1"/>
  <c r="M583" i="7"/>
  <c r="L583" i="7"/>
  <c r="V582" i="7"/>
  <c r="W582" i="7" s="1"/>
  <c r="T582" i="7"/>
  <c r="U582" i="7" s="1"/>
  <c r="R582" i="7"/>
  <c r="S582" i="7" s="1"/>
  <c r="Q582" i="7"/>
  <c r="P582" i="7"/>
  <c r="N582" i="7"/>
  <c r="O582" i="7" s="1"/>
  <c r="L582" i="7"/>
  <c r="M582" i="7" s="1"/>
  <c r="V581" i="7"/>
  <c r="W581" i="7" s="1"/>
  <c r="U581" i="7"/>
  <c r="T581" i="7"/>
  <c r="R581" i="7"/>
  <c r="S581" i="7" s="1"/>
  <c r="P581" i="7"/>
  <c r="Q581" i="7" s="1"/>
  <c r="N581" i="7"/>
  <c r="O581" i="7" s="1"/>
  <c r="M581" i="7"/>
  <c r="L581" i="7"/>
  <c r="V580" i="7"/>
  <c r="W580" i="7" s="1"/>
  <c r="T580" i="7"/>
  <c r="U580" i="7" s="1"/>
  <c r="R580" i="7"/>
  <c r="S580" i="7" s="1"/>
  <c r="Q580" i="7"/>
  <c r="P580" i="7"/>
  <c r="N580" i="7"/>
  <c r="O580" i="7" s="1"/>
  <c r="L580" i="7"/>
  <c r="M580" i="7" s="1"/>
  <c r="V579" i="7"/>
  <c r="W579" i="7" s="1"/>
  <c r="U579" i="7"/>
  <c r="T579" i="7"/>
  <c r="R579" i="7"/>
  <c r="S579" i="7" s="1"/>
  <c r="P579" i="7"/>
  <c r="Q579" i="7" s="1"/>
  <c r="N579" i="7"/>
  <c r="O579" i="7" s="1"/>
  <c r="M579" i="7"/>
  <c r="L579" i="7"/>
  <c r="V578" i="7"/>
  <c r="W578" i="7" s="1"/>
  <c r="T578" i="7"/>
  <c r="U578" i="7" s="1"/>
  <c r="R578" i="7"/>
  <c r="S578" i="7" s="1"/>
  <c r="Q578" i="7"/>
  <c r="P578" i="7"/>
  <c r="N578" i="7"/>
  <c r="O578" i="7" s="1"/>
  <c r="L578" i="7"/>
  <c r="M578" i="7" s="1"/>
  <c r="V577" i="7"/>
  <c r="W577" i="7" s="1"/>
  <c r="U577" i="7"/>
  <c r="T577" i="7"/>
  <c r="R577" i="7"/>
  <c r="S577" i="7" s="1"/>
  <c r="P577" i="7"/>
  <c r="Q577" i="7" s="1"/>
  <c r="N577" i="7"/>
  <c r="O577" i="7" s="1"/>
  <c r="M577" i="7"/>
  <c r="L577" i="7"/>
  <c r="V576" i="7"/>
  <c r="W576" i="7" s="1"/>
  <c r="T576" i="7"/>
  <c r="U576" i="7" s="1"/>
  <c r="R576" i="7"/>
  <c r="S576" i="7" s="1"/>
  <c r="Q576" i="7"/>
  <c r="P576" i="7"/>
  <c r="N576" i="7"/>
  <c r="O576" i="7" s="1"/>
  <c r="L576" i="7"/>
  <c r="M576" i="7" s="1"/>
  <c r="V575" i="7"/>
  <c r="W575" i="7" s="1"/>
  <c r="T575" i="7"/>
  <c r="U575" i="7" s="1"/>
  <c r="R575" i="7"/>
  <c r="S575" i="7" s="1"/>
  <c r="P575" i="7"/>
  <c r="Q575" i="7" s="1"/>
  <c r="O575" i="7"/>
  <c r="N575" i="7"/>
  <c r="L575" i="7"/>
  <c r="M575" i="7" s="1"/>
  <c r="V574" i="7"/>
  <c r="W574" i="7" s="1"/>
  <c r="T574" i="7"/>
  <c r="U574" i="7" s="1"/>
  <c r="S574" i="7"/>
  <c r="R574" i="7"/>
  <c r="P574" i="7"/>
  <c r="Q574" i="7" s="1"/>
  <c r="N574" i="7"/>
  <c r="O574" i="7" s="1"/>
  <c r="L574" i="7"/>
  <c r="M574" i="7" s="1"/>
  <c r="W573" i="7"/>
  <c r="V573" i="7"/>
  <c r="T573" i="7"/>
  <c r="U573" i="7" s="1"/>
  <c r="R573" i="7"/>
  <c r="S573" i="7" s="1"/>
  <c r="P573" i="7"/>
  <c r="Q573" i="7" s="1"/>
  <c r="O573" i="7"/>
  <c r="N573" i="7"/>
  <c r="L573" i="7"/>
  <c r="M573" i="7" s="1"/>
  <c r="V572" i="7"/>
  <c r="W572" i="7" s="1"/>
  <c r="T572" i="7"/>
  <c r="U572" i="7" s="1"/>
  <c r="S572" i="7"/>
  <c r="R572" i="7"/>
  <c r="P572" i="7"/>
  <c r="Q572" i="7" s="1"/>
  <c r="N572" i="7"/>
  <c r="O572" i="7" s="1"/>
  <c r="L572" i="7"/>
  <c r="M572" i="7" s="1"/>
  <c r="W571" i="7"/>
  <c r="V571" i="7"/>
  <c r="T571" i="7"/>
  <c r="U571" i="7" s="1"/>
  <c r="R571" i="7"/>
  <c r="S571" i="7" s="1"/>
  <c r="P571" i="7"/>
  <c r="Q571" i="7" s="1"/>
  <c r="O571" i="7"/>
  <c r="N571" i="7"/>
  <c r="L571" i="7"/>
  <c r="M571" i="7" s="1"/>
  <c r="V570" i="7"/>
  <c r="W570" i="7" s="1"/>
  <c r="T570" i="7"/>
  <c r="U570" i="7" s="1"/>
  <c r="S570" i="7"/>
  <c r="R570" i="7"/>
  <c r="P570" i="7"/>
  <c r="Q570" i="7" s="1"/>
  <c r="N570" i="7"/>
  <c r="O570" i="7" s="1"/>
  <c r="L570" i="7"/>
  <c r="M570" i="7" s="1"/>
  <c r="W569" i="7"/>
  <c r="V569" i="7"/>
  <c r="T569" i="7"/>
  <c r="U569" i="7" s="1"/>
  <c r="R569" i="7"/>
  <c r="S569" i="7" s="1"/>
  <c r="P569" i="7"/>
  <c r="Q569" i="7" s="1"/>
  <c r="O569" i="7"/>
  <c r="N569" i="7"/>
  <c r="L569" i="7"/>
  <c r="M569" i="7" s="1"/>
  <c r="V568" i="7"/>
  <c r="W568" i="7" s="1"/>
  <c r="T568" i="7"/>
  <c r="U568" i="7" s="1"/>
  <c r="S568" i="7"/>
  <c r="R568" i="7"/>
  <c r="P568" i="7"/>
  <c r="Q568" i="7" s="1"/>
  <c r="N568" i="7"/>
  <c r="O568" i="7" s="1"/>
  <c r="L568" i="7"/>
  <c r="M568" i="7" s="1"/>
  <c r="W567" i="7"/>
  <c r="V567" i="7"/>
  <c r="T567" i="7"/>
  <c r="U567" i="7" s="1"/>
  <c r="R567" i="7"/>
  <c r="S567" i="7" s="1"/>
  <c r="P567" i="7"/>
  <c r="Q567" i="7" s="1"/>
  <c r="O567" i="7"/>
  <c r="N567" i="7"/>
  <c r="L567" i="7"/>
  <c r="M567" i="7" s="1"/>
  <c r="V566" i="7"/>
  <c r="W566" i="7" s="1"/>
  <c r="T566" i="7"/>
  <c r="U566" i="7" s="1"/>
  <c r="S566" i="7"/>
  <c r="R566" i="7"/>
  <c r="P566" i="7"/>
  <c r="Q566" i="7" s="1"/>
  <c r="N566" i="7"/>
  <c r="O566" i="7" s="1"/>
  <c r="L566" i="7"/>
  <c r="M566" i="7" s="1"/>
  <c r="W565" i="7"/>
  <c r="V565" i="7"/>
  <c r="T565" i="7"/>
  <c r="U565" i="7" s="1"/>
  <c r="R565" i="7"/>
  <c r="S565" i="7" s="1"/>
  <c r="P565" i="7"/>
  <c r="Q565" i="7" s="1"/>
  <c r="O565" i="7"/>
  <c r="N565" i="7"/>
  <c r="L565" i="7"/>
  <c r="M565" i="7" s="1"/>
  <c r="V564" i="7"/>
  <c r="W564" i="7" s="1"/>
  <c r="T564" i="7"/>
  <c r="U564" i="7" s="1"/>
  <c r="S564" i="7"/>
  <c r="R564" i="7"/>
  <c r="P564" i="7"/>
  <c r="Q564" i="7" s="1"/>
  <c r="N564" i="7"/>
  <c r="O564" i="7" s="1"/>
  <c r="L564" i="7"/>
  <c r="M564" i="7" s="1"/>
  <c r="W563" i="7"/>
  <c r="V563" i="7"/>
  <c r="T563" i="7"/>
  <c r="U563" i="7" s="1"/>
  <c r="R563" i="7"/>
  <c r="S563" i="7" s="1"/>
  <c r="P563" i="7"/>
  <c r="Q563" i="7" s="1"/>
  <c r="O563" i="7"/>
  <c r="N563" i="7"/>
  <c r="L563" i="7"/>
  <c r="M563" i="7" s="1"/>
  <c r="V562" i="7"/>
  <c r="W562" i="7" s="1"/>
  <c r="T562" i="7"/>
  <c r="U562" i="7" s="1"/>
  <c r="S562" i="7"/>
  <c r="R562" i="7"/>
  <c r="P562" i="7"/>
  <c r="Q562" i="7" s="1"/>
  <c r="N562" i="7"/>
  <c r="O562" i="7" s="1"/>
  <c r="L562" i="7"/>
  <c r="M562" i="7" s="1"/>
  <c r="W561" i="7"/>
  <c r="V561" i="7"/>
  <c r="T561" i="7"/>
  <c r="U561" i="7" s="1"/>
  <c r="R561" i="7"/>
  <c r="S561" i="7" s="1"/>
  <c r="P561" i="7"/>
  <c r="Q561" i="7" s="1"/>
  <c r="O561" i="7"/>
  <c r="N561" i="7"/>
  <c r="L561" i="7"/>
  <c r="M561" i="7" s="1"/>
  <c r="V560" i="7"/>
  <c r="W560" i="7" s="1"/>
  <c r="T560" i="7"/>
  <c r="U560" i="7" s="1"/>
  <c r="S560" i="7"/>
  <c r="R560" i="7"/>
  <c r="P560" i="7"/>
  <c r="Q560" i="7" s="1"/>
  <c r="N560" i="7"/>
  <c r="O560" i="7" s="1"/>
  <c r="L560" i="7"/>
  <c r="M560" i="7" s="1"/>
  <c r="W559" i="7"/>
  <c r="V559" i="7"/>
  <c r="T559" i="7"/>
  <c r="U559" i="7" s="1"/>
  <c r="R559" i="7"/>
  <c r="S559" i="7" s="1"/>
  <c r="P559" i="7"/>
  <c r="Q559" i="7" s="1"/>
  <c r="O559" i="7"/>
  <c r="N559" i="7"/>
  <c r="L559" i="7"/>
  <c r="M559" i="7" s="1"/>
  <c r="V558" i="7"/>
  <c r="W558" i="7" s="1"/>
  <c r="T558" i="7"/>
  <c r="U558" i="7" s="1"/>
  <c r="S558" i="7"/>
  <c r="R558" i="7"/>
  <c r="P558" i="7"/>
  <c r="Q558" i="7" s="1"/>
  <c r="N558" i="7"/>
  <c r="O558" i="7" s="1"/>
  <c r="L558" i="7"/>
  <c r="M558" i="7" s="1"/>
  <c r="W557" i="7"/>
  <c r="V557" i="7"/>
  <c r="T557" i="7"/>
  <c r="U557" i="7" s="1"/>
  <c r="R557" i="7"/>
  <c r="S557" i="7" s="1"/>
  <c r="P557" i="7"/>
  <c r="Q557" i="7" s="1"/>
  <c r="O557" i="7"/>
  <c r="N557" i="7"/>
  <c r="L557" i="7"/>
  <c r="M557" i="7" s="1"/>
  <c r="V556" i="7"/>
  <c r="W556" i="7" s="1"/>
  <c r="T556" i="7"/>
  <c r="U556" i="7" s="1"/>
  <c r="S556" i="7"/>
  <c r="R556" i="7"/>
  <c r="P556" i="7"/>
  <c r="Q556" i="7" s="1"/>
  <c r="N556" i="7"/>
  <c r="O556" i="7" s="1"/>
  <c r="L556" i="7"/>
  <c r="M556" i="7" s="1"/>
  <c r="W555" i="7"/>
  <c r="V555" i="7"/>
  <c r="T555" i="7"/>
  <c r="U555" i="7" s="1"/>
  <c r="R555" i="7"/>
  <c r="S555" i="7" s="1"/>
  <c r="P555" i="7"/>
  <c r="Q555" i="7" s="1"/>
  <c r="O555" i="7"/>
  <c r="N555" i="7"/>
  <c r="L555" i="7"/>
  <c r="M555" i="7" s="1"/>
  <c r="V554" i="7"/>
  <c r="W554" i="7" s="1"/>
  <c r="T554" i="7"/>
  <c r="U554" i="7" s="1"/>
  <c r="S554" i="7"/>
  <c r="R554" i="7"/>
  <c r="P554" i="7"/>
  <c r="Q554" i="7" s="1"/>
  <c r="N554" i="7"/>
  <c r="O554" i="7" s="1"/>
  <c r="L554" i="7"/>
  <c r="M554" i="7" s="1"/>
  <c r="W553" i="7"/>
  <c r="V553" i="7"/>
  <c r="T553" i="7"/>
  <c r="U553" i="7" s="1"/>
  <c r="R553" i="7"/>
  <c r="S553" i="7" s="1"/>
  <c r="P553" i="7"/>
  <c r="Q553" i="7" s="1"/>
  <c r="O553" i="7"/>
  <c r="N553" i="7"/>
  <c r="L553" i="7"/>
  <c r="M553" i="7" s="1"/>
  <c r="V552" i="7"/>
  <c r="W552" i="7" s="1"/>
  <c r="T552" i="7"/>
  <c r="U552" i="7" s="1"/>
  <c r="S552" i="7"/>
  <c r="R552" i="7"/>
  <c r="P552" i="7"/>
  <c r="Q552" i="7" s="1"/>
  <c r="N552" i="7"/>
  <c r="O552" i="7" s="1"/>
  <c r="L552" i="7"/>
  <c r="M552" i="7" s="1"/>
  <c r="W551" i="7"/>
  <c r="V551" i="7"/>
  <c r="T551" i="7"/>
  <c r="U551" i="7" s="1"/>
  <c r="R551" i="7"/>
  <c r="S551" i="7" s="1"/>
  <c r="P551" i="7"/>
  <c r="Q551" i="7" s="1"/>
  <c r="O551" i="7"/>
  <c r="N551" i="7"/>
  <c r="L551" i="7"/>
  <c r="M551" i="7" s="1"/>
  <c r="V550" i="7"/>
  <c r="W550" i="7" s="1"/>
  <c r="T550" i="7"/>
  <c r="U550" i="7" s="1"/>
  <c r="S550" i="7"/>
  <c r="R550" i="7"/>
  <c r="P550" i="7"/>
  <c r="Q550" i="7" s="1"/>
  <c r="N550" i="7"/>
  <c r="O550" i="7" s="1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R547" i="7"/>
  <c r="S547" i="7" s="1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V544" i="7"/>
  <c r="W544" i="7" s="1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N542" i="7"/>
  <c r="O542" i="7" s="1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R539" i="7"/>
  <c r="S539" i="7" s="1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V536" i="7"/>
  <c r="W536" i="7" s="1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N534" i="7"/>
  <c r="O534" i="7" s="1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R531" i="7"/>
  <c r="S531" i="7" s="1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V528" i="7"/>
  <c r="W528" i="7" s="1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N526" i="7"/>
  <c r="O526" i="7" s="1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R523" i="7"/>
  <c r="S523" i="7" s="1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N522" i="7"/>
  <c r="O522" i="7" s="1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V520" i="7"/>
  <c r="W520" i="7" s="1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R519" i="7"/>
  <c r="S519" i="7" s="1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N518" i="7"/>
  <c r="O518" i="7" s="1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R515" i="7"/>
  <c r="S515" i="7" s="1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N514" i="7"/>
  <c r="O514" i="7" s="1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V512" i="7"/>
  <c r="W512" i="7" s="1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R511" i="7"/>
  <c r="S511" i="7" s="1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N510" i="7"/>
  <c r="O510" i="7" s="1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V508" i="7"/>
  <c r="W508" i="7" s="1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R507" i="7"/>
  <c r="S507" i="7" s="1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V504" i="7"/>
  <c r="W504" i="7" s="1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R503" i="7"/>
  <c r="S503" i="7" s="1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N502" i="7"/>
  <c r="O502" i="7" s="1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V500" i="7"/>
  <c r="W500" i="7" s="1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R499" i="7"/>
  <c r="S499" i="7" s="1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N498" i="7"/>
  <c r="O498" i="7" s="1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V496" i="7"/>
  <c r="W496" i="7" s="1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R495" i="7"/>
  <c r="S495" i="7" s="1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N494" i="7"/>
  <c r="O494" i="7" s="1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V492" i="7"/>
  <c r="W492" i="7" s="1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R491" i="7"/>
  <c r="S491" i="7" s="1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N490" i="7"/>
  <c r="O490" i="7" s="1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V488" i="7"/>
  <c r="W488" i="7" s="1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R487" i="7"/>
  <c r="S487" i="7" s="1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N486" i="7"/>
  <c r="O486" i="7" s="1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V484" i="7"/>
  <c r="W484" i="7" s="1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R483" i="7"/>
  <c r="S483" i="7" s="1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N482" i="7"/>
  <c r="O482" i="7" s="1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V480" i="7"/>
  <c r="W480" i="7" s="1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R479" i="7"/>
  <c r="S479" i="7" s="1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V476" i="7"/>
  <c r="W476" i="7" s="1"/>
  <c r="T476" i="7"/>
  <c r="U476" i="7" s="1"/>
  <c r="S476" i="7"/>
  <c r="R476" i="7"/>
  <c r="P476" i="7"/>
  <c r="Q476" i="7" s="1"/>
  <c r="N476" i="7"/>
  <c r="O476" i="7" s="1"/>
  <c r="L476" i="7"/>
  <c r="M476" i="7" s="1"/>
  <c r="W475" i="7"/>
  <c r="V475" i="7"/>
  <c r="T475" i="7"/>
  <c r="U475" i="7" s="1"/>
  <c r="R475" i="7"/>
  <c r="S475" i="7" s="1"/>
  <c r="P475" i="7"/>
  <c r="Q475" i="7" s="1"/>
  <c r="O475" i="7"/>
  <c r="N475" i="7"/>
  <c r="L475" i="7"/>
  <c r="M475" i="7" s="1"/>
  <c r="V474" i="7"/>
  <c r="W474" i="7" s="1"/>
  <c r="T474" i="7"/>
  <c r="U474" i="7" s="1"/>
  <c r="S474" i="7"/>
  <c r="R474" i="7"/>
  <c r="P474" i="7"/>
  <c r="Q474" i="7" s="1"/>
  <c r="N474" i="7"/>
  <c r="O474" i="7" s="1"/>
  <c r="L474" i="7"/>
  <c r="M474" i="7" s="1"/>
  <c r="W473" i="7"/>
  <c r="V473" i="7"/>
  <c r="T473" i="7"/>
  <c r="U473" i="7" s="1"/>
  <c r="S473" i="7"/>
  <c r="R473" i="7"/>
  <c r="P473" i="7"/>
  <c r="Q473" i="7" s="1"/>
  <c r="N473" i="7"/>
  <c r="O473" i="7" s="1"/>
  <c r="L473" i="7"/>
  <c r="M473" i="7" s="1"/>
  <c r="V472" i="7"/>
  <c r="W472" i="7" s="1"/>
  <c r="T472" i="7"/>
  <c r="U472" i="7" s="1"/>
  <c r="S472" i="7"/>
  <c r="R472" i="7"/>
  <c r="P472" i="7"/>
  <c r="Q472" i="7" s="1"/>
  <c r="N472" i="7"/>
  <c r="O472" i="7" s="1"/>
  <c r="L472" i="7"/>
  <c r="M472" i="7" s="1"/>
  <c r="W471" i="7"/>
  <c r="V471" i="7"/>
  <c r="T471" i="7"/>
  <c r="U471" i="7" s="1"/>
  <c r="R471" i="7"/>
  <c r="S471" i="7" s="1"/>
  <c r="P471" i="7"/>
  <c r="Q471" i="7" s="1"/>
  <c r="O471" i="7"/>
  <c r="N471" i="7"/>
  <c r="L471" i="7"/>
  <c r="M471" i="7" s="1"/>
  <c r="W470" i="7"/>
  <c r="V470" i="7"/>
  <c r="T470" i="7"/>
  <c r="U470" i="7" s="1"/>
  <c r="R470" i="7"/>
  <c r="S470" i="7" s="1"/>
  <c r="P470" i="7"/>
  <c r="Q470" i="7" s="1"/>
  <c r="N470" i="7"/>
  <c r="O470" i="7" s="1"/>
  <c r="L470" i="7"/>
  <c r="M470" i="7" s="1"/>
  <c r="W469" i="7"/>
  <c r="V469" i="7"/>
  <c r="T469" i="7"/>
  <c r="U469" i="7" s="1"/>
  <c r="R469" i="7"/>
  <c r="S469" i="7" s="1"/>
  <c r="P469" i="7"/>
  <c r="Q469" i="7" s="1"/>
  <c r="O469" i="7"/>
  <c r="N469" i="7"/>
  <c r="L469" i="7"/>
  <c r="M469" i="7" s="1"/>
  <c r="V468" i="7"/>
  <c r="W468" i="7" s="1"/>
  <c r="T468" i="7"/>
  <c r="U468" i="7" s="1"/>
  <c r="S468" i="7"/>
  <c r="R468" i="7"/>
  <c r="P468" i="7"/>
  <c r="Q468" i="7" s="1"/>
  <c r="O468" i="7"/>
  <c r="N468" i="7"/>
  <c r="L468" i="7"/>
  <c r="M468" i="7" s="1"/>
  <c r="V467" i="7"/>
  <c r="W467" i="7" s="1"/>
  <c r="T467" i="7"/>
  <c r="U467" i="7" s="1"/>
  <c r="R467" i="7"/>
  <c r="S467" i="7" s="1"/>
  <c r="P467" i="7"/>
  <c r="Q467" i="7" s="1"/>
  <c r="O467" i="7"/>
  <c r="N467" i="7"/>
  <c r="L467" i="7"/>
  <c r="M467" i="7" s="1"/>
  <c r="V466" i="7"/>
  <c r="W466" i="7" s="1"/>
  <c r="T466" i="7"/>
  <c r="U466" i="7" s="1"/>
  <c r="S466" i="7"/>
  <c r="R466" i="7"/>
  <c r="P466" i="7"/>
  <c r="Q466" i="7" s="1"/>
  <c r="N466" i="7"/>
  <c r="O466" i="7" s="1"/>
  <c r="L466" i="7"/>
  <c r="M466" i="7" s="1"/>
  <c r="W465" i="7"/>
  <c r="V465" i="7"/>
  <c r="T465" i="7"/>
  <c r="U465" i="7" s="1"/>
  <c r="S465" i="7"/>
  <c r="R465" i="7"/>
  <c r="P465" i="7"/>
  <c r="Q465" i="7" s="1"/>
  <c r="N465" i="7"/>
  <c r="O465" i="7" s="1"/>
  <c r="L465" i="7"/>
  <c r="M465" i="7" s="1"/>
  <c r="V464" i="7"/>
  <c r="W464" i="7" s="1"/>
  <c r="T464" i="7"/>
  <c r="U464" i="7" s="1"/>
  <c r="S464" i="7"/>
  <c r="R464" i="7"/>
  <c r="P464" i="7"/>
  <c r="Q464" i="7" s="1"/>
  <c r="N464" i="7"/>
  <c r="O464" i="7" s="1"/>
  <c r="L464" i="7"/>
  <c r="M464" i="7" s="1"/>
  <c r="W463" i="7"/>
  <c r="V463" i="7"/>
  <c r="T463" i="7"/>
  <c r="U463" i="7" s="1"/>
  <c r="R463" i="7"/>
  <c r="S463" i="7" s="1"/>
  <c r="P463" i="7"/>
  <c r="Q463" i="7" s="1"/>
  <c r="O463" i="7"/>
  <c r="N463" i="7"/>
  <c r="L463" i="7"/>
  <c r="M463" i="7" s="1"/>
  <c r="W462" i="7"/>
  <c r="V462" i="7"/>
  <c r="T462" i="7"/>
  <c r="U462" i="7" s="1"/>
  <c r="R462" i="7"/>
  <c r="S462" i="7" s="1"/>
  <c r="P462" i="7"/>
  <c r="Q462" i="7" s="1"/>
  <c r="N462" i="7"/>
  <c r="O462" i="7" s="1"/>
  <c r="L462" i="7"/>
  <c r="M462" i="7" s="1"/>
  <c r="W461" i="7"/>
  <c r="V461" i="7"/>
  <c r="T461" i="7"/>
  <c r="U461" i="7" s="1"/>
  <c r="R461" i="7"/>
  <c r="S461" i="7" s="1"/>
  <c r="P461" i="7"/>
  <c r="Q461" i="7" s="1"/>
  <c r="O461" i="7"/>
  <c r="N461" i="7"/>
  <c r="L461" i="7"/>
  <c r="M461" i="7" s="1"/>
  <c r="V460" i="7"/>
  <c r="W460" i="7" s="1"/>
  <c r="T460" i="7"/>
  <c r="U460" i="7" s="1"/>
  <c r="S460" i="7"/>
  <c r="R460" i="7"/>
  <c r="P460" i="7"/>
  <c r="Q460" i="7" s="1"/>
  <c r="O460" i="7"/>
  <c r="N460" i="7"/>
  <c r="L460" i="7"/>
  <c r="M460" i="7" s="1"/>
  <c r="V459" i="7"/>
  <c r="W459" i="7" s="1"/>
  <c r="T459" i="7"/>
  <c r="U459" i="7" s="1"/>
  <c r="R459" i="7"/>
  <c r="S459" i="7" s="1"/>
  <c r="P459" i="7"/>
  <c r="Q459" i="7" s="1"/>
  <c r="O459" i="7"/>
  <c r="N459" i="7"/>
  <c r="L459" i="7"/>
  <c r="M459" i="7" s="1"/>
  <c r="V458" i="7"/>
  <c r="W458" i="7" s="1"/>
  <c r="T458" i="7"/>
  <c r="U458" i="7" s="1"/>
  <c r="S458" i="7"/>
  <c r="R458" i="7"/>
  <c r="P458" i="7"/>
  <c r="Q458" i="7" s="1"/>
  <c r="N458" i="7"/>
  <c r="O458" i="7" s="1"/>
  <c r="L458" i="7"/>
  <c r="M458" i="7" s="1"/>
  <c r="W457" i="7"/>
  <c r="V457" i="7"/>
  <c r="T457" i="7"/>
  <c r="U457" i="7" s="1"/>
  <c r="S457" i="7"/>
  <c r="R457" i="7"/>
  <c r="P457" i="7"/>
  <c r="Q457" i="7" s="1"/>
  <c r="N457" i="7"/>
  <c r="O457" i="7" s="1"/>
  <c r="L457" i="7"/>
  <c r="M457" i="7" s="1"/>
  <c r="V456" i="7"/>
  <c r="W456" i="7" s="1"/>
  <c r="T456" i="7"/>
  <c r="U456" i="7" s="1"/>
  <c r="S456" i="7"/>
  <c r="R456" i="7"/>
  <c r="P456" i="7"/>
  <c r="Q456" i="7" s="1"/>
  <c r="N456" i="7"/>
  <c r="O456" i="7" s="1"/>
  <c r="L456" i="7"/>
  <c r="M456" i="7" s="1"/>
  <c r="W455" i="7"/>
  <c r="V455" i="7"/>
  <c r="T455" i="7"/>
  <c r="U455" i="7" s="1"/>
  <c r="R455" i="7"/>
  <c r="S455" i="7" s="1"/>
  <c r="P455" i="7"/>
  <c r="Q455" i="7" s="1"/>
  <c r="O455" i="7"/>
  <c r="N455" i="7"/>
  <c r="L455" i="7"/>
  <c r="M455" i="7" s="1"/>
  <c r="W454" i="7"/>
  <c r="V454" i="7"/>
  <c r="T454" i="7"/>
  <c r="U454" i="7" s="1"/>
  <c r="R454" i="7"/>
  <c r="S454" i="7" s="1"/>
  <c r="P454" i="7"/>
  <c r="Q454" i="7" s="1"/>
  <c r="N454" i="7"/>
  <c r="O454" i="7" s="1"/>
  <c r="L454" i="7"/>
  <c r="M454" i="7" s="1"/>
  <c r="W453" i="7"/>
  <c r="V453" i="7"/>
  <c r="T453" i="7"/>
  <c r="U453" i="7" s="1"/>
  <c r="R453" i="7"/>
  <c r="S453" i="7" s="1"/>
  <c r="P453" i="7"/>
  <c r="Q453" i="7" s="1"/>
  <c r="O453" i="7"/>
  <c r="N453" i="7"/>
  <c r="L453" i="7"/>
  <c r="M453" i="7" s="1"/>
  <c r="V452" i="7"/>
  <c r="W452" i="7" s="1"/>
  <c r="T452" i="7"/>
  <c r="U452" i="7" s="1"/>
  <c r="S452" i="7"/>
  <c r="R452" i="7"/>
  <c r="P452" i="7"/>
  <c r="Q452" i="7" s="1"/>
  <c r="O452" i="7"/>
  <c r="N452" i="7"/>
  <c r="L452" i="7"/>
  <c r="M452" i="7" s="1"/>
  <c r="V451" i="7"/>
  <c r="W451" i="7" s="1"/>
  <c r="T451" i="7"/>
  <c r="U451" i="7" s="1"/>
  <c r="R451" i="7"/>
  <c r="S451" i="7" s="1"/>
  <c r="P451" i="7"/>
  <c r="Q451" i="7" s="1"/>
  <c r="O451" i="7"/>
  <c r="N451" i="7"/>
  <c r="L451" i="7"/>
  <c r="M451" i="7" s="1"/>
  <c r="V450" i="7"/>
  <c r="W450" i="7" s="1"/>
  <c r="T450" i="7"/>
  <c r="U450" i="7" s="1"/>
  <c r="S450" i="7"/>
  <c r="R450" i="7"/>
  <c r="P450" i="7"/>
  <c r="Q450" i="7" s="1"/>
  <c r="N450" i="7"/>
  <c r="O450" i="7" s="1"/>
  <c r="L450" i="7"/>
  <c r="M450" i="7" s="1"/>
  <c r="W449" i="7"/>
  <c r="V449" i="7"/>
  <c r="T449" i="7"/>
  <c r="U449" i="7" s="1"/>
  <c r="S449" i="7"/>
  <c r="R449" i="7"/>
  <c r="P449" i="7"/>
  <c r="Q449" i="7" s="1"/>
  <c r="N449" i="7"/>
  <c r="O449" i="7" s="1"/>
  <c r="L449" i="7"/>
  <c r="M449" i="7" s="1"/>
  <c r="V448" i="7"/>
  <c r="W448" i="7" s="1"/>
  <c r="T448" i="7"/>
  <c r="U448" i="7" s="1"/>
  <c r="S448" i="7"/>
  <c r="R448" i="7"/>
  <c r="P448" i="7"/>
  <c r="Q448" i="7" s="1"/>
  <c r="N448" i="7"/>
  <c r="O448" i="7" s="1"/>
  <c r="L448" i="7"/>
  <c r="M448" i="7" s="1"/>
  <c r="W447" i="7"/>
  <c r="V447" i="7"/>
  <c r="T447" i="7"/>
  <c r="U447" i="7" s="1"/>
  <c r="R447" i="7"/>
  <c r="S447" i="7" s="1"/>
  <c r="P447" i="7"/>
  <c r="Q447" i="7" s="1"/>
  <c r="O447" i="7"/>
  <c r="N447" i="7"/>
  <c r="L447" i="7"/>
  <c r="M447" i="7" s="1"/>
  <c r="W446" i="7"/>
  <c r="V446" i="7"/>
  <c r="T446" i="7"/>
  <c r="U446" i="7" s="1"/>
  <c r="R446" i="7"/>
  <c r="S446" i="7" s="1"/>
  <c r="P446" i="7"/>
  <c r="Q446" i="7" s="1"/>
  <c r="N446" i="7"/>
  <c r="O446" i="7" s="1"/>
  <c r="L446" i="7"/>
  <c r="M446" i="7" s="1"/>
  <c r="W445" i="7"/>
  <c r="V445" i="7"/>
  <c r="T445" i="7"/>
  <c r="U445" i="7" s="1"/>
  <c r="R445" i="7"/>
  <c r="S445" i="7" s="1"/>
  <c r="P445" i="7"/>
  <c r="Q445" i="7" s="1"/>
  <c r="O445" i="7"/>
  <c r="N445" i="7"/>
  <c r="L445" i="7"/>
  <c r="M445" i="7" s="1"/>
  <c r="V444" i="7"/>
  <c r="W444" i="7" s="1"/>
  <c r="T444" i="7"/>
  <c r="U444" i="7" s="1"/>
  <c r="S444" i="7"/>
  <c r="R444" i="7"/>
  <c r="P444" i="7"/>
  <c r="Q444" i="7" s="1"/>
  <c r="O444" i="7"/>
  <c r="N444" i="7"/>
  <c r="L444" i="7"/>
  <c r="M444" i="7" s="1"/>
  <c r="V443" i="7"/>
  <c r="W443" i="7" s="1"/>
  <c r="T443" i="7"/>
  <c r="U443" i="7" s="1"/>
  <c r="R443" i="7"/>
  <c r="S443" i="7" s="1"/>
  <c r="P443" i="7"/>
  <c r="Q443" i="7" s="1"/>
  <c r="O443" i="7"/>
  <c r="N443" i="7"/>
  <c r="L443" i="7"/>
  <c r="M443" i="7" s="1"/>
  <c r="V442" i="7"/>
  <c r="W442" i="7" s="1"/>
  <c r="T442" i="7"/>
  <c r="U442" i="7" s="1"/>
  <c r="S442" i="7"/>
  <c r="R442" i="7"/>
  <c r="P442" i="7"/>
  <c r="Q442" i="7" s="1"/>
  <c r="N442" i="7"/>
  <c r="O442" i="7" s="1"/>
  <c r="L442" i="7"/>
  <c r="M442" i="7" s="1"/>
  <c r="W441" i="7"/>
  <c r="V441" i="7"/>
  <c r="T441" i="7"/>
  <c r="U441" i="7" s="1"/>
  <c r="S441" i="7"/>
  <c r="R441" i="7"/>
  <c r="P441" i="7"/>
  <c r="Q441" i="7" s="1"/>
  <c r="N441" i="7"/>
  <c r="O441" i="7" s="1"/>
  <c r="L441" i="7"/>
  <c r="M441" i="7" s="1"/>
  <c r="V440" i="7"/>
  <c r="W440" i="7" s="1"/>
  <c r="T440" i="7"/>
  <c r="U440" i="7" s="1"/>
  <c r="S440" i="7"/>
  <c r="R440" i="7"/>
  <c r="P440" i="7"/>
  <c r="Q440" i="7" s="1"/>
  <c r="N440" i="7"/>
  <c r="O440" i="7" s="1"/>
  <c r="L440" i="7"/>
  <c r="M440" i="7" s="1"/>
  <c r="W439" i="7"/>
  <c r="V439" i="7"/>
  <c r="T439" i="7"/>
  <c r="U439" i="7" s="1"/>
  <c r="R439" i="7"/>
  <c r="S439" i="7" s="1"/>
  <c r="P439" i="7"/>
  <c r="Q439" i="7" s="1"/>
  <c r="O439" i="7"/>
  <c r="N439" i="7"/>
  <c r="L439" i="7"/>
  <c r="M439" i="7" s="1"/>
  <c r="W438" i="7"/>
  <c r="V438" i="7"/>
  <c r="T438" i="7"/>
  <c r="U438" i="7" s="1"/>
  <c r="R438" i="7"/>
  <c r="S438" i="7" s="1"/>
  <c r="P438" i="7"/>
  <c r="Q438" i="7" s="1"/>
  <c r="N438" i="7"/>
  <c r="O438" i="7" s="1"/>
  <c r="L438" i="7"/>
  <c r="M438" i="7" s="1"/>
  <c r="W437" i="7"/>
  <c r="V437" i="7"/>
  <c r="T437" i="7"/>
  <c r="U437" i="7" s="1"/>
  <c r="R437" i="7"/>
  <c r="S437" i="7" s="1"/>
  <c r="P437" i="7"/>
  <c r="Q437" i="7" s="1"/>
  <c r="O437" i="7"/>
  <c r="N437" i="7"/>
  <c r="L437" i="7"/>
  <c r="M437" i="7" s="1"/>
  <c r="V436" i="7"/>
  <c r="W436" i="7" s="1"/>
  <c r="T436" i="7"/>
  <c r="U436" i="7" s="1"/>
  <c r="S436" i="7"/>
  <c r="R436" i="7"/>
  <c r="P436" i="7"/>
  <c r="Q436" i="7" s="1"/>
  <c r="O436" i="7"/>
  <c r="N436" i="7"/>
  <c r="L436" i="7"/>
  <c r="M436" i="7" s="1"/>
  <c r="V435" i="7"/>
  <c r="W435" i="7" s="1"/>
  <c r="T435" i="7"/>
  <c r="U435" i="7" s="1"/>
  <c r="R435" i="7"/>
  <c r="S435" i="7" s="1"/>
  <c r="P435" i="7"/>
  <c r="Q435" i="7" s="1"/>
  <c r="O435" i="7"/>
  <c r="N435" i="7"/>
  <c r="L435" i="7"/>
  <c r="M435" i="7" s="1"/>
  <c r="V434" i="7"/>
  <c r="W434" i="7" s="1"/>
  <c r="T434" i="7"/>
  <c r="U434" i="7" s="1"/>
  <c r="S434" i="7"/>
  <c r="R434" i="7"/>
  <c r="P434" i="7"/>
  <c r="Q434" i="7" s="1"/>
  <c r="N434" i="7"/>
  <c r="O434" i="7" s="1"/>
  <c r="L434" i="7"/>
  <c r="M434" i="7" s="1"/>
  <c r="W433" i="7"/>
  <c r="V433" i="7"/>
  <c r="T433" i="7"/>
  <c r="U433" i="7" s="1"/>
  <c r="R433" i="7"/>
  <c r="S433" i="7" s="1"/>
  <c r="P433" i="7"/>
  <c r="Q433" i="7" s="1"/>
  <c r="O433" i="7"/>
  <c r="N433" i="7"/>
  <c r="L433" i="7"/>
  <c r="M433" i="7" s="1"/>
  <c r="V432" i="7"/>
  <c r="W432" i="7" s="1"/>
  <c r="T432" i="7"/>
  <c r="U432" i="7" s="1"/>
  <c r="S432" i="7"/>
  <c r="R432" i="7"/>
  <c r="P432" i="7"/>
  <c r="Q432" i="7" s="1"/>
  <c r="N432" i="7"/>
  <c r="O432" i="7" s="1"/>
  <c r="L432" i="7"/>
  <c r="M432" i="7" s="1"/>
  <c r="W431" i="7"/>
  <c r="V431" i="7"/>
  <c r="T431" i="7"/>
  <c r="U431" i="7" s="1"/>
  <c r="R431" i="7"/>
  <c r="S431" i="7" s="1"/>
  <c r="P431" i="7"/>
  <c r="Q431" i="7" s="1"/>
  <c r="O431" i="7"/>
  <c r="N431" i="7"/>
  <c r="L431" i="7"/>
  <c r="M431" i="7" s="1"/>
  <c r="V430" i="7"/>
  <c r="W430" i="7" s="1"/>
  <c r="T430" i="7"/>
  <c r="U430" i="7" s="1"/>
  <c r="S430" i="7"/>
  <c r="R430" i="7"/>
  <c r="P430" i="7"/>
  <c r="Q430" i="7" s="1"/>
  <c r="N430" i="7"/>
  <c r="O430" i="7" s="1"/>
  <c r="L430" i="7"/>
  <c r="M430" i="7" s="1"/>
  <c r="W429" i="7"/>
  <c r="V429" i="7"/>
  <c r="T429" i="7"/>
  <c r="U429" i="7" s="1"/>
  <c r="R429" i="7"/>
  <c r="S429" i="7" s="1"/>
  <c r="P429" i="7"/>
  <c r="Q429" i="7" s="1"/>
  <c r="O429" i="7"/>
  <c r="N429" i="7"/>
  <c r="L429" i="7"/>
  <c r="M429" i="7" s="1"/>
  <c r="V428" i="7"/>
  <c r="W428" i="7" s="1"/>
  <c r="T428" i="7"/>
  <c r="U428" i="7" s="1"/>
  <c r="S428" i="7"/>
  <c r="R428" i="7"/>
  <c r="P428" i="7"/>
  <c r="Q428" i="7" s="1"/>
  <c r="N428" i="7"/>
  <c r="O428" i="7" s="1"/>
  <c r="L428" i="7"/>
  <c r="M428" i="7" s="1"/>
  <c r="W427" i="7"/>
  <c r="V427" i="7"/>
  <c r="T427" i="7"/>
  <c r="U427" i="7" s="1"/>
  <c r="R427" i="7"/>
  <c r="S427" i="7" s="1"/>
  <c r="P427" i="7"/>
  <c r="Q427" i="7" s="1"/>
  <c r="O427" i="7"/>
  <c r="N427" i="7"/>
  <c r="L427" i="7"/>
  <c r="M427" i="7" s="1"/>
  <c r="V426" i="7"/>
  <c r="W426" i="7" s="1"/>
  <c r="T426" i="7"/>
  <c r="U426" i="7" s="1"/>
  <c r="S426" i="7"/>
  <c r="R426" i="7"/>
  <c r="P426" i="7"/>
  <c r="Q426" i="7" s="1"/>
  <c r="N426" i="7"/>
  <c r="O426" i="7" s="1"/>
  <c r="L426" i="7"/>
  <c r="M426" i="7" s="1"/>
  <c r="W425" i="7"/>
  <c r="V425" i="7"/>
  <c r="T425" i="7"/>
  <c r="U425" i="7" s="1"/>
  <c r="R425" i="7"/>
  <c r="S425" i="7" s="1"/>
  <c r="P425" i="7"/>
  <c r="Q425" i="7" s="1"/>
  <c r="O425" i="7"/>
  <c r="N425" i="7"/>
  <c r="L425" i="7"/>
  <c r="M425" i="7" s="1"/>
  <c r="V424" i="7"/>
  <c r="W424" i="7" s="1"/>
  <c r="T424" i="7"/>
  <c r="U424" i="7" s="1"/>
  <c r="S424" i="7"/>
  <c r="R424" i="7"/>
  <c r="P424" i="7"/>
  <c r="Q424" i="7" s="1"/>
  <c r="N424" i="7"/>
  <c r="O424" i="7" s="1"/>
  <c r="L424" i="7"/>
  <c r="M424" i="7" s="1"/>
  <c r="W423" i="7"/>
  <c r="V423" i="7"/>
  <c r="T423" i="7"/>
  <c r="U423" i="7" s="1"/>
  <c r="R423" i="7"/>
  <c r="S423" i="7" s="1"/>
  <c r="P423" i="7"/>
  <c r="Q423" i="7" s="1"/>
  <c r="O423" i="7"/>
  <c r="N423" i="7"/>
  <c r="L423" i="7"/>
  <c r="M423" i="7" s="1"/>
  <c r="V422" i="7"/>
  <c r="W422" i="7" s="1"/>
  <c r="T422" i="7"/>
  <c r="U422" i="7" s="1"/>
  <c r="S422" i="7"/>
  <c r="R422" i="7"/>
  <c r="P422" i="7"/>
  <c r="Q422" i="7" s="1"/>
  <c r="N422" i="7"/>
  <c r="O422" i="7" s="1"/>
  <c r="L422" i="7"/>
  <c r="M422" i="7" s="1"/>
  <c r="W421" i="7"/>
  <c r="V421" i="7"/>
  <c r="T421" i="7"/>
  <c r="U421" i="7" s="1"/>
  <c r="R421" i="7"/>
  <c r="S421" i="7" s="1"/>
  <c r="P421" i="7"/>
  <c r="Q421" i="7" s="1"/>
  <c r="O421" i="7"/>
  <c r="N421" i="7"/>
  <c r="L421" i="7"/>
  <c r="M421" i="7" s="1"/>
  <c r="V420" i="7"/>
  <c r="W420" i="7" s="1"/>
  <c r="T420" i="7"/>
  <c r="U420" i="7" s="1"/>
  <c r="S420" i="7"/>
  <c r="R420" i="7"/>
  <c r="P420" i="7"/>
  <c r="Q420" i="7" s="1"/>
  <c r="N420" i="7"/>
  <c r="O420" i="7" s="1"/>
  <c r="L420" i="7"/>
  <c r="M420" i="7" s="1"/>
  <c r="W419" i="7"/>
  <c r="V419" i="7"/>
  <c r="T419" i="7"/>
  <c r="U419" i="7" s="1"/>
  <c r="R419" i="7"/>
  <c r="S419" i="7" s="1"/>
  <c r="P419" i="7"/>
  <c r="Q419" i="7" s="1"/>
  <c r="O419" i="7"/>
  <c r="N419" i="7"/>
  <c r="L419" i="7"/>
  <c r="M419" i="7" s="1"/>
  <c r="V418" i="7"/>
  <c r="W418" i="7" s="1"/>
  <c r="T418" i="7"/>
  <c r="U418" i="7" s="1"/>
  <c r="S418" i="7"/>
  <c r="R418" i="7"/>
  <c r="P418" i="7"/>
  <c r="Q418" i="7" s="1"/>
  <c r="N418" i="7"/>
  <c r="O418" i="7" s="1"/>
  <c r="L418" i="7"/>
  <c r="M418" i="7" s="1"/>
  <c r="W417" i="7"/>
  <c r="V417" i="7"/>
  <c r="T417" i="7"/>
  <c r="U417" i="7" s="1"/>
  <c r="R417" i="7"/>
  <c r="S417" i="7" s="1"/>
  <c r="P417" i="7"/>
  <c r="Q417" i="7" s="1"/>
  <c r="O417" i="7"/>
  <c r="N417" i="7"/>
  <c r="L417" i="7"/>
  <c r="M417" i="7" s="1"/>
  <c r="V416" i="7"/>
  <c r="W416" i="7" s="1"/>
  <c r="T416" i="7"/>
  <c r="U416" i="7" s="1"/>
  <c r="S416" i="7"/>
  <c r="R416" i="7"/>
  <c r="P416" i="7"/>
  <c r="Q416" i="7" s="1"/>
  <c r="N416" i="7"/>
  <c r="O416" i="7" s="1"/>
  <c r="L416" i="7"/>
  <c r="M416" i="7" s="1"/>
  <c r="W415" i="7"/>
  <c r="V415" i="7"/>
  <c r="T415" i="7"/>
  <c r="U415" i="7" s="1"/>
  <c r="R415" i="7"/>
  <c r="S415" i="7" s="1"/>
  <c r="P415" i="7"/>
  <c r="Q415" i="7" s="1"/>
  <c r="O415" i="7"/>
  <c r="N415" i="7"/>
  <c r="L415" i="7"/>
  <c r="M415" i="7" s="1"/>
  <c r="V414" i="7"/>
  <c r="W414" i="7" s="1"/>
  <c r="T414" i="7"/>
  <c r="U414" i="7" s="1"/>
  <c r="S414" i="7"/>
  <c r="R414" i="7"/>
  <c r="P414" i="7"/>
  <c r="Q414" i="7" s="1"/>
  <c r="N414" i="7"/>
  <c r="O414" i="7" s="1"/>
  <c r="L414" i="7"/>
  <c r="M414" i="7" s="1"/>
  <c r="W413" i="7"/>
  <c r="V413" i="7"/>
  <c r="T413" i="7"/>
  <c r="U413" i="7" s="1"/>
  <c r="R413" i="7"/>
  <c r="S413" i="7" s="1"/>
  <c r="P413" i="7"/>
  <c r="Q413" i="7" s="1"/>
  <c r="O413" i="7"/>
  <c r="N413" i="7"/>
  <c r="L413" i="7"/>
  <c r="M413" i="7" s="1"/>
  <c r="V412" i="7"/>
  <c r="W412" i="7" s="1"/>
  <c r="T412" i="7"/>
  <c r="U412" i="7" s="1"/>
  <c r="S412" i="7"/>
  <c r="R412" i="7"/>
  <c r="P412" i="7"/>
  <c r="Q412" i="7" s="1"/>
  <c r="N412" i="7"/>
  <c r="O412" i="7" s="1"/>
  <c r="L412" i="7"/>
  <c r="M412" i="7" s="1"/>
  <c r="W411" i="7"/>
  <c r="V411" i="7"/>
  <c r="T411" i="7"/>
  <c r="U411" i="7" s="1"/>
  <c r="R411" i="7"/>
  <c r="S411" i="7" s="1"/>
  <c r="P411" i="7"/>
  <c r="Q411" i="7" s="1"/>
  <c r="O411" i="7"/>
  <c r="N411" i="7"/>
  <c r="L411" i="7"/>
  <c r="M411" i="7" s="1"/>
  <c r="V410" i="7"/>
  <c r="W410" i="7" s="1"/>
  <c r="T410" i="7"/>
  <c r="U410" i="7" s="1"/>
  <c r="S410" i="7"/>
  <c r="R410" i="7"/>
  <c r="P410" i="7"/>
  <c r="Q410" i="7" s="1"/>
  <c r="N410" i="7"/>
  <c r="O410" i="7" s="1"/>
  <c r="L410" i="7"/>
  <c r="M410" i="7" s="1"/>
  <c r="W409" i="7"/>
  <c r="V409" i="7"/>
  <c r="T409" i="7"/>
  <c r="U409" i="7" s="1"/>
  <c r="R409" i="7"/>
  <c r="S409" i="7" s="1"/>
  <c r="P409" i="7"/>
  <c r="Q409" i="7" s="1"/>
  <c r="O409" i="7"/>
  <c r="N409" i="7"/>
  <c r="L409" i="7"/>
  <c r="M409" i="7" s="1"/>
  <c r="V408" i="7"/>
  <c r="W408" i="7" s="1"/>
  <c r="T408" i="7"/>
  <c r="U408" i="7" s="1"/>
  <c r="S408" i="7"/>
  <c r="R408" i="7"/>
  <c r="P408" i="7"/>
  <c r="Q408" i="7" s="1"/>
  <c r="N408" i="7"/>
  <c r="O408" i="7" s="1"/>
  <c r="L408" i="7"/>
  <c r="M408" i="7" s="1"/>
  <c r="W407" i="7"/>
  <c r="V407" i="7"/>
  <c r="T407" i="7"/>
  <c r="U407" i="7" s="1"/>
  <c r="R407" i="7"/>
  <c r="S407" i="7" s="1"/>
  <c r="P407" i="7"/>
  <c r="Q407" i="7" s="1"/>
  <c r="O407" i="7"/>
  <c r="N407" i="7"/>
  <c r="L407" i="7"/>
  <c r="M407" i="7" s="1"/>
  <c r="V406" i="7"/>
  <c r="W406" i="7" s="1"/>
  <c r="T406" i="7"/>
  <c r="U406" i="7" s="1"/>
  <c r="S406" i="7"/>
  <c r="R406" i="7"/>
  <c r="P406" i="7"/>
  <c r="Q406" i="7" s="1"/>
  <c r="N406" i="7"/>
  <c r="O406" i="7" s="1"/>
  <c r="L406" i="7"/>
  <c r="M406" i="7" s="1"/>
  <c r="W405" i="7"/>
  <c r="V405" i="7"/>
  <c r="T405" i="7"/>
  <c r="U405" i="7" s="1"/>
  <c r="R405" i="7"/>
  <c r="S405" i="7" s="1"/>
  <c r="P405" i="7"/>
  <c r="Q405" i="7" s="1"/>
  <c r="O405" i="7"/>
  <c r="N405" i="7"/>
  <c r="L405" i="7"/>
  <c r="M405" i="7" s="1"/>
  <c r="V404" i="7"/>
  <c r="W404" i="7" s="1"/>
  <c r="T404" i="7"/>
  <c r="U404" i="7" s="1"/>
  <c r="S404" i="7"/>
  <c r="R404" i="7"/>
  <c r="P404" i="7"/>
  <c r="Q404" i="7" s="1"/>
  <c r="N404" i="7"/>
  <c r="O404" i="7" s="1"/>
  <c r="L404" i="7"/>
  <c r="M404" i="7" s="1"/>
  <c r="W403" i="7"/>
  <c r="V403" i="7"/>
  <c r="T403" i="7"/>
  <c r="U403" i="7" s="1"/>
  <c r="R403" i="7"/>
  <c r="S403" i="7" s="1"/>
  <c r="P403" i="7"/>
  <c r="Q403" i="7" s="1"/>
  <c r="O403" i="7"/>
  <c r="N403" i="7"/>
  <c r="L403" i="7"/>
  <c r="M403" i="7" s="1"/>
  <c r="V402" i="7"/>
  <c r="W402" i="7" s="1"/>
  <c r="T402" i="7"/>
  <c r="U402" i="7" s="1"/>
  <c r="S402" i="7"/>
  <c r="R402" i="7"/>
  <c r="P402" i="7"/>
  <c r="Q402" i="7" s="1"/>
  <c r="N402" i="7"/>
  <c r="O402" i="7" s="1"/>
  <c r="L402" i="7"/>
  <c r="M402" i="7" s="1"/>
  <c r="W401" i="7"/>
  <c r="V401" i="7"/>
  <c r="T401" i="7"/>
  <c r="U401" i="7" s="1"/>
  <c r="R401" i="7"/>
  <c r="S401" i="7" s="1"/>
  <c r="P401" i="7"/>
  <c r="Q401" i="7" s="1"/>
  <c r="O401" i="7"/>
  <c r="N401" i="7"/>
  <c r="L401" i="7"/>
  <c r="M401" i="7" s="1"/>
  <c r="V400" i="7"/>
  <c r="W400" i="7" s="1"/>
  <c r="T400" i="7"/>
  <c r="U400" i="7" s="1"/>
  <c r="S400" i="7"/>
  <c r="R400" i="7"/>
  <c r="P400" i="7"/>
  <c r="Q400" i="7" s="1"/>
  <c r="N400" i="7"/>
  <c r="O400" i="7" s="1"/>
  <c r="L400" i="7"/>
  <c r="M400" i="7" s="1"/>
  <c r="W399" i="7"/>
  <c r="V399" i="7"/>
  <c r="T399" i="7"/>
  <c r="U399" i="7" s="1"/>
  <c r="R399" i="7"/>
  <c r="S399" i="7" s="1"/>
  <c r="P399" i="7"/>
  <c r="Q399" i="7" s="1"/>
  <c r="O399" i="7"/>
  <c r="N399" i="7"/>
  <c r="L399" i="7"/>
  <c r="M399" i="7" s="1"/>
  <c r="V398" i="7"/>
  <c r="W398" i="7" s="1"/>
  <c r="T398" i="7"/>
  <c r="U398" i="7" s="1"/>
  <c r="S398" i="7"/>
  <c r="R398" i="7"/>
  <c r="P398" i="7"/>
  <c r="Q398" i="7" s="1"/>
  <c r="N398" i="7"/>
  <c r="O398" i="7" s="1"/>
  <c r="L398" i="7"/>
  <c r="M398" i="7" s="1"/>
  <c r="W397" i="7"/>
  <c r="V397" i="7"/>
  <c r="T397" i="7"/>
  <c r="U397" i="7" s="1"/>
  <c r="R397" i="7"/>
  <c r="S397" i="7" s="1"/>
  <c r="P397" i="7"/>
  <c r="Q397" i="7" s="1"/>
  <c r="O397" i="7"/>
  <c r="N397" i="7"/>
  <c r="L397" i="7"/>
  <c r="M397" i="7" s="1"/>
  <c r="V396" i="7"/>
  <c r="W396" i="7" s="1"/>
  <c r="T396" i="7"/>
  <c r="U396" i="7" s="1"/>
  <c r="S396" i="7"/>
  <c r="R396" i="7"/>
  <c r="P396" i="7"/>
  <c r="Q396" i="7" s="1"/>
  <c r="N396" i="7"/>
  <c r="O396" i="7" s="1"/>
  <c r="L396" i="7"/>
  <c r="M396" i="7" s="1"/>
  <c r="W395" i="7"/>
  <c r="V395" i="7"/>
  <c r="T395" i="7"/>
  <c r="U395" i="7" s="1"/>
  <c r="R395" i="7"/>
  <c r="S395" i="7" s="1"/>
  <c r="P395" i="7"/>
  <c r="Q395" i="7" s="1"/>
  <c r="O395" i="7"/>
  <c r="N395" i="7"/>
  <c r="L395" i="7"/>
  <c r="M395" i="7" s="1"/>
  <c r="V394" i="7"/>
  <c r="W394" i="7" s="1"/>
  <c r="T394" i="7"/>
  <c r="U394" i="7" s="1"/>
  <c r="S394" i="7"/>
  <c r="R394" i="7"/>
  <c r="P394" i="7"/>
  <c r="Q394" i="7" s="1"/>
  <c r="N394" i="7"/>
  <c r="O394" i="7" s="1"/>
  <c r="L394" i="7"/>
  <c r="M394" i="7" s="1"/>
  <c r="W393" i="7"/>
  <c r="V393" i="7"/>
  <c r="T393" i="7"/>
  <c r="U393" i="7" s="1"/>
  <c r="R393" i="7"/>
  <c r="S393" i="7" s="1"/>
  <c r="P393" i="7"/>
  <c r="Q393" i="7" s="1"/>
  <c r="O393" i="7"/>
  <c r="N393" i="7"/>
  <c r="L393" i="7"/>
  <c r="M393" i="7" s="1"/>
  <c r="V392" i="7"/>
  <c r="W392" i="7" s="1"/>
  <c r="T392" i="7"/>
  <c r="U392" i="7" s="1"/>
  <c r="S392" i="7"/>
  <c r="R392" i="7"/>
  <c r="P392" i="7"/>
  <c r="Q392" i="7" s="1"/>
  <c r="N392" i="7"/>
  <c r="O392" i="7" s="1"/>
  <c r="L392" i="7"/>
  <c r="M392" i="7" s="1"/>
  <c r="W391" i="7"/>
  <c r="V391" i="7"/>
  <c r="T391" i="7"/>
  <c r="U391" i="7" s="1"/>
  <c r="R391" i="7"/>
  <c r="S391" i="7" s="1"/>
  <c r="P391" i="7"/>
  <c r="Q391" i="7" s="1"/>
  <c r="O391" i="7"/>
  <c r="N391" i="7"/>
  <c r="L391" i="7"/>
  <c r="M391" i="7" s="1"/>
  <c r="V390" i="7"/>
  <c r="W390" i="7" s="1"/>
  <c r="T390" i="7"/>
  <c r="U390" i="7" s="1"/>
  <c r="S390" i="7"/>
  <c r="R390" i="7"/>
  <c r="P390" i="7"/>
  <c r="Q390" i="7" s="1"/>
  <c r="N390" i="7"/>
  <c r="O390" i="7" s="1"/>
  <c r="L390" i="7"/>
  <c r="M390" i="7" s="1"/>
  <c r="W389" i="7"/>
  <c r="V389" i="7"/>
  <c r="T389" i="7"/>
  <c r="U389" i="7" s="1"/>
  <c r="R389" i="7"/>
  <c r="S389" i="7" s="1"/>
  <c r="P389" i="7"/>
  <c r="Q389" i="7" s="1"/>
  <c r="O389" i="7"/>
  <c r="N389" i="7"/>
  <c r="L389" i="7"/>
  <c r="M389" i="7" s="1"/>
  <c r="V388" i="7"/>
  <c r="W388" i="7" s="1"/>
  <c r="T388" i="7"/>
  <c r="U388" i="7" s="1"/>
  <c r="S388" i="7"/>
  <c r="R388" i="7"/>
  <c r="P388" i="7"/>
  <c r="Q388" i="7" s="1"/>
  <c r="N388" i="7"/>
  <c r="O388" i="7" s="1"/>
  <c r="L388" i="7"/>
  <c r="M388" i="7" s="1"/>
  <c r="W387" i="7"/>
  <c r="V387" i="7"/>
  <c r="T387" i="7"/>
  <c r="U387" i="7" s="1"/>
  <c r="R387" i="7"/>
  <c r="S387" i="7" s="1"/>
  <c r="P387" i="7"/>
  <c r="Q387" i="7" s="1"/>
  <c r="O387" i="7"/>
  <c r="N387" i="7"/>
  <c r="L387" i="7"/>
  <c r="M387" i="7" s="1"/>
  <c r="V386" i="7"/>
  <c r="W386" i="7" s="1"/>
  <c r="T386" i="7"/>
  <c r="U386" i="7" s="1"/>
  <c r="S386" i="7"/>
  <c r="R386" i="7"/>
  <c r="P386" i="7"/>
  <c r="Q386" i="7" s="1"/>
  <c r="N386" i="7"/>
  <c r="O386" i="7" s="1"/>
  <c r="L386" i="7"/>
  <c r="M386" i="7" s="1"/>
  <c r="W385" i="7"/>
  <c r="V385" i="7"/>
  <c r="T385" i="7"/>
  <c r="U385" i="7" s="1"/>
  <c r="R385" i="7"/>
  <c r="S385" i="7" s="1"/>
  <c r="P385" i="7"/>
  <c r="Q385" i="7" s="1"/>
  <c r="O385" i="7"/>
  <c r="N385" i="7"/>
  <c r="L385" i="7"/>
  <c r="M385" i="7" s="1"/>
  <c r="V384" i="7"/>
  <c r="W384" i="7" s="1"/>
  <c r="T384" i="7"/>
  <c r="U384" i="7" s="1"/>
  <c r="S384" i="7"/>
  <c r="R384" i="7"/>
  <c r="P384" i="7"/>
  <c r="Q384" i="7" s="1"/>
  <c r="N384" i="7"/>
  <c r="O384" i="7" s="1"/>
  <c r="L384" i="7"/>
  <c r="M384" i="7" s="1"/>
  <c r="W383" i="7"/>
  <c r="V383" i="7"/>
  <c r="T383" i="7"/>
  <c r="U383" i="7" s="1"/>
  <c r="R383" i="7"/>
  <c r="S383" i="7" s="1"/>
  <c r="P383" i="7"/>
  <c r="Q383" i="7" s="1"/>
  <c r="O383" i="7"/>
  <c r="N383" i="7"/>
  <c r="L383" i="7"/>
  <c r="M383" i="7" s="1"/>
  <c r="V382" i="7"/>
  <c r="W382" i="7" s="1"/>
  <c r="T382" i="7"/>
  <c r="U382" i="7" s="1"/>
  <c r="S382" i="7"/>
  <c r="R382" i="7"/>
  <c r="P382" i="7"/>
  <c r="Q382" i="7" s="1"/>
  <c r="N382" i="7"/>
  <c r="O382" i="7" s="1"/>
  <c r="L382" i="7"/>
  <c r="M382" i="7" s="1"/>
  <c r="W381" i="7"/>
  <c r="V381" i="7"/>
  <c r="T381" i="7"/>
  <c r="U381" i="7" s="1"/>
  <c r="R381" i="7"/>
  <c r="S381" i="7" s="1"/>
  <c r="P381" i="7"/>
  <c r="Q381" i="7" s="1"/>
  <c r="O381" i="7"/>
  <c r="N381" i="7"/>
  <c r="L381" i="7"/>
  <c r="M381" i="7" s="1"/>
  <c r="V380" i="7"/>
  <c r="W380" i="7" s="1"/>
  <c r="T380" i="7"/>
  <c r="U380" i="7" s="1"/>
  <c r="S380" i="7"/>
  <c r="R380" i="7"/>
  <c r="P380" i="7"/>
  <c r="Q380" i="7" s="1"/>
  <c r="N380" i="7"/>
  <c r="O380" i="7" s="1"/>
  <c r="L380" i="7"/>
  <c r="M380" i="7" s="1"/>
  <c r="W379" i="7"/>
  <c r="V379" i="7"/>
  <c r="T379" i="7"/>
  <c r="U379" i="7" s="1"/>
  <c r="R379" i="7"/>
  <c r="S379" i="7" s="1"/>
  <c r="P379" i="7"/>
  <c r="Q379" i="7" s="1"/>
  <c r="O379" i="7"/>
  <c r="N379" i="7"/>
  <c r="L379" i="7"/>
  <c r="M379" i="7" s="1"/>
  <c r="V378" i="7"/>
  <c r="W378" i="7" s="1"/>
  <c r="T378" i="7"/>
  <c r="U378" i="7" s="1"/>
  <c r="S378" i="7"/>
  <c r="R378" i="7"/>
  <c r="P378" i="7"/>
  <c r="Q378" i="7" s="1"/>
  <c r="N378" i="7"/>
  <c r="O378" i="7" s="1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V316" i="7"/>
  <c r="W316" i="7" s="1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N314" i="7"/>
  <c r="O314" i="7" s="1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R311" i="7"/>
  <c r="S311" i="7" s="1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R303" i="7"/>
  <c r="S303" i="7" s="1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V300" i="7"/>
  <c r="W300" i="7" s="1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V292" i="7"/>
  <c r="W292" i="7" s="1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V290" i="7"/>
  <c r="W290" i="7" s="1"/>
  <c r="T290" i="7"/>
  <c r="U290" i="7" s="1"/>
  <c r="R290" i="7"/>
  <c r="S290" i="7" s="1"/>
  <c r="P290" i="7"/>
  <c r="Q290" i="7" s="1"/>
  <c r="O290" i="7"/>
  <c r="N290" i="7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W284" i="7"/>
  <c r="V284" i="7"/>
  <c r="T284" i="7"/>
  <c r="U284" i="7" s="1"/>
  <c r="R284" i="7"/>
  <c r="S284" i="7" s="1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S279" i="7"/>
  <c r="R279" i="7"/>
  <c r="P279" i="7"/>
  <c r="Q279" i="7" s="1"/>
  <c r="N279" i="7"/>
  <c r="O279" i="7" s="1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V276" i="7"/>
  <c r="W276" i="7" s="1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R274" i="7"/>
  <c r="S274" i="7" s="1"/>
  <c r="P274" i="7"/>
  <c r="Q274" i="7" s="1"/>
  <c r="O274" i="7"/>
  <c r="N274" i="7"/>
  <c r="L274" i="7"/>
  <c r="M274" i="7" s="1"/>
  <c r="V273" i="7"/>
  <c r="W273" i="7" s="1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R271" i="7"/>
  <c r="S271" i="7" s="1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W268" i="7"/>
  <c r="V268" i="7"/>
  <c r="T268" i="7"/>
  <c r="U268" i="7" s="1"/>
  <c r="R268" i="7"/>
  <c r="S268" i="7" s="1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S263" i="7"/>
  <c r="R263" i="7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R258" i="7"/>
  <c r="S258" i="7" s="1"/>
  <c r="P258" i="7"/>
  <c r="Q258" i="7" s="1"/>
  <c r="O258" i="7"/>
  <c r="N258" i="7"/>
  <c r="L258" i="7"/>
  <c r="M258" i="7" s="1"/>
  <c r="V257" i="7"/>
  <c r="W257" i="7" s="1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R255" i="7"/>
  <c r="S255" i="7" s="1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R253" i="7"/>
  <c r="S253" i="7" s="1"/>
  <c r="P253" i="7"/>
  <c r="Q253" i="7" s="1"/>
  <c r="N253" i="7"/>
  <c r="O253" i="7" s="1"/>
  <c r="L253" i="7"/>
  <c r="M253" i="7" s="1"/>
  <c r="W252" i="7"/>
  <c r="V252" i="7"/>
  <c r="T252" i="7"/>
  <c r="U252" i="7" s="1"/>
  <c r="R252" i="7"/>
  <c r="S252" i="7" s="1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N250" i="7"/>
  <c r="O250" i="7" s="1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S247" i="7"/>
  <c r="R247" i="7"/>
  <c r="P247" i="7"/>
  <c r="Q247" i="7" s="1"/>
  <c r="N247" i="7"/>
  <c r="O247" i="7" s="1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O242" i="7"/>
  <c r="N242" i="7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N228" i="7"/>
  <c r="O228" i="7" s="1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R225" i="7"/>
  <c r="S225" i="7" s="1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R217" i="7"/>
  <c r="S217" i="7" s="1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V206" i="7"/>
  <c r="W206" i="7" s="1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N204" i="7"/>
  <c r="O204" i="7" s="1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V139" i="7"/>
  <c r="W139" i="7" s="1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R138" i="7"/>
  <c r="S138" i="7" s="1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N137" i="7"/>
  <c r="O137" i="7" s="1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R134" i="7"/>
  <c r="S134" i="7" s="1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N133" i="7"/>
  <c r="O133" i="7" s="1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V131" i="7"/>
  <c r="W131" i="7" s="1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N129" i="7"/>
  <c r="O129" i="7" s="1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V127" i="7"/>
  <c r="W127" i="7" s="1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R126" i="7"/>
  <c r="S126" i="7" s="1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V123" i="7"/>
  <c r="W123" i="7" s="1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R122" i="7"/>
  <c r="S122" i="7" s="1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N121" i="7"/>
  <c r="O121" i="7" s="1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R118" i="7"/>
  <c r="S118" i="7" s="1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N117" i="7"/>
  <c r="O117" i="7" s="1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V115" i="7"/>
  <c r="W115" i="7" s="1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V111" i="7"/>
  <c r="W111" i="7" s="1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R110" i="7"/>
  <c r="S110" i="7" s="1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V107" i="7"/>
  <c r="W107" i="7" s="1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R106" i="7"/>
  <c r="S106" i="7" s="1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N105" i="7"/>
  <c r="O105" i="7" s="1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R102" i="7"/>
  <c r="S102" i="7" s="1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N101" i="7"/>
  <c r="O101" i="7" s="1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V99" i="7"/>
  <c r="W99" i="7" s="1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N97" i="7"/>
  <c r="O97" i="7" s="1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V95" i="7"/>
  <c r="W95" i="7" s="1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R94" i="7"/>
  <c r="S94" i="7" s="1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V91" i="7"/>
  <c r="W91" i="7" s="1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R90" i="7"/>
  <c r="S90" i="7" s="1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N89" i="7"/>
  <c r="O89" i="7" s="1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R86" i="7"/>
  <c r="S86" i="7" s="1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N85" i="7"/>
  <c r="O85" i="7" s="1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V83" i="7"/>
  <c r="W83" i="7" s="1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N81" i="7"/>
  <c r="O81" i="7" s="1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V79" i="7"/>
  <c r="W79" i="7" s="1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R78" i="7"/>
  <c r="S78" i="7" s="1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N77" i="7"/>
  <c r="O77" i="7" s="1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V75" i="7"/>
  <c r="W75" i="7" s="1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R74" i="7"/>
  <c r="S74" i="7" s="1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N73" i="7"/>
  <c r="O73" i="7" s="1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R70" i="7"/>
  <c r="S70" i="7" s="1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N69" i="7"/>
  <c r="O69" i="7" s="1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V67" i="7"/>
  <c r="W67" i="7" s="1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R66" i="7"/>
  <c r="S66" i="7" s="1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N65" i="7"/>
  <c r="O65" i="7" s="1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V63" i="7"/>
  <c r="W63" i="7" s="1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R62" i="7"/>
  <c r="S62" i="7" s="1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N61" i="7"/>
  <c r="O61" i="7" s="1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V59" i="7"/>
  <c r="W59" i="7" s="1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R58" i="7"/>
  <c r="S58" i="7" s="1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N57" i="7"/>
  <c r="O57" i="7" s="1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R54" i="7"/>
  <c r="S54" i="7" s="1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N53" i="7"/>
  <c r="O53" i="7" s="1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V51" i="7"/>
  <c r="W51" i="7" s="1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L49" i="7"/>
  <c r="M49" i="7" s="1"/>
  <c r="V48" i="7"/>
  <c r="W48" i="7" s="1"/>
  <c r="U48" i="7"/>
  <c r="T48" i="7"/>
  <c r="R48" i="7"/>
  <c r="S48" i="7" s="1"/>
  <c r="P48" i="7"/>
  <c r="Q48" i="7" s="1"/>
  <c r="N48" i="7"/>
  <c r="O48" i="7" s="1"/>
  <c r="M48" i="7"/>
  <c r="L48" i="7"/>
  <c r="V47" i="7"/>
  <c r="W47" i="7" s="1"/>
  <c r="T47" i="7"/>
  <c r="U47" i="7" s="1"/>
  <c r="R47" i="7"/>
  <c r="S47" i="7" s="1"/>
  <c r="Q47" i="7"/>
  <c r="P47" i="7"/>
  <c r="N47" i="7"/>
  <c r="O47" i="7" s="1"/>
  <c r="L47" i="7"/>
  <c r="M47" i="7" s="1"/>
  <c r="V46" i="7"/>
  <c r="W46" i="7" s="1"/>
  <c r="U46" i="7"/>
  <c r="T46" i="7"/>
  <c r="R46" i="7"/>
  <c r="S46" i="7" s="1"/>
  <c r="P46" i="7"/>
  <c r="Q46" i="7" s="1"/>
  <c r="N46" i="7"/>
  <c r="O46" i="7" s="1"/>
  <c r="M46" i="7"/>
  <c r="L46" i="7"/>
  <c r="V45" i="7"/>
  <c r="W45" i="7" s="1"/>
  <c r="T45" i="7"/>
  <c r="U45" i="7" s="1"/>
  <c r="R45" i="7"/>
  <c r="S45" i="7" s="1"/>
  <c r="Q45" i="7"/>
  <c r="P45" i="7"/>
  <c r="N45" i="7"/>
  <c r="O45" i="7" s="1"/>
  <c r="L45" i="7"/>
  <c r="M45" i="7" s="1"/>
  <c r="V44" i="7"/>
  <c r="W44" i="7" s="1"/>
  <c r="U44" i="7"/>
  <c r="T44" i="7"/>
  <c r="R44" i="7"/>
  <c r="S44" i="7" s="1"/>
  <c r="P44" i="7"/>
  <c r="Q44" i="7" s="1"/>
  <c r="N44" i="7"/>
  <c r="O44" i="7" s="1"/>
  <c r="M44" i="7"/>
  <c r="L44" i="7"/>
  <c r="V43" i="7"/>
  <c r="W43" i="7" s="1"/>
  <c r="T43" i="7"/>
  <c r="U43" i="7" s="1"/>
  <c r="R43" i="7"/>
  <c r="S43" i="7" s="1"/>
  <c r="Q43" i="7"/>
  <c r="P43" i="7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1" i="3" l="1"/>
  <c r="Y380" i="3"/>
  <c r="Y381" i="3"/>
  <c r="Y382" i="3"/>
  <c r="Y383" i="3"/>
  <c r="Y11" i="3"/>
  <c r="Z380" i="3"/>
  <c r="Z381" i="3"/>
  <c r="Z382" i="3"/>
  <c r="Z383" i="3"/>
  <c r="Z11" i="3"/>
  <c r="AA380" i="3"/>
  <c r="AA381" i="3"/>
  <c r="AA382" i="3"/>
  <c r="AA383" i="3"/>
  <c r="AA11" i="3"/>
  <c r="H380" i="3"/>
  <c r="AB11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46" i="3" l="1"/>
  <c r="AR146" i="3" s="1"/>
  <c r="AO103" i="3"/>
  <c r="AR103" i="3" s="1"/>
  <c r="O314" i="2"/>
  <c r="AO315" i="3" s="1"/>
  <c r="AR315" i="3" s="1"/>
  <c r="O237" i="2"/>
  <c r="AO238" i="3" s="1"/>
  <c r="AR238" i="3" s="1"/>
  <c r="O617" i="2"/>
  <c r="AO913" i="3" s="1"/>
  <c r="AR913" i="3" s="1"/>
  <c r="O364" i="2"/>
  <c r="AO365" i="3"/>
  <c r="AR365" i="3" s="1"/>
  <c r="O356" i="2"/>
  <c r="AO652" i="3" s="1"/>
  <c r="AR652" i="3" s="1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632" i="3" s="1"/>
  <c r="AR632" i="3" s="1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616" i="3" s="1"/>
  <c r="AR616" i="3" s="1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600" i="3" s="1"/>
  <c r="AR600" i="3" s="1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584" i="3" s="1"/>
  <c r="AR584" i="3" s="1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564" i="3" s="1"/>
  <c r="AR564" i="3" s="1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544" i="3" s="1"/>
  <c r="AR544" i="3" s="1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528" i="3" s="1"/>
  <c r="AR528" i="3" s="1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512" i="3" s="1"/>
  <c r="AR512" i="3" s="1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496" i="3" s="1"/>
  <c r="AR496" i="3" s="1"/>
  <c r="AO201" i="3"/>
  <c r="AR201" i="3" s="1"/>
  <c r="O196" i="2"/>
  <c r="AO379" i="3" s="1"/>
  <c r="AR379" i="3" s="1"/>
  <c r="AO197" i="3"/>
  <c r="AR197" i="3" s="1"/>
  <c r="O192" i="2"/>
  <c r="AO193" i="3" s="1"/>
  <c r="AR193" i="3" s="1"/>
  <c r="AO375" i="3"/>
  <c r="AR375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663" i="3" s="1"/>
  <c r="AR663" i="3" s="1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647" i="3" s="1"/>
  <c r="AR647" i="3" s="1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631" i="3" s="1"/>
  <c r="AR631" i="3" s="1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615" i="3" s="1"/>
  <c r="AR615" i="3" s="1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599" i="3" s="1"/>
  <c r="AR599" i="3" s="1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583" i="3" s="1"/>
  <c r="AR583" i="3" s="1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567" i="3" s="1"/>
  <c r="AR567" i="3" s="1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551" i="3" s="1"/>
  <c r="AR551" i="3" s="1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535" i="3" s="1"/>
  <c r="AR535" i="3" s="1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519" i="3" s="1"/>
  <c r="AR519" i="3" s="1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503" i="3" s="1"/>
  <c r="AR503" i="3" s="1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 s="1"/>
  <c r="AR192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447" i="3" s="1"/>
  <c r="AR447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383" i="3" s="1"/>
  <c r="AR383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658" i="3" s="1"/>
  <c r="AR658" i="3" s="1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642" i="3" s="1"/>
  <c r="AR642" i="3" s="1"/>
  <c r="AO347" i="3"/>
  <c r="AR347" i="3" s="1"/>
  <c r="O342" i="2"/>
  <c r="AO343" i="3"/>
  <c r="AR343" i="3" s="1"/>
  <c r="O338" i="2"/>
  <c r="AO634" i="3" s="1"/>
  <c r="AR634" i="3" s="1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618" i="3" s="1"/>
  <c r="AR618" i="3" s="1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586" i="3" s="1"/>
  <c r="AR586" i="3" s="1"/>
  <c r="AO291" i="3"/>
  <c r="AR291" i="3" s="1"/>
  <c r="O286" i="2"/>
  <c r="AO287" i="3"/>
  <c r="AR287" i="3" s="1"/>
  <c r="O282" i="2"/>
  <c r="AO578" i="3" s="1"/>
  <c r="AR578" i="3" s="1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562" i="3" s="1"/>
  <c r="AR562" i="3" s="1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538" i="3" s="1"/>
  <c r="AR538" i="3" s="1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522" i="3" s="1"/>
  <c r="AR522" i="3" s="1"/>
  <c r="AO227" i="3"/>
  <c r="AR227" i="3" s="1"/>
  <c r="O222" i="2"/>
  <c r="AO223" i="3"/>
  <c r="AR223" i="3" s="1"/>
  <c r="O218" i="2"/>
  <c r="AO514" i="3" s="1"/>
  <c r="AR514" i="3" s="1"/>
  <c r="AO219" i="3"/>
  <c r="AR219" i="3" s="1"/>
  <c r="O214" i="2"/>
  <c r="AO215" i="3"/>
  <c r="AR215" i="3" s="1"/>
  <c r="O210" i="2"/>
  <c r="AO506" i="3" s="1"/>
  <c r="AR506" i="3" s="1"/>
  <c r="AO211" i="3"/>
  <c r="AR211" i="3" s="1"/>
  <c r="O206" i="2"/>
  <c r="AO207" i="3"/>
  <c r="AR207" i="3" s="1"/>
  <c r="O202" i="2"/>
  <c r="AO498" i="3" s="1"/>
  <c r="AR498" i="3" s="1"/>
  <c r="AO203" i="3"/>
  <c r="AR203" i="3" s="1"/>
  <c r="O198" i="2"/>
  <c r="AO199" i="3"/>
  <c r="AR199" i="3" s="1"/>
  <c r="O194" i="2"/>
  <c r="AO377" i="3" s="1"/>
  <c r="AR377" i="3" s="1"/>
  <c r="AO195" i="3"/>
  <c r="AR195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AT657" i="3" s="1"/>
  <c r="AW657" i="3" s="1"/>
  <c r="Q357" i="2"/>
  <c r="AT358" i="3" s="1"/>
  <c r="AW358" i="3" s="1"/>
  <c r="Q353" i="2"/>
  <c r="AT649" i="3" s="1"/>
  <c r="AW649" i="3" s="1"/>
  <c r="AT354" i="3"/>
  <c r="AW354" i="3" s="1"/>
  <c r="Q349" i="2"/>
  <c r="AT350" i="3" s="1"/>
  <c r="AW350" i="3" s="1"/>
  <c r="Q345" i="2"/>
  <c r="AT641" i="3" s="1"/>
  <c r="AW641" i="3" s="1"/>
  <c r="Q341" i="2"/>
  <c r="AT342" i="3" s="1"/>
  <c r="AW342" i="3" s="1"/>
  <c r="Q337" i="2"/>
  <c r="Q333" i="2"/>
  <c r="AT334" i="3" s="1"/>
  <c r="AW334" i="3" s="1"/>
  <c r="Q329" i="2"/>
  <c r="AT330" i="3" s="1"/>
  <c r="AW330" i="3" s="1"/>
  <c r="Q325" i="2"/>
  <c r="AT326" i="3" s="1"/>
  <c r="AW326" i="3" s="1"/>
  <c r="Q321" i="2"/>
  <c r="AT617" i="3" s="1"/>
  <c r="AW617" i="3" s="1"/>
  <c r="AT322" i="3"/>
  <c r="AW322" i="3" s="1"/>
  <c r="Q317" i="2"/>
  <c r="AT318" i="3" s="1"/>
  <c r="AW318" i="3" s="1"/>
  <c r="Q313" i="2"/>
  <c r="AT609" i="3" s="1"/>
  <c r="AW609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/>
  <c r="AW298" i="3" s="1"/>
  <c r="Q293" i="2"/>
  <c r="AT294" i="3" s="1"/>
  <c r="AW294" i="3" s="1"/>
  <c r="Q289" i="2"/>
  <c r="AT585" i="3" s="1"/>
  <c r="AW585" i="3" s="1"/>
  <c r="Q285" i="2"/>
  <c r="AT286" i="3" s="1"/>
  <c r="AW286" i="3" s="1"/>
  <c r="Q281" i="2"/>
  <c r="AT282" i="3"/>
  <c r="AW282" i="3" s="1"/>
  <c r="Q277" i="2"/>
  <c r="AT278" i="3" s="1"/>
  <c r="AW278" i="3" s="1"/>
  <c r="Q273" i="2"/>
  <c r="Q269" i="2"/>
  <c r="AT270" i="3" s="1"/>
  <c r="AW270" i="3" s="1"/>
  <c r="Q265" i="2"/>
  <c r="AT561" i="3" s="1"/>
  <c r="AW561" i="3" s="1"/>
  <c r="Q261" i="2"/>
  <c r="AT262" i="3" s="1"/>
  <c r="AW262" i="3" s="1"/>
  <c r="Q257" i="2"/>
  <c r="AT553" i="3" s="1"/>
  <c r="AW553" i="3" s="1"/>
  <c r="Q253" i="2"/>
  <c r="AT254" i="3" s="1"/>
  <c r="AW254" i="3" s="1"/>
  <c r="Q249" i="2"/>
  <c r="AT250" i="3"/>
  <c r="AW250" i="3" s="1"/>
  <c r="Q245" i="2"/>
  <c r="AT246" i="3" s="1"/>
  <c r="AW246" i="3" s="1"/>
  <c r="Q241" i="2"/>
  <c r="Q237" i="2"/>
  <c r="AT238" i="3" s="1"/>
  <c r="AW238" i="3" s="1"/>
  <c r="Q233" i="2"/>
  <c r="AT529" i="3" s="1"/>
  <c r="AW529" i="3" s="1"/>
  <c r="Q229" i="2"/>
  <c r="AT230" i="3" s="1"/>
  <c r="AW230" i="3" s="1"/>
  <c r="Q225" i="2"/>
  <c r="AT226" i="3"/>
  <c r="AW226" i="3" s="1"/>
  <c r="Q221" i="2"/>
  <c r="AT222" i="3" s="1"/>
  <c r="AW222" i="3" s="1"/>
  <c r="Q217" i="2"/>
  <c r="AT513" i="3" s="1"/>
  <c r="AW513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497" i="3" s="1"/>
  <c r="AW497" i="3" s="1"/>
  <c r="Q197" i="2"/>
  <c r="AT198" i="3" s="1"/>
  <c r="AW198" i="3" s="1"/>
  <c r="Q193" i="2"/>
  <c r="AT376" i="3" s="1"/>
  <c r="AW376" i="3" s="1"/>
  <c r="AT194" i="3"/>
  <c r="AW194" i="3" s="1"/>
  <c r="Q189" i="2"/>
  <c r="Q185" i="2"/>
  <c r="Q181" i="2"/>
  <c r="AT182" i="3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/>
  <c r="AW166" i="3" s="1"/>
  <c r="Q161" i="2"/>
  <c r="Q157" i="2"/>
  <c r="AT158" i="3" s="1"/>
  <c r="AW158" i="3" s="1"/>
  <c r="Q153" i="2"/>
  <c r="AT154" i="3" s="1"/>
  <c r="AW154" i="3" s="1"/>
  <c r="Q149" i="2"/>
  <c r="AT445" i="3" s="1"/>
  <c r="AW445" i="3" s="1"/>
  <c r="Q145" i="2"/>
  <c r="Q141" i="2"/>
  <c r="AT142" i="3" s="1"/>
  <c r="AW142" i="3" s="1"/>
  <c r="Q137" i="2"/>
  <c r="Q133" i="2"/>
  <c r="AT134" i="3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Q109" i="2"/>
  <c r="AT110" i="3"/>
  <c r="AW110" i="3" s="1"/>
  <c r="Q105" i="2"/>
  <c r="Q101" i="2"/>
  <c r="AT102" i="3" s="1"/>
  <c r="AW102" i="3" s="1"/>
  <c r="Q97" i="2"/>
  <c r="AT98" i="3" s="1"/>
  <c r="AW98" i="3" s="1"/>
  <c r="Q93" i="2"/>
  <c r="AT94" i="3" s="1"/>
  <c r="AW94" i="3" s="1"/>
  <c r="Q89" i="2"/>
  <c r="Q85" i="2"/>
  <c r="AT86" i="3" s="1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653" i="3" s="1"/>
  <c r="AR653" i="3" s="1"/>
  <c r="AO358" i="3"/>
  <c r="AR358" i="3" s="1"/>
  <c r="O353" i="2"/>
  <c r="AO354" i="3"/>
  <c r="AR354" i="3" s="1"/>
  <c r="O341" i="2"/>
  <c r="AO637" i="3" s="1"/>
  <c r="AR637" i="3" s="1"/>
  <c r="AO342" i="3"/>
  <c r="AR342" i="3" s="1"/>
  <c r="O337" i="2"/>
  <c r="AO338" i="3"/>
  <c r="AR338" i="3" s="1"/>
  <c r="O325" i="2"/>
  <c r="AO326" i="3"/>
  <c r="AR326" i="3" s="1"/>
  <c r="O317" i="2"/>
  <c r="AO318" i="3"/>
  <c r="AR318" i="3" s="1"/>
  <c r="O313" i="2"/>
  <c r="AO609" i="3" s="1"/>
  <c r="AR609" i="3" s="1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274" i="3"/>
  <c r="AR274" i="3" s="1"/>
  <c r="O261" i="2"/>
  <c r="AO557" i="3" s="1"/>
  <c r="AR557" i="3" s="1"/>
  <c r="AO262" i="3"/>
  <c r="AR262" i="3" s="1"/>
  <c r="O257" i="2"/>
  <c r="AO258" i="3"/>
  <c r="AR258" i="3" s="1"/>
  <c r="O245" i="2"/>
  <c r="AO541" i="3" s="1"/>
  <c r="AR541" i="3" s="1"/>
  <c r="AO246" i="3"/>
  <c r="AR246" i="3" s="1"/>
  <c r="O233" i="2"/>
  <c r="AO234" i="3"/>
  <c r="AR234" i="3" s="1"/>
  <c r="O221" i="2"/>
  <c r="AO517" i="3" s="1"/>
  <c r="AR517" i="3" s="1"/>
  <c r="AO222" i="3"/>
  <c r="AR222" i="3" s="1"/>
  <c r="O217" i="2"/>
  <c r="AO218" i="3"/>
  <c r="AR218" i="3" s="1"/>
  <c r="O213" i="2"/>
  <c r="AO509" i="3" s="1"/>
  <c r="AR509" i="3" s="1"/>
  <c r="AO214" i="3"/>
  <c r="AR214" i="3" s="1"/>
  <c r="O201" i="2"/>
  <c r="AO202" i="3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AO134" i="3" s="1"/>
  <c r="AR134" i="3" s="1"/>
  <c r="O121" i="2"/>
  <c r="AO417" i="3" s="1"/>
  <c r="AR417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389" i="3" s="1"/>
  <c r="AR389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1" i="3" s="1"/>
  <c r="AW11" i="3" s="1"/>
  <c r="S18" i="2"/>
  <c r="S10" i="2"/>
  <c r="AY11" i="3" s="1"/>
  <c r="BB11" i="3" s="1"/>
  <c r="U18" i="2"/>
  <c r="U10" i="2"/>
  <c r="BD11" i="3" s="1"/>
  <c r="BG11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69" i="3"/>
  <c r="AR569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21" i="3"/>
  <c r="AW52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77" i="3"/>
  <c r="AW577" i="3" s="1"/>
  <c r="AT545" i="3"/>
  <c r="AW545" i="3" s="1"/>
  <c r="AT449" i="3"/>
  <c r="AW449" i="3" s="1"/>
  <c r="AT417" i="3"/>
  <c r="AW417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593" i="3"/>
  <c r="AW593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473" i="3"/>
  <c r="AW473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AO601" i="3" s="1"/>
  <c r="AR601" i="3" s="1"/>
  <c r="O285" i="2"/>
  <c r="AO581" i="3" s="1"/>
  <c r="AR581" i="3" s="1"/>
  <c r="O269" i="2"/>
  <c r="O253" i="2"/>
  <c r="AO549" i="3" s="1"/>
  <c r="AR549" i="3" s="1"/>
  <c r="O229" i="2"/>
  <c r="AO525" i="3" s="1"/>
  <c r="AR525" i="3" s="1"/>
  <c r="O205" i="2"/>
  <c r="O177" i="2"/>
  <c r="AO473" i="3" s="1"/>
  <c r="AR473" i="3" s="1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AO493" i="3" s="1"/>
  <c r="AR493" i="3" s="1"/>
  <c r="O173" i="2"/>
  <c r="O145" i="2"/>
  <c r="AO441" i="3" s="1"/>
  <c r="AR441" i="3" s="1"/>
  <c r="O125" i="2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Q359" i="2"/>
  <c r="AT360" i="3" s="1"/>
  <c r="AW360" i="3" s="1"/>
  <c r="Q355" i="2"/>
  <c r="Q351" i="2"/>
  <c r="AT647" i="3" s="1"/>
  <c r="AW647" i="3" s="1"/>
  <c r="Q347" i="2"/>
  <c r="Q343" i="2"/>
  <c r="Q339" i="2"/>
  <c r="Q335" i="2"/>
  <c r="AT336" i="3" s="1"/>
  <c r="AW336" i="3" s="1"/>
  <c r="Q331" i="2"/>
  <c r="Q327" i="2"/>
  <c r="AT328" i="3" s="1"/>
  <c r="AW328" i="3" s="1"/>
  <c r="Q323" i="2"/>
  <c r="Q319" i="2"/>
  <c r="AT320" i="3" s="1"/>
  <c r="AW320" i="3" s="1"/>
  <c r="Q315" i="2"/>
  <c r="Q311" i="2"/>
  <c r="AT312" i="3" s="1"/>
  <c r="AW312" i="3" s="1"/>
  <c r="Q307" i="2"/>
  <c r="Q303" i="2"/>
  <c r="AT304" i="3" s="1"/>
  <c r="AW304" i="3" s="1"/>
  <c r="AT599" i="3"/>
  <c r="AW599" i="3" s="1"/>
  <c r="Q299" i="2"/>
  <c r="Q295" i="2"/>
  <c r="AT296" i="3" s="1"/>
  <c r="AW296" i="3" s="1"/>
  <c r="Q291" i="2"/>
  <c r="Q287" i="2"/>
  <c r="AT583" i="3" s="1"/>
  <c r="AW583" i="3" s="1"/>
  <c r="Q283" i="2"/>
  <c r="Q279" i="2"/>
  <c r="AT280" i="3" s="1"/>
  <c r="AW280" i="3" s="1"/>
  <c r="Q275" i="2"/>
  <c r="Q271" i="2"/>
  <c r="AT272" i="3" s="1"/>
  <c r="AW272" i="3" s="1"/>
  <c r="Q267" i="2"/>
  <c r="Q263" i="2"/>
  <c r="Q259" i="2"/>
  <c r="Q255" i="2"/>
  <c r="AT256" i="3" s="1"/>
  <c r="AW256" i="3" s="1"/>
  <c r="Q251" i="2"/>
  <c r="Q247" i="2"/>
  <c r="AT248" i="3" s="1"/>
  <c r="AW248" i="3" s="1"/>
  <c r="Q243" i="2"/>
  <c r="Q239" i="2"/>
  <c r="Q235" i="2"/>
  <c r="Q231" i="2"/>
  <c r="AT232" i="3" s="1"/>
  <c r="AW232" i="3" s="1"/>
  <c r="AT527" i="3"/>
  <c r="AW527" i="3" s="1"/>
  <c r="Q227" i="2"/>
  <c r="Q223" i="2"/>
  <c r="AT519" i="3" s="1"/>
  <c r="AW519" i="3" s="1"/>
  <c r="Q219" i="2"/>
  <c r="Q215" i="2"/>
  <c r="Q211" i="2"/>
  <c r="Q207" i="2"/>
  <c r="AT208" i="3" s="1"/>
  <c r="AW208" i="3" s="1"/>
  <c r="Q203" i="2"/>
  <c r="Q199" i="2"/>
  <c r="AT200" i="3" s="1"/>
  <c r="AW200" i="3" s="1"/>
  <c r="Q195" i="2"/>
  <c r="Q191" i="2"/>
  <c r="AT374" i="3" s="1"/>
  <c r="AW374" i="3" s="1"/>
  <c r="Q187" i="2"/>
  <c r="AT483" i="3" s="1"/>
  <c r="AW483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Q167" i="2"/>
  <c r="AT168" i="3" s="1"/>
  <c r="AW168" i="3" s="1"/>
  <c r="Q163" i="2"/>
  <c r="AT164" i="3" s="1"/>
  <c r="AW164" i="3" s="1"/>
  <c r="AT459" i="3"/>
  <c r="AW459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443" i="3" s="1"/>
  <c r="AW443" i="3" s="1"/>
  <c r="Q143" i="2"/>
  <c r="Q139" i="2"/>
  <c r="Q135" i="2"/>
  <c r="Q131" i="2"/>
  <c r="AT427" i="3" s="1"/>
  <c r="AW427" i="3" s="1"/>
  <c r="Q127" i="2"/>
  <c r="Q123" i="2"/>
  <c r="Q119" i="2"/>
  <c r="Q115" i="2"/>
  <c r="AT411" i="3" s="1"/>
  <c r="AW411" i="3" s="1"/>
  <c r="Q111" i="2"/>
  <c r="Q107" i="2"/>
  <c r="Q103" i="2"/>
  <c r="Q99" i="2"/>
  <c r="AT395" i="3" s="1"/>
  <c r="AW395" i="3" s="1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Q348" i="2"/>
  <c r="AT349" i="3" s="1"/>
  <c r="AW349" i="3" s="1"/>
  <c r="Q340" i="2"/>
  <c r="AT341" i="3" s="1"/>
  <c r="AW341" i="3" s="1"/>
  <c r="Q332" i="2"/>
  <c r="AT333" i="3" s="1"/>
  <c r="AW333" i="3" s="1"/>
  <c r="Q324" i="2"/>
  <c r="AT325" i="3" s="1"/>
  <c r="AW325" i="3" s="1"/>
  <c r="AT620" i="3"/>
  <c r="AW620" i="3" s="1"/>
  <c r="Q316" i="2"/>
  <c r="AT317" i="3" s="1"/>
  <c r="AW317" i="3" s="1"/>
  <c r="Q308" i="2"/>
  <c r="AT309" i="3" s="1"/>
  <c r="AW309" i="3" s="1"/>
  <c r="Q300" i="2"/>
  <c r="AT301" i="3" s="1"/>
  <c r="AW301" i="3" s="1"/>
  <c r="Q292" i="2"/>
  <c r="Q284" i="2"/>
  <c r="AT285" i="3" s="1"/>
  <c r="AW285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253" i="3" s="1"/>
  <c r="AW253" i="3" s="1"/>
  <c r="Q244" i="2"/>
  <c r="AT245" i="3" s="1"/>
  <c r="AW245" i="3" s="1"/>
  <c r="AT540" i="3"/>
  <c r="AW540" i="3" s="1"/>
  <c r="Q236" i="2"/>
  <c r="AT237" i="3" s="1"/>
  <c r="AW237" i="3" s="1"/>
  <c r="Q228" i="2"/>
  <c r="Q220" i="2"/>
  <c r="AT221" i="3" s="1"/>
  <c r="AW221" i="3" s="1"/>
  <c r="Q212" i="2"/>
  <c r="AT213" i="3" s="1"/>
  <c r="AW213" i="3" s="1"/>
  <c r="Q204" i="2"/>
  <c r="AT205" i="3" s="1"/>
  <c r="AW205" i="3" s="1"/>
  <c r="Q196" i="2"/>
  <c r="AT379" i="3" s="1"/>
  <c r="AW379" i="3" s="1"/>
  <c r="AT492" i="3"/>
  <c r="AW492" i="3" s="1"/>
  <c r="Q188" i="2"/>
  <c r="AT484" i="3" s="1"/>
  <c r="AW484" i="3" s="1"/>
  <c r="Q180" i="2"/>
  <c r="AT181" i="3" s="1"/>
  <c r="AW181" i="3" s="1"/>
  <c r="Q172" i="2"/>
  <c r="AT173" i="3" s="1"/>
  <c r="AW173" i="3" s="1"/>
  <c r="Q164" i="2"/>
  <c r="Q156" i="2"/>
  <c r="AT157" i="3" s="1"/>
  <c r="AW157" i="3" s="1"/>
  <c r="Q148" i="2"/>
  <c r="AT149" i="3" s="1"/>
  <c r="AW149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45" i="3"/>
  <c r="AW645" i="3" s="1"/>
  <c r="AT629" i="3"/>
  <c r="AW629" i="3" s="1"/>
  <c r="AT613" i="3"/>
  <c r="AW613" i="3" s="1"/>
  <c r="AT589" i="3"/>
  <c r="AW589" i="3" s="1"/>
  <c r="AT573" i="3"/>
  <c r="AW573" i="3" s="1"/>
  <c r="AT565" i="3"/>
  <c r="AW565" i="3" s="1"/>
  <c r="AT557" i="3"/>
  <c r="AW557" i="3" s="1"/>
  <c r="AT533" i="3"/>
  <c r="AW533" i="3" s="1"/>
  <c r="AT517" i="3"/>
  <c r="AW517" i="3" s="1"/>
  <c r="AT501" i="3"/>
  <c r="AW501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29" i="3"/>
  <c r="AW429" i="3" s="1"/>
  <c r="AT413" i="3"/>
  <c r="AW413" i="3" s="1"/>
  <c r="AT405" i="3"/>
  <c r="AW405" i="3" s="1"/>
  <c r="AT397" i="3"/>
  <c r="AW397" i="3" s="1"/>
  <c r="AT389" i="3"/>
  <c r="AW389" i="3" s="1"/>
  <c r="Q544" i="2"/>
  <c r="AT840" i="3" s="1"/>
  <c r="AW840" i="3" s="1"/>
  <c r="Q536" i="2"/>
  <c r="AT832" i="3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353" i="3" s="1"/>
  <c r="AW353" i="3" s="1"/>
  <c r="Q344" i="2"/>
  <c r="AT345" i="3" s="1"/>
  <c r="AW345" i="3" s="1"/>
  <c r="Q336" i="2"/>
  <c r="AT337" i="3" s="1"/>
  <c r="AW337" i="3" s="1"/>
  <c r="Q328" i="2"/>
  <c r="AT329" i="3" s="1"/>
  <c r="AW329" i="3" s="1"/>
  <c r="Q320" i="2"/>
  <c r="AT321" i="3" s="1"/>
  <c r="AW321" i="3" s="1"/>
  <c r="Q312" i="2"/>
  <c r="Q304" i="2"/>
  <c r="AT305" i="3" s="1"/>
  <c r="AW305" i="3" s="1"/>
  <c r="Q296" i="2"/>
  <c r="AT297" i="3" s="1"/>
  <c r="AW297" i="3" s="1"/>
  <c r="Q288" i="2"/>
  <c r="AT289" i="3" s="1"/>
  <c r="AW289" i="3" s="1"/>
  <c r="Q280" i="2"/>
  <c r="AT281" i="3" s="1"/>
  <c r="AW281" i="3" s="1"/>
  <c r="AT576" i="3"/>
  <c r="AW576" i="3" s="1"/>
  <c r="Q272" i="2"/>
  <c r="AT273" i="3" s="1"/>
  <c r="AW273" i="3" s="1"/>
  <c r="Q264" i="2"/>
  <c r="AT265" i="3" s="1"/>
  <c r="AW265" i="3" s="1"/>
  <c r="Q256" i="2"/>
  <c r="AT257" i="3" s="1"/>
  <c r="AW257" i="3" s="1"/>
  <c r="Q248" i="2"/>
  <c r="Q240" i="2"/>
  <c r="AT241" i="3" s="1"/>
  <c r="AW241" i="3" s="1"/>
  <c r="Q232" i="2"/>
  <c r="AT233" i="3" s="1"/>
  <c r="AW233" i="3" s="1"/>
  <c r="Q224" i="2"/>
  <c r="AT225" i="3" s="1"/>
  <c r="AW225" i="3" s="1"/>
  <c r="Q216" i="2"/>
  <c r="AT217" i="3" s="1"/>
  <c r="AW217" i="3" s="1"/>
  <c r="Q208" i="2"/>
  <c r="AT209" i="3" s="1"/>
  <c r="AW209" i="3" s="1"/>
  <c r="Q200" i="2"/>
  <c r="AT201" i="3" s="1"/>
  <c r="AW201" i="3" s="1"/>
  <c r="Q192" i="2"/>
  <c r="AT488" i="3" s="1"/>
  <c r="AW488" i="3" s="1"/>
  <c r="Q184" i="2"/>
  <c r="Q176" i="2"/>
  <c r="AT177" i="3" s="1"/>
  <c r="AW177" i="3" s="1"/>
  <c r="Q168" i="2"/>
  <c r="AT169" i="3" s="1"/>
  <c r="AW169" i="3" s="1"/>
  <c r="Q160" i="2"/>
  <c r="AT161" i="3" s="1"/>
  <c r="AW161" i="3" s="1"/>
  <c r="Q152" i="2"/>
  <c r="AT153" i="3" s="1"/>
  <c r="AW153" i="3" s="1"/>
  <c r="AT448" i="3"/>
  <c r="AW448" i="3" s="1"/>
  <c r="Q144" i="2"/>
  <c r="Q132" i="2"/>
  <c r="Q124" i="2"/>
  <c r="Q116" i="2"/>
  <c r="Q108" i="2"/>
  <c r="Q100" i="2"/>
  <c r="AT396" i="3" s="1"/>
  <c r="AW396" i="3" s="1"/>
  <c r="Q92" i="2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AT490" i="3" s="1"/>
  <c r="AW490" i="3" s="1"/>
  <c r="Q190" i="2"/>
  <c r="AT191" i="3" s="1"/>
  <c r="AW191" i="3" s="1"/>
  <c r="Q186" i="2"/>
  <c r="AT482" i="3" s="1"/>
  <c r="AW482" i="3" s="1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Q110" i="2"/>
  <c r="Q106" i="2"/>
  <c r="AT107" i="3" s="1"/>
  <c r="AW107" i="3" s="1"/>
  <c r="AT402" i="3"/>
  <c r="AW402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26" i="3"/>
  <c r="AR626" i="3" s="1"/>
  <c r="AO594" i="3"/>
  <c r="AR594" i="3" s="1"/>
  <c r="AO546" i="3"/>
  <c r="AR546" i="3" s="1"/>
  <c r="AO530" i="3"/>
  <c r="AR530" i="3" s="1"/>
  <c r="AO466" i="3"/>
  <c r="AR466" i="3" s="1"/>
  <c r="O154" i="2"/>
  <c r="O150" i="2"/>
  <c r="O142" i="2"/>
  <c r="AO438" i="3" s="1"/>
  <c r="AR438" i="3" s="1"/>
  <c r="O138" i="2"/>
  <c r="O134" i="2"/>
  <c r="O130" i="2"/>
  <c r="AO426" i="3" s="1"/>
  <c r="AR426" i="3" s="1"/>
  <c r="O126" i="2"/>
  <c r="AO422" i="3" s="1"/>
  <c r="AR422" i="3" s="1"/>
  <c r="O122" i="2"/>
  <c r="O114" i="2"/>
  <c r="AO410" i="3" s="1"/>
  <c r="AR410" i="3" s="1"/>
  <c r="O110" i="2"/>
  <c r="O102" i="2"/>
  <c r="AO398" i="3" s="1"/>
  <c r="AR398" i="3" s="1"/>
  <c r="O98" i="2"/>
  <c r="AO394" i="3" s="1"/>
  <c r="AR394" i="3" s="1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55" i="3"/>
  <c r="AR655" i="3" s="1"/>
  <c r="AO651" i="3"/>
  <c r="AR651" i="3" s="1"/>
  <c r="AO643" i="3"/>
  <c r="AR643" i="3" s="1"/>
  <c r="AO639" i="3"/>
  <c r="AR639" i="3" s="1"/>
  <c r="AO635" i="3"/>
  <c r="AR635" i="3" s="1"/>
  <c r="AO627" i="3"/>
  <c r="AR627" i="3" s="1"/>
  <c r="AO623" i="3"/>
  <c r="AR623" i="3" s="1"/>
  <c r="AO619" i="3"/>
  <c r="AR619" i="3" s="1"/>
  <c r="AO611" i="3"/>
  <c r="AR611" i="3" s="1"/>
  <c r="AO607" i="3"/>
  <c r="AR607" i="3" s="1"/>
  <c r="AO603" i="3"/>
  <c r="AR603" i="3" s="1"/>
  <c r="AO595" i="3"/>
  <c r="AR595" i="3" s="1"/>
  <c r="AO591" i="3"/>
  <c r="AR591" i="3" s="1"/>
  <c r="AO587" i="3"/>
  <c r="AR587" i="3" s="1"/>
  <c r="AO579" i="3"/>
  <c r="AR579" i="3" s="1"/>
  <c r="AO575" i="3"/>
  <c r="AR575" i="3" s="1"/>
  <c r="AO571" i="3"/>
  <c r="AR571" i="3" s="1"/>
  <c r="AO563" i="3"/>
  <c r="AR563" i="3" s="1"/>
  <c r="AO559" i="3"/>
  <c r="AR559" i="3" s="1"/>
  <c r="AO555" i="3"/>
  <c r="AR555" i="3" s="1"/>
  <c r="AO547" i="3"/>
  <c r="AR547" i="3" s="1"/>
  <c r="AO543" i="3"/>
  <c r="AR543" i="3" s="1"/>
  <c r="AO539" i="3"/>
  <c r="AR539" i="3" s="1"/>
  <c r="AO531" i="3"/>
  <c r="AR531" i="3" s="1"/>
  <c r="AO527" i="3"/>
  <c r="AR527" i="3" s="1"/>
  <c r="AO523" i="3"/>
  <c r="AR523" i="3" s="1"/>
  <c r="AO515" i="3"/>
  <c r="AR515" i="3" s="1"/>
  <c r="AO511" i="3"/>
  <c r="AR511" i="3" s="1"/>
  <c r="AO507" i="3"/>
  <c r="AR507" i="3" s="1"/>
  <c r="AO499" i="3"/>
  <c r="AR499" i="3" s="1"/>
  <c r="AO495" i="3"/>
  <c r="AR495" i="3" s="1"/>
  <c r="AO491" i="3"/>
  <c r="AR491" i="3" s="1"/>
  <c r="AO483" i="3"/>
  <c r="AR483" i="3" s="1"/>
  <c r="AO479" i="3"/>
  <c r="AR479" i="3" s="1"/>
  <c r="AO471" i="3"/>
  <c r="AR471" i="3" s="1"/>
  <c r="AO463" i="3"/>
  <c r="AR463" i="3" s="1"/>
  <c r="AO459" i="3"/>
  <c r="AR459" i="3" s="1"/>
  <c r="AO455" i="3"/>
  <c r="AR455" i="3" s="1"/>
  <c r="AO443" i="3"/>
  <c r="AR443" i="3" s="1"/>
  <c r="AO439" i="3"/>
  <c r="AR439" i="3" s="1"/>
  <c r="AO415" i="3"/>
  <c r="AR415" i="3" s="1"/>
  <c r="AO399" i="3"/>
  <c r="AR399" i="3" s="1"/>
  <c r="AO391" i="3"/>
  <c r="AR391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36" i="3"/>
  <c r="AR636" i="3" s="1"/>
  <c r="AO628" i="3"/>
  <c r="AR628" i="3" s="1"/>
  <c r="AO624" i="3"/>
  <c r="AR624" i="3" s="1"/>
  <c r="AO620" i="3"/>
  <c r="AR620" i="3" s="1"/>
  <c r="AO612" i="3"/>
  <c r="AR612" i="3" s="1"/>
  <c r="AO608" i="3"/>
  <c r="AR608" i="3" s="1"/>
  <c r="AO604" i="3"/>
  <c r="AR604" i="3" s="1"/>
  <c r="AO596" i="3"/>
  <c r="AR596" i="3" s="1"/>
  <c r="AO592" i="3"/>
  <c r="AR592" i="3" s="1"/>
  <c r="AO588" i="3"/>
  <c r="AR588" i="3" s="1"/>
  <c r="AO580" i="3"/>
  <c r="AR580" i="3" s="1"/>
  <c r="AO572" i="3"/>
  <c r="AR572" i="3" s="1"/>
  <c r="AO568" i="3"/>
  <c r="AR568" i="3" s="1"/>
  <c r="AO560" i="3"/>
  <c r="AR560" i="3" s="1"/>
  <c r="AO556" i="3"/>
  <c r="AR556" i="3" s="1"/>
  <c r="AO548" i="3"/>
  <c r="AR548" i="3" s="1"/>
  <c r="AO540" i="3"/>
  <c r="AR540" i="3" s="1"/>
  <c r="AO536" i="3"/>
  <c r="AR536" i="3" s="1"/>
  <c r="AO532" i="3"/>
  <c r="AR532" i="3" s="1"/>
  <c r="AO524" i="3"/>
  <c r="AR524" i="3" s="1"/>
  <c r="AO520" i="3"/>
  <c r="AR520" i="3" s="1"/>
  <c r="AO516" i="3"/>
  <c r="AR516" i="3" s="1"/>
  <c r="AO508" i="3"/>
  <c r="AR508" i="3" s="1"/>
  <c r="AO504" i="3"/>
  <c r="AR504" i="3" s="1"/>
  <c r="AO500" i="3"/>
  <c r="AR500" i="3" s="1"/>
  <c r="AO492" i="3"/>
  <c r="AR492" i="3" s="1"/>
  <c r="AO488" i="3"/>
  <c r="AR488" i="3" s="1"/>
  <c r="AO484" i="3"/>
  <c r="AR484" i="3" s="1"/>
  <c r="AO476" i="3"/>
  <c r="AR476" i="3" s="1"/>
  <c r="AO460" i="3"/>
  <c r="AR460" i="3" s="1"/>
  <c r="AO444" i="3"/>
  <c r="AR444" i="3" s="1"/>
  <c r="AO428" i="3"/>
  <c r="AR428" i="3" s="1"/>
  <c r="AO412" i="3"/>
  <c r="AR412" i="3" s="1"/>
  <c r="AO396" i="3"/>
  <c r="AR396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21" i="3"/>
  <c r="AR621" i="3" s="1"/>
  <c r="AO605" i="3"/>
  <c r="AR605" i="3" s="1"/>
  <c r="AO589" i="3"/>
  <c r="AR589" i="3" s="1"/>
  <c r="AO573" i="3"/>
  <c r="AR573" i="3" s="1"/>
  <c r="AO529" i="3"/>
  <c r="AR529" i="3" s="1"/>
  <c r="AO513" i="3"/>
  <c r="AR513" i="3" s="1"/>
  <c r="AO497" i="3"/>
  <c r="AR497" i="3" s="1"/>
  <c r="AO477" i="3"/>
  <c r="AR477" i="3" s="1"/>
  <c r="AO433" i="3"/>
  <c r="AR433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1" i="3"/>
  <c r="BL11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0" i="3" s="1"/>
  <c r="B3" i="3"/>
  <c r="B3" i="2"/>
  <c r="E3" i="2"/>
  <c r="AO413" i="3" l="1"/>
  <c r="AR413" i="3" s="1"/>
  <c r="AO408" i="3"/>
  <c r="AR408" i="3" s="1"/>
  <c r="AO440" i="3"/>
  <c r="AR440" i="3" s="1"/>
  <c r="AO472" i="3"/>
  <c r="AR472" i="3" s="1"/>
  <c r="AO395" i="3"/>
  <c r="AR395" i="3" s="1"/>
  <c r="AO431" i="3"/>
  <c r="AR431" i="3" s="1"/>
  <c r="AO470" i="3"/>
  <c r="AR470" i="3" s="1"/>
  <c r="AO482" i="3"/>
  <c r="AR482" i="3" s="1"/>
  <c r="AT640" i="3"/>
  <c r="AW640" i="3" s="1"/>
  <c r="AT437" i="3"/>
  <c r="AW437" i="3" s="1"/>
  <c r="AT509" i="3"/>
  <c r="AW509" i="3" s="1"/>
  <c r="AT549" i="3"/>
  <c r="AW549" i="3" s="1"/>
  <c r="AT581" i="3"/>
  <c r="AW581" i="3" s="1"/>
  <c r="AT621" i="3"/>
  <c r="AW621" i="3" s="1"/>
  <c r="AT653" i="3"/>
  <c r="AW653" i="3" s="1"/>
  <c r="AT508" i="3"/>
  <c r="AW508" i="3" s="1"/>
  <c r="AT556" i="3"/>
  <c r="AW556" i="3" s="1"/>
  <c r="AT575" i="3"/>
  <c r="AW575" i="3" s="1"/>
  <c r="AT393" i="3"/>
  <c r="AW393" i="3" s="1"/>
  <c r="AO481" i="3"/>
  <c r="AR481" i="3" s="1"/>
  <c r="AT234" i="3"/>
  <c r="AW234" i="3" s="1"/>
  <c r="AT258" i="3"/>
  <c r="AW258" i="3" s="1"/>
  <c r="AT346" i="3"/>
  <c r="AW346" i="3" s="1"/>
  <c r="AO187" i="3"/>
  <c r="AR187" i="3" s="1"/>
  <c r="AO334" i="3"/>
  <c r="AR334" i="3" s="1"/>
  <c r="AO392" i="3"/>
  <c r="AR392" i="3" s="1"/>
  <c r="AO424" i="3"/>
  <c r="AR424" i="3" s="1"/>
  <c r="AO456" i="3"/>
  <c r="AR456" i="3" s="1"/>
  <c r="AO407" i="3"/>
  <c r="AR407" i="3" s="1"/>
  <c r="AT512" i="3"/>
  <c r="AW512" i="3" s="1"/>
  <c r="AT421" i="3"/>
  <c r="AW421" i="3" s="1"/>
  <c r="AT493" i="3"/>
  <c r="AW493" i="3" s="1"/>
  <c r="AT525" i="3"/>
  <c r="AW525" i="3" s="1"/>
  <c r="AT597" i="3"/>
  <c r="AW597" i="3" s="1"/>
  <c r="AT637" i="3"/>
  <c r="AW637" i="3" s="1"/>
  <c r="AT476" i="3"/>
  <c r="AW476" i="3" s="1"/>
  <c r="AT451" i="3"/>
  <c r="AW451" i="3" s="1"/>
  <c r="AT623" i="3"/>
  <c r="AW623" i="3" s="1"/>
  <c r="AO429" i="3"/>
  <c r="AR429" i="3" s="1"/>
  <c r="AO617" i="3"/>
  <c r="AR617" i="3" s="1"/>
  <c r="AT218" i="3"/>
  <c r="AW218" i="3" s="1"/>
  <c r="AT290" i="3"/>
  <c r="AW290" i="3" s="1"/>
  <c r="AT314" i="3"/>
  <c r="AW314" i="3" s="1"/>
  <c r="AT362" i="3"/>
  <c r="AW362" i="3" s="1"/>
  <c r="AT132" i="3"/>
  <c r="AW132" i="3" s="1"/>
  <c r="AT249" i="3"/>
  <c r="AW249" i="3" s="1"/>
  <c r="AT544" i="3"/>
  <c r="AW544" i="3" s="1"/>
  <c r="AT293" i="3"/>
  <c r="AW293" i="3" s="1"/>
  <c r="AT588" i="3"/>
  <c r="AW588" i="3" s="1"/>
  <c r="AT569" i="3"/>
  <c r="AW569" i="3" s="1"/>
  <c r="AT274" i="3"/>
  <c r="AW274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0" i="3"/>
  <c r="AW650" i="3" s="1"/>
  <c r="AT658" i="3"/>
  <c r="AW658" i="3" s="1"/>
  <c r="AT528" i="3"/>
  <c r="AW528" i="3" s="1"/>
  <c r="AT656" i="3"/>
  <c r="AW656" i="3" s="1"/>
  <c r="AT229" i="3"/>
  <c r="AW229" i="3" s="1"/>
  <c r="AT524" i="3"/>
  <c r="AW524" i="3" s="1"/>
  <c r="AT572" i="3"/>
  <c r="AW572" i="3" s="1"/>
  <c r="AT495" i="3"/>
  <c r="AW495" i="3" s="1"/>
  <c r="AT607" i="3"/>
  <c r="AW607" i="3" s="1"/>
  <c r="AT631" i="3"/>
  <c r="AW631" i="3" s="1"/>
  <c r="AT150" i="3"/>
  <c r="AW150" i="3" s="1"/>
  <c r="AT537" i="3"/>
  <c r="AW537" i="3" s="1"/>
  <c r="AT242" i="3"/>
  <c r="AW242" i="3" s="1"/>
  <c r="AT266" i="3"/>
  <c r="AW266" i="3" s="1"/>
  <c r="AT185" i="3"/>
  <c r="AW185" i="3" s="1"/>
  <c r="AT480" i="3"/>
  <c r="AW480" i="3" s="1"/>
  <c r="AT313" i="3"/>
  <c r="AW313" i="3" s="1"/>
  <c r="AT608" i="3"/>
  <c r="AW608" i="3" s="1"/>
  <c r="AT165" i="3"/>
  <c r="AW165" i="3" s="1"/>
  <c r="AT460" i="3"/>
  <c r="AW460" i="3" s="1"/>
  <c r="AT357" i="3"/>
  <c r="AW357" i="3" s="1"/>
  <c r="AT652" i="3"/>
  <c r="AW652" i="3" s="1"/>
  <c r="AT633" i="3"/>
  <c r="AW633" i="3" s="1"/>
  <c r="AT338" i="3"/>
  <c r="AW338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380" i="3"/>
  <c r="AW380" i="3" s="1"/>
  <c r="AT464" i="3"/>
  <c r="AW464" i="3" s="1"/>
  <c r="AT592" i="3"/>
  <c r="AW592" i="3" s="1"/>
  <c r="AT381" i="3"/>
  <c r="AW381" i="3" s="1"/>
  <c r="AT541" i="3"/>
  <c r="AW541" i="3" s="1"/>
  <c r="AT605" i="3"/>
  <c r="AW605" i="3" s="1"/>
  <c r="AT444" i="3"/>
  <c r="AW444" i="3" s="1"/>
  <c r="AT636" i="3"/>
  <c r="AW636" i="3" s="1"/>
  <c r="AT505" i="3"/>
  <c r="AW505" i="3" s="1"/>
  <c r="AT190" i="3"/>
  <c r="AW190" i="3" s="1"/>
  <c r="AT372" i="3"/>
  <c r="AW372" i="3" s="1"/>
  <c r="AT202" i="3"/>
  <c r="AW202" i="3" s="1"/>
  <c r="AT496" i="3"/>
  <c r="AW496" i="3" s="1"/>
  <c r="AT560" i="3"/>
  <c r="AW560" i="3" s="1"/>
  <c r="AT624" i="3"/>
  <c r="AW624" i="3" s="1"/>
  <c r="AT604" i="3"/>
  <c r="AW604" i="3" s="1"/>
  <c r="AT101" i="3"/>
  <c r="AW101" i="3" s="1"/>
  <c r="AO423" i="3"/>
  <c r="AR423" i="3" s="1"/>
  <c r="AO376" i="3"/>
  <c r="AR376" i="3" s="1"/>
  <c r="AO449" i="3"/>
  <c r="AR449" i="3" s="1"/>
  <c r="AO388" i="3"/>
  <c r="AR388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411" i="3"/>
  <c r="AR411" i="3" s="1"/>
  <c r="AO475" i="3"/>
  <c r="AR475" i="3" s="1"/>
  <c r="AO533" i="3"/>
  <c r="AR533" i="3" s="1"/>
  <c r="AO190" i="3"/>
  <c r="AR190" i="3" s="1"/>
  <c r="AO88" i="3"/>
  <c r="AR88" i="3" s="1"/>
  <c r="AO152" i="3"/>
  <c r="AR152" i="3" s="1"/>
  <c r="AO250" i="3"/>
  <c r="AR250" i="3" s="1"/>
  <c r="AO282" i="3"/>
  <c r="AR282" i="3" s="1"/>
  <c r="AO485" i="3"/>
  <c r="AR485" i="3" s="1"/>
  <c r="AO143" i="3"/>
  <c r="AR143" i="3" s="1"/>
  <c r="AO380" i="3"/>
  <c r="AR380" i="3" s="1"/>
  <c r="AO400" i="3"/>
  <c r="AR400" i="3" s="1"/>
  <c r="AO416" i="3"/>
  <c r="AR416" i="3" s="1"/>
  <c r="AO432" i="3"/>
  <c r="AR432" i="3" s="1"/>
  <c r="AO448" i="3"/>
  <c r="AR448" i="3" s="1"/>
  <c r="AO464" i="3"/>
  <c r="AR464" i="3" s="1"/>
  <c r="AO480" i="3"/>
  <c r="AR480" i="3" s="1"/>
  <c r="AO427" i="3"/>
  <c r="AR427" i="3" s="1"/>
  <c r="AO487" i="3"/>
  <c r="AR487" i="3" s="1"/>
  <c r="AO414" i="3"/>
  <c r="AR414" i="3" s="1"/>
  <c r="AO385" i="3"/>
  <c r="AR385" i="3" s="1"/>
  <c r="AO648" i="3"/>
  <c r="AR648" i="3" s="1"/>
  <c r="AO198" i="3"/>
  <c r="AR198" i="3" s="1"/>
  <c r="AO257" i="3"/>
  <c r="AR257" i="3" s="1"/>
  <c r="AO230" i="3"/>
  <c r="AR230" i="3" s="1"/>
  <c r="AT115" i="3"/>
  <c r="AW115" i="3" s="1"/>
  <c r="AT410" i="3"/>
  <c r="AW410" i="3" s="1"/>
  <c r="AT240" i="3"/>
  <c r="AW240" i="3" s="1"/>
  <c r="AT535" i="3"/>
  <c r="AW535" i="3" s="1"/>
  <c r="AT133" i="3"/>
  <c r="AW133" i="3" s="1"/>
  <c r="AT428" i="3"/>
  <c r="AW428" i="3" s="1"/>
  <c r="AT456" i="3"/>
  <c r="AW456" i="3" s="1"/>
  <c r="AT472" i="3"/>
  <c r="AW472" i="3" s="1"/>
  <c r="AT504" i="3"/>
  <c r="AW504" i="3" s="1"/>
  <c r="AT520" i="3"/>
  <c r="AW520" i="3" s="1"/>
  <c r="AT536" i="3"/>
  <c r="AW536" i="3" s="1"/>
  <c r="AT552" i="3"/>
  <c r="AW552" i="3" s="1"/>
  <c r="AT568" i="3"/>
  <c r="AW568" i="3" s="1"/>
  <c r="AT584" i="3"/>
  <c r="AW584" i="3" s="1"/>
  <c r="AT600" i="3"/>
  <c r="AW600" i="3" s="1"/>
  <c r="AT616" i="3"/>
  <c r="AW616" i="3" s="1"/>
  <c r="AT632" i="3"/>
  <c r="AW632" i="3" s="1"/>
  <c r="AT648" i="3"/>
  <c r="AW648" i="3" s="1"/>
  <c r="AT452" i="3"/>
  <c r="AW452" i="3" s="1"/>
  <c r="AT468" i="3"/>
  <c r="AW468" i="3" s="1"/>
  <c r="AT500" i="3"/>
  <c r="AW500" i="3" s="1"/>
  <c r="AT516" i="3"/>
  <c r="AW516" i="3" s="1"/>
  <c r="AT532" i="3"/>
  <c r="AW532" i="3" s="1"/>
  <c r="AT548" i="3"/>
  <c r="AW548" i="3" s="1"/>
  <c r="AT564" i="3"/>
  <c r="AW564" i="3" s="1"/>
  <c r="AT580" i="3"/>
  <c r="AW580" i="3" s="1"/>
  <c r="AT596" i="3"/>
  <c r="AW596" i="3" s="1"/>
  <c r="AT612" i="3"/>
  <c r="AW612" i="3" s="1"/>
  <c r="AT628" i="3"/>
  <c r="AW628" i="3" s="1"/>
  <c r="AT644" i="3"/>
  <c r="AW644" i="3" s="1"/>
  <c r="AT660" i="3"/>
  <c r="AW660" i="3" s="1"/>
  <c r="AT172" i="3"/>
  <c r="AW172" i="3" s="1"/>
  <c r="AT467" i="3"/>
  <c r="AW467" i="3" s="1"/>
  <c r="AT344" i="3"/>
  <c r="AW344" i="3" s="1"/>
  <c r="AT639" i="3"/>
  <c r="AW639" i="3" s="1"/>
  <c r="AT655" i="3"/>
  <c r="AW655" i="3" s="1"/>
  <c r="AT114" i="3"/>
  <c r="AW114" i="3" s="1"/>
  <c r="AT409" i="3"/>
  <c r="AW409" i="3" s="1"/>
  <c r="AT146" i="3"/>
  <c r="AW146" i="3" s="1"/>
  <c r="AT441" i="3"/>
  <c r="AW441" i="3" s="1"/>
  <c r="AT371" i="3"/>
  <c r="AW371" i="3" s="1"/>
  <c r="AT189" i="3"/>
  <c r="AW189" i="3" s="1"/>
  <c r="AT106" i="3"/>
  <c r="AW106" i="3" s="1"/>
  <c r="AT401" i="3"/>
  <c r="AW401" i="3" s="1"/>
  <c r="AT138" i="3"/>
  <c r="AW138" i="3" s="1"/>
  <c r="AT433" i="3"/>
  <c r="AW433" i="3" s="1"/>
  <c r="AT412" i="3"/>
  <c r="AW412" i="3" s="1"/>
  <c r="AT117" i="3"/>
  <c r="AW117" i="3" s="1"/>
  <c r="AT216" i="3"/>
  <c r="AW216" i="3" s="1"/>
  <c r="AT511" i="3"/>
  <c r="AW511" i="3" s="1"/>
  <c r="AT162" i="3"/>
  <c r="AW162" i="3" s="1"/>
  <c r="AT457" i="3"/>
  <c r="AW457" i="3" s="1"/>
  <c r="AT503" i="3"/>
  <c r="AW503" i="3" s="1"/>
  <c r="AT264" i="3"/>
  <c r="AW264" i="3" s="1"/>
  <c r="AT559" i="3"/>
  <c r="AW559" i="3" s="1"/>
  <c r="AT368" i="3"/>
  <c r="AW368" i="3" s="1"/>
  <c r="AT663" i="3"/>
  <c r="AW663" i="3" s="1"/>
  <c r="AT465" i="3"/>
  <c r="AW465" i="3" s="1"/>
  <c r="AT425" i="3"/>
  <c r="AW425" i="3" s="1"/>
  <c r="AT90" i="3"/>
  <c r="AW90" i="3" s="1"/>
  <c r="AT385" i="3"/>
  <c r="AW385" i="3" s="1"/>
  <c r="AT186" i="3"/>
  <c r="AW186" i="3" s="1"/>
  <c r="AT481" i="3"/>
  <c r="AW481" i="3" s="1"/>
  <c r="AT148" i="3"/>
  <c r="AW148" i="3" s="1"/>
  <c r="AT475" i="3"/>
  <c r="AW475" i="3" s="1"/>
  <c r="AT543" i="3"/>
  <c r="AW543" i="3" s="1"/>
  <c r="AT567" i="3"/>
  <c r="AW567" i="3" s="1"/>
  <c r="AT591" i="3"/>
  <c r="AW591" i="3" s="1"/>
  <c r="AT489" i="3"/>
  <c r="AW489" i="3" s="1"/>
  <c r="AT422" i="3"/>
  <c r="AW422" i="3" s="1"/>
  <c r="AT127" i="3"/>
  <c r="AW127" i="3" s="1"/>
  <c r="AT388" i="3"/>
  <c r="AW388" i="3" s="1"/>
  <c r="AT93" i="3"/>
  <c r="AW93" i="3" s="1"/>
  <c r="AT416" i="3"/>
  <c r="AW416" i="3" s="1"/>
  <c r="AT121" i="3"/>
  <c r="AW121" i="3" s="1"/>
  <c r="AT391" i="3"/>
  <c r="AW391" i="3" s="1"/>
  <c r="AT96" i="3"/>
  <c r="AW96" i="3" s="1"/>
  <c r="AT423" i="3"/>
  <c r="AW423" i="3" s="1"/>
  <c r="AT128" i="3"/>
  <c r="AW128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192" i="3"/>
  <c r="AW192" i="3" s="1"/>
  <c r="AT424" i="3"/>
  <c r="AW424" i="3" s="1"/>
  <c r="AT129" i="3"/>
  <c r="AW129" i="3" s="1"/>
  <c r="AT356" i="3"/>
  <c r="AW356" i="3" s="1"/>
  <c r="AT651" i="3"/>
  <c r="AW651" i="3" s="1"/>
  <c r="AT197" i="3"/>
  <c r="AW197" i="3" s="1"/>
  <c r="AT390" i="3"/>
  <c r="AW390" i="3" s="1"/>
  <c r="AT95" i="3"/>
  <c r="AW95" i="3" s="1"/>
  <c r="AT404" i="3"/>
  <c r="AW404" i="3" s="1"/>
  <c r="AT109" i="3"/>
  <c r="AW109" i="3" s="1"/>
  <c r="AT400" i="3"/>
  <c r="AW400" i="3" s="1"/>
  <c r="AT105" i="3"/>
  <c r="AW105" i="3" s="1"/>
  <c r="AT432" i="3"/>
  <c r="AW432" i="3" s="1"/>
  <c r="AT137" i="3"/>
  <c r="AW137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370" i="3"/>
  <c r="AW370" i="3" s="1"/>
  <c r="AT188" i="3"/>
  <c r="AW188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373" i="3"/>
  <c r="AW373" i="3" s="1"/>
  <c r="AT119" i="3"/>
  <c r="AW119" i="3" s="1"/>
  <c r="AT100" i="3"/>
  <c r="AW100" i="3" s="1"/>
  <c r="AT420" i="3"/>
  <c r="AW420" i="3" s="1"/>
  <c r="AT125" i="3"/>
  <c r="AW125" i="3" s="1"/>
  <c r="AT384" i="3"/>
  <c r="AW384" i="3" s="1"/>
  <c r="AT89" i="3"/>
  <c r="AW89" i="3" s="1"/>
  <c r="AT407" i="3"/>
  <c r="AW407" i="3" s="1"/>
  <c r="AT112" i="3"/>
  <c r="AW112" i="3" s="1"/>
  <c r="AT439" i="3"/>
  <c r="AW439" i="3" s="1"/>
  <c r="AT144" i="3"/>
  <c r="AW144" i="3" s="1"/>
  <c r="AT204" i="3"/>
  <c r="AW204" i="3" s="1"/>
  <c r="AT499" i="3"/>
  <c r="AW499" i="3" s="1"/>
  <c r="AT87" i="3"/>
  <c r="AW87" i="3" s="1"/>
  <c r="AT386" i="3"/>
  <c r="AW386" i="3" s="1"/>
  <c r="AT91" i="3"/>
  <c r="AW91" i="3" s="1"/>
  <c r="AT426" i="3"/>
  <c r="AW426" i="3" s="1"/>
  <c r="AT131" i="3"/>
  <c r="AW131" i="3" s="1"/>
  <c r="AT438" i="3"/>
  <c r="AW438" i="3" s="1"/>
  <c r="AT143" i="3"/>
  <c r="AW143" i="3" s="1"/>
  <c r="AT392" i="3"/>
  <c r="AW392" i="3" s="1"/>
  <c r="AT97" i="3"/>
  <c r="AW97" i="3" s="1"/>
  <c r="AT378" i="3"/>
  <c r="AW378" i="3" s="1"/>
  <c r="AT196" i="3"/>
  <c r="AW196" i="3" s="1"/>
  <c r="AT491" i="3"/>
  <c r="AW491" i="3" s="1"/>
  <c r="AT228" i="3"/>
  <c r="AW228" i="3" s="1"/>
  <c r="AT523" i="3"/>
  <c r="AW523" i="3" s="1"/>
  <c r="AT260" i="3"/>
  <c r="AW260" i="3" s="1"/>
  <c r="AT555" i="3"/>
  <c r="AW555" i="3" s="1"/>
  <c r="AT292" i="3"/>
  <c r="AW292" i="3" s="1"/>
  <c r="AT587" i="3"/>
  <c r="AW587" i="3" s="1"/>
  <c r="AT324" i="3"/>
  <c r="AW324" i="3" s="1"/>
  <c r="AT619" i="3"/>
  <c r="AW619" i="3" s="1"/>
  <c r="AT103" i="3"/>
  <c r="AW103" i="3" s="1"/>
  <c r="AT224" i="3"/>
  <c r="AW224" i="3" s="1"/>
  <c r="AT288" i="3"/>
  <c r="AW288" i="3" s="1"/>
  <c r="AT352" i="3"/>
  <c r="AW352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440" i="3"/>
  <c r="AW440" i="3" s="1"/>
  <c r="AT145" i="3"/>
  <c r="AW145" i="3" s="1"/>
  <c r="AT375" i="3"/>
  <c r="AW375" i="3" s="1"/>
  <c r="AT193" i="3"/>
  <c r="AW193" i="3" s="1"/>
  <c r="AT408" i="3"/>
  <c r="AW408" i="3" s="1"/>
  <c r="AT113" i="3"/>
  <c r="AW113" i="3" s="1"/>
  <c r="AT436" i="3"/>
  <c r="AW436" i="3" s="1"/>
  <c r="AT141" i="3"/>
  <c r="AW14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87" i="3"/>
  <c r="AW487" i="3" s="1"/>
  <c r="AT212" i="3"/>
  <c r="AW212" i="3" s="1"/>
  <c r="AT507" i="3"/>
  <c r="AW507" i="3" s="1"/>
  <c r="AT244" i="3"/>
  <c r="AW244" i="3" s="1"/>
  <c r="AT539" i="3"/>
  <c r="AW539" i="3" s="1"/>
  <c r="AT551" i="3"/>
  <c r="AW551" i="3" s="1"/>
  <c r="AT276" i="3"/>
  <c r="AW276" i="3" s="1"/>
  <c r="AT571" i="3"/>
  <c r="AW571" i="3" s="1"/>
  <c r="AT308" i="3"/>
  <c r="AW308" i="3" s="1"/>
  <c r="AT603" i="3"/>
  <c r="AW603" i="3" s="1"/>
  <c r="AT615" i="3"/>
  <c r="AW615" i="3" s="1"/>
  <c r="AT340" i="3"/>
  <c r="AW340" i="3" s="1"/>
  <c r="AT635" i="3"/>
  <c r="AW635" i="3" s="1"/>
  <c r="AT135" i="3"/>
  <c r="AW135" i="3" s="1"/>
  <c r="AT116" i="3"/>
  <c r="AW116" i="3" s="1"/>
  <c r="AO418" i="3"/>
  <c r="AR418" i="3" s="1"/>
  <c r="AO123" i="3"/>
  <c r="AR123" i="3" s="1"/>
  <c r="AO434" i="3"/>
  <c r="AR434" i="3" s="1"/>
  <c r="AO139" i="3"/>
  <c r="AR139" i="3" s="1"/>
  <c r="AO421" i="3"/>
  <c r="AR421" i="3" s="1"/>
  <c r="AO126" i="3"/>
  <c r="AR126" i="3" s="1"/>
  <c r="AO597" i="3"/>
  <c r="AR597" i="3" s="1"/>
  <c r="AO302" i="3"/>
  <c r="AR302" i="3" s="1"/>
  <c r="AO384" i="3"/>
  <c r="AR384" i="3" s="1"/>
  <c r="AO89" i="3"/>
  <c r="AR89" i="3" s="1"/>
  <c r="AO501" i="3"/>
  <c r="AR501" i="3" s="1"/>
  <c r="AO206" i="3"/>
  <c r="AR206" i="3" s="1"/>
  <c r="AO373" i="3"/>
  <c r="AR373" i="3" s="1"/>
  <c r="AO330" i="3"/>
  <c r="AR330" i="3" s="1"/>
  <c r="AO131" i="3"/>
  <c r="AR131" i="3" s="1"/>
  <c r="AO397" i="3"/>
  <c r="AR397" i="3" s="1"/>
  <c r="AO445" i="3"/>
  <c r="AR445" i="3" s="1"/>
  <c r="AO478" i="3"/>
  <c r="AR478" i="3" s="1"/>
  <c r="AO486" i="3"/>
  <c r="AR486" i="3" s="1"/>
  <c r="AO437" i="3"/>
  <c r="AR437" i="3" s="1"/>
  <c r="AO425" i="3"/>
  <c r="AR425" i="3" s="1"/>
  <c r="AO130" i="3"/>
  <c r="AR130" i="3" s="1"/>
  <c r="AO576" i="3"/>
  <c r="AR576" i="3" s="1"/>
  <c r="AO281" i="3"/>
  <c r="AR281" i="3" s="1"/>
  <c r="AO458" i="3"/>
  <c r="AR458" i="3" s="1"/>
  <c r="AO457" i="3"/>
  <c r="AR457" i="3" s="1"/>
  <c r="AO162" i="3"/>
  <c r="AR162" i="3" s="1"/>
  <c r="AO641" i="3"/>
  <c r="AR641" i="3" s="1"/>
  <c r="AO346" i="3"/>
  <c r="AR346" i="3" s="1"/>
  <c r="AO657" i="3"/>
  <c r="AR657" i="3" s="1"/>
  <c r="AO94" i="3"/>
  <c r="AR94" i="3" s="1"/>
  <c r="AO122" i="3"/>
  <c r="AR122" i="3" s="1"/>
  <c r="AO194" i="3"/>
  <c r="AR194" i="3" s="1"/>
  <c r="AO374" i="3"/>
  <c r="AR374" i="3" s="1"/>
  <c r="AO226" i="3"/>
  <c r="AR226" i="3" s="1"/>
  <c r="AO127" i="3"/>
  <c r="AR127" i="3" s="1"/>
  <c r="AO98" i="3"/>
  <c r="AR98" i="3" s="1"/>
  <c r="AO254" i="3"/>
  <c r="AR254" i="3" s="1"/>
  <c r="AO147" i="3"/>
  <c r="AR147" i="3" s="1"/>
  <c r="AO406" i="3"/>
  <c r="AR406" i="3" s="1"/>
  <c r="AO111" i="3"/>
  <c r="AR11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505" i="3"/>
  <c r="AR505" i="3" s="1"/>
  <c r="AO210" i="3"/>
  <c r="AR210" i="3" s="1"/>
  <c r="AO537" i="3"/>
  <c r="AR537" i="3" s="1"/>
  <c r="AO242" i="3"/>
  <c r="AR242" i="3" s="1"/>
  <c r="AO99" i="3"/>
  <c r="AR99" i="3" s="1"/>
  <c r="AO311" i="3"/>
  <c r="AR311" i="3" s="1"/>
  <c r="AO465" i="3"/>
  <c r="AR465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67" i="3"/>
  <c r="AR467" i="3" s="1"/>
  <c r="AO386" i="3"/>
  <c r="AR386" i="3" s="1"/>
  <c r="AO91" i="3"/>
  <c r="AR91" i="3" s="1"/>
  <c r="AO430" i="3"/>
  <c r="AR430" i="3" s="1"/>
  <c r="AO135" i="3"/>
  <c r="AR135" i="3" s="1"/>
  <c r="AO450" i="3"/>
  <c r="AR450" i="3" s="1"/>
  <c r="AO155" i="3"/>
  <c r="AR155" i="3" s="1"/>
  <c r="AO11" i="3"/>
  <c r="AR11" i="3" s="1"/>
  <c r="AO402" i="3"/>
  <c r="AR402" i="3" s="1"/>
  <c r="AO107" i="3"/>
  <c r="AR107" i="3" s="1"/>
  <c r="AO405" i="3"/>
  <c r="AR405" i="3" s="1"/>
  <c r="AO565" i="3"/>
  <c r="AR565" i="3" s="1"/>
  <c r="AO270" i="3"/>
  <c r="AR270" i="3" s="1"/>
  <c r="AO593" i="3"/>
  <c r="AR593" i="3" s="1"/>
  <c r="AO656" i="3"/>
  <c r="AR656" i="3" s="1"/>
  <c r="AO158" i="3"/>
  <c r="AR158" i="3" s="1"/>
  <c r="AO286" i="3"/>
  <c r="AR286" i="3" s="1"/>
  <c r="AO87" i="3"/>
  <c r="AR87" i="3" s="1"/>
  <c r="AO159" i="3"/>
  <c r="AR159" i="3" s="1"/>
  <c r="AO178" i="3"/>
  <c r="AR178" i="3" s="1"/>
  <c r="AO306" i="3"/>
  <c r="AR306" i="3" s="1"/>
  <c r="AO115" i="3"/>
  <c r="AR115" i="3" s="1"/>
  <c r="X11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<sst xmlns="http://schemas.openxmlformats.org/spreadsheetml/2006/main" count="1428" uniqueCount="112">
  <si>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</si>
  <si>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</si>
  <si>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</si>
  <si>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</si>
  <si>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</si>
  <si>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</si>
  <si>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</si>
  <si>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</si>
  <si>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</si>
  <si>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</si>
  <si>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</si>
  <si>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</si>
  <si>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</si>
  <si>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</si>
  <si>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</si>
  <si>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</si>
  <si>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</si>
  <si>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</si>
  <si>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</si>
  <si>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</si>
  <si>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</si>
  <si>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</si>
  <si>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</si>
  <si>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</si>
  <si>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</si>
  <si>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</si>
  <si>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</si>
  <si>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</si>
  <si>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</si>
  <si>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</si>
  <si>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</si>
  <si>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</si>
  <si>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</si>
  <si>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</si>
  <si>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</si>
  <si>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</si>
  <si>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</si>
  <si>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</si>
  <si>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</si>
  <si>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</si>
  <si>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</si>
  <si>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</si>
  <si>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</si>
  <si>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</si>
  <si>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</si>
  <si>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</si>
  <si>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</si>
  <si>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</si>
  <si>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</si>
  <si>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</si>
  <si>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</si>
  <si>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</si>
  <si>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</si>
  <si>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</si>
  <si>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</si>
  <si>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</si>
  <si>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</si>
  <si>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</si>
  <si>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</si>
  <si>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</si>
  <si>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</si>
  <si>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</si>
  <si>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</si>
  <si>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</si>
  <si>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</si>
  <si>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</si>
  <si>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</si>
  <si>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</si>
  <si>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</si>
  <si>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</si>
  <si>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</si>
  <si>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</si>
  <si>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</si>
  <si>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</si>
  <si>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</si>
  <si>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</si>
  <si>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</si>
  <si>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</si>
  <si>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</si>
  <si>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</si>
  <si>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</si>
  <si>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</si>
  <si>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</si>
  <si>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</si>
  <si>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</si>
  <si>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</si>
  <si>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</si>
  <si>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</si>
  <si>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Altoona, IA</t>
  </si>
  <si>
    <t>Cherry Stovall</t>
  </si>
  <si>
    <t>Brian Art</t>
  </si>
  <si>
    <t>ISO-0172161</t>
  </si>
  <si>
    <t>2</t>
  </si>
  <si>
    <t>ZYO IA-18152</t>
  </si>
  <si>
    <t>NE 56th St North of RR</t>
  </si>
  <si>
    <t>BB IA-B1</t>
  </si>
  <si>
    <t>48</t>
  </si>
  <si>
    <t>North to Facebook DC</t>
  </si>
  <si>
    <t>South to Splice-31579 (Fiberlink BB splice)</t>
  </si>
  <si>
    <t>South towards Splice-101358 on CHC-OMA-2</t>
  </si>
  <si>
    <t>101359</t>
  </si>
  <si>
    <t>BRIDGE 101358-101359</t>
  </si>
  <si>
    <t>372-COR3.8-LTA-48</t>
  </si>
  <si>
    <t xml:space="preserve">48 SME CORNING </t>
  </si>
  <si>
    <t>Tyco 450D</t>
  </si>
  <si>
    <t>HH-ZYO IA-18152
Cable ID - BRIDGE 101358-101359
SEQ Duct:1544
SEQ Case: 1606
Slack: 60'</t>
  </si>
  <si>
    <t>1</t>
  </si>
  <si>
    <t>Facebook ISO-0173678 and ISO-0173679</t>
  </si>
  <si>
    <t>Splice 5-10 on IA-B1 to 17-22 on BRIDGE 101358-101359</t>
  </si>
  <si>
    <t>preposition</t>
  </si>
  <si>
    <t>3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</si>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</sst>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79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22" zoomScale="85" zoomScaleNormal="85" workbookViewId="0">
      <selection activeCell="B53" sqref="B53:C57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100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93</v>
      </c>
      <c r="C41" s="316" t="s">
        <v>87</v>
      </c>
      <c r="D41" s="316" t="s">
        <v>94</v>
      </c>
      <c r="E41" s="316" t="s">
        <v>88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 t="s">
        <v>104</v>
      </c>
      <c r="C45" s="307"/>
      <c r="D45" s="310" t="str">
        <f>CONCATENATE('Cable Info'!C11,"  ",'Cable Info'!C18,"   ",'Cable Info'!C25,"  ",'Cable Info'!C32,"   ",'Cable Info'!C39,"   ",'Cable Info'!C46)</f>
        <v xml:space="preserve">BB IA-B1  BB IA-B1   BRIDGE 101358-101359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89</v>
      </c>
      <c r="C50" s="291">
        <v>42671</v>
      </c>
      <c r="D50" s="293" t="s">
        <v>90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 t="s">
        <v>105</v>
      </c>
      <c r="C53" s="301"/>
      <c r="D53" s="276" t="str">
        <f>J8</f>
        <v>101359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78" priority="2">
      <formula>B$41="?"</formula>
    </cfRule>
  </conditionalFormatting>
  <conditionalFormatting sqref="B45:D46">
    <cfRule type="expression" dxfId="77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C32" sqref="C3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101359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95</v>
      </c>
      <c r="D11" s="323" t="s">
        <v>97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96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95</v>
      </c>
      <c r="D18" s="323" t="s">
        <v>98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96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101</v>
      </c>
      <c r="D25" s="323" t="s">
        <v>99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 t="s">
        <v>96</v>
      </c>
      <c r="C27" s="331" t="s">
        <v>103</v>
      </c>
      <c r="D27" s="87" t="s">
        <v>102</v>
      </c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 t="s">
        <v>49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algorithmName="SHA-512" hashValue="JiJXqltIfD5fr61+ykrLWhlVliwFpRg83SEIb5kMdH13crcWrp8Ly8EE1eCI+GtAp76r1CSDI4S0EizXAZZAAw==" saltValue="z7m44aOc9ZAhujwyc2z2hw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76" priority="20">
      <formula>$B$18=""</formula>
    </cfRule>
  </conditionalFormatting>
  <conditionalFormatting sqref="C24:F29 B26:B29">
    <cfRule type="expression" dxfId="75" priority="19">
      <formula>$B$25=""</formula>
    </cfRule>
  </conditionalFormatting>
  <conditionalFormatting sqref="C31:F36 B33:B36">
    <cfRule type="expression" dxfId="74" priority="16">
      <formula>$B$32=""</formula>
    </cfRule>
  </conditionalFormatting>
  <conditionalFormatting sqref="C38:F43 B40:B43">
    <cfRule type="expression" dxfId="73" priority="14">
      <formula>$B$39=""</formula>
    </cfRule>
  </conditionalFormatting>
  <conditionalFormatting sqref="C45:F50 B47:B50">
    <cfRule type="expression" dxfId="72" priority="12">
      <formula>$B$46=""</formula>
    </cfRule>
  </conditionalFormatting>
  <conditionalFormatting sqref="B17:B18">
    <cfRule type="expression" dxfId="71" priority="10">
      <formula>$B$18=""</formula>
    </cfRule>
  </conditionalFormatting>
  <conditionalFormatting sqref="B24:B25">
    <cfRule type="expression" dxfId="70" priority="9">
      <formula>$B$25=""</formula>
    </cfRule>
  </conditionalFormatting>
  <conditionalFormatting sqref="B31:B32">
    <cfRule type="expression" dxfId="69" priority="8">
      <formula>$B$32=""</formula>
    </cfRule>
  </conditionalFormatting>
  <conditionalFormatting sqref="B38:B39">
    <cfRule type="expression" dxfId="68" priority="7">
      <formula>$B$39=""</formula>
    </cfRule>
  </conditionalFormatting>
  <conditionalFormatting sqref="B45:B46">
    <cfRule type="expression" dxfId="67" priority="6">
      <formula>$B$46=""</formula>
    </cfRule>
  </conditionalFormatting>
  <conditionalFormatting sqref="D26:D29">
    <cfRule type="expression" dxfId="66" priority="5">
      <formula>$B$18=""</formula>
    </cfRule>
  </conditionalFormatting>
  <conditionalFormatting sqref="D33:D36">
    <cfRule type="expression" dxfId="65" priority="4">
      <formula>$B$18=""</formula>
    </cfRule>
  </conditionalFormatting>
  <conditionalFormatting sqref="D40:D43">
    <cfRule type="expression" dxfId="64" priority="3">
      <formula>$B$18=""</formula>
    </cfRule>
  </conditionalFormatting>
  <conditionalFormatting sqref="D47:D50">
    <cfRule type="expression" dxfId="63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101359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algorithmName="SHA-512" hashValue="2RCLIsCzbzMtVGw9+l7yc95zZLmUnrpK6ZPQ3V5lQeEcv52UVhJXJnzmRH0fmJu6lz87R6Us2x7dcFpFKOKCJg==" saltValue="eUbneDbtP6S90ZfgJgJFOg==" spinCount="100000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62" priority="14">
      <formula>$B$18=""</formula>
    </cfRule>
  </conditionalFormatting>
  <conditionalFormatting sqref="C24:F29 B26:B29">
    <cfRule type="expression" dxfId="61" priority="13">
      <formula>$B$25=""</formula>
    </cfRule>
  </conditionalFormatting>
  <conditionalFormatting sqref="C31:F36 B33:B36">
    <cfRule type="expression" dxfId="60" priority="12">
      <formula>$B$32=""</formula>
    </cfRule>
  </conditionalFormatting>
  <conditionalFormatting sqref="C38:F43 B40:B43">
    <cfRule type="expression" dxfId="59" priority="11">
      <formula>$B$39=""</formula>
    </cfRule>
  </conditionalFormatting>
  <conditionalFormatting sqref="C45:F50 B47:B50">
    <cfRule type="expression" dxfId="58" priority="10">
      <formula>$B$46=""</formula>
    </cfRule>
  </conditionalFormatting>
  <conditionalFormatting sqref="B17:B18">
    <cfRule type="expression" dxfId="57" priority="9">
      <formula>$B$18=""</formula>
    </cfRule>
  </conditionalFormatting>
  <conditionalFormatting sqref="B24:B25">
    <cfRule type="expression" dxfId="56" priority="8">
      <formula>$B$25=""</formula>
    </cfRule>
  </conditionalFormatting>
  <conditionalFormatting sqref="B31:B32">
    <cfRule type="expression" dxfId="55" priority="7">
      <formula>$B$32=""</formula>
    </cfRule>
  </conditionalFormatting>
  <conditionalFormatting sqref="B38:B39">
    <cfRule type="expression" dxfId="54" priority="6">
      <formula>$B$39=""</formula>
    </cfRule>
  </conditionalFormatting>
  <conditionalFormatting sqref="B45:B46">
    <cfRule type="expression" dxfId="53" priority="5">
      <formula>$B$46=""</formula>
    </cfRule>
  </conditionalFormatting>
  <conditionalFormatting sqref="D26:D29">
    <cfRule type="expression" dxfId="52" priority="4">
      <formula>$B$18=""</formula>
    </cfRule>
  </conditionalFormatting>
  <conditionalFormatting sqref="D33:D36">
    <cfRule type="expression" dxfId="51" priority="3">
      <formula>$B$18=""</formula>
    </cfRule>
  </conditionalFormatting>
  <conditionalFormatting sqref="D40:D43">
    <cfRule type="expression" dxfId="50" priority="2">
      <formula>$B$18=""</formula>
    </cfRule>
  </conditionalFormatting>
  <conditionalFormatting sqref="D47:D50">
    <cfRule type="expression" dxfId="49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6" sqref="B26:F26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101359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 t="s">
        <v>108</v>
      </c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algorithmName="SHA-512" hashValue="4HgykBIgcjcF3P+e5AdoXPpcE/6wnq9uar4cY9DlFRKFF9oFUNgFAwZ+lTCC05VrxKDlR3sW1iJEIP2Mk1pvSQ==" saltValue="aGto+gxE97EcL7cSS8BPhA==" spinCount="100000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K13" sqref="K13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IA-B1</v>
      </c>
      <c r="AI1" s="120" t="s">
        <v>17</v>
      </c>
      <c r="AJ1" s="121" t="s">
        <v>12</v>
      </c>
      <c r="AM1" s="121" t="str">
        <f>AF1</f>
        <v>[A] BB IA-B1</v>
      </c>
      <c r="AN1" s="121" t="s">
        <v>17</v>
      </c>
      <c r="AO1" s="121" t="s">
        <v>13</v>
      </c>
      <c r="AR1" s="121" t="str">
        <f>AF2</f>
        <v>[B] BB IA-B1</v>
      </c>
      <c r="AS1" s="121" t="s">
        <v>17</v>
      </c>
      <c r="AT1" s="121" t="s">
        <v>36</v>
      </c>
      <c r="AW1" s="121" t="str">
        <f>AF3</f>
        <v>[C] BRIDGE 101358-101359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IA-B1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101359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BRIDGE 101358-101359</v>
      </c>
      <c r="AJ3" s="121" t="e">
        <f>IF('Cable Info'!L3="","",CONCATENATE('Cable Info'!L3," - ",'Cable Info'!M3))</f>
        <v>#N/A</v>
      </c>
      <c r="AM3" s="121" t="e">
        <f t="shared" ref="AM3:AM11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1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1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1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1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1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SUM(Y11:Y380)</f>
        <v>0</v>
      </c>
      <c r="Z9" s="253">
        <f>SUM(Z11:Z380)</f>
        <v>0</v>
      </c>
      <c r="AB9" s="253">
        <f>SUM(AB11:AB380)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4.4" thickTop="1" thickBot="1" x14ac:dyDescent="0.3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IA-B1</v>
      </c>
      <c r="D10" s="243" t="s">
        <v>106</v>
      </c>
      <c r="E10" s="259">
        <v>5</v>
      </c>
      <c r="F10" s="110" t="s">
        <v>45</v>
      </c>
      <c r="G10" s="262">
        <v>10</v>
      </c>
      <c r="H10" s="114">
        <f>IF(G10="","",((E10-G10)-1)*(-1))</f>
        <v>6</v>
      </c>
      <c r="I10" s="258">
        <v>5</v>
      </c>
      <c r="J10" s="110" t="s">
        <v>45</v>
      </c>
      <c r="K10" s="267">
        <v>10</v>
      </c>
      <c r="L10" s="246" t="s">
        <v>106</v>
      </c>
      <c r="M10" s="114" t="str">
        <f>IFERROR(IF(P10="","",IF((COUNTIF('Cable Info'!$B$11:$C$50,P10)=0),VLOOKUP(P10,'Cable Info (2)'!$B$11:$C$50,2,FALSE),(VLOOKUP(P10,'Cable Info'!$B$11:$C$50,2,FALSE)))),"NO SUCH EXIT")</f>
        <v>BB IA-B1</v>
      </c>
      <c r="N10" s="129"/>
      <c r="O10" s="179"/>
      <c r="P10" s="130" t="s">
        <v>13</v>
      </c>
      <c r="Q10" s="190"/>
      <c r="R10" s="131" t="s">
        <v>60</v>
      </c>
      <c r="S10" s="131" t="s">
        <v>61</v>
      </c>
      <c r="T10" s="132">
        <v>42671</v>
      </c>
      <c r="U10" s="132">
        <v>42773</v>
      </c>
      <c r="V10" s="133" t="s">
        <v>10</v>
      </c>
      <c r="W10" s="133" t="s">
        <v>91</v>
      </c>
      <c r="X10" s="194">
        <f>IF(V10="","",IF(R10="","",IF(S10="","",IF(R10="SPLICED",(IF(S10="SPLICE",0,9)),IF(V10=$U$3,(IF(S10="BREAK",12,11)),IF(S10="BREAK",2,1))))))</f>
        <v>9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6</v>
      </c>
      <c r="AB10" s="253" t="str">
        <f>IF(E10="","",IF(G10="","",IF(I10="","",IF(K10="","",IF(AA10&lt;&gt;H10,1,"")))))</f>
        <v/>
      </c>
      <c r="AJ10" s="121" t="e">
        <f>IF('Cable Info'!L9="","",CONCATENATE('Cable Info'!L9," - ",'Cable Info'!M9))</f>
        <v>#N/A</v>
      </c>
      <c r="AM10" s="121" t="e">
        <f t="shared" ref="AM10" si="6">IF(AK10="",AJ10,CONCATENATE(AJ10,"  &lt;=&gt; ",AK10," ",AL10))</f>
        <v>#N/A</v>
      </c>
      <c r="AO10" s="121" t="e">
        <f>IF('Cable Info'!N9="","",CONCATENATE('Cable Info'!N9," - ",'Cable Info'!O9))</f>
        <v>#N/A</v>
      </c>
      <c r="AR10" s="121" t="e">
        <f t="shared" ref="AR10" si="7">IF(AP10="",AO10,CONCATENATE(AO10,"  &lt;=&gt; ",AP10," ",AQ10))</f>
        <v>#N/A</v>
      </c>
      <c r="AT10" s="121" t="e">
        <f>IF('Cable Info'!P9="","",CONCATENATE('Cable Info'!P9," - ",'Cable Info'!Q9))</f>
        <v>#N/A</v>
      </c>
      <c r="AW10" s="121" t="e">
        <f t="shared" ref="AW10" si="8">IF(AU10="",AT10,CONCATENATE(AT10,"  &lt;=&gt; ",AU10," ",AV10))</f>
        <v>#N/A</v>
      </c>
      <c r="AY10" s="121" t="str">
        <f>IF('Cable Info'!R9="","",CONCATENATE('Cable Info'!R9," - ",'Cable Info'!S9))</f>
        <v/>
      </c>
      <c r="AZ10" s="121" t="s">
        <v>37</v>
      </c>
      <c r="BB10" s="121" t="str">
        <f t="shared" ref="BB10" si="9">IF(AZ10="",AY10,CONCATENATE(AY10,"  &lt;=&gt; ",AZ10," ",BA10))</f>
        <v xml:space="preserve">  &lt;=&gt; D </v>
      </c>
      <c r="BD10" s="121" t="str">
        <f>IF('Cable Info'!T9="","",CONCATENATE('Cable Info'!T9," - ",'Cable Info'!U9))</f>
        <v/>
      </c>
      <c r="BG10" s="121" t="str">
        <f t="shared" ref="BG10" si="10">IF(BE10="",BD10,CONCATENATE(BD10,"  &lt;=&gt; ",BE10," ",BF10))</f>
        <v/>
      </c>
      <c r="BI10" s="121" t="str">
        <f>IF('Cable Info'!V9="","",CONCATENATE('Cable Info'!V9," - ",'Cable Info'!W9))</f>
        <v/>
      </c>
      <c r="BL10" s="121" t="str">
        <f t="shared" ref="BL10" si="11">IF(BJ10="",BI10,CONCATENATE(BI10,"  &lt;=&gt; ",BJ10," ",BK10))</f>
        <v/>
      </c>
      <c r="CL10" s="250" t="s">
        <v>107</v>
      </c>
    </row>
    <row r="11" spans="1:90" ht="13.8" thickTop="1" x14ac:dyDescent="0.25">
      <c r="A11" s="188"/>
      <c r="B11" s="128" t="s">
        <v>12</v>
      </c>
      <c r="C11" s="114" t="str">
        <f>IFERROR(IF(B11="","",IF((COUNTIF('Cable Info'!$B$11:$C$50,B11)=0),VLOOKUP(B11,'Cable Info (2)'!$B$11:$C$50,2,FALSE),(VLOOKUP(B11,'Cable Info'!$B$11:$C$50,2,FALSE)))),"NO SUCH EXIT")</f>
        <v>BB IA-B1</v>
      </c>
      <c r="D11" s="243" t="s">
        <v>106</v>
      </c>
      <c r="E11" s="259">
        <v>5</v>
      </c>
      <c r="F11" s="110" t="s">
        <v>45</v>
      </c>
      <c r="G11" s="262">
        <v>10</v>
      </c>
      <c r="H11" s="114">
        <f>IF(G11="","",((E11-G11)-1)*(-1))</f>
        <v>6</v>
      </c>
      <c r="I11" s="258">
        <v>17</v>
      </c>
      <c r="J11" s="110" t="s">
        <v>45</v>
      </c>
      <c r="K11" s="267">
        <v>22</v>
      </c>
      <c r="L11" s="246" t="s">
        <v>92</v>
      </c>
      <c r="M11" s="114" t="str">
        <f>IFERROR(IF(P11="","",IF((COUNTIF('Cable Info'!$B$11:$C$50,P11)=0),VLOOKUP(P11,'Cable Info (2)'!$B$11:$C$50,2,FALSE),(VLOOKUP(P11,'Cable Info'!$B$11:$C$50,2,FALSE)))),"NO SUCH EXIT")</f>
        <v>BRIDGE 101358-101359</v>
      </c>
      <c r="N11" s="129"/>
      <c r="O11" s="179"/>
      <c r="P11" s="130" t="s">
        <v>36</v>
      </c>
      <c r="Q11" s="190"/>
      <c r="R11" s="131" t="s">
        <v>60</v>
      </c>
      <c r="S11" s="131" t="s">
        <v>52</v>
      </c>
      <c r="T11" s="132">
        <v>42671</v>
      </c>
      <c r="U11" s="132">
        <v>42773</v>
      </c>
      <c r="V11" s="133" t="s">
        <v>10</v>
      </c>
      <c r="W11" s="133" t="s">
        <v>91</v>
      </c>
      <c r="X11" s="194">
        <f>IF(V11="","",IF(R11="","",IF(S11="","",IF(R11="SPLICED",(IF(S11="SPLICE",0,9)),IF(V11=$U$3,(IF(S11="BREAK",12,11)),IF(S11="BREAK",2,1))))))</f>
        <v>0</v>
      </c>
      <c r="Y11" s="252" t="str">
        <f>IF(E11="","",IF(G11="","",IF(E11&gt;G11,1,"")))</f>
        <v/>
      </c>
      <c r="Z11" s="253" t="str">
        <f>IF(I11="","",IF(K11="","",IF(I11&gt;K11,1,"")))</f>
        <v/>
      </c>
      <c r="AA11" s="253">
        <f>IF(K11="","",((I11-K11)-1)*(-1))</f>
        <v>6</v>
      </c>
      <c r="AB11" s="253" t="str">
        <f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si="0"/>
        <v>#N/A</v>
      </c>
      <c r="AO11" s="121" t="e">
        <f>IF('Cable Info'!N10="","",CONCATENATE('Cable Info'!N10," - ",'Cable Info'!O10))</f>
        <v>#N/A</v>
      </c>
      <c r="AR11" s="121" t="e">
        <f t="shared" si="1"/>
        <v>#N/A</v>
      </c>
      <c r="AT11" s="121" t="e">
        <f>IF('Cable Info'!P10="","",CONCATENATE('Cable Info'!P10," - ",'Cable Info'!Q10))</f>
        <v>#N/A</v>
      </c>
      <c r="AW11" s="121" t="e">
        <f t="shared" si="2"/>
        <v>#N/A</v>
      </c>
      <c r="AY11" s="121" t="str">
        <f>IF('Cable Info'!R10="","",CONCATENATE('Cable Info'!R10," - ",'Cable Info'!S10))</f>
        <v/>
      </c>
      <c r="AZ11" s="121" t="s">
        <v>37</v>
      </c>
      <c r="BB11" s="121" t="str">
        <f t="shared" si="3"/>
        <v xml:space="preserve">  &lt;=&gt; D </v>
      </c>
      <c r="BD11" s="121" t="str">
        <f>IF('Cable Info'!T10="","",CONCATENATE('Cable Info'!T10," - ",'Cable Info'!U10))</f>
        <v/>
      </c>
      <c r="BG11" s="121" t="str">
        <f t="shared" si="4"/>
        <v/>
      </c>
      <c r="BI11" s="121" t="str">
        <f>IF('Cable Info'!V10="","",CONCATENATE('Cable Info'!V10," - ",'Cable Info'!W10))</f>
        <v/>
      </c>
      <c r="BL11" s="121" t="str">
        <f t="shared" si="5"/>
        <v/>
      </c>
      <c r="CL11" s="250" t="s">
        <v>107</v>
      </c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BB IA-B1</v>
      </c>
      <c r="D12" s="244" t="s">
        <v>110</v>
      </c>
      <c r="E12" s="260">
        <v>25</v>
      </c>
      <c r="F12" s="105" t="s">
        <v>45</v>
      </c>
      <c r="G12" s="263">
        <v>36</v>
      </c>
      <c r="H12" s="115">
        <f t="shared" ref="H12" si="12">IF(G12="","",((E12-G12)-1)*(-1))</f>
        <v>12</v>
      </c>
      <c r="I12" s="265">
        <v>25</v>
      </c>
      <c r="J12" s="105" t="s">
        <v>45</v>
      </c>
      <c r="K12" s="268">
        <v>36</v>
      </c>
      <c r="L12" s="247" t="s">
        <v>110</v>
      </c>
      <c r="M12" s="115" t="str">
        <f>IFERROR(IF(P12="","",IF((COUNTIF('Cable Info'!$B$11:$C$50,P12)=0),VLOOKUP(P12,'Cable Info (2)'!$B$11:$C$50,2,FALSE),(VLOOKUP(P12,'Cable Info'!$B$11:$C$50,2,FALSE)))),"NO SUCH EXIT")</f>
        <v>BRIDGE 101358-101359</v>
      </c>
      <c r="N12" s="134"/>
      <c r="O12" s="180"/>
      <c r="P12" s="135" t="s">
        <v>36</v>
      </c>
      <c r="Q12" s="190"/>
      <c r="R12" s="131" t="s">
        <v>60</v>
      </c>
      <c r="S12" s="131" t="s">
        <v>52</v>
      </c>
      <c r="T12" s="132">
        <v>42671</v>
      </c>
      <c r="U12" s="132">
        <v>42773</v>
      </c>
      <c r="V12" s="133" t="s">
        <v>10</v>
      </c>
      <c r="W12" s="133" t="s">
        <v>91</v>
      </c>
      <c r="X12" s="195">
        <f t="shared" ref="X12" si="13">IF(V12="","",IF(R12="","",IF(S12="","",IF(R12="SPLICED",(IF(S12="SPLICE",0,9)),IF(V12=$U$3,(IF(S12="BREAK",12,11)),IF(S12="BREAK",2,1))))))</f>
        <v>0</v>
      </c>
      <c r="Y12" s="252" t="str">
        <f t="shared" ref="Y12" si="14">IF(E12="","",IF(G12="","",IF(E12&gt;G12,1,"")))</f>
        <v/>
      </c>
      <c r="Z12" s="253" t="str">
        <f t="shared" ref="Z12" si="15">IF(I12="","",IF(K12="","",IF(I12&gt;K12,1,"")))</f>
        <v/>
      </c>
      <c r="AA12" s="253">
        <f t="shared" ref="AA12" si="16">IF(K12="","",((I12-K12)-1)*(-1))</f>
        <v>12</v>
      </c>
      <c r="AB12" s="253" t="str">
        <f t="shared" ref="AB12" si="17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18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19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0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1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2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3">IF(BJ12="",BI12,CONCATENATE(BI12,"  &lt;=&gt; ",BJ12," ",BK12))</f>
        <v/>
      </c>
      <c r="CL12" s="251" t="s">
        <v>109</v>
      </c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BB IA-B1</v>
      </c>
      <c r="D13" s="244" t="s">
        <v>111</v>
      </c>
      <c r="E13" s="260">
        <v>37</v>
      </c>
      <c r="F13" s="105" t="s">
        <v>45</v>
      </c>
      <c r="G13" s="263">
        <v>48</v>
      </c>
      <c r="H13" s="115">
        <f t="shared" ref="H13:H76" si="24">IF(G13="","",((E13-G13)-1)*(-1))</f>
        <v>12</v>
      </c>
      <c r="I13" s="265">
        <v>37</v>
      </c>
      <c r="J13" s="105" t="s">
        <v>45</v>
      </c>
      <c r="K13" s="268">
        <v>48</v>
      </c>
      <c r="L13" s="247" t="s">
        <v>111</v>
      </c>
      <c r="M13" s="115" t="str">
        <f>IFERROR(IF(P13="","",IF((COUNTIF('Cable Info'!$B$11:$C$50,P13)=0),VLOOKUP(P13,'Cable Info (2)'!$B$11:$C$50,2,FALSE),(VLOOKUP(P13,'Cable Info'!$B$11:$C$50,2,FALSE)))),"NO SUCH EXIT")</f>
        <v>BRIDGE 101358-101359</v>
      </c>
      <c r="N13" s="134"/>
      <c r="O13" s="180"/>
      <c r="P13" s="135" t="s">
        <v>36</v>
      </c>
      <c r="Q13" s="190"/>
      <c r="R13" s="131" t="s">
        <v>60</v>
      </c>
      <c r="S13" s="131" t="s">
        <v>52</v>
      </c>
      <c r="T13" s="132">
        <v>42671</v>
      </c>
      <c r="U13" s="132">
        <v>42773</v>
      </c>
      <c r="V13" s="133" t="s">
        <v>10</v>
      </c>
      <c r="W13" s="133" t="s">
        <v>91</v>
      </c>
      <c r="X13" s="195">
        <f t="shared" ref="X13:X76" si="25">IF(V13="","",IF(R13="","",IF(S13="","",IF(R13="SPLICED",(IF(S13="SPLICE",0,9)),IF(V13=$U$3,(IF(S13="BREAK",12,11)),IF(S13="BREAK",2,1))))))</f>
        <v>0</v>
      </c>
      <c r="Y13" s="252" t="str">
        <f t="shared" ref="Y13:Y76" si="26">IF(E13="","",IF(G13="","",IF(E13&gt;G13,1,"")))</f>
        <v/>
      </c>
      <c r="Z13" s="253" t="str">
        <f t="shared" ref="Z13:Z76" si="27">IF(I13="","",IF(K13="","",IF(I13&gt;K13,1,"")))</f>
        <v/>
      </c>
      <c r="AA13" s="253">
        <f t="shared" ref="AA13:AA76" si="28">IF(K13="","",((I13-K13)-1)*(-1))</f>
        <v>12</v>
      </c>
      <c r="AB13" s="253" t="str">
        <f t="shared" ref="AB13:AB76" si="29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0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1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2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3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4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35">IF(BJ13="",BI13,CONCATENATE(BI13,"  &lt;=&gt; ",BJ13," ",BK13))</f>
        <v/>
      </c>
      <c r="CL13" s="251" t="s">
        <v>109</v>
      </c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4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25"/>
        <v/>
      </c>
      <c r="Y14" s="252" t="str">
        <f t="shared" si="26"/>
        <v/>
      </c>
      <c r="Z14" s="253" t="str">
        <f t="shared" si="27"/>
        <v/>
      </c>
      <c r="AA14" s="253" t="str">
        <f t="shared" si="28"/>
        <v/>
      </c>
      <c r="AB14" s="253" t="str">
        <f t="shared" si="29"/>
        <v/>
      </c>
      <c r="AJ14" s="121" t="e">
        <f>IF('Cable Info'!L13="","",CONCATENATE('Cable Info'!L13," - ",'Cable Info'!M13))</f>
        <v>#N/A</v>
      </c>
      <c r="AM14" s="121" t="e">
        <f t="shared" si="30"/>
        <v>#N/A</v>
      </c>
      <c r="AO14" s="121" t="e">
        <f>IF('Cable Info'!N13="","",CONCATENATE('Cable Info'!N13," - ",'Cable Info'!O13))</f>
        <v>#N/A</v>
      </c>
      <c r="AR14" s="121" t="e">
        <f t="shared" si="31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2"/>
        <v>#N/A</v>
      </c>
      <c r="AY14" s="121" t="str">
        <f>IF('Cable Info'!R13="","",CONCATENATE('Cable Info'!R13," - ",'Cable Info'!S13))</f>
        <v/>
      </c>
      <c r="BB14" s="121" t="str">
        <f t="shared" si="33"/>
        <v/>
      </c>
      <c r="BD14" s="121" t="str">
        <f>IF('Cable Info'!T13="","",CONCATENATE('Cable Info'!T13," - ",'Cable Info'!U13))</f>
        <v/>
      </c>
      <c r="BG14" s="121" t="str">
        <f t="shared" si="34"/>
        <v/>
      </c>
      <c r="BI14" s="121" t="str">
        <f>IF('Cable Info'!V13="","",CONCATENATE('Cable Info'!V13," - ",'Cable Info'!W13))</f>
        <v/>
      </c>
      <c r="BL14" s="121" t="str">
        <f t="shared" si="35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4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25"/>
        <v/>
      </c>
      <c r="Y15" s="252" t="str">
        <f t="shared" si="26"/>
        <v/>
      </c>
      <c r="Z15" s="253" t="str">
        <f t="shared" si="27"/>
        <v/>
      </c>
      <c r="AA15" s="253" t="str">
        <f t="shared" si="28"/>
        <v/>
      </c>
      <c r="AB15" s="253" t="str">
        <f t="shared" si="29"/>
        <v/>
      </c>
      <c r="AJ15" s="121" t="e">
        <f>IF('Cable Info'!L14="","",CONCATENATE('Cable Info'!L14," - ",'Cable Info'!M14))</f>
        <v>#N/A</v>
      </c>
      <c r="AM15" s="121" t="e">
        <f t="shared" si="30"/>
        <v>#N/A</v>
      </c>
      <c r="AO15" s="121" t="e">
        <f>IF('Cable Info'!N14="","",CONCATENATE('Cable Info'!N14," - ",'Cable Info'!O14))</f>
        <v>#N/A</v>
      </c>
      <c r="AR15" s="121" t="e">
        <f t="shared" si="31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2"/>
        <v>#N/A</v>
      </c>
      <c r="AY15" s="121" t="str">
        <f>IF('Cable Info'!R14="","",CONCATENATE('Cable Info'!R14," - ",'Cable Info'!S14))</f>
        <v/>
      </c>
      <c r="BB15" s="121" t="str">
        <f t="shared" si="33"/>
        <v/>
      </c>
      <c r="BD15" s="121" t="str">
        <f>IF('Cable Info'!T14="","",CONCATENATE('Cable Info'!T14," - ",'Cable Info'!U14))</f>
        <v/>
      </c>
      <c r="BG15" s="121" t="str">
        <f t="shared" si="34"/>
        <v/>
      </c>
      <c r="BI15" s="121" t="str">
        <f>IF('Cable Info'!V14="","",CONCATENATE('Cable Info'!V14," - ",'Cable Info'!W14))</f>
        <v/>
      </c>
      <c r="BL15" s="121" t="str">
        <f t="shared" si="35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4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25"/>
        <v/>
      </c>
      <c r="Y16" s="252" t="str">
        <f t="shared" si="26"/>
        <v/>
      </c>
      <c r="Z16" s="253" t="str">
        <f t="shared" si="27"/>
        <v/>
      </c>
      <c r="AA16" s="253" t="str">
        <f t="shared" si="28"/>
        <v/>
      </c>
      <c r="AB16" s="253" t="str">
        <f t="shared" si="29"/>
        <v/>
      </c>
      <c r="AJ16" s="121" t="e">
        <f>IF('Cable Info'!L15="","",CONCATENATE('Cable Info'!L15," - ",'Cable Info'!M15))</f>
        <v>#N/A</v>
      </c>
      <c r="AM16" s="121" t="e">
        <f t="shared" si="30"/>
        <v>#N/A</v>
      </c>
      <c r="AO16" s="121" t="e">
        <f>IF('Cable Info'!N15="","",CONCATENATE('Cable Info'!N15," - ",'Cable Info'!O15))</f>
        <v>#N/A</v>
      </c>
      <c r="AR16" s="121" t="e">
        <f t="shared" si="31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2"/>
        <v>#N/A</v>
      </c>
      <c r="AY16" s="121" t="str">
        <f>IF('Cable Info'!R15="","",CONCATENATE('Cable Info'!R15," - ",'Cable Info'!S15))</f>
        <v/>
      </c>
      <c r="BB16" s="121" t="str">
        <f t="shared" si="33"/>
        <v/>
      </c>
      <c r="BD16" s="121" t="str">
        <f>IF('Cable Info'!T15="","",CONCATENATE('Cable Info'!T15," - ",'Cable Info'!U15))</f>
        <v/>
      </c>
      <c r="BG16" s="121" t="str">
        <f t="shared" si="34"/>
        <v/>
      </c>
      <c r="BI16" s="121" t="str">
        <f>IF('Cable Info'!V15="","",CONCATENATE('Cable Info'!V15," - ",'Cable Info'!W15))</f>
        <v/>
      </c>
      <c r="BL16" s="121" t="str">
        <f t="shared" si="35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4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25"/>
        <v/>
      </c>
      <c r="Y17" s="252" t="str">
        <f t="shared" si="26"/>
        <v/>
      </c>
      <c r="Z17" s="253" t="str">
        <f t="shared" si="27"/>
        <v/>
      </c>
      <c r="AA17" s="253" t="str">
        <f t="shared" si="28"/>
        <v/>
      </c>
      <c r="AB17" s="253" t="str">
        <f t="shared" si="29"/>
        <v/>
      </c>
      <c r="AJ17" s="121" t="e">
        <f>IF('Cable Info'!L16="","",CONCATENATE('Cable Info'!L16," - ",'Cable Info'!M16))</f>
        <v>#N/A</v>
      </c>
      <c r="AM17" s="121" t="e">
        <f t="shared" si="30"/>
        <v>#N/A</v>
      </c>
      <c r="AO17" s="121" t="e">
        <f>IF('Cable Info'!N16="","",CONCATENATE('Cable Info'!N16," - ",'Cable Info'!O16))</f>
        <v>#N/A</v>
      </c>
      <c r="AR17" s="121" t="e">
        <f t="shared" si="31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2"/>
        <v>#N/A</v>
      </c>
      <c r="AY17" s="121" t="str">
        <f>IF('Cable Info'!R16="","",CONCATENATE('Cable Info'!R16," - ",'Cable Info'!S16))</f>
        <v/>
      </c>
      <c r="BB17" s="121" t="str">
        <f t="shared" si="33"/>
        <v/>
      </c>
      <c r="BD17" s="121" t="str">
        <f>IF('Cable Info'!T16="","",CONCATENATE('Cable Info'!T16," - ",'Cable Info'!U16))</f>
        <v/>
      </c>
      <c r="BG17" s="121" t="str">
        <f t="shared" si="34"/>
        <v/>
      </c>
      <c r="BI17" s="121" t="str">
        <f>IF('Cable Info'!V16="","",CONCATENATE('Cable Info'!V16," - ",'Cable Info'!W16))</f>
        <v/>
      </c>
      <c r="BL17" s="121" t="str">
        <f t="shared" si="35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4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25"/>
        <v/>
      </c>
      <c r="Y18" s="252" t="str">
        <f t="shared" si="26"/>
        <v/>
      </c>
      <c r="Z18" s="253" t="str">
        <f t="shared" si="27"/>
        <v/>
      </c>
      <c r="AA18" s="253" t="str">
        <f t="shared" si="28"/>
        <v/>
      </c>
      <c r="AB18" s="253" t="str">
        <f t="shared" si="29"/>
        <v/>
      </c>
      <c r="AJ18" s="121" t="e">
        <f>IF('Cable Info'!L17="","",CONCATENATE('Cable Info'!L17," - ",'Cable Info'!M17))</f>
        <v>#N/A</v>
      </c>
      <c r="AM18" s="121" t="e">
        <f t="shared" si="30"/>
        <v>#N/A</v>
      </c>
      <c r="AO18" s="121" t="e">
        <f>IF('Cable Info'!N17="","",CONCATENATE('Cable Info'!N17," - ",'Cable Info'!O17))</f>
        <v>#N/A</v>
      </c>
      <c r="AR18" s="121" t="e">
        <f t="shared" si="31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2"/>
        <v>#N/A</v>
      </c>
      <c r="AY18" s="121" t="str">
        <f>IF('Cable Info'!R17="","",CONCATENATE('Cable Info'!R17," - ",'Cable Info'!S17))</f>
        <v/>
      </c>
      <c r="BB18" s="121" t="str">
        <f t="shared" si="33"/>
        <v/>
      </c>
      <c r="BD18" s="121" t="str">
        <f>IF('Cable Info'!T17="","",CONCATENATE('Cable Info'!T17," - ",'Cable Info'!U17))</f>
        <v/>
      </c>
      <c r="BG18" s="121" t="str">
        <f t="shared" si="34"/>
        <v/>
      </c>
      <c r="BI18" s="121" t="str">
        <f>IF('Cable Info'!V17="","",CONCATENATE('Cable Info'!V17," - ",'Cable Info'!W17))</f>
        <v/>
      </c>
      <c r="BL18" s="121" t="str">
        <f t="shared" si="35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4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25"/>
        <v/>
      </c>
      <c r="Y19" s="252" t="str">
        <f t="shared" si="26"/>
        <v/>
      </c>
      <c r="Z19" s="253" t="str">
        <f t="shared" si="27"/>
        <v/>
      </c>
      <c r="AA19" s="253" t="str">
        <f t="shared" si="28"/>
        <v/>
      </c>
      <c r="AB19" s="253" t="str">
        <f t="shared" si="29"/>
        <v/>
      </c>
      <c r="AJ19" s="121" t="e">
        <f>IF('Cable Info'!L18="","",CONCATENATE('Cable Info'!L18," - ",'Cable Info'!M18))</f>
        <v>#N/A</v>
      </c>
      <c r="AM19" s="121" t="e">
        <f t="shared" si="30"/>
        <v>#N/A</v>
      </c>
      <c r="AO19" s="121" t="e">
        <f>IF('Cable Info'!N18="","",CONCATENATE('Cable Info'!N18," - ",'Cable Info'!O18))</f>
        <v>#N/A</v>
      </c>
      <c r="AR19" s="121" t="e">
        <f t="shared" si="31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2"/>
        <v>#N/A</v>
      </c>
      <c r="AY19" s="121" t="str">
        <f>IF('Cable Info'!R18="","",CONCATENATE('Cable Info'!R18," - ",'Cable Info'!S18))</f>
        <v/>
      </c>
      <c r="BB19" s="121" t="str">
        <f t="shared" si="33"/>
        <v/>
      </c>
      <c r="BD19" s="121" t="str">
        <f>IF('Cable Info'!T18="","",CONCATENATE('Cable Info'!T18," - ",'Cable Info'!U18))</f>
        <v/>
      </c>
      <c r="BG19" s="121" t="str">
        <f t="shared" si="34"/>
        <v/>
      </c>
      <c r="BI19" s="121" t="str">
        <f>IF('Cable Info'!V18="","",CONCATENATE('Cable Info'!V18," - ",'Cable Info'!W18))</f>
        <v/>
      </c>
      <c r="BL19" s="121" t="str">
        <f t="shared" si="35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4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25"/>
        <v/>
      </c>
      <c r="Y20" s="252" t="str">
        <f t="shared" si="26"/>
        <v/>
      </c>
      <c r="Z20" s="253" t="str">
        <f t="shared" si="27"/>
        <v/>
      </c>
      <c r="AA20" s="253" t="str">
        <f t="shared" si="28"/>
        <v/>
      </c>
      <c r="AB20" s="253" t="str">
        <f t="shared" si="29"/>
        <v/>
      </c>
      <c r="AJ20" s="121" t="e">
        <f>IF('Cable Info'!L19="","",CONCATENATE('Cable Info'!L19," - ",'Cable Info'!M19))</f>
        <v>#N/A</v>
      </c>
      <c r="AM20" s="121" t="e">
        <f t="shared" si="30"/>
        <v>#N/A</v>
      </c>
      <c r="AO20" s="121" t="e">
        <f>IF('Cable Info'!N19="","",CONCATENATE('Cable Info'!N19," - ",'Cable Info'!O19))</f>
        <v>#N/A</v>
      </c>
      <c r="AR20" s="121" t="e">
        <f t="shared" si="31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2"/>
        <v>#N/A</v>
      </c>
      <c r="AY20" s="121" t="str">
        <f>IF('Cable Info'!R19="","",CONCATENATE('Cable Info'!R19," - ",'Cable Info'!S19))</f>
        <v/>
      </c>
      <c r="BB20" s="121" t="str">
        <f t="shared" si="33"/>
        <v/>
      </c>
      <c r="BD20" s="121" t="str">
        <f>IF('Cable Info'!T19="","",CONCATENATE('Cable Info'!T19," - ",'Cable Info'!U19))</f>
        <v/>
      </c>
      <c r="BG20" s="121" t="str">
        <f t="shared" si="34"/>
        <v/>
      </c>
      <c r="BI20" s="121" t="str">
        <f>IF('Cable Info'!V19="","",CONCATENATE('Cable Info'!V19," - ",'Cable Info'!W19))</f>
        <v/>
      </c>
      <c r="BL20" s="121" t="str">
        <f t="shared" si="35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4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25"/>
        <v/>
      </c>
      <c r="Y21" s="252" t="str">
        <f t="shared" si="26"/>
        <v/>
      </c>
      <c r="Z21" s="253" t="str">
        <f t="shared" si="27"/>
        <v/>
      </c>
      <c r="AA21" s="253" t="str">
        <f t="shared" si="28"/>
        <v/>
      </c>
      <c r="AB21" s="253" t="str">
        <f t="shared" si="29"/>
        <v/>
      </c>
      <c r="AJ21" s="121" t="e">
        <f>IF('Cable Info'!L20="","",CONCATENATE('Cable Info'!L20," - ",'Cable Info'!M20))</f>
        <v>#N/A</v>
      </c>
      <c r="AM21" s="121" t="e">
        <f t="shared" si="30"/>
        <v>#N/A</v>
      </c>
      <c r="AO21" s="121" t="e">
        <f>IF('Cable Info'!N20="","",CONCATENATE('Cable Info'!N20," - ",'Cable Info'!O20))</f>
        <v>#N/A</v>
      </c>
      <c r="AR21" s="121" t="e">
        <f t="shared" si="31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2"/>
        <v>#N/A</v>
      </c>
      <c r="AY21" s="121" t="str">
        <f>IF('Cable Info'!R20="","",CONCATENATE('Cable Info'!R20," - ",'Cable Info'!S20))</f>
        <v/>
      </c>
      <c r="BB21" s="121" t="str">
        <f t="shared" si="33"/>
        <v/>
      </c>
      <c r="BD21" s="121" t="str">
        <f>IF('Cable Info'!T20="","",CONCATENATE('Cable Info'!T20," - ",'Cable Info'!U20))</f>
        <v/>
      </c>
      <c r="BG21" s="121" t="str">
        <f t="shared" si="34"/>
        <v/>
      </c>
      <c r="BI21" s="121" t="str">
        <f>IF('Cable Info'!V20="","",CONCATENATE('Cable Info'!V20," - ",'Cable Info'!W20))</f>
        <v/>
      </c>
      <c r="BL21" s="121" t="str">
        <f t="shared" si="35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4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25"/>
        <v/>
      </c>
      <c r="Y22" s="252" t="str">
        <f t="shared" si="26"/>
        <v/>
      </c>
      <c r="Z22" s="253" t="str">
        <f t="shared" si="27"/>
        <v/>
      </c>
      <c r="AA22" s="253" t="str">
        <f t="shared" si="28"/>
        <v/>
      </c>
      <c r="AB22" s="253" t="str">
        <f t="shared" si="29"/>
        <v/>
      </c>
      <c r="AJ22" s="121" t="e">
        <f>IF('Cable Info'!L21="","",CONCATENATE('Cable Info'!L21," - ",'Cable Info'!M21))</f>
        <v>#N/A</v>
      </c>
      <c r="AM22" s="121" t="e">
        <f t="shared" si="30"/>
        <v>#N/A</v>
      </c>
      <c r="AO22" s="121" t="e">
        <f>IF('Cable Info'!N21="","",CONCATENATE('Cable Info'!N21," - ",'Cable Info'!O21))</f>
        <v>#N/A</v>
      </c>
      <c r="AR22" s="121" t="e">
        <f t="shared" si="31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2"/>
        <v>#N/A</v>
      </c>
      <c r="AY22" s="121" t="str">
        <f>IF('Cable Info'!R21="","",CONCATENATE('Cable Info'!R21," - ",'Cable Info'!S21))</f>
        <v/>
      </c>
      <c r="BB22" s="121" t="str">
        <f t="shared" si="33"/>
        <v/>
      </c>
      <c r="BD22" s="121" t="str">
        <f>IF('Cable Info'!T21="","",CONCATENATE('Cable Info'!T21," - ",'Cable Info'!U21))</f>
        <v/>
      </c>
      <c r="BG22" s="121" t="str">
        <f t="shared" si="34"/>
        <v/>
      </c>
      <c r="BI22" s="121" t="str">
        <f>IF('Cable Info'!V21="","",CONCATENATE('Cable Info'!V21," - ",'Cable Info'!W21))</f>
        <v/>
      </c>
      <c r="BL22" s="121" t="str">
        <f t="shared" si="35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4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25"/>
        <v/>
      </c>
      <c r="Y23" s="252" t="str">
        <f t="shared" si="26"/>
        <v/>
      </c>
      <c r="Z23" s="253" t="str">
        <f t="shared" si="27"/>
        <v/>
      </c>
      <c r="AA23" s="253" t="str">
        <f t="shared" si="28"/>
        <v/>
      </c>
      <c r="AB23" s="253" t="str">
        <f t="shared" si="29"/>
        <v/>
      </c>
      <c r="AJ23" s="121" t="e">
        <f>IF('Cable Info'!L22="","",CONCATENATE('Cable Info'!L22," - ",'Cable Info'!M22))</f>
        <v>#N/A</v>
      </c>
      <c r="AM23" s="121" t="e">
        <f t="shared" si="30"/>
        <v>#N/A</v>
      </c>
      <c r="AO23" s="121" t="e">
        <f>IF('Cable Info'!N22="","",CONCATENATE('Cable Info'!N22," - ",'Cable Info'!O22))</f>
        <v>#N/A</v>
      </c>
      <c r="AR23" s="121" t="e">
        <f t="shared" si="31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2"/>
        <v>#N/A</v>
      </c>
      <c r="AY23" s="121" t="str">
        <f>IF('Cable Info'!R22="","",CONCATENATE('Cable Info'!R22," - ",'Cable Info'!S22))</f>
        <v/>
      </c>
      <c r="BB23" s="121" t="str">
        <f t="shared" si="33"/>
        <v/>
      </c>
      <c r="BD23" s="121" t="str">
        <f>IF('Cable Info'!T22="","",CONCATENATE('Cable Info'!T22," - ",'Cable Info'!U22))</f>
        <v/>
      </c>
      <c r="BG23" s="121" t="str">
        <f t="shared" si="34"/>
        <v/>
      </c>
      <c r="BI23" s="121" t="str">
        <f>IF('Cable Info'!V22="","",CONCATENATE('Cable Info'!V22," - ",'Cable Info'!W22))</f>
        <v/>
      </c>
      <c r="BL23" s="121" t="str">
        <f t="shared" si="35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4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25"/>
        <v/>
      </c>
      <c r="Y24" s="252" t="str">
        <f t="shared" si="26"/>
        <v/>
      </c>
      <c r="Z24" s="253" t="str">
        <f t="shared" si="27"/>
        <v/>
      </c>
      <c r="AA24" s="253" t="str">
        <f t="shared" si="28"/>
        <v/>
      </c>
      <c r="AB24" s="253" t="str">
        <f t="shared" si="29"/>
        <v/>
      </c>
      <c r="AJ24" s="121" t="e">
        <f>IF('Cable Info'!L23="","",CONCATENATE('Cable Info'!L23," - ",'Cable Info'!M23))</f>
        <v>#N/A</v>
      </c>
      <c r="AM24" s="121" t="e">
        <f t="shared" si="30"/>
        <v>#N/A</v>
      </c>
      <c r="AO24" s="121" t="e">
        <f>IF('Cable Info'!N23="","",CONCATENATE('Cable Info'!N23," - ",'Cable Info'!O23))</f>
        <v>#N/A</v>
      </c>
      <c r="AR24" s="121" t="e">
        <f t="shared" si="31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2"/>
        <v>#N/A</v>
      </c>
      <c r="AY24" s="121" t="str">
        <f>IF('Cable Info'!R23="","",CONCATENATE('Cable Info'!R23," - ",'Cable Info'!S23))</f>
        <v/>
      </c>
      <c r="BB24" s="121" t="str">
        <f t="shared" si="33"/>
        <v/>
      </c>
      <c r="BD24" s="121" t="str">
        <f>IF('Cable Info'!T23="","",CONCATENATE('Cable Info'!T23," - ",'Cable Info'!U23))</f>
        <v/>
      </c>
      <c r="BG24" s="121" t="str">
        <f t="shared" si="34"/>
        <v/>
      </c>
      <c r="BI24" s="121" t="str">
        <f>IF('Cable Info'!V23="","",CONCATENATE('Cable Info'!V23," - ",'Cable Info'!W23))</f>
        <v/>
      </c>
      <c r="BL24" s="121" t="str">
        <f t="shared" si="35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4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25"/>
        <v/>
      </c>
      <c r="Y25" s="252" t="str">
        <f t="shared" si="26"/>
        <v/>
      </c>
      <c r="Z25" s="253" t="str">
        <f t="shared" si="27"/>
        <v/>
      </c>
      <c r="AA25" s="253" t="str">
        <f t="shared" si="28"/>
        <v/>
      </c>
      <c r="AB25" s="253" t="str">
        <f t="shared" si="29"/>
        <v/>
      </c>
      <c r="AJ25" s="121" t="e">
        <f>IF('Cable Info'!L24="","",CONCATENATE('Cable Info'!L24," - ",'Cable Info'!M24))</f>
        <v>#N/A</v>
      </c>
      <c r="AM25" s="121" t="e">
        <f t="shared" si="30"/>
        <v>#N/A</v>
      </c>
      <c r="AO25" s="121" t="e">
        <f>IF('Cable Info'!N24="","",CONCATENATE('Cable Info'!N24," - ",'Cable Info'!O24))</f>
        <v>#N/A</v>
      </c>
      <c r="AR25" s="121" t="e">
        <f t="shared" si="31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2"/>
        <v>#N/A</v>
      </c>
      <c r="AY25" s="121" t="str">
        <f>IF('Cable Info'!R24="","",CONCATENATE('Cable Info'!R24," - ",'Cable Info'!S24))</f>
        <v/>
      </c>
      <c r="BB25" s="121" t="str">
        <f t="shared" si="33"/>
        <v/>
      </c>
      <c r="BD25" s="121" t="str">
        <f>IF('Cable Info'!T24="","",CONCATENATE('Cable Info'!T24," - ",'Cable Info'!U24))</f>
        <v/>
      </c>
      <c r="BG25" s="121" t="str">
        <f t="shared" si="34"/>
        <v/>
      </c>
      <c r="BI25" s="121" t="str">
        <f>IF('Cable Info'!V24="","",CONCATENATE('Cable Info'!V24," - ",'Cable Info'!W24))</f>
        <v/>
      </c>
      <c r="BL25" s="121" t="str">
        <f t="shared" si="35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4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25"/>
        <v/>
      </c>
      <c r="Y26" s="252" t="str">
        <f t="shared" si="26"/>
        <v/>
      </c>
      <c r="Z26" s="253" t="str">
        <f t="shared" si="27"/>
        <v/>
      </c>
      <c r="AA26" s="253" t="str">
        <f t="shared" si="28"/>
        <v/>
      </c>
      <c r="AB26" s="253" t="str">
        <f t="shared" si="29"/>
        <v/>
      </c>
      <c r="AJ26" s="121" t="e">
        <f>IF('Cable Info'!L25="","",CONCATENATE('Cable Info'!L25," - ",'Cable Info'!M25))</f>
        <v>#N/A</v>
      </c>
      <c r="AM26" s="121" t="e">
        <f t="shared" si="30"/>
        <v>#N/A</v>
      </c>
      <c r="AO26" s="121" t="e">
        <f>IF('Cable Info'!N25="","",CONCATENATE('Cable Info'!N25," - ",'Cable Info'!O25))</f>
        <v>#N/A</v>
      </c>
      <c r="AR26" s="121" t="e">
        <f t="shared" si="31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2"/>
        <v>#N/A</v>
      </c>
      <c r="AY26" s="121" t="str">
        <f>IF('Cable Info'!R25="","",CONCATENATE('Cable Info'!R25," - ",'Cable Info'!S25))</f>
        <v/>
      </c>
      <c r="BB26" s="121" t="str">
        <f t="shared" si="33"/>
        <v/>
      </c>
      <c r="BD26" s="121" t="str">
        <f>IF('Cable Info'!T25="","",CONCATENATE('Cable Info'!T25," - ",'Cable Info'!U25))</f>
        <v/>
      </c>
      <c r="BG26" s="121" t="str">
        <f t="shared" si="34"/>
        <v/>
      </c>
      <c r="BI26" s="121" t="str">
        <f>IF('Cable Info'!V25="","",CONCATENATE('Cable Info'!V25," - ",'Cable Info'!W25))</f>
        <v/>
      </c>
      <c r="BL26" s="121" t="str">
        <f t="shared" si="35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4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25"/>
        <v/>
      </c>
      <c r="Y27" s="252" t="str">
        <f t="shared" si="26"/>
        <v/>
      </c>
      <c r="Z27" s="253" t="str">
        <f t="shared" si="27"/>
        <v/>
      </c>
      <c r="AA27" s="253" t="str">
        <f t="shared" si="28"/>
        <v/>
      </c>
      <c r="AB27" s="253" t="str">
        <f t="shared" si="29"/>
        <v/>
      </c>
      <c r="AJ27" s="121" t="e">
        <f>IF('Cable Info'!L26="","",CONCATENATE('Cable Info'!L26," - ",'Cable Info'!M26))</f>
        <v>#N/A</v>
      </c>
      <c r="AM27" s="121" t="e">
        <f t="shared" si="30"/>
        <v>#N/A</v>
      </c>
      <c r="AO27" s="121" t="e">
        <f>IF('Cable Info'!N26="","",CONCATENATE('Cable Info'!N26," - ",'Cable Info'!O26))</f>
        <v>#N/A</v>
      </c>
      <c r="AR27" s="121" t="e">
        <f t="shared" si="31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2"/>
        <v>#N/A</v>
      </c>
      <c r="AY27" s="121" t="str">
        <f>IF('Cable Info'!R26="","",CONCATENATE('Cable Info'!R26," - ",'Cable Info'!S26))</f>
        <v/>
      </c>
      <c r="BB27" s="121" t="str">
        <f t="shared" si="33"/>
        <v/>
      </c>
      <c r="BD27" s="121" t="str">
        <f>IF('Cable Info'!T26="","",CONCATENATE('Cable Info'!T26," - ",'Cable Info'!U26))</f>
        <v/>
      </c>
      <c r="BG27" s="121" t="str">
        <f t="shared" si="34"/>
        <v/>
      </c>
      <c r="BI27" s="121" t="str">
        <f>IF('Cable Info'!V26="","",CONCATENATE('Cable Info'!V26," - ",'Cable Info'!W26))</f>
        <v/>
      </c>
      <c r="BL27" s="121" t="str">
        <f t="shared" si="35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4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25"/>
        <v/>
      </c>
      <c r="Y28" s="252" t="str">
        <f t="shared" si="26"/>
        <v/>
      </c>
      <c r="Z28" s="253" t="str">
        <f t="shared" si="27"/>
        <v/>
      </c>
      <c r="AA28" s="253" t="str">
        <f t="shared" si="28"/>
        <v/>
      </c>
      <c r="AB28" s="253" t="str">
        <f t="shared" si="29"/>
        <v/>
      </c>
      <c r="AJ28" s="121" t="e">
        <f>IF('Cable Info'!L27="","",CONCATENATE('Cable Info'!L27," - ",'Cable Info'!M27))</f>
        <v>#N/A</v>
      </c>
      <c r="AM28" s="121" t="e">
        <f t="shared" si="30"/>
        <v>#N/A</v>
      </c>
      <c r="AO28" s="121" t="e">
        <f>IF('Cable Info'!N27="","",CONCATENATE('Cable Info'!N27," - ",'Cable Info'!O27))</f>
        <v>#N/A</v>
      </c>
      <c r="AR28" s="121" t="e">
        <f t="shared" si="31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2"/>
        <v>#N/A</v>
      </c>
      <c r="AY28" s="121" t="str">
        <f>IF('Cable Info'!R27="","",CONCATENATE('Cable Info'!R27," - ",'Cable Info'!S27))</f>
        <v/>
      </c>
      <c r="BB28" s="121" t="str">
        <f t="shared" si="33"/>
        <v/>
      </c>
      <c r="BD28" s="121" t="str">
        <f>IF('Cable Info'!T27="","",CONCATENATE('Cable Info'!T27," - ",'Cable Info'!U27))</f>
        <v/>
      </c>
      <c r="BG28" s="121" t="str">
        <f t="shared" si="34"/>
        <v/>
      </c>
      <c r="BI28" s="121" t="str">
        <f>IF('Cable Info'!V27="","",CONCATENATE('Cable Info'!V27," - ",'Cable Info'!W27))</f>
        <v/>
      </c>
      <c r="BL28" s="121" t="str">
        <f t="shared" si="35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4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25"/>
        <v/>
      </c>
      <c r="Y29" s="252" t="str">
        <f t="shared" si="26"/>
        <v/>
      </c>
      <c r="Z29" s="253" t="str">
        <f t="shared" si="27"/>
        <v/>
      </c>
      <c r="AA29" s="253" t="str">
        <f t="shared" si="28"/>
        <v/>
      </c>
      <c r="AB29" s="253" t="str">
        <f t="shared" si="29"/>
        <v/>
      </c>
      <c r="AJ29" s="121" t="e">
        <f>IF('Cable Info'!L28="","",CONCATENATE('Cable Info'!L28," - ",'Cable Info'!M28))</f>
        <v>#N/A</v>
      </c>
      <c r="AM29" s="121" t="e">
        <f t="shared" si="30"/>
        <v>#N/A</v>
      </c>
      <c r="AO29" s="121" t="e">
        <f>IF('Cable Info'!N28="","",CONCATENATE('Cable Info'!N28," - ",'Cable Info'!O28))</f>
        <v>#N/A</v>
      </c>
      <c r="AR29" s="121" t="e">
        <f t="shared" si="31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2"/>
        <v>#N/A</v>
      </c>
      <c r="AY29" s="121" t="str">
        <f>IF('Cable Info'!R28="","",CONCATENATE('Cable Info'!R28," - ",'Cable Info'!S28))</f>
        <v/>
      </c>
      <c r="BB29" s="121" t="str">
        <f t="shared" si="33"/>
        <v/>
      </c>
      <c r="BD29" s="121" t="str">
        <f>IF('Cable Info'!T28="","",CONCATENATE('Cable Info'!T28," - ",'Cable Info'!U28))</f>
        <v/>
      </c>
      <c r="BG29" s="121" t="str">
        <f t="shared" si="34"/>
        <v/>
      </c>
      <c r="BI29" s="121" t="str">
        <f>IF('Cable Info'!V28="","",CONCATENATE('Cable Info'!V28," - ",'Cable Info'!W28))</f>
        <v/>
      </c>
      <c r="BL29" s="121" t="str">
        <f t="shared" si="35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4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25"/>
        <v/>
      </c>
      <c r="Y30" s="252" t="str">
        <f t="shared" si="26"/>
        <v/>
      </c>
      <c r="Z30" s="253" t="str">
        <f t="shared" si="27"/>
        <v/>
      </c>
      <c r="AA30" s="253" t="str">
        <f t="shared" si="28"/>
        <v/>
      </c>
      <c r="AB30" s="253" t="str">
        <f t="shared" si="29"/>
        <v/>
      </c>
      <c r="AJ30" s="121" t="e">
        <f>IF('Cable Info'!L29="","",CONCATENATE('Cable Info'!L29," - ",'Cable Info'!M29))</f>
        <v>#N/A</v>
      </c>
      <c r="AM30" s="121" t="e">
        <f t="shared" si="30"/>
        <v>#N/A</v>
      </c>
      <c r="AO30" s="121" t="e">
        <f>IF('Cable Info'!N29="","",CONCATENATE('Cable Info'!N29," - ",'Cable Info'!O29))</f>
        <v>#N/A</v>
      </c>
      <c r="AR30" s="121" t="e">
        <f t="shared" si="31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2"/>
        <v>#N/A</v>
      </c>
      <c r="AY30" s="121" t="str">
        <f>IF('Cable Info'!R29="","",CONCATENATE('Cable Info'!R29," - ",'Cable Info'!S29))</f>
        <v/>
      </c>
      <c r="BB30" s="121" t="str">
        <f t="shared" si="33"/>
        <v/>
      </c>
      <c r="BD30" s="121" t="str">
        <f>IF('Cable Info'!T29="","",CONCATENATE('Cable Info'!T29," - ",'Cable Info'!U29))</f>
        <v/>
      </c>
      <c r="BG30" s="121" t="str">
        <f t="shared" si="34"/>
        <v/>
      </c>
      <c r="BI30" s="121" t="str">
        <f>IF('Cable Info'!V29="","",CONCATENATE('Cable Info'!V29," - ",'Cable Info'!W29))</f>
        <v/>
      </c>
      <c r="BL30" s="121" t="str">
        <f t="shared" si="35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4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25"/>
        <v/>
      </c>
      <c r="Y31" s="252" t="str">
        <f t="shared" si="26"/>
        <v/>
      </c>
      <c r="Z31" s="253" t="str">
        <f t="shared" si="27"/>
        <v/>
      </c>
      <c r="AA31" s="253" t="str">
        <f t="shared" si="28"/>
        <v/>
      </c>
      <c r="AB31" s="253" t="str">
        <f t="shared" si="29"/>
        <v/>
      </c>
      <c r="AJ31" s="121" t="e">
        <f>IF('Cable Info'!L30="","",CONCATENATE('Cable Info'!L30," - ",'Cable Info'!M30))</f>
        <v>#N/A</v>
      </c>
      <c r="AM31" s="121" t="e">
        <f t="shared" si="30"/>
        <v>#N/A</v>
      </c>
      <c r="AO31" s="121" t="e">
        <f>IF('Cable Info'!N30="","",CONCATENATE('Cable Info'!N30," - ",'Cable Info'!O30))</f>
        <v>#N/A</v>
      </c>
      <c r="AR31" s="121" t="e">
        <f t="shared" si="31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2"/>
        <v>#N/A</v>
      </c>
      <c r="AY31" s="121" t="str">
        <f>IF('Cable Info'!R30="","",CONCATENATE('Cable Info'!R30," - ",'Cable Info'!S30))</f>
        <v/>
      </c>
      <c r="BB31" s="121" t="str">
        <f t="shared" si="33"/>
        <v/>
      </c>
      <c r="BD31" s="121" t="str">
        <f>IF('Cable Info'!T30="","",CONCATENATE('Cable Info'!T30," - ",'Cable Info'!U30))</f>
        <v/>
      </c>
      <c r="BG31" s="121" t="str">
        <f t="shared" si="34"/>
        <v/>
      </c>
      <c r="BI31" s="121" t="str">
        <f>IF('Cable Info'!V30="","",CONCATENATE('Cable Info'!V30," - ",'Cable Info'!W30))</f>
        <v/>
      </c>
      <c r="BL31" s="121" t="str">
        <f t="shared" si="35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4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25"/>
        <v/>
      </c>
      <c r="Y32" s="252" t="str">
        <f t="shared" si="26"/>
        <v/>
      </c>
      <c r="Z32" s="253" t="str">
        <f t="shared" si="27"/>
        <v/>
      </c>
      <c r="AA32" s="253" t="str">
        <f t="shared" si="28"/>
        <v/>
      </c>
      <c r="AB32" s="253" t="str">
        <f t="shared" si="29"/>
        <v/>
      </c>
      <c r="AJ32" s="121" t="e">
        <f>IF('Cable Info'!L31="","",CONCATENATE('Cable Info'!L31," - ",'Cable Info'!M31))</f>
        <v>#N/A</v>
      </c>
      <c r="AM32" s="121" t="e">
        <f t="shared" si="30"/>
        <v>#N/A</v>
      </c>
      <c r="AO32" s="121" t="e">
        <f>IF('Cable Info'!N31="","",CONCATENATE('Cable Info'!N31," - ",'Cable Info'!O31))</f>
        <v>#N/A</v>
      </c>
      <c r="AR32" s="121" t="e">
        <f t="shared" si="31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2"/>
        <v>#N/A</v>
      </c>
      <c r="AY32" s="121" t="str">
        <f>IF('Cable Info'!R31="","",CONCATENATE('Cable Info'!R31," - ",'Cable Info'!S31))</f>
        <v/>
      </c>
      <c r="BB32" s="121" t="str">
        <f t="shared" si="33"/>
        <v/>
      </c>
      <c r="BD32" s="121" t="str">
        <f>IF('Cable Info'!T31="","",CONCATENATE('Cable Info'!T31," - ",'Cable Info'!U31))</f>
        <v/>
      </c>
      <c r="BG32" s="121" t="str">
        <f t="shared" si="34"/>
        <v/>
      </c>
      <c r="BI32" s="121" t="str">
        <f>IF('Cable Info'!V31="","",CONCATENATE('Cable Info'!V31," - ",'Cable Info'!W31))</f>
        <v/>
      </c>
      <c r="BL32" s="121" t="str">
        <f t="shared" si="35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4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25"/>
        <v/>
      </c>
      <c r="Y33" s="252" t="str">
        <f t="shared" si="26"/>
        <v/>
      </c>
      <c r="Z33" s="253" t="str">
        <f t="shared" si="27"/>
        <v/>
      </c>
      <c r="AA33" s="253" t="str">
        <f t="shared" si="28"/>
        <v/>
      </c>
      <c r="AB33" s="253" t="str">
        <f t="shared" si="29"/>
        <v/>
      </c>
      <c r="AJ33" s="121" t="e">
        <f>IF('Cable Info'!L32="","",CONCATENATE('Cable Info'!L32," - ",'Cable Info'!M32))</f>
        <v>#N/A</v>
      </c>
      <c r="AM33" s="121" t="e">
        <f t="shared" si="30"/>
        <v>#N/A</v>
      </c>
      <c r="AO33" s="121" t="e">
        <f>IF('Cable Info'!N32="","",CONCATENATE('Cable Info'!N32," - ",'Cable Info'!O32))</f>
        <v>#N/A</v>
      </c>
      <c r="AR33" s="121" t="e">
        <f t="shared" si="31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2"/>
        <v>#N/A</v>
      </c>
      <c r="AY33" s="121" t="str">
        <f>IF('Cable Info'!R32="","",CONCATENATE('Cable Info'!R32," - ",'Cable Info'!S32))</f>
        <v/>
      </c>
      <c r="BB33" s="121" t="str">
        <f t="shared" si="33"/>
        <v/>
      </c>
      <c r="BD33" s="121" t="str">
        <f>IF('Cable Info'!T32="","",CONCATENATE('Cable Info'!T32," - ",'Cable Info'!U32))</f>
        <v/>
      </c>
      <c r="BG33" s="121" t="str">
        <f t="shared" si="34"/>
        <v/>
      </c>
      <c r="BI33" s="121" t="str">
        <f>IF('Cable Info'!V32="","",CONCATENATE('Cable Info'!V32," - ",'Cable Info'!W32))</f>
        <v/>
      </c>
      <c r="BL33" s="121" t="str">
        <f t="shared" si="35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4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25"/>
        <v/>
      </c>
      <c r="Y34" s="252" t="str">
        <f t="shared" si="26"/>
        <v/>
      </c>
      <c r="Z34" s="253" t="str">
        <f t="shared" si="27"/>
        <v/>
      </c>
      <c r="AA34" s="253" t="str">
        <f t="shared" si="28"/>
        <v/>
      </c>
      <c r="AB34" s="253" t="str">
        <f t="shared" si="29"/>
        <v/>
      </c>
      <c r="AJ34" s="121" t="e">
        <f>IF('Cable Info'!L33="","",CONCATENATE('Cable Info'!L33," - ",'Cable Info'!M33))</f>
        <v>#N/A</v>
      </c>
      <c r="AM34" s="121" t="e">
        <f t="shared" si="30"/>
        <v>#N/A</v>
      </c>
      <c r="AO34" s="121" t="e">
        <f>IF('Cable Info'!N33="","",CONCATENATE('Cable Info'!N33," - ",'Cable Info'!O33))</f>
        <v>#N/A</v>
      </c>
      <c r="AR34" s="121" t="e">
        <f t="shared" si="31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2"/>
        <v>#N/A</v>
      </c>
      <c r="AY34" s="121" t="str">
        <f>IF('Cable Info'!R33="","",CONCATENATE('Cable Info'!R33," - ",'Cable Info'!S33))</f>
        <v/>
      </c>
      <c r="BB34" s="121" t="str">
        <f t="shared" si="33"/>
        <v/>
      </c>
      <c r="BD34" s="121" t="str">
        <f>IF('Cable Info'!T33="","",CONCATENATE('Cable Info'!T33," - ",'Cable Info'!U33))</f>
        <v/>
      </c>
      <c r="BG34" s="121" t="str">
        <f t="shared" si="34"/>
        <v/>
      </c>
      <c r="BI34" s="121" t="str">
        <f>IF('Cable Info'!V33="","",CONCATENATE('Cable Info'!V33," - ",'Cable Info'!W33))</f>
        <v/>
      </c>
      <c r="BL34" s="121" t="str">
        <f t="shared" si="35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4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25"/>
        <v/>
      </c>
      <c r="Y35" s="252" t="str">
        <f t="shared" si="26"/>
        <v/>
      </c>
      <c r="Z35" s="253" t="str">
        <f t="shared" si="27"/>
        <v/>
      </c>
      <c r="AA35" s="253" t="str">
        <f t="shared" si="28"/>
        <v/>
      </c>
      <c r="AB35" s="253" t="str">
        <f t="shared" si="29"/>
        <v/>
      </c>
      <c r="AJ35" s="121" t="e">
        <f>IF('Cable Info'!L34="","",CONCATENATE('Cable Info'!L34," - ",'Cable Info'!M34))</f>
        <v>#N/A</v>
      </c>
      <c r="AM35" s="121" t="e">
        <f t="shared" si="30"/>
        <v>#N/A</v>
      </c>
      <c r="AO35" s="121" t="e">
        <f>IF('Cable Info'!N34="","",CONCATENATE('Cable Info'!N34," - ",'Cable Info'!O34))</f>
        <v>#N/A</v>
      </c>
      <c r="AR35" s="121" t="e">
        <f t="shared" si="31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2"/>
        <v>#N/A</v>
      </c>
      <c r="AY35" s="121" t="str">
        <f>IF('Cable Info'!R34="","",CONCATENATE('Cable Info'!R34," - ",'Cable Info'!S34))</f>
        <v/>
      </c>
      <c r="BB35" s="121" t="str">
        <f t="shared" si="33"/>
        <v/>
      </c>
      <c r="BD35" s="121" t="str">
        <f>IF('Cable Info'!T34="","",CONCATENATE('Cable Info'!T34," - ",'Cable Info'!U34))</f>
        <v/>
      </c>
      <c r="BG35" s="121" t="str">
        <f t="shared" si="34"/>
        <v/>
      </c>
      <c r="BI35" s="121" t="str">
        <f>IF('Cable Info'!V34="","",CONCATENATE('Cable Info'!V34," - ",'Cable Info'!W34))</f>
        <v/>
      </c>
      <c r="BL35" s="121" t="str">
        <f t="shared" si="35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4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25"/>
        <v/>
      </c>
      <c r="Y36" s="252" t="str">
        <f t="shared" si="26"/>
        <v/>
      </c>
      <c r="Z36" s="253" t="str">
        <f t="shared" si="27"/>
        <v/>
      </c>
      <c r="AA36" s="253" t="str">
        <f t="shared" si="28"/>
        <v/>
      </c>
      <c r="AB36" s="253" t="str">
        <f t="shared" si="29"/>
        <v/>
      </c>
      <c r="AJ36" s="121" t="e">
        <f>IF('Cable Info'!L35="","",CONCATENATE('Cable Info'!L35," - ",'Cable Info'!M35))</f>
        <v>#N/A</v>
      </c>
      <c r="AM36" s="121" t="e">
        <f t="shared" si="30"/>
        <v>#N/A</v>
      </c>
      <c r="AO36" s="121" t="e">
        <f>IF('Cable Info'!N35="","",CONCATENATE('Cable Info'!N35," - ",'Cable Info'!O35))</f>
        <v>#N/A</v>
      </c>
      <c r="AR36" s="121" t="e">
        <f t="shared" si="31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2"/>
        <v>#N/A</v>
      </c>
      <c r="AY36" s="121" t="str">
        <f>IF('Cable Info'!R35="","",CONCATENATE('Cable Info'!R35," - ",'Cable Info'!S35))</f>
        <v/>
      </c>
      <c r="BB36" s="121" t="str">
        <f t="shared" si="33"/>
        <v/>
      </c>
      <c r="BD36" s="121" t="str">
        <f>IF('Cable Info'!T35="","",CONCATENATE('Cable Info'!T35," - ",'Cable Info'!U35))</f>
        <v/>
      </c>
      <c r="BG36" s="121" t="str">
        <f t="shared" si="34"/>
        <v/>
      </c>
      <c r="BI36" s="121" t="str">
        <f>IF('Cable Info'!V35="","",CONCATENATE('Cable Info'!V35," - ",'Cable Info'!W35))</f>
        <v/>
      </c>
      <c r="BL36" s="121" t="str">
        <f t="shared" si="35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4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25"/>
        <v/>
      </c>
      <c r="Y37" s="252" t="str">
        <f t="shared" si="26"/>
        <v/>
      </c>
      <c r="Z37" s="253" t="str">
        <f t="shared" si="27"/>
        <v/>
      </c>
      <c r="AA37" s="253" t="str">
        <f t="shared" si="28"/>
        <v/>
      </c>
      <c r="AB37" s="253" t="str">
        <f t="shared" si="29"/>
        <v/>
      </c>
      <c r="AJ37" s="121" t="e">
        <f>IF('Cable Info'!L36="","",CONCATENATE('Cable Info'!L36," - ",'Cable Info'!M36))</f>
        <v>#N/A</v>
      </c>
      <c r="AM37" s="121" t="e">
        <f t="shared" si="30"/>
        <v>#N/A</v>
      </c>
      <c r="AO37" s="121" t="e">
        <f>IF('Cable Info'!N36="","",CONCATENATE('Cable Info'!N36," - ",'Cable Info'!O36))</f>
        <v>#N/A</v>
      </c>
      <c r="AR37" s="121" t="e">
        <f t="shared" si="31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2"/>
        <v>#N/A</v>
      </c>
      <c r="AY37" s="121" t="str">
        <f>IF('Cable Info'!R36="","",CONCATENATE('Cable Info'!R36," - ",'Cable Info'!S36))</f>
        <v/>
      </c>
      <c r="BB37" s="121" t="str">
        <f t="shared" si="33"/>
        <v/>
      </c>
      <c r="BD37" s="121" t="str">
        <f>IF('Cable Info'!T36="","",CONCATENATE('Cable Info'!T36," - ",'Cable Info'!U36))</f>
        <v/>
      </c>
      <c r="BG37" s="121" t="str">
        <f t="shared" si="34"/>
        <v/>
      </c>
      <c r="BI37" s="121" t="str">
        <f>IF('Cable Info'!V36="","",CONCATENATE('Cable Info'!V36," - ",'Cable Info'!W36))</f>
        <v/>
      </c>
      <c r="BL37" s="121" t="str">
        <f t="shared" si="35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4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25"/>
        <v/>
      </c>
      <c r="Y38" s="252" t="str">
        <f t="shared" si="26"/>
        <v/>
      </c>
      <c r="Z38" s="253" t="str">
        <f t="shared" si="27"/>
        <v/>
      </c>
      <c r="AA38" s="253" t="str">
        <f t="shared" si="28"/>
        <v/>
      </c>
      <c r="AB38" s="253" t="str">
        <f t="shared" si="29"/>
        <v/>
      </c>
      <c r="AJ38" s="121" t="e">
        <f>IF('Cable Info'!L37="","",CONCATENATE('Cable Info'!L37," - ",'Cable Info'!M37))</f>
        <v>#N/A</v>
      </c>
      <c r="AM38" s="121" t="e">
        <f t="shared" si="30"/>
        <v>#N/A</v>
      </c>
      <c r="AO38" s="121" t="e">
        <f>IF('Cable Info'!N37="","",CONCATENATE('Cable Info'!N37," - ",'Cable Info'!O37))</f>
        <v>#N/A</v>
      </c>
      <c r="AR38" s="121" t="e">
        <f t="shared" si="31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2"/>
        <v>#N/A</v>
      </c>
      <c r="AY38" s="121" t="str">
        <f>IF('Cable Info'!R37="","",CONCATENATE('Cable Info'!R37," - ",'Cable Info'!S37))</f>
        <v/>
      </c>
      <c r="BB38" s="121" t="str">
        <f t="shared" si="33"/>
        <v/>
      </c>
      <c r="BD38" s="121" t="str">
        <f>IF('Cable Info'!T37="","",CONCATENATE('Cable Info'!T37," - ",'Cable Info'!U37))</f>
        <v/>
      </c>
      <c r="BG38" s="121" t="str">
        <f t="shared" si="34"/>
        <v/>
      </c>
      <c r="BI38" s="121" t="str">
        <f>IF('Cable Info'!V37="","",CONCATENATE('Cable Info'!V37," - ",'Cable Info'!W37))</f>
        <v/>
      </c>
      <c r="BL38" s="121" t="str">
        <f t="shared" si="35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4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25"/>
        <v/>
      </c>
      <c r="Y39" s="252" t="str">
        <f t="shared" si="26"/>
        <v/>
      </c>
      <c r="Z39" s="253" t="str">
        <f t="shared" si="27"/>
        <v/>
      </c>
      <c r="AA39" s="253" t="str">
        <f t="shared" si="28"/>
        <v/>
      </c>
      <c r="AB39" s="253" t="str">
        <f t="shared" si="29"/>
        <v/>
      </c>
      <c r="AJ39" s="121" t="e">
        <f>IF('Cable Info'!L38="","",CONCATENATE('Cable Info'!L38," - ",'Cable Info'!M38))</f>
        <v>#N/A</v>
      </c>
      <c r="AM39" s="121" t="e">
        <f t="shared" si="30"/>
        <v>#N/A</v>
      </c>
      <c r="AO39" s="121" t="e">
        <f>IF('Cable Info'!N38="","",CONCATENATE('Cable Info'!N38," - ",'Cable Info'!O38))</f>
        <v>#N/A</v>
      </c>
      <c r="AR39" s="121" t="e">
        <f t="shared" si="31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2"/>
        <v>#N/A</v>
      </c>
      <c r="AY39" s="121" t="str">
        <f>IF('Cable Info'!R38="","",CONCATENATE('Cable Info'!R38," - ",'Cable Info'!S38))</f>
        <v/>
      </c>
      <c r="BB39" s="121" t="str">
        <f t="shared" si="33"/>
        <v/>
      </c>
      <c r="BD39" s="121" t="str">
        <f>IF('Cable Info'!T38="","",CONCATENATE('Cable Info'!T38," - ",'Cable Info'!U38))</f>
        <v/>
      </c>
      <c r="BG39" s="121" t="str">
        <f t="shared" si="34"/>
        <v/>
      </c>
      <c r="BI39" s="121" t="str">
        <f>IF('Cable Info'!V38="","",CONCATENATE('Cable Info'!V38," - ",'Cable Info'!W38))</f>
        <v/>
      </c>
      <c r="BL39" s="121" t="str">
        <f t="shared" si="35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4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25"/>
        <v/>
      </c>
      <c r="Y40" s="252" t="str">
        <f t="shared" si="26"/>
        <v/>
      </c>
      <c r="Z40" s="253" t="str">
        <f t="shared" si="27"/>
        <v/>
      </c>
      <c r="AA40" s="253" t="str">
        <f t="shared" si="28"/>
        <v/>
      </c>
      <c r="AB40" s="253" t="str">
        <f t="shared" si="29"/>
        <v/>
      </c>
      <c r="AJ40" s="121" t="e">
        <f>IF('Cable Info'!L39="","",CONCATENATE('Cable Info'!L39," - ",'Cable Info'!M39))</f>
        <v>#N/A</v>
      </c>
      <c r="AM40" s="121" t="e">
        <f t="shared" si="30"/>
        <v>#N/A</v>
      </c>
      <c r="AO40" s="121" t="e">
        <f>IF('Cable Info'!N39="","",CONCATENATE('Cable Info'!N39," - ",'Cable Info'!O39))</f>
        <v>#N/A</v>
      </c>
      <c r="AR40" s="121" t="e">
        <f t="shared" si="31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2"/>
        <v>#N/A</v>
      </c>
      <c r="AY40" s="121" t="str">
        <f>IF('Cable Info'!R39="","",CONCATENATE('Cable Info'!R39," - ",'Cable Info'!S39))</f>
        <v/>
      </c>
      <c r="BB40" s="121" t="str">
        <f t="shared" si="33"/>
        <v/>
      </c>
      <c r="BD40" s="121" t="str">
        <f>IF('Cable Info'!T39="","",CONCATENATE('Cable Info'!T39," - ",'Cable Info'!U39))</f>
        <v/>
      </c>
      <c r="BG40" s="121" t="str">
        <f t="shared" si="34"/>
        <v/>
      </c>
      <c r="BI40" s="121" t="str">
        <f>IF('Cable Info'!V39="","",CONCATENATE('Cable Info'!V39," - ",'Cable Info'!W39))</f>
        <v/>
      </c>
      <c r="BL40" s="121" t="str">
        <f t="shared" si="35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4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25"/>
        <v/>
      </c>
      <c r="Y41" s="252" t="str">
        <f t="shared" si="26"/>
        <v/>
      </c>
      <c r="Z41" s="253" t="str">
        <f t="shared" si="27"/>
        <v/>
      </c>
      <c r="AA41" s="253" t="str">
        <f t="shared" si="28"/>
        <v/>
      </c>
      <c r="AB41" s="253" t="str">
        <f t="shared" si="29"/>
        <v/>
      </c>
      <c r="AJ41" s="121" t="e">
        <f>IF('Cable Info'!L40="","",CONCATENATE('Cable Info'!L40," - ",'Cable Info'!M40))</f>
        <v>#N/A</v>
      </c>
      <c r="AM41" s="121" t="e">
        <f t="shared" si="30"/>
        <v>#N/A</v>
      </c>
      <c r="AO41" s="121" t="e">
        <f>IF('Cable Info'!N40="","",CONCATENATE('Cable Info'!N40," - ",'Cable Info'!O40))</f>
        <v>#N/A</v>
      </c>
      <c r="AR41" s="121" t="e">
        <f t="shared" si="31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2"/>
        <v>#N/A</v>
      </c>
      <c r="AY41" s="121" t="str">
        <f>IF('Cable Info'!R40="","",CONCATENATE('Cable Info'!R40," - ",'Cable Info'!S40))</f>
        <v/>
      </c>
      <c r="BB41" s="121" t="str">
        <f t="shared" si="33"/>
        <v/>
      </c>
      <c r="BD41" s="121" t="str">
        <f>IF('Cable Info'!T40="","",CONCATENATE('Cable Info'!T40," - ",'Cable Info'!U40))</f>
        <v/>
      </c>
      <c r="BG41" s="121" t="str">
        <f t="shared" si="34"/>
        <v/>
      </c>
      <c r="BI41" s="121" t="str">
        <f>IF('Cable Info'!V40="","",CONCATENATE('Cable Info'!V40," - ",'Cable Info'!W40))</f>
        <v/>
      </c>
      <c r="BL41" s="121" t="str">
        <f t="shared" si="35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4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25"/>
        <v/>
      </c>
      <c r="Y42" s="252" t="str">
        <f t="shared" si="26"/>
        <v/>
      </c>
      <c r="Z42" s="253" t="str">
        <f t="shared" si="27"/>
        <v/>
      </c>
      <c r="AA42" s="253" t="str">
        <f t="shared" si="28"/>
        <v/>
      </c>
      <c r="AB42" s="253" t="str">
        <f t="shared" si="29"/>
        <v/>
      </c>
      <c r="AJ42" s="121" t="e">
        <f>IF('Cable Info'!L41="","",CONCATENATE('Cable Info'!L41," - ",'Cable Info'!M41))</f>
        <v>#N/A</v>
      </c>
      <c r="AM42" s="121" t="e">
        <f t="shared" si="30"/>
        <v>#N/A</v>
      </c>
      <c r="AO42" s="121" t="e">
        <f>IF('Cable Info'!N41="","",CONCATENATE('Cable Info'!N41," - ",'Cable Info'!O41))</f>
        <v>#N/A</v>
      </c>
      <c r="AR42" s="121" t="e">
        <f t="shared" si="31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2"/>
        <v>#N/A</v>
      </c>
      <c r="AY42" s="121" t="str">
        <f>IF('Cable Info'!R41="","",CONCATENATE('Cable Info'!R41," - ",'Cable Info'!S41))</f>
        <v/>
      </c>
      <c r="BB42" s="121" t="str">
        <f t="shared" si="33"/>
        <v/>
      </c>
      <c r="BD42" s="121" t="str">
        <f>IF('Cable Info'!T41="","",CONCATENATE('Cable Info'!T41," - ",'Cable Info'!U41))</f>
        <v/>
      </c>
      <c r="BG42" s="121" t="str">
        <f t="shared" si="34"/>
        <v/>
      </c>
      <c r="BI42" s="121" t="str">
        <f>IF('Cable Info'!V41="","",CONCATENATE('Cable Info'!V41," - ",'Cable Info'!W41))</f>
        <v/>
      </c>
      <c r="BL42" s="121" t="str">
        <f t="shared" si="35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4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25"/>
        <v/>
      </c>
      <c r="Y43" s="252" t="str">
        <f t="shared" si="26"/>
        <v/>
      </c>
      <c r="Z43" s="253" t="str">
        <f t="shared" si="27"/>
        <v/>
      </c>
      <c r="AA43" s="253" t="str">
        <f t="shared" si="28"/>
        <v/>
      </c>
      <c r="AB43" s="253" t="str">
        <f t="shared" si="29"/>
        <v/>
      </c>
      <c r="AJ43" s="121" t="e">
        <f>IF('Cable Info'!L42="","",CONCATENATE('Cable Info'!L42," - ",'Cable Info'!M42))</f>
        <v>#N/A</v>
      </c>
      <c r="AM43" s="121" t="e">
        <f t="shared" si="30"/>
        <v>#N/A</v>
      </c>
      <c r="AO43" s="121" t="e">
        <f>IF('Cable Info'!N42="","",CONCATENATE('Cable Info'!N42," - ",'Cable Info'!O42))</f>
        <v>#N/A</v>
      </c>
      <c r="AR43" s="121" t="e">
        <f t="shared" si="31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2"/>
        <v>#N/A</v>
      </c>
      <c r="AY43" s="121" t="str">
        <f>IF('Cable Info'!R42="","",CONCATENATE('Cable Info'!R42," - ",'Cable Info'!S42))</f>
        <v/>
      </c>
      <c r="BB43" s="121" t="str">
        <f t="shared" si="33"/>
        <v/>
      </c>
      <c r="BD43" s="121" t="str">
        <f>IF('Cable Info'!T42="","",CONCATENATE('Cable Info'!T42," - ",'Cable Info'!U42))</f>
        <v/>
      </c>
      <c r="BG43" s="121" t="str">
        <f t="shared" si="34"/>
        <v/>
      </c>
      <c r="BI43" s="121" t="str">
        <f>IF('Cable Info'!V42="","",CONCATENATE('Cable Info'!V42," - ",'Cable Info'!W42))</f>
        <v/>
      </c>
      <c r="BL43" s="121" t="str">
        <f t="shared" si="35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4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25"/>
        <v/>
      </c>
      <c r="Y44" s="252" t="str">
        <f t="shared" si="26"/>
        <v/>
      </c>
      <c r="Z44" s="253" t="str">
        <f t="shared" si="27"/>
        <v/>
      </c>
      <c r="AA44" s="253" t="str">
        <f t="shared" si="28"/>
        <v/>
      </c>
      <c r="AB44" s="253" t="str">
        <f t="shared" si="29"/>
        <v/>
      </c>
      <c r="AJ44" s="121" t="e">
        <f>IF('Cable Info'!L43="","",CONCATENATE('Cable Info'!L43," - ",'Cable Info'!M43))</f>
        <v>#N/A</v>
      </c>
      <c r="AM44" s="121" t="e">
        <f t="shared" si="30"/>
        <v>#N/A</v>
      </c>
      <c r="AO44" s="121" t="e">
        <f>IF('Cable Info'!N43="","",CONCATENATE('Cable Info'!N43," - ",'Cable Info'!O43))</f>
        <v>#N/A</v>
      </c>
      <c r="AR44" s="121" t="e">
        <f t="shared" si="31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2"/>
        <v>#N/A</v>
      </c>
      <c r="AY44" s="121" t="str">
        <f>IF('Cable Info'!R43="","",CONCATENATE('Cable Info'!R43," - ",'Cable Info'!S43))</f>
        <v/>
      </c>
      <c r="BB44" s="121" t="str">
        <f t="shared" si="33"/>
        <v/>
      </c>
      <c r="BD44" s="121" t="str">
        <f>IF('Cable Info'!T43="","",CONCATENATE('Cable Info'!T43," - ",'Cable Info'!U43))</f>
        <v/>
      </c>
      <c r="BG44" s="121" t="str">
        <f t="shared" si="34"/>
        <v/>
      </c>
      <c r="BI44" s="121" t="str">
        <f>IF('Cable Info'!V43="","",CONCATENATE('Cable Info'!V43," - ",'Cable Info'!W43))</f>
        <v/>
      </c>
      <c r="BL44" s="121" t="str">
        <f t="shared" si="35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4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25"/>
        <v/>
      </c>
      <c r="Y45" s="252" t="str">
        <f t="shared" si="26"/>
        <v/>
      </c>
      <c r="Z45" s="253" t="str">
        <f t="shared" si="27"/>
        <v/>
      </c>
      <c r="AA45" s="253" t="str">
        <f t="shared" si="28"/>
        <v/>
      </c>
      <c r="AB45" s="253" t="str">
        <f t="shared" si="29"/>
        <v/>
      </c>
      <c r="AJ45" s="121" t="e">
        <f>IF('Cable Info'!L44="","",CONCATENATE('Cable Info'!L44," - ",'Cable Info'!M44))</f>
        <v>#N/A</v>
      </c>
      <c r="AM45" s="121" t="e">
        <f t="shared" si="30"/>
        <v>#N/A</v>
      </c>
      <c r="AO45" s="121" t="e">
        <f>IF('Cable Info'!N44="","",CONCATENATE('Cable Info'!N44," - ",'Cable Info'!O44))</f>
        <v>#N/A</v>
      </c>
      <c r="AR45" s="121" t="e">
        <f t="shared" si="31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2"/>
        <v>#N/A</v>
      </c>
      <c r="AY45" s="121" t="str">
        <f>IF('Cable Info'!R44="","",CONCATENATE('Cable Info'!R44," - ",'Cable Info'!S44))</f>
        <v/>
      </c>
      <c r="BB45" s="121" t="str">
        <f t="shared" si="33"/>
        <v/>
      </c>
      <c r="BD45" s="121" t="str">
        <f>IF('Cable Info'!T44="","",CONCATENATE('Cable Info'!T44," - ",'Cable Info'!U44))</f>
        <v/>
      </c>
      <c r="BG45" s="121" t="str">
        <f t="shared" si="34"/>
        <v/>
      </c>
      <c r="BI45" s="121" t="str">
        <f>IF('Cable Info'!V44="","",CONCATENATE('Cable Info'!V44," - ",'Cable Info'!W44))</f>
        <v/>
      </c>
      <c r="BL45" s="121" t="str">
        <f t="shared" si="35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4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25"/>
        <v/>
      </c>
      <c r="Y46" s="252" t="str">
        <f t="shared" si="26"/>
        <v/>
      </c>
      <c r="Z46" s="253" t="str">
        <f t="shared" si="27"/>
        <v/>
      </c>
      <c r="AA46" s="253" t="str">
        <f t="shared" si="28"/>
        <v/>
      </c>
      <c r="AB46" s="253" t="str">
        <f t="shared" si="29"/>
        <v/>
      </c>
      <c r="AJ46" s="121" t="e">
        <f>IF('Cable Info'!L45="","",CONCATENATE('Cable Info'!L45," - ",'Cable Info'!M45))</f>
        <v>#N/A</v>
      </c>
      <c r="AM46" s="121" t="e">
        <f t="shared" si="30"/>
        <v>#N/A</v>
      </c>
      <c r="AO46" s="121" t="e">
        <f>IF('Cable Info'!N45="","",CONCATENATE('Cable Info'!N45," - ",'Cable Info'!O45))</f>
        <v>#N/A</v>
      </c>
      <c r="AR46" s="121" t="e">
        <f t="shared" si="31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2"/>
        <v>#N/A</v>
      </c>
      <c r="AY46" s="121" t="str">
        <f>IF('Cable Info'!R45="","",CONCATENATE('Cable Info'!R45," - ",'Cable Info'!S45))</f>
        <v/>
      </c>
      <c r="BB46" s="121" t="str">
        <f t="shared" si="33"/>
        <v/>
      </c>
      <c r="BD46" s="121" t="str">
        <f>IF('Cable Info'!T45="","",CONCATENATE('Cable Info'!T45," - ",'Cable Info'!U45))</f>
        <v/>
      </c>
      <c r="BG46" s="121" t="str">
        <f t="shared" si="34"/>
        <v/>
      </c>
      <c r="BI46" s="121" t="str">
        <f>IF('Cable Info'!V45="","",CONCATENATE('Cable Info'!V45," - ",'Cable Info'!W45))</f>
        <v/>
      </c>
      <c r="BL46" s="121" t="str">
        <f t="shared" si="35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4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25"/>
        <v/>
      </c>
      <c r="Y47" s="252" t="str">
        <f t="shared" si="26"/>
        <v/>
      </c>
      <c r="Z47" s="253" t="str">
        <f t="shared" si="27"/>
        <v/>
      </c>
      <c r="AA47" s="253" t="str">
        <f t="shared" si="28"/>
        <v/>
      </c>
      <c r="AB47" s="253" t="str">
        <f t="shared" si="29"/>
        <v/>
      </c>
      <c r="AJ47" s="121" t="e">
        <f>IF('Cable Info'!L46="","",CONCATENATE('Cable Info'!L46," - ",'Cable Info'!M46))</f>
        <v>#N/A</v>
      </c>
      <c r="AM47" s="121" t="e">
        <f t="shared" si="30"/>
        <v>#N/A</v>
      </c>
      <c r="AO47" s="121" t="e">
        <f>IF('Cable Info'!N46="","",CONCATENATE('Cable Info'!N46," - ",'Cable Info'!O46))</f>
        <v>#N/A</v>
      </c>
      <c r="AR47" s="121" t="e">
        <f t="shared" si="31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2"/>
        <v>#N/A</v>
      </c>
      <c r="AY47" s="121" t="str">
        <f>IF('Cable Info'!R46="","",CONCATENATE('Cable Info'!R46," - ",'Cable Info'!S46))</f>
        <v/>
      </c>
      <c r="BB47" s="121" t="str">
        <f t="shared" si="33"/>
        <v/>
      </c>
      <c r="BD47" s="121" t="str">
        <f>IF('Cable Info'!T46="","",CONCATENATE('Cable Info'!T46," - ",'Cable Info'!U46))</f>
        <v/>
      </c>
      <c r="BG47" s="121" t="str">
        <f t="shared" si="34"/>
        <v/>
      </c>
      <c r="BI47" s="121" t="str">
        <f>IF('Cable Info'!V46="","",CONCATENATE('Cable Info'!V46," - ",'Cable Info'!W46))</f>
        <v/>
      </c>
      <c r="BL47" s="121" t="str">
        <f t="shared" si="35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4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25"/>
        <v/>
      </c>
      <c r="Y48" s="252" t="str">
        <f t="shared" si="26"/>
        <v/>
      </c>
      <c r="Z48" s="253" t="str">
        <f t="shared" si="27"/>
        <v/>
      </c>
      <c r="AA48" s="253" t="str">
        <f t="shared" si="28"/>
        <v/>
      </c>
      <c r="AB48" s="253" t="str">
        <f t="shared" si="29"/>
        <v/>
      </c>
      <c r="AJ48" s="121" t="e">
        <f>IF('Cable Info'!L47="","",CONCATENATE('Cable Info'!L47," - ",'Cable Info'!M47))</f>
        <v>#N/A</v>
      </c>
      <c r="AM48" s="121" t="e">
        <f t="shared" si="30"/>
        <v>#N/A</v>
      </c>
      <c r="AO48" s="121" t="e">
        <f>IF('Cable Info'!N47="","",CONCATENATE('Cable Info'!N47," - ",'Cable Info'!O47))</f>
        <v>#N/A</v>
      </c>
      <c r="AR48" s="121" t="e">
        <f t="shared" si="31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2"/>
        <v>#N/A</v>
      </c>
      <c r="AY48" s="121" t="str">
        <f>IF('Cable Info'!R47="","",CONCATENATE('Cable Info'!R47," - ",'Cable Info'!S47))</f>
        <v/>
      </c>
      <c r="BB48" s="121" t="str">
        <f t="shared" si="33"/>
        <v/>
      </c>
      <c r="BD48" s="121" t="str">
        <f>IF('Cable Info'!T47="","",CONCATENATE('Cable Info'!T47," - ",'Cable Info'!U47))</f>
        <v/>
      </c>
      <c r="BG48" s="121" t="str">
        <f t="shared" si="34"/>
        <v/>
      </c>
      <c r="BI48" s="121" t="str">
        <f>IF('Cable Info'!V47="","",CONCATENATE('Cable Info'!V47," - ",'Cable Info'!W47))</f>
        <v/>
      </c>
      <c r="BL48" s="121" t="str">
        <f t="shared" si="35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4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25"/>
        <v/>
      </c>
      <c r="Y49" s="252" t="str">
        <f t="shared" si="26"/>
        <v/>
      </c>
      <c r="Z49" s="253" t="str">
        <f t="shared" si="27"/>
        <v/>
      </c>
      <c r="AA49" s="253" t="str">
        <f t="shared" si="28"/>
        <v/>
      </c>
      <c r="AB49" s="253" t="str">
        <f t="shared" si="29"/>
        <v/>
      </c>
      <c r="AJ49" s="121" t="e">
        <f>IF('Cable Info'!L48="","",CONCATENATE('Cable Info'!L48," - ",'Cable Info'!M48))</f>
        <v>#N/A</v>
      </c>
      <c r="AM49" s="121" t="e">
        <f t="shared" si="30"/>
        <v>#N/A</v>
      </c>
      <c r="AO49" s="121" t="e">
        <f>IF('Cable Info'!N48="","",CONCATENATE('Cable Info'!N48," - ",'Cable Info'!O48))</f>
        <v>#N/A</v>
      </c>
      <c r="AR49" s="121" t="e">
        <f t="shared" si="31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2"/>
        <v>#N/A</v>
      </c>
      <c r="AY49" s="121" t="str">
        <f>IF('Cable Info'!R48="","",CONCATENATE('Cable Info'!R48," - ",'Cable Info'!S48))</f>
        <v/>
      </c>
      <c r="BB49" s="121" t="str">
        <f t="shared" si="33"/>
        <v/>
      </c>
      <c r="BD49" s="121" t="str">
        <f>IF('Cable Info'!T48="","",CONCATENATE('Cable Info'!T48," - ",'Cable Info'!U48))</f>
        <v/>
      </c>
      <c r="BG49" s="121" t="str">
        <f t="shared" si="34"/>
        <v/>
      </c>
      <c r="BI49" s="121" t="str">
        <f>IF('Cable Info'!V48="","",CONCATENATE('Cable Info'!V48," - ",'Cable Info'!W48))</f>
        <v/>
      </c>
      <c r="BL49" s="121" t="str">
        <f t="shared" si="35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4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25"/>
        <v/>
      </c>
      <c r="Y50" s="252" t="str">
        <f t="shared" si="26"/>
        <v/>
      </c>
      <c r="Z50" s="253" t="str">
        <f t="shared" si="27"/>
        <v/>
      </c>
      <c r="AA50" s="253" t="str">
        <f t="shared" si="28"/>
        <v/>
      </c>
      <c r="AB50" s="253" t="str">
        <f t="shared" si="29"/>
        <v/>
      </c>
      <c r="AJ50" s="121" t="e">
        <f>IF('Cable Info'!L49="","",CONCATENATE('Cable Info'!L49," - ",'Cable Info'!M49))</f>
        <v>#N/A</v>
      </c>
      <c r="AM50" s="121" t="e">
        <f t="shared" si="30"/>
        <v>#N/A</v>
      </c>
      <c r="AO50" s="121" t="e">
        <f>IF('Cable Info'!N49="","",CONCATENATE('Cable Info'!N49," - ",'Cable Info'!O49))</f>
        <v>#N/A</v>
      </c>
      <c r="AR50" s="121" t="e">
        <f t="shared" si="31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2"/>
        <v>#N/A</v>
      </c>
      <c r="AY50" s="121" t="str">
        <f>IF('Cable Info'!R49="","",CONCATENATE('Cable Info'!R49," - ",'Cable Info'!S49))</f>
        <v/>
      </c>
      <c r="BB50" s="121" t="str">
        <f t="shared" si="33"/>
        <v/>
      </c>
      <c r="BD50" s="121" t="str">
        <f>IF('Cable Info'!T49="","",CONCATENATE('Cable Info'!T49," - ",'Cable Info'!U49))</f>
        <v/>
      </c>
      <c r="BG50" s="121" t="str">
        <f t="shared" si="34"/>
        <v/>
      </c>
      <c r="BI50" s="121" t="str">
        <f>IF('Cable Info'!V49="","",CONCATENATE('Cable Info'!V49," - ",'Cable Info'!W49))</f>
        <v/>
      </c>
      <c r="BL50" s="121" t="str">
        <f t="shared" si="35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4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25"/>
        <v/>
      </c>
      <c r="Y51" s="252" t="str">
        <f t="shared" si="26"/>
        <v/>
      </c>
      <c r="Z51" s="253" t="str">
        <f t="shared" si="27"/>
        <v/>
      </c>
      <c r="AA51" s="253" t="str">
        <f t="shared" si="28"/>
        <v/>
      </c>
      <c r="AB51" s="253" t="str">
        <f t="shared" si="29"/>
        <v/>
      </c>
      <c r="AJ51" s="121" t="e">
        <f>IF('Cable Info'!L50="","",CONCATENATE('Cable Info'!L50," - ",'Cable Info'!M50))</f>
        <v>#N/A</v>
      </c>
      <c r="AM51" s="121" t="e">
        <f t="shared" si="30"/>
        <v>#N/A</v>
      </c>
      <c r="AO51" s="121" t="e">
        <f>IF('Cable Info'!N50="","",CONCATENATE('Cable Info'!N50," - ",'Cable Info'!O50))</f>
        <v>#N/A</v>
      </c>
      <c r="AR51" s="121" t="e">
        <f t="shared" si="31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2"/>
        <v>#N/A</v>
      </c>
      <c r="AY51" s="121" t="str">
        <f>IF('Cable Info'!R50="","",CONCATENATE('Cable Info'!R50," - ",'Cable Info'!S50))</f>
        <v/>
      </c>
      <c r="BB51" s="121" t="str">
        <f t="shared" si="33"/>
        <v/>
      </c>
      <c r="BD51" s="121" t="str">
        <f>IF('Cable Info'!T50="","",CONCATENATE('Cable Info'!T50," - ",'Cable Info'!U50))</f>
        <v/>
      </c>
      <c r="BG51" s="121" t="str">
        <f t="shared" si="34"/>
        <v/>
      </c>
      <c r="BI51" s="121" t="str">
        <f>IF('Cable Info'!V50="","",CONCATENATE('Cable Info'!V50," - ",'Cable Info'!W50))</f>
        <v/>
      </c>
      <c r="BL51" s="121" t="str">
        <f t="shared" si="35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4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25"/>
        <v/>
      </c>
      <c r="Y52" s="252" t="str">
        <f t="shared" si="26"/>
        <v/>
      </c>
      <c r="Z52" s="253" t="str">
        <f t="shared" si="27"/>
        <v/>
      </c>
      <c r="AA52" s="253" t="str">
        <f t="shared" si="28"/>
        <v/>
      </c>
      <c r="AB52" s="253" t="str">
        <f t="shared" si="29"/>
        <v/>
      </c>
      <c r="AJ52" s="121" t="e">
        <f>IF('Cable Info'!L51="","",CONCATENATE('Cable Info'!L51," - ",'Cable Info'!M51))</f>
        <v>#N/A</v>
      </c>
      <c r="AM52" s="121" t="e">
        <f t="shared" si="30"/>
        <v>#N/A</v>
      </c>
      <c r="AO52" s="121" t="e">
        <f>IF('Cable Info'!N51="","",CONCATENATE('Cable Info'!N51," - ",'Cable Info'!O51))</f>
        <v>#N/A</v>
      </c>
      <c r="AR52" s="121" t="e">
        <f t="shared" si="31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2"/>
        <v>#N/A</v>
      </c>
      <c r="AY52" s="121" t="str">
        <f>IF('Cable Info'!R51="","",CONCATENATE('Cable Info'!R51," - ",'Cable Info'!S51))</f>
        <v/>
      </c>
      <c r="BB52" s="121" t="str">
        <f t="shared" si="33"/>
        <v/>
      </c>
      <c r="BD52" s="121" t="str">
        <f>IF('Cable Info'!T51="","",CONCATENATE('Cable Info'!T51," - ",'Cable Info'!U51))</f>
        <v/>
      </c>
      <c r="BG52" s="121" t="str">
        <f t="shared" si="34"/>
        <v/>
      </c>
      <c r="BI52" s="121" t="str">
        <f>IF('Cable Info'!V51="","",CONCATENATE('Cable Info'!V51," - ",'Cable Info'!W51))</f>
        <v/>
      </c>
      <c r="BL52" s="121" t="str">
        <f t="shared" si="35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4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25"/>
        <v/>
      </c>
      <c r="Y53" s="252" t="str">
        <f t="shared" si="26"/>
        <v/>
      </c>
      <c r="Z53" s="253" t="str">
        <f t="shared" si="27"/>
        <v/>
      </c>
      <c r="AA53" s="253" t="str">
        <f t="shared" si="28"/>
        <v/>
      </c>
      <c r="AB53" s="253" t="str">
        <f t="shared" si="29"/>
        <v/>
      </c>
      <c r="AJ53" s="121" t="e">
        <f>IF('Cable Info'!L52="","",CONCATENATE('Cable Info'!L52," - ",'Cable Info'!M52))</f>
        <v>#N/A</v>
      </c>
      <c r="AM53" s="121" t="e">
        <f t="shared" si="30"/>
        <v>#N/A</v>
      </c>
      <c r="AO53" s="121" t="e">
        <f>IF('Cable Info'!N52="","",CONCATENATE('Cable Info'!N52," - ",'Cable Info'!O52))</f>
        <v>#N/A</v>
      </c>
      <c r="AR53" s="121" t="e">
        <f t="shared" si="31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2"/>
        <v>#N/A</v>
      </c>
      <c r="AY53" s="121" t="str">
        <f>IF('Cable Info'!R52="","",CONCATENATE('Cable Info'!R52," - ",'Cable Info'!S52))</f>
        <v/>
      </c>
      <c r="BB53" s="121" t="str">
        <f t="shared" si="33"/>
        <v/>
      </c>
      <c r="BD53" s="121" t="str">
        <f>IF('Cable Info'!T52="","",CONCATENATE('Cable Info'!T52," - ",'Cable Info'!U52))</f>
        <v/>
      </c>
      <c r="BG53" s="121" t="str">
        <f t="shared" si="34"/>
        <v/>
      </c>
      <c r="BI53" s="121" t="str">
        <f>IF('Cable Info'!V52="","",CONCATENATE('Cable Info'!V52," - ",'Cable Info'!W52))</f>
        <v/>
      </c>
      <c r="BL53" s="121" t="str">
        <f t="shared" si="35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4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25"/>
        <v/>
      </c>
      <c r="Y54" s="252" t="str">
        <f t="shared" si="26"/>
        <v/>
      </c>
      <c r="Z54" s="253" t="str">
        <f t="shared" si="27"/>
        <v/>
      </c>
      <c r="AA54" s="253" t="str">
        <f t="shared" si="28"/>
        <v/>
      </c>
      <c r="AB54" s="253" t="str">
        <f t="shared" si="29"/>
        <v/>
      </c>
      <c r="AJ54" s="121" t="e">
        <f>IF('Cable Info'!L53="","",CONCATENATE('Cable Info'!L53," - ",'Cable Info'!M53))</f>
        <v>#N/A</v>
      </c>
      <c r="AM54" s="121" t="e">
        <f t="shared" si="30"/>
        <v>#N/A</v>
      </c>
      <c r="AO54" s="121" t="e">
        <f>IF('Cable Info'!N53="","",CONCATENATE('Cable Info'!N53," - ",'Cable Info'!O53))</f>
        <v>#N/A</v>
      </c>
      <c r="AR54" s="121" t="e">
        <f t="shared" si="31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2"/>
        <v>#N/A</v>
      </c>
      <c r="AY54" s="121" t="str">
        <f>IF('Cable Info'!R53="","",CONCATENATE('Cable Info'!R53," - ",'Cable Info'!S53))</f>
        <v/>
      </c>
      <c r="BB54" s="121" t="str">
        <f t="shared" si="33"/>
        <v/>
      </c>
      <c r="BD54" s="121" t="str">
        <f>IF('Cable Info'!T53="","",CONCATENATE('Cable Info'!T53," - ",'Cable Info'!U53))</f>
        <v/>
      </c>
      <c r="BG54" s="121" t="str">
        <f t="shared" si="34"/>
        <v/>
      </c>
      <c r="BI54" s="121" t="str">
        <f>IF('Cable Info'!V53="","",CONCATENATE('Cable Info'!V53," - ",'Cable Info'!W53))</f>
        <v/>
      </c>
      <c r="BL54" s="121" t="str">
        <f t="shared" si="35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4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25"/>
        <v/>
      </c>
      <c r="Y55" s="252" t="str">
        <f t="shared" si="26"/>
        <v/>
      </c>
      <c r="Z55" s="253" t="str">
        <f t="shared" si="27"/>
        <v/>
      </c>
      <c r="AA55" s="253" t="str">
        <f t="shared" si="28"/>
        <v/>
      </c>
      <c r="AB55" s="253" t="str">
        <f t="shared" si="29"/>
        <v/>
      </c>
      <c r="AJ55" s="121" t="e">
        <f>IF('Cable Info'!L54="","",CONCATENATE('Cable Info'!L54," - ",'Cable Info'!M54))</f>
        <v>#N/A</v>
      </c>
      <c r="AM55" s="121" t="e">
        <f t="shared" si="30"/>
        <v>#N/A</v>
      </c>
      <c r="AO55" s="121" t="e">
        <f>IF('Cable Info'!N54="","",CONCATENATE('Cable Info'!N54," - ",'Cable Info'!O54))</f>
        <v>#N/A</v>
      </c>
      <c r="AR55" s="121" t="e">
        <f t="shared" si="31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2"/>
        <v>#N/A</v>
      </c>
      <c r="AY55" s="121" t="str">
        <f>IF('Cable Info'!R54="","",CONCATENATE('Cable Info'!R54," - ",'Cable Info'!S54))</f>
        <v/>
      </c>
      <c r="BB55" s="121" t="str">
        <f t="shared" si="33"/>
        <v/>
      </c>
      <c r="BD55" s="121" t="str">
        <f>IF('Cable Info'!T54="","",CONCATENATE('Cable Info'!T54," - ",'Cable Info'!U54))</f>
        <v/>
      </c>
      <c r="BG55" s="121" t="str">
        <f t="shared" si="34"/>
        <v/>
      </c>
      <c r="BI55" s="121" t="str">
        <f>IF('Cable Info'!V54="","",CONCATENATE('Cable Info'!V54," - ",'Cable Info'!W54))</f>
        <v/>
      </c>
      <c r="BL55" s="121" t="str">
        <f t="shared" si="35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4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25"/>
        <v/>
      </c>
      <c r="Y56" s="252" t="str">
        <f t="shared" si="26"/>
        <v/>
      </c>
      <c r="Z56" s="253" t="str">
        <f t="shared" si="27"/>
        <v/>
      </c>
      <c r="AA56" s="253" t="str">
        <f t="shared" si="28"/>
        <v/>
      </c>
      <c r="AB56" s="253" t="str">
        <f t="shared" si="29"/>
        <v/>
      </c>
      <c r="AJ56" s="121" t="e">
        <f>IF('Cable Info'!L55="","",CONCATENATE('Cable Info'!L55," - ",'Cable Info'!M55))</f>
        <v>#N/A</v>
      </c>
      <c r="AM56" s="121" t="e">
        <f t="shared" si="30"/>
        <v>#N/A</v>
      </c>
      <c r="AO56" s="121" t="e">
        <f>IF('Cable Info'!N55="","",CONCATENATE('Cable Info'!N55," - ",'Cable Info'!O55))</f>
        <v>#N/A</v>
      </c>
      <c r="AR56" s="121" t="e">
        <f t="shared" si="31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2"/>
        <v>#N/A</v>
      </c>
      <c r="AY56" s="121" t="str">
        <f>IF('Cable Info'!R55="","",CONCATENATE('Cable Info'!R55," - ",'Cable Info'!S55))</f>
        <v/>
      </c>
      <c r="BB56" s="121" t="str">
        <f t="shared" si="33"/>
        <v/>
      </c>
      <c r="BD56" s="121" t="str">
        <f>IF('Cable Info'!T55="","",CONCATENATE('Cable Info'!T55," - ",'Cable Info'!U55))</f>
        <v/>
      </c>
      <c r="BG56" s="121" t="str">
        <f t="shared" si="34"/>
        <v/>
      </c>
      <c r="BI56" s="121" t="str">
        <f>IF('Cable Info'!V55="","",CONCATENATE('Cable Info'!V55," - ",'Cable Info'!W55))</f>
        <v/>
      </c>
      <c r="BL56" s="121" t="str">
        <f t="shared" si="35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4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25"/>
        <v/>
      </c>
      <c r="Y57" s="252" t="str">
        <f t="shared" si="26"/>
        <v/>
      </c>
      <c r="Z57" s="253" t="str">
        <f t="shared" si="27"/>
        <v/>
      </c>
      <c r="AA57" s="253" t="str">
        <f t="shared" si="28"/>
        <v/>
      </c>
      <c r="AB57" s="253" t="str">
        <f t="shared" si="29"/>
        <v/>
      </c>
      <c r="AJ57" s="121" t="e">
        <f>IF('Cable Info'!L56="","",CONCATENATE('Cable Info'!L56," - ",'Cable Info'!M56))</f>
        <v>#N/A</v>
      </c>
      <c r="AM57" s="121" t="e">
        <f t="shared" si="30"/>
        <v>#N/A</v>
      </c>
      <c r="AO57" s="121" t="e">
        <f>IF('Cable Info'!N56="","",CONCATENATE('Cable Info'!N56," - ",'Cable Info'!O56))</f>
        <v>#N/A</v>
      </c>
      <c r="AR57" s="121" t="e">
        <f t="shared" si="31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2"/>
        <v>#N/A</v>
      </c>
      <c r="AY57" s="121" t="str">
        <f>IF('Cable Info'!R56="","",CONCATENATE('Cable Info'!R56," - ",'Cable Info'!S56))</f>
        <v/>
      </c>
      <c r="BB57" s="121" t="str">
        <f t="shared" si="33"/>
        <v/>
      </c>
      <c r="BD57" s="121" t="str">
        <f>IF('Cable Info'!T56="","",CONCATENATE('Cable Info'!T56," - ",'Cable Info'!U56))</f>
        <v/>
      </c>
      <c r="BG57" s="121" t="str">
        <f t="shared" si="34"/>
        <v/>
      </c>
      <c r="BI57" s="121" t="str">
        <f>IF('Cable Info'!V56="","",CONCATENATE('Cable Info'!V56," - ",'Cable Info'!W56))</f>
        <v/>
      </c>
      <c r="BL57" s="121" t="str">
        <f t="shared" si="35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4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25"/>
        <v/>
      </c>
      <c r="Y58" s="252" t="str">
        <f t="shared" si="26"/>
        <v/>
      </c>
      <c r="Z58" s="253" t="str">
        <f t="shared" si="27"/>
        <v/>
      </c>
      <c r="AA58" s="253" t="str">
        <f t="shared" si="28"/>
        <v/>
      </c>
      <c r="AB58" s="253" t="str">
        <f t="shared" si="29"/>
        <v/>
      </c>
      <c r="AJ58" s="121" t="e">
        <f>IF('Cable Info'!L57="","",CONCATENATE('Cable Info'!L57," - ",'Cable Info'!M57))</f>
        <v>#N/A</v>
      </c>
      <c r="AM58" s="121" t="e">
        <f t="shared" si="30"/>
        <v>#N/A</v>
      </c>
      <c r="AO58" s="121" t="e">
        <f>IF('Cable Info'!N57="","",CONCATENATE('Cable Info'!N57," - ",'Cable Info'!O57))</f>
        <v>#N/A</v>
      </c>
      <c r="AR58" s="121" t="e">
        <f t="shared" si="31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2"/>
        <v>#N/A</v>
      </c>
      <c r="AY58" s="121" t="str">
        <f>IF('Cable Info'!R57="","",CONCATENATE('Cable Info'!R57," - ",'Cable Info'!S57))</f>
        <v/>
      </c>
      <c r="BB58" s="121" t="str">
        <f t="shared" si="33"/>
        <v/>
      </c>
      <c r="BD58" s="121" t="str">
        <f>IF('Cable Info'!T57="","",CONCATENATE('Cable Info'!T57," - ",'Cable Info'!U57))</f>
        <v/>
      </c>
      <c r="BG58" s="121" t="str">
        <f t="shared" si="34"/>
        <v/>
      </c>
      <c r="BI58" s="121" t="str">
        <f>IF('Cable Info'!V57="","",CONCATENATE('Cable Info'!V57," - ",'Cable Info'!W57))</f>
        <v/>
      </c>
      <c r="BL58" s="121" t="str">
        <f t="shared" si="35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4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25"/>
        <v/>
      </c>
      <c r="Y59" s="252" t="str">
        <f t="shared" si="26"/>
        <v/>
      </c>
      <c r="Z59" s="253" t="str">
        <f t="shared" si="27"/>
        <v/>
      </c>
      <c r="AA59" s="253" t="str">
        <f t="shared" si="28"/>
        <v/>
      </c>
      <c r="AB59" s="253" t="str">
        <f t="shared" si="29"/>
        <v/>
      </c>
      <c r="AJ59" s="121" t="e">
        <f>IF('Cable Info'!L58="","",CONCATENATE('Cable Info'!L58," - ",'Cable Info'!M58))</f>
        <v>#N/A</v>
      </c>
      <c r="AM59" s="121" t="e">
        <f t="shared" si="30"/>
        <v>#N/A</v>
      </c>
      <c r="AO59" s="121" t="e">
        <f>IF('Cable Info'!N58="","",CONCATENATE('Cable Info'!N58," - ",'Cable Info'!O58))</f>
        <v>#N/A</v>
      </c>
      <c r="AR59" s="121" t="e">
        <f t="shared" si="31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2"/>
        <v>#N/A</v>
      </c>
      <c r="AY59" s="121" t="str">
        <f>IF('Cable Info'!R58="","",CONCATENATE('Cable Info'!R58," - ",'Cable Info'!S58))</f>
        <v/>
      </c>
      <c r="BB59" s="121" t="str">
        <f t="shared" si="33"/>
        <v/>
      </c>
      <c r="BD59" s="121" t="str">
        <f>IF('Cable Info'!T58="","",CONCATENATE('Cable Info'!T58," - ",'Cable Info'!U58))</f>
        <v/>
      </c>
      <c r="BG59" s="121" t="str">
        <f t="shared" si="34"/>
        <v/>
      </c>
      <c r="BI59" s="121" t="str">
        <f>IF('Cable Info'!V58="","",CONCATENATE('Cable Info'!V58," - ",'Cable Info'!W58))</f>
        <v/>
      </c>
      <c r="BL59" s="121" t="str">
        <f t="shared" si="35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4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25"/>
        <v/>
      </c>
      <c r="Y60" s="252" t="str">
        <f t="shared" si="26"/>
        <v/>
      </c>
      <c r="Z60" s="253" t="str">
        <f t="shared" si="27"/>
        <v/>
      </c>
      <c r="AA60" s="253" t="str">
        <f t="shared" si="28"/>
        <v/>
      </c>
      <c r="AB60" s="253" t="str">
        <f t="shared" si="29"/>
        <v/>
      </c>
      <c r="AJ60" s="121" t="e">
        <f>IF('Cable Info'!L59="","",CONCATENATE('Cable Info'!L59," - ",'Cable Info'!M59))</f>
        <v>#N/A</v>
      </c>
      <c r="AM60" s="121" t="e">
        <f t="shared" si="30"/>
        <v>#N/A</v>
      </c>
      <c r="AO60" s="121" t="e">
        <f>IF('Cable Info'!N59="","",CONCATENATE('Cable Info'!N59," - ",'Cable Info'!O59))</f>
        <v>#N/A</v>
      </c>
      <c r="AR60" s="121" t="e">
        <f t="shared" si="31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2"/>
        <v>#N/A</v>
      </c>
      <c r="AY60" s="121" t="str">
        <f>IF('Cable Info'!R59="","",CONCATENATE('Cable Info'!R59," - ",'Cable Info'!S59))</f>
        <v/>
      </c>
      <c r="BB60" s="121" t="str">
        <f t="shared" si="33"/>
        <v/>
      </c>
      <c r="BD60" s="121" t="str">
        <f>IF('Cable Info'!T59="","",CONCATENATE('Cable Info'!T59," - ",'Cable Info'!U59))</f>
        <v/>
      </c>
      <c r="BG60" s="121" t="str">
        <f t="shared" si="34"/>
        <v/>
      </c>
      <c r="BI60" s="121" t="str">
        <f>IF('Cable Info'!V59="","",CONCATENATE('Cable Info'!V59," - ",'Cable Info'!W59))</f>
        <v/>
      </c>
      <c r="BL60" s="121" t="str">
        <f t="shared" si="35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4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25"/>
        <v/>
      </c>
      <c r="Y61" s="252" t="str">
        <f t="shared" si="26"/>
        <v/>
      </c>
      <c r="Z61" s="253" t="str">
        <f t="shared" si="27"/>
        <v/>
      </c>
      <c r="AA61" s="253" t="str">
        <f t="shared" si="28"/>
        <v/>
      </c>
      <c r="AB61" s="253" t="str">
        <f t="shared" si="29"/>
        <v/>
      </c>
      <c r="AJ61" s="121" t="e">
        <f>IF('Cable Info'!L60="","",CONCATENATE('Cable Info'!L60," - ",'Cable Info'!M60))</f>
        <v>#N/A</v>
      </c>
      <c r="AM61" s="121" t="e">
        <f t="shared" si="30"/>
        <v>#N/A</v>
      </c>
      <c r="AO61" s="121" t="e">
        <f>IF('Cable Info'!N60="","",CONCATENATE('Cable Info'!N60," - ",'Cable Info'!O60))</f>
        <v>#N/A</v>
      </c>
      <c r="AR61" s="121" t="e">
        <f t="shared" si="31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2"/>
        <v>#N/A</v>
      </c>
      <c r="AY61" s="121" t="str">
        <f>IF('Cable Info'!R60="","",CONCATENATE('Cable Info'!R60," - ",'Cable Info'!S60))</f>
        <v/>
      </c>
      <c r="BB61" s="121" t="str">
        <f t="shared" si="33"/>
        <v/>
      </c>
      <c r="BD61" s="121" t="str">
        <f>IF('Cable Info'!T60="","",CONCATENATE('Cable Info'!T60," - ",'Cable Info'!U60))</f>
        <v/>
      </c>
      <c r="BG61" s="121" t="str">
        <f t="shared" si="34"/>
        <v/>
      </c>
      <c r="BI61" s="121" t="str">
        <f>IF('Cable Info'!V60="","",CONCATENATE('Cable Info'!V60," - ",'Cable Info'!W60))</f>
        <v/>
      </c>
      <c r="BL61" s="121" t="str">
        <f t="shared" si="35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4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25"/>
        <v/>
      </c>
      <c r="Y62" s="252" t="str">
        <f t="shared" si="26"/>
        <v/>
      </c>
      <c r="Z62" s="253" t="str">
        <f t="shared" si="27"/>
        <v/>
      </c>
      <c r="AA62" s="253" t="str">
        <f t="shared" si="28"/>
        <v/>
      </c>
      <c r="AB62" s="253" t="str">
        <f t="shared" si="29"/>
        <v/>
      </c>
      <c r="AJ62" s="121" t="e">
        <f>IF('Cable Info'!L61="","",CONCATENATE('Cable Info'!L61," - ",'Cable Info'!M61))</f>
        <v>#N/A</v>
      </c>
      <c r="AM62" s="121" t="e">
        <f t="shared" si="30"/>
        <v>#N/A</v>
      </c>
      <c r="AO62" s="121" t="e">
        <f>IF('Cable Info'!N61="","",CONCATENATE('Cable Info'!N61," - ",'Cable Info'!O61))</f>
        <v>#N/A</v>
      </c>
      <c r="AR62" s="121" t="e">
        <f t="shared" si="31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2"/>
        <v>#N/A</v>
      </c>
      <c r="AY62" s="121" t="str">
        <f>IF('Cable Info'!R61="","",CONCATENATE('Cable Info'!R61," - ",'Cable Info'!S61))</f>
        <v/>
      </c>
      <c r="BB62" s="121" t="str">
        <f t="shared" si="33"/>
        <v/>
      </c>
      <c r="BD62" s="121" t="str">
        <f>IF('Cable Info'!T61="","",CONCATENATE('Cable Info'!T61," - ",'Cable Info'!U61))</f>
        <v/>
      </c>
      <c r="BG62" s="121" t="str">
        <f t="shared" si="34"/>
        <v/>
      </c>
      <c r="BI62" s="121" t="str">
        <f>IF('Cable Info'!V61="","",CONCATENATE('Cable Info'!V61," - ",'Cable Info'!W61))</f>
        <v/>
      </c>
      <c r="BL62" s="121" t="str">
        <f t="shared" si="35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4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25"/>
        <v/>
      </c>
      <c r="Y63" s="252" t="str">
        <f t="shared" si="26"/>
        <v/>
      </c>
      <c r="Z63" s="253" t="str">
        <f t="shared" si="27"/>
        <v/>
      </c>
      <c r="AA63" s="253" t="str">
        <f t="shared" si="28"/>
        <v/>
      </c>
      <c r="AB63" s="253" t="str">
        <f t="shared" si="29"/>
        <v/>
      </c>
      <c r="AJ63" s="121" t="e">
        <f>IF('Cable Info'!L62="","",CONCATENATE('Cable Info'!L62," - ",'Cable Info'!M62))</f>
        <v>#N/A</v>
      </c>
      <c r="AM63" s="121" t="e">
        <f t="shared" si="30"/>
        <v>#N/A</v>
      </c>
      <c r="AO63" s="121" t="e">
        <f>IF('Cable Info'!N62="","",CONCATENATE('Cable Info'!N62," - ",'Cable Info'!O62))</f>
        <v>#N/A</v>
      </c>
      <c r="AR63" s="121" t="e">
        <f t="shared" si="31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2"/>
        <v>#N/A</v>
      </c>
      <c r="AY63" s="121" t="str">
        <f>IF('Cable Info'!R62="","",CONCATENATE('Cable Info'!R62," - ",'Cable Info'!S62))</f>
        <v/>
      </c>
      <c r="BB63" s="121" t="str">
        <f t="shared" si="33"/>
        <v/>
      </c>
      <c r="BD63" s="121" t="str">
        <f>IF('Cable Info'!T62="","",CONCATENATE('Cable Info'!T62," - ",'Cable Info'!U62))</f>
        <v/>
      </c>
      <c r="BG63" s="121" t="str">
        <f t="shared" si="34"/>
        <v/>
      </c>
      <c r="BI63" s="121" t="str">
        <f>IF('Cable Info'!V62="","",CONCATENATE('Cable Info'!V62," - ",'Cable Info'!W62))</f>
        <v/>
      </c>
      <c r="BL63" s="121" t="str">
        <f t="shared" si="35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4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25"/>
        <v/>
      </c>
      <c r="Y64" s="252" t="str">
        <f t="shared" si="26"/>
        <v/>
      </c>
      <c r="Z64" s="253" t="str">
        <f t="shared" si="27"/>
        <v/>
      </c>
      <c r="AA64" s="253" t="str">
        <f t="shared" si="28"/>
        <v/>
      </c>
      <c r="AB64" s="253" t="str">
        <f t="shared" si="29"/>
        <v/>
      </c>
      <c r="AJ64" s="121" t="e">
        <f>IF('Cable Info'!L63="","",CONCATENATE('Cable Info'!L63," - ",'Cable Info'!M63))</f>
        <v>#N/A</v>
      </c>
      <c r="AM64" s="121" t="e">
        <f t="shared" si="30"/>
        <v>#N/A</v>
      </c>
      <c r="AO64" s="121" t="e">
        <f>IF('Cable Info'!N63="","",CONCATENATE('Cable Info'!N63," - ",'Cable Info'!O63))</f>
        <v>#N/A</v>
      </c>
      <c r="AR64" s="121" t="e">
        <f t="shared" si="31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2"/>
        <v>#N/A</v>
      </c>
      <c r="AY64" s="121" t="str">
        <f>IF('Cable Info'!R63="","",CONCATENATE('Cable Info'!R63," - ",'Cable Info'!S63))</f>
        <v/>
      </c>
      <c r="BB64" s="121" t="str">
        <f t="shared" si="33"/>
        <v/>
      </c>
      <c r="BD64" s="121" t="str">
        <f>IF('Cable Info'!T63="","",CONCATENATE('Cable Info'!T63," - ",'Cable Info'!U63))</f>
        <v/>
      </c>
      <c r="BG64" s="121" t="str">
        <f t="shared" si="34"/>
        <v/>
      </c>
      <c r="BI64" s="121" t="str">
        <f>IF('Cable Info'!V63="","",CONCATENATE('Cable Info'!V63," - ",'Cable Info'!W63))</f>
        <v/>
      </c>
      <c r="BL64" s="121" t="str">
        <f t="shared" si="35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4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25"/>
        <v/>
      </c>
      <c r="Y65" s="252" t="str">
        <f t="shared" si="26"/>
        <v/>
      </c>
      <c r="Z65" s="253" t="str">
        <f t="shared" si="27"/>
        <v/>
      </c>
      <c r="AA65" s="253" t="str">
        <f t="shared" si="28"/>
        <v/>
      </c>
      <c r="AB65" s="253" t="str">
        <f t="shared" si="29"/>
        <v/>
      </c>
      <c r="AJ65" s="121" t="e">
        <f>IF('Cable Info'!L64="","",CONCATENATE('Cable Info'!L64," - ",'Cable Info'!M64))</f>
        <v>#N/A</v>
      </c>
      <c r="AM65" s="121" t="e">
        <f t="shared" si="30"/>
        <v>#N/A</v>
      </c>
      <c r="AO65" s="121" t="e">
        <f>IF('Cable Info'!N64="","",CONCATENATE('Cable Info'!N64," - ",'Cable Info'!O64))</f>
        <v>#N/A</v>
      </c>
      <c r="AR65" s="121" t="e">
        <f t="shared" si="31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2"/>
        <v>#N/A</v>
      </c>
      <c r="AY65" s="121" t="str">
        <f>IF('Cable Info'!R64="","",CONCATENATE('Cable Info'!R64," - ",'Cable Info'!S64))</f>
        <v/>
      </c>
      <c r="BB65" s="121" t="str">
        <f t="shared" si="33"/>
        <v/>
      </c>
      <c r="BD65" s="121" t="str">
        <f>IF('Cable Info'!T64="","",CONCATENATE('Cable Info'!T64," - ",'Cable Info'!U64))</f>
        <v/>
      </c>
      <c r="BG65" s="121" t="str">
        <f t="shared" si="34"/>
        <v/>
      </c>
      <c r="BI65" s="121" t="str">
        <f>IF('Cable Info'!V64="","",CONCATENATE('Cable Info'!V64," - ",'Cable Info'!W64))</f>
        <v/>
      </c>
      <c r="BL65" s="121" t="str">
        <f t="shared" si="35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4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25"/>
        <v/>
      </c>
      <c r="Y66" s="252" t="str">
        <f t="shared" si="26"/>
        <v/>
      </c>
      <c r="Z66" s="253" t="str">
        <f t="shared" si="27"/>
        <v/>
      </c>
      <c r="AA66" s="253" t="str">
        <f t="shared" si="28"/>
        <v/>
      </c>
      <c r="AB66" s="253" t="str">
        <f t="shared" si="29"/>
        <v/>
      </c>
      <c r="AJ66" s="121" t="e">
        <f>IF('Cable Info'!L65="","",CONCATENATE('Cable Info'!L65," - ",'Cable Info'!M65))</f>
        <v>#N/A</v>
      </c>
      <c r="AM66" s="121" t="e">
        <f t="shared" si="30"/>
        <v>#N/A</v>
      </c>
      <c r="AO66" s="121" t="e">
        <f>IF('Cable Info'!N65="","",CONCATENATE('Cable Info'!N65," - ",'Cable Info'!O65))</f>
        <v>#N/A</v>
      </c>
      <c r="AR66" s="121" t="e">
        <f t="shared" si="31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2"/>
        <v>#N/A</v>
      </c>
      <c r="AY66" s="121" t="str">
        <f>IF('Cable Info'!R65="","",CONCATENATE('Cable Info'!R65," - ",'Cable Info'!S65))</f>
        <v/>
      </c>
      <c r="BB66" s="121" t="str">
        <f t="shared" si="33"/>
        <v/>
      </c>
      <c r="BD66" s="121" t="str">
        <f>IF('Cable Info'!T65="","",CONCATENATE('Cable Info'!T65," - ",'Cable Info'!U65))</f>
        <v/>
      </c>
      <c r="BG66" s="121" t="str">
        <f t="shared" si="34"/>
        <v/>
      </c>
      <c r="BI66" s="121" t="str">
        <f>IF('Cable Info'!V65="","",CONCATENATE('Cable Info'!V65," - ",'Cable Info'!W65))</f>
        <v/>
      </c>
      <c r="BL66" s="121" t="str">
        <f t="shared" si="35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4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25"/>
        <v/>
      </c>
      <c r="Y67" s="252" t="str">
        <f t="shared" si="26"/>
        <v/>
      </c>
      <c r="Z67" s="253" t="str">
        <f t="shared" si="27"/>
        <v/>
      </c>
      <c r="AA67" s="253" t="str">
        <f t="shared" si="28"/>
        <v/>
      </c>
      <c r="AB67" s="253" t="str">
        <f t="shared" si="29"/>
        <v/>
      </c>
      <c r="AJ67" s="121" t="e">
        <f>IF('Cable Info'!L66="","",CONCATENATE('Cable Info'!L66," - ",'Cable Info'!M66))</f>
        <v>#N/A</v>
      </c>
      <c r="AM67" s="121" t="e">
        <f t="shared" si="30"/>
        <v>#N/A</v>
      </c>
      <c r="AO67" s="121" t="e">
        <f>IF('Cable Info'!N66="","",CONCATENATE('Cable Info'!N66," - ",'Cable Info'!O66))</f>
        <v>#N/A</v>
      </c>
      <c r="AR67" s="121" t="e">
        <f t="shared" si="31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2"/>
        <v>#N/A</v>
      </c>
      <c r="AY67" s="121" t="str">
        <f>IF('Cable Info'!R66="","",CONCATENATE('Cable Info'!R66," - ",'Cable Info'!S66))</f>
        <v/>
      </c>
      <c r="BB67" s="121" t="str">
        <f t="shared" si="33"/>
        <v/>
      </c>
      <c r="BD67" s="121" t="str">
        <f>IF('Cable Info'!T66="","",CONCATENATE('Cable Info'!T66," - ",'Cable Info'!U66))</f>
        <v/>
      </c>
      <c r="BG67" s="121" t="str">
        <f t="shared" si="34"/>
        <v/>
      </c>
      <c r="BI67" s="121" t="str">
        <f>IF('Cable Info'!V66="","",CONCATENATE('Cable Info'!V66," - ",'Cable Info'!W66))</f>
        <v/>
      </c>
      <c r="BL67" s="121" t="str">
        <f t="shared" si="35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4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25"/>
        <v/>
      </c>
      <c r="Y68" s="252" t="str">
        <f t="shared" si="26"/>
        <v/>
      </c>
      <c r="Z68" s="253" t="str">
        <f t="shared" si="27"/>
        <v/>
      </c>
      <c r="AA68" s="253" t="str">
        <f t="shared" si="28"/>
        <v/>
      </c>
      <c r="AB68" s="253" t="str">
        <f t="shared" si="29"/>
        <v/>
      </c>
      <c r="AJ68" s="121" t="e">
        <f>IF('Cable Info'!L67="","",CONCATENATE('Cable Info'!L67," - ",'Cable Info'!M67))</f>
        <v>#N/A</v>
      </c>
      <c r="AM68" s="121" t="e">
        <f t="shared" si="30"/>
        <v>#N/A</v>
      </c>
      <c r="AO68" s="121" t="e">
        <f>IF('Cable Info'!N67="","",CONCATENATE('Cable Info'!N67," - ",'Cable Info'!O67))</f>
        <v>#N/A</v>
      </c>
      <c r="AR68" s="121" t="e">
        <f t="shared" si="31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2"/>
        <v>#N/A</v>
      </c>
      <c r="AY68" s="121" t="str">
        <f>IF('Cable Info'!R67="","",CONCATENATE('Cable Info'!R67," - ",'Cable Info'!S67))</f>
        <v/>
      </c>
      <c r="BB68" s="121" t="str">
        <f t="shared" si="33"/>
        <v/>
      </c>
      <c r="BD68" s="121" t="str">
        <f>IF('Cable Info'!T67="","",CONCATENATE('Cable Info'!T67," - ",'Cable Info'!U67))</f>
        <v/>
      </c>
      <c r="BG68" s="121" t="str">
        <f t="shared" si="34"/>
        <v/>
      </c>
      <c r="BI68" s="121" t="str">
        <f>IF('Cable Info'!V67="","",CONCATENATE('Cable Info'!V67," - ",'Cable Info'!W67))</f>
        <v/>
      </c>
      <c r="BL68" s="121" t="str">
        <f t="shared" si="35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4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25"/>
        <v/>
      </c>
      <c r="Y69" s="252" t="str">
        <f t="shared" si="26"/>
        <v/>
      </c>
      <c r="Z69" s="253" t="str">
        <f t="shared" si="27"/>
        <v/>
      </c>
      <c r="AA69" s="253" t="str">
        <f t="shared" si="28"/>
        <v/>
      </c>
      <c r="AB69" s="253" t="str">
        <f t="shared" si="29"/>
        <v/>
      </c>
      <c r="AJ69" s="121" t="e">
        <f>IF('Cable Info'!L68="","",CONCATENATE('Cable Info'!L68," - ",'Cable Info'!M68))</f>
        <v>#N/A</v>
      </c>
      <c r="AM69" s="121" t="e">
        <f t="shared" si="30"/>
        <v>#N/A</v>
      </c>
      <c r="AO69" s="121" t="e">
        <f>IF('Cable Info'!N68="","",CONCATENATE('Cable Info'!N68," - ",'Cable Info'!O68))</f>
        <v>#N/A</v>
      </c>
      <c r="AR69" s="121" t="e">
        <f t="shared" si="31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2"/>
        <v>#N/A</v>
      </c>
      <c r="AY69" s="121" t="str">
        <f>IF('Cable Info'!R68="","",CONCATENATE('Cable Info'!R68," - ",'Cable Info'!S68))</f>
        <v/>
      </c>
      <c r="BB69" s="121" t="str">
        <f t="shared" si="33"/>
        <v/>
      </c>
      <c r="BD69" s="121" t="str">
        <f>IF('Cable Info'!T68="","",CONCATENATE('Cable Info'!T68," - ",'Cable Info'!U68))</f>
        <v/>
      </c>
      <c r="BG69" s="121" t="str">
        <f t="shared" si="34"/>
        <v/>
      </c>
      <c r="BI69" s="121" t="str">
        <f>IF('Cable Info'!V68="","",CONCATENATE('Cable Info'!V68," - ",'Cable Info'!W68))</f>
        <v/>
      </c>
      <c r="BL69" s="121" t="str">
        <f t="shared" si="35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4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25"/>
        <v/>
      </c>
      <c r="Y70" s="252" t="str">
        <f t="shared" si="26"/>
        <v/>
      </c>
      <c r="Z70" s="253" t="str">
        <f t="shared" si="27"/>
        <v/>
      </c>
      <c r="AA70" s="253" t="str">
        <f t="shared" si="28"/>
        <v/>
      </c>
      <c r="AB70" s="253" t="str">
        <f t="shared" si="29"/>
        <v/>
      </c>
      <c r="AJ70" s="121" t="e">
        <f>IF('Cable Info'!L69="","",CONCATENATE('Cable Info'!L69," - ",'Cable Info'!M69))</f>
        <v>#N/A</v>
      </c>
      <c r="AM70" s="121" t="e">
        <f t="shared" si="30"/>
        <v>#N/A</v>
      </c>
      <c r="AO70" s="121" t="e">
        <f>IF('Cable Info'!N69="","",CONCATENATE('Cable Info'!N69," - ",'Cable Info'!O69))</f>
        <v>#N/A</v>
      </c>
      <c r="AR70" s="121" t="e">
        <f t="shared" si="31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2"/>
        <v>#N/A</v>
      </c>
      <c r="AY70" s="121" t="str">
        <f>IF('Cable Info'!R69="","",CONCATENATE('Cable Info'!R69," - ",'Cable Info'!S69))</f>
        <v/>
      </c>
      <c r="BB70" s="121" t="str">
        <f t="shared" si="33"/>
        <v/>
      </c>
      <c r="BD70" s="121" t="str">
        <f>IF('Cable Info'!T69="","",CONCATENATE('Cable Info'!T69," - ",'Cable Info'!U69))</f>
        <v/>
      </c>
      <c r="BG70" s="121" t="str">
        <f t="shared" si="34"/>
        <v/>
      </c>
      <c r="BI70" s="121" t="str">
        <f>IF('Cable Info'!V69="","",CONCATENATE('Cable Info'!V69," - ",'Cable Info'!W69))</f>
        <v/>
      </c>
      <c r="BL70" s="121" t="str">
        <f t="shared" si="35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4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25"/>
        <v/>
      </c>
      <c r="Y71" s="252" t="str">
        <f t="shared" si="26"/>
        <v/>
      </c>
      <c r="Z71" s="253" t="str">
        <f t="shared" si="27"/>
        <v/>
      </c>
      <c r="AA71" s="253" t="str">
        <f t="shared" si="28"/>
        <v/>
      </c>
      <c r="AB71" s="253" t="str">
        <f t="shared" si="29"/>
        <v/>
      </c>
      <c r="AJ71" s="121" t="e">
        <f>IF('Cable Info'!L70="","",CONCATENATE('Cable Info'!L70," - ",'Cable Info'!M70))</f>
        <v>#N/A</v>
      </c>
      <c r="AM71" s="121" t="e">
        <f t="shared" si="30"/>
        <v>#N/A</v>
      </c>
      <c r="AO71" s="121" t="e">
        <f>IF('Cable Info'!N70="","",CONCATENATE('Cable Info'!N70," - ",'Cable Info'!O70))</f>
        <v>#N/A</v>
      </c>
      <c r="AR71" s="121" t="e">
        <f t="shared" si="31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2"/>
        <v>#N/A</v>
      </c>
      <c r="AY71" s="121" t="str">
        <f>IF('Cable Info'!R70="","",CONCATENATE('Cable Info'!R70," - ",'Cable Info'!S70))</f>
        <v/>
      </c>
      <c r="BB71" s="121" t="str">
        <f t="shared" si="33"/>
        <v/>
      </c>
      <c r="BD71" s="121" t="str">
        <f>IF('Cable Info'!T70="","",CONCATENATE('Cable Info'!T70," - ",'Cable Info'!U70))</f>
        <v/>
      </c>
      <c r="BG71" s="121" t="str">
        <f t="shared" si="34"/>
        <v/>
      </c>
      <c r="BI71" s="121" t="str">
        <f>IF('Cable Info'!V70="","",CONCATENATE('Cable Info'!V70," - ",'Cable Info'!W70))</f>
        <v/>
      </c>
      <c r="BL71" s="121" t="str">
        <f t="shared" si="35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4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25"/>
        <v/>
      </c>
      <c r="Y72" s="252" t="str">
        <f t="shared" si="26"/>
        <v/>
      </c>
      <c r="Z72" s="253" t="str">
        <f t="shared" si="27"/>
        <v/>
      </c>
      <c r="AA72" s="253" t="str">
        <f t="shared" si="28"/>
        <v/>
      </c>
      <c r="AB72" s="253" t="str">
        <f t="shared" si="29"/>
        <v/>
      </c>
      <c r="AJ72" s="121" t="e">
        <f>IF('Cable Info'!L71="","",CONCATENATE('Cable Info'!L71," - ",'Cable Info'!M71))</f>
        <v>#N/A</v>
      </c>
      <c r="AM72" s="121" t="e">
        <f t="shared" si="30"/>
        <v>#N/A</v>
      </c>
      <c r="AO72" s="121" t="e">
        <f>IF('Cable Info'!N71="","",CONCATENATE('Cable Info'!N71," - ",'Cable Info'!O71))</f>
        <v>#N/A</v>
      </c>
      <c r="AR72" s="121" t="e">
        <f t="shared" si="31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2"/>
        <v>#N/A</v>
      </c>
      <c r="AY72" s="121" t="str">
        <f>IF('Cable Info'!R71="","",CONCATENATE('Cable Info'!R71," - ",'Cable Info'!S71))</f>
        <v/>
      </c>
      <c r="BB72" s="121" t="str">
        <f t="shared" si="33"/>
        <v/>
      </c>
      <c r="BD72" s="121" t="str">
        <f>IF('Cable Info'!T71="","",CONCATENATE('Cable Info'!T71," - ",'Cable Info'!U71))</f>
        <v/>
      </c>
      <c r="BG72" s="121" t="str">
        <f t="shared" si="34"/>
        <v/>
      </c>
      <c r="BI72" s="121" t="str">
        <f>IF('Cable Info'!V71="","",CONCATENATE('Cable Info'!V71," - ",'Cable Info'!W71))</f>
        <v/>
      </c>
      <c r="BL72" s="121" t="str">
        <f t="shared" si="35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4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25"/>
        <v/>
      </c>
      <c r="Y73" s="252" t="str">
        <f t="shared" si="26"/>
        <v/>
      </c>
      <c r="Z73" s="253" t="str">
        <f t="shared" si="27"/>
        <v/>
      </c>
      <c r="AA73" s="253" t="str">
        <f t="shared" si="28"/>
        <v/>
      </c>
      <c r="AB73" s="253" t="str">
        <f t="shared" si="29"/>
        <v/>
      </c>
      <c r="AJ73" s="121" t="e">
        <f>IF('Cable Info'!L72="","",CONCATENATE('Cable Info'!L72," - ",'Cable Info'!M72))</f>
        <v>#N/A</v>
      </c>
      <c r="AM73" s="121" t="e">
        <f t="shared" si="30"/>
        <v>#N/A</v>
      </c>
      <c r="AO73" s="121" t="e">
        <f>IF('Cable Info'!N72="","",CONCATENATE('Cable Info'!N72," - ",'Cable Info'!O72))</f>
        <v>#N/A</v>
      </c>
      <c r="AR73" s="121" t="e">
        <f t="shared" si="31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2"/>
        <v>#N/A</v>
      </c>
      <c r="AY73" s="121" t="str">
        <f>IF('Cable Info'!R72="","",CONCATENATE('Cable Info'!R72," - ",'Cable Info'!S72))</f>
        <v/>
      </c>
      <c r="BB73" s="121" t="str">
        <f t="shared" si="33"/>
        <v/>
      </c>
      <c r="BD73" s="121" t="str">
        <f>IF('Cable Info'!T72="","",CONCATENATE('Cable Info'!T72," - ",'Cable Info'!U72))</f>
        <v/>
      </c>
      <c r="BG73" s="121" t="str">
        <f t="shared" si="34"/>
        <v/>
      </c>
      <c r="BI73" s="121" t="str">
        <f>IF('Cable Info'!V72="","",CONCATENATE('Cable Info'!V72," - ",'Cable Info'!W72))</f>
        <v/>
      </c>
      <c r="BL73" s="121" t="str">
        <f t="shared" si="35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4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25"/>
        <v/>
      </c>
      <c r="Y74" s="252" t="str">
        <f t="shared" si="26"/>
        <v/>
      </c>
      <c r="Z74" s="253" t="str">
        <f t="shared" si="27"/>
        <v/>
      </c>
      <c r="AA74" s="253" t="str">
        <f t="shared" si="28"/>
        <v/>
      </c>
      <c r="AB74" s="253" t="str">
        <f t="shared" si="29"/>
        <v/>
      </c>
      <c r="AJ74" s="121" t="e">
        <f>IF('Cable Info'!L73="","",CONCATENATE('Cable Info'!L73," - ",'Cable Info'!M73))</f>
        <v>#N/A</v>
      </c>
      <c r="AM74" s="121" t="e">
        <f t="shared" si="30"/>
        <v>#N/A</v>
      </c>
      <c r="AO74" s="121" t="e">
        <f>IF('Cable Info'!N73="","",CONCATENATE('Cable Info'!N73," - ",'Cable Info'!O73))</f>
        <v>#N/A</v>
      </c>
      <c r="AR74" s="121" t="e">
        <f t="shared" si="31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2"/>
        <v>#N/A</v>
      </c>
      <c r="AY74" s="121" t="str">
        <f>IF('Cable Info'!R73="","",CONCATENATE('Cable Info'!R73," - ",'Cable Info'!S73))</f>
        <v/>
      </c>
      <c r="BB74" s="121" t="str">
        <f t="shared" si="33"/>
        <v/>
      </c>
      <c r="BD74" s="121" t="str">
        <f>IF('Cable Info'!T73="","",CONCATENATE('Cable Info'!T73," - ",'Cable Info'!U73))</f>
        <v/>
      </c>
      <c r="BG74" s="121" t="str">
        <f t="shared" si="34"/>
        <v/>
      </c>
      <c r="BI74" s="121" t="str">
        <f>IF('Cable Info'!V73="","",CONCATENATE('Cable Info'!V73," - ",'Cable Info'!W73))</f>
        <v/>
      </c>
      <c r="BL74" s="121" t="str">
        <f t="shared" si="35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4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25"/>
        <v/>
      </c>
      <c r="Y75" s="252" t="str">
        <f t="shared" si="26"/>
        <v/>
      </c>
      <c r="Z75" s="253" t="str">
        <f t="shared" si="27"/>
        <v/>
      </c>
      <c r="AA75" s="253" t="str">
        <f t="shared" si="28"/>
        <v/>
      </c>
      <c r="AB75" s="253" t="str">
        <f t="shared" si="29"/>
        <v/>
      </c>
      <c r="AJ75" s="121" t="e">
        <f>IF('Cable Info'!L74="","",CONCATENATE('Cable Info'!L74," - ",'Cable Info'!M74))</f>
        <v>#N/A</v>
      </c>
      <c r="AM75" s="121" t="e">
        <f t="shared" si="30"/>
        <v>#N/A</v>
      </c>
      <c r="AO75" s="121" t="e">
        <f>IF('Cable Info'!N74="","",CONCATENATE('Cable Info'!N74," - ",'Cable Info'!O74))</f>
        <v>#N/A</v>
      </c>
      <c r="AR75" s="121" t="e">
        <f t="shared" si="31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2"/>
        <v>#N/A</v>
      </c>
      <c r="AY75" s="121" t="str">
        <f>IF('Cable Info'!R74="","",CONCATENATE('Cable Info'!R74," - ",'Cable Info'!S74))</f>
        <v/>
      </c>
      <c r="BB75" s="121" t="str">
        <f t="shared" si="33"/>
        <v/>
      </c>
      <c r="BD75" s="121" t="str">
        <f>IF('Cable Info'!T74="","",CONCATENATE('Cable Info'!T74," - ",'Cable Info'!U74))</f>
        <v/>
      </c>
      <c r="BG75" s="121" t="str">
        <f t="shared" si="34"/>
        <v/>
      </c>
      <c r="BI75" s="121" t="str">
        <f>IF('Cable Info'!V74="","",CONCATENATE('Cable Info'!V74," - ",'Cable Info'!W74))</f>
        <v/>
      </c>
      <c r="BL75" s="121" t="str">
        <f t="shared" si="35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4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25"/>
        <v/>
      </c>
      <c r="Y76" s="252" t="str">
        <f t="shared" si="26"/>
        <v/>
      </c>
      <c r="Z76" s="253" t="str">
        <f t="shared" si="27"/>
        <v/>
      </c>
      <c r="AA76" s="253" t="str">
        <f t="shared" si="28"/>
        <v/>
      </c>
      <c r="AB76" s="253" t="str">
        <f t="shared" si="29"/>
        <v/>
      </c>
      <c r="AJ76" s="121" t="e">
        <f>IF('Cable Info'!L75="","",CONCATENATE('Cable Info'!L75," - ",'Cable Info'!M75))</f>
        <v>#N/A</v>
      </c>
      <c r="AM76" s="121" t="e">
        <f t="shared" si="30"/>
        <v>#N/A</v>
      </c>
      <c r="AO76" s="121" t="e">
        <f>IF('Cable Info'!N75="","",CONCATENATE('Cable Info'!N75," - ",'Cable Info'!O75))</f>
        <v>#N/A</v>
      </c>
      <c r="AR76" s="121" t="e">
        <f t="shared" si="31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2"/>
        <v>#N/A</v>
      </c>
      <c r="AY76" s="121" t="str">
        <f>IF('Cable Info'!R75="","",CONCATENATE('Cable Info'!R75," - ",'Cable Info'!S75))</f>
        <v/>
      </c>
      <c r="BB76" s="121" t="str">
        <f t="shared" si="33"/>
        <v/>
      </c>
      <c r="BD76" s="121" t="str">
        <f>IF('Cable Info'!T75="","",CONCATENATE('Cable Info'!T75," - ",'Cable Info'!U75))</f>
        <v/>
      </c>
      <c r="BG76" s="121" t="str">
        <f t="shared" si="34"/>
        <v/>
      </c>
      <c r="BI76" s="121" t="str">
        <f>IF('Cable Info'!V75="","",CONCATENATE('Cable Info'!V75," - ",'Cable Info'!W75))</f>
        <v/>
      </c>
      <c r="BL76" s="121" t="str">
        <f t="shared" si="35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36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37">IF(V77="","",IF(R77="","",IF(S77="","",IF(R77="SPLICED",(IF(S77="SPLICE",0,9)),IF(V77=$U$3,(IF(S77="BREAK",12,11)),IF(S77="BREAK",2,1))))))</f>
        <v/>
      </c>
      <c r="Y77" s="252" t="str">
        <f t="shared" ref="Y77:Y140" si="38">IF(E77="","",IF(G77="","",IF(E77&gt;G77,1,"")))</f>
        <v/>
      </c>
      <c r="Z77" s="253" t="str">
        <f t="shared" ref="Z77:Z140" si="39">IF(I77="","",IF(K77="","",IF(I77&gt;K77,1,"")))</f>
        <v/>
      </c>
      <c r="AA77" s="253" t="str">
        <f t="shared" ref="AA77:AA140" si="40">IF(K77="","",((I77-K77)-1)*(-1))</f>
        <v/>
      </c>
      <c r="AB77" s="253" t="str">
        <f t="shared" ref="AB77:AB140" si="41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2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3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4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45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46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47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36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37"/>
        <v/>
      </c>
      <c r="Y78" s="252" t="str">
        <f t="shared" si="38"/>
        <v/>
      </c>
      <c r="Z78" s="253" t="str">
        <f t="shared" si="39"/>
        <v/>
      </c>
      <c r="AA78" s="253" t="str">
        <f t="shared" si="40"/>
        <v/>
      </c>
      <c r="AB78" s="253" t="str">
        <f t="shared" si="41"/>
        <v/>
      </c>
      <c r="AJ78" s="121" t="e">
        <f>IF('Cable Info'!L77="","",CONCATENATE('Cable Info'!L77," - ",'Cable Info'!M77))</f>
        <v>#N/A</v>
      </c>
      <c r="AM78" s="121" t="e">
        <f t="shared" si="42"/>
        <v>#N/A</v>
      </c>
      <c r="AO78" s="121" t="e">
        <f>IF('Cable Info'!N77="","",CONCATENATE('Cable Info'!N77," - ",'Cable Info'!O77))</f>
        <v>#N/A</v>
      </c>
      <c r="AR78" s="121" t="e">
        <f t="shared" si="43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4"/>
        <v>#N/A</v>
      </c>
      <c r="AY78" s="121" t="str">
        <f>IF('Cable Info'!R77="","",CONCATENATE('Cable Info'!R77," - ",'Cable Info'!S77))</f>
        <v/>
      </c>
      <c r="BB78" s="121" t="str">
        <f t="shared" si="45"/>
        <v/>
      </c>
      <c r="BD78" s="121" t="str">
        <f>IF('Cable Info'!T77="","",CONCATENATE('Cable Info'!T77," - ",'Cable Info'!U77))</f>
        <v/>
      </c>
      <c r="BG78" s="121" t="str">
        <f t="shared" si="46"/>
        <v/>
      </c>
      <c r="BI78" s="121" t="str">
        <f>IF('Cable Info'!V77="","",CONCATENATE('Cable Info'!V77," - ",'Cable Info'!W77))</f>
        <v/>
      </c>
      <c r="BL78" s="121" t="str">
        <f t="shared" si="47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36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37"/>
        <v/>
      </c>
      <c r="Y79" s="252" t="str">
        <f t="shared" si="38"/>
        <v/>
      </c>
      <c r="Z79" s="253" t="str">
        <f t="shared" si="39"/>
        <v/>
      </c>
      <c r="AA79" s="253" t="str">
        <f t="shared" si="40"/>
        <v/>
      </c>
      <c r="AB79" s="253" t="str">
        <f t="shared" si="41"/>
        <v/>
      </c>
      <c r="AJ79" s="121" t="e">
        <f>IF('Cable Info'!L78="","",CONCATENATE('Cable Info'!L78," - ",'Cable Info'!M78))</f>
        <v>#N/A</v>
      </c>
      <c r="AM79" s="121" t="e">
        <f t="shared" si="42"/>
        <v>#N/A</v>
      </c>
      <c r="AO79" s="121" t="e">
        <f>IF('Cable Info'!N78="","",CONCATENATE('Cable Info'!N78," - ",'Cable Info'!O78))</f>
        <v>#N/A</v>
      </c>
      <c r="AR79" s="121" t="e">
        <f t="shared" si="43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4"/>
        <v>#N/A</v>
      </c>
      <c r="AY79" s="121" t="str">
        <f>IF('Cable Info'!R78="","",CONCATENATE('Cable Info'!R78," - ",'Cable Info'!S78))</f>
        <v/>
      </c>
      <c r="BB79" s="121" t="str">
        <f t="shared" si="45"/>
        <v/>
      </c>
      <c r="BD79" s="121" t="str">
        <f>IF('Cable Info'!T78="","",CONCATENATE('Cable Info'!T78," - ",'Cable Info'!U78))</f>
        <v/>
      </c>
      <c r="BG79" s="121" t="str">
        <f t="shared" si="46"/>
        <v/>
      </c>
      <c r="BI79" s="121" t="str">
        <f>IF('Cable Info'!V78="","",CONCATENATE('Cable Info'!V78," - ",'Cable Info'!W78))</f>
        <v/>
      </c>
      <c r="BL79" s="121" t="str">
        <f t="shared" si="47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36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37"/>
        <v/>
      </c>
      <c r="Y80" s="252" t="str">
        <f t="shared" si="38"/>
        <v/>
      </c>
      <c r="Z80" s="253" t="str">
        <f t="shared" si="39"/>
        <v/>
      </c>
      <c r="AA80" s="253" t="str">
        <f t="shared" si="40"/>
        <v/>
      </c>
      <c r="AB80" s="253" t="str">
        <f t="shared" si="41"/>
        <v/>
      </c>
      <c r="AJ80" s="121" t="e">
        <f>IF('Cable Info'!L79="","",CONCATENATE('Cable Info'!L79," - ",'Cable Info'!M79))</f>
        <v>#N/A</v>
      </c>
      <c r="AM80" s="121" t="e">
        <f t="shared" si="42"/>
        <v>#N/A</v>
      </c>
      <c r="AO80" s="121" t="e">
        <f>IF('Cable Info'!N79="","",CONCATENATE('Cable Info'!N79," - ",'Cable Info'!O79))</f>
        <v>#N/A</v>
      </c>
      <c r="AR80" s="121" t="e">
        <f t="shared" si="43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4"/>
        <v>#N/A</v>
      </c>
      <c r="AY80" s="121" t="str">
        <f>IF('Cable Info'!R79="","",CONCATENATE('Cable Info'!R79," - ",'Cable Info'!S79))</f>
        <v/>
      </c>
      <c r="BB80" s="121" t="str">
        <f t="shared" si="45"/>
        <v/>
      </c>
      <c r="BD80" s="121" t="str">
        <f>IF('Cable Info'!T79="","",CONCATENATE('Cable Info'!T79," - ",'Cable Info'!U79))</f>
        <v/>
      </c>
      <c r="BG80" s="121" t="str">
        <f t="shared" si="46"/>
        <v/>
      </c>
      <c r="BI80" s="121" t="str">
        <f>IF('Cable Info'!V79="","",CONCATENATE('Cable Info'!V79," - ",'Cable Info'!W79))</f>
        <v/>
      </c>
      <c r="BL80" s="121" t="str">
        <f t="shared" si="47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36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37"/>
        <v/>
      </c>
      <c r="Y81" s="252" t="str">
        <f t="shared" si="38"/>
        <v/>
      </c>
      <c r="Z81" s="253" t="str">
        <f t="shared" si="39"/>
        <v/>
      </c>
      <c r="AA81" s="253" t="str">
        <f t="shared" si="40"/>
        <v/>
      </c>
      <c r="AB81" s="253" t="str">
        <f t="shared" si="41"/>
        <v/>
      </c>
      <c r="AJ81" s="121" t="e">
        <f>IF('Cable Info'!L80="","",CONCATENATE('Cable Info'!L80," - ",'Cable Info'!M80))</f>
        <v>#N/A</v>
      </c>
      <c r="AM81" s="121" t="e">
        <f t="shared" si="42"/>
        <v>#N/A</v>
      </c>
      <c r="AO81" s="121" t="e">
        <f>IF('Cable Info'!N80="","",CONCATENATE('Cable Info'!N80," - ",'Cable Info'!O80))</f>
        <v>#N/A</v>
      </c>
      <c r="AR81" s="121" t="e">
        <f t="shared" si="43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4"/>
        <v>#N/A</v>
      </c>
      <c r="AY81" s="121" t="str">
        <f>IF('Cable Info'!R80="","",CONCATENATE('Cable Info'!R80," - ",'Cable Info'!S80))</f>
        <v/>
      </c>
      <c r="BB81" s="121" t="str">
        <f t="shared" si="45"/>
        <v/>
      </c>
      <c r="BD81" s="121" t="str">
        <f>IF('Cable Info'!T80="","",CONCATENATE('Cable Info'!T80," - ",'Cable Info'!U80))</f>
        <v/>
      </c>
      <c r="BG81" s="121" t="str">
        <f t="shared" si="46"/>
        <v/>
      </c>
      <c r="BI81" s="121" t="str">
        <f>IF('Cable Info'!V80="","",CONCATENATE('Cable Info'!V80," - ",'Cable Info'!W80))</f>
        <v/>
      </c>
      <c r="BL81" s="121" t="str">
        <f t="shared" si="47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36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37"/>
        <v/>
      </c>
      <c r="Y82" s="252" t="str">
        <f t="shared" si="38"/>
        <v/>
      </c>
      <c r="Z82" s="253" t="str">
        <f t="shared" si="39"/>
        <v/>
      </c>
      <c r="AA82" s="253" t="str">
        <f t="shared" si="40"/>
        <v/>
      </c>
      <c r="AB82" s="253" t="str">
        <f t="shared" si="41"/>
        <v/>
      </c>
      <c r="AJ82" s="121" t="e">
        <f>IF('Cable Info'!L81="","",CONCATENATE('Cable Info'!L81," - ",'Cable Info'!M81))</f>
        <v>#N/A</v>
      </c>
      <c r="AM82" s="121" t="e">
        <f t="shared" si="42"/>
        <v>#N/A</v>
      </c>
      <c r="AO82" s="121" t="e">
        <f>IF('Cable Info'!N81="","",CONCATENATE('Cable Info'!N81," - ",'Cable Info'!O81))</f>
        <v>#N/A</v>
      </c>
      <c r="AR82" s="121" t="e">
        <f t="shared" si="43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4"/>
        <v>#N/A</v>
      </c>
      <c r="AY82" s="121" t="str">
        <f>IF('Cable Info'!R81="","",CONCATENATE('Cable Info'!R81," - ",'Cable Info'!S81))</f>
        <v/>
      </c>
      <c r="BB82" s="121" t="str">
        <f t="shared" si="45"/>
        <v/>
      </c>
      <c r="BD82" s="121" t="str">
        <f>IF('Cable Info'!T81="","",CONCATENATE('Cable Info'!T81," - ",'Cable Info'!U81))</f>
        <v/>
      </c>
      <c r="BG82" s="121" t="str">
        <f t="shared" si="46"/>
        <v/>
      </c>
      <c r="BI82" s="121" t="str">
        <f>IF('Cable Info'!V81="","",CONCATENATE('Cable Info'!V81," - ",'Cable Info'!W81))</f>
        <v/>
      </c>
      <c r="BL82" s="121" t="str">
        <f t="shared" si="47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36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37"/>
        <v/>
      </c>
      <c r="Y83" s="252" t="str">
        <f t="shared" si="38"/>
        <v/>
      </c>
      <c r="Z83" s="253" t="str">
        <f t="shared" si="39"/>
        <v/>
      </c>
      <c r="AA83" s="253" t="str">
        <f t="shared" si="40"/>
        <v/>
      </c>
      <c r="AB83" s="253" t="str">
        <f t="shared" si="41"/>
        <v/>
      </c>
      <c r="AJ83" s="121" t="e">
        <f>IF('Cable Info'!L82="","",CONCATENATE('Cable Info'!L82," - ",'Cable Info'!M82))</f>
        <v>#N/A</v>
      </c>
      <c r="AM83" s="121" t="e">
        <f t="shared" si="42"/>
        <v>#N/A</v>
      </c>
      <c r="AO83" s="121" t="e">
        <f>IF('Cable Info'!N82="","",CONCATENATE('Cable Info'!N82," - ",'Cable Info'!O82))</f>
        <v>#N/A</v>
      </c>
      <c r="AR83" s="121" t="e">
        <f t="shared" si="43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4"/>
        <v>#N/A</v>
      </c>
      <c r="AY83" s="121" t="str">
        <f>IF('Cable Info'!R82="","",CONCATENATE('Cable Info'!R82," - ",'Cable Info'!S82))</f>
        <v/>
      </c>
      <c r="BB83" s="121" t="str">
        <f t="shared" si="45"/>
        <v/>
      </c>
      <c r="BD83" s="121" t="str">
        <f>IF('Cable Info'!T82="","",CONCATENATE('Cable Info'!T82," - ",'Cable Info'!U82))</f>
        <v/>
      </c>
      <c r="BG83" s="121" t="str">
        <f t="shared" si="46"/>
        <v/>
      </c>
      <c r="BI83" s="121" t="str">
        <f>IF('Cable Info'!V82="","",CONCATENATE('Cable Info'!V82," - ",'Cable Info'!W82))</f>
        <v/>
      </c>
      <c r="BL83" s="121" t="str">
        <f t="shared" si="47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36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37"/>
        <v/>
      </c>
      <c r="Y84" s="252" t="str">
        <f t="shared" si="38"/>
        <v/>
      </c>
      <c r="Z84" s="253" t="str">
        <f t="shared" si="39"/>
        <v/>
      </c>
      <c r="AA84" s="253" t="str">
        <f t="shared" si="40"/>
        <v/>
      </c>
      <c r="AB84" s="253" t="str">
        <f t="shared" si="41"/>
        <v/>
      </c>
      <c r="AJ84" s="121" t="e">
        <f>IF('Cable Info'!L83="","",CONCATENATE('Cable Info'!L83," - ",'Cable Info'!M83))</f>
        <v>#N/A</v>
      </c>
      <c r="AM84" s="121" t="e">
        <f t="shared" si="42"/>
        <v>#N/A</v>
      </c>
      <c r="AO84" s="121" t="e">
        <f>IF('Cable Info'!N83="","",CONCATENATE('Cable Info'!N83," - ",'Cable Info'!O83))</f>
        <v>#N/A</v>
      </c>
      <c r="AR84" s="121" t="e">
        <f t="shared" si="43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4"/>
        <v>#N/A</v>
      </c>
      <c r="AY84" s="121" t="str">
        <f>IF('Cable Info'!R83="","",CONCATENATE('Cable Info'!R83," - ",'Cable Info'!S83))</f>
        <v/>
      </c>
      <c r="BB84" s="121" t="str">
        <f t="shared" si="45"/>
        <v/>
      </c>
      <c r="BD84" s="121" t="str">
        <f>IF('Cable Info'!T83="","",CONCATENATE('Cable Info'!T83," - ",'Cable Info'!U83))</f>
        <v/>
      </c>
      <c r="BG84" s="121" t="str">
        <f t="shared" si="46"/>
        <v/>
      </c>
      <c r="BI84" s="121" t="str">
        <f>IF('Cable Info'!V83="","",CONCATENATE('Cable Info'!V83," - ",'Cable Info'!W83))</f>
        <v/>
      </c>
      <c r="BL84" s="121" t="str">
        <f t="shared" si="47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36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37"/>
        <v/>
      </c>
      <c r="Y85" s="252" t="str">
        <f t="shared" si="38"/>
        <v/>
      </c>
      <c r="Z85" s="253" t="str">
        <f t="shared" si="39"/>
        <v/>
      </c>
      <c r="AA85" s="253" t="str">
        <f t="shared" si="40"/>
        <v/>
      </c>
      <c r="AB85" s="253" t="str">
        <f t="shared" si="41"/>
        <v/>
      </c>
      <c r="AJ85" s="121" t="e">
        <f>IF('Cable Info'!L84="","",CONCATENATE('Cable Info'!L84," - ",'Cable Info'!M84))</f>
        <v>#N/A</v>
      </c>
      <c r="AM85" s="121" t="e">
        <f t="shared" si="42"/>
        <v>#N/A</v>
      </c>
      <c r="AO85" s="121" t="e">
        <f>IF('Cable Info'!N84="","",CONCATENATE('Cable Info'!N84," - ",'Cable Info'!O84))</f>
        <v>#N/A</v>
      </c>
      <c r="AR85" s="121" t="e">
        <f t="shared" si="43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4"/>
        <v>#N/A</v>
      </c>
      <c r="AY85" s="121" t="str">
        <f>IF('Cable Info'!R84="","",CONCATENATE('Cable Info'!R84," - ",'Cable Info'!S84))</f>
        <v/>
      </c>
      <c r="BB85" s="121" t="str">
        <f t="shared" si="45"/>
        <v/>
      </c>
      <c r="BD85" s="121" t="str">
        <f>IF('Cable Info'!T84="","",CONCATENATE('Cable Info'!T84," - ",'Cable Info'!U84))</f>
        <v/>
      </c>
      <c r="BG85" s="121" t="str">
        <f t="shared" si="46"/>
        <v/>
      </c>
      <c r="BI85" s="121" t="str">
        <f>IF('Cable Info'!V84="","",CONCATENATE('Cable Info'!V84," - ",'Cable Info'!W84))</f>
        <v/>
      </c>
      <c r="BL85" s="121" t="str">
        <f t="shared" si="47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36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37"/>
        <v/>
      </c>
      <c r="Y86" s="252" t="str">
        <f t="shared" si="38"/>
        <v/>
      </c>
      <c r="Z86" s="253" t="str">
        <f t="shared" si="39"/>
        <v/>
      </c>
      <c r="AA86" s="253" t="str">
        <f t="shared" si="40"/>
        <v/>
      </c>
      <c r="AB86" s="253" t="str">
        <f t="shared" si="41"/>
        <v/>
      </c>
      <c r="AJ86" s="121" t="e">
        <f>IF('Cable Info'!L85="","",CONCATENATE('Cable Info'!L85," - ",'Cable Info'!M85))</f>
        <v>#N/A</v>
      </c>
      <c r="AM86" s="121" t="e">
        <f t="shared" si="42"/>
        <v>#N/A</v>
      </c>
      <c r="AO86" s="121" t="e">
        <f>IF('Cable Info'!N85="","",CONCATENATE('Cable Info'!N85," - ",'Cable Info'!O85))</f>
        <v>#N/A</v>
      </c>
      <c r="AR86" s="121" t="e">
        <f t="shared" si="43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4"/>
        <v>#N/A</v>
      </c>
      <c r="AY86" s="121" t="str">
        <f>IF('Cable Info'!R85="","",CONCATENATE('Cable Info'!R85," - ",'Cable Info'!S85))</f>
        <v/>
      </c>
      <c r="BB86" s="121" t="str">
        <f t="shared" si="45"/>
        <v/>
      </c>
      <c r="BD86" s="121" t="str">
        <f>IF('Cable Info'!T85="","",CONCATENATE('Cable Info'!T85," - ",'Cable Info'!U85))</f>
        <v/>
      </c>
      <c r="BG86" s="121" t="str">
        <f t="shared" si="46"/>
        <v/>
      </c>
      <c r="BI86" s="121" t="str">
        <f>IF('Cable Info'!V85="","",CONCATENATE('Cable Info'!V85," - ",'Cable Info'!W85))</f>
        <v/>
      </c>
      <c r="BL86" s="121" t="str">
        <f t="shared" si="47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36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37"/>
        <v/>
      </c>
      <c r="Y87" s="252" t="str">
        <f t="shared" si="38"/>
        <v/>
      </c>
      <c r="Z87" s="253" t="str">
        <f t="shared" si="39"/>
        <v/>
      </c>
      <c r="AA87" s="253" t="str">
        <f t="shared" si="40"/>
        <v/>
      </c>
      <c r="AB87" s="253" t="str">
        <f t="shared" si="41"/>
        <v/>
      </c>
      <c r="AJ87" s="121" t="e">
        <f>IF('Cable Info'!L86="","",CONCATENATE('Cable Info'!L86," - ",'Cable Info'!M86))</f>
        <v>#N/A</v>
      </c>
      <c r="AM87" s="121" t="e">
        <f t="shared" si="42"/>
        <v>#N/A</v>
      </c>
      <c r="AO87" s="121" t="e">
        <f>IF('Cable Info'!N86="","",CONCATENATE('Cable Info'!N86," - ",'Cable Info'!O86))</f>
        <v>#N/A</v>
      </c>
      <c r="AR87" s="121" t="e">
        <f t="shared" si="43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4"/>
        <v>#N/A</v>
      </c>
      <c r="AY87" s="121" t="str">
        <f>IF('Cable Info'!R86="","",CONCATENATE('Cable Info'!R86," - ",'Cable Info'!S86))</f>
        <v/>
      </c>
      <c r="BB87" s="121" t="str">
        <f t="shared" si="45"/>
        <v/>
      </c>
      <c r="BD87" s="121" t="str">
        <f>IF('Cable Info'!T86="","",CONCATENATE('Cable Info'!T86," - ",'Cable Info'!U86))</f>
        <v/>
      </c>
      <c r="BG87" s="121" t="str">
        <f t="shared" si="46"/>
        <v/>
      </c>
      <c r="BI87" s="121" t="str">
        <f>IF('Cable Info'!V86="","",CONCATENATE('Cable Info'!V86," - ",'Cable Info'!W86))</f>
        <v/>
      </c>
      <c r="BL87" s="121" t="str">
        <f t="shared" si="47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36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37"/>
        <v/>
      </c>
      <c r="Y88" s="252" t="str">
        <f t="shared" si="38"/>
        <v/>
      </c>
      <c r="Z88" s="253" t="str">
        <f t="shared" si="39"/>
        <v/>
      </c>
      <c r="AA88" s="253" t="str">
        <f t="shared" si="40"/>
        <v/>
      </c>
      <c r="AB88" s="253" t="str">
        <f t="shared" si="41"/>
        <v/>
      </c>
      <c r="AJ88" s="121" t="e">
        <f>IF('Cable Info'!L87="","",CONCATENATE('Cable Info'!L87," - ",'Cable Info'!M87))</f>
        <v>#N/A</v>
      </c>
      <c r="AM88" s="121" t="e">
        <f t="shared" si="42"/>
        <v>#N/A</v>
      </c>
      <c r="AO88" s="121" t="e">
        <f>IF('Cable Info'!N87="","",CONCATENATE('Cable Info'!N87," - ",'Cable Info'!O87))</f>
        <v>#N/A</v>
      </c>
      <c r="AR88" s="121" t="e">
        <f t="shared" si="43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4"/>
        <v>#N/A</v>
      </c>
      <c r="AY88" s="121" t="str">
        <f>IF('Cable Info'!R87="","",CONCATENATE('Cable Info'!R87," - ",'Cable Info'!S87))</f>
        <v/>
      </c>
      <c r="BB88" s="121" t="str">
        <f t="shared" si="45"/>
        <v/>
      </c>
      <c r="BD88" s="121" t="str">
        <f>IF('Cable Info'!T87="","",CONCATENATE('Cable Info'!T87," - ",'Cable Info'!U87))</f>
        <v/>
      </c>
      <c r="BG88" s="121" t="str">
        <f t="shared" si="46"/>
        <v/>
      </c>
      <c r="BI88" s="121" t="str">
        <f>IF('Cable Info'!V87="","",CONCATENATE('Cable Info'!V87," - ",'Cable Info'!W87))</f>
        <v/>
      </c>
      <c r="BL88" s="121" t="str">
        <f t="shared" si="47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36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37"/>
        <v/>
      </c>
      <c r="Y89" s="252" t="str">
        <f t="shared" si="38"/>
        <v/>
      </c>
      <c r="Z89" s="253" t="str">
        <f t="shared" si="39"/>
        <v/>
      </c>
      <c r="AA89" s="253" t="str">
        <f t="shared" si="40"/>
        <v/>
      </c>
      <c r="AB89" s="253" t="str">
        <f t="shared" si="41"/>
        <v/>
      </c>
      <c r="AJ89" s="121" t="e">
        <f>IF('Cable Info'!L88="","",CONCATENATE('Cable Info'!L88," - ",'Cable Info'!M88))</f>
        <v>#N/A</v>
      </c>
      <c r="AM89" s="121" t="e">
        <f t="shared" si="42"/>
        <v>#N/A</v>
      </c>
      <c r="AO89" s="121" t="e">
        <f>IF('Cable Info'!N88="","",CONCATENATE('Cable Info'!N88," - ",'Cable Info'!O88))</f>
        <v>#N/A</v>
      </c>
      <c r="AR89" s="121" t="e">
        <f t="shared" si="43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4"/>
        <v>#N/A</v>
      </c>
      <c r="AY89" s="121" t="str">
        <f>IF('Cable Info'!R88="","",CONCATENATE('Cable Info'!R88," - ",'Cable Info'!S88))</f>
        <v/>
      </c>
      <c r="BB89" s="121" t="str">
        <f t="shared" si="45"/>
        <v/>
      </c>
      <c r="BD89" s="121" t="str">
        <f>IF('Cable Info'!T88="","",CONCATENATE('Cable Info'!T88," - ",'Cable Info'!U88))</f>
        <v/>
      </c>
      <c r="BG89" s="121" t="str">
        <f t="shared" si="46"/>
        <v/>
      </c>
      <c r="BI89" s="121" t="str">
        <f>IF('Cable Info'!V88="","",CONCATENATE('Cable Info'!V88," - ",'Cable Info'!W88))</f>
        <v/>
      </c>
      <c r="BL89" s="121" t="str">
        <f t="shared" si="47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36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37"/>
        <v/>
      </c>
      <c r="Y90" s="252" t="str">
        <f t="shared" si="38"/>
        <v/>
      </c>
      <c r="Z90" s="253" t="str">
        <f t="shared" si="39"/>
        <v/>
      </c>
      <c r="AA90" s="253" t="str">
        <f t="shared" si="40"/>
        <v/>
      </c>
      <c r="AB90" s="253" t="str">
        <f t="shared" si="41"/>
        <v/>
      </c>
      <c r="AJ90" s="121" t="e">
        <f>IF('Cable Info'!L89="","",CONCATENATE('Cable Info'!L89," - ",'Cable Info'!M89))</f>
        <v>#N/A</v>
      </c>
      <c r="AM90" s="121" t="e">
        <f t="shared" si="42"/>
        <v>#N/A</v>
      </c>
      <c r="AO90" s="121" t="e">
        <f>IF('Cable Info'!N89="","",CONCATENATE('Cable Info'!N89," - ",'Cable Info'!O89))</f>
        <v>#N/A</v>
      </c>
      <c r="AR90" s="121" t="e">
        <f t="shared" si="43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4"/>
        <v>#N/A</v>
      </c>
      <c r="AY90" s="121" t="str">
        <f>IF('Cable Info'!R89="","",CONCATENATE('Cable Info'!R89," - ",'Cable Info'!S89))</f>
        <v/>
      </c>
      <c r="BB90" s="121" t="str">
        <f t="shared" si="45"/>
        <v/>
      </c>
      <c r="BD90" s="121" t="str">
        <f>IF('Cable Info'!T89="","",CONCATENATE('Cable Info'!T89," - ",'Cable Info'!U89))</f>
        <v/>
      </c>
      <c r="BG90" s="121" t="str">
        <f t="shared" si="46"/>
        <v/>
      </c>
      <c r="BI90" s="121" t="str">
        <f>IF('Cable Info'!V89="","",CONCATENATE('Cable Info'!V89," - ",'Cable Info'!W89))</f>
        <v/>
      </c>
      <c r="BL90" s="121" t="str">
        <f t="shared" si="47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36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37"/>
        <v/>
      </c>
      <c r="Y91" s="252" t="str">
        <f t="shared" si="38"/>
        <v/>
      </c>
      <c r="Z91" s="253" t="str">
        <f t="shared" si="39"/>
        <v/>
      </c>
      <c r="AA91" s="253" t="str">
        <f t="shared" si="40"/>
        <v/>
      </c>
      <c r="AB91" s="253" t="str">
        <f t="shared" si="41"/>
        <v/>
      </c>
      <c r="AJ91" s="121" t="e">
        <f>IF('Cable Info'!L90="","",CONCATENATE('Cable Info'!L90," - ",'Cable Info'!M90))</f>
        <v>#N/A</v>
      </c>
      <c r="AM91" s="121" t="e">
        <f t="shared" si="42"/>
        <v>#N/A</v>
      </c>
      <c r="AO91" s="121" t="e">
        <f>IF('Cable Info'!N90="","",CONCATENATE('Cable Info'!N90," - ",'Cable Info'!O90))</f>
        <v>#N/A</v>
      </c>
      <c r="AR91" s="121" t="e">
        <f t="shared" si="43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4"/>
        <v>#N/A</v>
      </c>
      <c r="AY91" s="121" t="str">
        <f>IF('Cable Info'!R90="","",CONCATENATE('Cable Info'!R90," - ",'Cable Info'!S90))</f>
        <v/>
      </c>
      <c r="BB91" s="121" t="str">
        <f t="shared" si="45"/>
        <v/>
      </c>
      <c r="BD91" s="121" t="str">
        <f>IF('Cable Info'!T90="","",CONCATENATE('Cable Info'!T90," - ",'Cable Info'!U90))</f>
        <v/>
      </c>
      <c r="BG91" s="121" t="str">
        <f t="shared" si="46"/>
        <v/>
      </c>
      <c r="BI91" s="121" t="str">
        <f>IF('Cable Info'!V90="","",CONCATENATE('Cable Info'!V90," - ",'Cable Info'!W90))</f>
        <v/>
      </c>
      <c r="BL91" s="121" t="str">
        <f t="shared" si="47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36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37"/>
        <v/>
      </c>
      <c r="Y92" s="252" t="str">
        <f t="shared" si="38"/>
        <v/>
      </c>
      <c r="Z92" s="253" t="str">
        <f t="shared" si="39"/>
        <v/>
      </c>
      <c r="AA92" s="253" t="str">
        <f t="shared" si="40"/>
        <v/>
      </c>
      <c r="AB92" s="253" t="str">
        <f t="shared" si="41"/>
        <v/>
      </c>
      <c r="AJ92" s="121" t="e">
        <f>IF('Cable Info'!L91="","",CONCATENATE('Cable Info'!L91," - ",'Cable Info'!M91))</f>
        <v>#N/A</v>
      </c>
      <c r="AM92" s="121" t="e">
        <f t="shared" si="42"/>
        <v>#N/A</v>
      </c>
      <c r="AO92" s="121" t="e">
        <f>IF('Cable Info'!N91="","",CONCATENATE('Cable Info'!N91," - ",'Cable Info'!O91))</f>
        <v>#N/A</v>
      </c>
      <c r="AR92" s="121" t="e">
        <f t="shared" si="43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4"/>
        <v>#N/A</v>
      </c>
      <c r="AY92" s="121" t="str">
        <f>IF('Cable Info'!R91="","",CONCATENATE('Cable Info'!R91," - ",'Cable Info'!S91))</f>
        <v/>
      </c>
      <c r="BB92" s="121" t="str">
        <f t="shared" si="45"/>
        <v/>
      </c>
      <c r="BD92" s="121" t="str">
        <f>IF('Cable Info'!T91="","",CONCATENATE('Cable Info'!T91," - ",'Cable Info'!U91))</f>
        <v/>
      </c>
      <c r="BG92" s="121" t="str">
        <f t="shared" si="46"/>
        <v/>
      </c>
      <c r="BI92" s="121" t="str">
        <f>IF('Cable Info'!V91="","",CONCATENATE('Cable Info'!V91," - ",'Cable Info'!W91))</f>
        <v/>
      </c>
      <c r="BL92" s="121" t="str">
        <f t="shared" si="47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36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37"/>
        <v/>
      </c>
      <c r="Y93" s="252" t="str">
        <f t="shared" si="38"/>
        <v/>
      </c>
      <c r="Z93" s="253" t="str">
        <f t="shared" si="39"/>
        <v/>
      </c>
      <c r="AA93" s="253" t="str">
        <f t="shared" si="40"/>
        <v/>
      </c>
      <c r="AB93" s="253" t="str">
        <f t="shared" si="41"/>
        <v/>
      </c>
      <c r="AJ93" s="121" t="e">
        <f>IF('Cable Info'!L92="","",CONCATENATE('Cable Info'!L92," - ",'Cable Info'!M92))</f>
        <v>#N/A</v>
      </c>
      <c r="AM93" s="121" t="e">
        <f t="shared" si="42"/>
        <v>#N/A</v>
      </c>
      <c r="AO93" s="121" t="e">
        <f>IF('Cable Info'!N92="","",CONCATENATE('Cable Info'!N92," - ",'Cable Info'!O92))</f>
        <v>#N/A</v>
      </c>
      <c r="AR93" s="121" t="e">
        <f t="shared" si="43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4"/>
        <v>#N/A</v>
      </c>
      <c r="AY93" s="121" t="str">
        <f>IF('Cable Info'!R92="","",CONCATENATE('Cable Info'!R92," - ",'Cable Info'!S92))</f>
        <v/>
      </c>
      <c r="BB93" s="121" t="str">
        <f t="shared" si="45"/>
        <v/>
      </c>
      <c r="BD93" s="121" t="str">
        <f>IF('Cable Info'!T92="","",CONCATENATE('Cable Info'!T92," - ",'Cable Info'!U92))</f>
        <v/>
      </c>
      <c r="BG93" s="121" t="str">
        <f t="shared" si="46"/>
        <v/>
      </c>
      <c r="BI93" s="121" t="str">
        <f>IF('Cable Info'!V92="","",CONCATENATE('Cable Info'!V92," - ",'Cable Info'!W92))</f>
        <v/>
      </c>
      <c r="BL93" s="121" t="str">
        <f t="shared" si="47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36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37"/>
        <v/>
      </c>
      <c r="Y94" s="252" t="str">
        <f t="shared" si="38"/>
        <v/>
      </c>
      <c r="Z94" s="253" t="str">
        <f t="shared" si="39"/>
        <v/>
      </c>
      <c r="AA94" s="253" t="str">
        <f t="shared" si="40"/>
        <v/>
      </c>
      <c r="AB94" s="253" t="str">
        <f t="shared" si="41"/>
        <v/>
      </c>
      <c r="AJ94" s="121" t="e">
        <f>IF('Cable Info'!L93="","",CONCATENATE('Cable Info'!L93," - ",'Cable Info'!M93))</f>
        <v>#N/A</v>
      </c>
      <c r="AM94" s="121" t="e">
        <f t="shared" si="42"/>
        <v>#N/A</v>
      </c>
      <c r="AO94" s="121" t="e">
        <f>IF('Cable Info'!N93="","",CONCATENATE('Cable Info'!N93," - ",'Cable Info'!O93))</f>
        <v>#N/A</v>
      </c>
      <c r="AR94" s="121" t="e">
        <f t="shared" si="43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4"/>
        <v>#N/A</v>
      </c>
      <c r="AY94" s="121" t="str">
        <f>IF('Cable Info'!R93="","",CONCATENATE('Cable Info'!R93," - ",'Cable Info'!S93))</f>
        <v/>
      </c>
      <c r="BB94" s="121" t="str">
        <f t="shared" si="45"/>
        <v/>
      </c>
      <c r="BD94" s="121" t="str">
        <f>IF('Cable Info'!T93="","",CONCATENATE('Cable Info'!T93," - ",'Cable Info'!U93))</f>
        <v/>
      </c>
      <c r="BG94" s="121" t="str">
        <f t="shared" si="46"/>
        <v/>
      </c>
      <c r="BI94" s="121" t="str">
        <f>IF('Cable Info'!V93="","",CONCATENATE('Cable Info'!V93," - ",'Cable Info'!W93))</f>
        <v/>
      </c>
      <c r="BL94" s="121" t="str">
        <f t="shared" si="47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36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37"/>
        <v/>
      </c>
      <c r="Y95" s="252" t="str">
        <f t="shared" si="38"/>
        <v/>
      </c>
      <c r="Z95" s="253" t="str">
        <f t="shared" si="39"/>
        <v/>
      </c>
      <c r="AA95" s="253" t="str">
        <f t="shared" si="40"/>
        <v/>
      </c>
      <c r="AB95" s="253" t="str">
        <f t="shared" si="41"/>
        <v/>
      </c>
      <c r="AJ95" s="121" t="e">
        <f>IF('Cable Info'!L94="","",CONCATENATE('Cable Info'!L94," - ",'Cable Info'!M94))</f>
        <v>#N/A</v>
      </c>
      <c r="AM95" s="121" t="e">
        <f t="shared" si="42"/>
        <v>#N/A</v>
      </c>
      <c r="AO95" s="121" t="e">
        <f>IF('Cable Info'!N94="","",CONCATENATE('Cable Info'!N94," - ",'Cable Info'!O94))</f>
        <v>#N/A</v>
      </c>
      <c r="AR95" s="121" t="e">
        <f t="shared" si="43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4"/>
        <v>#N/A</v>
      </c>
      <c r="AY95" s="121" t="str">
        <f>IF('Cable Info'!R94="","",CONCATENATE('Cable Info'!R94," - ",'Cable Info'!S94))</f>
        <v/>
      </c>
      <c r="BB95" s="121" t="str">
        <f t="shared" si="45"/>
        <v/>
      </c>
      <c r="BD95" s="121" t="str">
        <f>IF('Cable Info'!T94="","",CONCATENATE('Cable Info'!T94," - ",'Cable Info'!U94))</f>
        <v/>
      </c>
      <c r="BG95" s="121" t="str">
        <f t="shared" si="46"/>
        <v/>
      </c>
      <c r="BI95" s="121" t="str">
        <f>IF('Cable Info'!V94="","",CONCATENATE('Cable Info'!V94," - ",'Cable Info'!W94))</f>
        <v/>
      </c>
      <c r="BL95" s="121" t="str">
        <f t="shared" si="47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36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37"/>
        <v/>
      </c>
      <c r="Y96" s="252" t="str">
        <f t="shared" si="38"/>
        <v/>
      </c>
      <c r="Z96" s="253" t="str">
        <f t="shared" si="39"/>
        <v/>
      </c>
      <c r="AA96" s="253" t="str">
        <f t="shared" si="40"/>
        <v/>
      </c>
      <c r="AB96" s="253" t="str">
        <f t="shared" si="41"/>
        <v/>
      </c>
      <c r="AJ96" s="121" t="e">
        <f>IF('Cable Info'!L95="","",CONCATENATE('Cable Info'!L95," - ",'Cable Info'!M95))</f>
        <v>#N/A</v>
      </c>
      <c r="AM96" s="121" t="e">
        <f t="shared" si="42"/>
        <v>#N/A</v>
      </c>
      <c r="AO96" s="121" t="e">
        <f>IF('Cable Info'!N95="","",CONCATENATE('Cable Info'!N95," - ",'Cable Info'!O95))</f>
        <v>#N/A</v>
      </c>
      <c r="AR96" s="121" t="e">
        <f t="shared" si="43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4"/>
        <v>#N/A</v>
      </c>
      <c r="AY96" s="121" t="str">
        <f>IF('Cable Info'!R95="","",CONCATENATE('Cable Info'!R95," - ",'Cable Info'!S95))</f>
        <v/>
      </c>
      <c r="BB96" s="121" t="str">
        <f t="shared" si="45"/>
        <v/>
      </c>
      <c r="BD96" s="121" t="str">
        <f>IF('Cable Info'!T95="","",CONCATENATE('Cable Info'!T95," - ",'Cable Info'!U95))</f>
        <v/>
      </c>
      <c r="BG96" s="121" t="str">
        <f t="shared" si="46"/>
        <v/>
      </c>
      <c r="BI96" s="121" t="str">
        <f>IF('Cable Info'!V95="","",CONCATENATE('Cable Info'!V95," - ",'Cable Info'!W95))</f>
        <v/>
      </c>
      <c r="BL96" s="121" t="str">
        <f t="shared" si="47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36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37"/>
        <v/>
      </c>
      <c r="Y97" s="252" t="str">
        <f t="shared" si="38"/>
        <v/>
      </c>
      <c r="Z97" s="253" t="str">
        <f t="shared" si="39"/>
        <v/>
      </c>
      <c r="AA97" s="253" t="str">
        <f t="shared" si="40"/>
        <v/>
      </c>
      <c r="AB97" s="253" t="str">
        <f t="shared" si="41"/>
        <v/>
      </c>
      <c r="AJ97" s="121" t="e">
        <f>IF('Cable Info'!L96="","",CONCATENATE('Cable Info'!L96," - ",'Cable Info'!M96))</f>
        <v>#N/A</v>
      </c>
      <c r="AM97" s="121" t="e">
        <f t="shared" si="42"/>
        <v>#N/A</v>
      </c>
      <c r="AO97" s="121" t="e">
        <f>IF('Cable Info'!N96="","",CONCATENATE('Cable Info'!N96," - ",'Cable Info'!O96))</f>
        <v>#N/A</v>
      </c>
      <c r="AR97" s="121" t="e">
        <f t="shared" si="43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4"/>
        <v>#N/A</v>
      </c>
      <c r="AY97" s="121" t="str">
        <f>IF('Cable Info'!R96="","",CONCATENATE('Cable Info'!R96," - ",'Cable Info'!S96))</f>
        <v/>
      </c>
      <c r="BB97" s="121" t="str">
        <f t="shared" si="45"/>
        <v/>
      </c>
      <c r="BD97" s="121" t="str">
        <f>IF('Cable Info'!T96="","",CONCATENATE('Cable Info'!T96," - ",'Cable Info'!U96))</f>
        <v/>
      </c>
      <c r="BG97" s="121" t="str">
        <f t="shared" si="46"/>
        <v/>
      </c>
      <c r="BI97" s="121" t="str">
        <f>IF('Cable Info'!V96="","",CONCATENATE('Cable Info'!V96," - ",'Cable Info'!W96))</f>
        <v/>
      </c>
      <c r="BL97" s="121" t="str">
        <f t="shared" si="47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36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37"/>
        <v/>
      </c>
      <c r="Y98" s="252" t="str">
        <f t="shared" si="38"/>
        <v/>
      </c>
      <c r="Z98" s="253" t="str">
        <f t="shared" si="39"/>
        <v/>
      </c>
      <c r="AA98" s="253" t="str">
        <f t="shared" si="40"/>
        <v/>
      </c>
      <c r="AB98" s="253" t="str">
        <f t="shared" si="41"/>
        <v/>
      </c>
      <c r="AJ98" s="121" t="e">
        <f>IF('Cable Info'!L97="","",CONCATENATE('Cable Info'!L97," - ",'Cable Info'!M97))</f>
        <v>#N/A</v>
      </c>
      <c r="AM98" s="121" t="e">
        <f t="shared" si="42"/>
        <v>#N/A</v>
      </c>
      <c r="AO98" s="121" t="e">
        <f>IF('Cable Info'!N97="","",CONCATENATE('Cable Info'!N97," - ",'Cable Info'!O97))</f>
        <v>#N/A</v>
      </c>
      <c r="AR98" s="121" t="e">
        <f t="shared" si="43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4"/>
        <v>#N/A</v>
      </c>
      <c r="AY98" s="121" t="str">
        <f>IF('Cable Info'!R97="","",CONCATENATE('Cable Info'!R97," - ",'Cable Info'!S97))</f>
        <v/>
      </c>
      <c r="BB98" s="121" t="str">
        <f t="shared" si="45"/>
        <v/>
      </c>
      <c r="BD98" s="121" t="str">
        <f>IF('Cable Info'!T97="","",CONCATENATE('Cable Info'!T97," - ",'Cable Info'!U97))</f>
        <v/>
      </c>
      <c r="BG98" s="121" t="str">
        <f t="shared" si="46"/>
        <v/>
      </c>
      <c r="BI98" s="121" t="str">
        <f>IF('Cable Info'!V97="","",CONCATENATE('Cable Info'!V97," - ",'Cable Info'!W97))</f>
        <v/>
      </c>
      <c r="BL98" s="121" t="str">
        <f t="shared" si="47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36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37"/>
        <v/>
      </c>
      <c r="Y99" s="252" t="str">
        <f t="shared" si="38"/>
        <v/>
      </c>
      <c r="Z99" s="253" t="str">
        <f t="shared" si="39"/>
        <v/>
      </c>
      <c r="AA99" s="253" t="str">
        <f t="shared" si="40"/>
        <v/>
      </c>
      <c r="AB99" s="253" t="str">
        <f t="shared" si="41"/>
        <v/>
      </c>
      <c r="AJ99" s="121" t="e">
        <f>IF('Cable Info'!L98="","",CONCATENATE('Cable Info'!L98," - ",'Cable Info'!M98))</f>
        <v>#N/A</v>
      </c>
      <c r="AM99" s="121" t="e">
        <f t="shared" si="42"/>
        <v>#N/A</v>
      </c>
      <c r="AO99" s="121" t="e">
        <f>IF('Cable Info'!N98="","",CONCATENATE('Cable Info'!N98," - ",'Cable Info'!O98))</f>
        <v>#N/A</v>
      </c>
      <c r="AR99" s="121" t="e">
        <f t="shared" si="43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4"/>
        <v>#N/A</v>
      </c>
      <c r="AY99" s="121" t="str">
        <f>IF('Cable Info'!R98="","",CONCATENATE('Cable Info'!R98," - ",'Cable Info'!S98))</f>
        <v/>
      </c>
      <c r="BB99" s="121" t="str">
        <f t="shared" si="45"/>
        <v/>
      </c>
      <c r="BD99" s="121" t="str">
        <f>IF('Cable Info'!T98="","",CONCATENATE('Cable Info'!T98," - ",'Cable Info'!U98))</f>
        <v/>
      </c>
      <c r="BG99" s="121" t="str">
        <f t="shared" si="46"/>
        <v/>
      </c>
      <c r="BI99" s="121" t="str">
        <f>IF('Cable Info'!V98="","",CONCATENATE('Cable Info'!V98," - ",'Cable Info'!W98))</f>
        <v/>
      </c>
      <c r="BL99" s="121" t="str">
        <f t="shared" si="47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36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37"/>
        <v/>
      </c>
      <c r="Y100" s="252" t="str">
        <f t="shared" si="38"/>
        <v/>
      </c>
      <c r="Z100" s="253" t="str">
        <f t="shared" si="39"/>
        <v/>
      </c>
      <c r="AA100" s="253" t="str">
        <f t="shared" si="40"/>
        <v/>
      </c>
      <c r="AB100" s="253" t="str">
        <f t="shared" si="41"/>
        <v/>
      </c>
      <c r="AJ100" s="121" t="e">
        <f>IF('Cable Info'!L99="","",CONCATENATE('Cable Info'!L99," - ",'Cable Info'!M99))</f>
        <v>#N/A</v>
      </c>
      <c r="AM100" s="121" t="e">
        <f t="shared" si="42"/>
        <v>#N/A</v>
      </c>
      <c r="AO100" s="121" t="e">
        <f>IF('Cable Info'!N99="","",CONCATENATE('Cable Info'!N99," - ",'Cable Info'!O99))</f>
        <v>#N/A</v>
      </c>
      <c r="AR100" s="121" t="e">
        <f t="shared" si="43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4"/>
        <v>#N/A</v>
      </c>
      <c r="AY100" s="121" t="str">
        <f>IF('Cable Info'!R99="","",CONCATENATE('Cable Info'!R99," - ",'Cable Info'!S99))</f>
        <v/>
      </c>
      <c r="BB100" s="121" t="str">
        <f t="shared" si="45"/>
        <v/>
      </c>
      <c r="BD100" s="121" t="str">
        <f>IF('Cable Info'!T99="","",CONCATENATE('Cable Info'!T99," - ",'Cable Info'!U99))</f>
        <v/>
      </c>
      <c r="BG100" s="121" t="str">
        <f t="shared" si="46"/>
        <v/>
      </c>
      <c r="BI100" s="121" t="str">
        <f>IF('Cable Info'!V99="","",CONCATENATE('Cable Info'!V99," - ",'Cable Info'!W99))</f>
        <v/>
      </c>
      <c r="BL100" s="121" t="str">
        <f t="shared" si="47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36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37"/>
        <v/>
      </c>
      <c r="Y101" s="252" t="str">
        <f t="shared" si="38"/>
        <v/>
      </c>
      <c r="Z101" s="253" t="str">
        <f t="shared" si="39"/>
        <v/>
      </c>
      <c r="AA101" s="253" t="str">
        <f t="shared" si="40"/>
        <v/>
      </c>
      <c r="AB101" s="253" t="str">
        <f t="shared" si="41"/>
        <v/>
      </c>
      <c r="AJ101" s="121" t="e">
        <f>IF('Cable Info'!L100="","",CONCATENATE('Cable Info'!L100," - ",'Cable Info'!M100))</f>
        <v>#N/A</v>
      </c>
      <c r="AM101" s="121" t="e">
        <f t="shared" si="42"/>
        <v>#N/A</v>
      </c>
      <c r="AO101" s="121" t="e">
        <f>IF('Cable Info'!N100="","",CONCATENATE('Cable Info'!N100," - ",'Cable Info'!O100))</f>
        <v>#N/A</v>
      </c>
      <c r="AR101" s="121" t="e">
        <f t="shared" si="43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4"/>
        <v>#N/A</v>
      </c>
      <c r="AY101" s="121" t="str">
        <f>IF('Cable Info'!R100="","",CONCATENATE('Cable Info'!R100," - ",'Cable Info'!S100))</f>
        <v/>
      </c>
      <c r="BB101" s="121" t="str">
        <f t="shared" si="45"/>
        <v/>
      </c>
      <c r="BD101" s="121" t="str">
        <f>IF('Cable Info'!T100="","",CONCATENATE('Cable Info'!T100," - ",'Cable Info'!U100))</f>
        <v/>
      </c>
      <c r="BG101" s="121" t="str">
        <f t="shared" si="46"/>
        <v/>
      </c>
      <c r="BI101" s="121" t="str">
        <f>IF('Cable Info'!V100="","",CONCATENATE('Cable Info'!V100," - ",'Cable Info'!W100))</f>
        <v/>
      </c>
      <c r="BL101" s="121" t="str">
        <f t="shared" si="47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36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37"/>
        <v/>
      </c>
      <c r="Y102" s="252" t="str">
        <f t="shared" si="38"/>
        <v/>
      </c>
      <c r="Z102" s="253" t="str">
        <f t="shared" si="39"/>
        <v/>
      </c>
      <c r="AA102" s="253" t="str">
        <f t="shared" si="40"/>
        <v/>
      </c>
      <c r="AB102" s="253" t="str">
        <f t="shared" si="41"/>
        <v/>
      </c>
      <c r="AJ102" s="121" t="e">
        <f>IF('Cable Info'!L101="","",CONCATENATE('Cable Info'!L101," - ",'Cable Info'!M101))</f>
        <v>#N/A</v>
      </c>
      <c r="AM102" s="121" t="e">
        <f t="shared" si="42"/>
        <v>#N/A</v>
      </c>
      <c r="AO102" s="121" t="e">
        <f>IF('Cable Info'!N101="","",CONCATENATE('Cable Info'!N101," - ",'Cable Info'!O101))</f>
        <v>#N/A</v>
      </c>
      <c r="AR102" s="121" t="e">
        <f t="shared" si="43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4"/>
        <v>#N/A</v>
      </c>
      <c r="AY102" s="121" t="str">
        <f>IF('Cable Info'!R101="","",CONCATENATE('Cable Info'!R101," - ",'Cable Info'!S101))</f>
        <v/>
      </c>
      <c r="BB102" s="121" t="str">
        <f t="shared" si="45"/>
        <v/>
      </c>
      <c r="BD102" s="121" t="str">
        <f>IF('Cable Info'!T101="","",CONCATENATE('Cable Info'!T101," - ",'Cable Info'!U101))</f>
        <v/>
      </c>
      <c r="BG102" s="121" t="str">
        <f t="shared" si="46"/>
        <v/>
      </c>
      <c r="BI102" s="121" t="str">
        <f>IF('Cable Info'!V101="","",CONCATENATE('Cable Info'!V101," - ",'Cable Info'!W101))</f>
        <v/>
      </c>
      <c r="BL102" s="121" t="str">
        <f t="shared" si="47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36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37"/>
        <v/>
      </c>
      <c r="Y103" s="252" t="str">
        <f t="shared" si="38"/>
        <v/>
      </c>
      <c r="Z103" s="253" t="str">
        <f t="shared" si="39"/>
        <v/>
      </c>
      <c r="AA103" s="253" t="str">
        <f t="shared" si="40"/>
        <v/>
      </c>
      <c r="AB103" s="253" t="str">
        <f t="shared" si="41"/>
        <v/>
      </c>
      <c r="AJ103" s="121" t="e">
        <f>IF('Cable Info'!L102="","",CONCATENATE('Cable Info'!L102," - ",'Cable Info'!M102))</f>
        <v>#N/A</v>
      </c>
      <c r="AM103" s="121" t="e">
        <f t="shared" si="42"/>
        <v>#N/A</v>
      </c>
      <c r="AO103" s="121" t="e">
        <f>IF('Cable Info'!N102="","",CONCATENATE('Cable Info'!N102," - ",'Cable Info'!O102))</f>
        <v>#N/A</v>
      </c>
      <c r="AR103" s="121" t="e">
        <f t="shared" si="43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4"/>
        <v>#N/A</v>
      </c>
      <c r="AY103" s="121" t="str">
        <f>IF('Cable Info'!R102="","",CONCATENATE('Cable Info'!R102," - ",'Cable Info'!S102))</f>
        <v/>
      </c>
      <c r="BB103" s="121" t="str">
        <f t="shared" si="45"/>
        <v/>
      </c>
      <c r="BD103" s="121" t="str">
        <f>IF('Cable Info'!T102="","",CONCATENATE('Cable Info'!T102," - ",'Cable Info'!U102))</f>
        <v/>
      </c>
      <c r="BG103" s="121" t="str">
        <f t="shared" si="46"/>
        <v/>
      </c>
      <c r="BI103" s="121" t="str">
        <f>IF('Cable Info'!V102="","",CONCATENATE('Cable Info'!V102," - ",'Cable Info'!W102))</f>
        <v/>
      </c>
      <c r="BL103" s="121" t="str">
        <f t="shared" si="47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36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37"/>
        <v/>
      </c>
      <c r="Y104" s="252" t="str">
        <f t="shared" si="38"/>
        <v/>
      </c>
      <c r="Z104" s="253" t="str">
        <f t="shared" si="39"/>
        <v/>
      </c>
      <c r="AA104" s="253" t="str">
        <f t="shared" si="40"/>
        <v/>
      </c>
      <c r="AB104" s="253" t="str">
        <f t="shared" si="41"/>
        <v/>
      </c>
      <c r="AJ104" s="121" t="e">
        <f>IF('Cable Info'!L103="","",CONCATENATE('Cable Info'!L103," - ",'Cable Info'!M103))</f>
        <v>#N/A</v>
      </c>
      <c r="AM104" s="121" t="e">
        <f t="shared" si="42"/>
        <v>#N/A</v>
      </c>
      <c r="AO104" s="121" t="e">
        <f>IF('Cable Info'!N103="","",CONCATENATE('Cable Info'!N103," - ",'Cable Info'!O103))</f>
        <v>#N/A</v>
      </c>
      <c r="AR104" s="121" t="e">
        <f t="shared" si="43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4"/>
        <v>#N/A</v>
      </c>
      <c r="AY104" s="121" t="str">
        <f>IF('Cable Info'!R103="","",CONCATENATE('Cable Info'!R103," - ",'Cable Info'!S103))</f>
        <v/>
      </c>
      <c r="BB104" s="121" t="str">
        <f t="shared" si="45"/>
        <v/>
      </c>
      <c r="BD104" s="121" t="str">
        <f>IF('Cable Info'!T103="","",CONCATENATE('Cable Info'!T103," - ",'Cable Info'!U103))</f>
        <v/>
      </c>
      <c r="BG104" s="121" t="str">
        <f t="shared" si="46"/>
        <v/>
      </c>
      <c r="BI104" s="121" t="str">
        <f>IF('Cable Info'!V103="","",CONCATENATE('Cable Info'!V103," - ",'Cable Info'!W103))</f>
        <v/>
      </c>
      <c r="BL104" s="121" t="str">
        <f t="shared" si="47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36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37"/>
        <v/>
      </c>
      <c r="Y105" s="252" t="str">
        <f t="shared" si="38"/>
        <v/>
      </c>
      <c r="Z105" s="253" t="str">
        <f t="shared" si="39"/>
        <v/>
      </c>
      <c r="AA105" s="253" t="str">
        <f t="shared" si="40"/>
        <v/>
      </c>
      <c r="AB105" s="253" t="str">
        <f t="shared" si="41"/>
        <v/>
      </c>
      <c r="AJ105" s="121" t="e">
        <f>IF('Cable Info'!L104="","",CONCATENATE('Cable Info'!L104," - ",'Cable Info'!M104))</f>
        <v>#N/A</v>
      </c>
      <c r="AM105" s="121" t="e">
        <f t="shared" si="42"/>
        <v>#N/A</v>
      </c>
      <c r="AO105" s="121" t="e">
        <f>IF('Cable Info'!N104="","",CONCATENATE('Cable Info'!N104," - ",'Cable Info'!O104))</f>
        <v>#N/A</v>
      </c>
      <c r="AR105" s="121" t="e">
        <f t="shared" si="43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4"/>
        <v>#N/A</v>
      </c>
      <c r="AY105" s="121" t="str">
        <f>IF('Cable Info'!R104="","",CONCATENATE('Cable Info'!R104," - ",'Cable Info'!S104))</f>
        <v/>
      </c>
      <c r="BB105" s="121" t="str">
        <f t="shared" si="45"/>
        <v/>
      </c>
      <c r="BD105" s="121" t="str">
        <f>IF('Cable Info'!T104="","",CONCATENATE('Cable Info'!T104," - ",'Cable Info'!U104))</f>
        <v/>
      </c>
      <c r="BG105" s="121" t="str">
        <f t="shared" si="46"/>
        <v/>
      </c>
      <c r="BI105" s="121" t="str">
        <f>IF('Cable Info'!V104="","",CONCATENATE('Cable Info'!V104," - ",'Cable Info'!W104))</f>
        <v/>
      </c>
      <c r="BL105" s="121" t="str">
        <f t="shared" si="47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36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37"/>
        <v/>
      </c>
      <c r="Y106" s="252" t="str">
        <f t="shared" si="38"/>
        <v/>
      </c>
      <c r="Z106" s="253" t="str">
        <f t="shared" si="39"/>
        <v/>
      </c>
      <c r="AA106" s="253" t="str">
        <f t="shared" si="40"/>
        <v/>
      </c>
      <c r="AB106" s="253" t="str">
        <f t="shared" si="41"/>
        <v/>
      </c>
      <c r="AJ106" s="121" t="e">
        <f>IF('Cable Info'!L105="","",CONCATENATE('Cable Info'!L105," - ",'Cable Info'!M105))</f>
        <v>#N/A</v>
      </c>
      <c r="AM106" s="121" t="e">
        <f t="shared" si="42"/>
        <v>#N/A</v>
      </c>
      <c r="AO106" s="121" t="e">
        <f>IF('Cable Info'!N105="","",CONCATENATE('Cable Info'!N105," - ",'Cable Info'!O105))</f>
        <v>#N/A</v>
      </c>
      <c r="AR106" s="121" t="e">
        <f t="shared" si="43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4"/>
        <v>#N/A</v>
      </c>
      <c r="AY106" s="121" t="str">
        <f>IF('Cable Info'!R105="","",CONCATENATE('Cable Info'!R105," - ",'Cable Info'!S105))</f>
        <v/>
      </c>
      <c r="BB106" s="121" t="str">
        <f t="shared" si="45"/>
        <v/>
      </c>
      <c r="BD106" s="121" t="str">
        <f>IF('Cable Info'!T105="","",CONCATENATE('Cable Info'!T105," - ",'Cable Info'!U105))</f>
        <v/>
      </c>
      <c r="BG106" s="121" t="str">
        <f t="shared" si="46"/>
        <v/>
      </c>
      <c r="BI106" s="121" t="str">
        <f>IF('Cable Info'!V105="","",CONCATENATE('Cable Info'!V105," - ",'Cable Info'!W105))</f>
        <v/>
      </c>
      <c r="BL106" s="121" t="str">
        <f t="shared" si="47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36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37"/>
        <v/>
      </c>
      <c r="Y107" s="252" t="str">
        <f t="shared" si="38"/>
        <v/>
      </c>
      <c r="Z107" s="253" t="str">
        <f t="shared" si="39"/>
        <v/>
      </c>
      <c r="AA107" s="253" t="str">
        <f t="shared" si="40"/>
        <v/>
      </c>
      <c r="AB107" s="253" t="str">
        <f t="shared" si="41"/>
        <v/>
      </c>
      <c r="AJ107" s="121" t="e">
        <f>IF('Cable Info'!L106="","",CONCATENATE('Cable Info'!L106," - ",'Cable Info'!M106))</f>
        <v>#N/A</v>
      </c>
      <c r="AM107" s="121" t="e">
        <f t="shared" si="42"/>
        <v>#N/A</v>
      </c>
      <c r="AO107" s="121" t="e">
        <f>IF('Cable Info'!N106="","",CONCATENATE('Cable Info'!N106," - ",'Cable Info'!O106))</f>
        <v>#N/A</v>
      </c>
      <c r="AR107" s="121" t="e">
        <f t="shared" si="43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4"/>
        <v>#N/A</v>
      </c>
      <c r="AY107" s="121" t="str">
        <f>IF('Cable Info'!R106="","",CONCATENATE('Cable Info'!R106," - ",'Cable Info'!S106))</f>
        <v/>
      </c>
      <c r="BB107" s="121" t="str">
        <f t="shared" si="45"/>
        <v/>
      </c>
      <c r="BD107" s="121" t="str">
        <f>IF('Cable Info'!T106="","",CONCATENATE('Cable Info'!T106," - ",'Cable Info'!U106))</f>
        <v/>
      </c>
      <c r="BG107" s="121" t="str">
        <f t="shared" si="46"/>
        <v/>
      </c>
      <c r="BI107" s="121" t="str">
        <f>IF('Cable Info'!V106="","",CONCATENATE('Cable Info'!V106," - ",'Cable Info'!W106))</f>
        <v/>
      </c>
      <c r="BL107" s="121" t="str">
        <f t="shared" si="47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36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37"/>
        <v/>
      </c>
      <c r="Y108" s="252" t="str">
        <f t="shared" si="38"/>
        <v/>
      </c>
      <c r="Z108" s="253" t="str">
        <f t="shared" si="39"/>
        <v/>
      </c>
      <c r="AA108" s="253" t="str">
        <f t="shared" si="40"/>
        <v/>
      </c>
      <c r="AB108" s="253" t="str">
        <f t="shared" si="41"/>
        <v/>
      </c>
      <c r="AJ108" s="121" t="e">
        <f>IF('Cable Info'!L107="","",CONCATENATE('Cable Info'!L107," - ",'Cable Info'!M107))</f>
        <v>#N/A</v>
      </c>
      <c r="AM108" s="121" t="e">
        <f t="shared" si="42"/>
        <v>#N/A</v>
      </c>
      <c r="AO108" s="121" t="e">
        <f>IF('Cable Info'!N107="","",CONCATENATE('Cable Info'!N107," - ",'Cable Info'!O107))</f>
        <v>#N/A</v>
      </c>
      <c r="AR108" s="121" t="e">
        <f t="shared" si="43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4"/>
        <v>#N/A</v>
      </c>
      <c r="AY108" s="121" t="str">
        <f>IF('Cable Info'!R107="","",CONCATENATE('Cable Info'!R107," - ",'Cable Info'!S107))</f>
        <v/>
      </c>
      <c r="BB108" s="121" t="str">
        <f t="shared" si="45"/>
        <v/>
      </c>
      <c r="BD108" s="121" t="str">
        <f>IF('Cable Info'!T107="","",CONCATENATE('Cable Info'!T107," - ",'Cable Info'!U107))</f>
        <v/>
      </c>
      <c r="BG108" s="121" t="str">
        <f t="shared" si="46"/>
        <v/>
      </c>
      <c r="BI108" s="121" t="str">
        <f>IF('Cable Info'!V107="","",CONCATENATE('Cable Info'!V107," - ",'Cable Info'!W107))</f>
        <v/>
      </c>
      <c r="BL108" s="121" t="str">
        <f t="shared" si="47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36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37"/>
        <v/>
      </c>
      <c r="Y109" s="252" t="str">
        <f t="shared" si="38"/>
        <v/>
      </c>
      <c r="Z109" s="253" t="str">
        <f t="shared" si="39"/>
        <v/>
      </c>
      <c r="AA109" s="253" t="str">
        <f t="shared" si="40"/>
        <v/>
      </c>
      <c r="AB109" s="253" t="str">
        <f t="shared" si="41"/>
        <v/>
      </c>
      <c r="AJ109" s="121" t="e">
        <f>IF('Cable Info'!L108="","",CONCATENATE('Cable Info'!L108," - ",'Cable Info'!M108))</f>
        <v>#N/A</v>
      </c>
      <c r="AM109" s="121" t="e">
        <f t="shared" si="42"/>
        <v>#N/A</v>
      </c>
      <c r="AO109" s="121" t="e">
        <f>IF('Cable Info'!N108="","",CONCATENATE('Cable Info'!N108," - ",'Cable Info'!O108))</f>
        <v>#N/A</v>
      </c>
      <c r="AR109" s="121" t="e">
        <f t="shared" si="43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4"/>
        <v>#N/A</v>
      </c>
      <c r="AY109" s="121" t="str">
        <f>IF('Cable Info'!R108="","",CONCATENATE('Cable Info'!R108," - ",'Cable Info'!S108))</f>
        <v/>
      </c>
      <c r="BB109" s="121" t="str">
        <f t="shared" si="45"/>
        <v/>
      </c>
      <c r="BD109" s="121" t="str">
        <f>IF('Cable Info'!T108="","",CONCATENATE('Cable Info'!T108," - ",'Cable Info'!U108))</f>
        <v/>
      </c>
      <c r="BG109" s="121" t="str">
        <f t="shared" si="46"/>
        <v/>
      </c>
      <c r="BI109" s="121" t="str">
        <f>IF('Cable Info'!V108="","",CONCATENATE('Cable Info'!V108," - ",'Cable Info'!W108))</f>
        <v/>
      </c>
      <c r="BL109" s="121" t="str">
        <f t="shared" si="47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36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37"/>
        <v/>
      </c>
      <c r="Y110" s="252" t="str">
        <f t="shared" si="38"/>
        <v/>
      </c>
      <c r="Z110" s="253" t="str">
        <f t="shared" si="39"/>
        <v/>
      </c>
      <c r="AA110" s="253" t="str">
        <f t="shared" si="40"/>
        <v/>
      </c>
      <c r="AB110" s="253" t="str">
        <f t="shared" si="41"/>
        <v/>
      </c>
      <c r="AJ110" s="121" t="e">
        <f>IF('Cable Info'!L109="","",CONCATENATE('Cable Info'!L109," - ",'Cable Info'!M109))</f>
        <v>#N/A</v>
      </c>
      <c r="AM110" s="121" t="e">
        <f t="shared" si="42"/>
        <v>#N/A</v>
      </c>
      <c r="AO110" s="121" t="e">
        <f>IF('Cable Info'!N109="","",CONCATENATE('Cable Info'!N109," - ",'Cable Info'!O109))</f>
        <v>#N/A</v>
      </c>
      <c r="AR110" s="121" t="e">
        <f t="shared" si="43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4"/>
        <v>#N/A</v>
      </c>
      <c r="AY110" s="121" t="str">
        <f>IF('Cable Info'!R109="","",CONCATENATE('Cable Info'!R109," - ",'Cable Info'!S109))</f>
        <v/>
      </c>
      <c r="BB110" s="121" t="str">
        <f t="shared" si="45"/>
        <v/>
      </c>
      <c r="BD110" s="121" t="str">
        <f>IF('Cable Info'!T109="","",CONCATENATE('Cable Info'!T109," - ",'Cable Info'!U109))</f>
        <v/>
      </c>
      <c r="BG110" s="121" t="str">
        <f t="shared" si="46"/>
        <v/>
      </c>
      <c r="BI110" s="121" t="str">
        <f>IF('Cable Info'!V109="","",CONCATENATE('Cable Info'!V109," - ",'Cable Info'!W109))</f>
        <v/>
      </c>
      <c r="BL110" s="121" t="str">
        <f t="shared" si="47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36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37"/>
        <v/>
      </c>
      <c r="Y111" s="252" t="str">
        <f t="shared" si="38"/>
        <v/>
      </c>
      <c r="Z111" s="253" t="str">
        <f t="shared" si="39"/>
        <v/>
      </c>
      <c r="AA111" s="253" t="str">
        <f t="shared" si="40"/>
        <v/>
      </c>
      <c r="AB111" s="253" t="str">
        <f t="shared" si="41"/>
        <v/>
      </c>
      <c r="AJ111" s="121" t="e">
        <f>IF('Cable Info'!L110="","",CONCATENATE('Cable Info'!L110," - ",'Cable Info'!M110))</f>
        <v>#N/A</v>
      </c>
      <c r="AM111" s="121" t="e">
        <f t="shared" si="42"/>
        <v>#N/A</v>
      </c>
      <c r="AO111" s="121" t="e">
        <f>IF('Cable Info'!N110="","",CONCATENATE('Cable Info'!N110," - ",'Cable Info'!O110))</f>
        <v>#N/A</v>
      </c>
      <c r="AR111" s="121" t="e">
        <f t="shared" si="43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4"/>
        <v>#N/A</v>
      </c>
      <c r="AY111" s="121" t="str">
        <f>IF('Cable Info'!R110="","",CONCATENATE('Cable Info'!R110," - ",'Cable Info'!S110))</f>
        <v/>
      </c>
      <c r="BB111" s="121" t="str">
        <f t="shared" si="45"/>
        <v/>
      </c>
      <c r="BD111" s="121" t="str">
        <f>IF('Cable Info'!T110="","",CONCATENATE('Cable Info'!T110," - ",'Cable Info'!U110))</f>
        <v/>
      </c>
      <c r="BG111" s="121" t="str">
        <f t="shared" si="46"/>
        <v/>
      </c>
      <c r="BI111" s="121" t="str">
        <f>IF('Cable Info'!V110="","",CONCATENATE('Cable Info'!V110," - ",'Cable Info'!W110))</f>
        <v/>
      </c>
      <c r="BL111" s="121" t="str">
        <f t="shared" si="47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36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37"/>
        <v/>
      </c>
      <c r="Y112" s="252" t="str">
        <f t="shared" si="38"/>
        <v/>
      </c>
      <c r="Z112" s="253" t="str">
        <f t="shared" si="39"/>
        <v/>
      </c>
      <c r="AA112" s="253" t="str">
        <f t="shared" si="40"/>
        <v/>
      </c>
      <c r="AB112" s="253" t="str">
        <f t="shared" si="41"/>
        <v/>
      </c>
      <c r="AJ112" s="121" t="e">
        <f>IF('Cable Info'!L111="","",CONCATENATE('Cable Info'!L111," - ",'Cable Info'!M111))</f>
        <v>#N/A</v>
      </c>
      <c r="AM112" s="121" t="e">
        <f t="shared" si="42"/>
        <v>#N/A</v>
      </c>
      <c r="AO112" s="121" t="e">
        <f>IF('Cable Info'!N111="","",CONCATENATE('Cable Info'!N111," - ",'Cable Info'!O111))</f>
        <v>#N/A</v>
      </c>
      <c r="AR112" s="121" t="e">
        <f t="shared" si="43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4"/>
        <v>#N/A</v>
      </c>
      <c r="AY112" s="121" t="str">
        <f>IF('Cable Info'!R111="","",CONCATENATE('Cable Info'!R111," - ",'Cable Info'!S111))</f>
        <v/>
      </c>
      <c r="BB112" s="121" t="str">
        <f t="shared" si="45"/>
        <v/>
      </c>
      <c r="BD112" s="121" t="str">
        <f>IF('Cable Info'!T111="","",CONCATENATE('Cable Info'!T111," - ",'Cable Info'!U111))</f>
        <v/>
      </c>
      <c r="BG112" s="121" t="str">
        <f t="shared" si="46"/>
        <v/>
      </c>
      <c r="BI112" s="121" t="str">
        <f>IF('Cable Info'!V111="","",CONCATENATE('Cable Info'!V111," - ",'Cable Info'!W111))</f>
        <v/>
      </c>
      <c r="BL112" s="121" t="str">
        <f t="shared" si="47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36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37"/>
        <v/>
      </c>
      <c r="Y113" s="252" t="str">
        <f t="shared" si="38"/>
        <v/>
      </c>
      <c r="Z113" s="253" t="str">
        <f t="shared" si="39"/>
        <v/>
      </c>
      <c r="AA113" s="253" t="str">
        <f t="shared" si="40"/>
        <v/>
      </c>
      <c r="AB113" s="253" t="str">
        <f t="shared" si="41"/>
        <v/>
      </c>
      <c r="AJ113" s="121" t="e">
        <f>IF('Cable Info'!L112="","",CONCATENATE('Cable Info'!L112," - ",'Cable Info'!M112))</f>
        <v>#N/A</v>
      </c>
      <c r="AM113" s="121" t="e">
        <f t="shared" si="42"/>
        <v>#N/A</v>
      </c>
      <c r="AO113" s="121" t="e">
        <f>IF('Cable Info'!N112="","",CONCATENATE('Cable Info'!N112," - ",'Cable Info'!O112))</f>
        <v>#N/A</v>
      </c>
      <c r="AR113" s="121" t="e">
        <f t="shared" si="43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4"/>
        <v>#N/A</v>
      </c>
      <c r="AY113" s="121" t="str">
        <f>IF('Cable Info'!R112="","",CONCATENATE('Cable Info'!R112," - ",'Cable Info'!S112))</f>
        <v/>
      </c>
      <c r="BB113" s="121" t="str">
        <f t="shared" si="45"/>
        <v/>
      </c>
      <c r="BD113" s="121" t="str">
        <f>IF('Cable Info'!T112="","",CONCATENATE('Cable Info'!T112," - ",'Cable Info'!U112))</f>
        <v/>
      </c>
      <c r="BG113" s="121" t="str">
        <f t="shared" si="46"/>
        <v/>
      </c>
      <c r="BI113" s="121" t="str">
        <f>IF('Cable Info'!V112="","",CONCATENATE('Cable Info'!V112," - ",'Cable Info'!W112))</f>
        <v/>
      </c>
      <c r="BL113" s="121" t="str">
        <f t="shared" si="47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36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37"/>
        <v/>
      </c>
      <c r="Y114" s="252" t="str">
        <f t="shared" si="38"/>
        <v/>
      </c>
      <c r="Z114" s="253" t="str">
        <f t="shared" si="39"/>
        <v/>
      </c>
      <c r="AA114" s="253" t="str">
        <f t="shared" si="40"/>
        <v/>
      </c>
      <c r="AB114" s="253" t="str">
        <f t="shared" si="41"/>
        <v/>
      </c>
      <c r="AJ114" s="121" t="e">
        <f>IF('Cable Info'!L113="","",CONCATENATE('Cable Info'!L113," - ",'Cable Info'!M113))</f>
        <v>#N/A</v>
      </c>
      <c r="AM114" s="121" t="e">
        <f t="shared" si="42"/>
        <v>#N/A</v>
      </c>
      <c r="AO114" s="121" t="e">
        <f>IF('Cable Info'!N113="","",CONCATENATE('Cable Info'!N113," - ",'Cable Info'!O113))</f>
        <v>#N/A</v>
      </c>
      <c r="AR114" s="121" t="e">
        <f t="shared" si="43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4"/>
        <v>#N/A</v>
      </c>
      <c r="AY114" s="121" t="str">
        <f>IF('Cable Info'!R113="","",CONCATENATE('Cable Info'!R113," - ",'Cable Info'!S113))</f>
        <v/>
      </c>
      <c r="BB114" s="121" t="str">
        <f t="shared" si="45"/>
        <v/>
      </c>
      <c r="BD114" s="121" t="str">
        <f>IF('Cable Info'!T113="","",CONCATENATE('Cable Info'!T113," - ",'Cable Info'!U113))</f>
        <v/>
      </c>
      <c r="BG114" s="121" t="str">
        <f t="shared" si="46"/>
        <v/>
      </c>
      <c r="BI114" s="121" t="str">
        <f>IF('Cable Info'!V113="","",CONCATENATE('Cable Info'!V113," - ",'Cable Info'!W113))</f>
        <v/>
      </c>
      <c r="BL114" s="121" t="str">
        <f t="shared" si="47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36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37"/>
        <v/>
      </c>
      <c r="Y115" s="252" t="str">
        <f t="shared" si="38"/>
        <v/>
      </c>
      <c r="Z115" s="253" t="str">
        <f t="shared" si="39"/>
        <v/>
      </c>
      <c r="AA115" s="253" t="str">
        <f t="shared" si="40"/>
        <v/>
      </c>
      <c r="AB115" s="253" t="str">
        <f t="shared" si="41"/>
        <v/>
      </c>
      <c r="AJ115" s="121" t="e">
        <f>IF('Cable Info'!L114="","",CONCATENATE('Cable Info'!L114," - ",'Cable Info'!M114))</f>
        <v>#N/A</v>
      </c>
      <c r="AM115" s="121" t="e">
        <f t="shared" si="42"/>
        <v>#N/A</v>
      </c>
      <c r="AO115" s="121" t="e">
        <f>IF('Cable Info'!N114="","",CONCATENATE('Cable Info'!N114," - ",'Cable Info'!O114))</f>
        <v>#N/A</v>
      </c>
      <c r="AR115" s="121" t="e">
        <f t="shared" si="43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4"/>
        <v>#N/A</v>
      </c>
      <c r="AY115" s="121" t="str">
        <f>IF('Cable Info'!R114="","",CONCATENATE('Cable Info'!R114," - ",'Cable Info'!S114))</f>
        <v/>
      </c>
      <c r="BB115" s="121" t="str">
        <f t="shared" si="45"/>
        <v/>
      </c>
      <c r="BD115" s="121" t="str">
        <f>IF('Cable Info'!T114="","",CONCATENATE('Cable Info'!T114," - ",'Cable Info'!U114))</f>
        <v/>
      </c>
      <c r="BG115" s="121" t="str">
        <f t="shared" si="46"/>
        <v/>
      </c>
      <c r="BI115" s="121" t="str">
        <f>IF('Cable Info'!V114="","",CONCATENATE('Cable Info'!V114," - ",'Cable Info'!W114))</f>
        <v/>
      </c>
      <c r="BL115" s="121" t="str">
        <f t="shared" si="47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36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37"/>
        <v/>
      </c>
      <c r="Y116" s="252" t="str">
        <f t="shared" si="38"/>
        <v/>
      </c>
      <c r="Z116" s="253" t="str">
        <f t="shared" si="39"/>
        <v/>
      </c>
      <c r="AA116" s="253" t="str">
        <f t="shared" si="40"/>
        <v/>
      </c>
      <c r="AB116" s="253" t="str">
        <f t="shared" si="41"/>
        <v/>
      </c>
      <c r="AJ116" s="121" t="e">
        <f>IF('Cable Info'!L115="","",CONCATENATE('Cable Info'!L115," - ",'Cable Info'!M115))</f>
        <v>#N/A</v>
      </c>
      <c r="AM116" s="121" t="e">
        <f t="shared" si="42"/>
        <v>#N/A</v>
      </c>
      <c r="AO116" s="121" t="e">
        <f>IF('Cable Info'!N115="","",CONCATENATE('Cable Info'!N115," - ",'Cable Info'!O115))</f>
        <v>#N/A</v>
      </c>
      <c r="AR116" s="121" t="e">
        <f t="shared" si="43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4"/>
        <v>#N/A</v>
      </c>
      <c r="AY116" s="121" t="str">
        <f>IF('Cable Info'!R115="","",CONCATENATE('Cable Info'!R115," - ",'Cable Info'!S115))</f>
        <v/>
      </c>
      <c r="BB116" s="121" t="str">
        <f t="shared" si="45"/>
        <v/>
      </c>
      <c r="BD116" s="121" t="str">
        <f>IF('Cable Info'!T115="","",CONCATENATE('Cable Info'!T115," - ",'Cable Info'!U115))</f>
        <v/>
      </c>
      <c r="BG116" s="121" t="str">
        <f t="shared" si="46"/>
        <v/>
      </c>
      <c r="BI116" s="121" t="str">
        <f>IF('Cable Info'!V115="","",CONCATENATE('Cable Info'!V115," - ",'Cable Info'!W115))</f>
        <v/>
      </c>
      <c r="BL116" s="121" t="str">
        <f t="shared" si="47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36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37"/>
        <v/>
      </c>
      <c r="Y117" s="252" t="str">
        <f t="shared" si="38"/>
        <v/>
      </c>
      <c r="Z117" s="253" t="str">
        <f t="shared" si="39"/>
        <v/>
      </c>
      <c r="AA117" s="253" t="str">
        <f t="shared" si="40"/>
        <v/>
      </c>
      <c r="AB117" s="253" t="str">
        <f t="shared" si="41"/>
        <v/>
      </c>
      <c r="AJ117" s="121" t="e">
        <f>IF('Cable Info'!L116="","",CONCATENATE('Cable Info'!L116," - ",'Cable Info'!M116))</f>
        <v>#N/A</v>
      </c>
      <c r="AM117" s="121" t="e">
        <f t="shared" si="42"/>
        <v>#N/A</v>
      </c>
      <c r="AO117" s="121" t="e">
        <f>IF('Cable Info'!N116="","",CONCATENATE('Cable Info'!N116," - ",'Cable Info'!O116))</f>
        <v>#N/A</v>
      </c>
      <c r="AR117" s="121" t="e">
        <f t="shared" si="43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4"/>
        <v>#N/A</v>
      </c>
      <c r="AY117" s="121" t="str">
        <f>IF('Cable Info'!R116="","",CONCATENATE('Cable Info'!R116," - ",'Cable Info'!S116))</f>
        <v/>
      </c>
      <c r="BB117" s="121" t="str">
        <f t="shared" si="45"/>
        <v/>
      </c>
      <c r="BD117" s="121" t="str">
        <f>IF('Cable Info'!T116="","",CONCATENATE('Cable Info'!T116," - ",'Cable Info'!U116))</f>
        <v/>
      </c>
      <c r="BG117" s="121" t="str">
        <f t="shared" si="46"/>
        <v/>
      </c>
      <c r="BI117" s="121" t="str">
        <f>IF('Cable Info'!V116="","",CONCATENATE('Cable Info'!V116," - ",'Cable Info'!W116))</f>
        <v/>
      </c>
      <c r="BL117" s="121" t="str">
        <f t="shared" si="47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36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37"/>
        <v/>
      </c>
      <c r="Y118" s="252" t="str">
        <f t="shared" si="38"/>
        <v/>
      </c>
      <c r="Z118" s="253" t="str">
        <f t="shared" si="39"/>
        <v/>
      </c>
      <c r="AA118" s="253" t="str">
        <f t="shared" si="40"/>
        <v/>
      </c>
      <c r="AB118" s="253" t="str">
        <f t="shared" si="41"/>
        <v/>
      </c>
      <c r="AJ118" s="121" t="e">
        <f>IF('Cable Info'!L117="","",CONCATENATE('Cable Info'!L117," - ",'Cable Info'!M117))</f>
        <v>#N/A</v>
      </c>
      <c r="AM118" s="121" t="e">
        <f t="shared" si="42"/>
        <v>#N/A</v>
      </c>
      <c r="AO118" s="121" t="e">
        <f>IF('Cable Info'!N117="","",CONCATENATE('Cable Info'!N117," - ",'Cable Info'!O117))</f>
        <v>#N/A</v>
      </c>
      <c r="AR118" s="121" t="e">
        <f t="shared" si="43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4"/>
        <v>#N/A</v>
      </c>
      <c r="AY118" s="121" t="str">
        <f>IF('Cable Info'!R117="","",CONCATENATE('Cable Info'!R117," - ",'Cable Info'!S117))</f>
        <v/>
      </c>
      <c r="BB118" s="121" t="str">
        <f t="shared" si="45"/>
        <v/>
      </c>
      <c r="BD118" s="121" t="str">
        <f>IF('Cable Info'!T117="","",CONCATENATE('Cable Info'!T117," - ",'Cable Info'!U117))</f>
        <v/>
      </c>
      <c r="BG118" s="121" t="str">
        <f t="shared" si="46"/>
        <v/>
      </c>
      <c r="BI118" s="121" t="str">
        <f>IF('Cable Info'!V117="","",CONCATENATE('Cable Info'!V117," - ",'Cable Info'!W117))</f>
        <v/>
      </c>
      <c r="BL118" s="121" t="str">
        <f t="shared" si="47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36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37"/>
        <v/>
      </c>
      <c r="Y119" s="252" t="str">
        <f t="shared" si="38"/>
        <v/>
      </c>
      <c r="Z119" s="253" t="str">
        <f t="shared" si="39"/>
        <v/>
      </c>
      <c r="AA119" s="253" t="str">
        <f t="shared" si="40"/>
        <v/>
      </c>
      <c r="AB119" s="253" t="str">
        <f t="shared" si="41"/>
        <v/>
      </c>
      <c r="AJ119" s="121" t="e">
        <f>IF('Cable Info'!L118="","",CONCATENATE('Cable Info'!L118," - ",'Cable Info'!M118))</f>
        <v>#N/A</v>
      </c>
      <c r="AM119" s="121" t="e">
        <f t="shared" si="42"/>
        <v>#N/A</v>
      </c>
      <c r="AO119" s="121" t="e">
        <f>IF('Cable Info'!N118="","",CONCATENATE('Cable Info'!N118," - ",'Cable Info'!O118))</f>
        <v>#N/A</v>
      </c>
      <c r="AR119" s="121" t="e">
        <f t="shared" si="43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4"/>
        <v>#N/A</v>
      </c>
      <c r="AY119" s="121" t="str">
        <f>IF('Cable Info'!R118="","",CONCATENATE('Cable Info'!R118," - ",'Cable Info'!S118))</f>
        <v/>
      </c>
      <c r="BB119" s="121" t="str">
        <f t="shared" si="45"/>
        <v/>
      </c>
      <c r="BD119" s="121" t="str">
        <f>IF('Cable Info'!T118="","",CONCATENATE('Cable Info'!T118," - ",'Cable Info'!U118))</f>
        <v/>
      </c>
      <c r="BG119" s="121" t="str">
        <f t="shared" si="46"/>
        <v/>
      </c>
      <c r="BI119" s="121" t="str">
        <f>IF('Cable Info'!V118="","",CONCATENATE('Cable Info'!V118," - ",'Cable Info'!W118))</f>
        <v/>
      </c>
      <c r="BL119" s="121" t="str">
        <f t="shared" si="47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36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37"/>
        <v/>
      </c>
      <c r="Y120" s="252" t="str">
        <f t="shared" si="38"/>
        <v/>
      </c>
      <c r="Z120" s="253" t="str">
        <f t="shared" si="39"/>
        <v/>
      </c>
      <c r="AA120" s="253" t="str">
        <f t="shared" si="40"/>
        <v/>
      </c>
      <c r="AB120" s="253" t="str">
        <f t="shared" si="41"/>
        <v/>
      </c>
      <c r="AJ120" s="121" t="e">
        <f>IF('Cable Info'!L119="","",CONCATENATE('Cable Info'!L119," - ",'Cable Info'!M119))</f>
        <v>#N/A</v>
      </c>
      <c r="AM120" s="121" t="e">
        <f t="shared" si="42"/>
        <v>#N/A</v>
      </c>
      <c r="AO120" s="121" t="e">
        <f>IF('Cable Info'!N119="","",CONCATENATE('Cable Info'!N119," - ",'Cable Info'!O119))</f>
        <v>#N/A</v>
      </c>
      <c r="AR120" s="121" t="e">
        <f t="shared" si="43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4"/>
        <v>#N/A</v>
      </c>
      <c r="AY120" s="121" t="str">
        <f>IF('Cable Info'!R119="","",CONCATENATE('Cable Info'!R119," - ",'Cable Info'!S119))</f>
        <v/>
      </c>
      <c r="BB120" s="121" t="str">
        <f t="shared" si="45"/>
        <v/>
      </c>
      <c r="BD120" s="121" t="str">
        <f>IF('Cable Info'!T119="","",CONCATENATE('Cable Info'!T119," - ",'Cable Info'!U119))</f>
        <v/>
      </c>
      <c r="BG120" s="121" t="str">
        <f t="shared" si="46"/>
        <v/>
      </c>
      <c r="BI120" s="121" t="str">
        <f>IF('Cable Info'!V119="","",CONCATENATE('Cable Info'!V119," - ",'Cable Info'!W119))</f>
        <v/>
      </c>
      <c r="BL120" s="121" t="str">
        <f t="shared" si="47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36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37"/>
        <v/>
      </c>
      <c r="Y121" s="252" t="str">
        <f t="shared" si="38"/>
        <v/>
      </c>
      <c r="Z121" s="253" t="str">
        <f t="shared" si="39"/>
        <v/>
      </c>
      <c r="AA121" s="253" t="str">
        <f t="shared" si="40"/>
        <v/>
      </c>
      <c r="AB121" s="253" t="str">
        <f t="shared" si="41"/>
        <v/>
      </c>
      <c r="AJ121" s="121" t="e">
        <f>IF('Cable Info'!L120="","",CONCATENATE('Cable Info'!L120," - ",'Cable Info'!M120))</f>
        <v>#N/A</v>
      </c>
      <c r="AM121" s="121" t="e">
        <f t="shared" si="42"/>
        <v>#N/A</v>
      </c>
      <c r="AO121" s="121" t="e">
        <f>IF('Cable Info'!N120="","",CONCATENATE('Cable Info'!N120," - ",'Cable Info'!O120))</f>
        <v>#N/A</v>
      </c>
      <c r="AR121" s="121" t="e">
        <f t="shared" si="43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4"/>
        <v>#N/A</v>
      </c>
      <c r="AY121" s="121" t="str">
        <f>IF('Cable Info'!R120="","",CONCATENATE('Cable Info'!R120," - ",'Cable Info'!S120))</f>
        <v/>
      </c>
      <c r="BB121" s="121" t="str">
        <f t="shared" si="45"/>
        <v/>
      </c>
      <c r="BD121" s="121" t="str">
        <f>IF('Cable Info'!T120="","",CONCATENATE('Cable Info'!T120," - ",'Cable Info'!U120))</f>
        <v/>
      </c>
      <c r="BG121" s="121" t="str">
        <f t="shared" si="46"/>
        <v/>
      </c>
      <c r="BI121" s="121" t="str">
        <f>IF('Cable Info'!V120="","",CONCATENATE('Cable Info'!V120," - ",'Cable Info'!W120))</f>
        <v/>
      </c>
      <c r="BL121" s="121" t="str">
        <f t="shared" si="47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36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37"/>
        <v/>
      </c>
      <c r="Y122" s="252" t="str">
        <f t="shared" si="38"/>
        <v/>
      </c>
      <c r="Z122" s="253" t="str">
        <f t="shared" si="39"/>
        <v/>
      </c>
      <c r="AA122" s="253" t="str">
        <f t="shared" si="40"/>
        <v/>
      </c>
      <c r="AB122" s="253" t="str">
        <f t="shared" si="41"/>
        <v/>
      </c>
      <c r="AJ122" s="121" t="e">
        <f>IF('Cable Info'!L121="","",CONCATENATE('Cable Info'!L121," - ",'Cable Info'!M121))</f>
        <v>#N/A</v>
      </c>
      <c r="AM122" s="121" t="e">
        <f t="shared" si="42"/>
        <v>#N/A</v>
      </c>
      <c r="AO122" s="121" t="e">
        <f>IF('Cable Info'!N121="","",CONCATENATE('Cable Info'!N121," - ",'Cable Info'!O121))</f>
        <v>#N/A</v>
      </c>
      <c r="AR122" s="121" t="e">
        <f t="shared" si="43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4"/>
        <v>#N/A</v>
      </c>
      <c r="AY122" s="121" t="str">
        <f>IF('Cable Info'!R121="","",CONCATENATE('Cable Info'!R121," - ",'Cable Info'!S121))</f>
        <v/>
      </c>
      <c r="BB122" s="121" t="str">
        <f t="shared" si="45"/>
        <v/>
      </c>
      <c r="BD122" s="121" t="str">
        <f>IF('Cable Info'!T121="","",CONCATENATE('Cable Info'!T121," - ",'Cable Info'!U121))</f>
        <v/>
      </c>
      <c r="BG122" s="121" t="str">
        <f t="shared" si="46"/>
        <v/>
      </c>
      <c r="BI122" s="121" t="str">
        <f>IF('Cable Info'!V121="","",CONCATENATE('Cable Info'!V121," - ",'Cable Info'!W121))</f>
        <v/>
      </c>
      <c r="BL122" s="121" t="str">
        <f t="shared" si="47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36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37"/>
        <v/>
      </c>
      <c r="Y123" s="252" t="str">
        <f t="shared" si="38"/>
        <v/>
      </c>
      <c r="Z123" s="253" t="str">
        <f t="shared" si="39"/>
        <v/>
      </c>
      <c r="AA123" s="253" t="str">
        <f t="shared" si="40"/>
        <v/>
      </c>
      <c r="AB123" s="253" t="str">
        <f t="shared" si="41"/>
        <v/>
      </c>
      <c r="AJ123" s="121" t="e">
        <f>IF('Cable Info'!L122="","",CONCATENATE('Cable Info'!L122," - ",'Cable Info'!M122))</f>
        <v>#N/A</v>
      </c>
      <c r="AM123" s="121" t="e">
        <f t="shared" si="42"/>
        <v>#N/A</v>
      </c>
      <c r="AO123" s="121" t="e">
        <f>IF('Cable Info'!N122="","",CONCATENATE('Cable Info'!N122," - ",'Cable Info'!O122))</f>
        <v>#N/A</v>
      </c>
      <c r="AR123" s="121" t="e">
        <f t="shared" si="43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4"/>
        <v>#N/A</v>
      </c>
      <c r="AY123" s="121" t="str">
        <f>IF('Cable Info'!R122="","",CONCATENATE('Cable Info'!R122," - ",'Cable Info'!S122))</f>
        <v/>
      </c>
      <c r="BB123" s="121" t="str">
        <f t="shared" si="45"/>
        <v/>
      </c>
      <c r="BD123" s="121" t="str">
        <f>IF('Cable Info'!T122="","",CONCATENATE('Cable Info'!T122," - ",'Cable Info'!U122))</f>
        <v/>
      </c>
      <c r="BG123" s="121" t="str">
        <f t="shared" si="46"/>
        <v/>
      </c>
      <c r="BI123" s="121" t="str">
        <f>IF('Cable Info'!V122="","",CONCATENATE('Cable Info'!V122," - ",'Cable Info'!W122))</f>
        <v/>
      </c>
      <c r="BL123" s="121" t="str">
        <f t="shared" si="47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36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37"/>
        <v/>
      </c>
      <c r="Y124" s="252" t="str">
        <f t="shared" si="38"/>
        <v/>
      </c>
      <c r="Z124" s="253" t="str">
        <f t="shared" si="39"/>
        <v/>
      </c>
      <c r="AA124" s="253" t="str">
        <f t="shared" si="40"/>
        <v/>
      </c>
      <c r="AB124" s="253" t="str">
        <f t="shared" si="41"/>
        <v/>
      </c>
      <c r="AJ124" s="121" t="e">
        <f>IF('Cable Info'!L123="","",CONCATENATE('Cable Info'!L123," - ",'Cable Info'!M123))</f>
        <v>#N/A</v>
      </c>
      <c r="AM124" s="121" t="e">
        <f t="shared" si="42"/>
        <v>#N/A</v>
      </c>
      <c r="AO124" s="121" t="e">
        <f>IF('Cable Info'!N123="","",CONCATENATE('Cable Info'!N123," - ",'Cable Info'!O123))</f>
        <v>#N/A</v>
      </c>
      <c r="AR124" s="121" t="e">
        <f t="shared" si="43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4"/>
        <v>#N/A</v>
      </c>
      <c r="AY124" s="121" t="str">
        <f>IF('Cable Info'!R123="","",CONCATENATE('Cable Info'!R123," - ",'Cable Info'!S123))</f>
        <v/>
      </c>
      <c r="BB124" s="121" t="str">
        <f t="shared" si="45"/>
        <v/>
      </c>
      <c r="BD124" s="121" t="str">
        <f>IF('Cable Info'!T123="","",CONCATENATE('Cable Info'!T123," - ",'Cable Info'!U123))</f>
        <v/>
      </c>
      <c r="BG124" s="121" t="str">
        <f t="shared" si="46"/>
        <v/>
      </c>
      <c r="BI124" s="121" t="str">
        <f>IF('Cable Info'!V123="","",CONCATENATE('Cable Info'!V123," - ",'Cable Info'!W123))</f>
        <v/>
      </c>
      <c r="BL124" s="121" t="str">
        <f t="shared" si="47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36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37"/>
        <v/>
      </c>
      <c r="Y125" s="252" t="str">
        <f t="shared" si="38"/>
        <v/>
      </c>
      <c r="Z125" s="253" t="str">
        <f t="shared" si="39"/>
        <v/>
      </c>
      <c r="AA125" s="253" t="str">
        <f t="shared" si="40"/>
        <v/>
      </c>
      <c r="AB125" s="253" t="str">
        <f t="shared" si="41"/>
        <v/>
      </c>
      <c r="AJ125" s="121" t="e">
        <f>IF('Cable Info'!L124="","",CONCATENATE('Cable Info'!L124," - ",'Cable Info'!M124))</f>
        <v>#N/A</v>
      </c>
      <c r="AM125" s="121" t="e">
        <f t="shared" si="42"/>
        <v>#N/A</v>
      </c>
      <c r="AO125" s="121" t="e">
        <f>IF('Cable Info'!N124="","",CONCATENATE('Cable Info'!N124," - ",'Cable Info'!O124))</f>
        <v>#N/A</v>
      </c>
      <c r="AR125" s="121" t="e">
        <f t="shared" si="43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4"/>
        <v>#N/A</v>
      </c>
      <c r="AY125" s="121" t="str">
        <f>IF('Cable Info'!R124="","",CONCATENATE('Cable Info'!R124," - ",'Cable Info'!S124))</f>
        <v/>
      </c>
      <c r="BB125" s="121" t="str">
        <f t="shared" si="45"/>
        <v/>
      </c>
      <c r="BD125" s="121" t="str">
        <f>IF('Cable Info'!T124="","",CONCATENATE('Cable Info'!T124," - ",'Cable Info'!U124))</f>
        <v/>
      </c>
      <c r="BG125" s="121" t="str">
        <f t="shared" si="46"/>
        <v/>
      </c>
      <c r="BI125" s="121" t="str">
        <f>IF('Cable Info'!V124="","",CONCATENATE('Cable Info'!V124," - ",'Cable Info'!W124))</f>
        <v/>
      </c>
      <c r="BL125" s="121" t="str">
        <f t="shared" si="47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36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37"/>
        <v/>
      </c>
      <c r="Y126" s="252" t="str">
        <f t="shared" si="38"/>
        <v/>
      </c>
      <c r="Z126" s="253" t="str">
        <f t="shared" si="39"/>
        <v/>
      </c>
      <c r="AA126" s="253" t="str">
        <f t="shared" si="40"/>
        <v/>
      </c>
      <c r="AB126" s="253" t="str">
        <f t="shared" si="41"/>
        <v/>
      </c>
      <c r="AJ126" s="121" t="e">
        <f>IF('Cable Info'!L125="","",CONCATENATE('Cable Info'!L125," - ",'Cable Info'!M125))</f>
        <v>#N/A</v>
      </c>
      <c r="AM126" s="121" t="e">
        <f t="shared" si="42"/>
        <v>#N/A</v>
      </c>
      <c r="AO126" s="121" t="e">
        <f>IF('Cable Info'!N125="","",CONCATENATE('Cable Info'!N125," - ",'Cable Info'!O125))</f>
        <v>#N/A</v>
      </c>
      <c r="AR126" s="121" t="e">
        <f t="shared" si="43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4"/>
        <v>#N/A</v>
      </c>
      <c r="AY126" s="121" t="str">
        <f>IF('Cable Info'!R125="","",CONCATENATE('Cable Info'!R125," - ",'Cable Info'!S125))</f>
        <v/>
      </c>
      <c r="BB126" s="121" t="str">
        <f t="shared" si="45"/>
        <v/>
      </c>
      <c r="BD126" s="121" t="str">
        <f>IF('Cable Info'!T125="","",CONCATENATE('Cable Info'!T125," - ",'Cable Info'!U125))</f>
        <v/>
      </c>
      <c r="BG126" s="121" t="str">
        <f t="shared" si="46"/>
        <v/>
      </c>
      <c r="BI126" s="121" t="str">
        <f>IF('Cable Info'!V125="","",CONCATENATE('Cable Info'!V125," - ",'Cable Info'!W125))</f>
        <v/>
      </c>
      <c r="BL126" s="121" t="str">
        <f t="shared" si="47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36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37"/>
        <v/>
      </c>
      <c r="Y127" s="252" t="str">
        <f t="shared" si="38"/>
        <v/>
      </c>
      <c r="Z127" s="253" t="str">
        <f t="shared" si="39"/>
        <v/>
      </c>
      <c r="AA127" s="253" t="str">
        <f t="shared" si="40"/>
        <v/>
      </c>
      <c r="AB127" s="253" t="str">
        <f t="shared" si="41"/>
        <v/>
      </c>
      <c r="AJ127" s="121" t="e">
        <f>IF('Cable Info'!L126="","",CONCATENATE('Cable Info'!L126," - ",'Cable Info'!M126))</f>
        <v>#N/A</v>
      </c>
      <c r="AM127" s="121" t="e">
        <f t="shared" si="42"/>
        <v>#N/A</v>
      </c>
      <c r="AO127" s="121" t="e">
        <f>IF('Cable Info'!N126="","",CONCATENATE('Cable Info'!N126," - ",'Cable Info'!O126))</f>
        <v>#N/A</v>
      </c>
      <c r="AR127" s="121" t="e">
        <f t="shared" si="43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4"/>
        <v>#N/A</v>
      </c>
      <c r="AY127" s="121" t="str">
        <f>IF('Cable Info'!R126="","",CONCATENATE('Cable Info'!R126," - ",'Cable Info'!S126))</f>
        <v/>
      </c>
      <c r="BB127" s="121" t="str">
        <f t="shared" si="45"/>
        <v/>
      </c>
      <c r="BD127" s="121" t="str">
        <f>IF('Cable Info'!T126="","",CONCATENATE('Cable Info'!T126," - ",'Cable Info'!U126))</f>
        <v/>
      </c>
      <c r="BG127" s="121" t="str">
        <f t="shared" si="46"/>
        <v/>
      </c>
      <c r="BI127" s="121" t="str">
        <f>IF('Cable Info'!V126="","",CONCATENATE('Cable Info'!V126," - ",'Cable Info'!W126))</f>
        <v/>
      </c>
      <c r="BL127" s="121" t="str">
        <f t="shared" si="47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36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37"/>
        <v/>
      </c>
      <c r="Y128" s="252" t="str">
        <f t="shared" si="38"/>
        <v/>
      </c>
      <c r="Z128" s="253" t="str">
        <f t="shared" si="39"/>
        <v/>
      </c>
      <c r="AA128" s="253" t="str">
        <f t="shared" si="40"/>
        <v/>
      </c>
      <c r="AB128" s="253" t="str">
        <f t="shared" si="41"/>
        <v/>
      </c>
      <c r="AJ128" s="121" t="e">
        <f>IF('Cable Info'!L127="","",CONCATENATE('Cable Info'!L127," - ",'Cable Info'!M127))</f>
        <v>#N/A</v>
      </c>
      <c r="AM128" s="121" t="e">
        <f t="shared" si="42"/>
        <v>#N/A</v>
      </c>
      <c r="AO128" s="121" t="e">
        <f>IF('Cable Info'!N127="","",CONCATENATE('Cable Info'!N127," - ",'Cable Info'!O127))</f>
        <v>#N/A</v>
      </c>
      <c r="AR128" s="121" t="e">
        <f t="shared" si="43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4"/>
        <v>#N/A</v>
      </c>
      <c r="AY128" s="121" t="str">
        <f>IF('Cable Info'!R127="","",CONCATENATE('Cable Info'!R127," - ",'Cable Info'!S127))</f>
        <v/>
      </c>
      <c r="BB128" s="121" t="str">
        <f t="shared" si="45"/>
        <v/>
      </c>
      <c r="BD128" s="121" t="str">
        <f>IF('Cable Info'!T127="","",CONCATENATE('Cable Info'!T127," - ",'Cable Info'!U127))</f>
        <v/>
      </c>
      <c r="BG128" s="121" t="str">
        <f t="shared" si="46"/>
        <v/>
      </c>
      <c r="BI128" s="121" t="str">
        <f>IF('Cable Info'!V127="","",CONCATENATE('Cable Info'!V127," - ",'Cable Info'!W127))</f>
        <v/>
      </c>
      <c r="BL128" s="121" t="str">
        <f t="shared" si="47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36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37"/>
        <v/>
      </c>
      <c r="Y129" s="252" t="str">
        <f t="shared" si="38"/>
        <v/>
      </c>
      <c r="Z129" s="253" t="str">
        <f t="shared" si="39"/>
        <v/>
      </c>
      <c r="AA129" s="253" t="str">
        <f t="shared" si="40"/>
        <v/>
      </c>
      <c r="AB129" s="253" t="str">
        <f t="shared" si="41"/>
        <v/>
      </c>
      <c r="AJ129" s="121" t="e">
        <f>IF('Cable Info'!L128="","",CONCATENATE('Cable Info'!L128," - ",'Cable Info'!M128))</f>
        <v>#N/A</v>
      </c>
      <c r="AM129" s="121" t="e">
        <f t="shared" si="42"/>
        <v>#N/A</v>
      </c>
      <c r="AO129" s="121" t="e">
        <f>IF('Cable Info'!N128="","",CONCATENATE('Cable Info'!N128," - ",'Cable Info'!O128))</f>
        <v>#N/A</v>
      </c>
      <c r="AR129" s="121" t="e">
        <f t="shared" si="43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4"/>
        <v>#N/A</v>
      </c>
      <c r="AY129" s="121" t="str">
        <f>IF('Cable Info'!R128="","",CONCATENATE('Cable Info'!R128," - ",'Cable Info'!S128))</f>
        <v/>
      </c>
      <c r="BB129" s="121" t="str">
        <f t="shared" si="45"/>
        <v/>
      </c>
      <c r="BD129" s="121" t="str">
        <f>IF('Cable Info'!T128="","",CONCATENATE('Cable Info'!T128," - ",'Cable Info'!U128))</f>
        <v/>
      </c>
      <c r="BG129" s="121" t="str">
        <f t="shared" si="46"/>
        <v/>
      </c>
      <c r="BI129" s="121" t="str">
        <f>IF('Cable Info'!V128="","",CONCATENATE('Cable Info'!V128," - ",'Cable Info'!W128))</f>
        <v/>
      </c>
      <c r="BL129" s="121" t="str">
        <f t="shared" si="47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36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37"/>
        <v/>
      </c>
      <c r="Y130" s="252" t="str">
        <f t="shared" si="38"/>
        <v/>
      </c>
      <c r="Z130" s="253" t="str">
        <f t="shared" si="39"/>
        <v/>
      </c>
      <c r="AA130" s="253" t="str">
        <f t="shared" si="40"/>
        <v/>
      </c>
      <c r="AB130" s="253" t="str">
        <f t="shared" si="41"/>
        <v/>
      </c>
      <c r="AJ130" s="121" t="e">
        <f>IF('Cable Info'!L129="","",CONCATENATE('Cable Info'!L129," - ",'Cable Info'!M129))</f>
        <v>#N/A</v>
      </c>
      <c r="AM130" s="121" t="e">
        <f t="shared" si="42"/>
        <v>#N/A</v>
      </c>
      <c r="AO130" s="121" t="e">
        <f>IF('Cable Info'!N129="","",CONCATENATE('Cable Info'!N129," - ",'Cable Info'!O129))</f>
        <v>#N/A</v>
      </c>
      <c r="AR130" s="121" t="e">
        <f t="shared" si="43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4"/>
        <v>#N/A</v>
      </c>
      <c r="AY130" s="121" t="str">
        <f>IF('Cable Info'!R129="","",CONCATENATE('Cable Info'!R129," - ",'Cable Info'!S129))</f>
        <v/>
      </c>
      <c r="BB130" s="121" t="str">
        <f t="shared" si="45"/>
        <v/>
      </c>
      <c r="BD130" s="121" t="str">
        <f>IF('Cable Info'!T129="","",CONCATENATE('Cable Info'!T129," - ",'Cable Info'!U129))</f>
        <v/>
      </c>
      <c r="BG130" s="121" t="str">
        <f t="shared" si="46"/>
        <v/>
      </c>
      <c r="BI130" s="121" t="str">
        <f>IF('Cable Info'!V129="","",CONCATENATE('Cable Info'!V129," - ",'Cable Info'!W129))</f>
        <v/>
      </c>
      <c r="BL130" s="121" t="str">
        <f t="shared" si="47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36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37"/>
        <v/>
      </c>
      <c r="Y131" s="252" t="str">
        <f t="shared" si="38"/>
        <v/>
      </c>
      <c r="Z131" s="253" t="str">
        <f t="shared" si="39"/>
        <v/>
      </c>
      <c r="AA131" s="253" t="str">
        <f t="shared" si="40"/>
        <v/>
      </c>
      <c r="AB131" s="253" t="str">
        <f t="shared" si="41"/>
        <v/>
      </c>
      <c r="AJ131" s="121" t="e">
        <f>IF('Cable Info'!L130="","",CONCATENATE('Cable Info'!L130," - ",'Cable Info'!M130))</f>
        <v>#N/A</v>
      </c>
      <c r="AM131" s="121" t="e">
        <f t="shared" si="42"/>
        <v>#N/A</v>
      </c>
      <c r="AO131" s="121" t="e">
        <f>IF('Cable Info'!N130="","",CONCATENATE('Cable Info'!N130," - ",'Cable Info'!O130))</f>
        <v>#N/A</v>
      </c>
      <c r="AR131" s="121" t="e">
        <f t="shared" si="43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4"/>
        <v>#N/A</v>
      </c>
      <c r="AY131" s="121" t="str">
        <f>IF('Cable Info'!R130="","",CONCATENATE('Cable Info'!R130," - ",'Cable Info'!S130))</f>
        <v/>
      </c>
      <c r="BB131" s="121" t="str">
        <f t="shared" si="45"/>
        <v/>
      </c>
      <c r="BD131" s="121" t="str">
        <f>IF('Cable Info'!T130="","",CONCATENATE('Cable Info'!T130," - ",'Cable Info'!U130))</f>
        <v/>
      </c>
      <c r="BG131" s="121" t="str">
        <f t="shared" si="46"/>
        <v/>
      </c>
      <c r="BI131" s="121" t="str">
        <f>IF('Cable Info'!V130="","",CONCATENATE('Cable Info'!V130," - ",'Cable Info'!W130))</f>
        <v/>
      </c>
      <c r="BL131" s="121" t="str">
        <f t="shared" si="47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36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37"/>
        <v/>
      </c>
      <c r="Y132" s="252" t="str">
        <f t="shared" si="38"/>
        <v/>
      </c>
      <c r="Z132" s="253" t="str">
        <f t="shared" si="39"/>
        <v/>
      </c>
      <c r="AA132" s="253" t="str">
        <f t="shared" si="40"/>
        <v/>
      </c>
      <c r="AB132" s="253" t="str">
        <f t="shared" si="41"/>
        <v/>
      </c>
      <c r="AJ132" s="121" t="e">
        <f>IF('Cable Info'!L131="","",CONCATENATE('Cable Info'!L131," - ",'Cable Info'!M131))</f>
        <v>#N/A</v>
      </c>
      <c r="AM132" s="121" t="e">
        <f t="shared" si="42"/>
        <v>#N/A</v>
      </c>
      <c r="AO132" s="121" t="e">
        <f>IF('Cable Info'!N131="","",CONCATENATE('Cable Info'!N131," - ",'Cable Info'!O131))</f>
        <v>#N/A</v>
      </c>
      <c r="AR132" s="121" t="e">
        <f t="shared" si="43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4"/>
        <v>#N/A</v>
      </c>
      <c r="AY132" s="121" t="str">
        <f>IF('Cable Info'!R131="","",CONCATENATE('Cable Info'!R131," - ",'Cable Info'!S131))</f>
        <v/>
      </c>
      <c r="BB132" s="121" t="str">
        <f t="shared" si="45"/>
        <v/>
      </c>
      <c r="BD132" s="121" t="str">
        <f>IF('Cable Info'!T131="","",CONCATENATE('Cable Info'!T131," - ",'Cable Info'!U131))</f>
        <v/>
      </c>
      <c r="BG132" s="121" t="str">
        <f t="shared" si="46"/>
        <v/>
      </c>
      <c r="BI132" s="121" t="str">
        <f>IF('Cable Info'!V131="","",CONCATENATE('Cable Info'!V131," - ",'Cable Info'!W131))</f>
        <v/>
      </c>
      <c r="BL132" s="121" t="str">
        <f t="shared" si="47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36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37"/>
        <v/>
      </c>
      <c r="Y133" s="252" t="str">
        <f t="shared" si="38"/>
        <v/>
      </c>
      <c r="Z133" s="253" t="str">
        <f t="shared" si="39"/>
        <v/>
      </c>
      <c r="AA133" s="253" t="str">
        <f t="shared" si="40"/>
        <v/>
      </c>
      <c r="AB133" s="253" t="str">
        <f t="shared" si="41"/>
        <v/>
      </c>
      <c r="AJ133" s="121" t="e">
        <f>IF('Cable Info'!L132="","",CONCATENATE('Cable Info'!L132," - ",'Cable Info'!M132))</f>
        <v>#N/A</v>
      </c>
      <c r="AM133" s="121" t="e">
        <f t="shared" si="42"/>
        <v>#N/A</v>
      </c>
      <c r="AO133" s="121" t="e">
        <f>IF('Cable Info'!N132="","",CONCATENATE('Cable Info'!N132," - ",'Cable Info'!O132))</f>
        <v>#N/A</v>
      </c>
      <c r="AR133" s="121" t="e">
        <f t="shared" si="43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4"/>
        <v>#N/A</v>
      </c>
      <c r="AY133" s="121" t="str">
        <f>IF('Cable Info'!R132="","",CONCATENATE('Cable Info'!R132," - ",'Cable Info'!S132))</f>
        <v/>
      </c>
      <c r="BB133" s="121" t="str">
        <f t="shared" si="45"/>
        <v/>
      </c>
      <c r="BD133" s="121" t="str">
        <f>IF('Cable Info'!T132="","",CONCATENATE('Cable Info'!T132," - ",'Cable Info'!U132))</f>
        <v/>
      </c>
      <c r="BG133" s="121" t="str">
        <f t="shared" si="46"/>
        <v/>
      </c>
      <c r="BI133" s="121" t="str">
        <f>IF('Cable Info'!V132="","",CONCATENATE('Cable Info'!V132," - ",'Cable Info'!W132))</f>
        <v/>
      </c>
      <c r="BL133" s="121" t="str">
        <f t="shared" si="47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36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37"/>
        <v/>
      </c>
      <c r="Y134" s="252" t="str">
        <f t="shared" si="38"/>
        <v/>
      </c>
      <c r="Z134" s="253" t="str">
        <f t="shared" si="39"/>
        <v/>
      </c>
      <c r="AA134" s="253" t="str">
        <f t="shared" si="40"/>
        <v/>
      </c>
      <c r="AB134" s="253" t="str">
        <f t="shared" si="41"/>
        <v/>
      </c>
      <c r="AJ134" s="121" t="e">
        <f>IF('Cable Info'!L133="","",CONCATENATE('Cable Info'!L133," - ",'Cable Info'!M133))</f>
        <v>#N/A</v>
      </c>
      <c r="AM134" s="121" t="e">
        <f t="shared" si="42"/>
        <v>#N/A</v>
      </c>
      <c r="AO134" s="121" t="e">
        <f>IF('Cable Info'!N133="","",CONCATENATE('Cable Info'!N133," - ",'Cable Info'!O133))</f>
        <v>#N/A</v>
      </c>
      <c r="AR134" s="121" t="e">
        <f t="shared" si="43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4"/>
        <v>#N/A</v>
      </c>
      <c r="AY134" s="121" t="str">
        <f>IF('Cable Info'!R133="","",CONCATENATE('Cable Info'!R133," - ",'Cable Info'!S133))</f>
        <v/>
      </c>
      <c r="BB134" s="121" t="str">
        <f t="shared" si="45"/>
        <v/>
      </c>
      <c r="BD134" s="121" t="str">
        <f>IF('Cable Info'!T133="","",CONCATENATE('Cable Info'!T133," - ",'Cable Info'!U133))</f>
        <v/>
      </c>
      <c r="BG134" s="121" t="str">
        <f t="shared" si="46"/>
        <v/>
      </c>
      <c r="BI134" s="121" t="str">
        <f>IF('Cable Info'!V133="","",CONCATENATE('Cable Info'!V133," - ",'Cable Info'!W133))</f>
        <v/>
      </c>
      <c r="BL134" s="121" t="str">
        <f t="shared" si="47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36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37"/>
        <v/>
      </c>
      <c r="Y135" s="252" t="str">
        <f t="shared" si="38"/>
        <v/>
      </c>
      <c r="Z135" s="253" t="str">
        <f t="shared" si="39"/>
        <v/>
      </c>
      <c r="AA135" s="253" t="str">
        <f t="shared" si="40"/>
        <v/>
      </c>
      <c r="AB135" s="253" t="str">
        <f t="shared" si="41"/>
        <v/>
      </c>
      <c r="AJ135" s="121" t="e">
        <f>IF('Cable Info'!L134="","",CONCATENATE('Cable Info'!L134," - ",'Cable Info'!M134))</f>
        <v>#N/A</v>
      </c>
      <c r="AM135" s="121" t="e">
        <f t="shared" si="42"/>
        <v>#N/A</v>
      </c>
      <c r="AO135" s="121" t="e">
        <f>IF('Cable Info'!N134="","",CONCATENATE('Cable Info'!N134," - ",'Cable Info'!O134))</f>
        <v>#N/A</v>
      </c>
      <c r="AR135" s="121" t="e">
        <f t="shared" si="43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4"/>
        <v>#N/A</v>
      </c>
      <c r="AY135" s="121" t="str">
        <f>IF('Cable Info'!R134="","",CONCATENATE('Cable Info'!R134," - ",'Cable Info'!S134))</f>
        <v/>
      </c>
      <c r="BB135" s="121" t="str">
        <f t="shared" si="45"/>
        <v/>
      </c>
      <c r="BD135" s="121" t="str">
        <f>IF('Cable Info'!T134="","",CONCATENATE('Cable Info'!T134," - ",'Cable Info'!U134))</f>
        <v/>
      </c>
      <c r="BG135" s="121" t="str">
        <f t="shared" si="46"/>
        <v/>
      </c>
      <c r="BI135" s="121" t="str">
        <f>IF('Cable Info'!V134="","",CONCATENATE('Cable Info'!V134," - ",'Cable Info'!W134))</f>
        <v/>
      </c>
      <c r="BL135" s="121" t="str">
        <f t="shared" si="47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36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37"/>
        <v/>
      </c>
      <c r="Y136" s="252" t="str">
        <f t="shared" si="38"/>
        <v/>
      </c>
      <c r="Z136" s="253" t="str">
        <f t="shared" si="39"/>
        <v/>
      </c>
      <c r="AA136" s="253" t="str">
        <f t="shared" si="40"/>
        <v/>
      </c>
      <c r="AB136" s="253" t="str">
        <f t="shared" si="41"/>
        <v/>
      </c>
      <c r="AJ136" s="121" t="e">
        <f>IF('Cable Info'!L135="","",CONCATENATE('Cable Info'!L135," - ",'Cable Info'!M135))</f>
        <v>#N/A</v>
      </c>
      <c r="AM136" s="121" t="e">
        <f t="shared" si="42"/>
        <v>#N/A</v>
      </c>
      <c r="AO136" s="121" t="e">
        <f>IF('Cable Info'!N135="","",CONCATENATE('Cable Info'!N135," - ",'Cable Info'!O135))</f>
        <v>#N/A</v>
      </c>
      <c r="AR136" s="121" t="e">
        <f t="shared" si="43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4"/>
        <v>#N/A</v>
      </c>
      <c r="AY136" s="121" t="str">
        <f>IF('Cable Info'!R135="","",CONCATENATE('Cable Info'!R135," - ",'Cable Info'!S135))</f>
        <v/>
      </c>
      <c r="BB136" s="121" t="str">
        <f t="shared" si="45"/>
        <v/>
      </c>
      <c r="BD136" s="121" t="str">
        <f>IF('Cable Info'!T135="","",CONCATENATE('Cable Info'!T135," - ",'Cable Info'!U135))</f>
        <v/>
      </c>
      <c r="BG136" s="121" t="str">
        <f t="shared" si="46"/>
        <v/>
      </c>
      <c r="BI136" s="121" t="str">
        <f>IF('Cable Info'!V135="","",CONCATENATE('Cable Info'!V135," - ",'Cable Info'!W135))</f>
        <v/>
      </c>
      <c r="BL136" s="121" t="str">
        <f t="shared" si="47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36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37"/>
        <v/>
      </c>
      <c r="Y137" s="252" t="str">
        <f t="shared" si="38"/>
        <v/>
      </c>
      <c r="Z137" s="253" t="str">
        <f t="shared" si="39"/>
        <v/>
      </c>
      <c r="AA137" s="253" t="str">
        <f t="shared" si="40"/>
        <v/>
      </c>
      <c r="AB137" s="253" t="str">
        <f t="shared" si="41"/>
        <v/>
      </c>
      <c r="AJ137" s="121" t="e">
        <f>IF('Cable Info'!L136="","",CONCATENATE('Cable Info'!L136," - ",'Cable Info'!M136))</f>
        <v>#N/A</v>
      </c>
      <c r="AM137" s="121" t="e">
        <f t="shared" si="42"/>
        <v>#N/A</v>
      </c>
      <c r="AO137" s="121" t="e">
        <f>IF('Cable Info'!N136="","",CONCATENATE('Cable Info'!N136," - ",'Cable Info'!O136))</f>
        <v>#N/A</v>
      </c>
      <c r="AR137" s="121" t="e">
        <f t="shared" si="43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4"/>
        <v>#N/A</v>
      </c>
      <c r="AY137" s="121" t="str">
        <f>IF('Cable Info'!R136="","",CONCATENATE('Cable Info'!R136," - ",'Cable Info'!S136))</f>
        <v/>
      </c>
      <c r="BB137" s="121" t="str">
        <f t="shared" si="45"/>
        <v/>
      </c>
      <c r="BD137" s="121" t="str">
        <f>IF('Cable Info'!T136="","",CONCATENATE('Cable Info'!T136," - ",'Cable Info'!U136))</f>
        <v/>
      </c>
      <c r="BG137" s="121" t="str">
        <f t="shared" si="46"/>
        <v/>
      </c>
      <c r="BI137" s="121" t="str">
        <f>IF('Cable Info'!V136="","",CONCATENATE('Cable Info'!V136," - ",'Cable Info'!W136))</f>
        <v/>
      </c>
      <c r="BL137" s="121" t="str">
        <f t="shared" si="47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36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37"/>
        <v/>
      </c>
      <c r="Y138" s="252" t="str">
        <f t="shared" si="38"/>
        <v/>
      </c>
      <c r="Z138" s="253" t="str">
        <f t="shared" si="39"/>
        <v/>
      </c>
      <c r="AA138" s="253" t="str">
        <f t="shared" si="40"/>
        <v/>
      </c>
      <c r="AB138" s="253" t="str">
        <f t="shared" si="41"/>
        <v/>
      </c>
      <c r="AJ138" s="121" t="e">
        <f>IF('Cable Info'!L137="","",CONCATENATE('Cable Info'!L137," - ",'Cable Info'!M137))</f>
        <v>#N/A</v>
      </c>
      <c r="AM138" s="121" t="e">
        <f t="shared" si="42"/>
        <v>#N/A</v>
      </c>
      <c r="AO138" s="121" t="e">
        <f>IF('Cable Info'!N137="","",CONCATENATE('Cable Info'!N137," - ",'Cable Info'!O137))</f>
        <v>#N/A</v>
      </c>
      <c r="AR138" s="121" t="e">
        <f t="shared" si="43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4"/>
        <v>#N/A</v>
      </c>
      <c r="AY138" s="121" t="str">
        <f>IF('Cable Info'!R137="","",CONCATENATE('Cable Info'!R137," - ",'Cable Info'!S137))</f>
        <v/>
      </c>
      <c r="BB138" s="121" t="str">
        <f t="shared" si="45"/>
        <v/>
      </c>
      <c r="BD138" s="121" t="str">
        <f>IF('Cable Info'!T137="","",CONCATENATE('Cable Info'!T137," - ",'Cable Info'!U137))</f>
        <v/>
      </c>
      <c r="BG138" s="121" t="str">
        <f t="shared" si="46"/>
        <v/>
      </c>
      <c r="BI138" s="121" t="str">
        <f>IF('Cable Info'!V137="","",CONCATENATE('Cable Info'!V137," - ",'Cable Info'!W137))</f>
        <v/>
      </c>
      <c r="BL138" s="121" t="str">
        <f t="shared" si="47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36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37"/>
        <v/>
      </c>
      <c r="Y139" s="252" t="str">
        <f t="shared" si="38"/>
        <v/>
      </c>
      <c r="Z139" s="253" t="str">
        <f t="shared" si="39"/>
        <v/>
      </c>
      <c r="AA139" s="253" t="str">
        <f t="shared" si="40"/>
        <v/>
      </c>
      <c r="AB139" s="253" t="str">
        <f t="shared" si="41"/>
        <v/>
      </c>
      <c r="AJ139" s="121" t="e">
        <f>IF('Cable Info'!L138="","",CONCATENATE('Cable Info'!L138," - ",'Cable Info'!M138))</f>
        <v>#N/A</v>
      </c>
      <c r="AM139" s="121" t="e">
        <f t="shared" si="42"/>
        <v>#N/A</v>
      </c>
      <c r="AO139" s="121" t="e">
        <f>IF('Cable Info'!N138="","",CONCATENATE('Cable Info'!N138," - ",'Cable Info'!O138))</f>
        <v>#N/A</v>
      </c>
      <c r="AR139" s="121" t="e">
        <f t="shared" si="43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4"/>
        <v>#N/A</v>
      </c>
      <c r="AY139" s="121" t="str">
        <f>IF('Cable Info'!R138="","",CONCATENATE('Cable Info'!R138," - ",'Cable Info'!S138))</f>
        <v/>
      </c>
      <c r="BB139" s="121" t="str">
        <f t="shared" si="45"/>
        <v/>
      </c>
      <c r="BD139" s="121" t="str">
        <f>IF('Cable Info'!T138="","",CONCATENATE('Cable Info'!T138," - ",'Cable Info'!U138))</f>
        <v/>
      </c>
      <c r="BG139" s="121" t="str">
        <f t="shared" si="46"/>
        <v/>
      </c>
      <c r="BI139" s="121" t="str">
        <f>IF('Cable Info'!V138="","",CONCATENATE('Cable Info'!V138," - ",'Cable Info'!W138))</f>
        <v/>
      </c>
      <c r="BL139" s="121" t="str">
        <f t="shared" si="47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36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37"/>
        <v/>
      </c>
      <c r="Y140" s="252" t="str">
        <f t="shared" si="38"/>
        <v/>
      </c>
      <c r="Z140" s="253" t="str">
        <f t="shared" si="39"/>
        <v/>
      </c>
      <c r="AA140" s="253" t="str">
        <f t="shared" si="40"/>
        <v/>
      </c>
      <c r="AB140" s="253" t="str">
        <f t="shared" si="41"/>
        <v/>
      </c>
      <c r="AJ140" s="121" t="e">
        <f>IF('Cable Info'!L139="","",CONCATENATE('Cable Info'!L139," - ",'Cable Info'!M139))</f>
        <v>#N/A</v>
      </c>
      <c r="AM140" s="121" t="e">
        <f t="shared" si="42"/>
        <v>#N/A</v>
      </c>
      <c r="AO140" s="121" t="e">
        <f>IF('Cable Info'!N139="","",CONCATENATE('Cable Info'!N139," - ",'Cable Info'!O139))</f>
        <v>#N/A</v>
      </c>
      <c r="AR140" s="121" t="e">
        <f t="shared" si="43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4"/>
        <v>#N/A</v>
      </c>
      <c r="AY140" s="121" t="str">
        <f>IF('Cable Info'!R139="","",CONCATENATE('Cable Info'!R139," - ",'Cable Info'!S139))</f>
        <v/>
      </c>
      <c r="BB140" s="121" t="str">
        <f t="shared" si="45"/>
        <v/>
      </c>
      <c r="BD140" s="121" t="str">
        <f>IF('Cable Info'!T139="","",CONCATENATE('Cable Info'!T139," - ",'Cable Info'!U139))</f>
        <v/>
      </c>
      <c r="BG140" s="121" t="str">
        <f t="shared" si="46"/>
        <v/>
      </c>
      <c r="BI140" s="121" t="str">
        <f>IF('Cable Info'!V139="","",CONCATENATE('Cable Info'!V139," - ",'Cable Info'!W139))</f>
        <v/>
      </c>
      <c r="BL140" s="121" t="str">
        <f t="shared" si="47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48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49">IF(V141="","",IF(R141="","",IF(S141="","",IF(R141="SPLICED",(IF(S141="SPLICE",0,9)),IF(V141=$U$3,(IF(S141="BREAK",12,11)),IF(S141="BREAK",2,1))))))</f>
        <v/>
      </c>
      <c r="Y141" s="252" t="str">
        <f t="shared" ref="Y141:Y204" si="50">IF(E141="","",IF(G141="","",IF(E141&gt;G141,1,"")))</f>
        <v/>
      </c>
      <c r="Z141" s="253" t="str">
        <f t="shared" ref="Z141:Z204" si="51">IF(I141="","",IF(K141="","",IF(I141&gt;K141,1,"")))</f>
        <v/>
      </c>
      <c r="AA141" s="253" t="str">
        <f t="shared" ref="AA141:AA204" si="52">IF(K141="","",((I141-K141)-1)*(-1))</f>
        <v/>
      </c>
      <c r="AB141" s="253" t="str">
        <f t="shared" ref="AB141:AB204" si="53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4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55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56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57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58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59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48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49"/>
        <v/>
      </c>
      <c r="Y142" s="252" t="str">
        <f t="shared" si="50"/>
        <v/>
      </c>
      <c r="Z142" s="253" t="str">
        <f t="shared" si="51"/>
        <v/>
      </c>
      <c r="AA142" s="253" t="str">
        <f t="shared" si="52"/>
        <v/>
      </c>
      <c r="AB142" s="253" t="str">
        <f t="shared" si="53"/>
        <v/>
      </c>
      <c r="AJ142" s="121" t="e">
        <f>IF('Cable Info'!L141="","",CONCATENATE('Cable Info'!L141," - ",'Cable Info'!M141))</f>
        <v>#N/A</v>
      </c>
      <c r="AM142" s="121" t="e">
        <f t="shared" si="54"/>
        <v>#N/A</v>
      </c>
      <c r="AO142" s="121" t="e">
        <f>IF('Cable Info'!N141="","",CONCATENATE('Cable Info'!N141," - ",'Cable Info'!O141))</f>
        <v>#N/A</v>
      </c>
      <c r="AR142" s="121" t="e">
        <f t="shared" si="55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56"/>
        <v>#N/A</v>
      </c>
      <c r="AY142" s="121" t="str">
        <f>IF('Cable Info'!R141="","",CONCATENATE('Cable Info'!R141," - ",'Cable Info'!S141))</f>
        <v/>
      </c>
      <c r="BB142" s="121" t="str">
        <f t="shared" si="57"/>
        <v/>
      </c>
      <c r="BD142" s="121" t="str">
        <f>IF('Cable Info'!T141="","",CONCATENATE('Cable Info'!T141," - ",'Cable Info'!U141))</f>
        <v/>
      </c>
      <c r="BG142" s="121" t="str">
        <f t="shared" si="58"/>
        <v/>
      </c>
      <c r="BI142" s="121" t="str">
        <f>IF('Cable Info'!V141="","",CONCATENATE('Cable Info'!V141," - ",'Cable Info'!W141))</f>
        <v/>
      </c>
      <c r="BL142" s="121" t="str">
        <f t="shared" si="59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48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49"/>
        <v/>
      </c>
      <c r="Y143" s="252" t="str">
        <f t="shared" si="50"/>
        <v/>
      </c>
      <c r="Z143" s="253" t="str">
        <f t="shared" si="51"/>
        <v/>
      </c>
      <c r="AA143" s="253" t="str">
        <f t="shared" si="52"/>
        <v/>
      </c>
      <c r="AB143" s="253" t="str">
        <f t="shared" si="53"/>
        <v/>
      </c>
      <c r="AJ143" s="121" t="e">
        <f>IF('Cable Info'!L142="","",CONCATENATE('Cable Info'!L142," - ",'Cable Info'!M142))</f>
        <v>#N/A</v>
      </c>
      <c r="AM143" s="121" t="e">
        <f t="shared" si="54"/>
        <v>#N/A</v>
      </c>
      <c r="AO143" s="121" t="e">
        <f>IF('Cable Info'!N142="","",CONCATENATE('Cable Info'!N142," - ",'Cable Info'!O142))</f>
        <v>#N/A</v>
      </c>
      <c r="AR143" s="121" t="e">
        <f t="shared" si="55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56"/>
        <v>#N/A</v>
      </c>
      <c r="AY143" s="121" t="str">
        <f>IF('Cable Info'!R142="","",CONCATENATE('Cable Info'!R142," - ",'Cable Info'!S142))</f>
        <v/>
      </c>
      <c r="BB143" s="121" t="str">
        <f t="shared" si="57"/>
        <v/>
      </c>
      <c r="BD143" s="121" t="str">
        <f>IF('Cable Info'!T142="","",CONCATENATE('Cable Info'!T142," - ",'Cable Info'!U142))</f>
        <v/>
      </c>
      <c r="BG143" s="121" t="str">
        <f t="shared" si="58"/>
        <v/>
      </c>
      <c r="BI143" s="121" t="str">
        <f>IF('Cable Info'!V142="","",CONCATENATE('Cable Info'!V142," - ",'Cable Info'!W142))</f>
        <v/>
      </c>
      <c r="BL143" s="121" t="str">
        <f t="shared" si="59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48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49"/>
        <v/>
      </c>
      <c r="Y144" s="252" t="str">
        <f t="shared" si="50"/>
        <v/>
      </c>
      <c r="Z144" s="253" t="str">
        <f t="shared" si="51"/>
        <v/>
      </c>
      <c r="AA144" s="253" t="str">
        <f t="shared" si="52"/>
        <v/>
      </c>
      <c r="AB144" s="253" t="str">
        <f t="shared" si="53"/>
        <v/>
      </c>
      <c r="AJ144" s="121" t="e">
        <f>IF('Cable Info'!L143="","",CONCATENATE('Cable Info'!L143," - ",'Cable Info'!M143))</f>
        <v>#N/A</v>
      </c>
      <c r="AM144" s="121" t="e">
        <f t="shared" si="54"/>
        <v>#N/A</v>
      </c>
      <c r="AO144" s="121" t="e">
        <f>IF('Cable Info'!N143="","",CONCATENATE('Cable Info'!N143," - ",'Cable Info'!O143))</f>
        <v>#N/A</v>
      </c>
      <c r="AR144" s="121" t="e">
        <f t="shared" si="55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56"/>
        <v>#N/A</v>
      </c>
      <c r="AY144" s="121" t="str">
        <f>IF('Cable Info'!R143="","",CONCATENATE('Cable Info'!R143," - ",'Cable Info'!S143))</f>
        <v/>
      </c>
      <c r="BB144" s="121" t="str">
        <f t="shared" si="57"/>
        <v/>
      </c>
      <c r="BD144" s="121" t="str">
        <f>IF('Cable Info'!T143="","",CONCATENATE('Cable Info'!T143," - ",'Cable Info'!U143))</f>
        <v/>
      </c>
      <c r="BG144" s="121" t="str">
        <f t="shared" si="58"/>
        <v/>
      </c>
      <c r="BI144" s="121" t="str">
        <f>IF('Cable Info'!V143="","",CONCATENATE('Cable Info'!V143," - ",'Cable Info'!W143))</f>
        <v/>
      </c>
      <c r="BL144" s="121" t="str">
        <f t="shared" si="59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48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49"/>
        <v/>
      </c>
      <c r="Y145" s="252" t="str">
        <f t="shared" si="50"/>
        <v/>
      </c>
      <c r="Z145" s="253" t="str">
        <f t="shared" si="51"/>
        <v/>
      </c>
      <c r="AA145" s="253" t="str">
        <f t="shared" si="52"/>
        <v/>
      </c>
      <c r="AB145" s="253" t="str">
        <f t="shared" si="53"/>
        <v/>
      </c>
      <c r="AJ145" s="121" t="e">
        <f>IF('Cable Info'!L144="","",CONCATENATE('Cable Info'!L144," - ",'Cable Info'!M144))</f>
        <v>#N/A</v>
      </c>
      <c r="AM145" s="121" t="e">
        <f t="shared" si="54"/>
        <v>#N/A</v>
      </c>
      <c r="AO145" s="121" t="e">
        <f>IF('Cable Info'!N144="","",CONCATENATE('Cable Info'!N144," - ",'Cable Info'!O144))</f>
        <v>#N/A</v>
      </c>
      <c r="AR145" s="121" t="e">
        <f t="shared" si="55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56"/>
        <v>#N/A</v>
      </c>
      <c r="AY145" s="121" t="str">
        <f>IF('Cable Info'!R144="","",CONCATENATE('Cable Info'!R144," - ",'Cable Info'!S144))</f>
        <v/>
      </c>
      <c r="BB145" s="121" t="str">
        <f t="shared" si="57"/>
        <v/>
      </c>
      <c r="BD145" s="121" t="str">
        <f>IF('Cable Info'!T144="","",CONCATENATE('Cable Info'!T144," - ",'Cable Info'!U144))</f>
        <v/>
      </c>
      <c r="BG145" s="121" t="str">
        <f t="shared" si="58"/>
        <v/>
      </c>
      <c r="BI145" s="121" t="str">
        <f>IF('Cable Info'!V144="","",CONCATENATE('Cable Info'!V144," - ",'Cable Info'!W144))</f>
        <v/>
      </c>
      <c r="BL145" s="121" t="str">
        <f t="shared" si="59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48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49"/>
        <v/>
      </c>
      <c r="Y146" s="252" t="str">
        <f t="shared" si="50"/>
        <v/>
      </c>
      <c r="Z146" s="253" t="str">
        <f t="shared" si="51"/>
        <v/>
      </c>
      <c r="AA146" s="253" t="str">
        <f t="shared" si="52"/>
        <v/>
      </c>
      <c r="AB146" s="253" t="str">
        <f t="shared" si="53"/>
        <v/>
      </c>
      <c r="AJ146" s="121" t="e">
        <f>IF('Cable Info'!L145="","",CONCATENATE('Cable Info'!L145," - ",'Cable Info'!M145))</f>
        <v>#N/A</v>
      </c>
      <c r="AM146" s="121" t="e">
        <f t="shared" si="54"/>
        <v>#N/A</v>
      </c>
      <c r="AO146" s="121" t="e">
        <f>IF('Cable Info'!N145="","",CONCATENATE('Cable Info'!N145," - ",'Cable Info'!O145))</f>
        <v>#N/A</v>
      </c>
      <c r="AR146" s="121" t="e">
        <f t="shared" si="55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56"/>
        <v>#N/A</v>
      </c>
      <c r="AY146" s="121" t="str">
        <f>IF('Cable Info'!R145="","",CONCATENATE('Cable Info'!R145," - ",'Cable Info'!S145))</f>
        <v/>
      </c>
      <c r="BB146" s="121" t="str">
        <f t="shared" si="57"/>
        <v/>
      </c>
      <c r="BD146" s="121" t="str">
        <f>IF('Cable Info'!T145="","",CONCATENATE('Cable Info'!T145," - ",'Cable Info'!U145))</f>
        <v/>
      </c>
      <c r="BG146" s="121" t="str">
        <f t="shared" si="58"/>
        <v/>
      </c>
      <c r="BI146" s="121" t="str">
        <f>IF('Cable Info'!V145="","",CONCATENATE('Cable Info'!V145," - ",'Cable Info'!W145))</f>
        <v/>
      </c>
      <c r="BL146" s="121" t="str">
        <f t="shared" si="59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48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49"/>
        <v/>
      </c>
      <c r="Y147" s="252" t="str">
        <f t="shared" si="50"/>
        <v/>
      </c>
      <c r="Z147" s="253" t="str">
        <f t="shared" si="51"/>
        <v/>
      </c>
      <c r="AA147" s="253" t="str">
        <f t="shared" si="52"/>
        <v/>
      </c>
      <c r="AB147" s="253" t="str">
        <f t="shared" si="53"/>
        <v/>
      </c>
      <c r="AJ147" s="121" t="e">
        <f>IF('Cable Info'!L146="","",CONCATENATE('Cable Info'!L146," - ",'Cable Info'!M146))</f>
        <v>#N/A</v>
      </c>
      <c r="AM147" s="121" t="e">
        <f t="shared" si="54"/>
        <v>#N/A</v>
      </c>
      <c r="AO147" s="121" t="e">
        <f>IF('Cable Info'!N146="","",CONCATENATE('Cable Info'!N146," - ",'Cable Info'!O146))</f>
        <v>#N/A</v>
      </c>
      <c r="AR147" s="121" t="e">
        <f t="shared" si="55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56"/>
        <v>#N/A</v>
      </c>
      <c r="AY147" s="121" t="str">
        <f>IF('Cable Info'!R146="","",CONCATENATE('Cable Info'!R146," - ",'Cable Info'!S146))</f>
        <v/>
      </c>
      <c r="BB147" s="121" t="str">
        <f t="shared" si="57"/>
        <v/>
      </c>
      <c r="BD147" s="121" t="str">
        <f>IF('Cable Info'!T146="","",CONCATENATE('Cable Info'!T146," - ",'Cable Info'!U146))</f>
        <v/>
      </c>
      <c r="BG147" s="121" t="str">
        <f t="shared" si="58"/>
        <v/>
      </c>
      <c r="BI147" s="121" t="str">
        <f>IF('Cable Info'!V146="","",CONCATENATE('Cable Info'!V146," - ",'Cable Info'!W146))</f>
        <v/>
      </c>
      <c r="BL147" s="121" t="str">
        <f t="shared" si="59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48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49"/>
        <v/>
      </c>
      <c r="Y148" s="252" t="str">
        <f t="shared" si="50"/>
        <v/>
      </c>
      <c r="Z148" s="253" t="str">
        <f t="shared" si="51"/>
        <v/>
      </c>
      <c r="AA148" s="253" t="str">
        <f t="shared" si="52"/>
        <v/>
      </c>
      <c r="AB148" s="253" t="str">
        <f t="shared" si="53"/>
        <v/>
      </c>
      <c r="AJ148" s="121" t="e">
        <f>IF('Cable Info'!L147="","",CONCATENATE('Cable Info'!L147," - ",'Cable Info'!M147))</f>
        <v>#N/A</v>
      </c>
      <c r="AM148" s="121" t="e">
        <f t="shared" si="54"/>
        <v>#N/A</v>
      </c>
      <c r="AO148" s="121" t="e">
        <f>IF('Cable Info'!N147="","",CONCATENATE('Cable Info'!N147," - ",'Cable Info'!O147))</f>
        <v>#N/A</v>
      </c>
      <c r="AR148" s="121" t="e">
        <f t="shared" si="55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56"/>
        <v>#N/A</v>
      </c>
      <c r="AY148" s="121" t="str">
        <f>IF('Cable Info'!R147="","",CONCATENATE('Cable Info'!R147," - ",'Cable Info'!S147))</f>
        <v/>
      </c>
      <c r="BB148" s="121" t="str">
        <f t="shared" si="57"/>
        <v/>
      </c>
      <c r="BD148" s="121" t="str">
        <f>IF('Cable Info'!T147="","",CONCATENATE('Cable Info'!T147," - ",'Cable Info'!U147))</f>
        <v/>
      </c>
      <c r="BG148" s="121" t="str">
        <f t="shared" si="58"/>
        <v/>
      </c>
      <c r="BI148" s="121" t="str">
        <f>IF('Cable Info'!V147="","",CONCATENATE('Cable Info'!V147," - ",'Cable Info'!W147))</f>
        <v/>
      </c>
      <c r="BL148" s="121" t="str">
        <f t="shared" si="59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48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49"/>
        <v/>
      </c>
      <c r="Y149" s="252" t="str">
        <f t="shared" si="50"/>
        <v/>
      </c>
      <c r="Z149" s="253" t="str">
        <f t="shared" si="51"/>
        <v/>
      </c>
      <c r="AA149" s="253" t="str">
        <f t="shared" si="52"/>
        <v/>
      </c>
      <c r="AB149" s="253" t="str">
        <f t="shared" si="53"/>
        <v/>
      </c>
      <c r="AJ149" s="121" t="e">
        <f>IF('Cable Info'!L148="","",CONCATENATE('Cable Info'!L148," - ",'Cable Info'!M148))</f>
        <v>#N/A</v>
      </c>
      <c r="AM149" s="121" t="e">
        <f t="shared" si="54"/>
        <v>#N/A</v>
      </c>
      <c r="AO149" s="121" t="e">
        <f>IF('Cable Info'!N148="","",CONCATENATE('Cable Info'!N148," - ",'Cable Info'!O148))</f>
        <v>#N/A</v>
      </c>
      <c r="AR149" s="121" t="e">
        <f t="shared" si="55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56"/>
        <v>#N/A</v>
      </c>
      <c r="AY149" s="121" t="str">
        <f>IF('Cable Info'!R148="","",CONCATENATE('Cable Info'!R148," - ",'Cable Info'!S148))</f>
        <v/>
      </c>
      <c r="BB149" s="121" t="str">
        <f t="shared" si="57"/>
        <v/>
      </c>
      <c r="BD149" s="121" t="str">
        <f>IF('Cable Info'!T148="","",CONCATENATE('Cable Info'!T148," - ",'Cable Info'!U148))</f>
        <v/>
      </c>
      <c r="BG149" s="121" t="str">
        <f t="shared" si="58"/>
        <v/>
      </c>
      <c r="BI149" s="121" t="str">
        <f>IF('Cable Info'!V148="","",CONCATENATE('Cable Info'!V148," - ",'Cable Info'!W148))</f>
        <v/>
      </c>
      <c r="BL149" s="121" t="str">
        <f t="shared" si="59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48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49"/>
        <v/>
      </c>
      <c r="Y150" s="252" t="str">
        <f t="shared" si="50"/>
        <v/>
      </c>
      <c r="Z150" s="253" t="str">
        <f t="shared" si="51"/>
        <v/>
      </c>
      <c r="AA150" s="253" t="str">
        <f t="shared" si="52"/>
        <v/>
      </c>
      <c r="AB150" s="253" t="str">
        <f t="shared" si="53"/>
        <v/>
      </c>
      <c r="AJ150" s="121" t="e">
        <f>IF('Cable Info'!L149="","",CONCATENATE('Cable Info'!L149," - ",'Cable Info'!M149))</f>
        <v>#N/A</v>
      </c>
      <c r="AM150" s="121" t="e">
        <f t="shared" si="54"/>
        <v>#N/A</v>
      </c>
      <c r="AO150" s="121" t="e">
        <f>IF('Cable Info'!N149="","",CONCATENATE('Cable Info'!N149," - ",'Cable Info'!O149))</f>
        <v>#N/A</v>
      </c>
      <c r="AR150" s="121" t="e">
        <f t="shared" si="55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56"/>
        <v>#N/A</v>
      </c>
      <c r="AY150" s="121" t="str">
        <f>IF('Cable Info'!R149="","",CONCATENATE('Cable Info'!R149," - ",'Cable Info'!S149))</f>
        <v/>
      </c>
      <c r="BB150" s="121" t="str">
        <f t="shared" si="57"/>
        <v/>
      </c>
      <c r="BD150" s="121" t="str">
        <f>IF('Cable Info'!T149="","",CONCATENATE('Cable Info'!T149," - ",'Cable Info'!U149))</f>
        <v/>
      </c>
      <c r="BG150" s="121" t="str">
        <f t="shared" si="58"/>
        <v/>
      </c>
      <c r="BI150" s="121" t="str">
        <f>IF('Cable Info'!V149="","",CONCATENATE('Cable Info'!V149," - ",'Cable Info'!W149))</f>
        <v/>
      </c>
      <c r="BL150" s="121" t="str">
        <f t="shared" si="59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48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49"/>
        <v/>
      </c>
      <c r="Y151" s="252" t="str">
        <f t="shared" si="50"/>
        <v/>
      </c>
      <c r="Z151" s="253" t="str">
        <f t="shared" si="51"/>
        <v/>
      </c>
      <c r="AA151" s="253" t="str">
        <f t="shared" si="52"/>
        <v/>
      </c>
      <c r="AB151" s="253" t="str">
        <f t="shared" si="53"/>
        <v/>
      </c>
      <c r="AJ151" s="121" t="e">
        <f>IF('Cable Info'!L150="","",CONCATENATE('Cable Info'!L150," - ",'Cable Info'!M150))</f>
        <v>#N/A</v>
      </c>
      <c r="AM151" s="121" t="e">
        <f t="shared" si="54"/>
        <v>#N/A</v>
      </c>
      <c r="AO151" s="121" t="e">
        <f>IF('Cable Info'!N150="","",CONCATENATE('Cable Info'!N150," - ",'Cable Info'!O150))</f>
        <v>#N/A</v>
      </c>
      <c r="AR151" s="121" t="e">
        <f t="shared" si="55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56"/>
        <v>#N/A</v>
      </c>
      <c r="AY151" s="121" t="str">
        <f>IF('Cable Info'!R150="","",CONCATENATE('Cable Info'!R150," - ",'Cable Info'!S150))</f>
        <v/>
      </c>
      <c r="BB151" s="121" t="str">
        <f t="shared" si="57"/>
        <v/>
      </c>
      <c r="BD151" s="121" t="str">
        <f>IF('Cable Info'!T150="","",CONCATENATE('Cable Info'!T150," - ",'Cable Info'!U150))</f>
        <v/>
      </c>
      <c r="BG151" s="121" t="str">
        <f t="shared" si="58"/>
        <v/>
      </c>
      <c r="BI151" s="121" t="str">
        <f>IF('Cable Info'!V150="","",CONCATENATE('Cable Info'!V150," - ",'Cable Info'!W150))</f>
        <v/>
      </c>
      <c r="BL151" s="121" t="str">
        <f t="shared" si="59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48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49"/>
        <v/>
      </c>
      <c r="Y152" s="252" t="str">
        <f t="shared" si="50"/>
        <v/>
      </c>
      <c r="Z152" s="253" t="str">
        <f t="shared" si="51"/>
        <v/>
      </c>
      <c r="AA152" s="253" t="str">
        <f t="shared" si="52"/>
        <v/>
      </c>
      <c r="AB152" s="253" t="str">
        <f t="shared" si="53"/>
        <v/>
      </c>
      <c r="AJ152" s="121" t="e">
        <f>IF('Cable Info'!L151="","",CONCATENATE('Cable Info'!L151," - ",'Cable Info'!M151))</f>
        <v>#N/A</v>
      </c>
      <c r="AM152" s="121" t="e">
        <f t="shared" si="54"/>
        <v>#N/A</v>
      </c>
      <c r="AO152" s="121" t="e">
        <f>IF('Cable Info'!N151="","",CONCATENATE('Cable Info'!N151," - ",'Cable Info'!O151))</f>
        <v>#N/A</v>
      </c>
      <c r="AR152" s="121" t="e">
        <f t="shared" si="55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56"/>
        <v>#N/A</v>
      </c>
      <c r="AY152" s="121" t="str">
        <f>IF('Cable Info'!R151="","",CONCATENATE('Cable Info'!R151," - ",'Cable Info'!S151))</f>
        <v/>
      </c>
      <c r="BB152" s="121" t="str">
        <f t="shared" si="57"/>
        <v/>
      </c>
      <c r="BD152" s="121" t="str">
        <f>IF('Cable Info'!T151="","",CONCATENATE('Cable Info'!T151," - ",'Cable Info'!U151))</f>
        <v/>
      </c>
      <c r="BG152" s="121" t="str">
        <f t="shared" si="58"/>
        <v/>
      </c>
      <c r="BI152" s="121" t="str">
        <f>IF('Cable Info'!V151="","",CONCATENATE('Cable Info'!V151," - ",'Cable Info'!W151))</f>
        <v/>
      </c>
      <c r="BL152" s="121" t="str">
        <f t="shared" si="59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48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49"/>
        <v/>
      </c>
      <c r="Y153" s="252" t="str">
        <f t="shared" si="50"/>
        <v/>
      </c>
      <c r="Z153" s="253" t="str">
        <f t="shared" si="51"/>
        <v/>
      </c>
      <c r="AA153" s="253" t="str">
        <f t="shared" si="52"/>
        <v/>
      </c>
      <c r="AB153" s="253" t="str">
        <f t="shared" si="53"/>
        <v/>
      </c>
      <c r="AJ153" s="121" t="e">
        <f>IF('Cable Info'!L152="","",CONCATENATE('Cable Info'!L152," - ",'Cable Info'!M152))</f>
        <v>#N/A</v>
      </c>
      <c r="AM153" s="121" t="e">
        <f t="shared" si="54"/>
        <v>#N/A</v>
      </c>
      <c r="AO153" s="121" t="e">
        <f>IF('Cable Info'!N152="","",CONCATENATE('Cable Info'!N152," - ",'Cable Info'!O152))</f>
        <v>#N/A</v>
      </c>
      <c r="AR153" s="121" t="e">
        <f t="shared" si="55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56"/>
        <v>#N/A</v>
      </c>
      <c r="AY153" s="121" t="str">
        <f>IF('Cable Info'!R152="","",CONCATENATE('Cable Info'!R152," - ",'Cable Info'!S152))</f>
        <v/>
      </c>
      <c r="BB153" s="121" t="str">
        <f t="shared" si="57"/>
        <v/>
      </c>
      <c r="BD153" s="121" t="str">
        <f>IF('Cable Info'!T152="","",CONCATENATE('Cable Info'!T152," - ",'Cable Info'!U152))</f>
        <v/>
      </c>
      <c r="BG153" s="121" t="str">
        <f t="shared" si="58"/>
        <v/>
      </c>
      <c r="BI153" s="121" t="str">
        <f>IF('Cable Info'!V152="","",CONCATENATE('Cable Info'!V152," - ",'Cable Info'!W152))</f>
        <v/>
      </c>
      <c r="BL153" s="121" t="str">
        <f t="shared" si="59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48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49"/>
        <v/>
      </c>
      <c r="Y154" s="252" t="str">
        <f t="shared" si="50"/>
        <v/>
      </c>
      <c r="Z154" s="253" t="str">
        <f t="shared" si="51"/>
        <v/>
      </c>
      <c r="AA154" s="253" t="str">
        <f t="shared" si="52"/>
        <v/>
      </c>
      <c r="AB154" s="253" t="str">
        <f t="shared" si="53"/>
        <v/>
      </c>
      <c r="AJ154" s="121" t="e">
        <f>IF('Cable Info'!L153="","",CONCATENATE('Cable Info'!L153," - ",'Cable Info'!M153))</f>
        <v>#N/A</v>
      </c>
      <c r="AM154" s="121" t="e">
        <f t="shared" si="54"/>
        <v>#N/A</v>
      </c>
      <c r="AO154" s="121" t="e">
        <f>IF('Cable Info'!N153="","",CONCATENATE('Cable Info'!N153," - ",'Cable Info'!O153))</f>
        <v>#N/A</v>
      </c>
      <c r="AR154" s="121" t="e">
        <f t="shared" si="55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56"/>
        <v>#N/A</v>
      </c>
      <c r="AY154" s="121" t="str">
        <f>IF('Cable Info'!R153="","",CONCATENATE('Cable Info'!R153," - ",'Cable Info'!S153))</f>
        <v/>
      </c>
      <c r="BB154" s="121" t="str">
        <f t="shared" si="57"/>
        <v/>
      </c>
      <c r="BD154" s="121" t="str">
        <f>IF('Cable Info'!T153="","",CONCATENATE('Cable Info'!T153," - ",'Cable Info'!U153))</f>
        <v/>
      </c>
      <c r="BG154" s="121" t="str">
        <f t="shared" si="58"/>
        <v/>
      </c>
      <c r="BI154" s="121" t="str">
        <f>IF('Cable Info'!V153="","",CONCATENATE('Cable Info'!V153," - ",'Cable Info'!W153))</f>
        <v/>
      </c>
      <c r="BL154" s="121" t="str">
        <f t="shared" si="59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48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49"/>
        <v/>
      </c>
      <c r="Y155" s="252" t="str">
        <f t="shared" si="50"/>
        <v/>
      </c>
      <c r="Z155" s="253" t="str">
        <f t="shared" si="51"/>
        <v/>
      </c>
      <c r="AA155" s="253" t="str">
        <f t="shared" si="52"/>
        <v/>
      </c>
      <c r="AB155" s="253" t="str">
        <f t="shared" si="53"/>
        <v/>
      </c>
      <c r="AJ155" s="121" t="e">
        <f>IF('Cable Info'!L154="","",CONCATENATE('Cable Info'!L154," - ",'Cable Info'!M154))</f>
        <v>#N/A</v>
      </c>
      <c r="AM155" s="121" t="e">
        <f t="shared" si="54"/>
        <v>#N/A</v>
      </c>
      <c r="AO155" s="121" t="e">
        <f>IF('Cable Info'!N154="","",CONCATENATE('Cable Info'!N154," - ",'Cable Info'!O154))</f>
        <v>#N/A</v>
      </c>
      <c r="AR155" s="121" t="e">
        <f t="shared" si="55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56"/>
        <v>#N/A</v>
      </c>
      <c r="AY155" s="121" t="str">
        <f>IF('Cable Info'!R154="","",CONCATENATE('Cable Info'!R154," - ",'Cable Info'!S154))</f>
        <v/>
      </c>
      <c r="BB155" s="121" t="str">
        <f t="shared" si="57"/>
        <v/>
      </c>
      <c r="BD155" s="121" t="str">
        <f>IF('Cable Info'!T154="","",CONCATENATE('Cable Info'!T154," - ",'Cable Info'!U154))</f>
        <v/>
      </c>
      <c r="BG155" s="121" t="str">
        <f t="shared" si="58"/>
        <v/>
      </c>
      <c r="BI155" s="121" t="str">
        <f>IF('Cable Info'!V154="","",CONCATENATE('Cable Info'!V154," - ",'Cable Info'!W154))</f>
        <v/>
      </c>
      <c r="BL155" s="121" t="str">
        <f t="shared" si="59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48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49"/>
        <v/>
      </c>
      <c r="Y156" s="252" t="str">
        <f t="shared" si="50"/>
        <v/>
      </c>
      <c r="Z156" s="253" t="str">
        <f t="shared" si="51"/>
        <v/>
      </c>
      <c r="AA156" s="253" t="str">
        <f t="shared" si="52"/>
        <v/>
      </c>
      <c r="AB156" s="253" t="str">
        <f t="shared" si="53"/>
        <v/>
      </c>
      <c r="AJ156" s="121" t="e">
        <f>IF('Cable Info'!L155="","",CONCATENATE('Cable Info'!L155," - ",'Cable Info'!M155))</f>
        <v>#N/A</v>
      </c>
      <c r="AM156" s="121" t="e">
        <f t="shared" si="54"/>
        <v>#N/A</v>
      </c>
      <c r="AO156" s="121" t="e">
        <f>IF('Cable Info'!N155="","",CONCATENATE('Cable Info'!N155," - ",'Cable Info'!O155))</f>
        <v>#N/A</v>
      </c>
      <c r="AR156" s="121" t="e">
        <f t="shared" si="55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56"/>
        <v>#N/A</v>
      </c>
      <c r="AY156" s="121" t="str">
        <f>IF('Cable Info'!R155="","",CONCATENATE('Cable Info'!R155," - ",'Cable Info'!S155))</f>
        <v/>
      </c>
      <c r="BB156" s="121" t="str">
        <f t="shared" si="57"/>
        <v/>
      </c>
      <c r="BD156" s="121" t="str">
        <f>IF('Cable Info'!T155="","",CONCATENATE('Cable Info'!T155," - ",'Cable Info'!U155))</f>
        <v/>
      </c>
      <c r="BG156" s="121" t="str">
        <f t="shared" si="58"/>
        <v/>
      </c>
      <c r="BI156" s="121" t="str">
        <f>IF('Cable Info'!V155="","",CONCATENATE('Cable Info'!V155," - ",'Cable Info'!W155))</f>
        <v/>
      </c>
      <c r="BL156" s="121" t="str">
        <f t="shared" si="59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48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49"/>
        <v/>
      </c>
      <c r="Y157" s="252" t="str">
        <f t="shared" si="50"/>
        <v/>
      </c>
      <c r="Z157" s="253" t="str">
        <f t="shared" si="51"/>
        <v/>
      </c>
      <c r="AA157" s="253" t="str">
        <f t="shared" si="52"/>
        <v/>
      </c>
      <c r="AB157" s="253" t="str">
        <f t="shared" si="53"/>
        <v/>
      </c>
      <c r="AJ157" s="121" t="e">
        <f>IF('Cable Info'!L156="","",CONCATENATE('Cable Info'!L156," - ",'Cable Info'!M156))</f>
        <v>#N/A</v>
      </c>
      <c r="AM157" s="121" t="e">
        <f t="shared" si="54"/>
        <v>#N/A</v>
      </c>
      <c r="AO157" s="121" t="e">
        <f>IF('Cable Info'!N156="","",CONCATENATE('Cable Info'!N156," - ",'Cable Info'!O156))</f>
        <v>#N/A</v>
      </c>
      <c r="AR157" s="121" t="e">
        <f t="shared" si="55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56"/>
        <v>#N/A</v>
      </c>
      <c r="AY157" s="121" t="str">
        <f>IF('Cable Info'!R156="","",CONCATENATE('Cable Info'!R156," - ",'Cable Info'!S156))</f>
        <v/>
      </c>
      <c r="BB157" s="121" t="str">
        <f t="shared" si="57"/>
        <v/>
      </c>
      <c r="BD157" s="121" t="str">
        <f>IF('Cable Info'!T156="","",CONCATENATE('Cable Info'!T156," - ",'Cable Info'!U156))</f>
        <v/>
      </c>
      <c r="BG157" s="121" t="str">
        <f t="shared" si="58"/>
        <v/>
      </c>
      <c r="BI157" s="121" t="str">
        <f>IF('Cable Info'!V156="","",CONCATENATE('Cable Info'!V156," - ",'Cable Info'!W156))</f>
        <v/>
      </c>
      <c r="BL157" s="121" t="str">
        <f t="shared" si="59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48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49"/>
        <v/>
      </c>
      <c r="Y158" s="252" t="str">
        <f t="shared" si="50"/>
        <v/>
      </c>
      <c r="Z158" s="253" t="str">
        <f t="shared" si="51"/>
        <v/>
      </c>
      <c r="AA158" s="253" t="str">
        <f t="shared" si="52"/>
        <v/>
      </c>
      <c r="AB158" s="253" t="str">
        <f t="shared" si="53"/>
        <v/>
      </c>
      <c r="AJ158" s="121" t="e">
        <f>IF('Cable Info'!L157="","",CONCATENATE('Cable Info'!L157," - ",'Cable Info'!M157))</f>
        <v>#N/A</v>
      </c>
      <c r="AM158" s="121" t="e">
        <f t="shared" si="54"/>
        <v>#N/A</v>
      </c>
      <c r="AO158" s="121" t="e">
        <f>IF('Cable Info'!N157="","",CONCATENATE('Cable Info'!N157," - ",'Cable Info'!O157))</f>
        <v>#N/A</v>
      </c>
      <c r="AR158" s="121" t="e">
        <f t="shared" si="55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56"/>
        <v>#N/A</v>
      </c>
      <c r="AY158" s="121" t="str">
        <f>IF('Cable Info'!R157="","",CONCATENATE('Cable Info'!R157," - ",'Cable Info'!S157))</f>
        <v/>
      </c>
      <c r="BB158" s="121" t="str">
        <f t="shared" si="57"/>
        <v/>
      </c>
      <c r="BD158" s="121" t="str">
        <f>IF('Cable Info'!T157="","",CONCATENATE('Cable Info'!T157," - ",'Cable Info'!U157))</f>
        <v/>
      </c>
      <c r="BG158" s="121" t="str">
        <f t="shared" si="58"/>
        <v/>
      </c>
      <c r="BI158" s="121" t="str">
        <f>IF('Cable Info'!V157="","",CONCATENATE('Cable Info'!V157," - ",'Cable Info'!W157))</f>
        <v/>
      </c>
      <c r="BL158" s="121" t="str">
        <f t="shared" si="59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48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49"/>
        <v/>
      </c>
      <c r="Y159" s="252" t="str">
        <f t="shared" si="50"/>
        <v/>
      </c>
      <c r="Z159" s="253" t="str">
        <f t="shared" si="51"/>
        <v/>
      </c>
      <c r="AA159" s="253" t="str">
        <f t="shared" si="52"/>
        <v/>
      </c>
      <c r="AB159" s="253" t="str">
        <f t="shared" si="53"/>
        <v/>
      </c>
      <c r="AJ159" s="121" t="e">
        <f>IF('Cable Info'!L158="","",CONCATENATE('Cable Info'!L158," - ",'Cable Info'!M158))</f>
        <v>#N/A</v>
      </c>
      <c r="AM159" s="121" t="e">
        <f t="shared" si="54"/>
        <v>#N/A</v>
      </c>
      <c r="AO159" s="121" t="e">
        <f>IF('Cable Info'!N158="","",CONCATENATE('Cable Info'!N158," - ",'Cable Info'!O158))</f>
        <v>#N/A</v>
      </c>
      <c r="AR159" s="121" t="e">
        <f t="shared" si="55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56"/>
        <v>#N/A</v>
      </c>
      <c r="AY159" s="121" t="str">
        <f>IF('Cable Info'!R158="","",CONCATENATE('Cable Info'!R158," - ",'Cable Info'!S158))</f>
        <v/>
      </c>
      <c r="BB159" s="121" t="str">
        <f t="shared" si="57"/>
        <v/>
      </c>
      <c r="BD159" s="121" t="str">
        <f>IF('Cable Info'!T158="","",CONCATENATE('Cable Info'!T158," - ",'Cable Info'!U158))</f>
        <v/>
      </c>
      <c r="BG159" s="121" t="str">
        <f t="shared" si="58"/>
        <v/>
      </c>
      <c r="BI159" s="121" t="str">
        <f>IF('Cable Info'!V158="","",CONCATENATE('Cable Info'!V158," - ",'Cable Info'!W158))</f>
        <v/>
      </c>
      <c r="BL159" s="121" t="str">
        <f t="shared" si="59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48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49"/>
        <v/>
      </c>
      <c r="Y160" s="252" t="str">
        <f t="shared" si="50"/>
        <v/>
      </c>
      <c r="Z160" s="253" t="str">
        <f t="shared" si="51"/>
        <v/>
      </c>
      <c r="AA160" s="253" t="str">
        <f t="shared" si="52"/>
        <v/>
      </c>
      <c r="AB160" s="253" t="str">
        <f t="shared" si="53"/>
        <v/>
      </c>
      <c r="AJ160" s="121" t="e">
        <f>IF('Cable Info'!L159="","",CONCATENATE('Cable Info'!L159," - ",'Cable Info'!M159))</f>
        <v>#N/A</v>
      </c>
      <c r="AM160" s="121" t="e">
        <f t="shared" si="54"/>
        <v>#N/A</v>
      </c>
      <c r="AO160" s="121" t="e">
        <f>IF('Cable Info'!N159="","",CONCATENATE('Cable Info'!N159," - ",'Cable Info'!O159))</f>
        <v>#N/A</v>
      </c>
      <c r="AR160" s="121" t="e">
        <f t="shared" si="55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56"/>
        <v>#N/A</v>
      </c>
      <c r="AY160" s="121" t="str">
        <f>IF('Cable Info'!R159="","",CONCATENATE('Cable Info'!R159," - ",'Cable Info'!S159))</f>
        <v/>
      </c>
      <c r="BB160" s="121" t="str">
        <f t="shared" si="57"/>
        <v/>
      </c>
      <c r="BD160" s="121" t="str">
        <f>IF('Cable Info'!T159="","",CONCATENATE('Cable Info'!T159," - ",'Cable Info'!U159))</f>
        <v/>
      </c>
      <c r="BG160" s="121" t="str">
        <f t="shared" si="58"/>
        <v/>
      </c>
      <c r="BI160" s="121" t="str">
        <f>IF('Cable Info'!V159="","",CONCATENATE('Cable Info'!V159," - ",'Cable Info'!W159))</f>
        <v/>
      </c>
      <c r="BL160" s="121" t="str">
        <f t="shared" si="59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48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49"/>
        <v/>
      </c>
      <c r="Y161" s="252" t="str">
        <f t="shared" si="50"/>
        <v/>
      </c>
      <c r="Z161" s="253" t="str">
        <f t="shared" si="51"/>
        <v/>
      </c>
      <c r="AA161" s="253" t="str">
        <f t="shared" si="52"/>
        <v/>
      </c>
      <c r="AB161" s="253" t="str">
        <f t="shared" si="53"/>
        <v/>
      </c>
      <c r="AJ161" s="121" t="e">
        <f>IF('Cable Info'!L160="","",CONCATENATE('Cable Info'!L160," - ",'Cable Info'!M160))</f>
        <v>#N/A</v>
      </c>
      <c r="AM161" s="121" t="e">
        <f t="shared" si="54"/>
        <v>#N/A</v>
      </c>
      <c r="AO161" s="121" t="e">
        <f>IF('Cable Info'!N160="","",CONCATENATE('Cable Info'!N160," - ",'Cable Info'!O160))</f>
        <v>#N/A</v>
      </c>
      <c r="AR161" s="121" t="e">
        <f t="shared" si="55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56"/>
        <v>#N/A</v>
      </c>
      <c r="AY161" s="121" t="str">
        <f>IF('Cable Info'!R160="","",CONCATENATE('Cable Info'!R160," - ",'Cable Info'!S160))</f>
        <v/>
      </c>
      <c r="BB161" s="121" t="str">
        <f t="shared" si="57"/>
        <v/>
      </c>
      <c r="BD161" s="121" t="str">
        <f>IF('Cable Info'!T160="","",CONCATENATE('Cable Info'!T160," - ",'Cable Info'!U160))</f>
        <v/>
      </c>
      <c r="BG161" s="121" t="str">
        <f t="shared" si="58"/>
        <v/>
      </c>
      <c r="BI161" s="121" t="str">
        <f>IF('Cable Info'!V160="","",CONCATENATE('Cable Info'!V160," - ",'Cable Info'!W160))</f>
        <v/>
      </c>
      <c r="BL161" s="121" t="str">
        <f t="shared" si="59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48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49"/>
        <v/>
      </c>
      <c r="Y162" s="252" t="str">
        <f t="shared" si="50"/>
        <v/>
      </c>
      <c r="Z162" s="253" t="str">
        <f t="shared" si="51"/>
        <v/>
      </c>
      <c r="AA162" s="253" t="str">
        <f t="shared" si="52"/>
        <v/>
      </c>
      <c r="AB162" s="253" t="str">
        <f t="shared" si="53"/>
        <v/>
      </c>
      <c r="AJ162" s="121" t="e">
        <f>IF('Cable Info'!L161="","",CONCATENATE('Cable Info'!L161," - ",'Cable Info'!M161))</f>
        <v>#N/A</v>
      </c>
      <c r="AM162" s="121" t="e">
        <f t="shared" si="54"/>
        <v>#N/A</v>
      </c>
      <c r="AO162" s="121" t="e">
        <f>IF('Cable Info'!N161="","",CONCATENATE('Cable Info'!N161," - ",'Cable Info'!O161))</f>
        <v>#N/A</v>
      </c>
      <c r="AR162" s="121" t="e">
        <f t="shared" si="55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56"/>
        <v>#N/A</v>
      </c>
      <c r="AY162" s="121" t="str">
        <f>IF('Cable Info'!R161="","",CONCATENATE('Cable Info'!R161," - ",'Cable Info'!S161))</f>
        <v/>
      </c>
      <c r="BB162" s="121" t="str">
        <f t="shared" si="57"/>
        <v/>
      </c>
      <c r="BD162" s="121" t="str">
        <f>IF('Cable Info'!T161="","",CONCATENATE('Cable Info'!T161," - ",'Cable Info'!U161))</f>
        <v/>
      </c>
      <c r="BG162" s="121" t="str">
        <f t="shared" si="58"/>
        <v/>
      </c>
      <c r="BI162" s="121" t="str">
        <f>IF('Cable Info'!V161="","",CONCATENATE('Cable Info'!V161," - ",'Cable Info'!W161))</f>
        <v/>
      </c>
      <c r="BL162" s="121" t="str">
        <f t="shared" si="59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48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49"/>
        <v/>
      </c>
      <c r="Y163" s="252" t="str">
        <f t="shared" si="50"/>
        <v/>
      </c>
      <c r="Z163" s="253" t="str">
        <f t="shared" si="51"/>
        <v/>
      </c>
      <c r="AA163" s="253" t="str">
        <f t="shared" si="52"/>
        <v/>
      </c>
      <c r="AB163" s="253" t="str">
        <f t="shared" si="53"/>
        <v/>
      </c>
      <c r="AJ163" s="121" t="e">
        <f>IF('Cable Info'!L162="","",CONCATENATE('Cable Info'!L162," - ",'Cable Info'!M162))</f>
        <v>#N/A</v>
      </c>
      <c r="AM163" s="121" t="e">
        <f t="shared" si="54"/>
        <v>#N/A</v>
      </c>
      <c r="AO163" s="121" t="e">
        <f>IF('Cable Info'!N162="","",CONCATENATE('Cable Info'!N162," - ",'Cable Info'!O162))</f>
        <v>#N/A</v>
      </c>
      <c r="AR163" s="121" t="e">
        <f t="shared" si="55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56"/>
        <v>#N/A</v>
      </c>
      <c r="AY163" s="121" t="str">
        <f>IF('Cable Info'!R162="","",CONCATENATE('Cable Info'!R162," - ",'Cable Info'!S162))</f>
        <v/>
      </c>
      <c r="BB163" s="121" t="str">
        <f t="shared" si="57"/>
        <v/>
      </c>
      <c r="BD163" s="121" t="str">
        <f>IF('Cable Info'!T162="","",CONCATENATE('Cable Info'!T162," - ",'Cable Info'!U162))</f>
        <v/>
      </c>
      <c r="BG163" s="121" t="str">
        <f t="shared" si="58"/>
        <v/>
      </c>
      <c r="BI163" s="121" t="str">
        <f>IF('Cable Info'!V162="","",CONCATENATE('Cable Info'!V162," - ",'Cable Info'!W162))</f>
        <v/>
      </c>
      <c r="BL163" s="121" t="str">
        <f t="shared" si="59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48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49"/>
        <v/>
      </c>
      <c r="Y164" s="252" t="str">
        <f t="shared" si="50"/>
        <v/>
      </c>
      <c r="Z164" s="253" t="str">
        <f t="shared" si="51"/>
        <v/>
      </c>
      <c r="AA164" s="253" t="str">
        <f t="shared" si="52"/>
        <v/>
      </c>
      <c r="AB164" s="253" t="str">
        <f t="shared" si="53"/>
        <v/>
      </c>
      <c r="AJ164" s="121" t="e">
        <f>IF('Cable Info'!L163="","",CONCATENATE('Cable Info'!L163," - ",'Cable Info'!M163))</f>
        <v>#N/A</v>
      </c>
      <c r="AM164" s="121" t="e">
        <f t="shared" si="54"/>
        <v>#N/A</v>
      </c>
      <c r="AO164" s="121" t="e">
        <f>IF('Cable Info'!N163="","",CONCATENATE('Cable Info'!N163," - ",'Cable Info'!O163))</f>
        <v>#N/A</v>
      </c>
      <c r="AR164" s="121" t="e">
        <f t="shared" si="55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56"/>
        <v>#N/A</v>
      </c>
      <c r="AY164" s="121" t="str">
        <f>IF('Cable Info'!R163="","",CONCATENATE('Cable Info'!R163," - ",'Cable Info'!S163))</f>
        <v/>
      </c>
      <c r="BB164" s="121" t="str">
        <f t="shared" si="57"/>
        <v/>
      </c>
      <c r="BD164" s="121" t="str">
        <f>IF('Cable Info'!T163="","",CONCATENATE('Cable Info'!T163," - ",'Cable Info'!U163))</f>
        <v/>
      </c>
      <c r="BG164" s="121" t="str">
        <f t="shared" si="58"/>
        <v/>
      </c>
      <c r="BI164" s="121" t="str">
        <f>IF('Cable Info'!V163="","",CONCATENATE('Cable Info'!V163," - ",'Cable Info'!W163))</f>
        <v/>
      </c>
      <c r="BL164" s="121" t="str">
        <f t="shared" si="59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48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49"/>
        <v/>
      </c>
      <c r="Y165" s="252" t="str">
        <f t="shared" si="50"/>
        <v/>
      </c>
      <c r="Z165" s="253" t="str">
        <f t="shared" si="51"/>
        <v/>
      </c>
      <c r="AA165" s="253" t="str">
        <f t="shared" si="52"/>
        <v/>
      </c>
      <c r="AB165" s="253" t="str">
        <f t="shared" si="53"/>
        <v/>
      </c>
      <c r="AJ165" s="121" t="e">
        <f>IF('Cable Info'!L164="","",CONCATENATE('Cable Info'!L164," - ",'Cable Info'!M164))</f>
        <v>#N/A</v>
      </c>
      <c r="AM165" s="121" t="e">
        <f t="shared" si="54"/>
        <v>#N/A</v>
      </c>
      <c r="AO165" s="121" t="e">
        <f>IF('Cable Info'!N164="","",CONCATENATE('Cable Info'!N164," - ",'Cable Info'!O164))</f>
        <v>#N/A</v>
      </c>
      <c r="AR165" s="121" t="e">
        <f t="shared" si="55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56"/>
        <v>#N/A</v>
      </c>
      <c r="AY165" s="121" t="str">
        <f>IF('Cable Info'!R164="","",CONCATENATE('Cable Info'!R164," - ",'Cable Info'!S164))</f>
        <v/>
      </c>
      <c r="BB165" s="121" t="str">
        <f t="shared" si="57"/>
        <v/>
      </c>
      <c r="BD165" s="121" t="str">
        <f>IF('Cable Info'!T164="","",CONCATENATE('Cable Info'!T164," - ",'Cable Info'!U164))</f>
        <v/>
      </c>
      <c r="BG165" s="121" t="str">
        <f t="shared" si="58"/>
        <v/>
      </c>
      <c r="BI165" s="121" t="str">
        <f>IF('Cable Info'!V164="","",CONCATENATE('Cable Info'!V164," - ",'Cable Info'!W164))</f>
        <v/>
      </c>
      <c r="BL165" s="121" t="str">
        <f t="shared" si="59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48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49"/>
        <v/>
      </c>
      <c r="Y166" s="252" t="str">
        <f t="shared" si="50"/>
        <v/>
      </c>
      <c r="Z166" s="253" t="str">
        <f t="shared" si="51"/>
        <v/>
      </c>
      <c r="AA166" s="253" t="str">
        <f t="shared" si="52"/>
        <v/>
      </c>
      <c r="AB166" s="253" t="str">
        <f t="shared" si="53"/>
        <v/>
      </c>
      <c r="AJ166" s="121" t="e">
        <f>IF('Cable Info'!L165="","",CONCATENATE('Cable Info'!L165," - ",'Cable Info'!M165))</f>
        <v>#N/A</v>
      </c>
      <c r="AM166" s="121" t="e">
        <f t="shared" si="54"/>
        <v>#N/A</v>
      </c>
      <c r="AO166" s="121" t="e">
        <f>IF('Cable Info'!N165="","",CONCATENATE('Cable Info'!N165," - ",'Cable Info'!O165))</f>
        <v>#N/A</v>
      </c>
      <c r="AR166" s="121" t="e">
        <f t="shared" si="55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56"/>
        <v>#N/A</v>
      </c>
      <c r="AY166" s="121" t="str">
        <f>IF('Cable Info'!R165="","",CONCATENATE('Cable Info'!R165," - ",'Cable Info'!S165))</f>
        <v/>
      </c>
      <c r="BB166" s="121" t="str">
        <f t="shared" si="57"/>
        <v/>
      </c>
      <c r="BD166" s="121" t="str">
        <f>IF('Cable Info'!T165="","",CONCATENATE('Cable Info'!T165," - ",'Cable Info'!U165))</f>
        <v/>
      </c>
      <c r="BG166" s="121" t="str">
        <f t="shared" si="58"/>
        <v/>
      </c>
      <c r="BI166" s="121" t="str">
        <f>IF('Cable Info'!V165="","",CONCATENATE('Cable Info'!V165," - ",'Cable Info'!W165))</f>
        <v/>
      </c>
      <c r="BL166" s="121" t="str">
        <f t="shared" si="59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48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49"/>
        <v/>
      </c>
      <c r="Y167" s="252" t="str">
        <f t="shared" si="50"/>
        <v/>
      </c>
      <c r="Z167" s="253" t="str">
        <f t="shared" si="51"/>
        <v/>
      </c>
      <c r="AA167" s="253" t="str">
        <f t="shared" si="52"/>
        <v/>
      </c>
      <c r="AB167" s="253" t="str">
        <f t="shared" si="53"/>
        <v/>
      </c>
      <c r="AJ167" s="121" t="e">
        <f>IF('Cable Info'!L166="","",CONCATENATE('Cable Info'!L166," - ",'Cable Info'!M166))</f>
        <v>#N/A</v>
      </c>
      <c r="AM167" s="121" t="e">
        <f t="shared" si="54"/>
        <v>#N/A</v>
      </c>
      <c r="AO167" s="121" t="e">
        <f>IF('Cable Info'!N166="","",CONCATENATE('Cable Info'!N166," - ",'Cable Info'!O166))</f>
        <v>#N/A</v>
      </c>
      <c r="AR167" s="121" t="e">
        <f t="shared" si="55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56"/>
        <v>#N/A</v>
      </c>
      <c r="AY167" s="121" t="str">
        <f>IF('Cable Info'!R166="","",CONCATENATE('Cable Info'!R166," - ",'Cable Info'!S166))</f>
        <v/>
      </c>
      <c r="BB167" s="121" t="str">
        <f t="shared" si="57"/>
        <v/>
      </c>
      <c r="BD167" s="121" t="str">
        <f>IF('Cable Info'!T166="","",CONCATENATE('Cable Info'!T166," - ",'Cable Info'!U166))</f>
        <v/>
      </c>
      <c r="BG167" s="121" t="str">
        <f t="shared" si="58"/>
        <v/>
      </c>
      <c r="BI167" s="121" t="str">
        <f>IF('Cable Info'!V166="","",CONCATENATE('Cable Info'!V166," - ",'Cable Info'!W166))</f>
        <v/>
      </c>
      <c r="BL167" s="121" t="str">
        <f t="shared" si="59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48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49"/>
        <v/>
      </c>
      <c r="Y168" s="252" t="str">
        <f t="shared" si="50"/>
        <v/>
      </c>
      <c r="Z168" s="253" t="str">
        <f t="shared" si="51"/>
        <v/>
      </c>
      <c r="AA168" s="253" t="str">
        <f t="shared" si="52"/>
        <v/>
      </c>
      <c r="AB168" s="253" t="str">
        <f t="shared" si="53"/>
        <v/>
      </c>
      <c r="AJ168" s="121" t="e">
        <f>IF('Cable Info'!L167="","",CONCATENATE('Cable Info'!L167," - ",'Cable Info'!M167))</f>
        <v>#N/A</v>
      </c>
      <c r="AM168" s="121" t="e">
        <f t="shared" si="54"/>
        <v>#N/A</v>
      </c>
      <c r="AO168" s="121" t="e">
        <f>IF('Cable Info'!N167="","",CONCATENATE('Cable Info'!N167," - ",'Cable Info'!O167))</f>
        <v>#N/A</v>
      </c>
      <c r="AR168" s="121" t="e">
        <f t="shared" si="55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56"/>
        <v>#N/A</v>
      </c>
      <c r="AY168" s="121" t="str">
        <f>IF('Cable Info'!R167="","",CONCATENATE('Cable Info'!R167," - ",'Cable Info'!S167))</f>
        <v/>
      </c>
      <c r="BB168" s="121" t="str">
        <f t="shared" si="57"/>
        <v/>
      </c>
      <c r="BD168" s="121" t="str">
        <f>IF('Cable Info'!T167="","",CONCATENATE('Cable Info'!T167," - ",'Cable Info'!U167))</f>
        <v/>
      </c>
      <c r="BG168" s="121" t="str">
        <f t="shared" si="58"/>
        <v/>
      </c>
      <c r="BI168" s="121" t="str">
        <f>IF('Cable Info'!V167="","",CONCATENATE('Cable Info'!V167," - ",'Cable Info'!W167))</f>
        <v/>
      </c>
      <c r="BL168" s="121" t="str">
        <f t="shared" si="59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48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49"/>
        <v/>
      </c>
      <c r="Y169" s="252" t="str">
        <f t="shared" si="50"/>
        <v/>
      </c>
      <c r="Z169" s="253" t="str">
        <f t="shared" si="51"/>
        <v/>
      </c>
      <c r="AA169" s="253" t="str">
        <f t="shared" si="52"/>
        <v/>
      </c>
      <c r="AB169" s="253" t="str">
        <f t="shared" si="53"/>
        <v/>
      </c>
      <c r="AJ169" s="121" t="e">
        <f>IF('Cable Info'!L168="","",CONCATENATE('Cable Info'!L168," - ",'Cable Info'!M168))</f>
        <v>#N/A</v>
      </c>
      <c r="AM169" s="121" t="e">
        <f t="shared" si="54"/>
        <v>#N/A</v>
      </c>
      <c r="AO169" s="121" t="e">
        <f>IF('Cable Info'!N168="","",CONCATENATE('Cable Info'!N168," - ",'Cable Info'!O168))</f>
        <v>#N/A</v>
      </c>
      <c r="AR169" s="121" t="e">
        <f t="shared" si="55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56"/>
        <v>#N/A</v>
      </c>
      <c r="AY169" s="121" t="str">
        <f>IF('Cable Info'!R168="","",CONCATENATE('Cable Info'!R168," - ",'Cable Info'!S168))</f>
        <v/>
      </c>
      <c r="BB169" s="121" t="str">
        <f t="shared" si="57"/>
        <v/>
      </c>
      <c r="BD169" s="121" t="str">
        <f>IF('Cable Info'!T168="","",CONCATENATE('Cable Info'!T168," - ",'Cable Info'!U168))</f>
        <v/>
      </c>
      <c r="BG169" s="121" t="str">
        <f t="shared" si="58"/>
        <v/>
      </c>
      <c r="BI169" s="121" t="str">
        <f>IF('Cable Info'!V168="","",CONCATENATE('Cable Info'!V168," - ",'Cable Info'!W168))</f>
        <v/>
      </c>
      <c r="BL169" s="121" t="str">
        <f t="shared" si="59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48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49"/>
        <v/>
      </c>
      <c r="Y170" s="252" t="str">
        <f t="shared" si="50"/>
        <v/>
      </c>
      <c r="Z170" s="253" t="str">
        <f t="shared" si="51"/>
        <v/>
      </c>
      <c r="AA170" s="253" t="str">
        <f t="shared" si="52"/>
        <v/>
      </c>
      <c r="AB170" s="253" t="str">
        <f t="shared" si="53"/>
        <v/>
      </c>
      <c r="AJ170" s="121" t="e">
        <f>IF('Cable Info'!L169="","",CONCATENATE('Cable Info'!L169," - ",'Cable Info'!M169))</f>
        <v>#N/A</v>
      </c>
      <c r="AM170" s="121" t="e">
        <f t="shared" si="54"/>
        <v>#N/A</v>
      </c>
      <c r="AO170" s="121" t="e">
        <f>IF('Cable Info'!N169="","",CONCATENATE('Cable Info'!N169," - ",'Cable Info'!O169))</f>
        <v>#N/A</v>
      </c>
      <c r="AR170" s="121" t="e">
        <f t="shared" si="55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56"/>
        <v>#N/A</v>
      </c>
      <c r="AY170" s="121" t="str">
        <f>IF('Cable Info'!R169="","",CONCATENATE('Cable Info'!R169," - ",'Cable Info'!S169))</f>
        <v/>
      </c>
      <c r="BB170" s="121" t="str">
        <f t="shared" si="57"/>
        <v/>
      </c>
      <c r="BD170" s="121" t="str">
        <f>IF('Cable Info'!T169="","",CONCATENATE('Cable Info'!T169," - ",'Cable Info'!U169))</f>
        <v/>
      </c>
      <c r="BG170" s="121" t="str">
        <f t="shared" si="58"/>
        <v/>
      </c>
      <c r="BI170" s="121" t="str">
        <f>IF('Cable Info'!V169="","",CONCATENATE('Cable Info'!V169," - ",'Cable Info'!W169))</f>
        <v/>
      </c>
      <c r="BL170" s="121" t="str">
        <f t="shared" si="59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48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49"/>
        <v/>
      </c>
      <c r="Y171" s="252" t="str">
        <f t="shared" si="50"/>
        <v/>
      </c>
      <c r="Z171" s="253" t="str">
        <f t="shared" si="51"/>
        <v/>
      </c>
      <c r="AA171" s="253" t="str">
        <f t="shared" si="52"/>
        <v/>
      </c>
      <c r="AB171" s="253" t="str">
        <f t="shared" si="53"/>
        <v/>
      </c>
      <c r="AJ171" s="121" t="e">
        <f>IF('Cable Info'!L170="","",CONCATENATE('Cable Info'!L170," - ",'Cable Info'!M170))</f>
        <v>#N/A</v>
      </c>
      <c r="AM171" s="121" t="e">
        <f t="shared" si="54"/>
        <v>#N/A</v>
      </c>
      <c r="AO171" s="121" t="e">
        <f>IF('Cable Info'!N170="","",CONCATENATE('Cable Info'!N170," - ",'Cable Info'!O170))</f>
        <v>#N/A</v>
      </c>
      <c r="AR171" s="121" t="e">
        <f t="shared" si="55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56"/>
        <v>#N/A</v>
      </c>
      <c r="AY171" s="121" t="str">
        <f>IF('Cable Info'!R170="","",CONCATENATE('Cable Info'!R170," - ",'Cable Info'!S170))</f>
        <v/>
      </c>
      <c r="BB171" s="121" t="str">
        <f t="shared" si="57"/>
        <v/>
      </c>
      <c r="BD171" s="121" t="str">
        <f>IF('Cable Info'!T170="","",CONCATENATE('Cable Info'!T170," - ",'Cable Info'!U170))</f>
        <v/>
      </c>
      <c r="BG171" s="121" t="str">
        <f t="shared" si="58"/>
        <v/>
      </c>
      <c r="BI171" s="121" t="str">
        <f>IF('Cable Info'!V170="","",CONCATENATE('Cable Info'!V170," - ",'Cable Info'!W170))</f>
        <v/>
      </c>
      <c r="BL171" s="121" t="str">
        <f t="shared" si="59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48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49"/>
        <v/>
      </c>
      <c r="Y172" s="252" t="str">
        <f t="shared" si="50"/>
        <v/>
      </c>
      <c r="Z172" s="253" t="str">
        <f t="shared" si="51"/>
        <v/>
      </c>
      <c r="AA172" s="253" t="str">
        <f t="shared" si="52"/>
        <v/>
      </c>
      <c r="AB172" s="253" t="str">
        <f t="shared" si="53"/>
        <v/>
      </c>
      <c r="AJ172" s="121" t="e">
        <f>IF('Cable Info'!L171="","",CONCATENATE('Cable Info'!L171," - ",'Cable Info'!M171))</f>
        <v>#N/A</v>
      </c>
      <c r="AM172" s="121" t="e">
        <f t="shared" si="54"/>
        <v>#N/A</v>
      </c>
      <c r="AO172" s="121" t="e">
        <f>IF('Cable Info'!N171="","",CONCATENATE('Cable Info'!N171," - ",'Cable Info'!O171))</f>
        <v>#N/A</v>
      </c>
      <c r="AR172" s="121" t="e">
        <f t="shared" si="55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56"/>
        <v>#N/A</v>
      </c>
      <c r="AY172" s="121" t="str">
        <f>IF('Cable Info'!R171="","",CONCATENATE('Cable Info'!R171," - ",'Cable Info'!S171))</f>
        <v/>
      </c>
      <c r="BB172" s="121" t="str">
        <f t="shared" si="57"/>
        <v/>
      </c>
      <c r="BD172" s="121" t="str">
        <f>IF('Cable Info'!T171="","",CONCATENATE('Cable Info'!T171," - ",'Cable Info'!U171))</f>
        <v/>
      </c>
      <c r="BG172" s="121" t="str">
        <f t="shared" si="58"/>
        <v/>
      </c>
      <c r="BI172" s="121" t="str">
        <f>IF('Cable Info'!V171="","",CONCATENATE('Cable Info'!V171," - ",'Cable Info'!W171))</f>
        <v/>
      </c>
      <c r="BL172" s="121" t="str">
        <f t="shared" si="59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48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49"/>
        <v/>
      </c>
      <c r="Y173" s="252" t="str">
        <f t="shared" si="50"/>
        <v/>
      </c>
      <c r="Z173" s="253" t="str">
        <f t="shared" si="51"/>
        <v/>
      </c>
      <c r="AA173" s="253" t="str">
        <f t="shared" si="52"/>
        <v/>
      </c>
      <c r="AB173" s="253" t="str">
        <f t="shared" si="53"/>
        <v/>
      </c>
      <c r="AJ173" s="121" t="e">
        <f>IF('Cable Info'!L172="","",CONCATENATE('Cable Info'!L172," - ",'Cable Info'!M172))</f>
        <v>#N/A</v>
      </c>
      <c r="AM173" s="121" t="e">
        <f t="shared" si="54"/>
        <v>#N/A</v>
      </c>
      <c r="AO173" s="121" t="e">
        <f>IF('Cable Info'!N172="","",CONCATENATE('Cable Info'!N172," - ",'Cable Info'!O172))</f>
        <v>#N/A</v>
      </c>
      <c r="AR173" s="121" t="e">
        <f t="shared" si="55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56"/>
        <v>#N/A</v>
      </c>
      <c r="AY173" s="121" t="str">
        <f>IF('Cable Info'!R172="","",CONCATENATE('Cable Info'!R172," - ",'Cable Info'!S172))</f>
        <v/>
      </c>
      <c r="BB173" s="121" t="str">
        <f t="shared" si="57"/>
        <v/>
      </c>
      <c r="BD173" s="121" t="str">
        <f>IF('Cable Info'!T172="","",CONCATENATE('Cable Info'!T172," - ",'Cable Info'!U172))</f>
        <v/>
      </c>
      <c r="BG173" s="121" t="str">
        <f t="shared" si="58"/>
        <v/>
      </c>
      <c r="BI173" s="121" t="str">
        <f>IF('Cable Info'!V172="","",CONCATENATE('Cable Info'!V172," - ",'Cable Info'!W172))</f>
        <v/>
      </c>
      <c r="BL173" s="121" t="str">
        <f t="shared" si="59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48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49"/>
        <v/>
      </c>
      <c r="Y174" s="252" t="str">
        <f t="shared" si="50"/>
        <v/>
      </c>
      <c r="Z174" s="253" t="str">
        <f t="shared" si="51"/>
        <v/>
      </c>
      <c r="AA174" s="253" t="str">
        <f t="shared" si="52"/>
        <v/>
      </c>
      <c r="AB174" s="253" t="str">
        <f t="shared" si="53"/>
        <v/>
      </c>
      <c r="AJ174" s="121" t="e">
        <f>IF('Cable Info'!L173="","",CONCATENATE('Cable Info'!L173," - ",'Cable Info'!M173))</f>
        <v>#N/A</v>
      </c>
      <c r="AM174" s="121" t="e">
        <f t="shared" si="54"/>
        <v>#N/A</v>
      </c>
      <c r="AO174" s="121" t="e">
        <f>IF('Cable Info'!N173="","",CONCATENATE('Cable Info'!N173," - ",'Cable Info'!O173))</f>
        <v>#N/A</v>
      </c>
      <c r="AR174" s="121" t="e">
        <f t="shared" si="55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56"/>
        <v>#N/A</v>
      </c>
      <c r="AY174" s="121" t="str">
        <f>IF('Cable Info'!R173="","",CONCATENATE('Cable Info'!R173," - ",'Cable Info'!S173))</f>
        <v/>
      </c>
      <c r="BB174" s="121" t="str">
        <f t="shared" si="57"/>
        <v/>
      </c>
      <c r="BD174" s="121" t="str">
        <f>IF('Cable Info'!T173="","",CONCATENATE('Cable Info'!T173," - ",'Cable Info'!U173))</f>
        <v/>
      </c>
      <c r="BG174" s="121" t="str">
        <f t="shared" si="58"/>
        <v/>
      </c>
      <c r="BI174" s="121" t="str">
        <f>IF('Cable Info'!V173="","",CONCATENATE('Cable Info'!V173," - ",'Cable Info'!W173))</f>
        <v/>
      </c>
      <c r="BL174" s="121" t="str">
        <f t="shared" si="59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48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49"/>
        <v/>
      </c>
      <c r="Y175" s="252" t="str">
        <f t="shared" si="50"/>
        <v/>
      </c>
      <c r="Z175" s="253" t="str">
        <f t="shared" si="51"/>
        <v/>
      </c>
      <c r="AA175" s="253" t="str">
        <f t="shared" si="52"/>
        <v/>
      </c>
      <c r="AB175" s="253" t="str">
        <f t="shared" si="53"/>
        <v/>
      </c>
      <c r="AJ175" s="121" t="e">
        <f>IF('Cable Info'!L174="","",CONCATENATE('Cable Info'!L174," - ",'Cable Info'!M174))</f>
        <v>#N/A</v>
      </c>
      <c r="AM175" s="121" t="e">
        <f t="shared" si="54"/>
        <v>#N/A</v>
      </c>
      <c r="AO175" s="121" t="e">
        <f>IF('Cable Info'!N174="","",CONCATENATE('Cable Info'!N174," - ",'Cable Info'!O174))</f>
        <v>#N/A</v>
      </c>
      <c r="AR175" s="121" t="e">
        <f t="shared" si="55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56"/>
        <v>#N/A</v>
      </c>
      <c r="AY175" s="121" t="str">
        <f>IF('Cable Info'!R174="","",CONCATENATE('Cable Info'!R174," - ",'Cable Info'!S174))</f>
        <v/>
      </c>
      <c r="BB175" s="121" t="str">
        <f t="shared" si="57"/>
        <v/>
      </c>
      <c r="BD175" s="121" t="str">
        <f>IF('Cable Info'!T174="","",CONCATENATE('Cable Info'!T174," - ",'Cable Info'!U174))</f>
        <v/>
      </c>
      <c r="BG175" s="121" t="str">
        <f t="shared" si="58"/>
        <v/>
      </c>
      <c r="BI175" s="121" t="str">
        <f>IF('Cable Info'!V174="","",CONCATENATE('Cable Info'!V174," - ",'Cable Info'!W174))</f>
        <v/>
      </c>
      <c r="BL175" s="121" t="str">
        <f t="shared" si="59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48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49"/>
        <v/>
      </c>
      <c r="Y176" s="252" t="str">
        <f t="shared" si="50"/>
        <v/>
      </c>
      <c r="Z176" s="253" t="str">
        <f t="shared" si="51"/>
        <v/>
      </c>
      <c r="AA176" s="253" t="str">
        <f t="shared" si="52"/>
        <v/>
      </c>
      <c r="AB176" s="253" t="str">
        <f t="shared" si="53"/>
        <v/>
      </c>
      <c r="AJ176" s="121" t="e">
        <f>IF('Cable Info'!L175="","",CONCATENATE('Cable Info'!L175," - ",'Cable Info'!M175))</f>
        <v>#N/A</v>
      </c>
      <c r="AM176" s="121" t="e">
        <f t="shared" si="54"/>
        <v>#N/A</v>
      </c>
      <c r="AO176" s="121" t="e">
        <f>IF('Cable Info'!N175="","",CONCATENATE('Cable Info'!N175," - ",'Cable Info'!O175))</f>
        <v>#N/A</v>
      </c>
      <c r="AR176" s="121" t="e">
        <f t="shared" si="55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56"/>
        <v>#N/A</v>
      </c>
      <c r="AY176" s="121" t="str">
        <f>IF('Cable Info'!R175="","",CONCATENATE('Cable Info'!R175," - ",'Cable Info'!S175))</f>
        <v/>
      </c>
      <c r="BB176" s="121" t="str">
        <f t="shared" si="57"/>
        <v/>
      </c>
      <c r="BD176" s="121" t="str">
        <f>IF('Cable Info'!T175="","",CONCATENATE('Cable Info'!T175," - ",'Cable Info'!U175))</f>
        <v/>
      </c>
      <c r="BG176" s="121" t="str">
        <f t="shared" si="58"/>
        <v/>
      </c>
      <c r="BI176" s="121" t="str">
        <f>IF('Cable Info'!V175="","",CONCATENATE('Cable Info'!V175," - ",'Cable Info'!W175))</f>
        <v/>
      </c>
      <c r="BL176" s="121" t="str">
        <f t="shared" si="59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48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49"/>
        <v/>
      </c>
      <c r="Y177" s="252" t="str">
        <f t="shared" si="50"/>
        <v/>
      </c>
      <c r="Z177" s="253" t="str">
        <f t="shared" si="51"/>
        <v/>
      </c>
      <c r="AA177" s="253" t="str">
        <f t="shared" si="52"/>
        <v/>
      </c>
      <c r="AB177" s="253" t="str">
        <f t="shared" si="53"/>
        <v/>
      </c>
      <c r="AJ177" s="121" t="e">
        <f>IF('Cable Info'!L176="","",CONCATENATE('Cable Info'!L176," - ",'Cable Info'!M176))</f>
        <v>#N/A</v>
      </c>
      <c r="AM177" s="121" t="e">
        <f t="shared" si="54"/>
        <v>#N/A</v>
      </c>
      <c r="AO177" s="121" t="e">
        <f>IF('Cable Info'!N176="","",CONCATENATE('Cable Info'!N176," - ",'Cable Info'!O176))</f>
        <v>#N/A</v>
      </c>
      <c r="AR177" s="121" t="e">
        <f t="shared" si="55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56"/>
        <v>#N/A</v>
      </c>
      <c r="AY177" s="121" t="str">
        <f>IF('Cable Info'!R176="","",CONCATENATE('Cable Info'!R176," - ",'Cable Info'!S176))</f>
        <v/>
      </c>
      <c r="BB177" s="121" t="str">
        <f t="shared" si="57"/>
        <v/>
      </c>
      <c r="BD177" s="121" t="str">
        <f>IF('Cable Info'!T176="","",CONCATENATE('Cable Info'!T176," - ",'Cable Info'!U176))</f>
        <v/>
      </c>
      <c r="BG177" s="121" t="str">
        <f t="shared" si="58"/>
        <v/>
      </c>
      <c r="BI177" s="121" t="str">
        <f>IF('Cable Info'!V176="","",CONCATENATE('Cable Info'!V176," - ",'Cable Info'!W176))</f>
        <v/>
      </c>
      <c r="BL177" s="121" t="str">
        <f t="shared" si="59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48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49"/>
        <v/>
      </c>
      <c r="Y178" s="252" t="str">
        <f t="shared" si="50"/>
        <v/>
      </c>
      <c r="Z178" s="253" t="str">
        <f t="shared" si="51"/>
        <v/>
      </c>
      <c r="AA178" s="253" t="str">
        <f t="shared" si="52"/>
        <v/>
      </c>
      <c r="AB178" s="253" t="str">
        <f t="shared" si="53"/>
        <v/>
      </c>
      <c r="AJ178" s="121" t="e">
        <f>IF('Cable Info'!L177="","",CONCATENATE('Cable Info'!L177," - ",'Cable Info'!M177))</f>
        <v>#N/A</v>
      </c>
      <c r="AM178" s="121" t="e">
        <f t="shared" si="54"/>
        <v>#N/A</v>
      </c>
      <c r="AO178" s="121" t="e">
        <f>IF('Cable Info'!N177="","",CONCATENATE('Cable Info'!N177," - ",'Cable Info'!O177))</f>
        <v>#N/A</v>
      </c>
      <c r="AR178" s="121" t="e">
        <f t="shared" si="55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56"/>
        <v>#N/A</v>
      </c>
      <c r="AY178" s="121" t="str">
        <f>IF('Cable Info'!R177="","",CONCATENATE('Cable Info'!R177," - ",'Cable Info'!S177))</f>
        <v/>
      </c>
      <c r="BB178" s="121" t="str">
        <f t="shared" si="57"/>
        <v/>
      </c>
      <c r="BD178" s="121" t="str">
        <f>IF('Cable Info'!T177="","",CONCATENATE('Cable Info'!T177," - ",'Cable Info'!U177))</f>
        <v/>
      </c>
      <c r="BG178" s="121" t="str">
        <f t="shared" si="58"/>
        <v/>
      </c>
      <c r="BI178" s="121" t="str">
        <f>IF('Cable Info'!V177="","",CONCATENATE('Cable Info'!V177," - ",'Cable Info'!W177))</f>
        <v/>
      </c>
      <c r="BL178" s="121" t="str">
        <f t="shared" si="59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48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49"/>
        <v/>
      </c>
      <c r="Y179" s="252" t="str">
        <f t="shared" si="50"/>
        <v/>
      </c>
      <c r="Z179" s="253" t="str">
        <f t="shared" si="51"/>
        <v/>
      </c>
      <c r="AA179" s="253" t="str">
        <f t="shared" si="52"/>
        <v/>
      </c>
      <c r="AB179" s="253" t="str">
        <f t="shared" si="53"/>
        <v/>
      </c>
      <c r="AJ179" s="121" t="e">
        <f>IF('Cable Info'!L178="","",CONCATENATE('Cable Info'!L178," - ",'Cable Info'!M178))</f>
        <v>#N/A</v>
      </c>
      <c r="AM179" s="121" t="e">
        <f t="shared" si="54"/>
        <v>#N/A</v>
      </c>
      <c r="AO179" s="121" t="e">
        <f>IF('Cable Info'!N178="","",CONCATENATE('Cable Info'!N178," - ",'Cable Info'!O178))</f>
        <v>#N/A</v>
      </c>
      <c r="AR179" s="121" t="e">
        <f t="shared" si="55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56"/>
        <v>#N/A</v>
      </c>
      <c r="AY179" s="121" t="str">
        <f>IF('Cable Info'!R178="","",CONCATENATE('Cable Info'!R178," - ",'Cable Info'!S178))</f>
        <v/>
      </c>
      <c r="BB179" s="121" t="str">
        <f t="shared" si="57"/>
        <v/>
      </c>
      <c r="BD179" s="121" t="str">
        <f>IF('Cable Info'!T178="","",CONCATENATE('Cable Info'!T178," - ",'Cable Info'!U178))</f>
        <v/>
      </c>
      <c r="BG179" s="121" t="str">
        <f t="shared" si="58"/>
        <v/>
      </c>
      <c r="BI179" s="121" t="str">
        <f>IF('Cable Info'!V178="","",CONCATENATE('Cable Info'!V178," - ",'Cable Info'!W178))</f>
        <v/>
      </c>
      <c r="BL179" s="121" t="str">
        <f t="shared" si="59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48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49"/>
        <v/>
      </c>
      <c r="Y180" s="252" t="str">
        <f t="shared" si="50"/>
        <v/>
      </c>
      <c r="Z180" s="253" t="str">
        <f t="shared" si="51"/>
        <v/>
      </c>
      <c r="AA180" s="253" t="str">
        <f t="shared" si="52"/>
        <v/>
      </c>
      <c r="AB180" s="253" t="str">
        <f t="shared" si="53"/>
        <v/>
      </c>
      <c r="AJ180" s="121" t="e">
        <f>IF('Cable Info'!L179="","",CONCATENATE('Cable Info'!L179," - ",'Cable Info'!M179))</f>
        <v>#N/A</v>
      </c>
      <c r="AM180" s="121" t="e">
        <f t="shared" si="54"/>
        <v>#N/A</v>
      </c>
      <c r="AO180" s="121" t="e">
        <f>IF('Cable Info'!N179="","",CONCATENATE('Cable Info'!N179," - ",'Cable Info'!O179))</f>
        <v>#N/A</v>
      </c>
      <c r="AR180" s="121" t="e">
        <f t="shared" si="55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56"/>
        <v>#N/A</v>
      </c>
      <c r="AY180" s="121" t="str">
        <f>IF('Cable Info'!R179="","",CONCATENATE('Cable Info'!R179," - ",'Cable Info'!S179))</f>
        <v/>
      </c>
      <c r="BB180" s="121" t="str">
        <f t="shared" si="57"/>
        <v/>
      </c>
      <c r="BD180" s="121" t="str">
        <f>IF('Cable Info'!T179="","",CONCATENATE('Cable Info'!T179," - ",'Cable Info'!U179))</f>
        <v/>
      </c>
      <c r="BG180" s="121" t="str">
        <f t="shared" si="58"/>
        <v/>
      </c>
      <c r="BI180" s="121" t="str">
        <f>IF('Cable Info'!V179="","",CONCATENATE('Cable Info'!V179," - ",'Cable Info'!W179))</f>
        <v/>
      </c>
      <c r="BL180" s="121" t="str">
        <f t="shared" si="59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48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49"/>
        <v/>
      </c>
      <c r="Y181" s="252" t="str">
        <f t="shared" si="50"/>
        <v/>
      </c>
      <c r="Z181" s="253" t="str">
        <f t="shared" si="51"/>
        <v/>
      </c>
      <c r="AA181" s="253" t="str">
        <f t="shared" si="52"/>
        <v/>
      </c>
      <c r="AB181" s="253" t="str">
        <f t="shared" si="53"/>
        <v/>
      </c>
      <c r="AJ181" s="121" t="e">
        <f>IF('Cable Info'!L180="","",CONCATENATE('Cable Info'!L180," - ",'Cable Info'!M180))</f>
        <v>#N/A</v>
      </c>
      <c r="AM181" s="121" t="e">
        <f t="shared" si="54"/>
        <v>#N/A</v>
      </c>
      <c r="AO181" s="121" t="e">
        <f>IF('Cable Info'!N180="","",CONCATENATE('Cable Info'!N180," - ",'Cable Info'!O180))</f>
        <v>#N/A</v>
      </c>
      <c r="AR181" s="121" t="e">
        <f t="shared" si="55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56"/>
        <v>#N/A</v>
      </c>
      <c r="AY181" s="121" t="str">
        <f>IF('Cable Info'!R180="","",CONCATENATE('Cable Info'!R180," - ",'Cable Info'!S180))</f>
        <v/>
      </c>
      <c r="BB181" s="121" t="str">
        <f t="shared" si="57"/>
        <v/>
      </c>
      <c r="BD181" s="121" t="str">
        <f>IF('Cable Info'!T180="","",CONCATENATE('Cable Info'!T180," - ",'Cable Info'!U180))</f>
        <v/>
      </c>
      <c r="BG181" s="121" t="str">
        <f t="shared" si="58"/>
        <v/>
      </c>
      <c r="BI181" s="121" t="str">
        <f>IF('Cable Info'!V180="","",CONCATENATE('Cable Info'!V180," - ",'Cable Info'!W180))</f>
        <v/>
      </c>
      <c r="BL181" s="121" t="str">
        <f t="shared" si="59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48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49"/>
        <v/>
      </c>
      <c r="Y182" s="252" t="str">
        <f t="shared" si="50"/>
        <v/>
      </c>
      <c r="Z182" s="253" t="str">
        <f t="shared" si="51"/>
        <v/>
      </c>
      <c r="AA182" s="253" t="str">
        <f t="shared" si="52"/>
        <v/>
      </c>
      <c r="AB182" s="253" t="str">
        <f t="shared" si="53"/>
        <v/>
      </c>
      <c r="AJ182" s="121" t="e">
        <f>IF('Cable Info'!L181="","",CONCATENATE('Cable Info'!L181," - ",'Cable Info'!M181))</f>
        <v>#N/A</v>
      </c>
      <c r="AM182" s="121" t="e">
        <f t="shared" si="54"/>
        <v>#N/A</v>
      </c>
      <c r="AO182" s="121" t="e">
        <f>IF('Cable Info'!N181="","",CONCATENATE('Cable Info'!N181," - ",'Cable Info'!O181))</f>
        <v>#N/A</v>
      </c>
      <c r="AR182" s="121" t="e">
        <f t="shared" si="55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56"/>
        <v>#N/A</v>
      </c>
      <c r="AY182" s="121" t="str">
        <f>IF('Cable Info'!R181="","",CONCATENATE('Cable Info'!R181," - ",'Cable Info'!S181))</f>
        <v/>
      </c>
      <c r="BB182" s="121" t="str">
        <f t="shared" si="57"/>
        <v/>
      </c>
      <c r="BD182" s="121" t="str">
        <f>IF('Cable Info'!T181="","",CONCATENATE('Cable Info'!T181," - ",'Cable Info'!U181))</f>
        <v/>
      </c>
      <c r="BG182" s="121" t="str">
        <f t="shared" si="58"/>
        <v/>
      </c>
      <c r="BI182" s="121" t="str">
        <f>IF('Cable Info'!V181="","",CONCATENATE('Cable Info'!V181," - ",'Cable Info'!W181))</f>
        <v/>
      </c>
      <c r="BL182" s="121" t="str">
        <f t="shared" si="59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48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49"/>
        <v/>
      </c>
      <c r="Y183" s="252" t="str">
        <f t="shared" si="50"/>
        <v/>
      </c>
      <c r="Z183" s="253" t="str">
        <f t="shared" si="51"/>
        <v/>
      </c>
      <c r="AA183" s="253" t="str">
        <f t="shared" si="52"/>
        <v/>
      </c>
      <c r="AB183" s="253" t="str">
        <f t="shared" si="53"/>
        <v/>
      </c>
      <c r="AJ183" s="121" t="e">
        <f>IF('Cable Info'!L182="","",CONCATENATE('Cable Info'!L182," - ",'Cable Info'!M182))</f>
        <v>#N/A</v>
      </c>
      <c r="AM183" s="121" t="e">
        <f t="shared" si="54"/>
        <v>#N/A</v>
      </c>
      <c r="AO183" s="121" t="e">
        <f>IF('Cable Info'!N182="","",CONCATENATE('Cable Info'!N182," - ",'Cable Info'!O182))</f>
        <v>#N/A</v>
      </c>
      <c r="AR183" s="121" t="e">
        <f t="shared" si="55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56"/>
        <v>#N/A</v>
      </c>
      <c r="AY183" s="121" t="str">
        <f>IF('Cable Info'!R182="","",CONCATENATE('Cable Info'!R182," - ",'Cable Info'!S182))</f>
        <v/>
      </c>
      <c r="BB183" s="121" t="str">
        <f t="shared" si="57"/>
        <v/>
      </c>
      <c r="BD183" s="121" t="str">
        <f>IF('Cable Info'!T182="","",CONCATENATE('Cable Info'!T182," - ",'Cable Info'!U182))</f>
        <v/>
      </c>
      <c r="BG183" s="121" t="str">
        <f t="shared" si="58"/>
        <v/>
      </c>
      <c r="BI183" s="121" t="str">
        <f>IF('Cable Info'!V182="","",CONCATENATE('Cable Info'!V182," - ",'Cable Info'!W182))</f>
        <v/>
      </c>
      <c r="BL183" s="121" t="str">
        <f t="shared" si="59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48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49"/>
        <v/>
      </c>
      <c r="Y184" s="252" t="str">
        <f t="shared" si="50"/>
        <v/>
      </c>
      <c r="Z184" s="253" t="str">
        <f t="shared" si="51"/>
        <v/>
      </c>
      <c r="AA184" s="253" t="str">
        <f t="shared" si="52"/>
        <v/>
      </c>
      <c r="AB184" s="253" t="str">
        <f t="shared" si="53"/>
        <v/>
      </c>
      <c r="AJ184" s="121" t="e">
        <f>IF('Cable Info'!L183="","",CONCATENATE('Cable Info'!L183," - ",'Cable Info'!M183))</f>
        <v>#N/A</v>
      </c>
      <c r="AM184" s="121" t="e">
        <f t="shared" si="54"/>
        <v>#N/A</v>
      </c>
      <c r="AO184" s="121" t="e">
        <f>IF('Cable Info'!N183="","",CONCATENATE('Cable Info'!N183," - ",'Cable Info'!O183))</f>
        <v>#N/A</v>
      </c>
      <c r="AR184" s="121" t="e">
        <f t="shared" si="55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56"/>
        <v>#N/A</v>
      </c>
      <c r="AY184" s="121" t="str">
        <f>IF('Cable Info'!R183="","",CONCATENATE('Cable Info'!R183," - ",'Cable Info'!S183))</f>
        <v/>
      </c>
      <c r="BB184" s="121" t="str">
        <f t="shared" si="57"/>
        <v/>
      </c>
      <c r="BD184" s="121" t="str">
        <f>IF('Cable Info'!T183="","",CONCATENATE('Cable Info'!T183," - ",'Cable Info'!U183))</f>
        <v/>
      </c>
      <c r="BG184" s="121" t="str">
        <f t="shared" si="58"/>
        <v/>
      </c>
      <c r="BI184" s="121" t="str">
        <f>IF('Cable Info'!V183="","",CONCATENATE('Cable Info'!V183," - ",'Cable Info'!W183))</f>
        <v/>
      </c>
      <c r="BL184" s="121" t="str">
        <f t="shared" si="59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48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49"/>
        <v/>
      </c>
      <c r="Y185" s="252" t="str">
        <f t="shared" si="50"/>
        <v/>
      </c>
      <c r="Z185" s="253" t="str">
        <f t="shared" si="51"/>
        <v/>
      </c>
      <c r="AA185" s="253" t="str">
        <f t="shared" si="52"/>
        <v/>
      </c>
      <c r="AB185" s="253" t="str">
        <f t="shared" si="53"/>
        <v/>
      </c>
      <c r="AJ185" s="121" t="e">
        <f>IF('Cable Info'!L184="","",CONCATENATE('Cable Info'!L184," - ",'Cable Info'!M184))</f>
        <v>#N/A</v>
      </c>
      <c r="AM185" s="121" t="e">
        <f t="shared" si="54"/>
        <v>#N/A</v>
      </c>
      <c r="AO185" s="121" t="e">
        <f>IF('Cable Info'!N184="","",CONCATENATE('Cable Info'!N184," - ",'Cable Info'!O184))</f>
        <v>#N/A</v>
      </c>
      <c r="AR185" s="121" t="e">
        <f t="shared" si="55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56"/>
        <v>#N/A</v>
      </c>
      <c r="AY185" s="121" t="str">
        <f>IF('Cable Info'!R184="","",CONCATENATE('Cable Info'!R184," - ",'Cable Info'!S184))</f>
        <v/>
      </c>
      <c r="BB185" s="121" t="str">
        <f t="shared" si="57"/>
        <v/>
      </c>
      <c r="BD185" s="121" t="str">
        <f>IF('Cable Info'!T184="","",CONCATENATE('Cable Info'!T184," - ",'Cable Info'!U184))</f>
        <v/>
      </c>
      <c r="BG185" s="121" t="str">
        <f t="shared" si="58"/>
        <v/>
      </c>
      <c r="BI185" s="121" t="str">
        <f>IF('Cable Info'!V184="","",CONCATENATE('Cable Info'!V184," - ",'Cable Info'!W184))</f>
        <v/>
      </c>
      <c r="BL185" s="121" t="str">
        <f t="shared" si="59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48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49"/>
        <v/>
      </c>
      <c r="Y186" s="252" t="str">
        <f t="shared" si="50"/>
        <v/>
      </c>
      <c r="Z186" s="253" t="str">
        <f t="shared" si="51"/>
        <v/>
      </c>
      <c r="AA186" s="253" t="str">
        <f t="shared" si="52"/>
        <v/>
      </c>
      <c r="AB186" s="253" t="str">
        <f t="shared" si="53"/>
        <v/>
      </c>
      <c r="AJ186" s="121" t="e">
        <f>IF('Cable Info'!L185="","",CONCATENATE('Cable Info'!L185," - ",'Cable Info'!M185))</f>
        <v>#N/A</v>
      </c>
      <c r="AM186" s="121" t="e">
        <f t="shared" si="54"/>
        <v>#N/A</v>
      </c>
      <c r="AO186" s="121" t="e">
        <f>IF('Cable Info'!N185="","",CONCATENATE('Cable Info'!N185," - ",'Cable Info'!O185))</f>
        <v>#N/A</v>
      </c>
      <c r="AR186" s="121" t="e">
        <f t="shared" si="55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56"/>
        <v>#N/A</v>
      </c>
      <c r="AY186" s="121" t="str">
        <f>IF('Cable Info'!R185="","",CONCATENATE('Cable Info'!R185," - ",'Cable Info'!S185))</f>
        <v/>
      </c>
      <c r="BB186" s="121" t="str">
        <f t="shared" si="57"/>
        <v/>
      </c>
      <c r="BD186" s="121" t="str">
        <f>IF('Cable Info'!T185="","",CONCATENATE('Cable Info'!T185," - ",'Cable Info'!U185))</f>
        <v/>
      </c>
      <c r="BG186" s="121" t="str">
        <f t="shared" si="58"/>
        <v/>
      </c>
      <c r="BI186" s="121" t="str">
        <f>IF('Cable Info'!V185="","",CONCATENATE('Cable Info'!V185," - ",'Cable Info'!W185))</f>
        <v/>
      </c>
      <c r="BL186" s="121" t="str">
        <f t="shared" si="59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48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49"/>
        <v/>
      </c>
      <c r="Y187" s="252" t="str">
        <f t="shared" si="50"/>
        <v/>
      </c>
      <c r="Z187" s="253" t="str">
        <f t="shared" si="51"/>
        <v/>
      </c>
      <c r="AA187" s="253" t="str">
        <f t="shared" si="52"/>
        <v/>
      </c>
      <c r="AB187" s="253" t="str">
        <f t="shared" si="53"/>
        <v/>
      </c>
      <c r="AJ187" s="121" t="e">
        <f>IF('Cable Info'!L186="","",CONCATENATE('Cable Info'!L186," - ",'Cable Info'!M186))</f>
        <v>#N/A</v>
      </c>
      <c r="AM187" s="121" t="e">
        <f t="shared" si="54"/>
        <v>#N/A</v>
      </c>
      <c r="AO187" s="121" t="e">
        <f>IF('Cable Info'!N186="","",CONCATENATE('Cable Info'!N186," - ",'Cable Info'!O186))</f>
        <v>#N/A</v>
      </c>
      <c r="AR187" s="121" t="e">
        <f t="shared" si="55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56"/>
        <v>#N/A</v>
      </c>
      <c r="AY187" s="121" t="str">
        <f>IF('Cable Info'!R186="","",CONCATENATE('Cable Info'!R186," - ",'Cable Info'!S186))</f>
        <v/>
      </c>
      <c r="BB187" s="121" t="str">
        <f t="shared" si="57"/>
        <v/>
      </c>
      <c r="BD187" s="121" t="str">
        <f>IF('Cable Info'!T186="","",CONCATENATE('Cable Info'!T186," - ",'Cable Info'!U186))</f>
        <v/>
      </c>
      <c r="BG187" s="121" t="str">
        <f t="shared" si="58"/>
        <v/>
      </c>
      <c r="BI187" s="121" t="str">
        <f>IF('Cable Info'!V186="","",CONCATENATE('Cable Info'!V186," - ",'Cable Info'!W186))</f>
        <v/>
      </c>
      <c r="BL187" s="121" t="str">
        <f t="shared" si="59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48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49"/>
        <v/>
      </c>
      <c r="Y188" s="252" t="str">
        <f t="shared" si="50"/>
        <v/>
      </c>
      <c r="Z188" s="253" t="str">
        <f t="shared" si="51"/>
        <v/>
      </c>
      <c r="AA188" s="253" t="str">
        <f t="shared" si="52"/>
        <v/>
      </c>
      <c r="AB188" s="253" t="str">
        <f t="shared" si="53"/>
        <v/>
      </c>
      <c r="AJ188" s="121" t="e">
        <f>IF('Cable Info'!L187="","",CONCATENATE('Cable Info'!L187," - ",'Cable Info'!M187))</f>
        <v>#N/A</v>
      </c>
      <c r="AM188" s="121" t="e">
        <f t="shared" si="54"/>
        <v>#N/A</v>
      </c>
      <c r="AO188" s="121" t="e">
        <f>IF('Cable Info'!N187="","",CONCATENATE('Cable Info'!N187," - ",'Cable Info'!O187))</f>
        <v>#N/A</v>
      </c>
      <c r="AR188" s="121" t="e">
        <f t="shared" si="55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56"/>
        <v>#N/A</v>
      </c>
      <c r="AY188" s="121" t="str">
        <f>IF('Cable Info'!R187="","",CONCATENATE('Cable Info'!R187," - ",'Cable Info'!S187))</f>
        <v/>
      </c>
      <c r="BB188" s="121" t="str">
        <f t="shared" si="57"/>
        <v/>
      </c>
      <c r="BD188" s="121" t="str">
        <f>IF('Cable Info'!T187="","",CONCATENATE('Cable Info'!T187," - ",'Cable Info'!U187))</f>
        <v/>
      </c>
      <c r="BG188" s="121" t="str">
        <f t="shared" si="58"/>
        <v/>
      </c>
      <c r="BI188" s="121" t="str">
        <f>IF('Cable Info'!V187="","",CONCATENATE('Cable Info'!V187," - ",'Cable Info'!W187))</f>
        <v/>
      </c>
      <c r="BL188" s="121" t="str">
        <f t="shared" si="59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48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49"/>
        <v/>
      </c>
      <c r="Y189" s="252" t="str">
        <f t="shared" si="50"/>
        <v/>
      </c>
      <c r="Z189" s="253" t="str">
        <f t="shared" si="51"/>
        <v/>
      </c>
      <c r="AA189" s="253" t="str">
        <f t="shared" si="52"/>
        <v/>
      </c>
      <c r="AB189" s="253" t="str">
        <f t="shared" si="53"/>
        <v/>
      </c>
      <c r="AJ189" s="121" t="e">
        <f>IF('Cable Info'!L188="","",CONCATENATE('Cable Info'!L188," - ",'Cable Info'!M188))</f>
        <v>#N/A</v>
      </c>
      <c r="AM189" s="121" t="e">
        <f t="shared" si="54"/>
        <v>#N/A</v>
      </c>
      <c r="AO189" s="121" t="e">
        <f>IF('Cable Info'!N188="","",CONCATENATE('Cable Info'!N188," - ",'Cable Info'!O188))</f>
        <v>#N/A</v>
      </c>
      <c r="AR189" s="121" t="e">
        <f t="shared" si="55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56"/>
        <v>#N/A</v>
      </c>
      <c r="AY189" s="121" t="str">
        <f>IF('Cable Info'!R188="","",CONCATENATE('Cable Info'!R188," - ",'Cable Info'!S188))</f>
        <v/>
      </c>
      <c r="BB189" s="121" t="str">
        <f t="shared" si="57"/>
        <v/>
      </c>
      <c r="BD189" s="121" t="str">
        <f>IF('Cable Info'!T188="","",CONCATENATE('Cable Info'!T188," - ",'Cable Info'!U188))</f>
        <v/>
      </c>
      <c r="BG189" s="121" t="str">
        <f t="shared" si="58"/>
        <v/>
      </c>
      <c r="BI189" s="121" t="str">
        <f>IF('Cable Info'!V188="","",CONCATENATE('Cable Info'!V188," - ",'Cable Info'!W188))</f>
        <v/>
      </c>
      <c r="BL189" s="121" t="str">
        <f t="shared" si="59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48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49"/>
        <v/>
      </c>
      <c r="Y190" s="252" t="str">
        <f t="shared" si="50"/>
        <v/>
      </c>
      <c r="Z190" s="253" t="str">
        <f t="shared" si="51"/>
        <v/>
      </c>
      <c r="AA190" s="253" t="str">
        <f t="shared" si="52"/>
        <v/>
      </c>
      <c r="AB190" s="253" t="str">
        <f t="shared" si="53"/>
        <v/>
      </c>
      <c r="AJ190" s="121" t="e">
        <f>IF('Cable Info'!L189="","",CONCATENATE('Cable Info'!L189," - ",'Cable Info'!M189))</f>
        <v>#N/A</v>
      </c>
      <c r="AM190" s="121" t="e">
        <f t="shared" si="54"/>
        <v>#N/A</v>
      </c>
      <c r="AO190" s="121" t="e">
        <f>IF('Cable Info'!N189="","",CONCATENATE('Cable Info'!N189," - ",'Cable Info'!O189))</f>
        <v>#N/A</v>
      </c>
      <c r="AR190" s="121" t="e">
        <f t="shared" si="55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56"/>
        <v>#N/A</v>
      </c>
      <c r="AY190" s="121" t="str">
        <f>IF('Cable Info'!R189="","",CONCATENATE('Cable Info'!R189," - ",'Cable Info'!S189))</f>
        <v/>
      </c>
      <c r="BB190" s="121" t="str">
        <f t="shared" si="57"/>
        <v/>
      </c>
      <c r="BD190" s="121" t="str">
        <f>IF('Cable Info'!T189="","",CONCATENATE('Cable Info'!T189," - ",'Cable Info'!U189))</f>
        <v/>
      </c>
      <c r="BG190" s="121" t="str">
        <f t="shared" si="58"/>
        <v/>
      </c>
      <c r="BI190" s="121" t="str">
        <f>IF('Cable Info'!V189="","",CONCATENATE('Cable Info'!V189," - ",'Cable Info'!W189))</f>
        <v/>
      </c>
      <c r="BL190" s="121" t="str">
        <f t="shared" si="59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48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49"/>
        <v/>
      </c>
      <c r="Y191" s="252" t="str">
        <f t="shared" si="50"/>
        <v/>
      </c>
      <c r="Z191" s="253" t="str">
        <f t="shared" si="51"/>
        <v/>
      </c>
      <c r="AA191" s="253" t="str">
        <f t="shared" si="52"/>
        <v/>
      </c>
      <c r="AB191" s="253" t="str">
        <f t="shared" si="53"/>
        <v/>
      </c>
      <c r="AJ191" s="121" t="e">
        <f>IF('Cable Info'!L190="","",CONCATENATE('Cable Info'!L190," - ",'Cable Info'!M190))</f>
        <v>#N/A</v>
      </c>
      <c r="AM191" s="121" t="e">
        <f t="shared" si="54"/>
        <v>#N/A</v>
      </c>
      <c r="AO191" s="121" t="e">
        <f>IF('Cable Info'!N190="","",CONCATENATE('Cable Info'!N190," - ",'Cable Info'!O190))</f>
        <v>#N/A</v>
      </c>
      <c r="AR191" s="121" t="e">
        <f t="shared" si="55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56"/>
        <v>#N/A</v>
      </c>
      <c r="AY191" s="121" t="str">
        <f>IF('Cable Info'!R190="","",CONCATENATE('Cable Info'!R190," - ",'Cable Info'!S190))</f>
        <v/>
      </c>
      <c r="BB191" s="121" t="str">
        <f t="shared" si="57"/>
        <v/>
      </c>
      <c r="BD191" s="121" t="str">
        <f>IF('Cable Info'!T190="","",CONCATENATE('Cable Info'!T190," - ",'Cable Info'!U190))</f>
        <v/>
      </c>
      <c r="BG191" s="121" t="str">
        <f t="shared" si="58"/>
        <v/>
      </c>
      <c r="BI191" s="121" t="str">
        <f>IF('Cable Info'!V190="","",CONCATENATE('Cable Info'!V190," - ",'Cable Info'!W190))</f>
        <v/>
      </c>
      <c r="BL191" s="121" t="str">
        <f t="shared" si="59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48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49"/>
        <v/>
      </c>
      <c r="Y192" s="252" t="str">
        <f t="shared" si="50"/>
        <v/>
      </c>
      <c r="Z192" s="253" t="str">
        <f t="shared" si="51"/>
        <v/>
      </c>
      <c r="AA192" s="253" t="str">
        <f t="shared" si="52"/>
        <v/>
      </c>
      <c r="AB192" s="253" t="str">
        <f t="shared" si="53"/>
        <v/>
      </c>
      <c r="AJ192" s="121" t="e">
        <f>IF('Cable Info'!L191="","",CONCATENATE('Cable Info'!L191," - ",'Cable Info'!M191))</f>
        <v>#N/A</v>
      </c>
      <c r="AM192" s="121" t="e">
        <f t="shared" si="54"/>
        <v>#N/A</v>
      </c>
      <c r="AO192" s="121" t="e">
        <f>IF('Cable Info'!N191="","",CONCATENATE('Cable Info'!N191," - ",'Cable Info'!O191))</f>
        <v>#N/A</v>
      </c>
      <c r="AR192" s="121" t="e">
        <f t="shared" si="55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56"/>
        <v>#N/A</v>
      </c>
      <c r="AY192" s="121" t="str">
        <f>IF('Cable Info'!R191="","",CONCATENATE('Cable Info'!R191," - ",'Cable Info'!S191))</f>
        <v/>
      </c>
      <c r="BB192" s="121" t="str">
        <f t="shared" si="57"/>
        <v/>
      </c>
      <c r="BD192" s="121" t="str">
        <f>IF('Cable Info'!T191="","",CONCATENATE('Cable Info'!T191," - ",'Cable Info'!U191))</f>
        <v/>
      </c>
      <c r="BG192" s="121" t="str">
        <f t="shared" si="58"/>
        <v/>
      </c>
      <c r="BI192" s="121" t="str">
        <f>IF('Cable Info'!V191="","",CONCATENATE('Cable Info'!V191," - ",'Cable Info'!W191))</f>
        <v/>
      </c>
      <c r="BL192" s="121" t="str">
        <f t="shared" si="59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48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49"/>
        <v/>
      </c>
      <c r="Y193" s="252" t="str">
        <f t="shared" si="50"/>
        <v/>
      </c>
      <c r="Z193" s="253" t="str">
        <f t="shared" si="51"/>
        <v/>
      </c>
      <c r="AA193" s="253" t="str">
        <f t="shared" si="52"/>
        <v/>
      </c>
      <c r="AB193" s="253" t="str">
        <f t="shared" si="53"/>
        <v/>
      </c>
      <c r="AJ193" s="121" t="e">
        <f>IF('Cable Info'!L192="","",CONCATENATE('Cable Info'!L192," - ",'Cable Info'!M192))</f>
        <v>#N/A</v>
      </c>
      <c r="AM193" s="121" t="e">
        <f t="shared" si="54"/>
        <v>#N/A</v>
      </c>
      <c r="AO193" s="121" t="e">
        <f>IF('Cable Info'!N192="","",CONCATENATE('Cable Info'!N192," - ",'Cable Info'!O192))</f>
        <v>#N/A</v>
      </c>
      <c r="AR193" s="121" t="e">
        <f t="shared" si="55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56"/>
        <v>#N/A</v>
      </c>
      <c r="AY193" s="121" t="str">
        <f>IF('Cable Info'!R192="","",CONCATENATE('Cable Info'!R192," - ",'Cable Info'!S192))</f>
        <v/>
      </c>
      <c r="BB193" s="121" t="str">
        <f t="shared" si="57"/>
        <v/>
      </c>
      <c r="BD193" s="121" t="str">
        <f>IF('Cable Info'!T192="","",CONCATENATE('Cable Info'!T192," - ",'Cable Info'!U192))</f>
        <v/>
      </c>
      <c r="BG193" s="121" t="str">
        <f t="shared" si="58"/>
        <v/>
      </c>
      <c r="BI193" s="121" t="str">
        <f>IF('Cable Info'!V192="","",CONCATENATE('Cable Info'!V192," - ",'Cable Info'!W192))</f>
        <v/>
      </c>
      <c r="BL193" s="121" t="str">
        <f t="shared" si="59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48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49"/>
        <v/>
      </c>
      <c r="Y194" s="252" t="str">
        <f t="shared" si="50"/>
        <v/>
      </c>
      <c r="Z194" s="253" t="str">
        <f t="shared" si="51"/>
        <v/>
      </c>
      <c r="AA194" s="253" t="str">
        <f t="shared" si="52"/>
        <v/>
      </c>
      <c r="AB194" s="253" t="str">
        <f t="shared" si="53"/>
        <v/>
      </c>
      <c r="AJ194" s="121" t="e">
        <f>IF('Cable Info'!L193="","",CONCATENATE('Cable Info'!L193," - ",'Cable Info'!M193))</f>
        <v>#N/A</v>
      </c>
      <c r="AM194" s="121" t="e">
        <f t="shared" si="54"/>
        <v>#N/A</v>
      </c>
      <c r="AO194" s="121" t="e">
        <f>IF('Cable Info'!N193="","",CONCATENATE('Cable Info'!N193," - ",'Cable Info'!O193))</f>
        <v>#N/A</v>
      </c>
      <c r="AR194" s="121" t="e">
        <f t="shared" si="55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56"/>
        <v>#N/A</v>
      </c>
      <c r="AY194" s="121" t="str">
        <f>IF('Cable Info'!R193="","",CONCATENATE('Cable Info'!R193," - ",'Cable Info'!S193))</f>
        <v/>
      </c>
      <c r="BB194" s="121" t="str">
        <f t="shared" si="57"/>
        <v/>
      </c>
      <c r="BD194" s="121" t="str">
        <f>IF('Cable Info'!T193="","",CONCATENATE('Cable Info'!T193," - ",'Cable Info'!U193))</f>
        <v/>
      </c>
      <c r="BG194" s="121" t="str">
        <f t="shared" si="58"/>
        <v/>
      </c>
      <c r="BI194" s="121" t="str">
        <f>IF('Cable Info'!V193="","",CONCATENATE('Cable Info'!V193," - ",'Cable Info'!W193))</f>
        <v/>
      </c>
      <c r="BL194" s="121" t="str">
        <f t="shared" si="59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48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49"/>
        <v/>
      </c>
      <c r="Y195" s="252" t="str">
        <f t="shared" si="50"/>
        <v/>
      </c>
      <c r="Z195" s="253" t="str">
        <f t="shared" si="51"/>
        <v/>
      </c>
      <c r="AA195" s="253" t="str">
        <f t="shared" si="52"/>
        <v/>
      </c>
      <c r="AB195" s="253" t="str">
        <f t="shared" si="53"/>
        <v/>
      </c>
      <c r="AJ195" s="121" t="e">
        <f>IF('Cable Info'!L194="","",CONCATENATE('Cable Info'!L194," - ",'Cable Info'!M194))</f>
        <v>#N/A</v>
      </c>
      <c r="AM195" s="121" t="e">
        <f t="shared" si="54"/>
        <v>#N/A</v>
      </c>
      <c r="AO195" s="121" t="e">
        <f>IF('Cable Info'!N194="","",CONCATENATE('Cable Info'!N194," - ",'Cable Info'!O194))</f>
        <v>#N/A</v>
      </c>
      <c r="AR195" s="121" t="e">
        <f t="shared" si="55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56"/>
        <v>#N/A</v>
      </c>
      <c r="AY195" s="121" t="str">
        <f>IF('Cable Info'!R194="","",CONCATENATE('Cable Info'!R194," - ",'Cable Info'!S194))</f>
        <v/>
      </c>
      <c r="BB195" s="121" t="str">
        <f t="shared" si="57"/>
        <v/>
      </c>
      <c r="BD195" s="121" t="str">
        <f>IF('Cable Info'!T194="","",CONCATENATE('Cable Info'!T194," - ",'Cable Info'!U194))</f>
        <v/>
      </c>
      <c r="BG195" s="121" t="str">
        <f t="shared" si="58"/>
        <v/>
      </c>
      <c r="BI195" s="121" t="str">
        <f>IF('Cable Info'!V194="","",CONCATENATE('Cable Info'!V194," - ",'Cable Info'!W194))</f>
        <v/>
      </c>
      <c r="BL195" s="121" t="str">
        <f t="shared" si="59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48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49"/>
        <v/>
      </c>
      <c r="Y196" s="252" t="str">
        <f t="shared" si="50"/>
        <v/>
      </c>
      <c r="Z196" s="253" t="str">
        <f t="shared" si="51"/>
        <v/>
      </c>
      <c r="AA196" s="253" t="str">
        <f t="shared" si="52"/>
        <v/>
      </c>
      <c r="AB196" s="253" t="str">
        <f t="shared" si="53"/>
        <v/>
      </c>
      <c r="AJ196" s="121" t="e">
        <f>IF('Cable Info'!L195="","",CONCATENATE('Cable Info'!L195," - ",'Cable Info'!M195))</f>
        <v>#N/A</v>
      </c>
      <c r="AM196" s="121" t="e">
        <f t="shared" si="54"/>
        <v>#N/A</v>
      </c>
      <c r="AO196" s="121" t="e">
        <f>IF('Cable Info'!N195="","",CONCATENATE('Cable Info'!N195," - ",'Cable Info'!O195))</f>
        <v>#N/A</v>
      </c>
      <c r="AR196" s="121" t="e">
        <f t="shared" si="55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56"/>
        <v>#N/A</v>
      </c>
      <c r="AY196" s="121" t="str">
        <f>IF('Cable Info'!R195="","",CONCATENATE('Cable Info'!R195," - ",'Cable Info'!S195))</f>
        <v/>
      </c>
      <c r="BB196" s="121" t="str">
        <f t="shared" si="57"/>
        <v/>
      </c>
      <c r="BD196" s="121" t="str">
        <f>IF('Cable Info'!T195="","",CONCATENATE('Cable Info'!T195," - ",'Cable Info'!U195))</f>
        <v/>
      </c>
      <c r="BG196" s="121" t="str">
        <f t="shared" si="58"/>
        <v/>
      </c>
      <c r="BI196" s="121" t="str">
        <f>IF('Cable Info'!V195="","",CONCATENATE('Cable Info'!V195," - ",'Cable Info'!W195))</f>
        <v/>
      </c>
      <c r="BL196" s="121" t="str">
        <f t="shared" si="59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48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49"/>
        <v/>
      </c>
      <c r="Y197" s="252" t="str">
        <f t="shared" si="50"/>
        <v/>
      </c>
      <c r="Z197" s="253" t="str">
        <f t="shared" si="51"/>
        <v/>
      </c>
      <c r="AA197" s="253" t="str">
        <f t="shared" si="52"/>
        <v/>
      </c>
      <c r="AB197" s="253" t="str">
        <f t="shared" si="53"/>
        <v/>
      </c>
      <c r="AJ197" s="121" t="e">
        <f>IF('Cable Info'!L196="","",CONCATENATE('Cable Info'!L196," - ",'Cable Info'!M196))</f>
        <v>#N/A</v>
      </c>
      <c r="AM197" s="121" t="e">
        <f t="shared" si="54"/>
        <v>#N/A</v>
      </c>
      <c r="AO197" s="121" t="e">
        <f>IF('Cable Info'!N196="","",CONCATENATE('Cable Info'!N196," - ",'Cable Info'!O196))</f>
        <v>#N/A</v>
      </c>
      <c r="AR197" s="121" t="e">
        <f t="shared" si="55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56"/>
        <v>#N/A</v>
      </c>
      <c r="AY197" s="121" t="str">
        <f>IF('Cable Info'!R196="","",CONCATENATE('Cable Info'!R196," - ",'Cable Info'!S196))</f>
        <v/>
      </c>
      <c r="BB197" s="121" t="str">
        <f t="shared" si="57"/>
        <v/>
      </c>
      <c r="BD197" s="121" t="str">
        <f>IF('Cable Info'!T196="","",CONCATENATE('Cable Info'!T196," - ",'Cable Info'!U196))</f>
        <v/>
      </c>
      <c r="BG197" s="121" t="str">
        <f t="shared" si="58"/>
        <v/>
      </c>
      <c r="BI197" s="121" t="str">
        <f>IF('Cable Info'!V196="","",CONCATENATE('Cable Info'!V196," - ",'Cable Info'!W196))</f>
        <v/>
      </c>
      <c r="BL197" s="121" t="str">
        <f t="shared" si="59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48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49"/>
        <v/>
      </c>
      <c r="Y198" s="252" t="str">
        <f t="shared" si="50"/>
        <v/>
      </c>
      <c r="Z198" s="253" t="str">
        <f t="shared" si="51"/>
        <v/>
      </c>
      <c r="AA198" s="253" t="str">
        <f t="shared" si="52"/>
        <v/>
      </c>
      <c r="AB198" s="253" t="str">
        <f t="shared" si="53"/>
        <v/>
      </c>
      <c r="AJ198" s="121" t="e">
        <f>IF('Cable Info'!L197="","",CONCATENATE('Cable Info'!L197," - ",'Cable Info'!M197))</f>
        <v>#N/A</v>
      </c>
      <c r="AM198" s="121" t="e">
        <f t="shared" si="54"/>
        <v>#N/A</v>
      </c>
      <c r="AO198" s="121" t="e">
        <f>IF('Cable Info'!N197="","",CONCATENATE('Cable Info'!N197," - ",'Cable Info'!O197))</f>
        <v>#N/A</v>
      </c>
      <c r="AR198" s="121" t="e">
        <f t="shared" si="55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56"/>
        <v>#N/A</v>
      </c>
      <c r="AY198" s="121" t="str">
        <f>IF('Cable Info'!R197="","",CONCATENATE('Cable Info'!R197," - ",'Cable Info'!S197))</f>
        <v/>
      </c>
      <c r="BB198" s="121" t="str">
        <f t="shared" si="57"/>
        <v/>
      </c>
      <c r="BD198" s="121" t="str">
        <f>IF('Cable Info'!T197="","",CONCATENATE('Cable Info'!T197," - ",'Cable Info'!U197))</f>
        <v/>
      </c>
      <c r="BG198" s="121" t="str">
        <f t="shared" si="58"/>
        <v/>
      </c>
      <c r="BI198" s="121" t="str">
        <f>IF('Cable Info'!V197="","",CONCATENATE('Cable Info'!V197," - ",'Cable Info'!W197))</f>
        <v/>
      </c>
      <c r="BL198" s="121" t="str">
        <f t="shared" si="59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48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49"/>
        <v/>
      </c>
      <c r="Y199" s="252" t="str">
        <f t="shared" si="50"/>
        <v/>
      </c>
      <c r="Z199" s="253" t="str">
        <f t="shared" si="51"/>
        <v/>
      </c>
      <c r="AA199" s="253" t="str">
        <f t="shared" si="52"/>
        <v/>
      </c>
      <c r="AB199" s="253" t="str">
        <f t="shared" si="53"/>
        <v/>
      </c>
      <c r="AJ199" s="121" t="e">
        <f>IF('Cable Info'!L198="","",CONCATENATE('Cable Info'!L198," - ",'Cable Info'!M198))</f>
        <v>#N/A</v>
      </c>
      <c r="AM199" s="121" t="e">
        <f t="shared" si="54"/>
        <v>#N/A</v>
      </c>
      <c r="AO199" s="121" t="e">
        <f>IF('Cable Info'!N198="","",CONCATENATE('Cable Info'!N198," - ",'Cable Info'!O198))</f>
        <v>#N/A</v>
      </c>
      <c r="AR199" s="121" t="e">
        <f t="shared" si="55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56"/>
        <v>#N/A</v>
      </c>
      <c r="AY199" s="121" t="str">
        <f>IF('Cable Info'!R198="","",CONCATENATE('Cable Info'!R198," - ",'Cable Info'!S198))</f>
        <v/>
      </c>
      <c r="BB199" s="121" t="str">
        <f t="shared" si="57"/>
        <v/>
      </c>
      <c r="BD199" s="121" t="str">
        <f>IF('Cable Info'!T198="","",CONCATENATE('Cable Info'!T198," - ",'Cable Info'!U198))</f>
        <v/>
      </c>
      <c r="BG199" s="121" t="str">
        <f t="shared" si="58"/>
        <v/>
      </c>
      <c r="BI199" s="121" t="str">
        <f>IF('Cable Info'!V198="","",CONCATENATE('Cable Info'!V198," - ",'Cable Info'!W198))</f>
        <v/>
      </c>
      <c r="BL199" s="121" t="str">
        <f t="shared" si="59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48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49"/>
        <v/>
      </c>
      <c r="Y200" s="252" t="str">
        <f t="shared" si="50"/>
        <v/>
      </c>
      <c r="Z200" s="253" t="str">
        <f t="shared" si="51"/>
        <v/>
      </c>
      <c r="AA200" s="253" t="str">
        <f t="shared" si="52"/>
        <v/>
      </c>
      <c r="AB200" s="253" t="str">
        <f t="shared" si="53"/>
        <v/>
      </c>
      <c r="AJ200" s="121" t="e">
        <f>IF('Cable Info'!L199="","",CONCATENATE('Cable Info'!L199," - ",'Cable Info'!M199))</f>
        <v>#N/A</v>
      </c>
      <c r="AM200" s="121" t="e">
        <f t="shared" si="54"/>
        <v>#N/A</v>
      </c>
      <c r="AO200" s="121" t="e">
        <f>IF('Cable Info'!N199="","",CONCATENATE('Cable Info'!N199," - ",'Cable Info'!O199))</f>
        <v>#N/A</v>
      </c>
      <c r="AR200" s="121" t="e">
        <f t="shared" si="55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56"/>
        <v>#N/A</v>
      </c>
      <c r="AY200" s="121" t="str">
        <f>IF('Cable Info'!R199="","",CONCATENATE('Cable Info'!R199," - ",'Cable Info'!S199))</f>
        <v/>
      </c>
      <c r="BB200" s="121" t="str">
        <f t="shared" si="57"/>
        <v/>
      </c>
      <c r="BD200" s="121" t="str">
        <f>IF('Cable Info'!T199="","",CONCATENATE('Cable Info'!T199," - ",'Cable Info'!U199))</f>
        <v/>
      </c>
      <c r="BG200" s="121" t="str">
        <f t="shared" si="58"/>
        <v/>
      </c>
      <c r="BI200" s="121" t="str">
        <f>IF('Cable Info'!V199="","",CONCATENATE('Cable Info'!V199," - ",'Cable Info'!W199))</f>
        <v/>
      </c>
      <c r="BL200" s="121" t="str">
        <f t="shared" si="59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48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49"/>
        <v/>
      </c>
      <c r="Y201" s="252" t="str">
        <f t="shared" si="50"/>
        <v/>
      </c>
      <c r="Z201" s="253" t="str">
        <f t="shared" si="51"/>
        <v/>
      </c>
      <c r="AA201" s="253" t="str">
        <f t="shared" si="52"/>
        <v/>
      </c>
      <c r="AB201" s="253" t="str">
        <f t="shared" si="53"/>
        <v/>
      </c>
      <c r="AJ201" s="121" t="e">
        <f>IF('Cable Info'!L200="","",CONCATENATE('Cable Info'!L200," - ",'Cable Info'!M200))</f>
        <v>#N/A</v>
      </c>
      <c r="AM201" s="121" t="e">
        <f t="shared" si="54"/>
        <v>#N/A</v>
      </c>
      <c r="AO201" s="121" t="e">
        <f>IF('Cable Info'!N200="","",CONCATENATE('Cable Info'!N200," - ",'Cable Info'!O200))</f>
        <v>#N/A</v>
      </c>
      <c r="AR201" s="121" t="e">
        <f t="shared" si="55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56"/>
        <v>#N/A</v>
      </c>
      <c r="AY201" s="121" t="str">
        <f>IF('Cable Info'!R200="","",CONCATENATE('Cable Info'!R200," - ",'Cable Info'!S200))</f>
        <v/>
      </c>
      <c r="BB201" s="121" t="str">
        <f t="shared" si="57"/>
        <v/>
      </c>
      <c r="BD201" s="121" t="str">
        <f>IF('Cable Info'!T200="","",CONCATENATE('Cable Info'!T200," - ",'Cable Info'!U200))</f>
        <v/>
      </c>
      <c r="BG201" s="121" t="str">
        <f t="shared" si="58"/>
        <v/>
      </c>
      <c r="BI201" s="121" t="str">
        <f>IF('Cable Info'!V200="","",CONCATENATE('Cable Info'!V200," - ",'Cable Info'!W200))</f>
        <v/>
      </c>
      <c r="BL201" s="121" t="str">
        <f t="shared" si="59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48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49"/>
        <v/>
      </c>
      <c r="Y202" s="252" t="str">
        <f t="shared" si="50"/>
        <v/>
      </c>
      <c r="Z202" s="253" t="str">
        <f t="shared" si="51"/>
        <v/>
      </c>
      <c r="AA202" s="253" t="str">
        <f t="shared" si="52"/>
        <v/>
      </c>
      <c r="AB202" s="253" t="str">
        <f t="shared" si="53"/>
        <v/>
      </c>
      <c r="AJ202" s="121" t="e">
        <f>IF('Cable Info'!L201="","",CONCATENATE('Cable Info'!L201," - ",'Cable Info'!M201))</f>
        <v>#N/A</v>
      </c>
      <c r="AM202" s="121" t="e">
        <f t="shared" si="54"/>
        <v>#N/A</v>
      </c>
      <c r="AO202" s="121" t="e">
        <f>IF('Cable Info'!N201="","",CONCATENATE('Cable Info'!N201," - ",'Cable Info'!O201))</f>
        <v>#N/A</v>
      </c>
      <c r="AR202" s="121" t="e">
        <f t="shared" si="55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56"/>
        <v>#N/A</v>
      </c>
      <c r="AY202" s="121" t="str">
        <f>IF('Cable Info'!R201="","",CONCATENATE('Cable Info'!R201," - ",'Cable Info'!S201))</f>
        <v/>
      </c>
      <c r="BB202" s="121" t="str">
        <f t="shared" si="57"/>
        <v/>
      </c>
      <c r="BD202" s="121" t="str">
        <f>IF('Cable Info'!T201="","",CONCATENATE('Cable Info'!T201," - ",'Cable Info'!U201))</f>
        <v/>
      </c>
      <c r="BG202" s="121" t="str">
        <f t="shared" si="58"/>
        <v/>
      </c>
      <c r="BI202" s="121" t="str">
        <f>IF('Cable Info'!V201="","",CONCATENATE('Cable Info'!V201," - ",'Cable Info'!W201))</f>
        <v/>
      </c>
      <c r="BL202" s="121" t="str">
        <f t="shared" si="59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48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49"/>
        <v/>
      </c>
      <c r="Y203" s="252" t="str">
        <f t="shared" si="50"/>
        <v/>
      </c>
      <c r="Z203" s="253" t="str">
        <f t="shared" si="51"/>
        <v/>
      </c>
      <c r="AA203" s="253" t="str">
        <f t="shared" si="52"/>
        <v/>
      </c>
      <c r="AB203" s="253" t="str">
        <f t="shared" si="53"/>
        <v/>
      </c>
      <c r="AJ203" s="121" t="e">
        <f>IF('Cable Info'!L202="","",CONCATENATE('Cable Info'!L202," - ",'Cable Info'!M202))</f>
        <v>#N/A</v>
      </c>
      <c r="AM203" s="121" t="e">
        <f t="shared" si="54"/>
        <v>#N/A</v>
      </c>
      <c r="AO203" s="121" t="e">
        <f>IF('Cable Info'!N202="","",CONCATENATE('Cable Info'!N202," - ",'Cable Info'!O202))</f>
        <v>#N/A</v>
      </c>
      <c r="AR203" s="121" t="e">
        <f t="shared" si="55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56"/>
        <v>#N/A</v>
      </c>
      <c r="AY203" s="121" t="str">
        <f>IF('Cable Info'!R202="","",CONCATENATE('Cable Info'!R202," - ",'Cable Info'!S202))</f>
        <v/>
      </c>
      <c r="BB203" s="121" t="str">
        <f t="shared" si="57"/>
        <v/>
      </c>
      <c r="BD203" s="121" t="str">
        <f>IF('Cable Info'!T202="","",CONCATENATE('Cable Info'!T202," - ",'Cable Info'!U202))</f>
        <v/>
      </c>
      <c r="BG203" s="121" t="str">
        <f t="shared" si="58"/>
        <v/>
      </c>
      <c r="BI203" s="121" t="str">
        <f>IF('Cable Info'!V202="","",CONCATENATE('Cable Info'!V202," - ",'Cable Info'!W202))</f>
        <v/>
      </c>
      <c r="BL203" s="121" t="str">
        <f t="shared" si="59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48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49"/>
        <v/>
      </c>
      <c r="Y204" s="252" t="str">
        <f t="shared" si="50"/>
        <v/>
      </c>
      <c r="Z204" s="253" t="str">
        <f t="shared" si="51"/>
        <v/>
      </c>
      <c r="AA204" s="253" t="str">
        <f t="shared" si="52"/>
        <v/>
      </c>
      <c r="AB204" s="253" t="str">
        <f t="shared" si="53"/>
        <v/>
      </c>
      <c r="AJ204" s="121" t="e">
        <f>IF('Cable Info'!L203="","",CONCATENATE('Cable Info'!L203," - ",'Cable Info'!M203))</f>
        <v>#N/A</v>
      </c>
      <c r="AM204" s="121" t="e">
        <f t="shared" si="54"/>
        <v>#N/A</v>
      </c>
      <c r="AO204" s="121" t="e">
        <f>IF('Cable Info'!N203="","",CONCATENATE('Cable Info'!N203," - ",'Cable Info'!O203))</f>
        <v>#N/A</v>
      </c>
      <c r="AR204" s="121" t="e">
        <f t="shared" si="55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56"/>
        <v>#N/A</v>
      </c>
      <c r="AY204" s="121" t="str">
        <f>IF('Cable Info'!R203="","",CONCATENATE('Cable Info'!R203," - ",'Cable Info'!S203))</f>
        <v/>
      </c>
      <c r="BB204" s="121" t="str">
        <f t="shared" si="57"/>
        <v/>
      </c>
      <c r="BD204" s="121" t="str">
        <f>IF('Cable Info'!T203="","",CONCATENATE('Cable Info'!T203," - ",'Cable Info'!U203))</f>
        <v/>
      </c>
      <c r="BG204" s="121" t="str">
        <f t="shared" si="58"/>
        <v/>
      </c>
      <c r="BI204" s="121" t="str">
        <f>IF('Cable Info'!V203="","",CONCATENATE('Cable Info'!V203," - ",'Cable Info'!W203))</f>
        <v/>
      </c>
      <c r="BL204" s="121" t="str">
        <f t="shared" si="59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0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1">IF(V205="","",IF(R205="","",IF(S205="","",IF(R205="SPLICED",(IF(S205="SPLICE",0,9)),IF(V205=$U$3,(IF(S205="BREAK",12,11)),IF(S205="BREAK",2,1))))))</f>
        <v/>
      </c>
      <c r="Y205" s="252" t="str">
        <f t="shared" ref="Y205:Y268" si="62">IF(E205="","",IF(G205="","",IF(E205&gt;G205,1,"")))</f>
        <v/>
      </c>
      <c r="Z205" s="253" t="str">
        <f t="shared" ref="Z205:Z268" si="63">IF(I205="","",IF(K205="","",IF(I205&gt;K205,1,"")))</f>
        <v/>
      </c>
      <c r="AA205" s="253" t="str">
        <f t="shared" ref="AA205:AA268" si="64">IF(K205="","",((I205-K205)-1)*(-1))</f>
        <v/>
      </c>
      <c r="AB205" s="253" t="str">
        <f t="shared" ref="AB205:AB268" si="65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66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67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68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69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0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1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0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1"/>
        <v/>
      </c>
      <c r="Y206" s="252" t="str">
        <f t="shared" si="62"/>
        <v/>
      </c>
      <c r="Z206" s="253" t="str">
        <f t="shared" si="63"/>
        <v/>
      </c>
      <c r="AA206" s="253" t="str">
        <f t="shared" si="64"/>
        <v/>
      </c>
      <c r="AB206" s="253" t="str">
        <f t="shared" si="65"/>
        <v/>
      </c>
      <c r="AJ206" s="121" t="e">
        <f>IF('Cable Info'!L205="","",CONCATENATE('Cable Info'!L205," - ",'Cable Info'!M205))</f>
        <v>#N/A</v>
      </c>
      <c r="AM206" s="121" t="e">
        <f t="shared" si="66"/>
        <v>#N/A</v>
      </c>
      <c r="AO206" s="121" t="e">
        <f>IF('Cable Info'!N205="","",CONCATENATE('Cable Info'!N205," - ",'Cable Info'!O205))</f>
        <v>#N/A</v>
      </c>
      <c r="AR206" s="121" t="e">
        <f t="shared" si="67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68"/>
        <v>#N/A</v>
      </c>
      <c r="AY206" s="121" t="str">
        <f>IF('Cable Info'!R205="","",CONCATENATE('Cable Info'!R205," - ",'Cable Info'!S205))</f>
        <v/>
      </c>
      <c r="BB206" s="121" t="str">
        <f t="shared" si="69"/>
        <v/>
      </c>
      <c r="BD206" s="121" t="str">
        <f>IF('Cable Info'!T205="","",CONCATENATE('Cable Info'!T205," - ",'Cable Info'!U205))</f>
        <v/>
      </c>
      <c r="BG206" s="121" t="str">
        <f t="shared" si="70"/>
        <v/>
      </c>
      <c r="BI206" s="121" t="str">
        <f>IF('Cable Info'!V205="","",CONCATENATE('Cable Info'!V205," - ",'Cable Info'!W205))</f>
        <v/>
      </c>
      <c r="BL206" s="121" t="str">
        <f t="shared" si="71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0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1"/>
        <v/>
      </c>
      <c r="Y207" s="252" t="str">
        <f t="shared" si="62"/>
        <v/>
      </c>
      <c r="Z207" s="253" t="str">
        <f t="shared" si="63"/>
        <v/>
      </c>
      <c r="AA207" s="253" t="str">
        <f t="shared" si="64"/>
        <v/>
      </c>
      <c r="AB207" s="253" t="str">
        <f t="shared" si="65"/>
        <v/>
      </c>
      <c r="AJ207" s="121" t="e">
        <f>IF('Cable Info'!L206="","",CONCATENATE('Cable Info'!L206," - ",'Cable Info'!M206))</f>
        <v>#N/A</v>
      </c>
      <c r="AM207" s="121" t="e">
        <f t="shared" si="66"/>
        <v>#N/A</v>
      </c>
      <c r="AO207" s="121" t="e">
        <f>IF('Cable Info'!N206="","",CONCATENATE('Cable Info'!N206," - ",'Cable Info'!O206))</f>
        <v>#N/A</v>
      </c>
      <c r="AR207" s="121" t="e">
        <f t="shared" si="67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68"/>
        <v>#N/A</v>
      </c>
      <c r="AY207" s="121" t="str">
        <f>IF('Cable Info'!R206="","",CONCATENATE('Cable Info'!R206," - ",'Cable Info'!S206))</f>
        <v/>
      </c>
      <c r="BB207" s="121" t="str">
        <f t="shared" si="69"/>
        <v/>
      </c>
      <c r="BD207" s="121" t="str">
        <f>IF('Cable Info'!T206="","",CONCATENATE('Cable Info'!T206," - ",'Cable Info'!U206))</f>
        <v/>
      </c>
      <c r="BG207" s="121" t="str">
        <f t="shared" si="70"/>
        <v/>
      </c>
      <c r="BI207" s="121" t="str">
        <f>IF('Cable Info'!V206="","",CONCATENATE('Cable Info'!V206," - ",'Cable Info'!W206))</f>
        <v/>
      </c>
      <c r="BL207" s="121" t="str">
        <f t="shared" si="71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0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1"/>
        <v/>
      </c>
      <c r="Y208" s="252" t="str">
        <f t="shared" si="62"/>
        <v/>
      </c>
      <c r="Z208" s="253" t="str">
        <f t="shared" si="63"/>
        <v/>
      </c>
      <c r="AA208" s="253" t="str">
        <f t="shared" si="64"/>
        <v/>
      </c>
      <c r="AB208" s="253" t="str">
        <f t="shared" si="65"/>
        <v/>
      </c>
      <c r="AJ208" s="121" t="e">
        <f>IF('Cable Info'!L207="","",CONCATENATE('Cable Info'!L207," - ",'Cable Info'!M207))</f>
        <v>#N/A</v>
      </c>
      <c r="AM208" s="121" t="e">
        <f t="shared" si="66"/>
        <v>#N/A</v>
      </c>
      <c r="AO208" s="121" t="e">
        <f>IF('Cable Info'!N207="","",CONCATENATE('Cable Info'!N207," - ",'Cable Info'!O207))</f>
        <v>#N/A</v>
      </c>
      <c r="AR208" s="121" t="e">
        <f t="shared" si="67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68"/>
        <v>#N/A</v>
      </c>
      <c r="AY208" s="121" t="str">
        <f>IF('Cable Info'!R207="","",CONCATENATE('Cable Info'!R207," - ",'Cable Info'!S207))</f>
        <v/>
      </c>
      <c r="BB208" s="121" t="str">
        <f t="shared" si="69"/>
        <v/>
      </c>
      <c r="BD208" s="121" t="str">
        <f>IF('Cable Info'!T207="","",CONCATENATE('Cable Info'!T207," - ",'Cable Info'!U207))</f>
        <v/>
      </c>
      <c r="BG208" s="121" t="str">
        <f t="shared" si="70"/>
        <v/>
      </c>
      <c r="BI208" s="121" t="str">
        <f>IF('Cable Info'!V207="","",CONCATENATE('Cable Info'!V207," - ",'Cable Info'!W207))</f>
        <v/>
      </c>
      <c r="BL208" s="121" t="str">
        <f t="shared" si="71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0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1"/>
        <v/>
      </c>
      <c r="Y209" s="252" t="str">
        <f t="shared" si="62"/>
        <v/>
      </c>
      <c r="Z209" s="253" t="str">
        <f t="shared" si="63"/>
        <v/>
      </c>
      <c r="AA209" s="253" t="str">
        <f t="shared" si="64"/>
        <v/>
      </c>
      <c r="AB209" s="253" t="str">
        <f t="shared" si="65"/>
        <v/>
      </c>
      <c r="AJ209" s="121" t="e">
        <f>IF('Cable Info'!L208="","",CONCATENATE('Cable Info'!L208," - ",'Cable Info'!M208))</f>
        <v>#N/A</v>
      </c>
      <c r="AM209" s="121" t="e">
        <f t="shared" si="66"/>
        <v>#N/A</v>
      </c>
      <c r="AO209" s="121" t="e">
        <f>IF('Cable Info'!N208="","",CONCATENATE('Cable Info'!N208," - ",'Cable Info'!O208))</f>
        <v>#N/A</v>
      </c>
      <c r="AR209" s="121" t="e">
        <f t="shared" si="67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68"/>
        <v>#N/A</v>
      </c>
      <c r="AY209" s="121" t="str">
        <f>IF('Cable Info'!R208="","",CONCATENATE('Cable Info'!R208," - ",'Cable Info'!S208))</f>
        <v/>
      </c>
      <c r="BB209" s="121" t="str">
        <f t="shared" si="69"/>
        <v/>
      </c>
      <c r="BD209" s="121" t="str">
        <f>IF('Cable Info'!T208="","",CONCATENATE('Cable Info'!T208," - ",'Cable Info'!U208))</f>
        <v/>
      </c>
      <c r="BG209" s="121" t="str">
        <f t="shared" si="70"/>
        <v/>
      </c>
      <c r="BI209" s="121" t="str">
        <f>IF('Cable Info'!V208="","",CONCATENATE('Cable Info'!V208," - ",'Cable Info'!W208))</f>
        <v/>
      </c>
      <c r="BL209" s="121" t="str">
        <f t="shared" si="71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0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1"/>
        <v/>
      </c>
      <c r="Y210" s="252" t="str">
        <f t="shared" si="62"/>
        <v/>
      </c>
      <c r="Z210" s="253" t="str">
        <f t="shared" si="63"/>
        <v/>
      </c>
      <c r="AA210" s="253" t="str">
        <f t="shared" si="64"/>
        <v/>
      </c>
      <c r="AB210" s="253" t="str">
        <f t="shared" si="65"/>
        <v/>
      </c>
      <c r="AJ210" s="121" t="e">
        <f>IF('Cable Info'!L209="","",CONCATENATE('Cable Info'!L209," - ",'Cable Info'!M209))</f>
        <v>#N/A</v>
      </c>
      <c r="AM210" s="121" t="e">
        <f t="shared" si="66"/>
        <v>#N/A</v>
      </c>
      <c r="AO210" s="121" t="e">
        <f>IF('Cable Info'!N209="","",CONCATENATE('Cable Info'!N209," - ",'Cable Info'!O209))</f>
        <v>#N/A</v>
      </c>
      <c r="AR210" s="121" t="e">
        <f t="shared" si="67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68"/>
        <v>#N/A</v>
      </c>
      <c r="AY210" s="121" t="str">
        <f>IF('Cable Info'!R209="","",CONCATENATE('Cable Info'!R209," - ",'Cable Info'!S209))</f>
        <v/>
      </c>
      <c r="BB210" s="121" t="str">
        <f t="shared" si="69"/>
        <v/>
      </c>
      <c r="BD210" s="121" t="str">
        <f>IF('Cable Info'!T209="","",CONCATENATE('Cable Info'!T209," - ",'Cable Info'!U209))</f>
        <v/>
      </c>
      <c r="BG210" s="121" t="str">
        <f t="shared" si="70"/>
        <v/>
      </c>
      <c r="BI210" s="121" t="str">
        <f>IF('Cable Info'!V209="","",CONCATENATE('Cable Info'!V209," - ",'Cable Info'!W209))</f>
        <v/>
      </c>
      <c r="BL210" s="121" t="str">
        <f t="shared" si="71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0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1"/>
        <v/>
      </c>
      <c r="Y211" s="252" t="str">
        <f t="shared" si="62"/>
        <v/>
      </c>
      <c r="Z211" s="253" t="str">
        <f t="shared" si="63"/>
        <v/>
      </c>
      <c r="AA211" s="253" t="str">
        <f t="shared" si="64"/>
        <v/>
      </c>
      <c r="AB211" s="253" t="str">
        <f t="shared" si="65"/>
        <v/>
      </c>
      <c r="AJ211" s="121" t="e">
        <f>IF('Cable Info'!L210="","",CONCATENATE('Cable Info'!L210," - ",'Cable Info'!M210))</f>
        <v>#N/A</v>
      </c>
      <c r="AM211" s="121" t="e">
        <f t="shared" si="66"/>
        <v>#N/A</v>
      </c>
      <c r="AO211" s="121" t="e">
        <f>IF('Cable Info'!N210="","",CONCATENATE('Cable Info'!N210," - ",'Cable Info'!O210))</f>
        <v>#N/A</v>
      </c>
      <c r="AR211" s="121" t="e">
        <f t="shared" si="67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68"/>
        <v>#N/A</v>
      </c>
      <c r="AY211" s="121" t="str">
        <f>IF('Cable Info'!R210="","",CONCATENATE('Cable Info'!R210," - ",'Cable Info'!S210))</f>
        <v/>
      </c>
      <c r="BB211" s="121" t="str">
        <f t="shared" si="69"/>
        <v/>
      </c>
      <c r="BD211" s="121" t="str">
        <f>IF('Cable Info'!T210="","",CONCATENATE('Cable Info'!T210," - ",'Cable Info'!U210))</f>
        <v/>
      </c>
      <c r="BG211" s="121" t="str">
        <f t="shared" si="70"/>
        <v/>
      </c>
      <c r="BI211" s="121" t="str">
        <f>IF('Cable Info'!V210="","",CONCATENATE('Cable Info'!V210," - ",'Cable Info'!W210))</f>
        <v/>
      </c>
      <c r="BL211" s="121" t="str">
        <f t="shared" si="71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0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1"/>
        <v/>
      </c>
      <c r="Y212" s="252" t="str">
        <f t="shared" si="62"/>
        <v/>
      </c>
      <c r="Z212" s="253" t="str">
        <f t="shared" si="63"/>
        <v/>
      </c>
      <c r="AA212" s="253" t="str">
        <f t="shared" si="64"/>
        <v/>
      </c>
      <c r="AB212" s="253" t="str">
        <f t="shared" si="65"/>
        <v/>
      </c>
      <c r="AJ212" s="121" t="e">
        <f>IF('Cable Info'!L211="","",CONCATENATE('Cable Info'!L211," - ",'Cable Info'!M211))</f>
        <v>#N/A</v>
      </c>
      <c r="AM212" s="121" t="e">
        <f t="shared" si="66"/>
        <v>#N/A</v>
      </c>
      <c r="AO212" s="121" t="e">
        <f>IF('Cable Info'!N211="","",CONCATENATE('Cable Info'!N211," - ",'Cable Info'!O211))</f>
        <v>#N/A</v>
      </c>
      <c r="AR212" s="121" t="e">
        <f t="shared" si="67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68"/>
        <v>#N/A</v>
      </c>
      <c r="AY212" s="121" t="str">
        <f>IF('Cable Info'!R211="","",CONCATENATE('Cable Info'!R211," - ",'Cable Info'!S211))</f>
        <v/>
      </c>
      <c r="BB212" s="121" t="str">
        <f t="shared" si="69"/>
        <v/>
      </c>
      <c r="BD212" s="121" t="str">
        <f>IF('Cable Info'!T211="","",CONCATENATE('Cable Info'!T211," - ",'Cable Info'!U211))</f>
        <v/>
      </c>
      <c r="BG212" s="121" t="str">
        <f t="shared" si="70"/>
        <v/>
      </c>
      <c r="BI212" s="121" t="str">
        <f>IF('Cable Info'!V211="","",CONCATENATE('Cable Info'!V211," - ",'Cable Info'!W211))</f>
        <v/>
      </c>
      <c r="BL212" s="121" t="str">
        <f t="shared" si="71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0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1"/>
        <v/>
      </c>
      <c r="Y213" s="252" t="str">
        <f t="shared" si="62"/>
        <v/>
      </c>
      <c r="Z213" s="253" t="str">
        <f t="shared" si="63"/>
        <v/>
      </c>
      <c r="AA213" s="253" t="str">
        <f t="shared" si="64"/>
        <v/>
      </c>
      <c r="AB213" s="253" t="str">
        <f t="shared" si="65"/>
        <v/>
      </c>
      <c r="AJ213" s="121" t="e">
        <f>IF('Cable Info'!L212="","",CONCATENATE('Cable Info'!L212," - ",'Cable Info'!M212))</f>
        <v>#N/A</v>
      </c>
      <c r="AM213" s="121" t="e">
        <f t="shared" si="66"/>
        <v>#N/A</v>
      </c>
      <c r="AO213" s="121" t="e">
        <f>IF('Cable Info'!N212="","",CONCATENATE('Cable Info'!N212," - ",'Cable Info'!O212))</f>
        <v>#N/A</v>
      </c>
      <c r="AR213" s="121" t="e">
        <f t="shared" si="67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68"/>
        <v>#N/A</v>
      </c>
      <c r="AY213" s="121" t="str">
        <f>IF('Cable Info'!R212="","",CONCATENATE('Cable Info'!R212," - ",'Cable Info'!S212))</f>
        <v/>
      </c>
      <c r="BB213" s="121" t="str">
        <f t="shared" si="69"/>
        <v/>
      </c>
      <c r="BD213" s="121" t="str">
        <f>IF('Cable Info'!T212="","",CONCATENATE('Cable Info'!T212," - ",'Cable Info'!U212))</f>
        <v/>
      </c>
      <c r="BG213" s="121" t="str">
        <f t="shared" si="70"/>
        <v/>
      </c>
      <c r="BI213" s="121" t="str">
        <f>IF('Cable Info'!V212="","",CONCATENATE('Cable Info'!V212," - ",'Cable Info'!W212))</f>
        <v/>
      </c>
      <c r="BL213" s="121" t="str">
        <f t="shared" si="71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0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1"/>
        <v/>
      </c>
      <c r="Y214" s="252" t="str">
        <f t="shared" si="62"/>
        <v/>
      </c>
      <c r="Z214" s="253" t="str">
        <f t="shared" si="63"/>
        <v/>
      </c>
      <c r="AA214" s="253" t="str">
        <f t="shared" si="64"/>
        <v/>
      </c>
      <c r="AB214" s="253" t="str">
        <f t="shared" si="65"/>
        <v/>
      </c>
      <c r="AJ214" s="121" t="e">
        <f>IF('Cable Info'!L213="","",CONCATENATE('Cable Info'!L213," - ",'Cable Info'!M213))</f>
        <v>#N/A</v>
      </c>
      <c r="AM214" s="121" t="e">
        <f t="shared" si="66"/>
        <v>#N/A</v>
      </c>
      <c r="AO214" s="121" t="e">
        <f>IF('Cable Info'!N213="","",CONCATENATE('Cable Info'!N213," - ",'Cable Info'!O213))</f>
        <v>#N/A</v>
      </c>
      <c r="AR214" s="121" t="e">
        <f t="shared" si="67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68"/>
        <v>#N/A</v>
      </c>
      <c r="AY214" s="121" t="str">
        <f>IF('Cable Info'!R213="","",CONCATENATE('Cable Info'!R213," - ",'Cable Info'!S213))</f>
        <v/>
      </c>
      <c r="BB214" s="121" t="str">
        <f t="shared" si="69"/>
        <v/>
      </c>
      <c r="BD214" s="121" t="str">
        <f>IF('Cable Info'!T213="","",CONCATENATE('Cable Info'!T213," - ",'Cable Info'!U213))</f>
        <v/>
      </c>
      <c r="BG214" s="121" t="str">
        <f t="shared" si="70"/>
        <v/>
      </c>
      <c r="BI214" s="121" t="str">
        <f>IF('Cable Info'!V213="","",CONCATENATE('Cable Info'!V213," - ",'Cable Info'!W213))</f>
        <v/>
      </c>
      <c r="BL214" s="121" t="str">
        <f t="shared" si="71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0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1"/>
        <v/>
      </c>
      <c r="Y215" s="252" t="str">
        <f t="shared" si="62"/>
        <v/>
      </c>
      <c r="Z215" s="253" t="str">
        <f t="shared" si="63"/>
        <v/>
      </c>
      <c r="AA215" s="253" t="str">
        <f t="shared" si="64"/>
        <v/>
      </c>
      <c r="AB215" s="253" t="str">
        <f t="shared" si="65"/>
        <v/>
      </c>
      <c r="AJ215" s="121" t="e">
        <f>IF('Cable Info'!L214="","",CONCATENATE('Cable Info'!L214," - ",'Cable Info'!M214))</f>
        <v>#N/A</v>
      </c>
      <c r="AM215" s="121" t="e">
        <f t="shared" si="66"/>
        <v>#N/A</v>
      </c>
      <c r="AO215" s="121" t="e">
        <f>IF('Cable Info'!N214="","",CONCATENATE('Cable Info'!N214," - ",'Cable Info'!O214))</f>
        <v>#N/A</v>
      </c>
      <c r="AR215" s="121" t="e">
        <f t="shared" si="67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68"/>
        <v>#N/A</v>
      </c>
      <c r="AY215" s="121" t="str">
        <f>IF('Cable Info'!R214="","",CONCATENATE('Cable Info'!R214," - ",'Cable Info'!S214))</f>
        <v/>
      </c>
      <c r="BB215" s="121" t="str">
        <f t="shared" si="69"/>
        <v/>
      </c>
      <c r="BD215" s="121" t="str">
        <f>IF('Cable Info'!T214="","",CONCATENATE('Cable Info'!T214," - ",'Cable Info'!U214))</f>
        <v/>
      </c>
      <c r="BG215" s="121" t="str">
        <f t="shared" si="70"/>
        <v/>
      </c>
      <c r="BI215" s="121" t="str">
        <f>IF('Cable Info'!V214="","",CONCATENATE('Cable Info'!V214," - ",'Cable Info'!W214))</f>
        <v/>
      </c>
      <c r="BL215" s="121" t="str">
        <f t="shared" si="71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0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1"/>
        <v/>
      </c>
      <c r="Y216" s="252" t="str">
        <f t="shared" si="62"/>
        <v/>
      </c>
      <c r="Z216" s="253" t="str">
        <f t="shared" si="63"/>
        <v/>
      </c>
      <c r="AA216" s="253" t="str">
        <f t="shared" si="64"/>
        <v/>
      </c>
      <c r="AB216" s="253" t="str">
        <f t="shared" si="65"/>
        <v/>
      </c>
      <c r="AJ216" s="121" t="e">
        <f>IF('Cable Info'!L215="","",CONCATENATE('Cable Info'!L215," - ",'Cable Info'!M215))</f>
        <v>#N/A</v>
      </c>
      <c r="AM216" s="121" t="e">
        <f t="shared" si="66"/>
        <v>#N/A</v>
      </c>
      <c r="AO216" s="121" t="e">
        <f>IF('Cable Info'!N215="","",CONCATENATE('Cable Info'!N215," - ",'Cable Info'!O215))</f>
        <v>#N/A</v>
      </c>
      <c r="AR216" s="121" t="e">
        <f t="shared" si="67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68"/>
        <v>#N/A</v>
      </c>
      <c r="AY216" s="121" t="str">
        <f>IF('Cable Info'!R215="","",CONCATENATE('Cable Info'!R215," - ",'Cable Info'!S215))</f>
        <v/>
      </c>
      <c r="BB216" s="121" t="str">
        <f t="shared" si="69"/>
        <v/>
      </c>
      <c r="BD216" s="121" t="str">
        <f>IF('Cable Info'!T215="","",CONCATENATE('Cable Info'!T215," - ",'Cable Info'!U215))</f>
        <v/>
      </c>
      <c r="BG216" s="121" t="str">
        <f t="shared" si="70"/>
        <v/>
      </c>
      <c r="BI216" s="121" t="str">
        <f>IF('Cable Info'!V215="","",CONCATENATE('Cable Info'!V215," - ",'Cable Info'!W215))</f>
        <v/>
      </c>
      <c r="BL216" s="121" t="str">
        <f t="shared" si="71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0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1"/>
        <v/>
      </c>
      <c r="Y217" s="252" t="str">
        <f t="shared" si="62"/>
        <v/>
      </c>
      <c r="Z217" s="253" t="str">
        <f t="shared" si="63"/>
        <v/>
      </c>
      <c r="AA217" s="253" t="str">
        <f t="shared" si="64"/>
        <v/>
      </c>
      <c r="AB217" s="253" t="str">
        <f t="shared" si="65"/>
        <v/>
      </c>
      <c r="AJ217" s="121" t="e">
        <f>IF('Cable Info'!L216="","",CONCATENATE('Cable Info'!L216," - ",'Cable Info'!M216))</f>
        <v>#N/A</v>
      </c>
      <c r="AM217" s="121" t="e">
        <f t="shared" si="66"/>
        <v>#N/A</v>
      </c>
      <c r="AO217" s="121" t="e">
        <f>IF('Cable Info'!N216="","",CONCATENATE('Cable Info'!N216," - ",'Cable Info'!O216))</f>
        <v>#N/A</v>
      </c>
      <c r="AR217" s="121" t="e">
        <f t="shared" si="67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68"/>
        <v>#N/A</v>
      </c>
      <c r="AY217" s="121" t="str">
        <f>IF('Cable Info'!R216="","",CONCATENATE('Cable Info'!R216," - ",'Cable Info'!S216))</f>
        <v/>
      </c>
      <c r="BB217" s="121" t="str">
        <f t="shared" si="69"/>
        <v/>
      </c>
      <c r="BD217" s="121" t="str">
        <f>IF('Cable Info'!T216="","",CONCATENATE('Cable Info'!T216," - ",'Cable Info'!U216))</f>
        <v/>
      </c>
      <c r="BG217" s="121" t="str">
        <f t="shared" si="70"/>
        <v/>
      </c>
      <c r="BI217" s="121" t="str">
        <f>IF('Cable Info'!V216="","",CONCATENATE('Cable Info'!V216," - ",'Cable Info'!W216))</f>
        <v/>
      </c>
      <c r="BL217" s="121" t="str">
        <f t="shared" si="71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0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1"/>
        <v/>
      </c>
      <c r="Y218" s="252" t="str">
        <f t="shared" si="62"/>
        <v/>
      </c>
      <c r="Z218" s="253" t="str">
        <f t="shared" si="63"/>
        <v/>
      </c>
      <c r="AA218" s="253" t="str">
        <f t="shared" si="64"/>
        <v/>
      </c>
      <c r="AB218" s="253" t="str">
        <f t="shared" si="65"/>
        <v/>
      </c>
      <c r="AJ218" s="121" t="e">
        <f>IF('Cable Info'!L217="","",CONCATENATE('Cable Info'!L217," - ",'Cable Info'!M217))</f>
        <v>#N/A</v>
      </c>
      <c r="AM218" s="121" t="e">
        <f t="shared" si="66"/>
        <v>#N/A</v>
      </c>
      <c r="AO218" s="121" t="e">
        <f>IF('Cable Info'!N217="","",CONCATENATE('Cable Info'!N217," - ",'Cable Info'!O217))</f>
        <v>#N/A</v>
      </c>
      <c r="AR218" s="121" t="e">
        <f t="shared" si="67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68"/>
        <v>#N/A</v>
      </c>
      <c r="AY218" s="121" t="str">
        <f>IF('Cable Info'!R217="","",CONCATENATE('Cable Info'!R217," - ",'Cable Info'!S217))</f>
        <v/>
      </c>
      <c r="BB218" s="121" t="str">
        <f t="shared" si="69"/>
        <v/>
      </c>
      <c r="BD218" s="121" t="str">
        <f>IF('Cable Info'!T217="","",CONCATENATE('Cable Info'!T217," - ",'Cable Info'!U217))</f>
        <v/>
      </c>
      <c r="BG218" s="121" t="str">
        <f t="shared" si="70"/>
        <v/>
      </c>
      <c r="BI218" s="121" t="str">
        <f>IF('Cable Info'!V217="","",CONCATENATE('Cable Info'!V217," - ",'Cable Info'!W217))</f>
        <v/>
      </c>
      <c r="BL218" s="121" t="str">
        <f t="shared" si="71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0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1"/>
        <v/>
      </c>
      <c r="Y219" s="252" t="str">
        <f t="shared" si="62"/>
        <v/>
      </c>
      <c r="Z219" s="253" t="str">
        <f t="shared" si="63"/>
        <v/>
      </c>
      <c r="AA219" s="253" t="str">
        <f t="shared" si="64"/>
        <v/>
      </c>
      <c r="AB219" s="253" t="str">
        <f t="shared" si="65"/>
        <v/>
      </c>
      <c r="AJ219" s="121" t="e">
        <f>IF('Cable Info'!L218="","",CONCATENATE('Cable Info'!L218," - ",'Cable Info'!M218))</f>
        <v>#N/A</v>
      </c>
      <c r="AM219" s="121" t="e">
        <f t="shared" si="66"/>
        <v>#N/A</v>
      </c>
      <c r="AO219" s="121" t="e">
        <f>IF('Cable Info'!N218="","",CONCATENATE('Cable Info'!N218," - ",'Cable Info'!O218))</f>
        <v>#N/A</v>
      </c>
      <c r="AR219" s="121" t="e">
        <f t="shared" si="67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68"/>
        <v>#N/A</v>
      </c>
      <c r="AY219" s="121" t="str">
        <f>IF('Cable Info'!R218="","",CONCATENATE('Cable Info'!R218," - ",'Cable Info'!S218))</f>
        <v/>
      </c>
      <c r="BB219" s="121" t="str">
        <f t="shared" si="69"/>
        <v/>
      </c>
      <c r="BD219" s="121" t="str">
        <f>IF('Cable Info'!T218="","",CONCATENATE('Cable Info'!T218," - ",'Cable Info'!U218))</f>
        <v/>
      </c>
      <c r="BG219" s="121" t="str">
        <f t="shared" si="70"/>
        <v/>
      </c>
      <c r="BI219" s="121" t="str">
        <f>IF('Cable Info'!V218="","",CONCATENATE('Cable Info'!V218," - ",'Cable Info'!W218))</f>
        <v/>
      </c>
      <c r="BL219" s="121" t="str">
        <f t="shared" si="71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0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1"/>
        <v/>
      </c>
      <c r="Y220" s="252" t="str">
        <f t="shared" si="62"/>
        <v/>
      </c>
      <c r="Z220" s="253" t="str">
        <f t="shared" si="63"/>
        <v/>
      </c>
      <c r="AA220" s="253" t="str">
        <f t="shared" si="64"/>
        <v/>
      </c>
      <c r="AB220" s="253" t="str">
        <f t="shared" si="65"/>
        <v/>
      </c>
      <c r="AJ220" s="121" t="e">
        <f>IF('Cable Info'!L219="","",CONCATENATE('Cable Info'!L219," - ",'Cable Info'!M219))</f>
        <v>#N/A</v>
      </c>
      <c r="AM220" s="121" t="e">
        <f t="shared" si="66"/>
        <v>#N/A</v>
      </c>
      <c r="AO220" s="121" t="e">
        <f>IF('Cable Info'!N219="","",CONCATENATE('Cable Info'!N219," - ",'Cable Info'!O219))</f>
        <v>#N/A</v>
      </c>
      <c r="AR220" s="121" t="e">
        <f t="shared" si="67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68"/>
        <v>#N/A</v>
      </c>
      <c r="AY220" s="121" t="str">
        <f>IF('Cable Info'!R219="","",CONCATENATE('Cable Info'!R219," - ",'Cable Info'!S219))</f>
        <v/>
      </c>
      <c r="BB220" s="121" t="str">
        <f t="shared" si="69"/>
        <v/>
      </c>
      <c r="BD220" s="121" t="str">
        <f>IF('Cable Info'!T219="","",CONCATENATE('Cable Info'!T219," - ",'Cable Info'!U219))</f>
        <v/>
      </c>
      <c r="BG220" s="121" t="str">
        <f t="shared" si="70"/>
        <v/>
      </c>
      <c r="BI220" s="121" t="str">
        <f>IF('Cable Info'!V219="","",CONCATENATE('Cable Info'!V219," - ",'Cable Info'!W219))</f>
        <v/>
      </c>
      <c r="BL220" s="121" t="str">
        <f t="shared" si="71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0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1"/>
        <v/>
      </c>
      <c r="Y221" s="252" t="str">
        <f t="shared" si="62"/>
        <v/>
      </c>
      <c r="Z221" s="253" t="str">
        <f t="shared" si="63"/>
        <v/>
      </c>
      <c r="AA221" s="253" t="str">
        <f t="shared" si="64"/>
        <v/>
      </c>
      <c r="AB221" s="253" t="str">
        <f t="shared" si="65"/>
        <v/>
      </c>
      <c r="AJ221" s="121" t="e">
        <f>IF('Cable Info'!L220="","",CONCATENATE('Cable Info'!L220," - ",'Cable Info'!M220))</f>
        <v>#N/A</v>
      </c>
      <c r="AM221" s="121" t="e">
        <f t="shared" si="66"/>
        <v>#N/A</v>
      </c>
      <c r="AO221" s="121" t="e">
        <f>IF('Cable Info'!N220="","",CONCATENATE('Cable Info'!N220," - ",'Cable Info'!O220))</f>
        <v>#N/A</v>
      </c>
      <c r="AR221" s="121" t="e">
        <f t="shared" si="67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68"/>
        <v>#N/A</v>
      </c>
      <c r="AY221" s="121" t="str">
        <f>IF('Cable Info'!R220="","",CONCATENATE('Cable Info'!R220," - ",'Cable Info'!S220))</f>
        <v/>
      </c>
      <c r="BB221" s="121" t="str">
        <f t="shared" si="69"/>
        <v/>
      </c>
      <c r="BD221" s="121" t="str">
        <f>IF('Cable Info'!T220="","",CONCATENATE('Cable Info'!T220," - ",'Cable Info'!U220))</f>
        <v/>
      </c>
      <c r="BG221" s="121" t="str">
        <f t="shared" si="70"/>
        <v/>
      </c>
      <c r="BI221" s="121" t="str">
        <f>IF('Cable Info'!V220="","",CONCATENATE('Cable Info'!V220," - ",'Cable Info'!W220))</f>
        <v/>
      </c>
      <c r="BL221" s="121" t="str">
        <f t="shared" si="71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0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1"/>
        <v/>
      </c>
      <c r="Y222" s="252" t="str">
        <f t="shared" si="62"/>
        <v/>
      </c>
      <c r="Z222" s="253" t="str">
        <f t="shared" si="63"/>
        <v/>
      </c>
      <c r="AA222" s="253" t="str">
        <f t="shared" si="64"/>
        <v/>
      </c>
      <c r="AB222" s="253" t="str">
        <f t="shared" si="65"/>
        <v/>
      </c>
      <c r="AJ222" s="121" t="e">
        <f>IF('Cable Info'!L221="","",CONCATENATE('Cable Info'!L221," - ",'Cable Info'!M221))</f>
        <v>#N/A</v>
      </c>
      <c r="AM222" s="121" t="e">
        <f t="shared" si="66"/>
        <v>#N/A</v>
      </c>
      <c r="AO222" s="121" t="e">
        <f>IF('Cable Info'!N221="","",CONCATENATE('Cable Info'!N221," - ",'Cable Info'!O221))</f>
        <v>#N/A</v>
      </c>
      <c r="AR222" s="121" t="e">
        <f t="shared" si="67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68"/>
        <v>#N/A</v>
      </c>
      <c r="AY222" s="121" t="str">
        <f>IF('Cable Info'!R221="","",CONCATENATE('Cable Info'!R221," - ",'Cable Info'!S221))</f>
        <v/>
      </c>
      <c r="BB222" s="121" t="str">
        <f t="shared" si="69"/>
        <v/>
      </c>
      <c r="BD222" s="121" t="str">
        <f>IF('Cable Info'!T221="","",CONCATENATE('Cable Info'!T221," - ",'Cable Info'!U221))</f>
        <v/>
      </c>
      <c r="BG222" s="121" t="str">
        <f t="shared" si="70"/>
        <v/>
      </c>
      <c r="BI222" s="121" t="str">
        <f>IF('Cable Info'!V221="","",CONCATENATE('Cable Info'!V221," - ",'Cable Info'!W221))</f>
        <v/>
      </c>
      <c r="BL222" s="121" t="str">
        <f t="shared" si="71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0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1"/>
        <v/>
      </c>
      <c r="Y223" s="252" t="str">
        <f t="shared" si="62"/>
        <v/>
      </c>
      <c r="Z223" s="253" t="str">
        <f t="shared" si="63"/>
        <v/>
      </c>
      <c r="AA223" s="253" t="str">
        <f t="shared" si="64"/>
        <v/>
      </c>
      <c r="AB223" s="253" t="str">
        <f t="shared" si="65"/>
        <v/>
      </c>
      <c r="AJ223" s="121" t="e">
        <f>IF('Cable Info'!L222="","",CONCATENATE('Cable Info'!L222," - ",'Cable Info'!M222))</f>
        <v>#N/A</v>
      </c>
      <c r="AM223" s="121" t="e">
        <f t="shared" si="66"/>
        <v>#N/A</v>
      </c>
      <c r="AO223" s="121" t="e">
        <f>IF('Cable Info'!N222="","",CONCATENATE('Cable Info'!N222," - ",'Cable Info'!O222))</f>
        <v>#N/A</v>
      </c>
      <c r="AR223" s="121" t="e">
        <f t="shared" si="67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68"/>
        <v>#N/A</v>
      </c>
      <c r="AY223" s="121" t="str">
        <f>IF('Cable Info'!R222="","",CONCATENATE('Cable Info'!R222," - ",'Cable Info'!S222))</f>
        <v/>
      </c>
      <c r="BB223" s="121" t="str">
        <f t="shared" si="69"/>
        <v/>
      </c>
      <c r="BD223" s="121" t="str">
        <f>IF('Cable Info'!T222="","",CONCATENATE('Cable Info'!T222," - ",'Cable Info'!U222))</f>
        <v/>
      </c>
      <c r="BG223" s="121" t="str">
        <f t="shared" si="70"/>
        <v/>
      </c>
      <c r="BI223" s="121" t="str">
        <f>IF('Cable Info'!V222="","",CONCATENATE('Cable Info'!V222," - ",'Cable Info'!W222))</f>
        <v/>
      </c>
      <c r="BL223" s="121" t="str">
        <f t="shared" si="71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0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1"/>
        <v/>
      </c>
      <c r="Y224" s="252" t="str">
        <f t="shared" si="62"/>
        <v/>
      </c>
      <c r="Z224" s="253" t="str">
        <f t="shared" si="63"/>
        <v/>
      </c>
      <c r="AA224" s="253" t="str">
        <f t="shared" si="64"/>
        <v/>
      </c>
      <c r="AB224" s="253" t="str">
        <f t="shared" si="65"/>
        <v/>
      </c>
      <c r="AJ224" s="121" t="e">
        <f>IF('Cable Info'!L223="","",CONCATENATE('Cable Info'!L223," - ",'Cable Info'!M223))</f>
        <v>#N/A</v>
      </c>
      <c r="AM224" s="121" t="e">
        <f t="shared" si="66"/>
        <v>#N/A</v>
      </c>
      <c r="AO224" s="121" t="e">
        <f>IF('Cable Info'!N223="","",CONCATENATE('Cable Info'!N223," - ",'Cable Info'!O223))</f>
        <v>#N/A</v>
      </c>
      <c r="AR224" s="121" t="e">
        <f t="shared" si="67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68"/>
        <v>#N/A</v>
      </c>
      <c r="AY224" s="121" t="str">
        <f>IF('Cable Info'!R223="","",CONCATENATE('Cable Info'!R223," - ",'Cable Info'!S223))</f>
        <v/>
      </c>
      <c r="BB224" s="121" t="str">
        <f t="shared" si="69"/>
        <v/>
      </c>
      <c r="BD224" s="121" t="str">
        <f>IF('Cable Info'!T223="","",CONCATENATE('Cable Info'!T223," - ",'Cable Info'!U223))</f>
        <v/>
      </c>
      <c r="BG224" s="121" t="str">
        <f t="shared" si="70"/>
        <v/>
      </c>
      <c r="BI224" s="121" t="str">
        <f>IF('Cable Info'!V223="","",CONCATENATE('Cable Info'!V223," - ",'Cable Info'!W223))</f>
        <v/>
      </c>
      <c r="BL224" s="121" t="str">
        <f t="shared" si="71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0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1"/>
        <v/>
      </c>
      <c r="Y225" s="252" t="str">
        <f t="shared" si="62"/>
        <v/>
      </c>
      <c r="Z225" s="253" t="str">
        <f t="shared" si="63"/>
        <v/>
      </c>
      <c r="AA225" s="253" t="str">
        <f t="shared" si="64"/>
        <v/>
      </c>
      <c r="AB225" s="253" t="str">
        <f t="shared" si="65"/>
        <v/>
      </c>
      <c r="AJ225" s="121" t="e">
        <f>IF('Cable Info'!L224="","",CONCATENATE('Cable Info'!L224," - ",'Cable Info'!M224))</f>
        <v>#N/A</v>
      </c>
      <c r="AM225" s="121" t="e">
        <f t="shared" si="66"/>
        <v>#N/A</v>
      </c>
      <c r="AO225" s="121" t="e">
        <f>IF('Cable Info'!N224="","",CONCATENATE('Cable Info'!N224," - ",'Cable Info'!O224))</f>
        <v>#N/A</v>
      </c>
      <c r="AR225" s="121" t="e">
        <f t="shared" si="67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68"/>
        <v>#N/A</v>
      </c>
      <c r="AY225" s="121" t="str">
        <f>IF('Cable Info'!R224="","",CONCATENATE('Cable Info'!R224," - ",'Cable Info'!S224))</f>
        <v/>
      </c>
      <c r="BB225" s="121" t="str">
        <f t="shared" si="69"/>
        <v/>
      </c>
      <c r="BD225" s="121" t="str">
        <f>IF('Cable Info'!T224="","",CONCATENATE('Cable Info'!T224," - ",'Cable Info'!U224))</f>
        <v/>
      </c>
      <c r="BG225" s="121" t="str">
        <f t="shared" si="70"/>
        <v/>
      </c>
      <c r="BI225" s="121" t="str">
        <f>IF('Cable Info'!V224="","",CONCATENATE('Cable Info'!V224," - ",'Cable Info'!W224))</f>
        <v/>
      </c>
      <c r="BL225" s="121" t="str">
        <f t="shared" si="71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0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1"/>
        <v/>
      </c>
      <c r="Y226" s="252" t="str">
        <f t="shared" si="62"/>
        <v/>
      </c>
      <c r="Z226" s="253" t="str">
        <f t="shared" si="63"/>
        <v/>
      </c>
      <c r="AA226" s="253" t="str">
        <f t="shared" si="64"/>
        <v/>
      </c>
      <c r="AB226" s="253" t="str">
        <f t="shared" si="65"/>
        <v/>
      </c>
      <c r="AJ226" s="121" t="e">
        <f>IF('Cable Info'!L225="","",CONCATENATE('Cable Info'!L225," - ",'Cable Info'!M225))</f>
        <v>#N/A</v>
      </c>
      <c r="AM226" s="121" t="e">
        <f t="shared" si="66"/>
        <v>#N/A</v>
      </c>
      <c r="AO226" s="121" t="e">
        <f>IF('Cable Info'!N225="","",CONCATENATE('Cable Info'!N225," - ",'Cable Info'!O225))</f>
        <v>#N/A</v>
      </c>
      <c r="AR226" s="121" t="e">
        <f t="shared" si="67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68"/>
        <v>#N/A</v>
      </c>
      <c r="AY226" s="121" t="str">
        <f>IF('Cable Info'!R225="","",CONCATENATE('Cable Info'!R225," - ",'Cable Info'!S225))</f>
        <v/>
      </c>
      <c r="BB226" s="121" t="str">
        <f t="shared" si="69"/>
        <v/>
      </c>
      <c r="BD226" s="121" t="str">
        <f>IF('Cable Info'!T225="","",CONCATENATE('Cable Info'!T225," - ",'Cable Info'!U225))</f>
        <v/>
      </c>
      <c r="BG226" s="121" t="str">
        <f t="shared" si="70"/>
        <v/>
      </c>
      <c r="BI226" s="121" t="str">
        <f>IF('Cable Info'!V225="","",CONCATENATE('Cable Info'!V225," - ",'Cable Info'!W225))</f>
        <v/>
      </c>
      <c r="BL226" s="121" t="str">
        <f t="shared" si="71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0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1"/>
        <v/>
      </c>
      <c r="Y227" s="252" t="str">
        <f t="shared" si="62"/>
        <v/>
      </c>
      <c r="Z227" s="253" t="str">
        <f t="shared" si="63"/>
        <v/>
      </c>
      <c r="AA227" s="253" t="str">
        <f t="shared" si="64"/>
        <v/>
      </c>
      <c r="AB227" s="253" t="str">
        <f t="shared" si="65"/>
        <v/>
      </c>
      <c r="AJ227" s="121" t="e">
        <f>IF('Cable Info'!L226="","",CONCATENATE('Cable Info'!L226," - ",'Cable Info'!M226))</f>
        <v>#N/A</v>
      </c>
      <c r="AM227" s="121" t="e">
        <f t="shared" si="66"/>
        <v>#N/A</v>
      </c>
      <c r="AO227" s="121" t="e">
        <f>IF('Cable Info'!N226="","",CONCATENATE('Cable Info'!N226," - ",'Cable Info'!O226))</f>
        <v>#N/A</v>
      </c>
      <c r="AR227" s="121" t="e">
        <f t="shared" si="67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68"/>
        <v>#N/A</v>
      </c>
      <c r="AY227" s="121" t="str">
        <f>IF('Cable Info'!R226="","",CONCATENATE('Cable Info'!R226," - ",'Cable Info'!S226))</f>
        <v/>
      </c>
      <c r="BB227" s="121" t="str">
        <f t="shared" si="69"/>
        <v/>
      </c>
      <c r="BD227" s="121" t="str">
        <f>IF('Cable Info'!T226="","",CONCATENATE('Cable Info'!T226," - ",'Cable Info'!U226))</f>
        <v/>
      </c>
      <c r="BG227" s="121" t="str">
        <f t="shared" si="70"/>
        <v/>
      </c>
      <c r="BI227" s="121" t="str">
        <f>IF('Cable Info'!V226="","",CONCATENATE('Cable Info'!V226," - ",'Cable Info'!W226))</f>
        <v/>
      </c>
      <c r="BL227" s="121" t="str">
        <f t="shared" si="71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0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1"/>
        <v/>
      </c>
      <c r="Y228" s="252" t="str">
        <f t="shared" si="62"/>
        <v/>
      </c>
      <c r="Z228" s="253" t="str">
        <f t="shared" si="63"/>
        <v/>
      </c>
      <c r="AA228" s="253" t="str">
        <f t="shared" si="64"/>
        <v/>
      </c>
      <c r="AB228" s="253" t="str">
        <f t="shared" si="65"/>
        <v/>
      </c>
      <c r="AJ228" s="121" t="e">
        <f>IF('Cable Info'!L227="","",CONCATENATE('Cable Info'!L227," - ",'Cable Info'!M227))</f>
        <v>#N/A</v>
      </c>
      <c r="AM228" s="121" t="e">
        <f t="shared" si="66"/>
        <v>#N/A</v>
      </c>
      <c r="AO228" s="121" t="e">
        <f>IF('Cable Info'!N227="","",CONCATENATE('Cable Info'!N227," - ",'Cable Info'!O227))</f>
        <v>#N/A</v>
      </c>
      <c r="AR228" s="121" t="e">
        <f t="shared" si="67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68"/>
        <v>#N/A</v>
      </c>
      <c r="AY228" s="121" t="str">
        <f>IF('Cable Info'!R227="","",CONCATENATE('Cable Info'!R227," - ",'Cable Info'!S227))</f>
        <v/>
      </c>
      <c r="BB228" s="121" t="str">
        <f t="shared" si="69"/>
        <v/>
      </c>
      <c r="BD228" s="121" t="str">
        <f>IF('Cable Info'!T227="","",CONCATENATE('Cable Info'!T227," - ",'Cable Info'!U227))</f>
        <v/>
      </c>
      <c r="BG228" s="121" t="str">
        <f t="shared" si="70"/>
        <v/>
      </c>
      <c r="BI228" s="121" t="str">
        <f>IF('Cable Info'!V227="","",CONCATENATE('Cable Info'!V227," - ",'Cable Info'!W227))</f>
        <v/>
      </c>
      <c r="BL228" s="121" t="str">
        <f t="shared" si="71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0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1"/>
        <v/>
      </c>
      <c r="Y229" s="252" t="str">
        <f t="shared" si="62"/>
        <v/>
      </c>
      <c r="Z229" s="253" t="str">
        <f t="shared" si="63"/>
        <v/>
      </c>
      <c r="AA229" s="253" t="str">
        <f t="shared" si="64"/>
        <v/>
      </c>
      <c r="AB229" s="253" t="str">
        <f t="shared" si="65"/>
        <v/>
      </c>
      <c r="AJ229" s="121" t="e">
        <f>IF('Cable Info'!L228="","",CONCATENATE('Cable Info'!L228," - ",'Cable Info'!M228))</f>
        <v>#N/A</v>
      </c>
      <c r="AM229" s="121" t="e">
        <f t="shared" si="66"/>
        <v>#N/A</v>
      </c>
      <c r="AO229" s="121" t="e">
        <f>IF('Cable Info'!N228="","",CONCATENATE('Cable Info'!N228," - ",'Cable Info'!O228))</f>
        <v>#N/A</v>
      </c>
      <c r="AR229" s="121" t="e">
        <f t="shared" si="67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68"/>
        <v>#N/A</v>
      </c>
      <c r="AY229" s="121" t="str">
        <f>IF('Cable Info'!R228="","",CONCATENATE('Cable Info'!R228," - ",'Cable Info'!S228))</f>
        <v/>
      </c>
      <c r="BB229" s="121" t="str">
        <f t="shared" si="69"/>
        <v/>
      </c>
      <c r="BD229" s="121" t="str">
        <f>IF('Cable Info'!T228="","",CONCATENATE('Cable Info'!T228," - ",'Cable Info'!U228))</f>
        <v/>
      </c>
      <c r="BG229" s="121" t="str">
        <f t="shared" si="70"/>
        <v/>
      </c>
      <c r="BI229" s="121" t="str">
        <f>IF('Cable Info'!V228="","",CONCATENATE('Cable Info'!V228," - ",'Cable Info'!W228))</f>
        <v/>
      </c>
      <c r="BL229" s="121" t="str">
        <f t="shared" si="71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0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1"/>
        <v/>
      </c>
      <c r="Y230" s="252" t="str">
        <f t="shared" si="62"/>
        <v/>
      </c>
      <c r="Z230" s="253" t="str">
        <f t="shared" si="63"/>
        <v/>
      </c>
      <c r="AA230" s="253" t="str">
        <f t="shared" si="64"/>
        <v/>
      </c>
      <c r="AB230" s="253" t="str">
        <f t="shared" si="65"/>
        <v/>
      </c>
      <c r="AJ230" s="121" t="e">
        <f>IF('Cable Info'!L229="","",CONCATENATE('Cable Info'!L229," - ",'Cable Info'!M229))</f>
        <v>#N/A</v>
      </c>
      <c r="AM230" s="121" t="e">
        <f t="shared" si="66"/>
        <v>#N/A</v>
      </c>
      <c r="AO230" s="121" t="e">
        <f>IF('Cable Info'!N229="","",CONCATENATE('Cable Info'!N229," - ",'Cable Info'!O229))</f>
        <v>#N/A</v>
      </c>
      <c r="AR230" s="121" t="e">
        <f t="shared" si="67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68"/>
        <v>#N/A</v>
      </c>
      <c r="AY230" s="121" t="str">
        <f>IF('Cable Info'!R229="","",CONCATENATE('Cable Info'!R229," - ",'Cable Info'!S229))</f>
        <v/>
      </c>
      <c r="BB230" s="121" t="str">
        <f t="shared" si="69"/>
        <v/>
      </c>
      <c r="BD230" s="121" t="str">
        <f>IF('Cable Info'!T229="","",CONCATENATE('Cable Info'!T229," - ",'Cable Info'!U229))</f>
        <v/>
      </c>
      <c r="BG230" s="121" t="str">
        <f t="shared" si="70"/>
        <v/>
      </c>
      <c r="BI230" s="121" t="str">
        <f>IF('Cable Info'!V229="","",CONCATENATE('Cable Info'!V229," - ",'Cable Info'!W229))</f>
        <v/>
      </c>
      <c r="BL230" s="121" t="str">
        <f t="shared" si="71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0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1"/>
        <v/>
      </c>
      <c r="Y231" s="252" t="str">
        <f t="shared" si="62"/>
        <v/>
      </c>
      <c r="Z231" s="253" t="str">
        <f t="shared" si="63"/>
        <v/>
      </c>
      <c r="AA231" s="253" t="str">
        <f t="shared" si="64"/>
        <v/>
      </c>
      <c r="AB231" s="253" t="str">
        <f t="shared" si="65"/>
        <v/>
      </c>
      <c r="AJ231" s="121" t="e">
        <f>IF('Cable Info'!L230="","",CONCATENATE('Cable Info'!L230," - ",'Cable Info'!M230))</f>
        <v>#N/A</v>
      </c>
      <c r="AM231" s="121" t="e">
        <f t="shared" si="66"/>
        <v>#N/A</v>
      </c>
      <c r="AO231" s="121" t="e">
        <f>IF('Cable Info'!N230="","",CONCATENATE('Cable Info'!N230," - ",'Cable Info'!O230))</f>
        <v>#N/A</v>
      </c>
      <c r="AR231" s="121" t="e">
        <f t="shared" si="67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68"/>
        <v>#N/A</v>
      </c>
      <c r="AY231" s="121" t="str">
        <f>IF('Cable Info'!R230="","",CONCATENATE('Cable Info'!R230," - ",'Cable Info'!S230))</f>
        <v/>
      </c>
      <c r="BB231" s="121" t="str">
        <f t="shared" si="69"/>
        <v/>
      </c>
      <c r="BD231" s="121" t="str">
        <f>IF('Cable Info'!T230="","",CONCATENATE('Cable Info'!T230," - ",'Cable Info'!U230))</f>
        <v/>
      </c>
      <c r="BG231" s="121" t="str">
        <f t="shared" si="70"/>
        <v/>
      </c>
      <c r="BI231" s="121" t="str">
        <f>IF('Cable Info'!V230="","",CONCATENATE('Cable Info'!V230," - ",'Cable Info'!W230))</f>
        <v/>
      </c>
      <c r="BL231" s="121" t="str">
        <f t="shared" si="71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0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1"/>
        <v/>
      </c>
      <c r="Y232" s="252" t="str">
        <f t="shared" si="62"/>
        <v/>
      </c>
      <c r="Z232" s="253" t="str">
        <f t="shared" si="63"/>
        <v/>
      </c>
      <c r="AA232" s="253" t="str">
        <f t="shared" si="64"/>
        <v/>
      </c>
      <c r="AB232" s="253" t="str">
        <f t="shared" si="65"/>
        <v/>
      </c>
      <c r="AJ232" s="121" t="e">
        <f>IF('Cable Info'!L231="","",CONCATENATE('Cable Info'!L231," - ",'Cable Info'!M231))</f>
        <v>#N/A</v>
      </c>
      <c r="AM232" s="121" t="e">
        <f t="shared" si="66"/>
        <v>#N/A</v>
      </c>
      <c r="AO232" s="121" t="e">
        <f>IF('Cable Info'!N231="","",CONCATENATE('Cable Info'!N231," - ",'Cable Info'!O231))</f>
        <v>#N/A</v>
      </c>
      <c r="AR232" s="121" t="e">
        <f t="shared" si="67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68"/>
        <v>#N/A</v>
      </c>
      <c r="AY232" s="121" t="str">
        <f>IF('Cable Info'!R231="","",CONCATENATE('Cable Info'!R231," - ",'Cable Info'!S231))</f>
        <v/>
      </c>
      <c r="BB232" s="121" t="str">
        <f t="shared" si="69"/>
        <v/>
      </c>
      <c r="BD232" s="121" t="str">
        <f>IF('Cable Info'!T231="","",CONCATENATE('Cable Info'!T231," - ",'Cable Info'!U231))</f>
        <v/>
      </c>
      <c r="BG232" s="121" t="str">
        <f t="shared" si="70"/>
        <v/>
      </c>
      <c r="BI232" s="121" t="str">
        <f>IF('Cable Info'!V231="","",CONCATENATE('Cable Info'!V231," - ",'Cable Info'!W231))</f>
        <v/>
      </c>
      <c r="BL232" s="121" t="str">
        <f t="shared" si="71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0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1"/>
        <v/>
      </c>
      <c r="Y233" s="252" t="str">
        <f t="shared" si="62"/>
        <v/>
      </c>
      <c r="Z233" s="253" t="str">
        <f t="shared" si="63"/>
        <v/>
      </c>
      <c r="AA233" s="253" t="str">
        <f t="shared" si="64"/>
        <v/>
      </c>
      <c r="AB233" s="253" t="str">
        <f t="shared" si="65"/>
        <v/>
      </c>
      <c r="AJ233" s="121" t="e">
        <f>IF('Cable Info'!L232="","",CONCATENATE('Cable Info'!L232," - ",'Cable Info'!M232))</f>
        <v>#N/A</v>
      </c>
      <c r="AM233" s="121" t="e">
        <f t="shared" si="66"/>
        <v>#N/A</v>
      </c>
      <c r="AO233" s="121" t="e">
        <f>IF('Cable Info'!N232="","",CONCATENATE('Cable Info'!N232," - ",'Cable Info'!O232))</f>
        <v>#N/A</v>
      </c>
      <c r="AR233" s="121" t="e">
        <f t="shared" si="67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68"/>
        <v>#N/A</v>
      </c>
      <c r="AY233" s="121" t="str">
        <f>IF('Cable Info'!R232="","",CONCATENATE('Cable Info'!R232," - ",'Cable Info'!S232))</f>
        <v/>
      </c>
      <c r="BB233" s="121" t="str">
        <f t="shared" si="69"/>
        <v/>
      </c>
      <c r="BD233" s="121" t="str">
        <f>IF('Cable Info'!T232="","",CONCATENATE('Cable Info'!T232," - ",'Cable Info'!U232))</f>
        <v/>
      </c>
      <c r="BG233" s="121" t="str">
        <f t="shared" si="70"/>
        <v/>
      </c>
      <c r="BI233" s="121" t="str">
        <f>IF('Cable Info'!V232="","",CONCATENATE('Cable Info'!V232," - ",'Cable Info'!W232))</f>
        <v/>
      </c>
      <c r="BL233" s="121" t="str">
        <f t="shared" si="71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0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1"/>
        <v/>
      </c>
      <c r="Y234" s="252" t="str">
        <f t="shared" si="62"/>
        <v/>
      </c>
      <c r="Z234" s="253" t="str">
        <f t="shared" si="63"/>
        <v/>
      </c>
      <c r="AA234" s="253" t="str">
        <f t="shared" si="64"/>
        <v/>
      </c>
      <c r="AB234" s="253" t="str">
        <f t="shared" si="65"/>
        <v/>
      </c>
      <c r="AJ234" s="121" t="e">
        <f>IF('Cable Info'!L233="","",CONCATENATE('Cable Info'!L233," - ",'Cable Info'!M233))</f>
        <v>#N/A</v>
      </c>
      <c r="AM234" s="121" t="e">
        <f t="shared" si="66"/>
        <v>#N/A</v>
      </c>
      <c r="AO234" s="121" t="e">
        <f>IF('Cable Info'!N233="","",CONCATENATE('Cable Info'!N233," - ",'Cable Info'!O233))</f>
        <v>#N/A</v>
      </c>
      <c r="AR234" s="121" t="e">
        <f t="shared" si="67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68"/>
        <v>#N/A</v>
      </c>
      <c r="AY234" s="121" t="str">
        <f>IF('Cable Info'!R233="","",CONCATENATE('Cable Info'!R233," - ",'Cable Info'!S233))</f>
        <v/>
      </c>
      <c r="BB234" s="121" t="str">
        <f t="shared" si="69"/>
        <v/>
      </c>
      <c r="BD234" s="121" t="str">
        <f>IF('Cable Info'!T233="","",CONCATENATE('Cable Info'!T233," - ",'Cable Info'!U233))</f>
        <v/>
      </c>
      <c r="BG234" s="121" t="str">
        <f t="shared" si="70"/>
        <v/>
      </c>
      <c r="BI234" s="121" t="str">
        <f>IF('Cable Info'!V233="","",CONCATENATE('Cable Info'!V233," - ",'Cable Info'!W233))</f>
        <v/>
      </c>
      <c r="BL234" s="121" t="str">
        <f t="shared" si="71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0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1"/>
        <v/>
      </c>
      <c r="Y235" s="252" t="str">
        <f t="shared" si="62"/>
        <v/>
      </c>
      <c r="Z235" s="253" t="str">
        <f t="shared" si="63"/>
        <v/>
      </c>
      <c r="AA235" s="253" t="str">
        <f t="shared" si="64"/>
        <v/>
      </c>
      <c r="AB235" s="253" t="str">
        <f t="shared" si="65"/>
        <v/>
      </c>
      <c r="AJ235" s="121" t="e">
        <f>IF('Cable Info'!L234="","",CONCATENATE('Cable Info'!L234," - ",'Cable Info'!M234))</f>
        <v>#N/A</v>
      </c>
      <c r="AM235" s="121" t="e">
        <f t="shared" si="66"/>
        <v>#N/A</v>
      </c>
      <c r="AO235" s="121" t="e">
        <f>IF('Cable Info'!N234="","",CONCATENATE('Cable Info'!N234," - ",'Cable Info'!O234))</f>
        <v>#N/A</v>
      </c>
      <c r="AR235" s="121" t="e">
        <f t="shared" si="67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68"/>
        <v>#N/A</v>
      </c>
      <c r="AY235" s="121" t="str">
        <f>IF('Cable Info'!R234="","",CONCATENATE('Cable Info'!R234," - ",'Cable Info'!S234))</f>
        <v/>
      </c>
      <c r="BB235" s="121" t="str">
        <f t="shared" si="69"/>
        <v/>
      </c>
      <c r="BD235" s="121" t="str">
        <f>IF('Cable Info'!T234="","",CONCATENATE('Cable Info'!T234," - ",'Cable Info'!U234))</f>
        <v/>
      </c>
      <c r="BG235" s="121" t="str">
        <f t="shared" si="70"/>
        <v/>
      </c>
      <c r="BI235" s="121" t="str">
        <f>IF('Cable Info'!V234="","",CONCATENATE('Cable Info'!V234," - ",'Cable Info'!W234))</f>
        <v/>
      </c>
      <c r="BL235" s="121" t="str">
        <f t="shared" si="71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0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1"/>
        <v/>
      </c>
      <c r="Y236" s="252" t="str">
        <f t="shared" si="62"/>
        <v/>
      </c>
      <c r="Z236" s="253" t="str">
        <f t="shared" si="63"/>
        <v/>
      </c>
      <c r="AA236" s="253" t="str">
        <f t="shared" si="64"/>
        <v/>
      </c>
      <c r="AB236" s="253" t="str">
        <f t="shared" si="65"/>
        <v/>
      </c>
      <c r="AJ236" s="121" t="e">
        <f>IF('Cable Info'!L235="","",CONCATENATE('Cable Info'!L235," - ",'Cable Info'!M235))</f>
        <v>#N/A</v>
      </c>
      <c r="AM236" s="121" t="e">
        <f t="shared" si="66"/>
        <v>#N/A</v>
      </c>
      <c r="AO236" s="121" t="e">
        <f>IF('Cable Info'!N235="","",CONCATENATE('Cable Info'!N235," - ",'Cable Info'!O235))</f>
        <v>#N/A</v>
      </c>
      <c r="AR236" s="121" t="e">
        <f t="shared" si="67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68"/>
        <v>#N/A</v>
      </c>
      <c r="AY236" s="121" t="str">
        <f>IF('Cable Info'!R235="","",CONCATENATE('Cable Info'!R235," - ",'Cable Info'!S235))</f>
        <v/>
      </c>
      <c r="BB236" s="121" t="str">
        <f t="shared" si="69"/>
        <v/>
      </c>
      <c r="BD236" s="121" t="str">
        <f>IF('Cable Info'!T235="","",CONCATENATE('Cable Info'!T235," - ",'Cable Info'!U235))</f>
        <v/>
      </c>
      <c r="BG236" s="121" t="str">
        <f t="shared" si="70"/>
        <v/>
      </c>
      <c r="BI236" s="121" t="str">
        <f>IF('Cable Info'!V235="","",CONCATENATE('Cable Info'!V235," - ",'Cable Info'!W235))</f>
        <v/>
      </c>
      <c r="BL236" s="121" t="str">
        <f t="shared" si="71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0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1"/>
        <v/>
      </c>
      <c r="Y237" s="252" t="str">
        <f t="shared" si="62"/>
        <v/>
      </c>
      <c r="Z237" s="253" t="str">
        <f t="shared" si="63"/>
        <v/>
      </c>
      <c r="AA237" s="253" t="str">
        <f t="shared" si="64"/>
        <v/>
      </c>
      <c r="AB237" s="253" t="str">
        <f t="shared" si="65"/>
        <v/>
      </c>
      <c r="AJ237" s="121" t="e">
        <f>IF('Cable Info'!L236="","",CONCATENATE('Cable Info'!L236," - ",'Cable Info'!M236))</f>
        <v>#N/A</v>
      </c>
      <c r="AM237" s="121" t="e">
        <f t="shared" si="66"/>
        <v>#N/A</v>
      </c>
      <c r="AO237" s="121" t="e">
        <f>IF('Cable Info'!N236="","",CONCATENATE('Cable Info'!N236," - ",'Cable Info'!O236))</f>
        <v>#N/A</v>
      </c>
      <c r="AR237" s="121" t="e">
        <f t="shared" si="67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68"/>
        <v>#N/A</v>
      </c>
      <c r="AY237" s="121" t="str">
        <f>IF('Cable Info'!R236="","",CONCATENATE('Cable Info'!R236," - ",'Cable Info'!S236))</f>
        <v/>
      </c>
      <c r="BB237" s="121" t="str">
        <f t="shared" si="69"/>
        <v/>
      </c>
      <c r="BD237" s="121" t="str">
        <f>IF('Cable Info'!T236="","",CONCATENATE('Cable Info'!T236," - ",'Cable Info'!U236))</f>
        <v/>
      </c>
      <c r="BG237" s="121" t="str">
        <f t="shared" si="70"/>
        <v/>
      </c>
      <c r="BI237" s="121" t="str">
        <f>IF('Cable Info'!V236="","",CONCATENATE('Cable Info'!V236," - ",'Cable Info'!W236))</f>
        <v/>
      </c>
      <c r="BL237" s="121" t="str">
        <f t="shared" si="71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0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1"/>
        <v/>
      </c>
      <c r="Y238" s="252" t="str">
        <f t="shared" si="62"/>
        <v/>
      </c>
      <c r="Z238" s="253" t="str">
        <f t="shared" si="63"/>
        <v/>
      </c>
      <c r="AA238" s="253" t="str">
        <f t="shared" si="64"/>
        <v/>
      </c>
      <c r="AB238" s="253" t="str">
        <f t="shared" si="65"/>
        <v/>
      </c>
      <c r="AJ238" s="121" t="e">
        <f>IF('Cable Info'!L237="","",CONCATENATE('Cable Info'!L237," - ",'Cable Info'!M237))</f>
        <v>#N/A</v>
      </c>
      <c r="AM238" s="121" t="e">
        <f t="shared" si="66"/>
        <v>#N/A</v>
      </c>
      <c r="AO238" s="121" t="e">
        <f>IF('Cable Info'!N237="","",CONCATENATE('Cable Info'!N237," - ",'Cable Info'!O237))</f>
        <v>#N/A</v>
      </c>
      <c r="AR238" s="121" t="e">
        <f t="shared" si="67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68"/>
        <v>#N/A</v>
      </c>
      <c r="AY238" s="121" t="str">
        <f>IF('Cable Info'!R237="","",CONCATENATE('Cable Info'!R237," - ",'Cable Info'!S237))</f>
        <v/>
      </c>
      <c r="BB238" s="121" t="str">
        <f t="shared" si="69"/>
        <v/>
      </c>
      <c r="BD238" s="121" t="str">
        <f>IF('Cable Info'!T237="","",CONCATENATE('Cable Info'!T237," - ",'Cable Info'!U237))</f>
        <v/>
      </c>
      <c r="BG238" s="121" t="str">
        <f t="shared" si="70"/>
        <v/>
      </c>
      <c r="BI238" s="121" t="str">
        <f>IF('Cable Info'!V237="","",CONCATENATE('Cable Info'!V237," - ",'Cable Info'!W237))</f>
        <v/>
      </c>
      <c r="BL238" s="121" t="str">
        <f t="shared" si="71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0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1"/>
        <v/>
      </c>
      <c r="Y239" s="252" t="str">
        <f t="shared" si="62"/>
        <v/>
      </c>
      <c r="Z239" s="253" t="str">
        <f t="shared" si="63"/>
        <v/>
      </c>
      <c r="AA239" s="253" t="str">
        <f t="shared" si="64"/>
        <v/>
      </c>
      <c r="AB239" s="253" t="str">
        <f t="shared" si="65"/>
        <v/>
      </c>
      <c r="AJ239" s="121" t="e">
        <f>IF('Cable Info'!L238="","",CONCATENATE('Cable Info'!L238," - ",'Cable Info'!M238))</f>
        <v>#N/A</v>
      </c>
      <c r="AM239" s="121" t="e">
        <f t="shared" si="66"/>
        <v>#N/A</v>
      </c>
      <c r="AO239" s="121" t="e">
        <f>IF('Cable Info'!N238="","",CONCATENATE('Cable Info'!N238," - ",'Cable Info'!O238))</f>
        <v>#N/A</v>
      </c>
      <c r="AR239" s="121" t="e">
        <f t="shared" si="67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68"/>
        <v>#N/A</v>
      </c>
      <c r="AY239" s="121" t="str">
        <f>IF('Cable Info'!R238="","",CONCATENATE('Cable Info'!R238," - ",'Cable Info'!S238))</f>
        <v/>
      </c>
      <c r="BB239" s="121" t="str">
        <f t="shared" si="69"/>
        <v/>
      </c>
      <c r="BD239" s="121" t="str">
        <f>IF('Cable Info'!T238="","",CONCATENATE('Cable Info'!T238," - ",'Cable Info'!U238))</f>
        <v/>
      </c>
      <c r="BG239" s="121" t="str">
        <f t="shared" si="70"/>
        <v/>
      </c>
      <c r="BI239" s="121" t="str">
        <f>IF('Cable Info'!V238="","",CONCATENATE('Cable Info'!V238," - ",'Cable Info'!W238))</f>
        <v/>
      </c>
      <c r="BL239" s="121" t="str">
        <f t="shared" si="71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0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1"/>
        <v/>
      </c>
      <c r="Y240" s="252" t="str">
        <f t="shared" si="62"/>
        <v/>
      </c>
      <c r="Z240" s="253" t="str">
        <f t="shared" si="63"/>
        <v/>
      </c>
      <c r="AA240" s="253" t="str">
        <f t="shared" si="64"/>
        <v/>
      </c>
      <c r="AB240" s="253" t="str">
        <f t="shared" si="65"/>
        <v/>
      </c>
      <c r="AJ240" s="121" t="e">
        <f>IF('Cable Info'!L239="","",CONCATENATE('Cable Info'!L239," - ",'Cable Info'!M239))</f>
        <v>#N/A</v>
      </c>
      <c r="AM240" s="121" t="e">
        <f t="shared" si="66"/>
        <v>#N/A</v>
      </c>
      <c r="AO240" s="121" t="e">
        <f>IF('Cable Info'!N239="","",CONCATENATE('Cable Info'!N239," - ",'Cable Info'!O239))</f>
        <v>#N/A</v>
      </c>
      <c r="AR240" s="121" t="e">
        <f t="shared" si="67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68"/>
        <v>#N/A</v>
      </c>
      <c r="AY240" s="121" t="str">
        <f>IF('Cable Info'!R239="","",CONCATENATE('Cable Info'!R239," - ",'Cable Info'!S239))</f>
        <v/>
      </c>
      <c r="BB240" s="121" t="str">
        <f t="shared" si="69"/>
        <v/>
      </c>
      <c r="BD240" s="121" t="str">
        <f>IF('Cable Info'!T239="","",CONCATENATE('Cable Info'!T239," - ",'Cable Info'!U239))</f>
        <v/>
      </c>
      <c r="BG240" s="121" t="str">
        <f t="shared" si="70"/>
        <v/>
      </c>
      <c r="BI240" s="121" t="str">
        <f>IF('Cable Info'!V239="","",CONCATENATE('Cable Info'!V239," - ",'Cable Info'!W239))</f>
        <v/>
      </c>
      <c r="BL240" s="121" t="str">
        <f t="shared" si="71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0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1"/>
        <v/>
      </c>
      <c r="Y241" s="252" t="str">
        <f t="shared" si="62"/>
        <v/>
      </c>
      <c r="Z241" s="253" t="str">
        <f t="shared" si="63"/>
        <v/>
      </c>
      <c r="AA241" s="253" t="str">
        <f t="shared" si="64"/>
        <v/>
      </c>
      <c r="AB241" s="253" t="str">
        <f t="shared" si="65"/>
        <v/>
      </c>
      <c r="AJ241" s="121" t="e">
        <f>IF('Cable Info'!L240="","",CONCATENATE('Cable Info'!L240," - ",'Cable Info'!M240))</f>
        <v>#N/A</v>
      </c>
      <c r="AM241" s="121" t="e">
        <f t="shared" si="66"/>
        <v>#N/A</v>
      </c>
      <c r="AO241" s="121" t="e">
        <f>IF('Cable Info'!N240="","",CONCATENATE('Cable Info'!N240," - ",'Cable Info'!O240))</f>
        <v>#N/A</v>
      </c>
      <c r="AR241" s="121" t="e">
        <f t="shared" si="67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68"/>
        <v>#N/A</v>
      </c>
      <c r="AY241" s="121" t="str">
        <f>IF('Cable Info'!R240="","",CONCATENATE('Cable Info'!R240," - ",'Cable Info'!S240))</f>
        <v/>
      </c>
      <c r="BB241" s="121" t="str">
        <f t="shared" si="69"/>
        <v/>
      </c>
      <c r="BD241" s="121" t="str">
        <f>IF('Cable Info'!T240="","",CONCATENATE('Cable Info'!T240," - ",'Cable Info'!U240))</f>
        <v/>
      </c>
      <c r="BG241" s="121" t="str">
        <f t="shared" si="70"/>
        <v/>
      </c>
      <c r="BI241" s="121" t="str">
        <f>IF('Cable Info'!V240="","",CONCATENATE('Cable Info'!V240," - ",'Cable Info'!W240))</f>
        <v/>
      </c>
      <c r="BL241" s="121" t="str">
        <f t="shared" si="71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0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1"/>
        <v/>
      </c>
      <c r="Y242" s="252" t="str">
        <f t="shared" si="62"/>
        <v/>
      </c>
      <c r="Z242" s="253" t="str">
        <f t="shared" si="63"/>
        <v/>
      </c>
      <c r="AA242" s="253" t="str">
        <f t="shared" si="64"/>
        <v/>
      </c>
      <c r="AB242" s="253" t="str">
        <f t="shared" si="65"/>
        <v/>
      </c>
      <c r="AJ242" s="121" t="e">
        <f>IF('Cable Info'!L241="","",CONCATENATE('Cable Info'!L241," - ",'Cable Info'!M241))</f>
        <v>#N/A</v>
      </c>
      <c r="AM242" s="121" t="e">
        <f t="shared" si="66"/>
        <v>#N/A</v>
      </c>
      <c r="AO242" s="121" t="e">
        <f>IF('Cable Info'!N241="","",CONCATENATE('Cable Info'!N241," - ",'Cable Info'!O241))</f>
        <v>#N/A</v>
      </c>
      <c r="AR242" s="121" t="e">
        <f t="shared" si="67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68"/>
        <v>#N/A</v>
      </c>
      <c r="AY242" s="121" t="str">
        <f>IF('Cable Info'!R241="","",CONCATENATE('Cable Info'!R241," - ",'Cable Info'!S241))</f>
        <v/>
      </c>
      <c r="BB242" s="121" t="str">
        <f t="shared" si="69"/>
        <v/>
      </c>
      <c r="BD242" s="121" t="str">
        <f>IF('Cable Info'!T241="","",CONCATENATE('Cable Info'!T241," - ",'Cable Info'!U241))</f>
        <v/>
      </c>
      <c r="BG242" s="121" t="str">
        <f t="shared" si="70"/>
        <v/>
      </c>
      <c r="BI242" s="121" t="str">
        <f>IF('Cable Info'!V241="","",CONCATENATE('Cable Info'!V241," - ",'Cable Info'!W241))</f>
        <v/>
      </c>
      <c r="BL242" s="121" t="str">
        <f t="shared" si="71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0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1"/>
        <v/>
      </c>
      <c r="Y243" s="252" t="str">
        <f t="shared" si="62"/>
        <v/>
      </c>
      <c r="Z243" s="253" t="str">
        <f t="shared" si="63"/>
        <v/>
      </c>
      <c r="AA243" s="253" t="str">
        <f t="shared" si="64"/>
        <v/>
      </c>
      <c r="AB243" s="253" t="str">
        <f t="shared" si="65"/>
        <v/>
      </c>
      <c r="AJ243" s="121" t="e">
        <f>IF('Cable Info'!L242="","",CONCATENATE('Cable Info'!L242," - ",'Cable Info'!M242))</f>
        <v>#N/A</v>
      </c>
      <c r="AM243" s="121" t="e">
        <f t="shared" si="66"/>
        <v>#N/A</v>
      </c>
      <c r="AO243" s="121" t="e">
        <f>IF('Cable Info'!N242="","",CONCATENATE('Cable Info'!N242," - ",'Cable Info'!O242))</f>
        <v>#N/A</v>
      </c>
      <c r="AR243" s="121" t="e">
        <f t="shared" si="67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68"/>
        <v>#N/A</v>
      </c>
      <c r="AY243" s="121" t="str">
        <f>IF('Cable Info'!R242="","",CONCATENATE('Cable Info'!R242," - ",'Cable Info'!S242))</f>
        <v/>
      </c>
      <c r="BB243" s="121" t="str">
        <f t="shared" si="69"/>
        <v/>
      </c>
      <c r="BD243" s="121" t="str">
        <f>IF('Cable Info'!T242="","",CONCATENATE('Cable Info'!T242," - ",'Cable Info'!U242))</f>
        <v/>
      </c>
      <c r="BG243" s="121" t="str">
        <f t="shared" si="70"/>
        <v/>
      </c>
      <c r="BI243" s="121" t="str">
        <f>IF('Cable Info'!V242="","",CONCATENATE('Cable Info'!V242," - ",'Cable Info'!W242))</f>
        <v/>
      </c>
      <c r="BL243" s="121" t="str">
        <f t="shared" si="71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0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1"/>
        <v/>
      </c>
      <c r="Y244" s="252" t="str">
        <f t="shared" si="62"/>
        <v/>
      </c>
      <c r="Z244" s="253" t="str">
        <f t="shared" si="63"/>
        <v/>
      </c>
      <c r="AA244" s="253" t="str">
        <f t="shared" si="64"/>
        <v/>
      </c>
      <c r="AB244" s="253" t="str">
        <f t="shared" si="65"/>
        <v/>
      </c>
      <c r="AJ244" s="121" t="e">
        <f>IF('Cable Info'!L243="","",CONCATENATE('Cable Info'!L243," - ",'Cable Info'!M243))</f>
        <v>#N/A</v>
      </c>
      <c r="AM244" s="121" t="e">
        <f t="shared" si="66"/>
        <v>#N/A</v>
      </c>
      <c r="AO244" s="121" t="e">
        <f>IF('Cable Info'!N243="","",CONCATENATE('Cable Info'!N243," - ",'Cable Info'!O243))</f>
        <v>#N/A</v>
      </c>
      <c r="AR244" s="121" t="e">
        <f t="shared" si="67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68"/>
        <v>#N/A</v>
      </c>
      <c r="AY244" s="121" t="str">
        <f>IF('Cable Info'!R243="","",CONCATENATE('Cable Info'!R243," - ",'Cable Info'!S243))</f>
        <v/>
      </c>
      <c r="BB244" s="121" t="str">
        <f t="shared" si="69"/>
        <v/>
      </c>
      <c r="BD244" s="121" t="str">
        <f>IF('Cable Info'!T243="","",CONCATENATE('Cable Info'!T243," - ",'Cable Info'!U243))</f>
        <v/>
      </c>
      <c r="BG244" s="121" t="str">
        <f t="shared" si="70"/>
        <v/>
      </c>
      <c r="BI244" s="121" t="str">
        <f>IF('Cable Info'!V243="","",CONCATENATE('Cable Info'!V243," - ",'Cable Info'!W243))</f>
        <v/>
      </c>
      <c r="BL244" s="121" t="str">
        <f t="shared" si="71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0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1"/>
        <v/>
      </c>
      <c r="Y245" s="252" t="str">
        <f t="shared" si="62"/>
        <v/>
      </c>
      <c r="Z245" s="253" t="str">
        <f t="shared" si="63"/>
        <v/>
      </c>
      <c r="AA245" s="253" t="str">
        <f t="shared" si="64"/>
        <v/>
      </c>
      <c r="AB245" s="253" t="str">
        <f t="shared" si="65"/>
        <v/>
      </c>
      <c r="AJ245" s="121" t="e">
        <f>IF('Cable Info'!L244="","",CONCATENATE('Cable Info'!L244," - ",'Cable Info'!M244))</f>
        <v>#N/A</v>
      </c>
      <c r="AM245" s="121" t="e">
        <f t="shared" si="66"/>
        <v>#N/A</v>
      </c>
      <c r="AO245" s="121" t="e">
        <f>IF('Cable Info'!N244="","",CONCATENATE('Cable Info'!N244," - ",'Cable Info'!O244))</f>
        <v>#N/A</v>
      </c>
      <c r="AR245" s="121" t="e">
        <f t="shared" si="67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68"/>
        <v>#N/A</v>
      </c>
      <c r="AY245" s="121" t="str">
        <f>IF('Cable Info'!R244="","",CONCATENATE('Cable Info'!R244," - ",'Cable Info'!S244))</f>
        <v/>
      </c>
      <c r="BB245" s="121" t="str">
        <f t="shared" si="69"/>
        <v/>
      </c>
      <c r="BD245" s="121" t="str">
        <f>IF('Cable Info'!T244="","",CONCATENATE('Cable Info'!T244," - ",'Cable Info'!U244))</f>
        <v/>
      </c>
      <c r="BG245" s="121" t="str">
        <f t="shared" si="70"/>
        <v/>
      </c>
      <c r="BI245" s="121" t="str">
        <f>IF('Cable Info'!V244="","",CONCATENATE('Cable Info'!V244," - ",'Cable Info'!W244))</f>
        <v/>
      </c>
      <c r="BL245" s="121" t="str">
        <f t="shared" si="71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0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1"/>
        <v/>
      </c>
      <c r="Y246" s="252" t="str">
        <f t="shared" si="62"/>
        <v/>
      </c>
      <c r="Z246" s="253" t="str">
        <f t="shared" si="63"/>
        <v/>
      </c>
      <c r="AA246" s="253" t="str">
        <f t="shared" si="64"/>
        <v/>
      </c>
      <c r="AB246" s="253" t="str">
        <f t="shared" si="65"/>
        <v/>
      </c>
      <c r="AJ246" s="121" t="e">
        <f>IF('Cable Info'!L245="","",CONCATENATE('Cable Info'!L245," - ",'Cable Info'!M245))</f>
        <v>#N/A</v>
      </c>
      <c r="AM246" s="121" t="e">
        <f t="shared" si="66"/>
        <v>#N/A</v>
      </c>
      <c r="AO246" s="121" t="e">
        <f>IF('Cable Info'!N245="","",CONCATENATE('Cable Info'!N245," - ",'Cable Info'!O245))</f>
        <v>#N/A</v>
      </c>
      <c r="AR246" s="121" t="e">
        <f t="shared" si="67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68"/>
        <v>#N/A</v>
      </c>
      <c r="AY246" s="121" t="str">
        <f>IF('Cable Info'!R245="","",CONCATENATE('Cable Info'!R245," - ",'Cable Info'!S245))</f>
        <v/>
      </c>
      <c r="BB246" s="121" t="str">
        <f t="shared" si="69"/>
        <v/>
      </c>
      <c r="BD246" s="121" t="str">
        <f>IF('Cable Info'!T245="","",CONCATENATE('Cable Info'!T245," - ",'Cable Info'!U245))</f>
        <v/>
      </c>
      <c r="BG246" s="121" t="str">
        <f t="shared" si="70"/>
        <v/>
      </c>
      <c r="BI246" s="121" t="str">
        <f>IF('Cable Info'!V245="","",CONCATENATE('Cable Info'!V245," - ",'Cable Info'!W245))</f>
        <v/>
      </c>
      <c r="BL246" s="121" t="str">
        <f t="shared" si="71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0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1"/>
        <v/>
      </c>
      <c r="Y247" s="252" t="str">
        <f t="shared" si="62"/>
        <v/>
      </c>
      <c r="Z247" s="253" t="str">
        <f t="shared" si="63"/>
        <v/>
      </c>
      <c r="AA247" s="253" t="str">
        <f t="shared" si="64"/>
        <v/>
      </c>
      <c r="AB247" s="253" t="str">
        <f t="shared" si="65"/>
        <v/>
      </c>
      <c r="AJ247" s="121" t="e">
        <f>IF('Cable Info'!L246="","",CONCATENATE('Cable Info'!L246," - ",'Cable Info'!M246))</f>
        <v>#N/A</v>
      </c>
      <c r="AM247" s="121" t="e">
        <f t="shared" si="66"/>
        <v>#N/A</v>
      </c>
      <c r="AO247" s="121" t="e">
        <f>IF('Cable Info'!N246="","",CONCATENATE('Cable Info'!N246," - ",'Cable Info'!O246))</f>
        <v>#N/A</v>
      </c>
      <c r="AR247" s="121" t="e">
        <f t="shared" si="67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68"/>
        <v>#N/A</v>
      </c>
      <c r="AY247" s="121" t="str">
        <f>IF('Cable Info'!R246="","",CONCATENATE('Cable Info'!R246," - ",'Cable Info'!S246))</f>
        <v/>
      </c>
      <c r="BB247" s="121" t="str">
        <f t="shared" si="69"/>
        <v/>
      </c>
      <c r="BD247" s="121" t="str">
        <f>IF('Cable Info'!T246="","",CONCATENATE('Cable Info'!T246," - ",'Cable Info'!U246))</f>
        <v/>
      </c>
      <c r="BG247" s="121" t="str">
        <f t="shared" si="70"/>
        <v/>
      </c>
      <c r="BI247" s="121" t="str">
        <f>IF('Cable Info'!V246="","",CONCATENATE('Cable Info'!V246," - ",'Cable Info'!W246))</f>
        <v/>
      </c>
      <c r="BL247" s="121" t="str">
        <f t="shared" si="71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0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1"/>
        <v/>
      </c>
      <c r="Y248" s="252" t="str">
        <f t="shared" si="62"/>
        <v/>
      </c>
      <c r="Z248" s="253" t="str">
        <f t="shared" si="63"/>
        <v/>
      </c>
      <c r="AA248" s="253" t="str">
        <f t="shared" si="64"/>
        <v/>
      </c>
      <c r="AB248" s="253" t="str">
        <f t="shared" si="65"/>
        <v/>
      </c>
      <c r="AJ248" s="121" t="e">
        <f>IF('Cable Info'!L247="","",CONCATENATE('Cable Info'!L247," - ",'Cable Info'!M247))</f>
        <v>#N/A</v>
      </c>
      <c r="AM248" s="121" t="e">
        <f t="shared" si="66"/>
        <v>#N/A</v>
      </c>
      <c r="AO248" s="121" t="e">
        <f>IF('Cable Info'!N247="","",CONCATENATE('Cable Info'!N247," - ",'Cable Info'!O247))</f>
        <v>#N/A</v>
      </c>
      <c r="AR248" s="121" t="e">
        <f t="shared" si="67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68"/>
        <v>#N/A</v>
      </c>
      <c r="AY248" s="121" t="str">
        <f>IF('Cable Info'!R247="","",CONCATENATE('Cable Info'!R247," - ",'Cable Info'!S247))</f>
        <v/>
      </c>
      <c r="BB248" s="121" t="str">
        <f t="shared" si="69"/>
        <v/>
      </c>
      <c r="BD248" s="121" t="str">
        <f>IF('Cable Info'!T247="","",CONCATENATE('Cable Info'!T247," - ",'Cable Info'!U247))</f>
        <v/>
      </c>
      <c r="BG248" s="121" t="str">
        <f t="shared" si="70"/>
        <v/>
      </c>
      <c r="BI248" s="121" t="str">
        <f>IF('Cable Info'!V247="","",CONCATENATE('Cable Info'!V247," - ",'Cable Info'!W247))</f>
        <v/>
      </c>
      <c r="BL248" s="121" t="str">
        <f t="shared" si="71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0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1"/>
        <v/>
      </c>
      <c r="Y249" s="252" t="str">
        <f t="shared" si="62"/>
        <v/>
      </c>
      <c r="Z249" s="253" t="str">
        <f t="shared" si="63"/>
        <v/>
      </c>
      <c r="AA249" s="253" t="str">
        <f t="shared" si="64"/>
        <v/>
      </c>
      <c r="AB249" s="253" t="str">
        <f t="shared" si="65"/>
        <v/>
      </c>
      <c r="AJ249" s="121" t="e">
        <f>IF('Cable Info'!L248="","",CONCATENATE('Cable Info'!L248," - ",'Cable Info'!M248))</f>
        <v>#N/A</v>
      </c>
      <c r="AM249" s="121" t="e">
        <f t="shared" si="66"/>
        <v>#N/A</v>
      </c>
      <c r="AO249" s="121" t="e">
        <f>IF('Cable Info'!N248="","",CONCATENATE('Cable Info'!N248," - ",'Cable Info'!O248))</f>
        <v>#N/A</v>
      </c>
      <c r="AR249" s="121" t="e">
        <f t="shared" si="67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68"/>
        <v>#N/A</v>
      </c>
      <c r="AY249" s="121" t="str">
        <f>IF('Cable Info'!R248="","",CONCATENATE('Cable Info'!R248," - ",'Cable Info'!S248))</f>
        <v/>
      </c>
      <c r="BB249" s="121" t="str">
        <f t="shared" si="69"/>
        <v/>
      </c>
      <c r="BD249" s="121" t="str">
        <f>IF('Cable Info'!T248="","",CONCATENATE('Cable Info'!T248," - ",'Cable Info'!U248))</f>
        <v/>
      </c>
      <c r="BG249" s="121" t="str">
        <f t="shared" si="70"/>
        <v/>
      </c>
      <c r="BI249" s="121" t="str">
        <f>IF('Cable Info'!V248="","",CONCATENATE('Cable Info'!V248," - ",'Cable Info'!W248))</f>
        <v/>
      </c>
      <c r="BL249" s="121" t="str">
        <f t="shared" si="71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0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1"/>
        <v/>
      </c>
      <c r="Y250" s="252" t="str">
        <f t="shared" si="62"/>
        <v/>
      </c>
      <c r="Z250" s="253" t="str">
        <f t="shared" si="63"/>
        <v/>
      </c>
      <c r="AA250" s="253" t="str">
        <f t="shared" si="64"/>
        <v/>
      </c>
      <c r="AB250" s="253" t="str">
        <f t="shared" si="65"/>
        <v/>
      </c>
      <c r="AJ250" s="121" t="e">
        <f>IF('Cable Info'!L249="","",CONCATENATE('Cable Info'!L249," - ",'Cable Info'!M249))</f>
        <v>#N/A</v>
      </c>
      <c r="AM250" s="121" t="e">
        <f t="shared" si="66"/>
        <v>#N/A</v>
      </c>
      <c r="AO250" s="121" t="e">
        <f>IF('Cable Info'!N249="","",CONCATENATE('Cable Info'!N249," - ",'Cable Info'!O249))</f>
        <v>#N/A</v>
      </c>
      <c r="AR250" s="121" t="e">
        <f t="shared" si="67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68"/>
        <v>#N/A</v>
      </c>
      <c r="AY250" s="121" t="str">
        <f>IF('Cable Info'!R249="","",CONCATENATE('Cable Info'!R249," - ",'Cable Info'!S249))</f>
        <v/>
      </c>
      <c r="BB250" s="121" t="str">
        <f t="shared" si="69"/>
        <v/>
      </c>
      <c r="BD250" s="121" t="str">
        <f>IF('Cable Info'!T249="","",CONCATENATE('Cable Info'!T249," - ",'Cable Info'!U249))</f>
        <v/>
      </c>
      <c r="BG250" s="121" t="str">
        <f t="shared" si="70"/>
        <v/>
      </c>
      <c r="BI250" s="121" t="str">
        <f>IF('Cable Info'!V249="","",CONCATENATE('Cable Info'!V249," - ",'Cable Info'!W249))</f>
        <v/>
      </c>
      <c r="BL250" s="121" t="str">
        <f t="shared" si="71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0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1"/>
        <v/>
      </c>
      <c r="Y251" s="252" t="str">
        <f t="shared" si="62"/>
        <v/>
      </c>
      <c r="Z251" s="253" t="str">
        <f t="shared" si="63"/>
        <v/>
      </c>
      <c r="AA251" s="253" t="str">
        <f t="shared" si="64"/>
        <v/>
      </c>
      <c r="AB251" s="253" t="str">
        <f t="shared" si="65"/>
        <v/>
      </c>
      <c r="AJ251" s="121" t="e">
        <f>IF('Cable Info'!L250="","",CONCATENATE('Cable Info'!L250," - ",'Cable Info'!M250))</f>
        <v>#N/A</v>
      </c>
      <c r="AM251" s="121" t="e">
        <f t="shared" si="66"/>
        <v>#N/A</v>
      </c>
      <c r="AO251" s="121" t="e">
        <f>IF('Cable Info'!N250="","",CONCATENATE('Cable Info'!N250," - ",'Cable Info'!O250))</f>
        <v>#N/A</v>
      </c>
      <c r="AR251" s="121" t="e">
        <f t="shared" si="67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68"/>
        <v>#N/A</v>
      </c>
      <c r="AY251" s="121" t="str">
        <f>IF('Cable Info'!R250="","",CONCATENATE('Cable Info'!R250," - ",'Cable Info'!S250))</f>
        <v/>
      </c>
      <c r="BB251" s="121" t="str">
        <f t="shared" si="69"/>
        <v/>
      </c>
      <c r="BD251" s="121" t="str">
        <f>IF('Cable Info'!T250="","",CONCATENATE('Cable Info'!T250," - ",'Cable Info'!U250))</f>
        <v/>
      </c>
      <c r="BG251" s="121" t="str">
        <f t="shared" si="70"/>
        <v/>
      </c>
      <c r="BI251" s="121" t="str">
        <f>IF('Cable Info'!V250="","",CONCATENATE('Cable Info'!V250," - ",'Cable Info'!W250))</f>
        <v/>
      </c>
      <c r="BL251" s="121" t="str">
        <f t="shared" si="71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0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1"/>
        <v/>
      </c>
      <c r="Y252" s="252" t="str">
        <f t="shared" si="62"/>
        <v/>
      </c>
      <c r="Z252" s="253" t="str">
        <f t="shared" si="63"/>
        <v/>
      </c>
      <c r="AA252" s="253" t="str">
        <f t="shared" si="64"/>
        <v/>
      </c>
      <c r="AB252" s="253" t="str">
        <f t="shared" si="65"/>
        <v/>
      </c>
      <c r="AJ252" s="121" t="e">
        <f>IF('Cable Info'!L251="","",CONCATENATE('Cable Info'!L251," - ",'Cable Info'!M251))</f>
        <v>#N/A</v>
      </c>
      <c r="AM252" s="121" t="e">
        <f t="shared" si="66"/>
        <v>#N/A</v>
      </c>
      <c r="AO252" s="121" t="e">
        <f>IF('Cable Info'!N251="","",CONCATENATE('Cable Info'!N251," - ",'Cable Info'!O251))</f>
        <v>#N/A</v>
      </c>
      <c r="AR252" s="121" t="e">
        <f t="shared" si="67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68"/>
        <v>#N/A</v>
      </c>
      <c r="AY252" s="121" t="str">
        <f>IF('Cable Info'!R251="","",CONCATENATE('Cable Info'!R251," - ",'Cable Info'!S251))</f>
        <v/>
      </c>
      <c r="BB252" s="121" t="str">
        <f t="shared" si="69"/>
        <v/>
      </c>
      <c r="BD252" s="121" t="str">
        <f>IF('Cable Info'!T251="","",CONCATENATE('Cable Info'!T251," - ",'Cable Info'!U251))</f>
        <v/>
      </c>
      <c r="BG252" s="121" t="str">
        <f t="shared" si="70"/>
        <v/>
      </c>
      <c r="BI252" s="121" t="str">
        <f>IF('Cable Info'!V251="","",CONCATENATE('Cable Info'!V251," - ",'Cable Info'!W251))</f>
        <v/>
      </c>
      <c r="BL252" s="121" t="str">
        <f t="shared" si="71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0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1"/>
        <v/>
      </c>
      <c r="Y253" s="252" t="str">
        <f t="shared" si="62"/>
        <v/>
      </c>
      <c r="Z253" s="253" t="str">
        <f t="shared" si="63"/>
        <v/>
      </c>
      <c r="AA253" s="253" t="str">
        <f t="shared" si="64"/>
        <v/>
      </c>
      <c r="AB253" s="253" t="str">
        <f t="shared" si="65"/>
        <v/>
      </c>
      <c r="AJ253" s="121" t="e">
        <f>IF('Cable Info'!L252="","",CONCATENATE('Cable Info'!L252," - ",'Cable Info'!M252))</f>
        <v>#N/A</v>
      </c>
      <c r="AM253" s="121" t="e">
        <f t="shared" si="66"/>
        <v>#N/A</v>
      </c>
      <c r="AO253" s="121" t="e">
        <f>IF('Cable Info'!N252="","",CONCATENATE('Cable Info'!N252," - ",'Cable Info'!O252))</f>
        <v>#N/A</v>
      </c>
      <c r="AR253" s="121" t="e">
        <f t="shared" si="67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68"/>
        <v>#N/A</v>
      </c>
      <c r="AY253" s="121" t="str">
        <f>IF('Cable Info'!R252="","",CONCATENATE('Cable Info'!R252," - ",'Cable Info'!S252))</f>
        <v/>
      </c>
      <c r="BB253" s="121" t="str">
        <f t="shared" si="69"/>
        <v/>
      </c>
      <c r="BD253" s="121" t="str">
        <f>IF('Cable Info'!T252="","",CONCATENATE('Cable Info'!T252," - ",'Cable Info'!U252))</f>
        <v/>
      </c>
      <c r="BG253" s="121" t="str">
        <f t="shared" si="70"/>
        <v/>
      </c>
      <c r="BI253" s="121" t="str">
        <f>IF('Cable Info'!V252="","",CONCATENATE('Cable Info'!V252," - ",'Cable Info'!W252))</f>
        <v/>
      </c>
      <c r="BL253" s="121" t="str">
        <f t="shared" si="71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0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1"/>
        <v/>
      </c>
      <c r="Y254" s="252" t="str">
        <f t="shared" si="62"/>
        <v/>
      </c>
      <c r="Z254" s="253" t="str">
        <f t="shared" si="63"/>
        <v/>
      </c>
      <c r="AA254" s="253" t="str">
        <f t="shared" si="64"/>
        <v/>
      </c>
      <c r="AB254" s="253" t="str">
        <f t="shared" si="65"/>
        <v/>
      </c>
      <c r="AJ254" s="121" t="e">
        <f>IF('Cable Info'!L253="","",CONCATENATE('Cable Info'!L253," - ",'Cable Info'!M253))</f>
        <v>#N/A</v>
      </c>
      <c r="AM254" s="121" t="e">
        <f t="shared" si="66"/>
        <v>#N/A</v>
      </c>
      <c r="AO254" s="121" t="e">
        <f>IF('Cable Info'!N253="","",CONCATENATE('Cable Info'!N253," - ",'Cable Info'!O253))</f>
        <v>#N/A</v>
      </c>
      <c r="AR254" s="121" t="e">
        <f t="shared" si="67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68"/>
        <v>#N/A</v>
      </c>
      <c r="AY254" s="121" t="str">
        <f>IF('Cable Info'!R253="","",CONCATENATE('Cable Info'!R253," - ",'Cable Info'!S253))</f>
        <v/>
      </c>
      <c r="BB254" s="121" t="str">
        <f t="shared" si="69"/>
        <v/>
      </c>
      <c r="BD254" s="121" t="str">
        <f>IF('Cable Info'!T253="","",CONCATENATE('Cable Info'!T253," - ",'Cable Info'!U253))</f>
        <v/>
      </c>
      <c r="BG254" s="121" t="str">
        <f t="shared" si="70"/>
        <v/>
      </c>
      <c r="BI254" s="121" t="str">
        <f>IF('Cable Info'!V253="","",CONCATENATE('Cable Info'!V253," - ",'Cable Info'!W253))</f>
        <v/>
      </c>
      <c r="BL254" s="121" t="str">
        <f t="shared" si="71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0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1"/>
        <v/>
      </c>
      <c r="Y255" s="252" t="str">
        <f t="shared" si="62"/>
        <v/>
      </c>
      <c r="Z255" s="253" t="str">
        <f t="shared" si="63"/>
        <v/>
      </c>
      <c r="AA255" s="253" t="str">
        <f t="shared" si="64"/>
        <v/>
      </c>
      <c r="AB255" s="253" t="str">
        <f t="shared" si="65"/>
        <v/>
      </c>
      <c r="AJ255" s="121" t="e">
        <f>IF('Cable Info'!L254="","",CONCATENATE('Cable Info'!L254," - ",'Cable Info'!M254))</f>
        <v>#N/A</v>
      </c>
      <c r="AM255" s="121" t="e">
        <f t="shared" si="66"/>
        <v>#N/A</v>
      </c>
      <c r="AO255" s="121" t="e">
        <f>IF('Cable Info'!N254="","",CONCATENATE('Cable Info'!N254," - ",'Cable Info'!O254))</f>
        <v>#N/A</v>
      </c>
      <c r="AR255" s="121" t="e">
        <f t="shared" si="67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68"/>
        <v>#N/A</v>
      </c>
      <c r="AY255" s="121" t="str">
        <f>IF('Cable Info'!R254="","",CONCATENATE('Cable Info'!R254," - ",'Cable Info'!S254))</f>
        <v/>
      </c>
      <c r="BB255" s="121" t="str">
        <f t="shared" si="69"/>
        <v/>
      </c>
      <c r="BD255" s="121" t="str">
        <f>IF('Cable Info'!T254="","",CONCATENATE('Cable Info'!T254," - ",'Cable Info'!U254))</f>
        <v/>
      </c>
      <c r="BG255" s="121" t="str">
        <f t="shared" si="70"/>
        <v/>
      </c>
      <c r="BI255" s="121" t="str">
        <f>IF('Cable Info'!V254="","",CONCATENATE('Cable Info'!V254," - ",'Cable Info'!W254))</f>
        <v/>
      </c>
      <c r="BL255" s="121" t="str">
        <f t="shared" si="71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0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1"/>
        <v/>
      </c>
      <c r="Y256" s="252" t="str">
        <f t="shared" si="62"/>
        <v/>
      </c>
      <c r="Z256" s="253" t="str">
        <f t="shared" si="63"/>
        <v/>
      </c>
      <c r="AA256" s="253" t="str">
        <f t="shared" si="64"/>
        <v/>
      </c>
      <c r="AB256" s="253" t="str">
        <f t="shared" si="65"/>
        <v/>
      </c>
      <c r="AJ256" s="121" t="e">
        <f>IF('Cable Info'!L255="","",CONCATENATE('Cable Info'!L255," - ",'Cable Info'!M255))</f>
        <v>#N/A</v>
      </c>
      <c r="AM256" s="121" t="e">
        <f t="shared" si="66"/>
        <v>#N/A</v>
      </c>
      <c r="AO256" s="121" t="e">
        <f>IF('Cable Info'!N255="","",CONCATENATE('Cable Info'!N255," - ",'Cable Info'!O255))</f>
        <v>#N/A</v>
      </c>
      <c r="AR256" s="121" t="e">
        <f t="shared" si="67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68"/>
        <v>#N/A</v>
      </c>
      <c r="AY256" s="121" t="str">
        <f>IF('Cable Info'!R255="","",CONCATENATE('Cable Info'!R255," - ",'Cable Info'!S255))</f>
        <v/>
      </c>
      <c r="BB256" s="121" t="str">
        <f t="shared" si="69"/>
        <v/>
      </c>
      <c r="BD256" s="121" t="str">
        <f>IF('Cable Info'!T255="","",CONCATENATE('Cable Info'!T255," - ",'Cable Info'!U255))</f>
        <v/>
      </c>
      <c r="BG256" s="121" t="str">
        <f t="shared" si="70"/>
        <v/>
      </c>
      <c r="BI256" s="121" t="str">
        <f>IF('Cable Info'!V255="","",CONCATENATE('Cable Info'!V255," - ",'Cable Info'!W255))</f>
        <v/>
      </c>
      <c r="BL256" s="121" t="str">
        <f t="shared" si="71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0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1"/>
        <v/>
      </c>
      <c r="Y257" s="252" t="str">
        <f t="shared" si="62"/>
        <v/>
      </c>
      <c r="Z257" s="253" t="str">
        <f t="shared" si="63"/>
        <v/>
      </c>
      <c r="AA257" s="253" t="str">
        <f t="shared" si="64"/>
        <v/>
      </c>
      <c r="AB257" s="253" t="str">
        <f t="shared" si="65"/>
        <v/>
      </c>
      <c r="AJ257" s="121" t="e">
        <f>IF('Cable Info'!L256="","",CONCATENATE('Cable Info'!L256," - ",'Cable Info'!M256))</f>
        <v>#N/A</v>
      </c>
      <c r="AM257" s="121" t="e">
        <f t="shared" si="66"/>
        <v>#N/A</v>
      </c>
      <c r="AO257" s="121" t="e">
        <f>IF('Cable Info'!N256="","",CONCATENATE('Cable Info'!N256," - ",'Cable Info'!O256))</f>
        <v>#N/A</v>
      </c>
      <c r="AR257" s="121" t="e">
        <f t="shared" si="67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68"/>
        <v>#N/A</v>
      </c>
      <c r="AY257" s="121" t="str">
        <f>IF('Cable Info'!R256="","",CONCATENATE('Cable Info'!R256," - ",'Cable Info'!S256))</f>
        <v/>
      </c>
      <c r="BB257" s="121" t="str">
        <f t="shared" si="69"/>
        <v/>
      </c>
      <c r="BD257" s="121" t="str">
        <f>IF('Cable Info'!T256="","",CONCATENATE('Cable Info'!T256," - ",'Cable Info'!U256))</f>
        <v/>
      </c>
      <c r="BG257" s="121" t="str">
        <f t="shared" si="70"/>
        <v/>
      </c>
      <c r="BI257" s="121" t="str">
        <f>IF('Cable Info'!V256="","",CONCATENATE('Cable Info'!V256," - ",'Cable Info'!W256))</f>
        <v/>
      </c>
      <c r="BL257" s="121" t="str">
        <f t="shared" si="71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0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1"/>
        <v/>
      </c>
      <c r="Y258" s="252" t="str">
        <f t="shared" si="62"/>
        <v/>
      </c>
      <c r="Z258" s="253" t="str">
        <f t="shared" si="63"/>
        <v/>
      </c>
      <c r="AA258" s="253" t="str">
        <f t="shared" si="64"/>
        <v/>
      </c>
      <c r="AB258" s="253" t="str">
        <f t="shared" si="65"/>
        <v/>
      </c>
      <c r="AJ258" s="121" t="e">
        <f>IF('Cable Info'!L257="","",CONCATENATE('Cable Info'!L257," - ",'Cable Info'!M257))</f>
        <v>#N/A</v>
      </c>
      <c r="AM258" s="121" t="e">
        <f t="shared" si="66"/>
        <v>#N/A</v>
      </c>
      <c r="AO258" s="121" t="e">
        <f>IF('Cable Info'!N257="","",CONCATENATE('Cable Info'!N257," - ",'Cable Info'!O257))</f>
        <v>#N/A</v>
      </c>
      <c r="AR258" s="121" t="e">
        <f t="shared" si="67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68"/>
        <v>#N/A</v>
      </c>
      <c r="AY258" s="121" t="str">
        <f>IF('Cable Info'!R257="","",CONCATENATE('Cable Info'!R257," - ",'Cable Info'!S257))</f>
        <v/>
      </c>
      <c r="BB258" s="121" t="str">
        <f t="shared" si="69"/>
        <v/>
      </c>
      <c r="BD258" s="121" t="str">
        <f>IF('Cable Info'!T257="","",CONCATENATE('Cable Info'!T257," - ",'Cable Info'!U257))</f>
        <v/>
      </c>
      <c r="BG258" s="121" t="str">
        <f t="shared" si="70"/>
        <v/>
      </c>
      <c r="BI258" s="121" t="str">
        <f>IF('Cable Info'!V257="","",CONCATENATE('Cable Info'!V257," - ",'Cable Info'!W257))</f>
        <v/>
      </c>
      <c r="BL258" s="121" t="str">
        <f t="shared" si="71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0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1"/>
        <v/>
      </c>
      <c r="Y259" s="252" t="str">
        <f t="shared" si="62"/>
        <v/>
      </c>
      <c r="Z259" s="253" t="str">
        <f t="shared" si="63"/>
        <v/>
      </c>
      <c r="AA259" s="253" t="str">
        <f t="shared" si="64"/>
        <v/>
      </c>
      <c r="AB259" s="253" t="str">
        <f t="shared" si="65"/>
        <v/>
      </c>
      <c r="AJ259" s="121" t="e">
        <f>IF('Cable Info'!L258="","",CONCATENATE('Cable Info'!L258," - ",'Cable Info'!M258))</f>
        <v>#N/A</v>
      </c>
      <c r="AM259" s="121" t="e">
        <f t="shared" si="66"/>
        <v>#N/A</v>
      </c>
      <c r="AO259" s="121" t="e">
        <f>IF('Cable Info'!N258="","",CONCATENATE('Cable Info'!N258," - ",'Cable Info'!O258))</f>
        <v>#N/A</v>
      </c>
      <c r="AR259" s="121" t="e">
        <f t="shared" si="67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68"/>
        <v>#N/A</v>
      </c>
      <c r="AY259" s="121" t="str">
        <f>IF('Cable Info'!R258="","",CONCATENATE('Cable Info'!R258," - ",'Cable Info'!S258))</f>
        <v/>
      </c>
      <c r="BB259" s="121" t="str">
        <f t="shared" si="69"/>
        <v/>
      </c>
      <c r="BD259" s="121" t="str">
        <f>IF('Cable Info'!T258="","",CONCATENATE('Cable Info'!T258," - ",'Cable Info'!U258))</f>
        <v/>
      </c>
      <c r="BG259" s="121" t="str">
        <f t="shared" si="70"/>
        <v/>
      </c>
      <c r="BI259" s="121" t="str">
        <f>IF('Cable Info'!V258="","",CONCATENATE('Cable Info'!V258," - ",'Cable Info'!W258))</f>
        <v/>
      </c>
      <c r="BL259" s="121" t="str">
        <f t="shared" si="71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0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1"/>
        <v/>
      </c>
      <c r="Y260" s="252" t="str">
        <f t="shared" si="62"/>
        <v/>
      </c>
      <c r="Z260" s="253" t="str">
        <f t="shared" si="63"/>
        <v/>
      </c>
      <c r="AA260" s="253" t="str">
        <f t="shared" si="64"/>
        <v/>
      </c>
      <c r="AB260" s="253" t="str">
        <f t="shared" si="65"/>
        <v/>
      </c>
      <c r="AJ260" s="121" t="e">
        <f>IF('Cable Info'!L259="","",CONCATENATE('Cable Info'!L259," - ",'Cable Info'!M259))</f>
        <v>#N/A</v>
      </c>
      <c r="AM260" s="121" t="e">
        <f t="shared" si="66"/>
        <v>#N/A</v>
      </c>
      <c r="AO260" s="121" t="e">
        <f>IF('Cable Info'!N259="","",CONCATENATE('Cable Info'!N259," - ",'Cable Info'!O259))</f>
        <v>#N/A</v>
      </c>
      <c r="AR260" s="121" t="e">
        <f t="shared" si="67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68"/>
        <v>#N/A</v>
      </c>
      <c r="AY260" s="121" t="str">
        <f>IF('Cable Info'!R259="","",CONCATENATE('Cable Info'!R259," - ",'Cable Info'!S259))</f>
        <v/>
      </c>
      <c r="BB260" s="121" t="str">
        <f t="shared" si="69"/>
        <v/>
      </c>
      <c r="BD260" s="121" t="str">
        <f>IF('Cable Info'!T259="","",CONCATENATE('Cable Info'!T259," - ",'Cable Info'!U259))</f>
        <v/>
      </c>
      <c r="BG260" s="121" t="str">
        <f t="shared" si="70"/>
        <v/>
      </c>
      <c r="BI260" s="121" t="str">
        <f>IF('Cable Info'!V259="","",CONCATENATE('Cable Info'!V259," - ",'Cable Info'!W259))</f>
        <v/>
      </c>
      <c r="BL260" s="121" t="str">
        <f t="shared" si="71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0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1"/>
        <v/>
      </c>
      <c r="Y261" s="252" t="str">
        <f t="shared" si="62"/>
        <v/>
      </c>
      <c r="Z261" s="253" t="str">
        <f t="shared" si="63"/>
        <v/>
      </c>
      <c r="AA261" s="253" t="str">
        <f t="shared" si="64"/>
        <v/>
      </c>
      <c r="AB261" s="253" t="str">
        <f t="shared" si="65"/>
        <v/>
      </c>
      <c r="AJ261" s="121" t="e">
        <f>IF('Cable Info'!L260="","",CONCATENATE('Cable Info'!L260," - ",'Cable Info'!M260))</f>
        <v>#N/A</v>
      </c>
      <c r="AM261" s="121" t="e">
        <f t="shared" si="66"/>
        <v>#N/A</v>
      </c>
      <c r="AO261" s="121" t="e">
        <f>IF('Cable Info'!N260="","",CONCATENATE('Cable Info'!N260," - ",'Cable Info'!O260))</f>
        <v>#N/A</v>
      </c>
      <c r="AR261" s="121" t="e">
        <f t="shared" si="67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68"/>
        <v>#N/A</v>
      </c>
      <c r="AY261" s="121" t="str">
        <f>IF('Cable Info'!R260="","",CONCATENATE('Cable Info'!R260," - ",'Cable Info'!S260))</f>
        <v/>
      </c>
      <c r="BB261" s="121" t="str">
        <f t="shared" si="69"/>
        <v/>
      </c>
      <c r="BD261" s="121" t="str">
        <f>IF('Cable Info'!T260="","",CONCATENATE('Cable Info'!T260," - ",'Cable Info'!U260))</f>
        <v/>
      </c>
      <c r="BG261" s="121" t="str">
        <f t="shared" si="70"/>
        <v/>
      </c>
      <c r="BI261" s="121" t="str">
        <f>IF('Cable Info'!V260="","",CONCATENATE('Cable Info'!V260," - ",'Cable Info'!W260))</f>
        <v/>
      </c>
      <c r="BL261" s="121" t="str">
        <f t="shared" si="71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0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1"/>
        <v/>
      </c>
      <c r="Y262" s="252" t="str">
        <f t="shared" si="62"/>
        <v/>
      </c>
      <c r="Z262" s="253" t="str">
        <f t="shared" si="63"/>
        <v/>
      </c>
      <c r="AA262" s="253" t="str">
        <f t="shared" si="64"/>
        <v/>
      </c>
      <c r="AB262" s="253" t="str">
        <f t="shared" si="65"/>
        <v/>
      </c>
      <c r="AJ262" s="121" t="e">
        <f>IF('Cable Info'!L261="","",CONCATENATE('Cable Info'!L261," - ",'Cable Info'!M261))</f>
        <v>#N/A</v>
      </c>
      <c r="AM262" s="121" t="e">
        <f t="shared" si="66"/>
        <v>#N/A</v>
      </c>
      <c r="AO262" s="121" t="e">
        <f>IF('Cable Info'!N261="","",CONCATENATE('Cable Info'!N261," - ",'Cable Info'!O261))</f>
        <v>#N/A</v>
      </c>
      <c r="AR262" s="121" t="e">
        <f t="shared" si="67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68"/>
        <v>#N/A</v>
      </c>
      <c r="AY262" s="121" t="str">
        <f>IF('Cable Info'!R261="","",CONCATENATE('Cable Info'!R261," - ",'Cable Info'!S261))</f>
        <v/>
      </c>
      <c r="BB262" s="121" t="str">
        <f t="shared" si="69"/>
        <v/>
      </c>
      <c r="BD262" s="121" t="str">
        <f>IF('Cable Info'!T261="","",CONCATENATE('Cable Info'!T261," - ",'Cable Info'!U261))</f>
        <v/>
      </c>
      <c r="BG262" s="121" t="str">
        <f t="shared" si="70"/>
        <v/>
      </c>
      <c r="BI262" s="121" t="str">
        <f>IF('Cable Info'!V261="","",CONCATENATE('Cable Info'!V261," - ",'Cable Info'!W261))</f>
        <v/>
      </c>
      <c r="BL262" s="121" t="str">
        <f t="shared" si="71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0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1"/>
        <v/>
      </c>
      <c r="Y263" s="252" t="str">
        <f t="shared" si="62"/>
        <v/>
      </c>
      <c r="Z263" s="253" t="str">
        <f t="shared" si="63"/>
        <v/>
      </c>
      <c r="AA263" s="253" t="str">
        <f t="shared" si="64"/>
        <v/>
      </c>
      <c r="AB263" s="253" t="str">
        <f t="shared" si="65"/>
        <v/>
      </c>
      <c r="AJ263" s="121" t="e">
        <f>IF('Cable Info'!L262="","",CONCATENATE('Cable Info'!L262," - ",'Cable Info'!M262))</f>
        <v>#N/A</v>
      </c>
      <c r="AM263" s="121" t="e">
        <f t="shared" si="66"/>
        <v>#N/A</v>
      </c>
      <c r="AO263" s="121" t="e">
        <f>IF('Cable Info'!N262="","",CONCATENATE('Cable Info'!N262," - ",'Cable Info'!O262))</f>
        <v>#N/A</v>
      </c>
      <c r="AR263" s="121" t="e">
        <f t="shared" si="67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68"/>
        <v>#N/A</v>
      </c>
      <c r="AY263" s="121" t="str">
        <f>IF('Cable Info'!R262="","",CONCATENATE('Cable Info'!R262," - ",'Cable Info'!S262))</f>
        <v/>
      </c>
      <c r="BB263" s="121" t="str">
        <f t="shared" si="69"/>
        <v/>
      </c>
      <c r="BD263" s="121" t="str">
        <f>IF('Cable Info'!T262="","",CONCATENATE('Cable Info'!T262," - ",'Cable Info'!U262))</f>
        <v/>
      </c>
      <c r="BG263" s="121" t="str">
        <f t="shared" si="70"/>
        <v/>
      </c>
      <c r="BI263" s="121" t="str">
        <f>IF('Cable Info'!V262="","",CONCATENATE('Cable Info'!V262," - ",'Cable Info'!W262))</f>
        <v/>
      </c>
      <c r="BL263" s="121" t="str">
        <f t="shared" si="71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0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1"/>
        <v/>
      </c>
      <c r="Y264" s="252" t="str">
        <f t="shared" si="62"/>
        <v/>
      </c>
      <c r="Z264" s="253" t="str">
        <f t="shared" si="63"/>
        <v/>
      </c>
      <c r="AA264" s="253" t="str">
        <f t="shared" si="64"/>
        <v/>
      </c>
      <c r="AB264" s="253" t="str">
        <f t="shared" si="65"/>
        <v/>
      </c>
      <c r="AJ264" s="121" t="e">
        <f>IF('Cable Info'!L263="","",CONCATENATE('Cable Info'!L263," - ",'Cable Info'!M263))</f>
        <v>#N/A</v>
      </c>
      <c r="AM264" s="121" t="e">
        <f t="shared" si="66"/>
        <v>#N/A</v>
      </c>
      <c r="AO264" s="121" t="e">
        <f>IF('Cable Info'!N263="","",CONCATENATE('Cable Info'!N263," - ",'Cable Info'!O263))</f>
        <v>#N/A</v>
      </c>
      <c r="AR264" s="121" t="e">
        <f t="shared" si="67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68"/>
        <v>#N/A</v>
      </c>
      <c r="AY264" s="121" t="str">
        <f>IF('Cable Info'!R263="","",CONCATENATE('Cable Info'!R263," - ",'Cable Info'!S263))</f>
        <v/>
      </c>
      <c r="BB264" s="121" t="str">
        <f t="shared" si="69"/>
        <v/>
      </c>
      <c r="BD264" s="121" t="str">
        <f>IF('Cable Info'!T263="","",CONCATENATE('Cable Info'!T263," - ",'Cable Info'!U263))</f>
        <v/>
      </c>
      <c r="BG264" s="121" t="str">
        <f t="shared" si="70"/>
        <v/>
      </c>
      <c r="BI264" s="121" t="str">
        <f>IF('Cable Info'!V263="","",CONCATENATE('Cable Info'!V263," - ",'Cable Info'!W263))</f>
        <v/>
      </c>
      <c r="BL264" s="121" t="str">
        <f t="shared" si="71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0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1"/>
        <v/>
      </c>
      <c r="Y265" s="252" t="str">
        <f t="shared" si="62"/>
        <v/>
      </c>
      <c r="Z265" s="253" t="str">
        <f t="shared" si="63"/>
        <v/>
      </c>
      <c r="AA265" s="253" t="str">
        <f t="shared" si="64"/>
        <v/>
      </c>
      <c r="AB265" s="253" t="str">
        <f t="shared" si="65"/>
        <v/>
      </c>
      <c r="AJ265" s="121" t="e">
        <f>IF('Cable Info'!L264="","",CONCATENATE('Cable Info'!L264," - ",'Cable Info'!M264))</f>
        <v>#N/A</v>
      </c>
      <c r="AM265" s="121" t="e">
        <f t="shared" si="66"/>
        <v>#N/A</v>
      </c>
      <c r="AO265" s="121" t="e">
        <f>IF('Cable Info'!N264="","",CONCATENATE('Cable Info'!N264," - ",'Cable Info'!O264))</f>
        <v>#N/A</v>
      </c>
      <c r="AR265" s="121" t="e">
        <f t="shared" si="67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68"/>
        <v>#N/A</v>
      </c>
      <c r="AY265" s="121" t="str">
        <f>IF('Cable Info'!R264="","",CONCATENATE('Cable Info'!R264," - ",'Cable Info'!S264))</f>
        <v/>
      </c>
      <c r="BB265" s="121" t="str">
        <f t="shared" si="69"/>
        <v/>
      </c>
      <c r="BD265" s="121" t="str">
        <f>IF('Cable Info'!T264="","",CONCATENATE('Cable Info'!T264," - ",'Cable Info'!U264))</f>
        <v/>
      </c>
      <c r="BG265" s="121" t="str">
        <f t="shared" si="70"/>
        <v/>
      </c>
      <c r="BI265" s="121" t="str">
        <f>IF('Cable Info'!V264="","",CONCATENATE('Cable Info'!V264," - ",'Cable Info'!W264))</f>
        <v/>
      </c>
      <c r="BL265" s="121" t="str">
        <f t="shared" si="71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0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1"/>
        <v/>
      </c>
      <c r="Y266" s="252" t="str">
        <f t="shared" si="62"/>
        <v/>
      </c>
      <c r="Z266" s="253" t="str">
        <f t="shared" si="63"/>
        <v/>
      </c>
      <c r="AA266" s="253" t="str">
        <f t="shared" si="64"/>
        <v/>
      </c>
      <c r="AB266" s="253" t="str">
        <f t="shared" si="65"/>
        <v/>
      </c>
      <c r="AJ266" s="121" t="e">
        <f>IF('Cable Info'!L265="","",CONCATENATE('Cable Info'!L265," - ",'Cable Info'!M265))</f>
        <v>#N/A</v>
      </c>
      <c r="AM266" s="121" t="e">
        <f t="shared" si="66"/>
        <v>#N/A</v>
      </c>
      <c r="AO266" s="121" t="e">
        <f>IF('Cable Info'!N265="","",CONCATENATE('Cable Info'!N265," - ",'Cable Info'!O265))</f>
        <v>#N/A</v>
      </c>
      <c r="AR266" s="121" t="e">
        <f t="shared" si="67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68"/>
        <v>#N/A</v>
      </c>
      <c r="AY266" s="121" t="str">
        <f>IF('Cable Info'!R265="","",CONCATENATE('Cable Info'!R265," - ",'Cable Info'!S265))</f>
        <v/>
      </c>
      <c r="BB266" s="121" t="str">
        <f t="shared" si="69"/>
        <v/>
      </c>
      <c r="BD266" s="121" t="str">
        <f>IF('Cable Info'!T265="","",CONCATENATE('Cable Info'!T265," - ",'Cable Info'!U265))</f>
        <v/>
      </c>
      <c r="BG266" s="121" t="str">
        <f t="shared" si="70"/>
        <v/>
      </c>
      <c r="BI266" s="121" t="str">
        <f>IF('Cable Info'!V265="","",CONCATENATE('Cable Info'!V265," - ",'Cable Info'!W265))</f>
        <v/>
      </c>
      <c r="BL266" s="121" t="str">
        <f t="shared" si="71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0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1"/>
        <v/>
      </c>
      <c r="Y267" s="252" t="str">
        <f t="shared" si="62"/>
        <v/>
      </c>
      <c r="Z267" s="253" t="str">
        <f t="shared" si="63"/>
        <v/>
      </c>
      <c r="AA267" s="253" t="str">
        <f t="shared" si="64"/>
        <v/>
      </c>
      <c r="AB267" s="253" t="str">
        <f t="shared" si="65"/>
        <v/>
      </c>
      <c r="AJ267" s="121" t="e">
        <f>IF('Cable Info'!L266="","",CONCATENATE('Cable Info'!L266," - ",'Cable Info'!M266))</f>
        <v>#N/A</v>
      </c>
      <c r="AM267" s="121" t="e">
        <f t="shared" si="66"/>
        <v>#N/A</v>
      </c>
      <c r="AO267" s="121" t="e">
        <f>IF('Cable Info'!N266="","",CONCATENATE('Cable Info'!N266," - ",'Cable Info'!O266))</f>
        <v>#N/A</v>
      </c>
      <c r="AR267" s="121" t="e">
        <f t="shared" si="67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68"/>
        <v>#N/A</v>
      </c>
      <c r="AY267" s="121" t="str">
        <f>IF('Cable Info'!R266="","",CONCATENATE('Cable Info'!R266," - ",'Cable Info'!S266))</f>
        <v/>
      </c>
      <c r="BB267" s="121" t="str">
        <f t="shared" si="69"/>
        <v/>
      </c>
      <c r="BD267" s="121" t="str">
        <f>IF('Cable Info'!T266="","",CONCATENATE('Cable Info'!T266," - ",'Cable Info'!U266))</f>
        <v/>
      </c>
      <c r="BG267" s="121" t="str">
        <f t="shared" si="70"/>
        <v/>
      </c>
      <c r="BI267" s="121" t="str">
        <f>IF('Cable Info'!V266="","",CONCATENATE('Cable Info'!V266," - ",'Cable Info'!W266))</f>
        <v/>
      </c>
      <c r="BL267" s="121" t="str">
        <f t="shared" si="71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0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1"/>
        <v/>
      </c>
      <c r="Y268" s="252" t="str">
        <f t="shared" si="62"/>
        <v/>
      </c>
      <c r="Z268" s="253" t="str">
        <f t="shared" si="63"/>
        <v/>
      </c>
      <c r="AA268" s="253" t="str">
        <f t="shared" si="64"/>
        <v/>
      </c>
      <c r="AB268" s="253" t="str">
        <f t="shared" si="65"/>
        <v/>
      </c>
      <c r="AJ268" s="121" t="e">
        <f>IF('Cable Info'!L267="","",CONCATENATE('Cable Info'!L267," - ",'Cable Info'!M267))</f>
        <v>#N/A</v>
      </c>
      <c r="AM268" s="121" t="e">
        <f t="shared" si="66"/>
        <v>#N/A</v>
      </c>
      <c r="AO268" s="121" t="e">
        <f>IF('Cable Info'!N267="","",CONCATENATE('Cable Info'!N267," - ",'Cable Info'!O267))</f>
        <v>#N/A</v>
      </c>
      <c r="AR268" s="121" t="e">
        <f t="shared" si="67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68"/>
        <v>#N/A</v>
      </c>
      <c r="AY268" s="121" t="str">
        <f>IF('Cable Info'!R267="","",CONCATENATE('Cable Info'!R267," - ",'Cable Info'!S267))</f>
        <v/>
      </c>
      <c r="BB268" s="121" t="str">
        <f t="shared" si="69"/>
        <v/>
      </c>
      <c r="BD268" s="121" t="str">
        <f>IF('Cable Info'!T267="","",CONCATENATE('Cable Info'!T267," - ",'Cable Info'!U267))</f>
        <v/>
      </c>
      <c r="BG268" s="121" t="str">
        <f t="shared" si="70"/>
        <v/>
      </c>
      <c r="BI268" s="121" t="str">
        <f>IF('Cable Info'!V267="","",CONCATENATE('Cable Info'!V267," - ",'Cable Info'!W267))</f>
        <v/>
      </c>
      <c r="BL268" s="121" t="str">
        <f t="shared" si="71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2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3">IF(V269="","",IF(R269="","",IF(S269="","",IF(R269="SPLICED",(IF(S269="SPLICE",0,9)),IF(V269=$U$3,(IF(S269="BREAK",12,11)),IF(S269="BREAK",2,1))))))</f>
        <v/>
      </c>
      <c r="Y269" s="252" t="str">
        <f t="shared" ref="Y269:Y332" si="74">IF(E269="","",IF(G269="","",IF(E269&gt;G269,1,"")))</f>
        <v/>
      </c>
      <c r="Z269" s="253" t="str">
        <f t="shared" ref="Z269:Z332" si="75">IF(I269="","",IF(K269="","",IF(I269&gt;K269,1,"")))</f>
        <v/>
      </c>
      <c r="AA269" s="253" t="str">
        <f t="shared" ref="AA269:AA332" si="76">IF(K269="","",((I269-K269)-1)*(-1))</f>
        <v/>
      </c>
      <c r="AB269" s="253" t="str">
        <f t="shared" ref="AB269:AB332" si="77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78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79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0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1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2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3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2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3"/>
        <v/>
      </c>
      <c r="Y270" s="252" t="str">
        <f t="shared" si="74"/>
        <v/>
      </c>
      <c r="Z270" s="253" t="str">
        <f t="shared" si="75"/>
        <v/>
      </c>
      <c r="AA270" s="253" t="str">
        <f t="shared" si="76"/>
        <v/>
      </c>
      <c r="AB270" s="253" t="str">
        <f t="shared" si="77"/>
        <v/>
      </c>
      <c r="AJ270" s="121" t="e">
        <f>IF('Cable Info'!L269="","",CONCATENATE('Cable Info'!L269," - ",'Cable Info'!M269))</f>
        <v>#N/A</v>
      </c>
      <c r="AM270" s="121" t="e">
        <f t="shared" si="78"/>
        <v>#N/A</v>
      </c>
      <c r="AO270" s="121" t="e">
        <f>IF('Cable Info'!N269="","",CONCATENATE('Cable Info'!N269," - ",'Cable Info'!O269))</f>
        <v>#N/A</v>
      </c>
      <c r="AR270" s="121" t="e">
        <f t="shared" si="79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0"/>
        <v>#N/A</v>
      </c>
      <c r="AY270" s="121" t="str">
        <f>IF('Cable Info'!R269="","",CONCATENATE('Cable Info'!R269," - ",'Cable Info'!S269))</f>
        <v/>
      </c>
      <c r="BB270" s="121" t="str">
        <f t="shared" si="81"/>
        <v/>
      </c>
      <c r="BD270" s="121" t="str">
        <f>IF('Cable Info'!T269="","",CONCATENATE('Cable Info'!T269," - ",'Cable Info'!U269))</f>
        <v/>
      </c>
      <c r="BG270" s="121" t="str">
        <f t="shared" si="82"/>
        <v/>
      </c>
      <c r="BI270" s="121" t="str">
        <f>IF('Cable Info'!V269="","",CONCATENATE('Cable Info'!V269," - ",'Cable Info'!W269))</f>
        <v/>
      </c>
      <c r="BL270" s="121" t="str">
        <f t="shared" si="83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2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3"/>
        <v/>
      </c>
      <c r="Y271" s="252" t="str">
        <f t="shared" si="74"/>
        <v/>
      </c>
      <c r="Z271" s="253" t="str">
        <f t="shared" si="75"/>
        <v/>
      </c>
      <c r="AA271" s="253" t="str">
        <f t="shared" si="76"/>
        <v/>
      </c>
      <c r="AB271" s="253" t="str">
        <f t="shared" si="77"/>
        <v/>
      </c>
      <c r="AJ271" s="121" t="e">
        <f>IF('Cable Info'!L270="","",CONCATENATE('Cable Info'!L270," - ",'Cable Info'!M270))</f>
        <v>#N/A</v>
      </c>
      <c r="AM271" s="121" t="e">
        <f t="shared" si="78"/>
        <v>#N/A</v>
      </c>
      <c r="AO271" s="121" t="e">
        <f>IF('Cable Info'!N270="","",CONCATENATE('Cable Info'!N270," - ",'Cable Info'!O270))</f>
        <v>#N/A</v>
      </c>
      <c r="AR271" s="121" t="e">
        <f t="shared" si="79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0"/>
        <v>#N/A</v>
      </c>
      <c r="AY271" s="121" t="str">
        <f>IF('Cable Info'!R270="","",CONCATENATE('Cable Info'!R270," - ",'Cable Info'!S270))</f>
        <v/>
      </c>
      <c r="BB271" s="121" t="str">
        <f t="shared" si="81"/>
        <v/>
      </c>
      <c r="BD271" s="121" t="str">
        <f>IF('Cable Info'!T270="","",CONCATENATE('Cable Info'!T270," - ",'Cable Info'!U270))</f>
        <v/>
      </c>
      <c r="BG271" s="121" t="str">
        <f t="shared" si="82"/>
        <v/>
      </c>
      <c r="BI271" s="121" t="str">
        <f>IF('Cable Info'!V270="","",CONCATENATE('Cable Info'!V270," - ",'Cable Info'!W270))</f>
        <v/>
      </c>
      <c r="BL271" s="121" t="str">
        <f t="shared" si="83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2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3"/>
        <v/>
      </c>
      <c r="Y272" s="252" t="str">
        <f t="shared" si="74"/>
        <v/>
      </c>
      <c r="Z272" s="253" t="str">
        <f t="shared" si="75"/>
        <v/>
      </c>
      <c r="AA272" s="253" t="str">
        <f t="shared" si="76"/>
        <v/>
      </c>
      <c r="AB272" s="253" t="str">
        <f t="shared" si="77"/>
        <v/>
      </c>
      <c r="AJ272" s="121" t="e">
        <f>IF('Cable Info'!L271="","",CONCATENATE('Cable Info'!L271," - ",'Cable Info'!M271))</f>
        <v>#N/A</v>
      </c>
      <c r="AM272" s="121" t="e">
        <f t="shared" si="78"/>
        <v>#N/A</v>
      </c>
      <c r="AO272" s="121" t="e">
        <f>IF('Cable Info'!N271="","",CONCATENATE('Cable Info'!N271," - ",'Cable Info'!O271))</f>
        <v>#N/A</v>
      </c>
      <c r="AR272" s="121" t="e">
        <f t="shared" si="79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0"/>
        <v>#N/A</v>
      </c>
      <c r="AY272" s="121" t="str">
        <f>IF('Cable Info'!R271="","",CONCATENATE('Cable Info'!R271," - ",'Cable Info'!S271))</f>
        <v/>
      </c>
      <c r="BB272" s="121" t="str">
        <f t="shared" si="81"/>
        <v/>
      </c>
      <c r="BD272" s="121" t="str">
        <f>IF('Cable Info'!T271="","",CONCATENATE('Cable Info'!T271," - ",'Cable Info'!U271))</f>
        <v/>
      </c>
      <c r="BG272" s="121" t="str">
        <f t="shared" si="82"/>
        <v/>
      </c>
      <c r="BI272" s="121" t="str">
        <f>IF('Cable Info'!V271="","",CONCATENATE('Cable Info'!V271," - ",'Cable Info'!W271))</f>
        <v/>
      </c>
      <c r="BL272" s="121" t="str">
        <f t="shared" si="83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2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3"/>
        <v/>
      </c>
      <c r="Y273" s="252" t="str">
        <f t="shared" si="74"/>
        <v/>
      </c>
      <c r="Z273" s="253" t="str">
        <f t="shared" si="75"/>
        <v/>
      </c>
      <c r="AA273" s="253" t="str">
        <f t="shared" si="76"/>
        <v/>
      </c>
      <c r="AB273" s="253" t="str">
        <f t="shared" si="77"/>
        <v/>
      </c>
      <c r="AJ273" s="121" t="e">
        <f>IF('Cable Info'!L272="","",CONCATENATE('Cable Info'!L272," - ",'Cable Info'!M272))</f>
        <v>#N/A</v>
      </c>
      <c r="AM273" s="121" t="e">
        <f t="shared" si="78"/>
        <v>#N/A</v>
      </c>
      <c r="AO273" s="121" t="e">
        <f>IF('Cable Info'!N272="","",CONCATENATE('Cable Info'!N272," - ",'Cable Info'!O272))</f>
        <v>#N/A</v>
      </c>
      <c r="AR273" s="121" t="e">
        <f t="shared" si="79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0"/>
        <v>#N/A</v>
      </c>
      <c r="AY273" s="121" t="str">
        <f>IF('Cable Info'!R272="","",CONCATENATE('Cable Info'!R272," - ",'Cable Info'!S272))</f>
        <v/>
      </c>
      <c r="BB273" s="121" t="str">
        <f t="shared" si="81"/>
        <v/>
      </c>
      <c r="BD273" s="121" t="str">
        <f>IF('Cable Info'!T272="","",CONCATENATE('Cable Info'!T272," - ",'Cable Info'!U272))</f>
        <v/>
      </c>
      <c r="BG273" s="121" t="str">
        <f t="shared" si="82"/>
        <v/>
      </c>
      <c r="BI273" s="121" t="str">
        <f>IF('Cable Info'!V272="","",CONCATENATE('Cable Info'!V272," - ",'Cable Info'!W272))</f>
        <v/>
      </c>
      <c r="BL273" s="121" t="str">
        <f t="shared" si="83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2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3"/>
        <v/>
      </c>
      <c r="Y274" s="252" t="str">
        <f t="shared" si="74"/>
        <v/>
      </c>
      <c r="Z274" s="253" t="str">
        <f t="shared" si="75"/>
        <v/>
      </c>
      <c r="AA274" s="253" t="str">
        <f t="shared" si="76"/>
        <v/>
      </c>
      <c r="AB274" s="253" t="str">
        <f t="shared" si="77"/>
        <v/>
      </c>
      <c r="AJ274" s="121" t="e">
        <f>IF('Cable Info'!L273="","",CONCATENATE('Cable Info'!L273," - ",'Cable Info'!M273))</f>
        <v>#N/A</v>
      </c>
      <c r="AM274" s="121" t="e">
        <f t="shared" si="78"/>
        <v>#N/A</v>
      </c>
      <c r="AO274" s="121" t="e">
        <f>IF('Cable Info'!N273="","",CONCATENATE('Cable Info'!N273," - ",'Cable Info'!O273))</f>
        <v>#N/A</v>
      </c>
      <c r="AR274" s="121" t="e">
        <f t="shared" si="79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0"/>
        <v>#N/A</v>
      </c>
      <c r="AY274" s="121" t="str">
        <f>IF('Cable Info'!R273="","",CONCATENATE('Cable Info'!R273," - ",'Cable Info'!S273))</f>
        <v/>
      </c>
      <c r="BB274" s="121" t="str">
        <f t="shared" si="81"/>
        <v/>
      </c>
      <c r="BD274" s="121" t="str">
        <f>IF('Cable Info'!T273="","",CONCATENATE('Cable Info'!T273," - ",'Cable Info'!U273))</f>
        <v/>
      </c>
      <c r="BG274" s="121" t="str">
        <f t="shared" si="82"/>
        <v/>
      </c>
      <c r="BI274" s="121" t="str">
        <f>IF('Cable Info'!V273="","",CONCATENATE('Cable Info'!V273," - ",'Cable Info'!W273))</f>
        <v/>
      </c>
      <c r="BL274" s="121" t="str">
        <f t="shared" si="83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2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3"/>
        <v/>
      </c>
      <c r="Y275" s="252" t="str">
        <f t="shared" si="74"/>
        <v/>
      </c>
      <c r="Z275" s="253" t="str">
        <f t="shared" si="75"/>
        <v/>
      </c>
      <c r="AA275" s="253" t="str">
        <f t="shared" si="76"/>
        <v/>
      </c>
      <c r="AB275" s="253" t="str">
        <f t="shared" si="77"/>
        <v/>
      </c>
      <c r="AJ275" s="121" t="e">
        <f>IF('Cable Info'!L274="","",CONCATENATE('Cable Info'!L274," - ",'Cable Info'!M274))</f>
        <v>#N/A</v>
      </c>
      <c r="AM275" s="121" t="e">
        <f t="shared" si="78"/>
        <v>#N/A</v>
      </c>
      <c r="AO275" s="121" t="e">
        <f>IF('Cable Info'!N274="","",CONCATENATE('Cable Info'!N274," - ",'Cable Info'!O274))</f>
        <v>#N/A</v>
      </c>
      <c r="AR275" s="121" t="e">
        <f t="shared" si="79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0"/>
        <v>#N/A</v>
      </c>
      <c r="AY275" s="121" t="str">
        <f>IF('Cable Info'!R274="","",CONCATENATE('Cable Info'!R274," - ",'Cable Info'!S274))</f>
        <v/>
      </c>
      <c r="BB275" s="121" t="str">
        <f t="shared" si="81"/>
        <v/>
      </c>
      <c r="BD275" s="121" t="str">
        <f>IF('Cable Info'!T274="","",CONCATENATE('Cable Info'!T274," - ",'Cable Info'!U274))</f>
        <v/>
      </c>
      <c r="BG275" s="121" t="str">
        <f t="shared" si="82"/>
        <v/>
      </c>
      <c r="BI275" s="121" t="str">
        <f>IF('Cable Info'!V274="","",CONCATENATE('Cable Info'!V274," - ",'Cable Info'!W274))</f>
        <v/>
      </c>
      <c r="BL275" s="121" t="str">
        <f t="shared" si="83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2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3"/>
        <v/>
      </c>
      <c r="Y276" s="252" t="str">
        <f t="shared" si="74"/>
        <v/>
      </c>
      <c r="Z276" s="253" t="str">
        <f t="shared" si="75"/>
        <v/>
      </c>
      <c r="AA276" s="253" t="str">
        <f t="shared" si="76"/>
        <v/>
      </c>
      <c r="AB276" s="253" t="str">
        <f t="shared" si="77"/>
        <v/>
      </c>
      <c r="AJ276" s="121" t="e">
        <f>IF('Cable Info'!L275="","",CONCATENATE('Cable Info'!L275," - ",'Cable Info'!M275))</f>
        <v>#N/A</v>
      </c>
      <c r="AM276" s="121" t="e">
        <f t="shared" si="78"/>
        <v>#N/A</v>
      </c>
      <c r="AO276" s="121" t="e">
        <f>IF('Cable Info'!N275="","",CONCATENATE('Cable Info'!N275," - ",'Cable Info'!O275))</f>
        <v>#N/A</v>
      </c>
      <c r="AR276" s="121" t="e">
        <f t="shared" si="79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0"/>
        <v>#N/A</v>
      </c>
      <c r="AY276" s="121" t="str">
        <f>IF('Cable Info'!R275="","",CONCATENATE('Cable Info'!R275," - ",'Cable Info'!S275))</f>
        <v/>
      </c>
      <c r="BB276" s="121" t="str">
        <f t="shared" si="81"/>
        <v/>
      </c>
      <c r="BD276" s="121" t="str">
        <f>IF('Cable Info'!T275="","",CONCATENATE('Cable Info'!T275," - ",'Cable Info'!U275))</f>
        <v/>
      </c>
      <c r="BG276" s="121" t="str">
        <f t="shared" si="82"/>
        <v/>
      </c>
      <c r="BI276" s="121" t="str">
        <f>IF('Cable Info'!V275="","",CONCATENATE('Cable Info'!V275," - ",'Cable Info'!W275))</f>
        <v/>
      </c>
      <c r="BL276" s="121" t="str">
        <f t="shared" si="83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2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3"/>
        <v/>
      </c>
      <c r="Y277" s="252" t="str">
        <f t="shared" si="74"/>
        <v/>
      </c>
      <c r="Z277" s="253" t="str">
        <f t="shared" si="75"/>
        <v/>
      </c>
      <c r="AA277" s="253" t="str">
        <f t="shared" si="76"/>
        <v/>
      </c>
      <c r="AB277" s="253" t="str">
        <f t="shared" si="77"/>
        <v/>
      </c>
      <c r="AJ277" s="121" t="e">
        <f>IF('Cable Info'!L276="","",CONCATENATE('Cable Info'!L276," - ",'Cable Info'!M276))</f>
        <v>#N/A</v>
      </c>
      <c r="AM277" s="121" t="e">
        <f t="shared" si="78"/>
        <v>#N/A</v>
      </c>
      <c r="AO277" s="121" t="e">
        <f>IF('Cable Info'!N276="","",CONCATENATE('Cable Info'!N276," - ",'Cable Info'!O276))</f>
        <v>#N/A</v>
      </c>
      <c r="AR277" s="121" t="e">
        <f t="shared" si="79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0"/>
        <v>#N/A</v>
      </c>
      <c r="AY277" s="121" t="str">
        <f>IF('Cable Info'!R276="","",CONCATENATE('Cable Info'!R276," - ",'Cable Info'!S276))</f>
        <v/>
      </c>
      <c r="BB277" s="121" t="str">
        <f t="shared" si="81"/>
        <v/>
      </c>
      <c r="BD277" s="121" t="str">
        <f>IF('Cable Info'!T276="","",CONCATENATE('Cable Info'!T276," - ",'Cable Info'!U276))</f>
        <v/>
      </c>
      <c r="BG277" s="121" t="str">
        <f t="shared" si="82"/>
        <v/>
      </c>
      <c r="BI277" s="121" t="str">
        <f>IF('Cable Info'!V276="","",CONCATENATE('Cable Info'!V276," - ",'Cable Info'!W276))</f>
        <v/>
      </c>
      <c r="BL277" s="121" t="str">
        <f t="shared" si="83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2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3"/>
        <v/>
      </c>
      <c r="Y278" s="252" t="str">
        <f t="shared" si="74"/>
        <v/>
      </c>
      <c r="Z278" s="253" t="str">
        <f t="shared" si="75"/>
        <v/>
      </c>
      <c r="AA278" s="253" t="str">
        <f t="shared" si="76"/>
        <v/>
      </c>
      <c r="AB278" s="253" t="str">
        <f t="shared" si="77"/>
        <v/>
      </c>
      <c r="AJ278" s="121" t="e">
        <f>IF('Cable Info'!L277="","",CONCATENATE('Cable Info'!L277," - ",'Cable Info'!M277))</f>
        <v>#N/A</v>
      </c>
      <c r="AM278" s="121" t="e">
        <f t="shared" si="78"/>
        <v>#N/A</v>
      </c>
      <c r="AO278" s="121" t="e">
        <f>IF('Cable Info'!N277="","",CONCATENATE('Cable Info'!N277," - ",'Cable Info'!O277))</f>
        <v>#N/A</v>
      </c>
      <c r="AR278" s="121" t="e">
        <f t="shared" si="79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0"/>
        <v>#N/A</v>
      </c>
      <c r="AY278" s="121" t="str">
        <f>IF('Cable Info'!R277="","",CONCATENATE('Cable Info'!R277," - ",'Cable Info'!S277))</f>
        <v/>
      </c>
      <c r="BB278" s="121" t="str">
        <f t="shared" si="81"/>
        <v/>
      </c>
      <c r="BD278" s="121" t="str">
        <f>IF('Cable Info'!T277="","",CONCATENATE('Cable Info'!T277," - ",'Cable Info'!U277))</f>
        <v/>
      </c>
      <c r="BG278" s="121" t="str">
        <f t="shared" si="82"/>
        <v/>
      </c>
      <c r="BI278" s="121" t="str">
        <f>IF('Cable Info'!V277="","",CONCATENATE('Cable Info'!V277," - ",'Cable Info'!W277))</f>
        <v/>
      </c>
      <c r="BL278" s="121" t="str">
        <f t="shared" si="83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2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3"/>
        <v/>
      </c>
      <c r="Y279" s="252" t="str">
        <f t="shared" si="74"/>
        <v/>
      </c>
      <c r="Z279" s="253" t="str">
        <f t="shared" si="75"/>
        <v/>
      </c>
      <c r="AA279" s="253" t="str">
        <f t="shared" si="76"/>
        <v/>
      </c>
      <c r="AB279" s="253" t="str">
        <f t="shared" si="77"/>
        <v/>
      </c>
      <c r="AJ279" s="121" t="e">
        <f>IF('Cable Info'!L278="","",CONCATENATE('Cable Info'!L278," - ",'Cable Info'!M278))</f>
        <v>#N/A</v>
      </c>
      <c r="AM279" s="121" t="e">
        <f t="shared" si="78"/>
        <v>#N/A</v>
      </c>
      <c r="AO279" s="121" t="e">
        <f>IF('Cable Info'!N278="","",CONCATENATE('Cable Info'!N278," - ",'Cable Info'!O278))</f>
        <v>#N/A</v>
      </c>
      <c r="AR279" s="121" t="e">
        <f t="shared" si="79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0"/>
        <v>#N/A</v>
      </c>
      <c r="AY279" s="121" t="str">
        <f>IF('Cable Info'!R278="","",CONCATENATE('Cable Info'!R278," - ",'Cable Info'!S278))</f>
        <v/>
      </c>
      <c r="BB279" s="121" t="str">
        <f t="shared" si="81"/>
        <v/>
      </c>
      <c r="BD279" s="121" t="str">
        <f>IF('Cable Info'!T278="","",CONCATENATE('Cable Info'!T278," - ",'Cable Info'!U278))</f>
        <v/>
      </c>
      <c r="BG279" s="121" t="str">
        <f t="shared" si="82"/>
        <v/>
      </c>
      <c r="BI279" s="121" t="str">
        <f>IF('Cable Info'!V278="","",CONCATENATE('Cable Info'!V278," - ",'Cable Info'!W278))</f>
        <v/>
      </c>
      <c r="BL279" s="121" t="str">
        <f t="shared" si="83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2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3"/>
        <v/>
      </c>
      <c r="Y280" s="252" t="str">
        <f t="shared" si="74"/>
        <v/>
      </c>
      <c r="Z280" s="253" t="str">
        <f t="shared" si="75"/>
        <v/>
      </c>
      <c r="AA280" s="253" t="str">
        <f t="shared" si="76"/>
        <v/>
      </c>
      <c r="AB280" s="253" t="str">
        <f t="shared" si="77"/>
        <v/>
      </c>
      <c r="AJ280" s="121" t="e">
        <f>IF('Cable Info'!L279="","",CONCATENATE('Cable Info'!L279," - ",'Cable Info'!M279))</f>
        <v>#N/A</v>
      </c>
      <c r="AM280" s="121" t="e">
        <f t="shared" si="78"/>
        <v>#N/A</v>
      </c>
      <c r="AO280" s="121" t="e">
        <f>IF('Cable Info'!N279="","",CONCATENATE('Cable Info'!N279," - ",'Cable Info'!O279))</f>
        <v>#N/A</v>
      </c>
      <c r="AR280" s="121" t="e">
        <f t="shared" si="79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0"/>
        <v>#N/A</v>
      </c>
      <c r="AY280" s="121" t="str">
        <f>IF('Cable Info'!R279="","",CONCATENATE('Cable Info'!R279," - ",'Cable Info'!S279))</f>
        <v/>
      </c>
      <c r="BB280" s="121" t="str">
        <f t="shared" si="81"/>
        <v/>
      </c>
      <c r="BD280" s="121" t="str">
        <f>IF('Cable Info'!T279="","",CONCATENATE('Cable Info'!T279," - ",'Cable Info'!U279))</f>
        <v/>
      </c>
      <c r="BG280" s="121" t="str">
        <f t="shared" si="82"/>
        <v/>
      </c>
      <c r="BI280" s="121" t="str">
        <f>IF('Cable Info'!V279="","",CONCATENATE('Cable Info'!V279," - ",'Cable Info'!W279))</f>
        <v/>
      </c>
      <c r="BL280" s="121" t="str">
        <f t="shared" si="83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2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3"/>
        <v/>
      </c>
      <c r="Y281" s="252" t="str">
        <f t="shared" si="74"/>
        <v/>
      </c>
      <c r="Z281" s="253" t="str">
        <f t="shared" si="75"/>
        <v/>
      </c>
      <c r="AA281" s="253" t="str">
        <f t="shared" si="76"/>
        <v/>
      </c>
      <c r="AB281" s="253" t="str">
        <f t="shared" si="77"/>
        <v/>
      </c>
      <c r="AJ281" s="121" t="e">
        <f>IF('Cable Info'!L280="","",CONCATENATE('Cable Info'!L280," - ",'Cable Info'!M280))</f>
        <v>#N/A</v>
      </c>
      <c r="AM281" s="121" t="e">
        <f t="shared" si="78"/>
        <v>#N/A</v>
      </c>
      <c r="AO281" s="121" t="e">
        <f>IF('Cable Info'!N280="","",CONCATENATE('Cable Info'!N280," - ",'Cable Info'!O280))</f>
        <v>#N/A</v>
      </c>
      <c r="AR281" s="121" t="e">
        <f t="shared" si="79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0"/>
        <v>#N/A</v>
      </c>
      <c r="AY281" s="121" t="str">
        <f>IF('Cable Info'!R280="","",CONCATENATE('Cable Info'!R280," - ",'Cable Info'!S280))</f>
        <v/>
      </c>
      <c r="BB281" s="121" t="str">
        <f t="shared" si="81"/>
        <v/>
      </c>
      <c r="BD281" s="121" t="str">
        <f>IF('Cable Info'!T280="","",CONCATENATE('Cable Info'!T280," - ",'Cable Info'!U280))</f>
        <v/>
      </c>
      <c r="BG281" s="121" t="str">
        <f t="shared" si="82"/>
        <v/>
      </c>
      <c r="BI281" s="121" t="str">
        <f>IF('Cable Info'!V280="","",CONCATENATE('Cable Info'!V280," - ",'Cable Info'!W280))</f>
        <v/>
      </c>
      <c r="BL281" s="121" t="str">
        <f t="shared" si="83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2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3"/>
        <v/>
      </c>
      <c r="Y282" s="252" t="str">
        <f t="shared" si="74"/>
        <v/>
      </c>
      <c r="Z282" s="253" t="str">
        <f t="shared" si="75"/>
        <v/>
      </c>
      <c r="AA282" s="253" t="str">
        <f t="shared" si="76"/>
        <v/>
      </c>
      <c r="AB282" s="253" t="str">
        <f t="shared" si="77"/>
        <v/>
      </c>
      <c r="AJ282" s="121" t="e">
        <f>IF('Cable Info'!L281="","",CONCATENATE('Cable Info'!L281," - ",'Cable Info'!M281))</f>
        <v>#N/A</v>
      </c>
      <c r="AM282" s="121" t="e">
        <f t="shared" si="78"/>
        <v>#N/A</v>
      </c>
      <c r="AO282" s="121" t="e">
        <f>IF('Cable Info'!N281="","",CONCATENATE('Cable Info'!N281," - ",'Cable Info'!O281))</f>
        <v>#N/A</v>
      </c>
      <c r="AR282" s="121" t="e">
        <f t="shared" si="79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0"/>
        <v>#N/A</v>
      </c>
      <c r="AY282" s="121" t="str">
        <f>IF('Cable Info'!R281="","",CONCATENATE('Cable Info'!R281," - ",'Cable Info'!S281))</f>
        <v/>
      </c>
      <c r="BB282" s="121" t="str">
        <f t="shared" si="81"/>
        <v/>
      </c>
      <c r="BD282" s="121" t="str">
        <f>IF('Cable Info'!T281="","",CONCATENATE('Cable Info'!T281," - ",'Cable Info'!U281))</f>
        <v/>
      </c>
      <c r="BG282" s="121" t="str">
        <f t="shared" si="82"/>
        <v/>
      </c>
      <c r="BI282" s="121" t="str">
        <f>IF('Cable Info'!V281="","",CONCATENATE('Cable Info'!V281," - ",'Cable Info'!W281))</f>
        <v/>
      </c>
      <c r="BL282" s="121" t="str">
        <f t="shared" si="83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2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3"/>
        <v/>
      </c>
      <c r="Y283" s="252" t="str">
        <f t="shared" si="74"/>
        <v/>
      </c>
      <c r="Z283" s="253" t="str">
        <f t="shared" si="75"/>
        <v/>
      </c>
      <c r="AA283" s="253" t="str">
        <f t="shared" si="76"/>
        <v/>
      </c>
      <c r="AB283" s="253" t="str">
        <f t="shared" si="77"/>
        <v/>
      </c>
      <c r="AJ283" s="121" t="e">
        <f>IF('Cable Info'!L282="","",CONCATENATE('Cable Info'!L282," - ",'Cable Info'!M282))</f>
        <v>#N/A</v>
      </c>
      <c r="AM283" s="121" t="e">
        <f t="shared" si="78"/>
        <v>#N/A</v>
      </c>
      <c r="AO283" s="121" t="e">
        <f>IF('Cable Info'!N282="","",CONCATENATE('Cable Info'!N282," - ",'Cable Info'!O282))</f>
        <v>#N/A</v>
      </c>
      <c r="AR283" s="121" t="e">
        <f t="shared" si="79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0"/>
        <v>#N/A</v>
      </c>
      <c r="AY283" s="121" t="str">
        <f>IF('Cable Info'!R282="","",CONCATENATE('Cable Info'!R282," - ",'Cable Info'!S282))</f>
        <v/>
      </c>
      <c r="BB283" s="121" t="str">
        <f t="shared" si="81"/>
        <v/>
      </c>
      <c r="BD283" s="121" t="str">
        <f>IF('Cable Info'!T282="","",CONCATENATE('Cable Info'!T282," - ",'Cable Info'!U282))</f>
        <v/>
      </c>
      <c r="BG283" s="121" t="str">
        <f t="shared" si="82"/>
        <v/>
      </c>
      <c r="BI283" s="121" t="str">
        <f>IF('Cable Info'!V282="","",CONCATENATE('Cable Info'!V282," - ",'Cable Info'!W282))</f>
        <v/>
      </c>
      <c r="BL283" s="121" t="str">
        <f t="shared" si="83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2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3"/>
        <v/>
      </c>
      <c r="Y284" s="252" t="str">
        <f t="shared" si="74"/>
        <v/>
      </c>
      <c r="Z284" s="253" t="str">
        <f t="shared" si="75"/>
        <v/>
      </c>
      <c r="AA284" s="253" t="str">
        <f t="shared" si="76"/>
        <v/>
      </c>
      <c r="AB284" s="253" t="str">
        <f t="shared" si="77"/>
        <v/>
      </c>
      <c r="AJ284" s="121" t="e">
        <f>IF('Cable Info'!L283="","",CONCATENATE('Cable Info'!L283," - ",'Cable Info'!M283))</f>
        <v>#N/A</v>
      </c>
      <c r="AM284" s="121" t="e">
        <f t="shared" si="78"/>
        <v>#N/A</v>
      </c>
      <c r="AO284" s="121" t="e">
        <f>IF('Cable Info'!N283="","",CONCATENATE('Cable Info'!N283," - ",'Cable Info'!O283))</f>
        <v>#N/A</v>
      </c>
      <c r="AR284" s="121" t="e">
        <f t="shared" si="79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0"/>
        <v>#N/A</v>
      </c>
      <c r="AY284" s="121" t="str">
        <f>IF('Cable Info'!R283="","",CONCATENATE('Cable Info'!R283," - ",'Cable Info'!S283))</f>
        <v/>
      </c>
      <c r="BB284" s="121" t="str">
        <f t="shared" si="81"/>
        <v/>
      </c>
      <c r="BD284" s="121" t="str">
        <f>IF('Cable Info'!T283="","",CONCATENATE('Cable Info'!T283," - ",'Cable Info'!U283))</f>
        <v/>
      </c>
      <c r="BG284" s="121" t="str">
        <f t="shared" si="82"/>
        <v/>
      </c>
      <c r="BI284" s="121" t="str">
        <f>IF('Cable Info'!V283="","",CONCATENATE('Cable Info'!V283," - ",'Cable Info'!W283))</f>
        <v/>
      </c>
      <c r="BL284" s="121" t="str">
        <f t="shared" si="83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2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3"/>
        <v/>
      </c>
      <c r="Y285" s="252" t="str">
        <f t="shared" si="74"/>
        <v/>
      </c>
      <c r="Z285" s="253" t="str">
        <f t="shared" si="75"/>
        <v/>
      </c>
      <c r="AA285" s="253" t="str">
        <f t="shared" si="76"/>
        <v/>
      </c>
      <c r="AB285" s="253" t="str">
        <f t="shared" si="77"/>
        <v/>
      </c>
      <c r="AJ285" s="121" t="e">
        <f>IF('Cable Info'!L284="","",CONCATENATE('Cable Info'!L284," - ",'Cable Info'!M284))</f>
        <v>#N/A</v>
      </c>
      <c r="AM285" s="121" t="e">
        <f t="shared" si="78"/>
        <v>#N/A</v>
      </c>
      <c r="AO285" s="121" t="e">
        <f>IF('Cable Info'!N284="","",CONCATENATE('Cable Info'!N284," - ",'Cable Info'!O284))</f>
        <v>#N/A</v>
      </c>
      <c r="AR285" s="121" t="e">
        <f t="shared" si="79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0"/>
        <v>#N/A</v>
      </c>
      <c r="AY285" s="121" t="str">
        <f>IF('Cable Info'!R284="","",CONCATENATE('Cable Info'!R284," - ",'Cable Info'!S284))</f>
        <v/>
      </c>
      <c r="BB285" s="121" t="str">
        <f t="shared" si="81"/>
        <v/>
      </c>
      <c r="BD285" s="121" t="str">
        <f>IF('Cable Info'!T284="","",CONCATENATE('Cable Info'!T284," - ",'Cable Info'!U284))</f>
        <v/>
      </c>
      <c r="BG285" s="121" t="str">
        <f t="shared" si="82"/>
        <v/>
      </c>
      <c r="BI285" s="121" t="str">
        <f>IF('Cable Info'!V284="","",CONCATENATE('Cable Info'!V284," - ",'Cable Info'!W284))</f>
        <v/>
      </c>
      <c r="BL285" s="121" t="str">
        <f t="shared" si="83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2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3"/>
        <v/>
      </c>
      <c r="Y286" s="252" t="str">
        <f t="shared" si="74"/>
        <v/>
      </c>
      <c r="Z286" s="253" t="str">
        <f t="shared" si="75"/>
        <v/>
      </c>
      <c r="AA286" s="253" t="str">
        <f t="shared" si="76"/>
        <v/>
      </c>
      <c r="AB286" s="253" t="str">
        <f t="shared" si="77"/>
        <v/>
      </c>
      <c r="AJ286" s="121" t="e">
        <f>IF('Cable Info'!L285="","",CONCATENATE('Cable Info'!L285," - ",'Cable Info'!M285))</f>
        <v>#N/A</v>
      </c>
      <c r="AM286" s="121" t="e">
        <f t="shared" si="78"/>
        <v>#N/A</v>
      </c>
      <c r="AO286" s="121" t="e">
        <f>IF('Cable Info'!N285="","",CONCATENATE('Cable Info'!N285," - ",'Cable Info'!O285))</f>
        <v>#N/A</v>
      </c>
      <c r="AR286" s="121" t="e">
        <f t="shared" si="79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0"/>
        <v>#N/A</v>
      </c>
      <c r="AY286" s="121" t="str">
        <f>IF('Cable Info'!R285="","",CONCATENATE('Cable Info'!R285," - ",'Cable Info'!S285))</f>
        <v/>
      </c>
      <c r="BB286" s="121" t="str">
        <f t="shared" si="81"/>
        <v/>
      </c>
      <c r="BD286" s="121" t="str">
        <f>IF('Cable Info'!T285="","",CONCATENATE('Cable Info'!T285," - ",'Cable Info'!U285))</f>
        <v/>
      </c>
      <c r="BG286" s="121" t="str">
        <f t="shared" si="82"/>
        <v/>
      </c>
      <c r="BI286" s="121" t="str">
        <f>IF('Cable Info'!V285="","",CONCATENATE('Cable Info'!V285," - ",'Cable Info'!W285))</f>
        <v/>
      </c>
      <c r="BL286" s="121" t="str">
        <f t="shared" si="83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2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3"/>
        <v/>
      </c>
      <c r="Y287" s="252" t="str">
        <f t="shared" si="74"/>
        <v/>
      </c>
      <c r="Z287" s="253" t="str">
        <f t="shared" si="75"/>
        <v/>
      </c>
      <c r="AA287" s="253" t="str">
        <f t="shared" si="76"/>
        <v/>
      </c>
      <c r="AB287" s="253" t="str">
        <f t="shared" si="77"/>
        <v/>
      </c>
      <c r="AJ287" s="121" t="e">
        <f>IF('Cable Info'!L286="","",CONCATENATE('Cable Info'!L286," - ",'Cable Info'!M286))</f>
        <v>#N/A</v>
      </c>
      <c r="AM287" s="121" t="e">
        <f t="shared" si="78"/>
        <v>#N/A</v>
      </c>
      <c r="AO287" s="121" t="e">
        <f>IF('Cable Info'!N286="","",CONCATENATE('Cable Info'!N286," - ",'Cable Info'!O286))</f>
        <v>#N/A</v>
      </c>
      <c r="AR287" s="121" t="e">
        <f t="shared" si="79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0"/>
        <v>#N/A</v>
      </c>
      <c r="AY287" s="121" t="str">
        <f>IF('Cable Info'!R286="","",CONCATENATE('Cable Info'!R286," - ",'Cable Info'!S286))</f>
        <v/>
      </c>
      <c r="BB287" s="121" t="str">
        <f t="shared" si="81"/>
        <v/>
      </c>
      <c r="BD287" s="121" t="str">
        <f>IF('Cable Info'!T286="","",CONCATENATE('Cable Info'!T286," - ",'Cable Info'!U286))</f>
        <v/>
      </c>
      <c r="BG287" s="121" t="str">
        <f t="shared" si="82"/>
        <v/>
      </c>
      <c r="BI287" s="121" t="str">
        <f>IF('Cable Info'!V286="","",CONCATENATE('Cable Info'!V286," - ",'Cable Info'!W286))</f>
        <v/>
      </c>
      <c r="BL287" s="121" t="str">
        <f t="shared" si="83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2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3"/>
        <v/>
      </c>
      <c r="Y288" s="252" t="str">
        <f t="shared" si="74"/>
        <v/>
      </c>
      <c r="Z288" s="253" t="str">
        <f t="shared" si="75"/>
        <v/>
      </c>
      <c r="AA288" s="253" t="str">
        <f t="shared" si="76"/>
        <v/>
      </c>
      <c r="AB288" s="253" t="str">
        <f t="shared" si="77"/>
        <v/>
      </c>
      <c r="AJ288" s="121" t="e">
        <f>IF('Cable Info'!L287="","",CONCATENATE('Cable Info'!L287," - ",'Cable Info'!M287))</f>
        <v>#N/A</v>
      </c>
      <c r="AM288" s="121" t="e">
        <f t="shared" si="78"/>
        <v>#N/A</v>
      </c>
      <c r="AO288" s="121" t="e">
        <f>IF('Cable Info'!N287="","",CONCATENATE('Cable Info'!N287," - ",'Cable Info'!O287))</f>
        <v>#N/A</v>
      </c>
      <c r="AR288" s="121" t="e">
        <f t="shared" si="79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0"/>
        <v>#N/A</v>
      </c>
      <c r="AY288" s="121" t="str">
        <f>IF('Cable Info'!R287="","",CONCATENATE('Cable Info'!R287," - ",'Cable Info'!S287))</f>
        <v/>
      </c>
      <c r="BB288" s="121" t="str">
        <f t="shared" si="81"/>
        <v/>
      </c>
      <c r="BD288" s="121" t="str">
        <f>IF('Cable Info'!T287="","",CONCATENATE('Cable Info'!T287," - ",'Cable Info'!U287))</f>
        <v/>
      </c>
      <c r="BG288" s="121" t="str">
        <f t="shared" si="82"/>
        <v/>
      </c>
      <c r="BI288" s="121" t="str">
        <f>IF('Cable Info'!V287="","",CONCATENATE('Cable Info'!V287," - ",'Cable Info'!W287))</f>
        <v/>
      </c>
      <c r="BL288" s="121" t="str">
        <f t="shared" si="83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2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3"/>
        <v/>
      </c>
      <c r="Y289" s="252" t="str">
        <f t="shared" si="74"/>
        <v/>
      </c>
      <c r="Z289" s="253" t="str">
        <f t="shared" si="75"/>
        <v/>
      </c>
      <c r="AA289" s="253" t="str">
        <f t="shared" si="76"/>
        <v/>
      </c>
      <c r="AB289" s="253" t="str">
        <f t="shared" si="77"/>
        <v/>
      </c>
      <c r="AJ289" s="121" t="e">
        <f>IF('Cable Info'!L288="","",CONCATENATE('Cable Info'!L288," - ",'Cable Info'!M288))</f>
        <v>#N/A</v>
      </c>
      <c r="AM289" s="121" t="e">
        <f t="shared" si="78"/>
        <v>#N/A</v>
      </c>
      <c r="AO289" s="121" t="e">
        <f>IF('Cable Info'!N288="","",CONCATENATE('Cable Info'!N288," - ",'Cable Info'!O288))</f>
        <v>#N/A</v>
      </c>
      <c r="AR289" s="121" t="e">
        <f t="shared" si="79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0"/>
        <v>#N/A</v>
      </c>
      <c r="AY289" s="121" t="str">
        <f>IF('Cable Info'!R288="","",CONCATENATE('Cable Info'!R288," - ",'Cable Info'!S288))</f>
        <v/>
      </c>
      <c r="BB289" s="121" t="str">
        <f t="shared" si="81"/>
        <v/>
      </c>
      <c r="BD289" s="121" t="str">
        <f>IF('Cable Info'!T288="","",CONCATENATE('Cable Info'!T288," - ",'Cable Info'!U288))</f>
        <v/>
      </c>
      <c r="BG289" s="121" t="str">
        <f t="shared" si="82"/>
        <v/>
      </c>
      <c r="BI289" s="121" t="str">
        <f>IF('Cable Info'!V288="","",CONCATENATE('Cable Info'!V288," - ",'Cable Info'!W288))</f>
        <v/>
      </c>
      <c r="BL289" s="121" t="str">
        <f t="shared" si="83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2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3"/>
        <v/>
      </c>
      <c r="Y290" s="252" t="str">
        <f t="shared" si="74"/>
        <v/>
      </c>
      <c r="Z290" s="253" t="str">
        <f t="shared" si="75"/>
        <v/>
      </c>
      <c r="AA290" s="253" t="str">
        <f t="shared" si="76"/>
        <v/>
      </c>
      <c r="AB290" s="253" t="str">
        <f t="shared" si="77"/>
        <v/>
      </c>
      <c r="AJ290" s="121" t="e">
        <f>IF('Cable Info'!L289="","",CONCATENATE('Cable Info'!L289," - ",'Cable Info'!M289))</f>
        <v>#N/A</v>
      </c>
      <c r="AM290" s="121" t="e">
        <f t="shared" si="78"/>
        <v>#N/A</v>
      </c>
      <c r="AO290" s="121" t="e">
        <f>IF('Cable Info'!N289="","",CONCATENATE('Cable Info'!N289," - ",'Cable Info'!O289))</f>
        <v>#N/A</v>
      </c>
      <c r="AR290" s="121" t="e">
        <f t="shared" si="79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0"/>
        <v>#N/A</v>
      </c>
      <c r="AY290" s="121" t="str">
        <f>IF('Cable Info'!R289="","",CONCATENATE('Cable Info'!R289," - ",'Cable Info'!S289))</f>
        <v/>
      </c>
      <c r="BB290" s="121" t="str">
        <f t="shared" si="81"/>
        <v/>
      </c>
      <c r="BD290" s="121" t="str">
        <f>IF('Cable Info'!T289="","",CONCATENATE('Cable Info'!T289," - ",'Cable Info'!U289))</f>
        <v/>
      </c>
      <c r="BG290" s="121" t="str">
        <f t="shared" si="82"/>
        <v/>
      </c>
      <c r="BI290" s="121" t="str">
        <f>IF('Cable Info'!V289="","",CONCATENATE('Cable Info'!V289," - ",'Cable Info'!W289))</f>
        <v/>
      </c>
      <c r="BL290" s="121" t="str">
        <f t="shared" si="83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2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3"/>
        <v/>
      </c>
      <c r="Y291" s="252" t="str">
        <f t="shared" si="74"/>
        <v/>
      </c>
      <c r="Z291" s="253" t="str">
        <f t="shared" si="75"/>
        <v/>
      </c>
      <c r="AA291" s="253" t="str">
        <f t="shared" si="76"/>
        <v/>
      </c>
      <c r="AB291" s="253" t="str">
        <f t="shared" si="77"/>
        <v/>
      </c>
      <c r="AJ291" s="121" t="e">
        <f>IF('Cable Info'!L290="","",CONCATENATE('Cable Info'!L290," - ",'Cable Info'!M290))</f>
        <v>#N/A</v>
      </c>
      <c r="AM291" s="121" t="e">
        <f t="shared" si="78"/>
        <v>#N/A</v>
      </c>
      <c r="AO291" s="121" t="e">
        <f>IF('Cable Info'!N290="","",CONCATENATE('Cable Info'!N290," - ",'Cable Info'!O290))</f>
        <v>#N/A</v>
      </c>
      <c r="AR291" s="121" t="e">
        <f t="shared" si="79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0"/>
        <v>#N/A</v>
      </c>
      <c r="AY291" s="121" t="str">
        <f>IF('Cable Info'!R290="","",CONCATENATE('Cable Info'!R290," - ",'Cable Info'!S290))</f>
        <v/>
      </c>
      <c r="BB291" s="121" t="str">
        <f t="shared" si="81"/>
        <v/>
      </c>
      <c r="BD291" s="121" t="str">
        <f>IF('Cable Info'!T290="","",CONCATENATE('Cable Info'!T290," - ",'Cable Info'!U290))</f>
        <v/>
      </c>
      <c r="BG291" s="121" t="str">
        <f t="shared" si="82"/>
        <v/>
      </c>
      <c r="BI291" s="121" t="str">
        <f>IF('Cable Info'!V290="","",CONCATENATE('Cable Info'!V290," - ",'Cable Info'!W290))</f>
        <v/>
      </c>
      <c r="BL291" s="121" t="str">
        <f t="shared" si="83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2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3"/>
        <v/>
      </c>
      <c r="Y292" s="252" t="str">
        <f t="shared" si="74"/>
        <v/>
      </c>
      <c r="Z292" s="253" t="str">
        <f t="shared" si="75"/>
        <v/>
      </c>
      <c r="AA292" s="253" t="str">
        <f t="shared" si="76"/>
        <v/>
      </c>
      <c r="AB292" s="253" t="str">
        <f t="shared" si="77"/>
        <v/>
      </c>
      <c r="AJ292" s="121" t="e">
        <f>IF('Cable Info'!L291="","",CONCATENATE('Cable Info'!L291," - ",'Cable Info'!M291))</f>
        <v>#N/A</v>
      </c>
      <c r="AM292" s="121" t="e">
        <f t="shared" si="78"/>
        <v>#N/A</v>
      </c>
      <c r="AO292" s="121" t="e">
        <f>IF('Cable Info'!N291="","",CONCATENATE('Cable Info'!N291," - ",'Cable Info'!O291))</f>
        <v>#N/A</v>
      </c>
      <c r="AR292" s="121" t="e">
        <f t="shared" si="79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0"/>
        <v>#N/A</v>
      </c>
      <c r="AY292" s="121" t="str">
        <f>IF('Cable Info'!R291="","",CONCATENATE('Cable Info'!R291," - ",'Cable Info'!S291))</f>
        <v/>
      </c>
      <c r="BB292" s="121" t="str">
        <f t="shared" si="81"/>
        <v/>
      </c>
      <c r="BD292" s="121" t="str">
        <f>IF('Cable Info'!T291="","",CONCATENATE('Cable Info'!T291," - ",'Cable Info'!U291))</f>
        <v/>
      </c>
      <c r="BG292" s="121" t="str">
        <f t="shared" si="82"/>
        <v/>
      </c>
      <c r="BI292" s="121" t="str">
        <f>IF('Cable Info'!V291="","",CONCATENATE('Cable Info'!V291," - ",'Cable Info'!W291))</f>
        <v/>
      </c>
      <c r="BL292" s="121" t="str">
        <f t="shared" si="83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2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3"/>
        <v/>
      </c>
      <c r="Y293" s="252" t="str">
        <f t="shared" si="74"/>
        <v/>
      </c>
      <c r="Z293" s="253" t="str">
        <f t="shared" si="75"/>
        <v/>
      </c>
      <c r="AA293" s="253" t="str">
        <f t="shared" si="76"/>
        <v/>
      </c>
      <c r="AB293" s="253" t="str">
        <f t="shared" si="77"/>
        <v/>
      </c>
      <c r="AJ293" s="121" t="e">
        <f>IF('Cable Info'!L292="","",CONCATENATE('Cable Info'!L292," - ",'Cable Info'!M292))</f>
        <v>#N/A</v>
      </c>
      <c r="AM293" s="121" t="e">
        <f t="shared" si="78"/>
        <v>#N/A</v>
      </c>
      <c r="AO293" s="121" t="e">
        <f>IF('Cable Info'!N292="","",CONCATENATE('Cable Info'!N292," - ",'Cable Info'!O292))</f>
        <v>#N/A</v>
      </c>
      <c r="AR293" s="121" t="e">
        <f t="shared" si="79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0"/>
        <v>#N/A</v>
      </c>
      <c r="AY293" s="121" t="str">
        <f>IF('Cable Info'!R292="","",CONCATENATE('Cable Info'!R292," - ",'Cable Info'!S292))</f>
        <v/>
      </c>
      <c r="BB293" s="121" t="str">
        <f t="shared" si="81"/>
        <v/>
      </c>
      <c r="BD293" s="121" t="str">
        <f>IF('Cable Info'!T292="","",CONCATENATE('Cable Info'!T292," - ",'Cable Info'!U292))</f>
        <v/>
      </c>
      <c r="BG293" s="121" t="str">
        <f t="shared" si="82"/>
        <v/>
      </c>
      <c r="BI293" s="121" t="str">
        <f>IF('Cable Info'!V292="","",CONCATENATE('Cable Info'!V292," - ",'Cable Info'!W292))</f>
        <v/>
      </c>
      <c r="BL293" s="121" t="str">
        <f t="shared" si="83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2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3"/>
        <v/>
      </c>
      <c r="Y294" s="252" t="str">
        <f t="shared" si="74"/>
        <v/>
      </c>
      <c r="Z294" s="253" t="str">
        <f t="shared" si="75"/>
        <v/>
      </c>
      <c r="AA294" s="253" t="str">
        <f t="shared" si="76"/>
        <v/>
      </c>
      <c r="AB294" s="253" t="str">
        <f t="shared" si="77"/>
        <v/>
      </c>
      <c r="AJ294" s="121" t="e">
        <f>IF('Cable Info'!L293="","",CONCATENATE('Cable Info'!L293," - ",'Cable Info'!M293))</f>
        <v>#N/A</v>
      </c>
      <c r="AM294" s="121" t="e">
        <f t="shared" si="78"/>
        <v>#N/A</v>
      </c>
      <c r="AO294" s="121" t="e">
        <f>IF('Cable Info'!N293="","",CONCATENATE('Cable Info'!N293," - ",'Cable Info'!O293))</f>
        <v>#N/A</v>
      </c>
      <c r="AR294" s="121" t="e">
        <f t="shared" si="79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0"/>
        <v>#N/A</v>
      </c>
      <c r="AY294" s="121" t="str">
        <f>IF('Cable Info'!R293="","",CONCATENATE('Cable Info'!R293," - ",'Cable Info'!S293))</f>
        <v/>
      </c>
      <c r="BB294" s="121" t="str">
        <f t="shared" si="81"/>
        <v/>
      </c>
      <c r="BD294" s="121" t="str">
        <f>IF('Cable Info'!T293="","",CONCATENATE('Cable Info'!T293," - ",'Cable Info'!U293))</f>
        <v/>
      </c>
      <c r="BG294" s="121" t="str">
        <f t="shared" si="82"/>
        <v/>
      </c>
      <c r="BI294" s="121" t="str">
        <f>IF('Cable Info'!V293="","",CONCATENATE('Cable Info'!V293," - ",'Cable Info'!W293))</f>
        <v/>
      </c>
      <c r="BL294" s="121" t="str">
        <f t="shared" si="83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2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3"/>
        <v/>
      </c>
      <c r="Y295" s="252" t="str">
        <f t="shared" si="74"/>
        <v/>
      </c>
      <c r="Z295" s="253" t="str">
        <f t="shared" si="75"/>
        <v/>
      </c>
      <c r="AA295" s="253" t="str">
        <f t="shared" si="76"/>
        <v/>
      </c>
      <c r="AB295" s="253" t="str">
        <f t="shared" si="77"/>
        <v/>
      </c>
      <c r="AJ295" s="121" t="e">
        <f>IF('Cable Info'!L294="","",CONCATENATE('Cable Info'!L294," - ",'Cable Info'!M294))</f>
        <v>#N/A</v>
      </c>
      <c r="AM295" s="121" t="e">
        <f t="shared" si="78"/>
        <v>#N/A</v>
      </c>
      <c r="AO295" s="121" t="e">
        <f>IF('Cable Info'!N294="","",CONCATENATE('Cable Info'!N294," - ",'Cable Info'!O294))</f>
        <v>#N/A</v>
      </c>
      <c r="AR295" s="121" t="e">
        <f t="shared" si="79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0"/>
        <v>#N/A</v>
      </c>
      <c r="AY295" s="121" t="str">
        <f>IF('Cable Info'!R294="","",CONCATENATE('Cable Info'!R294," - ",'Cable Info'!S294))</f>
        <v/>
      </c>
      <c r="BB295" s="121" t="str">
        <f t="shared" si="81"/>
        <v/>
      </c>
      <c r="BD295" s="121" t="str">
        <f>IF('Cable Info'!T294="","",CONCATENATE('Cable Info'!T294," - ",'Cable Info'!U294))</f>
        <v/>
      </c>
      <c r="BG295" s="121" t="str">
        <f t="shared" si="82"/>
        <v/>
      </c>
      <c r="BI295" s="121" t="str">
        <f>IF('Cable Info'!V294="","",CONCATENATE('Cable Info'!V294," - ",'Cable Info'!W294))</f>
        <v/>
      </c>
      <c r="BL295" s="121" t="str">
        <f t="shared" si="83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2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3"/>
        <v/>
      </c>
      <c r="Y296" s="252" t="str">
        <f t="shared" si="74"/>
        <v/>
      </c>
      <c r="Z296" s="253" t="str">
        <f t="shared" si="75"/>
        <v/>
      </c>
      <c r="AA296" s="253" t="str">
        <f t="shared" si="76"/>
        <v/>
      </c>
      <c r="AB296" s="253" t="str">
        <f t="shared" si="77"/>
        <v/>
      </c>
      <c r="AJ296" s="121" t="e">
        <f>IF('Cable Info'!L295="","",CONCATENATE('Cable Info'!L295," - ",'Cable Info'!M295))</f>
        <v>#N/A</v>
      </c>
      <c r="AM296" s="121" t="e">
        <f t="shared" si="78"/>
        <v>#N/A</v>
      </c>
      <c r="AO296" s="121" t="e">
        <f>IF('Cable Info'!N295="","",CONCATENATE('Cable Info'!N295," - ",'Cable Info'!O295))</f>
        <v>#N/A</v>
      </c>
      <c r="AR296" s="121" t="e">
        <f t="shared" si="79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0"/>
        <v>#N/A</v>
      </c>
      <c r="AY296" s="121" t="str">
        <f>IF('Cable Info'!R295="","",CONCATENATE('Cable Info'!R295," - ",'Cable Info'!S295))</f>
        <v/>
      </c>
      <c r="BB296" s="121" t="str">
        <f t="shared" si="81"/>
        <v/>
      </c>
      <c r="BD296" s="121" t="str">
        <f>IF('Cable Info'!T295="","",CONCATENATE('Cable Info'!T295," - ",'Cable Info'!U295))</f>
        <v/>
      </c>
      <c r="BG296" s="121" t="str">
        <f t="shared" si="82"/>
        <v/>
      </c>
      <c r="BI296" s="121" t="str">
        <f>IF('Cable Info'!V295="","",CONCATENATE('Cable Info'!V295," - ",'Cable Info'!W295))</f>
        <v/>
      </c>
      <c r="BL296" s="121" t="str">
        <f t="shared" si="83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2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3"/>
        <v/>
      </c>
      <c r="Y297" s="252" t="str">
        <f t="shared" si="74"/>
        <v/>
      </c>
      <c r="Z297" s="253" t="str">
        <f t="shared" si="75"/>
        <v/>
      </c>
      <c r="AA297" s="253" t="str">
        <f t="shared" si="76"/>
        <v/>
      </c>
      <c r="AB297" s="253" t="str">
        <f t="shared" si="77"/>
        <v/>
      </c>
      <c r="AJ297" s="121" t="e">
        <f>IF('Cable Info'!L296="","",CONCATENATE('Cable Info'!L296," - ",'Cable Info'!M296))</f>
        <v>#N/A</v>
      </c>
      <c r="AM297" s="121" t="e">
        <f t="shared" si="78"/>
        <v>#N/A</v>
      </c>
      <c r="AO297" s="121" t="e">
        <f>IF('Cable Info'!N296="","",CONCATENATE('Cable Info'!N296," - ",'Cable Info'!O296))</f>
        <v>#N/A</v>
      </c>
      <c r="AR297" s="121" t="e">
        <f t="shared" si="79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0"/>
        <v>#N/A</v>
      </c>
      <c r="AY297" s="121" t="str">
        <f>IF('Cable Info'!R296="","",CONCATENATE('Cable Info'!R296," - ",'Cable Info'!S296))</f>
        <v/>
      </c>
      <c r="BB297" s="121" t="str">
        <f t="shared" si="81"/>
        <v/>
      </c>
      <c r="BD297" s="121" t="str">
        <f>IF('Cable Info'!T296="","",CONCATENATE('Cable Info'!T296," - ",'Cable Info'!U296))</f>
        <v/>
      </c>
      <c r="BG297" s="121" t="str">
        <f t="shared" si="82"/>
        <v/>
      </c>
      <c r="BI297" s="121" t="str">
        <f>IF('Cable Info'!V296="","",CONCATENATE('Cable Info'!V296," - ",'Cable Info'!W296))</f>
        <v/>
      </c>
      <c r="BL297" s="121" t="str">
        <f t="shared" si="83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2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3"/>
        <v/>
      </c>
      <c r="Y298" s="252" t="str">
        <f t="shared" si="74"/>
        <v/>
      </c>
      <c r="Z298" s="253" t="str">
        <f t="shared" si="75"/>
        <v/>
      </c>
      <c r="AA298" s="253" t="str">
        <f t="shared" si="76"/>
        <v/>
      </c>
      <c r="AB298" s="253" t="str">
        <f t="shared" si="77"/>
        <v/>
      </c>
      <c r="AJ298" s="121" t="e">
        <f>IF('Cable Info'!L297="","",CONCATENATE('Cable Info'!L297," - ",'Cable Info'!M297))</f>
        <v>#N/A</v>
      </c>
      <c r="AM298" s="121" t="e">
        <f t="shared" si="78"/>
        <v>#N/A</v>
      </c>
      <c r="AO298" s="121" t="e">
        <f>IF('Cable Info'!N297="","",CONCATENATE('Cable Info'!N297," - ",'Cable Info'!O297))</f>
        <v>#N/A</v>
      </c>
      <c r="AR298" s="121" t="e">
        <f t="shared" si="79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0"/>
        <v>#N/A</v>
      </c>
      <c r="AY298" s="121" t="str">
        <f>IF('Cable Info'!R297="","",CONCATENATE('Cable Info'!R297," - ",'Cable Info'!S297))</f>
        <v/>
      </c>
      <c r="BB298" s="121" t="str">
        <f t="shared" si="81"/>
        <v/>
      </c>
      <c r="BD298" s="121" t="str">
        <f>IF('Cable Info'!T297="","",CONCATENATE('Cable Info'!T297," - ",'Cable Info'!U297))</f>
        <v/>
      </c>
      <c r="BG298" s="121" t="str">
        <f t="shared" si="82"/>
        <v/>
      </c>
      <c r="BI298" s="121" t="str">
        <f>IF('Cable Info'!V297="","",CONCATENATE('Cable Info'!V297," - ",'Cable Info'!W297))</f>
        <v/>
      </c>
      <c r="BL298" s="121" t="str">
        <f t="shared" si="83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2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3"/>
        <v/>
      </c>
      <c r="Y299" s="252" t="str">
        <f t="shared" si="74"/>
        <v/>
      </c>
      <c r="Z299" s="253" t="str">
        <f t="shared" si="75"/>
        <v/>
      </c>
      <c r="AA299" s="253" t="str">
        <f t="shared" si="76"/>
        <v/>
      </c>
      <c r="AB299" s="253" t="str">
        <f t="shared" si="77"/>
        <v/>
      </c>
      <c r="AJ299" s="121" t="e">
        <f>IF('Cable Info'!L298="","",CONCATENATE('Cable Info'!L298," - ",'Cable Info'!M298))</f>
        <v>#N/A</v>
      </c>
      <c r="AM299" s="121" t="e">
        <f t="shared" si="78"/>
        <v>#N/A</v>
      </c>
      <c r="AO299" s="121" t="e">
        <f>IF('Cable Info'!N298="","",CONCATENATE('Cable Info'!N298," - ",'Cable Info'!O298))</f>
        <v>#N/A</v>
      </c>
      <c r="AR299" s="121" t="e">
        <f t="shared" si="79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0"/>
        <v>#N/A</v>
      </c>
      <c r="AY299" s="121" t="str">
        <f>IF('Cable Info'!R298="","",CONCATENATE('Cable Info'!R298," - ",'Cable Info'!S298))</f>
        <v/>
      </c>
      <c r="BB299" s="121" t="str">
        <f t="shared" si="81"/>
        <v/>
      </c>
      <c r="BD299" s="121" t="str">
        <f>IF('Cable Info'!T298="","",CONCATENATE('Cable Info'!T298," - ",'Cable Info'!U298))</f>
        <v/>
      </c>
      <c r="BG299" s="121" t="str">
        <f t="shared" si="82"/>
        <v/>
      </c>
      <c r="BI299" s="121" t="str">
        <f>IF('Cable Info'!V298="","",CONCATENATE('Cable Info'!V298," - ",'Cable Info'!W298))</f>
        <v/>
      </c>
      <c r="BL299" s="121" t="str">
        <f t="shared" si="83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2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3"/>
        <v/>
      </c>
      <c r="Y300" s="252" t="str">
        <f t="shared" si="74"/>
        <v/>
      </c>
      <c r="Z300" s="253" t="str">
        <f t="shared" si="75"/>
        <v/>
      </c>
      <c r="AA300" s="253" t="str">
        <f t="shared" si="76"/>
        <v/>
      </c>
      <c r="AB300" s="253" t="str">
        <f t="shared" si="77"/>
        <v/>
      </c>
      <c r="AJ300" s="121" t="e">
        <f>IF('Cable Info'!L299="","",CONCATENATE('Cable Info'!L299," - ",'Cable Info'!M299))</f>
        <v>#N/A</v>
      </c>
      <c r="AM300" s="121" t="e">
        <f t="shared" si="78"/>
        <v>#N/A</v>
      </c>
      <c r="AO300" s="121" t="e">
        <f>IF('Cable Info'!N299="","",CONCATENATE('Cable Info'!N299," - ",'Cable Info'!O299))</f>
        <v>#N/A</v>
      </c>
      <c r="AR300" s="121" t="e">
        <f t="shared" si="79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0"/>
        <v>#N/A</v>
      </c>
      <c r="AY300" s="121" t="str">
        <f>IF('Cable Info'!R299="","",CONCATENATE('Cable Info'!R299," - ",'Cable Info'!S299))</f>
        <v/>
      </c>
      <c r="BB300" s="121" t="str">
        <f t="shared" si="81"/>
        <v/>
      </c>
      <c r="BD300" s="121" t="str">
        <f>IF('Cable Info'!T299="","",CONCATENATE('Cable Info'!T299," - ",'Cable Info'!U299))</f>
        <v/>
      </c>
      <c r="BG300" s="121" t="str">
        <f t="shared" si="82"/>
        <v/>
      </c>
      <c r="BI300" s="121" t="str">
        <f>IF('Cable Info'!V299="","",CONCATENATE('Cable Info'!V299," - ",'Cable Info'!W299))</f>
        <v/>
      </c>
      <c r="BL300" s="121" t="str">
        <f t="shared" si="83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2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3"/>
        <v/>
      </c>
      <c r="Y301" s="252" t="str">
        <f t="shared" si="74"/>
        <v/>
      </c>
      <c r="Z301" s="253" t="str">
        <f t="shared" si="75"/>
        <v/>
      </c>
      <c r="AA301" s="253" t="str">
        <f t="shared" si="76"/>
        <v/>
      </c>
      <c r="AB301" s="253" t="str">
        <f t="shared" si="77"/>
        <v/>
      </c>
      <c r="AJ301" s="121" t="e">
        <f>IF('Cable Info'!L300="","",CONCATENATE('Cable Info'!L300," - ",'Cable Info'!M300))</f>
        <v>#N/A</v>
      </c>
      <c r="AM301" s="121" t="e">
        <f t="shared" si="78"/>
        <v>#N/A</v>
      </c>
      <c r="AO301" s="121" t="e">
        <f>IF('Cable Info'!N300="","",CONCATENATE('Cable Info'!N300," - ",'Cable Info'!O300))</f>
        <v>#N/A</v>
      </c>
      <c r="AR301" s="121" t="e">
        <f t="shared" si="79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0"/>
        <v>#N/A</v>
      </c>
      <c r="AY301" s="121" t="str">
        <f>IF('Cable Info'!R300="","",CONCATENATE('Cable Info'!R300," - ",'Cable Info'!S300))</f>
        <v/>
      </c>
      <c r="BB301" s="121" t="str">
        <f t="shared" si="81"/>
        <v/>
      </c>
      <c r="BD301" s="121" t="str">
        <f>IF('Cable Info'!T300="","",CONCATENATE('Cable Info'!T300," - ",'Cable Info'!U300))</f>
        <v/>
      </c>
      <c r="BG301" s="121" t="str">
        <f t="shared" si="82"/>
        <v/>
      </c>
      <c r="BI301" s="121" t="str">
        <f>IF('Cable Info'!V300="","",CONCATENATE('Cable Info'!V300," - ",'Cable Info'!W300))</f>
        <v/>
      </c>
      <c r="BL301" s="121" t="str">
        <f t="shared" si="83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2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3"/>
        <v/>
      </c>
      <c r="Y302" s="252" t="str">
        <f t="shared" si="74"/>
        <v/>
      </c>
      <c r="Z302" s="253" t="str">
        <f t="shared" si="75"/>
        <v/>
      </c>
      <c r="AA302" s="253" t="str">
        <f t="shared" si="76"/>
        <v/>
      </c>
      <c r="AB302" s="253" t="str">
        <f t="shared" si="77"/>
        <v/>
      </c>
      <c r="AJ302" s="121" t="e">
        <f>IF('Cable Info'!L301="","",CONCATENATE('Cable Info'!L301," - ",'Cable Info'!M301))</f>
        <v>#N/A</v>
      </c>
      <c r="AM302" s="121" t="e">
        <f t="shared" si="78"/>
        <v>#N/A</v>
      </c>
      <c r="AO302" s="121" t="e">
        <f>IF('Cable Info'!N301="","",CONCATENATE('Cable Info'!N301," - ",'Cable Info'!O301))</f>
        <v>#N/A</v>
      </c>
      <c r="AR302" s="121" t="e">
        <f t="shared" si="79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0"/>
        <v>#N/A</v>
      </c>
      <c r="AY302" s="121" t="str">
        <f>IF('Cable Info'!R301="","",CONCATENATE('Cable Info'!R301," - ",'Cable Info'!S301))</f>
        <v/>
      </c>
      <c r="BB302" s="121" t="str">
        <f t="shared" si="81"/>
        <v/>
      </c>
      <c r="BD302" s="121" t="str">
        <f>IF('Cable Info'!T301="","",CONCATENATE('Cable Info'!T301," - ",'Cable Info'!U301))</f>
        <v/>
      </c>
      <c r="BG302" s="121" t="str">
        <f t="shared" si="82"/>
        <v/>
      </c>
      <c r="BI302" s="121" t="str">
        <f>IF('Cable Info'!V301="","",CONCATENATE('Cable Info'!V301," - ",'Cable Info'!W301))</f>
        <v/>
      </c>
      <c r="BL302" s="121" t="str">
        <f t="shared" si="83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2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3"/>
        <v/>
      </c>
      <c r="Y303" s="252" t="str">
        <f t="shared" si="74"/>
        <v/>
      </c>
      <c r="Z303" s="253" t="str">
        <f t="shared" si="75"/>
        <v/>
      </c>
      <c r="AA303" s="253" t="str">
        <f t="shared" si="76"/>
        <v/>
      </c>
      <c r="AB303" s="253" t="str">
        <f t="shared" si="77"/>
        <v/>
      </c>
      <c r="AJ303" s="121" t="e">
        <f>IF('Cable Info'!L302="","",CONCATENATE('Cable Info'!L302," - ",'Cable Info'!M302))</f>
        <v>#N/A</v>
      </c>
      <c r="AM303" s="121" t="e">
        <f t="shared" si="78"/>
        <v>#N/A</v>
      </c>
      <c r="AO303" s="121" t="e">
        <f>IF('Cable Info'!N302="","",CONCATENATE('Cable Info'!N302," - ",'Cable Info'!O302))</f>
        <v>#N/A</v>
      </c>
      <c r="AR303" s="121" t="e">
        <f t="shared" si="79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0"/>
        <v>#N/A</v>
      </c>
      <c r="AY303" s="121" t="str">
        <f>IF('Cable Info'!R302="","",CONCATENATE('Cable Info'!R302," - ",'Cable Info'!S302))</f>
        <v/>
      </c>
      <c r="BB303" s="121" t="str">
        <f t="shared" si="81"/>
        <v/>
      </c>
      <c r="BD303" s="121" t="str">
        <f>IF('Cable Info'!T302="","",CONCATENATE('Cable Info'!T302," - ",'Cable Info'!U302))</f>
        <v/>
      </c>
      <c r="BG303" s="121" t="str">
        <f t="shared" si="82"/>
        <v/>
      </c>
      <c r="BI303" s="121" t="str">
        <f>IF('Cable Info'!V302="","",CONCATENATE('Cable Info'!V302," - ",'Cable Info'!W302))</f>
        <v/>
      </c>
      <c r="BL303" s="121" t="str">
        <f t="shared" si="83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2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3"/>
        <v/>
      </c>
      <c r="Y304" s="252" t="str">
        <f t="shared" si="74"/>
        <v/>
      </c>
      <c r="Z304" s="253" t="str">
        <f t="shared" si="75"/>
        <v/>
      </c>
      <c r="AA304" s="253" t="str">
        <f t="shared" si="76"/>
        <v/>
      </c>
      <c r="AB304" s="253" t="str">
        <f t="shared" si="77"/>
        <v/>
      </c>
      <c r="AJ304" s="121" t="e">
        <f>IF('Cable Info'!L303="","",CONCATENATE('Cable Info'!L303," - ",'Cable Info'!M303))</f>
        <v>#N/A</v>
      </c>
      <c r="AM304" s="121" t="e">
        <f t="shared" si="78"/>
        <v>#N/A</v>
      </c>
      <c r="AO304" s="121" t="e">
        <f>IF('Cable Info'!N303="","",CONCATENATE('Cable Info'!N303," - ",'Cable Info'!O303))</f>
        <v>#N/A</v>
      </c>
      <c r="AR304" s="121" t="e">
        <f t="shared" si="79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0"/>
        <v>#N/A</v>
      </c>
      <c r="AY304" s="121" t="str">
        <f>IF('Cable Info'!R303="","",CONCATENATE('Cable Info'!R303," - ",'Cable Info'!S303))</f>
        <v/>
      </c>
      <c r="BB304" s="121" t="str">
        <f t="shared" si="81"/>
        <v/>
      </c>
      <c r="BD304" s="121" t="str">
        <f>IF('Cable Info'!T303="","",CONCATENATE('Cable Info'!T303," - ",'Cable Info'!U303))</f>
        <v/>
      </c>
      <c r="BG304" s="121" t="str">
        <f t="shared" si="82"/>
        <v/>
      </c>
      <c r="BI304" s="121" t="str">
        <f>IF('Cable Info'!V303="","",CONCATENATE('Cable Info'!V303," - ",'Cable Info'!W303))</f>
        <v/>
      </c>
      <c r="BL304" s="121" t="str">
        <f t="shared" si="83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2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3"/>
        <v/>
      </c>
      <c r="Y305" s="252" t="str">
        <f t="shared" si="74"/>
        <v/>
      </c>
      <c r="Z305" s="253" t="str">
        <f t="shared" si="75"/>
        <v/>
      </c>
      <c r="AA305" s="253" t="str">
        <f t="shared" si="76"/>
        <v/>
      </c>
      <c r="AB305" s="253" t="str">
        <f t="shared" si="77"/>
        <v/>
      </c>
      <c r="AJ305" s="121" t="e">
        <f>IF('Cable Info'!L304="","",CONCATENATE('Cable Info'!L304," - ",'Cable Info'!M304))</f>
        <v>#N/A</v>
      </c>
      <c r="AM305" s="121" t="e">
        <f t="shared" si="78"/>
        <v>#N/A</v>
      </c>
      <c r="AO305" s="121" t="e">
        <f>IF('Cable Info'!N304="","",CONCATENATE('Cable Info'!N304," - ",'Cable Info'!O304))</f>
        <v>#N/A</v>
      </c>
      <c r="AR305" s="121" t="e">
        <f t="shared" si="79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0"/>
        <v>#N/A</v>
      </c>
      <c r="AY305" s="121" t="str">
        <f>IF('Cable Info'!R304="","",CONCATENATE('Cable Info'!R304," - ",'Cable Info'!S304))</f>
        <v/>
      </c>
      <c r="BB305" s="121" t="str">
        <f t="shared" si="81"/>
        <v/>
      </c>
      <c r="BD305" s="121" t="str">
        <f>IF('Cable Info'!T304="","",CONCATENATE('Cable Info'!T304," - ",'Cable Info'!U304))</f>
        <v/>
      </c>
      <c r="BG305" s="121" t="str">
        <f t="shared" si="82"/>
        <v/>
      </c>
      <c r="BI305" s="121" t="str">
        <f>IF('Cable Info'!V304="","",CONCATENATE('Cable Info'!V304," - ",'Cable Info'!W304))</f>
        <v/>
      </c>
      <c r="BL305" s="121" t="str">
        <f t="shared" si="83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2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3"/>
        <v/>
      </c>
      <c r="Y306" s="252" t="str">
        <f t="shared" si="74"/>
        <v/>
      </c>
      <c r="Z306" s="253" t="str">
        <f t="shared" si="75"/>
        <v/>
      </c>
      <c r="AA306" s="253" t="str">
        <f t="shared" si="76"/>
        <v/>
      </c>
      <c r="AB306" s="253" t="str">
        <f t="shared" si="77"/>
        <v/>
      </c>
      <c r="AJ306" s="121" t="e">
        <f>IF('Cable Info'!L305="","",CONCATENATE('Cable Info'!L305," - ",'Cable Info'!M305))</f>
        <v>#N/A</v>
      </c>
      <c r="AM306" s="121" t="e">
        <f t="shared" si="78"/>
        <v>#N/A</v>
      </c>
      <c r="AO306" s="121" t="e">
        <f>IF('Cable Info'!N305="","",CONCATENATE('Cable Info'!N305," - ",'Cable Info'!O305))</f>
        <v>#N/A</v>
      </c>
      <c r="AR306" s="121" t="e">
        <f t="shared" si="79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0"/>
        <v>#N/A</v>
      </c>
      <c r="AY306" s="121" t="str">
        <f>IF('Cable Info'!R305="","",CONCATENATE('Cable Info'!R305," - ",'Cable Info'!S305))</f>
        <v/>
      </c>
      <c r="BB306" s="121" t="str">
        <f t="shared" si="81"/>
        <v/>
      </c>
      <c r="BD306" s="121" t="str">
        <f>IF('Cable Info'!T305="","",CONCATENATE('Cable Info'!T305," - ",'Cable Info'!U305))</f>
        <v/>
      </c>
      <c r="BG306" s="121" t="str">
        <f t="shared" si="82"/>
        <v/>
      </c>
      <c r="BI306" s="121" t="str">
        <f>IF('Cable Info'!V305="","",CONCATENATE('Cable Info'!V305," - ",'Cable Info'!W305))</f>
        <v/>
      </c>
      <c r="BL306" s="121" t="str">
        <f t="shared" si="83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2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3"/>
        <v/>
      </c>
      <c r="Y307" s="252" t="str">
        <f t="shared" si="74"/>
        <v/>
      </c>
      <c r="Z307" s="253" t="str">
        <f t="shared" si="75"/>
        <v/>
      </c>
      <c r="AA307" s="253" t="str">
        <f t="shared" si="76"/>
        <v/>
      </c>
      <c r="AB307" s="253" t="str">
        <f t="shared" si="77"/>
        <v/>
      </c>
      <c r="AJ307" s="121" t="e">
        <f>IF('Cable Info'!L306="","",CONCATENATE('Cable Info'!L306," - ",'Cable Info'!M306))</f>
        <v>#N/A</v>
      </c>
      <c r="AM307" s="121" t="e">
        <f t="shared" si="78"/>
        <v>#N/A</v>
      </c>
      <c r="AO307" s="121" t="e">
        <f>IF('Cable Info'!N306="","",CONCATENATE('Cable Info'!N306," - ",'Cable Info'!O306))</f>
        <v>#N/A</v>
      </c>
      <c r="AR307" s="121" t="e">
        <f t="shared" si="79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0"/>
        <v>#N/A</v>
      </c>
      <c r="AY307" s="121" t="str">
        <f>IF('Cable Info'!R306="","",CONCATENATE('Cable Info'!R306," - ",'Cable Info'!S306))</f>
        <v/>
      </c>
      <c r="BB307" s="121" t="str">
        <f t="shared" si="81"/>
        <v/>
      </c>
      <c r="BD307" s="121" t="str">
        <f>IF('Cable Info'!T306="","",CONCATENATE('Cable Info'!T306," - ",'Cable Info'!U306))</f>
        <v/>
      </c>
      <c r="BG307" s="121" t="str">
        <f t="shared" si="82"/>
        <v/>
      </c>
      <c r="BI307" s="121" t="str">
        <f>IF('Cable Info'!V306="","",CONCATENATE('Cable Info'!V306," - ",'Cable Info'!W306))</f>
        <v/>
      </c>
      <c r="BL307" s="121" t="str">
        <f t="shared" si="83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2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3"/>
        <v/>
      </c>
      <c r="Y308" s="252" t="str">
        <f t="shared" si="74"/>
        <v/>
      </c>
      <c r="Z308" s="253" t="str">
        <f t="shared" si="75"/>
        <v/>
      </c>
      <c r="AA308" s="253" t="str">
        <f t="shared" si="76"/>
        <v/>
      </c>
      <c r="AB308" s="253" t="str">
        <f t="shared" si="77"/>
        <v/>
      </c>
      <c r="AJ308" s="121" t="e">
        <f>IF('Cable Info'!L307="","",CONCATENATE('Cable Info'!L307," - ",'Cable Info'!M307))</f>
        <v>#N/A</v>
      </c>
      <c r="AM308" s="121" t="e">
        <f t="shared" si="78"/>
        <v>#N/A</v>
      </c>
      <c r="AO308" s="121" t="e">
        <f>IF('Cable Info'!N307="","",CONCATENATE('Cable Info'!N307," - ",'Cable Info'!O307))</f>
        <v>#N/A</v>
      </c>
      <c r="AR308" s="121" t="e">
        <f t="shared" si="79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0"/>
        <v>#N/A</v>
      </c>
      <c r="AY308" s="121" t="str">
        <f>IF('Cable Info'!R307="","",CONCATENATE('Cable Info'!R307," - ",'Cable Info'!S307))</f>
        <v/>
      </c>
      <c r="BB308" s="121" t="str">
        <f t="shared" si="81"/>
        <v/>
      </c>
      <c r="BD308" s="121" t="str">
        <f>IF('Cable Info'!T307="","",CONCATENATE('Cable Info'!T307," - ",'Cable Info'!U307))</f>
        <v/>
      </c>
      <c r="BG308" s="121" t="str">
        <f t="shared" si="82"/>
        <v/>
      </c>
      <c r="BI308" s="121" t="str">
        <f>IF('Cable Info'!V307="","",CONCATENATE('Cable Info'!V307," - ",'Cable Info'!W307))</f>
        <v/>
      </c>
      <c r="BL308" s="121" t="str">
        <f t="shared" si="83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2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3"/>
        <v/>
      </c>
      <c r="Y309" s="252" t="str">
        <f t="shared" si="74"/>
        <v/>
      </c>
      <c r="Z309" s="253" t="str">
        <f t="shared" si="75"/>
        <v/>
      </c>
      <c r="AA309" s="253" t="str">
        <f t="shared" si="76"/>
        <v/>
      </c>
      <c r="AB309" s="253" t="str">
        <f t="shared" si="77"/>
        <v/>
      </c>
      <c r="AJ309" s="121" t="e">
        <f>IF('Cable Info'!L308="","",CONCATENATE('Cable Info'!L308," - ",'Cable Info'!M308))</f>
        <v>#N/A</v>
      </c>
      <c r="AM309" s="121" t="e">
        <f t="shared" si="78"/>
        <v>#N/A</v>
      </c>
      <c r="AO309" s="121" t="e">
        <f>IF('Cable Info'!N308="","",CONCATENATE('Cable Info'!N308," - ",'Cable Info'!O308))</f>
        <v>#N/A</v>
      </c>
      <c r="AR309" s="121" t="e">
        <f t="shared" si="79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0"/>
        <v>#N/A</v>
      </c>
      <c r="AY309" s="121" t="str">
        <f>IF('Cable Info'!R308="","",CONCATENATE('Cable Info'!R308," - ",'Cable Info'!S308))</f>
        <v/>
      </c>
      <c r="BB309" s="121" t="str">
        <f t="shared" si="81"/>
        <v/>
      </c>
      <c r="BD309" s="121" t="str">
        <f>IF('Cable Info'!T308="","",CONCATENATE('Cable Info'!T308," - ",'Cable Info'!U308))</f>
        <v/>
      </c>
      <c r="BG309" s="121" t="str">
        <f t="shared" si="82"/>
        <v/>
      </c>
      <c r="BI309" s="121" t="str">
        <f>IF('Cable Info'!V308="","",CONCATENATE('Cable Info'!V308," - ",'Cable Info'!W308))</f>
        <v/>
      </c>
      <c r="BL309" s="121" t="str">
        <f t="shared" si="83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2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3"/>
        <v/>
      </c>
      <c r="Y310" s="252" t="str">
        <f t="shared" si="74"/>
        <v/>
      </c>
      <c r="Z310" s="253" t="str">
        <f t="shared" si="75"/>
        <v/>
      </c>
      <c r="AA310" s="253" t="str">
        <f t="shared" si="76"/>
        <v/>
      </c>
      <c r="AB310" s="253" t="str">
        <f t="shared" si="77"/>
        <v/>
      </c>
      <c r="AJ310" s="121" t="e">
        <f>IF('Cable Info'!L309="","",CONCATENATE('Cable Info'!L309," - ",'Cable Info'!M309))</f>
        <v>#N/A</v>
      </c>
      <c r="AM310" s="121" t="e">
        <f t="shared" si="78"/>
        <v>#N/A</v>
      </c>
      <c r="AO310" s="121" t="e">
        <f>IF('Cable Info'!N309="","",CONCATENATE('Cable Info'!N309," - ",'Cable Info'!O309))</f>
        <v>#N/A</v>
      </c>
      <c r="AR310" s="121" t="e">
        <f t="shared" si="79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0"/>
        <v>#N/A</v>
      </c>
      <c r="AY310" s="121" t="str">
        <f>IF('Cable Info'!R309="","",CONCATENATE('Cable Info'!R309," - ",'Cable Info'!S309))</f>
        <v/>
      </c>
      <c r="BB310" s="121" t="str">
        <f t="shared" si="81"/>
        <v/>
      </c>
      <c r="BD310" s="121" t="str">
        <f>IF('Cable Info'!T309="","",CONCATENATE('Cable Info'!T309," - ",'Cable Info'!U309))</f>
        <v/>
      </c>
      <c r="BG310" s="121" t="str">
        <f t="shared" si="82"/>
        <v/>
      </c>
      <c r="BI310" s="121" t="str">
        <f>IF('Cable Info'!V309="","",CONCATENATE('Cable Info'!V309," - ",'Cable Info'!W309))</f>
        <v/>
      </c>
      <c r="BL310" s="121" t="str">
        <f t="shared" si="83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2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3"/>
        <v/>
      </c>
      <c r="Y311" s="252" t="str">
        <f t="shared" si="74"/>
        <v/>
      </c>
      <c r="Z311" s="253" t="str">
        <f t="shared" si="75"/>
        <v/>
      </c>
      <c r="AA311" s="253" t="str">
        <f t="shared" si="76"/>
        <v/>
      </c>
      <c r="AB311" s="253" t="str">
        <f t="shared" si="77"/>
        <v/>
      </c>
      <c r="AJ311" s="121" t="e">
        <f>IF('Cable Info'!L310="","",CONCATENATE('Cable Info'!L310," - ",'Cable Info'!M310))</f>
        <v>#N/A</v>
      </c>
      <c r="AM311" s="121" t="e">
        <f t="shared" si="78"/>
        <v>#N/A</v>
      </c>
      <c r="AO311" s="121" t="e">
        <f>IF('Cable Info'!N310="","",CONCATENATE('Cable Info'!N310," - ",'Cable Info'!O310))</f>
        <v>#N/A</v>
      </c>
      <c r="AR311" s="121" t="e">
        <f t="shared" si="79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0"/>
        <v>#N/A</v>
      </c>
      <c r="AY311" s="121" t="str">
        <f>IF('Cable Info'!R310="","",CONCATENATE('Cable Info'!R310," - ",'Cable Info'!S310))</f>
        <v/>
      </c>
      <c r="BB311" s="121" t="str">
        <f t="shared" si="81"/>
        <v/>
      </c>
      <c r="BD311" s="121" t="str">
        <f>IF('Cable Info'!T310="","",CONCATENATE('Cable Info'!T310," - ",'Cable Info'!U310))</f>
        <v/>
      </c>
      <c r="BG311" s="121" t="str">
        <f t="shared" si="82"/>
        <v/>
      </c>
      <c r="BI311" s="121" t="str">
        <f>IF('Cable Info'!V310="","",CONCATENATE('Cable Info'!V310," - ",'Cable Info'!W310))</f>
        <v/>
      </c>
      <c r="BL311" s="121" t="str">
        <f t="shared" si="83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2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3"/>
        <v/>
      </c>
      <c r="Y312" s="252" t="str">
        <f t="shared" si="74"/>
        <v/>
      </c>
      <c r="Z312" s="253" t="str">
        <f t="shared" si="75"/>
        <v/>
      </c>
      <c r="AA312" s="253" t="str">
        <f t="shared" si="76"/>
        <v/>
      </c>
      <c r="AB312" s="253" t="str">
        <f t="shared" si="77"/>
        <v/>
      </c>
      <c r="AJ312" s="121" t="e">
        <f>IF('Cable Info'!L311="","",CONCATENATE('Cable Info'!L311," - ",'Cable Info'!M311))</f>
        <v>#N/A</v>
      </c>
      <c r="AM312" s="121" t="e">
        <f t="shared" si="78"/>
        <v>#N/A</v>
      </c>
      <c r="AO312" s="121" t="e">
        <f>IF('Cable Info'!N311="","",CONCATENATE('Cable Info'!N311," - ",'Cable Info'!O311))</f>
        <v>#N/A</v>
      </c>
      <c r="AR312" s="121" t="e">
        <f t="shared" si="79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0"/>
        <v>#N/A</v>
      </c>
      <c r="AY312" s="121" t="str">
        <f>IF('Cable Info'!R311="","",CONCATENATE('Cable Info'!R311," - ",'Cable Info'!S311))</f>
        <v/>
      </c>
      <c r="BB312" s="121" t="str">
        <f t="shared" si="81"/>
        <v/>
      </c>
      <c r="BD312" s="121" t="str">
        <f>IF('Cable Info'!T311="","",CONCATENATE('Cable Info'!T311," - ",'Cable Info'!U311))</f>
        <v/>
      </c>
      <c r="BG312" s="121" t="str">
        <f t="shared" si="82"/>
        <v/>
      </c>
      <c r="BI312" s="121" t="str">
        <f>IF('Cable Info'!V311="","",CONCATENATE('Cable Info'!V311," - ",'Cable Info'!W311))</f>
        <v/>
      </c>
      <c r="BL312" s="121" t="str">
        <f t="shared" si="83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2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3"/>
        <v/>
      </c>
      <c r="Y313" s="252" t="str">
        <f t="shared" si="74"/>
        <v/>
      </c>
      <c r="Z313" s="253" t="str">
        <f t="shared" si="75"/>
        <v/>
      </c>
      <c r="AA313" s="253" t="str">
        <f t="shared" si="76"/>
        <v/>
      </c>
      <c r="AB313" s="253" t="str">
        <f t="shared" si="77"/>
        <v/>
      </c>
      <c r="AJ313" s="121" t="e">
        <f>IF('Cable Info'!L312="","",CONCATENATE('Cable Info'!L312," - ",'Cable Info'!M312))</f>
        <v>#N/A</v>
      </c>
      <c r="AM313" s="121" t="e">
        <f t="shared" si="78"/>
        <v>#N/A</v>
      </c>
      <c r="AO313" s="121" t="e">
        <f>IF('Cable Info'!N312="","",CONCATENATE('Cable Info'!N312," - ",'Cable Info'!O312))</f>
        <v>#N/A</v>
      </c>
      <c r="AR313" s="121" t="e">
        <f t="shared" si="79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0"/>
        <v>#N/A</v>
      </c>
      <c r="AY313" s="121" t="str">
        <f>IF('Cable Info'!R312="","",CONCATENATE('Cable Info'!R312," - ",'Cable Info'!S312))</f>
        <v/>
      </c>
      <c r="BB313" s="121" t="str">
        <f t="shared" si="81"/>
        <v/>
      </c>
      <c r="BD313" s="121" t="str">
        <f>IF('Cable Info'!T312="","",CONCATENATE('Cable Info'!T312," - ",'Cable Info'!U312))</f>
        <v/>
      </c>
      <c r="BG313" s="121" t="str">
        <f t="shared" si="82"/>
        <v/>
      </c>
      <c r="BI313" s="121" t="str">
        <f>IF('Cable Info'!V312="","",CONCATENATE('Cable Info'!V312," - ",'Cable Info'!W312))</f>
        <v/>
      </c>
      <c r="BL313" s="121" t="str">
        <f t="shared" si="83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2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3"/>
        <v/>
      </c>
      <c r="Y314" s="252" t="str">
        <f t="shared" si="74"/>
        <v/>
      </c>
      <c r="Z314" s="253" t="str">
        <f t="shared" si="75"/>
        <v/>
      </c>
      <c r="AA314" s="253" t="str">
        <f t="shared" si="76"/>
        <v/>
      </c>
      <c r="AB314" s="253" t="str">
        <f t="shared" si="77"/>
        <v/>
      </c>
      <c r="AJ314" s="121" t="e">
        <f>IF('Cable Info'!L313="","",CONCATENATE('Cable Info'!L313," - ",'Cable Info'!M313))</f>
        <v>#N/A</v>
      </c>
      <c r="AM314" s="121" t="e">
        <f t="shared" si="78"/>
        <v>#N/A</v>
      </c>
      <c r="AO314" s="121" t="e">
        <f>IF('Cable Info'!N313="","",CONCATENATE('Cable Info'!N313," - ",'Cable Info'!O313))</f>
        <v>#N/A</v>
      </c>
      <c r="AR314" s="121" t="e">
        <f t="shared" si="79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0"/>
        <v>#N/A</v>
      </c>
      <c r="AY314" s="121" t="str">
        <f>IF('Cable Info'!R313="","",CONCATENATE('Cable Info'!R313," - ",'Cable Info'!S313))</f>
        <v/>
      </c>
      <c r="BB314" s="121" t="str">
        <f t="shared" si="81"/>
        <v/>
      </c>
      <c r="BD314" s="121" t="str">
        <f>IF('Cable Info'!T313="","",CONCATENATE('Cable Info'!T313," - ",'Cable Info'!U313))</f>
        <v/>
      </c>
      <c r="BG314" s="121" t="str">
        <f t="shared" si="82"/>
        <v/>
      </c>
      <c r="BI314" s="121" t="str">
        <f>IF('Cable Info'!V313="","",CONCATENATE('Cable Info'!V313," - ",'Cable Info'!W313))</f>
        <v/>
      </c>
      <c r="BL314" s="121" t="str">
        <f t="shared" si="83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2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3"/>
        <v/>
      </c>
      <c r="Y315" s="252" t="str">
        <f t="shared" si="74"/>
        <v/>
      </c>
      <c r="Z315" s="253" t="str">
        <f t="shared" si="75"/>
        <v/>
      </c>
      <c r="AA315" s="253" t="str">
        <f t="shared" si="76"/>
        <v/>
      </c>
      <c r="AB315" s="253" t="str">
        <f t="shared" si="77"/>
        <v/>
      </c>
      <c r="AJ315" s="121" t="e">
        <f>IF('Cable Info'!L314="","",CONCATENATE('Cable Info'!L314," - ",'Cable Info'!M314))</f>
        <v>#N/A</v>
      </c>
      <c r="AM315" s="121" t="e">
        <f t="shared" si="78"/>
        <v>#N/A</v>
      </c>
      <c r="AO315" s="121" t="e">
        <f>IF('Cable Info'!N314="","",CONCATENATE('Cable Info'!N314," - ",'Cable Info'!O314))</f>
        <v>#N/A</v>
      </c>
      <c r="AR315" s="121" t="e">
        <f t="shared" si="79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0"/>
        <v>#N/A</v>
      </c>
      <c r="AY315" s="121" t="str">
        <f>IF('Cable Info'!R314="","",CONCATENATE('Cable Info'!R314," - ",'Cable Info'!S314))</f>
        <v/>
      </c>
      <c r="BB315" s="121" t="str">
        <f t="shared" si="81"/>
        <v/>
      </c>
      <c r="BD315" s="121" t="str">
        <f>IF('Cable Info'!T314="","",CONCATENATE('Cable Info'!T314," - ",'Cable Info'!U314))</f>
        <v/>
      </c>
      <c r="BG315" s="121" t="str">
        <f t="shared" si="82"/>
        <v/>
      </c>
      <c r="BI315" s="121" t="str">
        <f>IF('Cable Info'!V314="","",CONCATENATE('Cable Info'!V314," - ",'Cable Info'!W314))</f>
        <v/>
      </c>
      <c r="BL315" s="121" t="str">
        <f t="shared" si="83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2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3"/>
        <v/>
      </c>
      <c r="Y316" s="252" t="str">
        <f t="shared" si="74"/>
        <v/>
      </c>
      <c r="Z316" s="253" t="str">
        <f t="shared" si="75"/>
        <v/>
      </c>
      <c r="AA316" s="253" t="str">
        <f t="shared" si="76"/>
        <v/>
      </c>
      <c r="AB316" s="253" t="str">
        <f t="shared" si="77"/>
        <v/>
      </c>
      <c r="AJ316" s="121" t="e">
        <f>IF('Cable Info'!L315="","",CONCATENATE('Cable Info'!L315," - ",'Cable Info'!M315))</f>
        <v>#N/A</v>
      </c>
      <c r="AM316" s="121" t="e">
        <f t="shared" si="78"/>
        <v>#N/A</v>
      </c>
      <c r="AO316" s="121" t="e">
        <f>IF('Cable Info'!N315="","",CONCATENATE('Cable Info'!N315," - ",'Cable Info'!O315))</f>
        <v>#N/A</v>
      </c>
      <c r="AR316" s="121" t="e">
        <f t="shared" si="79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0"/>
        <v>#N/A</v>
      </c>
      <c r="AY316" s="121" t="str">
        <f>IF('Cable Info'!R315="","",CONCATENATE('Cable Info'!R315," - ",'Cable Info'!S315))</f>
        <v/>
      </c>
      <c r="BB316" s="121" t="str">
        <f t="shared" si="81"/>
        <v/>
      </c>
      <c r="BD316" s="121" t="str">
        <f>IF('Cable Info'!T315="","",CONCATENATE('Cable Info'!T315," - ",'Cable Info'!U315))</f>
        <v/>
      </c>
      <c r="BG316" s="121" t="str">
        <f t="shared" si="82"/>
        <v/>
      </c>
      <c r="BI316" s="121" t="str">
        <f>IF('Cable Info'!V315="","",CONCATENATE('Cable Info'!V315," - ",'Cable Info'!W315))</f>
        <v/>
      </c>
      <c r="BL316" s="121" t="str">
        <f t="shared" si="83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2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3"/>
        <v/>
      </c>
      <c r="Y317" s="252" t="str">
        <f t="shared" si="74"/>
        <v/>
      </c>
      <c r="Z317" s="253" t="str">
        <f t="shared" si="75"/>
        <v/>
      </c>
      <c r="AA317" s="253" t="str">
        <f t="shared" si="76"/>
        <v/>
      </c>
      <c r="AB317" s="253" t="str">
        <f t="shared" si="77"/>
        <v/>
      </c>
      <c r="AJ317" s="121" t="e">
        <f>IF('Cable Info'!L316="","",CONCATENATE('Cable Info'!L316," - ",'Cable Info'!M316))</f>
        <v>#N/A</v>
      </c>
      <c r="AM317" s="121" t="e">
        <f t="shared" si="78"/>
        <v>#N/A</v>
      </c>
      <c r="AO317" s="121" t="e">
        <f>IF('Cable Info'!N316="","",CONCATENATE('Cable Info'!N316," - ",'Cable Info'!O316))</f>
        <v>#N/A</v>
      </c>
      <c r="AR317" s="121" t="e">
        <f t="shared" si="79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0"/>
        <v>#N/A</v>
      </c>
      <c r="AY317" s="121" t="str">
        <f>IF('Cable Info'!R316="","",CONCATENATE('Cable Info'!R316," - ",'Cable Info'!S316))</f>
        <v/>
      </c>
      <c r="BB317" s="121" t="str">
        <f t="shared" si="81"/>
        <v/>
      </c>
      <c r="BD317" s="121" t="str">
        <f>IF('Cable Info'!T316="","",CONCATENATE('Cable Info'!T316," - ",'Cable Info'!U316))</f>
        <v/>
      </c>
      <c r="BG317" s="121" t="str">
        <f t="shared" si="82"/>
        <v/>
      </c>
      <c r="BI317" s="121" t="str">
        <f>IF('Cable Info'!V316="","",CONCATENATE('Cable Info'!V316," - ",'Cable Info'!W316))</f>
        <v/>
      </c>
      <c r="BL317" s="121" t="str">
        <f t="shared" si="83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2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3"/>
        <v/>
      </c>
      <c r="Y318" s="252" t="str">
        <f t="shared" si="74"/>
        <v/>
      </c>
      <c r="Z318" s="253" t="str">
        <f t="shared" si="75"/>
        <v/>
      </c>
      <c r="AA318" s="253" t="str">
        <f t="shared" si="76"/>
        <v/>
      </c>
      <c r="AB318" s="253" t="str">
        <f t="shared" si="77"/>
        <v/>
      </c>
      <c r="AJ318" s="121" t="e">
        <f>IF('Cable Info'!L317="","",CONCATENATE('Cable Info'!L317," - ",'Cable Info'!M317))</f>
        <v>#N/A</v>
      </c>
      <c r="AM318" s="121" t="e">
        <f t="shared" si="78"/>
        <v>#N/A</v>
      </c>
      <c r="AO318" s="121" t="e">
        <f>IF('Cable Info'!N317="","",CONCATENATE('Cable Info'!N317," - ",'Cable Info'!O317))</f>
        <v>#N/A</v>
      </c>
      <c r="AR318" s="121" t="e">
        <f t="shared" si="79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0"/>
        <v>#N/A</v>
      </c>
      <c r="AY318" s="121" t="str">
        <f>IF('Cable Info'!R317="","",CONCATENATE('Cable Info'!R317," - ",'Cable Info'!S317))</f>
        <v/>
      </c>
      <c r="BB318" s="121" t="str">
        <f t="shared" si="81"/>
        <v/>
      </c>
      <c r="BD318" s="121" t="str">
        <f>IF('Cable Info'!T317="","",CONCATENATE('Cable Info'!T317," - ",'Cable Info'!U317))</f>
        <v/>
      </c>
      <c r="BG318" s="121" t="str">
        <f t="shared" si="82"/>
        <v/>
      </c>
      <c r="BI318" s="121" t="str">
        <f>IF('Cable Info'!V317="","",CONCATENATE('Cable Info'!V317," - ",'Cable Info'!W317))</f>
        <v/>
      </c>
      <c r="BL318" s="121" t="str">
        <f t="shared" si="83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2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3"/>
        <v/>
      </c>
      <c r="Y319" s="252" t="str">
        <f t="shared" si="74"/>
        <v/>
      </c>
      <c r="Z319" s="253" t="str">
        <f t="shared" si="75"/>
        <v/>
      </c>
      <c r="AA319" s="253" t="str">
        <f t="shared" si="76"/>
        <v/>
      </c>
      <c r="AB319" s="253" t="str">
        <f t="shared" si="77"/>
        <v/>
      </c>
      <c r="AJ319" s="121" t="e">
        <f>IF('Cable Info'!L318="","",CONCATENATE('Cable Info'!L318," - ",'Cable Info'!M318))</f>
        <v>#N/A</v>
      </c>
      <c r="AM319" s="121" t="e">
        <f t="shared" si="78"/>
        <v>#N/A</v>
      </c>
      <c r="AO319" s="121" t="e">
        <f>IF('Cable Info'!N318="","",CONCATENATE('Cable Info'!N318," - ",'Cable Info'!O318))</f>
        <v>#N/A</v>
      </c>
      <c r="AR319" s="121" t="e">
        <f t="shared" si="79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0"/>
        <v>#N/A</v>
      </c>
      <c r="AY319" s="121" t="str">
        <f>IF('Cable Info'!R318="","",CONCATENATE('Cable Info'!R318," - ",'Cable Info'!S318))</f>
        <v/>
      </c>
      <c r="BB319" s="121" t="str">
        <f t="shared" si="81"/>
        <v/>
      </c>
      <c r="BD319" s="121" t="str">
        <f>IF('Cable Info'!T318="","",CONCATENATE('Cable Info'!T318," - ",'Cable Info'!U318))</f>
        <v/>
      </c>
      <c r="BG319" s="121" t="str">
        <f t="shared" si="82"/>
        <v/>
      </c>
      <c r="BI319" s="121" t="str">
        <f>IF('Cable Info'!V318="","",CONCATENATE('Cable Info'!V318," - ",'Cable Info'!W318))</f>
        <v/>
      </c>
      <c r="BL319" s="121" t="str">
        <f t="shared" si="83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2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3"/>
        <v/>
      </c>
      <c r="Y320" s="252" t="str">
        <f t="shared" si="74"/>
        <v/>
      </c>
      <c r="Z320" s="253" t="str">
        <f t="shared" si="75"/>
        <v/>
      </c>
      <c r="AA320" s="253" t="str">
        <f t="shared" si="76"/>
        <v/>
      </c>
      <c r="AB320" s="253" t="str">
        <f t="shared" si="77"/>
        <v/>
      </c>
      <c r="AJ320" s="121" t="e">
        <f>IF('Cable Info'!L319="","",CONCATENATE('Cable Info'!L319," - ",'Cable Info'!M319))</f>
        <v>#N/A</v>
      </c>
      <c r="AM320" s="121" t="e">
        <f t="shared" si="78"/>
        <v>#N/A</v>
      </c>
      <c r="AO320" s="121" t="e">
        <f>IF('Cable Info'!N319="","",CONCATENATE('Cable Info'!N319," - ",'Cable Info'!O319))</f>
        <v>#N/A</v>
      </c>
      <c r="AR320" s="121" t="e">
        <f t="shared" si="79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0"/>
        <v>#N/A</v>
      </c>
      <c r="AY320" s="121" t="str">
        <f>IF('Cable Info'!R319="","",CONCATENATE('Cable Info'!R319," - ",'Cable Info'!S319))</f>
        <v/>
      </c>
      <c r="BB320" s="121" t="str">
        <f t="shared" si="81"/>
        <v/>
      </c>
      <c r="BD320" s="121" t="str">
        <f>IF('Cable Info'!T319="","",CONCATENATE('Cable Info'!T319," - ",'Cable Info'!U319))</f>
        <v/>
      </c>
      <c r="BG320" s="121" t="str">
        <f t="shared" si="82"/>
        <v/>
      </c>
      <c r="BI320" s="121" t="str">
        <f>IF('Cable Info'!V319="","",CONCATENATE('Cable Info'!V319," - ",'Cable Info'!W319))</f>
        <v/>
      </c>
      <c r="BL320" s="121" t="str">
        <f t="shared" si="83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2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3"/>
        <v/>
      </c>
      <c r="Y321" s="252" t="str">
        <f t="shared" si="74"/>
        <v/>
      </c>
      <c r="Z321" s="253" t="str">
        <f t="shared" si="75"/>
        <v/>
      </c>
      <c r="AA321" s="253" t="str">
        <f t="shared" si="76"/>
        <v/>
      </c>
      <c r="AB321" s="253" t="str">
        <f t="shared" si="77"/>
        <v/>
      </c>
      <c r="AJ321" s="121" t="e">
        <f>IF('Cable Info'!L320="","",CONCATENATE('Cable Info'!L320," - ",'Cable Info'!M320))</f>
        <v>#N/A</v>
      </c>
      <c r="AM321" s="121" t="e">
        <f t="shared" si="78"/>
        <v>#N/A</v>
      </c>
      <c r="AO321" s="121" t="e">
        <f>IF('Cable Info'!N320="","",CONCATENATE('Cable Info'!N320," - ",'Cable Info'!O320))</f>
        <v>#N/A</v>
      </c>
      <c r="AR321" s="121" t="e">
        <f t="shared" si="79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0"/>
        <v>#N/A</v>
      </c>
      <c r="AY321" s="121" t="str">
        <f>IF('Cable Info'!R320="","",CONCATENATE('Cable Info'!R320," - ",'Cable Info'!S320))</f>
        <v/>
      </c>
      <c r="BB321" s="121" t="str">
        <f t="shared" si="81"/>
        <v/>
      </c>
      <c r="BD321" s="121" t="str">
        <f>IF('Cable Info'!T320="","",CONCATENATE('Cable Info'!T320," - ",'Cable Info'!U320))</f>
        <v/>
      </c>
      <c r="BG321" s="121" t="str">
        <f t="shared" si="82"/>
        <v/>
      </c>
      <c r="BI321" s="121" t="str">
        <f>IF('Cable Info'!V320="","",CONCATENATE('Cable Info'!V320," - ",'Cable Info'!W320))</f>
        <v/>
      </c>
      <c r="BL321" s="121" t="str">
        <f t="shared" si="83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2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3"/>
        <v/>
      </c>
      <c r="Y322" s="252" t="str">
        <f t="shared" si="74"/>
        <v/>
      </c>
      <c r="Z322" s="253" t="str">
        <f t="shared" si="75"/>
        <v/>
      </c>
      <c r="AA322" s="253" t="str">
        <f t="shared" si="76"/>
        <v/>
      </c>
      <c r="AB322" s="253" t="str">
        <f t="shared" si="77"/>
        <v/>
      </c>
      <c r="AJ322" s="121" t="e">
        <f>IF('Cable Info'!L321="","",CONCATENATE('Cable Info'!L321," - ",'Cable Info'!M321))</f>
        <v>#N/A</v>
      </c>
      <c r="AM322" s="121" t="e">
        <f t="shared" si="78"/>
        <v>#N/A</v>
      </c>
      <c r="AO322" s="121" t="e">
        <f>IF('Cable Info'!N321="","",CONCATENATE('Cable Info'!N321," - ",'Cable Info'!O321))</f>
        <v>#N/A</v>
      </c>
      <c r="AR322" s="121" t="e">
        <f t="shared" si="79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0"/>
        <v>#N/A</v>
      </c>
      <c r="AY322" s="121" t="str">
        <f>IF('Cable Info'!R321="","",CONCATENATE('Cable Info'!R321," - ",'Cable Info'!S321))</f>
        <v/>
      </c>
      <c r="BB322" s="121" t="str">
        <f t="shared" si="81"/>
        <v/>
      </c>
      <c r="BD322" s="121" t="str">
        <f>IF('Cable Info'!T321="","",CONCATENATE('Cable Info'!T321," - ",'Cable Info'!U321))</f>
        <v/>
      </c>
      <c r="BG322" s="121" t="str">
        <f t="shared" si="82"/>
        <v/>
      </c>
      <c r="BI322" s="121" t="str">
        <f>IF('Cable Info'!V321="","",CONCATENATE('Cable Info'!V321," - ",'Cable Info'!W321))</f>
        <v/>
      </c>
      <c r="BL322" s="121" t="str">
        <f t="shared" si="83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2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3"/>
        <v/>
      </c>
      <c r="Y323" s="252" t="str">
        <f t="shared" si="74"/>
        <v/>
      </c>
      <c r="Z323" s="253" t="str">
        <f t="shared" si="75"/>
        <v/>
      </c>
      <c r="AA323" s="253" t="str">
        <f t="shared" si="76"/>
        <v/>
      </c>
      <c r="AB323" s="253" t="str">
        <f t="shared" si="77"/>
        <v/>
      </c>
      <c r="AJ323" s="121" t="e">
        <f>IF('Cable Info'!L322="","",CONCATENATE('Cable Info'!L322," - ",'Cable Info'!M322))</f>
        <v>#N/A</v>
      </c>
      <c r="AM323" s="121" t="e">
        <f t="shared" si="78"/>
        <v>#N/A</v>
      </c>
      <c r="AO323" s="121" t="e">
        <f>IF('Cable Info'!N322="","",CONCATENATE('Cable Info'!N322," - ",'Cable Info'!O322))</f>
        <v>#N/A</v>
      </c>
      <c r="AR323" s="121" t="e">
        <f t="shared" si="79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0"/>
        <v>#N/A</v>
      </c>
      <c r="AY323" s="121" t="str">
        <f>IF('Cable Info'!R322="","",CONCATENATE('Cable Info'!R322," - ",'Cable Info'!S322))</f>
        <v/>
      </c>
      <c r="BB323" s="121" t="str">
        <f t="shared" si="81"/>
        <v/>
      </c>
      <c r="BD323" s="121" t="str">
        <f>IF('Cable Info'!T322="","",CONCATENATE('Cable Info'!T322," - ",'Cable Info'!U322))</f>
        <v/>
      </c>
      <c r="BG323" s="121" t="str">
        <f t="shared" si="82"/>
        <v/>
      </c>
      <c r="BI323" s="121" t="str">
        <f>IF('Cable Info'!V322="","",CONCATENATE('Cable Info'!V322," - ",'Cable Info'!W322))</f>
        <v/>
      </c>
      <c r="BL323" s="121" t="str">
        <f t="shared" si="83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2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3"/>
        <v/>
      </c>
      <c r="Y324" s="252" t="str">
        <f t="shared" si="74"/>
        <v/>
      </c>
      <c r="Z324" s="253" t="str">
        <f t="shared" si="75"/>
        <v/>
      </c>
      <c r="AA324" s="253" t="str">
        <f t="shared" si="76"/>
        <v/>
      </c>
      <c r="AB324" s="253" t="str">
        <f t="shared" si="77"/>
        <v/>
      </c>
      <c r="AJ324" s="121" t="e">
        <f>IF('Cable Info'!L323="","",CONCATENATE('Cable Info'!L323," - ",'Cable Info'!M323))</f>
        <v>#N/A</v>
      </c>
      <c r="AM324" s="121" t="e">
        <f t="shared" si="78"/>
        <v>#N/A</v>
      </c>
      <c r="AO324" s="121" t="e">
        <f>IF('Cable Info'!N323="","",CONCATENATE('Cable Info'!N323," - ",'Cable Info'!O323))</f>
        <v>#N/A</v>
      </c>
      <c r="AR324" s="121" t="e">
        <f t="shared" si="79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0"/>
        <v>#N/A</v>
      </c>
      <c r="AY324" s="121" t="str">
        <f>IF('Cable Info'!R323="","",CONCATENATE('Cable Info'!R323," - ",'Cable Info'!S323))</f>
        <v/>
      </c>
      <c r="BB324" s="121" t="str">
        <f t="shared" si="81"/>
        <v/>
      </c>
      <c r="BD324" s="121" t="str">
        <f>IF('Cable Info'!T323="","",CONCATENATE('Cable Info'!T323," - ",'Cable Info'!U323))</f>
        <v/>
      </c>
      <c r="BG324" s="121" t="str">
        <f t="shared" si="82"/>
        <v/>
      </c>
      <c r="BI324" s="121" t="str">
        <f>IF('Cable Info'!V323="","",CONCATENATE('Cable Info'!V323," - ",'Cable Info'!W323))</f>
        <v/>
      </c>
      <c r="BL324" s="121" t="str">
        <f t="shared" si="83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2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3"/>
        <v/>
      </c>
      <c r="Y325" s="252" t="str">
        <f t="shared" si="74"/>
        <v/>
      </c>
      <c r="Z325" s="253" t="str">
        <f t="shared" si="75"/>
        <v/>
      </c>
      <c r="AA325" s="253" t="str">
        <f t="shared" si="76"/>
        <v/>
      </c>
      <c r="AB325" s="253" t="str">
        <f t="shared" si="77"/>
        <v/>
      </c>
      <c r="AJ325" s="121" t="e">
        <f>IF('Cable Info'!L324="","",CONCATENATE('Cable Info'!L324," - ",'Cable Info'!M324))</f>
        <v>#N/A</v>
      </c>
      <c r="AM325" s="121" t="e">
        <f t="shared" si="78"/>
        <v>#N/A</v>
      </c>
      <c r="AO325" s="121" t="e">
        <f>IF('Cable Info'!N324="","",CONCATENATE('Cable Info'!N324," - ",'Cable Info'!O324))</f>
        <v>#N/A</v>
      </c>
      <c r="AR325" s="121" t="e">
        <f t="shared" si="79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0"/>
        <v>#N/A</v>
      </c>
      <c r="AY325" s="121" t="str">
        <f>IF('Cable Info'!R324="","",CONCATENATE('Cable Info'!R324," - ",'Cable Info'!S324))</f>
        <v/>
      </c>
      <c r="BB325" s="121" t="str">
        <f t="shared" si="81"/>
        <v/>
      </c>
      <c r="BD325" s="121" t="str">
        <f>IF('Cable Info'!T324="","",CONCATENATE('Cable Info'!T324," - ",'Cable Info'!U324))</f>
        <v/>
      </c>
      <c r="BG325" s="121" t="str">
        <f t="shared" si="82"/>
        <v/>
      </c>
      <c r="BI325" s="121" t="str">
        <f>IF('Cable Info'!V324="","",CONCATENATE('Cable Info'!V324," - ",'Cable Info'!W324))</f>
        <v/>
      </c>
      <c r="BL325" s="121" t="str">
        <f t="shared" si="83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2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3"/>
        <v/>
      </c>
      <c r="Y326" s="252" t="str">
        <f t="shared" si="74"/>
        <v/>
      </c>
      <c r="Z326" s="253" t="str">
        <f t="shared" si="75"/>
        <v/>
      </c>
      <c r="AA326" s="253" t="str">
        <f t="shared" si="76"/>
        <v/>
      </c>
      <c r="AB326" s="253" t="str">
        <f t="shared" si="77"/>
        <v/>
      </c>
      <c r="AJ326" s="121" t="e">
        <f>IF('Cable Info'!L325="","",CONCATENATE('Cable Info'!L325," - ",'Cable Info'!M325))</f>
        <v>#N/A</v>
      </c>
      <c r="AM326" s="121" t="e">
        <f t="shared" si="78"/>
        <v>#N/A</v>
      </c>
      <c r="AO326" s="121" t="e">
        <f>IF('Cable Info'!N325="","",CONCATENATE('Cable Info'!N325," - ",'Cable Info'!O325))</f>
        <v>#N/A</v>
      </c>
      <c r="AR326" s="121" t="e">
        <f t="shared" si="79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0"/>
        <v>#N/A</v>
      </c>
      <c r="AY326" s="121" t="str">
        <f>IF('Cable Info'!R325="","",CONCATENATE('Cable Info'!R325," - ",'Cable Info'!S325))</f>
        <v/>
      </c>
      <c r="BB326" s="121" t="str">
        <f t="shared" si="81"/>
        <v/>
      </c>
      <c r="BD326" s="121" t="str">
        <f>IF('Cable Info'!T325="","",CONCATENATE('Cable Info'!T325," - ",'Cable Info'!U325))</f>
        <v/>
      </c>
      <c r="BG326" s="121" t="str">
        <f t="shared" si="82"/>
        <v/>
      </c>
      <c r="BI326" s="121" t="str">
        <f>IF('Cable Info'!V325="","",CONCATENATE('Cable Info'!V325," - ",'Cable Info'!W325))</f>
        <v/>
      </c>
      <c r="BL326" s="121" t="str">
        <f t="shared" si="83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2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3"/>
        <v/>
      </c>
      <c r="Y327" s="252" t="str">
        <f t="shared" si="74"/>
        <v/>
      </c>
      <c r="Z327" s="253" t="str">
        <f t="shared" si="75"/>
        <v/>
      </c>
      <c r="AA327" s="253" t="str">
        <f t="shared" si="76"/>
        <v/>
      </c>
      <c r="AB327" s="253" t="str">
        <f t="shared" si="77"/>
        <v/>
      </c>
      <c r="AJ327" s="121" t="e">
        <f>IF('Cable Info'!L326="","",CONCATENATE('Cable Info'!L326," - ",'Cable Info'!M326))</f>
        <v>#N/A</v>
      </c>
      <c r="AM327" s="121" t="e">
        <f t="shared" si="78"/>
        <v>#N/A</v>
      </c>
      <c r="AO327" s="121" t="e">
        <f>IF('Cable Info'!N326="","",CONCATENATE('Cable Info'!N326," - ",'Cable Info'!O326))</f>
        <v>#N/A</v>
      </c>
      <c r="AR327" s="121" t="e">
        <f t="shared" si="79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0"/>
        <v>#N/A</v>
      </c>
      <c r="AY327" s="121" t="str">
        <f>IF('Cable Info'!R326="","",CONCATENATE('Cable Info'!R326," - ",'Cable Info'!S326))</f>
        <v/>
      </c>
      <c r="BB327" s="121" t="str">
        <f t="shared" si="81"/>
        <v/>
      </c>
      <c r="BD327" s="121" t="str">
        <f>IF('Cable Info'!T326="","",CONCATENATE('Cable Info'!T326," - ",'Cable Info'!U326))</f>
        <v/>
      </c>
      <c r="BG327" s="121" t="str">
        <f t="shared" si="82"/>
        <v/>
      </c>
      <c r="BI327" s="121" t="str">
        <f>IF('Cable Info'!V326="","",CONCATENATE('Cable Info'!V326," - ",'Cable Info'!W326))</f>
        <v/>
      </c>
      <c r="BL327" s="121" t="str">
        <f t="shared" si="83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2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3"/>
        <v/>
      </c>
      <c r="Y328" s="252" t="str">
        <f t="shared" si="74"/>
        <v/>
      </c>
      <c r="Z328" s="253" t="str">
        <f t="shared" si="75"/>
        <v/>
      </c>
      <c r="AA328" s="253" t="str">
        <f t="shared" si="76"/>
        <v/>
      </c>
      <c r="AB328" s="253" t="str">
        <f t="shared" si="77"/>
        <v/>
      </c>
      <c r="AJ328" s="121" t="e">
        <f>IF('Cable Info'!L327="","",CONCATENATE('Cable Info'!L327," - ",'Cable Info'!M327))</f>
        <v>#N/A</v>
      </c>
      <c r="AM328" s="121" t="e">
        <f t="shared" si="78"/>
        <v>#N/A</v>
      </c>
      <c r="AO328" s="121" t="e">
        <f>IF('Cable Info'!N327="","",CONCATENATE('Cable Info'!N327," - ",'Cable Info'!O327))</f>
        <v>#N/A</v>
      </c>
      <c r="AR328" s="121" t="e">
        <f t="shared" si="79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0"/>
        <v>#N/A</v>
      </c>
      <c r="AY328" s="121" t="str">
        <f>IF('Cable Info'!R327="","",CONCATENATE('Cable Info'!R327," - ",'Cable Info'!S327))</f>
        <v/>
      </c>
      <c r="BB328" s="121" t="str">
        <f t="shared" si="81"/>
        <v/>
      </c>
      <c r="BD328" s="121" t="str">
        <f>IF('Cable Info'!T327="","",CONCATENATE('Cable Info'!T327," - ",'Cable Info'!U327))</f>
        <v/>
      </c>
      <c r="BG328" s="121" t="str">
        <f t="shared" si="82"/>
        <v/>
      </c>
      <c r="BI328" s="121" t="str">
        <f>IF('Cable Info'!V327="","",CONCATENATE('Cable Info'!V327," - ",'Cable Info'!W327))</f>
        <v/>
      </c>
      <c r="BL328" s="121" t="str">
        <f t="shared" si="83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2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3"/>
        <v/>
      </c>
      <c r="Y329" s="252" t="str">
        <f t="shared" si="74"/>
        <v/>
      </c>
      <c r="Z329" s="253" t="str">
        <f t="shared" si="75"/>
        <v/>
      </c>
      <c r="AA329" s="253" t="str">
        <f t="shared" si="76"/>
        <v/>
      </c>
      <c r="AB329" s="253" t="str">
        <f t="shared" si="77"/>
        <v/>
      </c>
      <c r="AJ329" s="121" t="e">
        <f>IF('Cable Info'!L328="","",CONCATENATE('Cable Info'!L328," - ",'Cable Info'!M328))</f>
        <v>#N/A</v>
      </c>
      <c r="AM329" s="121" t="e">
        <f t="shared" si="78"/>
        <v>#N/A</v>
      </c>
      <c r="AO329" s="121" t="e">
        <f>IF('Cable Info'!N328="","",CONCATENATE('Cable Info'!N328," - ",'Cable Info'!O328))</f>
        <v>#N/A</v>
      </c>
      <c r="AR329" s="121" t="e">
        <f t="shared" si="79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0"/>
        <v>#N/A</v>
      </c>
      <c r="AY329" s="121" t="str">
        <f>IF('Cable Info'!R328="","",CONCATENATE('Cable Info'!R328," - ",'Cable Info'!S328))</f>
        <v/>
      </c>
      <c r="BB329" s="121" t="str">
        <f t="shared" si="81"/>
        <v/>
      </c>
      <c r="BD329" s="121" t="str">
        <f>IF('Cable Info'!T328="","",CONCATENATE('Cable Info'!T328," - ",'Cable Info'!U328))</f>
        <v/>
      </c>
      <c r="BG329" s="121" t="str">
        <f t="shared" si="82"/>
        <v/>
      </c>
      <c r="BI329" s="121" t="str">
        <f>IF('Cable Info'!V328="","",CONCATENATE('Cable Info'!V328," - ",'Cable Info'!W328))</f>
        <v/>
      </c>
      <c r="BL329" s="121" t="str">
        <f t="shared" si="83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2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3"/>
        <v/>
      </c>
      <c r="Y330" s="252" t="str">
        <f t="shared" si="74"/>
        <v/>
      </c>
      <c r="Z330" s="253" t="str">
        <f t="shared" si="75"/>
        <v/>
      </c>
      <c r="AA330" s="253" t="str">
        <f t="shared" si="76"/>
        <v/>
      </c>
      <c r="AB330" s="253" t="str">
        <f t="shared" si="77"/>
        <v/>
      </c>
      <c r="AJ330" s="121" t="e">
        <f>IF('Cable Info'!L329="","",CONCATENATE('Cable Info'!L329," - ",'Cable Info'!M329))</f>
        <v>#N/A</v>
      </c>
      <c r="AM330" s="121" t="e">
        <f t="shared" si="78"/>
        <v>#N/A</v>
      </c>
      <c r="AO330" s="121" t="e">
        <f>IF('Cable Info'!N329="","",CONCATENATE('Cable Info'!N329," - ",'Cable Info'!O329))</f>
        <v>#N/A</v>
      </c>
      <c r="AR330" s="121" t="e">
        <f t="shared" si="79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0"/>
        <v>#N/A</v>
      </c>
      <c r="AY330" s="121" t="str">
        <f>IF('Cable Info'!R329="","",CONCATENATE('Cable Info'!R329," - ",'Cable Info'!S329))</f>
        <v/>
      </c>
      <c r="BB330" s="121" t="str">
        <f t="shared" si="81"/>
        <v/>
      </c>
      <c r="BD330" s="121" t="str">
        <f>IF('Cable Info'!T329="","",CONCATENATE('Cable Info'!T329," - ",'Cable Info'!U329))</f>
        <v/>
      </c>
      <c r="BG330" s="121" t="str">
        <f t="shared" si="82"/>
        <v/>
      </c>
      <c r="BI330" s="121" t="str">
        <f>IF('Cable Info'!V329="","",CONCATENATE('Cable Info'!V329," - ",'Cable Info'!W329))</f>
        <v/>
      </c>
      <c r="BL330" s="121" t="str">
        <f t="shared" si="83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2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3"/>
        <v/>
      </c>
      <c r="Y331" s="252" t="str">
        <f t="shared" si="74"/>
        <v/>
      </c>
      <c r="Z331" s="253" t="str">
        <f t="shared" si="75"/>
        <v/>
      </c>
      <c r="AA331" s="253" t="str">
        <f t="shared" si="76"/>
        <v/>
      </c>
      <c r="AB331" s="253" t="str">
        <f t="shared" si="77"/>
        <v/>
      </c>
      <c r="AJ331" s="121" t="e">
        <f>IF('Cable Info'!L330="","",CONCATENATE('Cable Info'!L330," - ",'Cable Info'!M330))</f>
        <v>#N/A</v>
      </c>
      <c r="AM331" s="121" t="e">
        <f t="shared" si="78"/>
        <v>#N/A</v>
      </c>
      <c r="AO331" s="121" t="e">
        <f>IF('Cable Info'!N330="","",CONCATENATE('Cable Info'!N330," - ",'Cable Info'!O330))</f>
        <v>#N/A</v>
      </c>
      <c r="AR331" s="121" t="e">
        <f t="shared" si="79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0"/>
        <v>#N/A</v>
      </c>
      <c r="AY331" s="121" t="str">
        <f>IF('Cable Info'!R330="","",CONCATENATE('Cable Info'!R330," - ",'Cable Info'!S330))</f>
        <v/>
      </c>
      <c r="BB331" s="121" t="str">
        <f t="shared" si="81"/>
        <v/>
      </c>
      <c r="BD331" s="121" t="str">
        <f>IF('Cable Info'!T330="","",CONCATENATE('Cable Info'!T330," - ",'Cable Info'!U330))</f>
        <v/>
      </c>
      <c r="BG331" s="121" t="str">
        <f t="shared" si="82"/>
        <v/>
      </c>
      <c r="BI331" s="121" t="str">
        <f>IF('Cable Info'!V330="","",CONCATENATE('Cable Info'!V330," - ",'Cable Info'!W330))</f>
        <v/>
      </c>
      <c r="BL331" s="121" t="str">
        <f t="shared" si="83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2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3"/>
        <v/>
      </c>
      <c r="Y332" s="252" t="str">
        <f t="shared" si="74"/>
        <v/>
      </c>
      <c r="Z332" s="253" t="str">
        <f t="shared" si="75"/>
        <v/>
      </c>
      <c r="AA332" s="253" t="str">
        <f t="shared" si="76"/>
        <v/>
      </c>
      <c r="AB332" s="253" t="str">
        <f t="shared" si="77"/>
        <v/>
      </c>
      <c r="AJ332" s="121" t="e">
        <f>IF('Cable Info'!L331="","",CONCATENATE('Cable Info'!L331," - ",'Cable Info'!M331))</f>
        <v>#N/A</v>
      </c>
      <c r="AM332" s="121" t="e">
        <f t="shared" si="78"/>
        <v>#N/A</v>
      </c>
      <c r="AO332" s="121" t="e">
        <f>IF('Cable Info'!N331="","",CONCATENATE('Cable Info'!N331," - ",'Cable Info'!O331))</f>
        <v>#N/A</v>
      </c>
      <c r="AR332" s="121" t="e">
        <f t="shared" si="79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0"/>
        <v>#N/A</v>
      </c>
      <c r="AY332" s="121" t="str">
        <f>IF('Cable Info'!R331="","",CONCATENATE('Cable Info'!R331," - ",'Cable Info'!S331))</f>
        <v/>
      </c>
      <c r="BB332" s="121" t="str">
        <f t="shared" si="81"/>
        <v/>
      </c>
      <c r="BD332" s="121" t="str">
        <f>IF('Cable Info'!T331="","",CONCATENATE('Cable Info'!T331," - ",'Cable Info'!U331))</f>
        <v/>
      </c>
      <c r="BG332" s="121" t="str">
        <f t="shared" si="82"/>
        <v/>
      </c>
      <c r="BI332" s="121" t="str">
        <f>IF('Cable Info'!V331="","",CONCATENATE('Cable Info'!V331," - ",'Cable Info'!W331))</f>
        <v/>
      </c>
      <c r="BL332" s="121" t="str">
        <f t="shared" si="83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4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85">IF(V333="","",IF(R333="","",IF(S333="","",IF(R333="SPLICED",(IF(S333="SPLICE",0,9)),IF(V333=$U$3,(IF(S333="BREAK",12,11)),IF(S333="BREAK",2,1))))))</f>
        <v/>
      </c>
      <c r="Y333" s="252" t="str">
        <f t="shared" ref="Y333:Y368" si="86">IF(E333="","",IF(G333="","",IF(E333&gt;G333,1,"")))</f>
        <v/>
      </c>
      <c r="Z333" s="253" t="str">
        <f t="shared" ref="Z333:Z368" si="87">IF(I333="","",IF(K333="","",IF(I333&gt;K333,1,"")))</f>
        <v/>
      </c>
      <c r="AA333" s="253" t="str">
        <f t="shared" ref="AA333:AA368" si="88">IF(K333="","",((I333-K333)-1)*(-1))</f>
        <v/>
      </c>
      <c r="AB333" s="253" t="str">
        <f t="shared" ref="AB333:AB368" si="89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0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1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2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3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4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95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4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85"/>
        <v/>
      </c>
      <c r="Y334" s="252" t="str">
        <f t="shared" si="86"/>
        <v/>
      </c>
      <c r="Z334" s="253" t="str">
        <f t="shared" si="87"/>
        <v/>
      </c>
      <c r="AA334" s="253" t="str">
        <f t="shared" si="88"/>
        <v/>
      </c>
      <c r="AB334" s="253" t="str">
        <f t="shared" si="89"/>
        <v/>
      </c>
      <c r="AJ334" s="121" t="e">
        <f>IF('Cable Info'!L333="","",CONCATENATE('Cable Info'!L333," - ",'Cable Info'!M333))</f>
        <v>#N/A</v>
      </c>
      <c r="AM334" s="121" t="e">
        <f t="shared" si="90"/>
        <v>#N/A</v>
      </c>
      <c r="AO334" s="121" t="e">
        <f>IF('Cable Info'!N333="","",CONCATENATE('Cable Info'!N333," - ",'Cable Info'!O333))</f>
        <v>#N/A</v>
      </c>
      <c r="AR334" s="121" t="e">
        <f t="shared" si="91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2"/>
        <v>#N/A</v>
      </c>
      <c r="AY334" s="121" t="str">
        <f>IF('Cable Info'!R333="","",CONCATENATE('Cable Info'!R333," - ",'Cable Info'!S333))</f>
        <v/>
      </c>
      <c r="BB334" s="121" t="str">
        <f t="shared" si="93"/>
        <v/>
      </c>
      <c r="BD334" s="121" t="str">
        <f>IF('Cable Info'!T333="","",CONCATENATE('Cable Info'!T333," - ",'Cable Info'!U333))</f>
        <v/>
      </c>
      <c r="BG334" s="121" t="str">
        <f t="shared" si="94"/>
        <v/>
      </c>
      <c r="BI334" s="121" t="str">
        <f>IF('Cable Info'!V333="","",CONCATENATE('Cable Info'!V333," - ",'Cable Info'!W333))</f>
        <v/>
      </c>
      <c r="BL334" s="121" t="str">
        <f t="shared" si="95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4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85"/>
        <v/>
      </c>
      <c r="Y335" s="252" t="str">
        <f t="shared" si="86"/>
        <v/>
      </c>
      <c r="Z335" s="253" t="str">
        <f t="shared" si="87"/>
        <v/>
      </c>
      <c r="AA335" s="253" t="str">
        <f t="shared" si="88"/>
        <v/>
      </c>
      <c r="AB335" s="253" t="str">
        <f t="shared" si="89"/>
        <v/>
      </c>
      <c r="AJ335" s="121" t="e">
        <f>IF('Cable Info'!L334="","",CONCATENATE('Cable Info'!L334," - ",'Cable Info'!M334))</f>
        <v>#N/A</v>
      </c>
      <c r="AM335" s="121" t="e">
        <f t="shared" si="90"/>
        <v>#N/A</v>
      </c>
      <c r="AO335" s="121" t="e">
        <f>IF('Cable Info'!N334="","",CONCATENATE('Cable Info'!N334," - ",'Cable Info'!O334))</f>
        <v>#N/A</v>
      </c>
      <c r="AR335" s="121" t="e">
        <f t="shared" si="91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2"/>
        <v>#N/A</v>
      </c>
      <c r="AY335" s="121" t="str">
        <f>IF('Cable Info'!R334="","",CONCATENATE('Cable Info'!R334," - ",'Cable Info'!S334))</f>
        <v/>
      </c>
      <c r="BB335" s="121" t="str">
        <f t="shared" si="93"/>
        <v/>
      </c>
      <c r="BD335" s="121" t="str">
        <f>IF('Cable Info'!T334="","",CONCATENATE('Cable Info'!T334," - ",'Cable Info'!U334))</f>
        <v/>
      </c>
      <c r="BG335" s="121" t="str">
        <f t="shared" si="94"/>
        <v/>
      </c>
      <c r="BI335" s="121" t="str">
        <f>IF('Cable Info'!V334="","",CONCATENATE('Cable Info'!V334," - ",'Cable Info'!W334))</f>
        <v/>
      </c>
      <c r="BL335" s="121" t="str">
        <f t="shared" si="95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4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85"/>
        <v/>
      </c>
      <c r="Y336" s="252" t="str">
        <f t="shared" si="86"/>
        <v/>
      </c>
      <c r="Z336" s="253" t="str">
        <f t="shared" si="87"/>
        <v/>
      </c>
      <c r="AA336" s="253" t="str">
        <f t="shared" si="88"/>
        <v/>
      </c>
      <c r="AB336" s="253" t="str">
        <f t="shared" si="89"/>
        <v/>
      </c>
      <c r="AJ336" s="121" t="e">
        <f>IF('Cable Info'!L335="","",CONCATENATE('Cable Info'!L335," - ",'Cable Info'!M335))</f>
        <v>#N/A</v>
      </c>
      <c r="AM336" s="121" t="e">
        <f t="shared" si="90"/>
        <v>#N/A</v>
      </c>
      <c r="AO336" s="121" t="e">
        <f>IF('Cable Info'!N335="","",CONCATENATE('Cable Info'!N335," - ",'Cable Info'!O335))</f>
        <v>#N/A</v>
      </c>
      <c r="AR336" s="121" t="e">
        <f t="shared" si="91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2"/>
        <v>#N/A</v>
      </c>
      <c r="AY336" s="121" t="str">
        <f>IF('Cable Info'!R335="","",CONCATENATE('Cable Info'!R335," - ",'Cable Info'!S335))</f>
        <v/>
      </c>
      <c r="BB336" s="121" t="str">
        <f t="shared" si="93"/>
        <v/>
      </c>
      <c r="BD336" s="121" t="str">
        <f>IF('Cable Info'!T335="","",CONCATENATE('Cable Info'!T335," - ",'Cable Info'!U335))</f>
        <v/>
      </c>
      <c r="BG336" s="121" t="str">
        <f t="shared" si="94"/>
        <v/>
      </c>
      <c r="BI336" s="121" t="str">
        <f>IF('Cable Info'!V335="","",CONCATENATE('Cable Info'!V335," - ",'Cable Info'!W335))</f>
        <v/>
      </c>
      <c r="BL336" s="121" t="str">
        <f t="shared" si="95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4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85"/>
        <v/>
      </c>
      <c r="Y337" s="252" t="str">
        <f t="shared" si="86"/>
        <v/>
      </c>
      <c r="Z337" s="253" t="str">
        <f t="shared" si="87"/>
        <v/>
      </c>
      <c r="AA337" s="253" t="str">
        <f t="shared" si="88"/>
        <v/>
      </c>
      <c r="AB337" s="253" t="str">
        <f t="shared" si="89"/>
        <v/>
      </c>
      <c r="AJ337" s="121" t="e">
        <f>IF('Cable Info'!L336="","",CONCATENATE('Cable Info'!L336," - ",'Cable Info'!M336))</f>
        <v>#N/A</v>
      </c>
      <c r="AM337" s="121" t="e">
        <f t="shared" si="90"/>
        <v>#N/A</v>
      </c>
      <c r="AO337" s="121" t="e">
        <f>IF('Cable Info'!N336="","",CONCATENATE('Cable Info'!N336," - ",'Cable Info'!O336))</f>
        <v>#N/A</v>
      </c>
      <c r="AR337" s="121" t="e">
        <f t="shared" si="91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2"/>
        <v>#N/A</v>
      </c>
      <c r="AY337" s="121" t="str">
        <f>IF('Cable Info'!R336="","",CONCATENATE('Cable Info'!R336," - ",'Cable Info'!S336))</f>
        <v/>
      </c>
      <c r="BB337" s="121" t="str">
        <f t="shared" si="93"/>
        <v/>
      </c>
      <c r="BD337" s="121" t="str">
        <f>IF('Cable Info'!T336="","",CONCATENATE('Cable Info'!T336," - ",'Cable Info'!U336))</f>
        <v/>
      </c>
      <c r="BG337" s="121" t="str">
        <f t="shared" si="94"/>
        <v/>
      </c>
      <c r="BI337" s="121" t="str">
        <f>IF('Cable Info'!V336="","",CONCATENATE('Cable Info'!V336," - ",'Cable Info'!W336))</f>
        <v/>
      </c>
      <c r="BL337" s="121" t="str">
        <f t="shared" si="95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4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85"/>
        <v/>
      </c>
      <c r="Y338" s="252" t="str">
        <f t="shared" si="86"/>
        <v/>
      </c>
      <c r="Z338" s="253" t="str">
        <f t="shared" si="87"/>
        <v/>
      </c>
      <c r="AA338" s="253" t="str">
        <f t="shared" si="88"/>
        <v/>
      </c>
      <c r="AB338" s="253" t="str">
        <f t="shared" si="89"/>
        <v/>
      </c>
      <c r="AJ338" s="121" t="e">
        <f>IF('Cable Info'!L337="","",CONCATENATE('Cable Info'!L337," - ",'Cable Info'!M337))</f>
        <v>#N/A</v>
      </c>
      <c r="AM338" s="121" t="e">
        <f t="shared" si="90"/>
        <v>#N/A</v>
      </c>
      <c r="AO338" s="121" t="e">
        <f>IF('Cable Info'!N337="","",CONCATENATE('Cable Info'!N337," - ",'Cable Info'!O337))</f>
        <v>#N/A</v>
      </c>
      <c r="AR338" s="121" t="e">
        <f t="shared" si="91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2"/>
        <v>#N/A</v>
      </c>
      <c r="AY338" s="121" t="str">
        <f>IF('Cable Info'!R337="","",CONCATENATE('Cable Info'!R337," - ",'Cable Info'!S337))</f>
        <v/>
      </c>
      <c r="BB338" s="121" t="str">
        <f t="shared" si="93"/>
        <v/>
      </c>
      <c r="BD338" s="121" t="str">
        <f>IF('Cable Info'!T337="","",CONCATENATE('Cable Info'!T337," - ",'Cable Info'!U337))</f>
        <v/>
      </c>
      <c r="BG338" s="121" t="str">
        <f t="shared" si="94"/>
        <v/>
      </c>
      <c r="BI338" s="121" t="str">
        <f>IF('Cable Info'!V337="","",CONCATENATE('Cable Info'!V337," - ",'Cable Info'!W337))</f>
        <v/>
      </c>
      <c r="BL338" s="121" t="str">
        <f t="shared" si="95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4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85"/>
        <v/>
      </c>
      <c r="Y339" s="252" t="str">
        <f t="shared" si="86"/>
        <v/>
      </c>
      <c r="Z339" s="253" t="str">
        <f t="shared" si="87"/>
        <v/>
      </c>
      <c r="AA339" s="253" t="str">
        <f t="shared" si="88"/>
        <v/>
      </c>
      <c r="AB339" s="253" t="str">
        <f t="shared" si="89"/>
        <v/>
      </c>
      <c r="AJ339" s="121" t="e">
        <f>IF('Cable Info'!L338="","",CONCATENATE('Cable Info'!L338," - ",'Cable Info'!M338))</f>
        <v>#N/A</v>
      </c>
      <c r="AM339" s="121" t="e">
        <f t="shared" si="90"/>
        <v>#N/A</v>
      </c>
      <c r="AO339" s="121" t="e">
        <f>IF('Cable Info'!N338="","",CONCATENATE('Cable Info'!N338," - ",'Cable Info'!O338))</f>
        <v>#N/A</v>
      </c>
      <c r="AR339" s="121" t="e">
        <f t="shared" si="91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2"/>
        <v>#N/A</v>
      </c>
      <c r="AY339" s="121" t="str">
        <f>IF('Cable Info'!R338="","",CONCATENATE('Cable Info'!R338," - ",'Cable Info'!S338))</f>
        <v/>
      </c>
      <c r="BB339" s="121" t="str">
        <f t="shared" si="93"/>
        <v/>
      </c>
      <c r="BD339" s="121" t="str">
        <f>IF('Cable Info'!T338="","",CONCATENATE('Cable Info'!T338," - ",'Cable Info'!U338))</f>
        <v/>
      </c>
      <c r="BG339" s="121" t="str">
        <f t="shared" si="94"/>
        <v/>
      </c>
      <c r="BI339" s="121" t="str">
        <f>IF('Cable Info'!V338="","",CONCATENATE('Cable Info'!V338," - ",'Cable Info'!W338))</f>
        <v/>
      </c>
      <c r="BL339" s="121" t="str">
        <f t="shared" si="95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4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85"/>
        <v/>
      </c>
      <c r="Y340" s="252" t="str">
        <f t="shared" si="86"/>
        <v/>
      </c>
      <c r="Z340" s="253" t="str">
        <f t="shared" si="87"/>
        <v/>
      </c>
      <c r="AA340" s="253" t="str">
        <f t="shared" si="88"/>
        <v/>
      </c>
      <c r="AB340" s="253" t="str">
        <f t="shared" si="89"/>
        <v/>
      </c>
      <c r="AJ340" s="121" t="e">
        <f>IF('Cable Info'!L339="","",CONCATENATE('Cable Info'!L339," - ",'Cable Info'!M339))</f>
        <v>#N/A</v>
      </c>
      <c r="AM340" s="121" t="e">
        <f t="shared" si="90"/>
        <v>#N/A</v>
      </c>
      <c r="AO340" s="121" t="e">
        <f>IF('Cable Info'!N339="","",CONCATENATE('Cable Info'!N339," - ",'Cable Info'!O339))</f>
        <v>#N/A</v>
      </c>
      <c r="AR340" s="121" t="e">
        <f t="shared" si="91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2"/>
        <v>#N/A</v>
      </c>
      <c r="AY340" s="121" t="str">
        <f>IF('Cable Info'!R339="","",CONCATENATE('Cable Info'!R339," - ",'Cable Info'!S339))</f>
        <v/>
      </c>
      <c r="BB340" s="121" t="str">
        <f t="shared" si="93"/>
        <v/>
      </c>
      <c r="BD340" s="121" t="str">
        <f>IF('Cable Info'!T339="","",CONCATENATE('Cable Info'!T339," - ",'Cable Info'!U339))</f>
        <v/>
      </c>
      <c r="BG340" s="121" t="str">
        <f t="shared" si="94"/>
        <v/>
      </c>
      <c r="BI340" s="121" t="str">
        <f>IF('Cable Info'!V339="","",CONCATENATE('Cable Info'!V339," - ",'Cable Info'!W339))</f>
        <v/>
      </c>
      <c r="BL340" s="121" t="str">
        <f t="shared" si="95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4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85"/>
        <v/>
      </c>
      <c r="Y341" s="252" t="str">
        <f t="shared" si="86"/>
        <v/>
      </c>
      <c r="Z341" s="253" t="str">
        <f t="shared" si="87"/>
        <v/>
      </c>
      <c r="AA341" s="253" t="str">
        <f t="shared" si="88"/>
        <v/>
      </c>
      <c r="AB341" s="253" t="str">
        <f t="shared" si="89"/>
        <v/>
      </c>
      <c r="AJ341" s="121" t="e">
        <f>IF('Cable Info'!L340="","",CONCATENATE('Cable Info'!L340," - ",'Cable Info'!M340))</f>
        <v>#N/A</v>
      </c>
      <c r="AM341" s="121" t="e">
        <f t="shared" si="90"/>
        <v>#N/A</v>
      </c>
      <c r="AO341" s="121" t="e">
        <f>IF('Cable Info'!N340="","",CONCATENATE('Cable Info'!N340," - ",'Cable Info'!O340))</f>
        <v>#N/A</v>
      </c>
      <c r="AR341" s="121" t="e">
        <f t="shared" si="91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2"/>
        <v>#N/A</v>
      </c>
      <c r="AY341" s="121" t="str">
        <f>IF('Cable Info'!R340="","",CONCATENATE('Cable Info'!R340," - ",'Cable Info'!S340))</f>
        <v/>
      </c>
      <c r="BB341" s="121" t="str">
        <f t="shared" si="93"/>
        <v/>
      </c>
      <c r="BD341" s="121" t="str">
        <f>IF('Cable Info'!T340="","",CONCATENATE('Cable Info'!T340," - ",'Cable Info'!U340))</f>
        <v/>
      </c>
      <c r="BG341" s="121" t="str">
        <f t="shared" si="94"/>
        <v/>
      </c>
      <c r="BI341" s="121" t="str">
        <f>IF('Cable Info'!V340="","",CONCATENATE('Cable Info'!V340," - ",'Cable Info'!W340))</f>
        <v/>
      </c>
      <c r="BL341" s="121" t="str">
        <f t="shared" si="95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4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85"/>
        <v/>
      </c>
      <c r="Y342" s="252" t="str">
        <f t="shared" si="86"/>
        <v/>
      </c>
      <c r="Z342" s="253" t="str">
        <f t="shared" si="87"/>
        <v/>
      </c>
      <c r="AA342" s="253" t="str">
        <f t="shared" si="88"/>
        <v/>
      </c>
      <c r="AB342" s="253" t="str">
        <f t="shared" si="89"/>
        <v/>
      </c>
      <c r="AJ342" s="121" t="e">
        <f>IF('Cable Info'!L341="","",CONCATENATE('Cable Info'!L341," - ",'Cable Info'!M341))</f>
        <v>#N/A</v>
      </c>
      <c r="AM342" s="121" t="e">
        <f t="shared" si="90"/>
        <v>#N/A</v>
      </c>
      <c r="AO342" s="121" t="e">
        <f>IF('Cable Info'!N341="","",CONCATENATE('Cable Info'!N341," - ",'Cable Info'!O341))</f>
        <v>#N/A</v>
      </c>
      <c r="AR342" s="121" t="e">
        <f t="shared" si="91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2"/>
        <v>#N/A</v>
      </c>
      <c r="AY342" s="121" t="str">
        <f>IF('Cable Info'!R341="","",CONCATENATE('Cable Info'!R341," - ",'Cable Info'!S341))</f>
        <v/>
      </c>
      <c r="BB342" s="121" t="str">
        <f t="shared" si="93"/>
        <v/>
      </c>
      <c r="BD342" s="121" t="str">
        <f>IF('Cable Info'!T341="","",CONCATENATE('Cable Info'!T341," - ",'Cable Info'!U341))</f>
        <v/>
      </c>
      <c r="BG342" s="121" t="str">
        <f t="shared" si="94"/>
        <v/>
      </c>
      <c r="BI342" s="121" t="str">
        <f>IF('Cable Info'!V341="","",CONCATENATE('Cable Info'!V341," - ",'Cable Info'!W341))</f>
        <v/>
      </c>
      <c r="BL342" s="121" t="str">
        <f t="shared" si="95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4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85"/>
        <v/>
      </c>
      <c r="Y343" s="252" t="str">
        <f t="shared" si="86"/>
        <v/>
      </c>
      <c r="Z343" s="253" t="str">
        <f t="shared" si="87"/>
        <v/>
      </c>
      <c r="AA343" s="253" t="str">
        <f t="shared" si="88"/>
        <v/>
      </c>
      <c r="AB343" s="253" t="str">
        <f t="shared" si="89"/>
        <v/>
      </c>
      <c r="AJ343" s="121" t="e">
        <f>IF('Cable Info'!L342="","",CONCATENATE('Cable Info'!L342," - ",'Cable Info'!M342))</f>
        <v>#N/A</v>
      </c>
      <c r="AM343" s="121" t="e">
        <f t="shared" si="90"/>
        <v>#N/A</v>
      </c>
      <c r="AO343" s="121" t="e">
        <f>IF('Cable Info'!N342="","",CONCATENATE('Cable Info'!N342," - ",'Cable Info'!O342))</f>
        <v>#N/A</v>
      </c>
      <c r="AR343" s="121" t="e">
        <f t="shared" si="91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2"/>
        <v>#N/A</v>
      </c>
      <c r="AY343" s="121" t="str">
        <f>IF('Cable Info'!R342="","",CONCATENATE('Cable Info'!R342," - ",'Cable Info'!S342))</f>
        <v/>
      </c>
      <c r="BB343" s="121" t="str">
        <f t="shared" si="93"/>
        <v/>
      </c>
      <c r="BD343" s="121" t="str">
        <f>IF('Cable Info'!T342="","",CONCATENATE('Cable Info'!T342," - ",'Cable Info'!U342))</f>
        <v/>
      </c>
      <c r="BG343" s="121" t="str">
        <f t="shared" si="94"/>
        <v/>
      </c>
      <c r="BI343" s="121" t="str">
        <f>IF('Cable Info'!V342="","",CONCATENATE('Cable Info'!V342," - ",'Cable Info'!W342))</f>
        <v/>
      </c>
      <c r="BL343" s="121" t="str">
        <f t="shared" si="95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4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85"/>
        <v/>
      </c>
      <c r="Y344" s="252" t="str">
        <f t="shared" si="86"/>
        <v/>
      </c>
      <c r="Z344" s="253" t="str">
        <f t="shared" si="87"/>
        <v/>
      </c>
      <c r="AA344" s="253" t="str">
        <f t="shared" si="88"/>
        <v/>
      </c>
      <c r="AB344" s="253" t="str">
        <f t="shared" si="89"/>
        <v/>
      </c>
      <c r="AJ344" s="121" t="e">
        <f>IF('Cable Info'!L343="","",CONCATENATE('Cable Info'!L343," - ",'Cable Info'!M343))</f>
        <v>#N/A</v>
      </c>
      <c r="AM344" s="121" t="e">
        <f t="shared" si="90"/>
        <v>#N/A</v>
      </c>
      <c r="AO344" s="121" t="e">
        <f>IF('Cable Info'!N343="","",CONCATENATE('Cable Info'!N343," - ",'Cable Info'!O343))</f>
        <v>#N/A</v>
      </c>
      <c r="AR344" s="121" t="e">
        <f t="shared" si="91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2"/>
        <v>#N/A</v>
      </c>
      <c r="AY344" s="121" t="str">
        <f>IF('Cable Info'!R343="","",CONCATENATE('Cable Info'!R343," - ",'Cable Info'!S343))</f>
        <v/>
      </c>
      <c r="BB344" s="121" t="str">
        <f t="shared" si="93"/>
        <v/>
      </c>
      <c r="BD344" s="121" t="str">
        <f>IF('Cable Info'!T343="","",CONCATENATE('Cable Info'!T343," - ",'Cable Info'!U343))</f>
        <v/>
      </c>
      <c r="BG344" s="121" t="str">
        <f t="shared" si="94"/>
        <v/>
      </c>
      <c r="BI344" s="121" t="str">
        <f>IF('Cable Info'!V343="","",CONCATENATE('Cable Info'!V343," - ",'Cable Info'!W343))</f>
        <v/>
      </c>
      <c r="BL344" s="121" t="str">
        <f t="shared" si="95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4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85"/>
        <v/>
      </c>
      <c r="Y345" s="252" t="str">
        <f t="shared" si="86"/>
        <v/>
      </c>
      <c r="Z345" s="253" t="str">
        <f t="shared" si="87"/>
        <v/>
      </c>
      <c r="AA345" s="253" t="str">
        <f t="shared" si="88"/>
        <v/>
      </c>
      <c r="AB345" s="253" t="str">
        <f t="shared" si="89"/>
        <v/>
      </c>
      <c r="AJ345" s="121" t="e">
        <f>IF('Cable Info'!L344="","",CONCATENATE('Cable Info'!L344," - ",'Cable Info'!M344))</f>
        <v>#N/A</v>
      </c>
      <c r="AM345" s="121" t="e">
        <f t="shared" si="90"/>
        <v>#N/A</v>
      </c>
      <c r="AO345" s="121" t="e">
        <f>IF('Cable Info'!N344="","",CONCATENATE('Cable Info'!N344," - ",'Cable Info'!O344))</f>
        <v>#N/A</v>
      </c>
      <c r="AR345" s="121" t="e">
        <f t="shared" si="91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2"/>
        <v>#N/A</v>
      </c>
      <c r="AY345" s="121" t="str">
        <f>IF('Cable Info'!R344="","",CONCATENATE('Cable Info'!R344," - ",'Cable Info'!S344))</f>
        <v/>
      </c>
      <c r="BB345" s="121" t="str">
        <f t="shared" si="93"/>
        <v/>
      </c>
      <c r="BD345" s="121" t="str">
        <f>IF('Cable Info'!T344="","",CONCATENATE('Cable Info'!T344," - ",'Cable Info'!U344))</f>
        <v/>
      </c>
      <c r="BG345" s="121" t="str">
        <f t="shared" si="94"/>
        <v/>
      </c>
      <c r="BI345" s="121" t="str">
        <f>IF('Cable Info'!V344="","",CONCATENATE('Cable Info'!V344," - ",'Cable Info'!W344))</f>
        <v/>
      </c>
      <c r="BL345" s="121" t="str">
        <f t="shared" si="95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4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85"/>
        <v/>
      </c>
      <c r="Y346" s="252" t="str">
        <f t="shared" si="86"/>
        <v/>
      </c>
      <c r="Z346" s="253" t="str">
        <f t="shared" si="87"/>
        <v/>
      </c>
      <c r="AA346" s="253" t="str">
        <f t="shared" si="88"/>
        <v/>
      </c>
      <c r="AB346" s="253" t="str">
        <f t="shared" si="89"/>
        <v/>
      </c>
      <c r="AJ346" s="121" t="e">
        <f>IF('Cable Info'!L345="","",CONCATENATE('Cable Info'!L345," - ",'Cable Info'!M345))</f>
        <v>#N/A</v>
      </c>
      <c r="AM346" s="121" t="e">
        <f t="shared" si="90"/>
        <v>#N/A</v>
      </c>
      <c r="AO346" s="121" t="e">
        <f>IF('Cable Info'!N345="","",CONCATENATE('Cable Info'!N345," - ",'Cable Info'!O345))</f>
        <v>#N/A</v>
      </c>
      <c r="AR346" s="121" t="e">
        <f t="shared" si="91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2"/>
        <v>#N/A</v>
      </c>
      <c r="AY346" s="121" t="str">
        <f>IF('Cable Info'!R345="","",CONCATENATE('Cable Info'!R345," - ",'Cable Info'!S345))</f>
        <v/>
      </c>
      <c r="BB346" s="121" t="str">
        <f t="shared" si="93"/>
        <v/>
      </c>
      <c r="BD346" s="121" t="str">
        <f>IF('Cable Info'!T345="","",CONCATENATE('Cable Info'!T345," - ",'Cable Info'!U345))</f>
        <v/>
      </c>
      <c r="BG346" s="121" t="str">
        <f t="shared" si="94"/>
        <v/>
      </c>
      <c r="BI346" s="121" t="str">
        <f>IF('Cable Info'!V345="","",CONCATENATE('Cable Info'!V345," - ",'Cable Info'!W345))</f>
        <v/>
      </c>
      <c r="BL346" s="121" t="str">
        <f t="shared" si="95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4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85"/>
        <v/>
      </c>
      <c r="Y347" s="252" t="str">
        <f t="shared" si="86"/>
        <v/>
      </c>
      <c r="Z347" s="253" t="str">
        <f t="shared" si="87"/>
        <v/>
      </c>
      <c r="AA347" s="253" t="str">
        <f t="shared" si="88"/>
        <v/>
      </c>
      <c r="AB347" s="253" t="str">
        <f t="shared" si="89"/>
        <v/>
      </c>
      <c r="AJ347" s="121" t="e">
        <f>IF('Cable Info'!L346="","",CONCATENATE('Cable Info'!L346," - ",'Cable Info'!M346))</f>
        <v>#N/A</v>
      </c>
      <c r="AM347" s="121" t="e">
        <f t="shared" si="90"/>
        <v>#N/A</v>
      </c>
      <c r="AO347" s="121" t="e">
        <f>IF('Cable Info'!N346="","",CONCATENATE('Cable Info'!N346," - ",'Cable Info'!O346))</f>
        <v>#N/A</v>
      </c>
      <c r="AR347" s="121" t="e">
        <f t="shared" si="91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2"/>
        <v>#N/A</v>
      </c>
      <c r="AY347" s="121" t="str">
        <f>IF('Cable Info'!R346="","",CONCATENATE('Cable Info'!R346," - ",'Cable Info'!S346))</f>
        <v/>
      </c>
      <c r="BB347" s="121" t="str">
        <f t="shared" si="93"/>
        <v/>
      </c>
      <c r="BD347" s="121" t="str">
        <f>IF('Cable Info'!T346="","",CONCATENATE('Cable Info'!T346," - ",'Cable Info'!U346))</f>
        <v/>
      </c>
      <c r="BG347" s="121" t="str">
        <f t="shared" si="94"/>
        <v/>
      </c>
      <c r="BI347" s="121" t="str">
        <f>IF('Cable Info'!V346="","",CONCATENATE('Cable Info'!V346," - ",'Cable Info'!W346))</f>
        <v/>
      </c>
      <c r="BL347" s="121" t="str">
        <f t="shared" si="95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4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85"/>
        <v/>
      </c>
      <c r="Y348" s="252" t="str">
        <f t="shared" si="86"/>
        <v/>
      </c>
      <c r="Z348" s="253" t="str">
        <f t="shared" si="87"/>
        <v/>
      </c>
      <c r="AA348" s="253" t="str">
        <f t="shared" si="88"/>
        <v/>
      </c>
      <c r="AB348" s="253" t="str">
        <f t="shared" si="89"/>
        <v/>
      </c>
      <c r="AJ348" s="121" t="e">
        <f>IF('Cable Info'!L347="","",CONCATENATE('Cable Info'!L347," - ",'Cable Info'!M347))</f>
        <v>#N/A</v>
      </c>
      <c r="AM348" s="121" t="e">
        <f t="shared" si="90"/>
        <v>#N/A</v>
      </c>
      <c r="AO348" s="121" t="e">
        <f>IF('Cable Info'!N347="","",CONCATENATE('Cable Info'!N347," - ",'Cable Info'!O347))</f>
        <v>#N/A</v>
      </c>
      <c r="AR348" s="121" t="e">
        <f t="shared" si="91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2"/>
        <v>#N/A</v>
      </c>
      <c r="AY348" s="121" t="str">
        <f>IF('Cable Info'!R347="","",CONCATENATE('Cable Info'!R347," - ",'Cable Info'!S347))</f>
        <v/>
      </c>
      <c r="BB348" s="121" t="str">
        <f t="shared" si="93"/>
        <v/>
      </c>
      <c r="BD348" s="121" t="str">
        <f>IF('Cable Info'!T347="","",CONCATENATE('Cable Info'!T347," - ",'Cable Info'!U347))</f>
        <v/>
      </c>
      <c r="BG348" s="121" t="str">
        <f t="shared" si="94"/>
        <v/>
      </c>
      <c r="BI348" s="121" t="str">
        <f>IF('Cable Info'!V347="","",CONCATENATE('Cable Info'!V347," - ",'Cable Info'!W347))</f>
        <v/>
      </c>
      <c r="BL348" s="121" t="str">
        <f t="shared" si="95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4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85"/>
        <v/>
      </c>
      <c r="Y349" s="252" t="str">
        <f t="shared" si="86"/>
        <v/>
      </c>
      <c r="Z349" s="253" t="str">
        <f t="shared" si="87"/>
        <v/>
      </c>
      <c r="AA349" s="253" t="str">
        <f t="shared" si="88"/>
        <v/>
      </c>
      <c r="AB349" s="253" t="str">
        <f t="shared" si="89"/>
        <v/>
      </c>
      <c r="AJ349" s="121" t="e">
        <f>IF('Cable Info'!L348="","",CONCATENATE('Cable Info'!L348," - ",'Cable Info'!M348))</f>
        <v>#N/A</v>
      </c>
      <c r="AM349" s="121" t="e">
        <f t="shared" si="90"/>
        <v>#N/A</v>
      </c>
      <c r="AO349" s="121" t="e">
        <f>IF('Cable Info'!N348="","",CONCATENATE('Cable Info'!N348," - ",'Cable Info'!O348))</f>
        <v>#N/A</v>
      </c>
      <c r="AR349" s="121" t="e">
        <f t="shared" si="91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2"/>
        <v>#N/A</v>
      </c>
      <c r="AY349" s="121" t="str">
        <f>IF('Cable Info'!R348="","",CONCATENATE('Cable Info'!R348," - ",'Cable Info'!S348))</f>
        <v/>
      </c>
      <c r="BB349" s="121" t="str">
        <f t="shared" si="93"/>
        <v/>
      </c>
      <c r="BD349" s="121" t="str">
        <f>IF('Cable Info'!T348="","",CONCATENATE('Cable Info'!T348," - ",'Cable Info'!U348))</f>
        <v/>
      </c>
      <c r="BG349" s="121" t="str">
        <f t="shared" si="94"/>
        <v/>
      </c>
      <c r="BI349" s="121" t="str">
        <f>IF('Cable Info'!V348="","",CONCATENATE('Cable Info'!V348," - ",'Cable Info'!W348))</f>
        <v/>
      </c>
      <c r="BL349" s="121" t="str">
        <f t="shared" si="95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4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85"/>
        <v/>
      </c>
      <c r="Y350" s="252" t="str">
        <f t="shared" si="86"/>
        <v/>
      </c>
      <c r="Z350" s="253" t="str">
        <f t="shared" si="87"/>
        <v/>
      </c>
      <c r="AA350" s="253" t="str">
        <f t="shared" si="88"/>
        <v/>
      </c>
      <c r="AB350" s="253" t="str">
        <f t="shared" si="89"/>
        <v/>
      </c>
      <c r="AJ350" s="121" t="e">
        <f>IF('Cable Info'!L349="","",CONCATENATE('Cable Info'!L349," - ",'Cable Info'!M349))</f>
        <v>#N/A</v>
      </c>
      <c r="AM350" s="121" t="e">
        <f t="shared" si="90"/>
        <v>#N/A</v>
      </c>
      <c r="AO350" s="121" t="e">
        <f>IF('Cable Info'!N349="","",CONCATENATE('Cable Info'!N349," - ",'Cable Info'!O349))</f>
        <v>#N/A</v>
      </c>
      <c r="AR350" s="121" t="e">
        <f t="shared" si="91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2"/>
        <v>#N/A</v>
      </c>
      <c r="AY350" s="121" t="str">
        <f>IF('Cable Info'!R349="","",CONCATENATE('Cable Info'!R349," - ",'Cable Info'!S349))</f>
        <v/>
      </c>
      <c r="BB350" s="121" t="str">
        <f t="shared" si="93"/>
        <v/>
      </c>
      <c r="BD350" s="121" t="str">
        <f>IF('Cable Info'!T349="","",CONCATENATE('Cable Info'!T349," - ",'Cable Info'!U349))</f>
        <v/>
      </c>
      <c r="BG350" s="121" t="str">
        <f t="shared" si="94"/>
        <v/>
      </c>
      <c r="BI350" s="121" t="str">
        <f>IF('Cable Info'!V349="","",CONCATENATE('Cable Info'!V349," - ",'Cable Info'!W349))</f>
        <v/>
      </c>
      <c r="BL350" s="121" t="str">
        <f t="shared" si="95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4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85"/>
        <v/>
      </c>
      <c r="Y351" s="252" t="str">
        <f t="shared" si="86"/>
        <v/>
      </c>
      <c r="Z351" s="253" t="str">
        <f t="shared" si="87"/>
        <v/>
      </c>
      <c r="AA351" s="253" t="str">
        <f t="shared" si="88"/>
        <v/>
      </c>
      <c r="AB351" s="253" t="str">
        <f t="shared" si="89"/>
        <v/>
      </c>
      <c r="AJ351" s="121" t="e">
        <f>IF('Cable Info'!L350="","",CONCATENATE('Cable Info'!L350," - ",'Cable Info'!M350))</f>
        <v>#N/A</v>
      </c>
      <c r="AM351" s="121" t="e">
        <f t="shared" si="90"/>
        <v>#N/A</v>
      </c>
      <c r="AO351" s="121" t="e">
        <f>IF('Cable Info'!N350="","",CONCATENATE('Cable Info'!N350," - ",'Cable Info'!O350))</f>
        <v>#N/A</v>
      </c>
      <c r="AR351" s="121" t="e">
        <f t="shared" si="91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2"/>
        <v>#N/A</v>
      </c>
      <c r="AY351" s="121" t="str">
        <f>IF('Cable Info'!R350="","",CONCATENATE('Cable Info'!R350," - ",'Cable Info'!S350))</f>
        <v/>
      </c>
      <c r="BB351" s="121" t="str">
        <f t="shared" si="93"/>
        <v/>
      </c>
      <c r="BD351" s="121" t="str">
        <f>IF('Cable Info'!T350="","",CONCATENATE('Cable Info'!T350," - ",'Cable Info'!U350))</f>
        <v/>
      </c>
      <c r="BG351" s="121" t="str">
        <f t="shared" si="94"/>
        <v/>
      </c>
      <c r="BI351" s="121" t="str">
        <f>IF('Cable Info'!V350="","",CONCATENATE('Cable Info'!V350," - ",'Cable Info'!W350))</f>
        <v/>
      </c>
      <c r="BL351" s="121" t="str">
        <f t="shared" si="95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4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85"/>
        <v/>
      </c>
      <c r="Y352" s="252" t="str">
        <f t="shared" si="86"/>
        <v/>
      </c>
      <c r="Z352" s="253" t="str">
        <f t="shared" si="87"/>
        <v/>
      </c>
      <c r="AA352" s="253" t="str">
        <f t="shared" si="88"/>
        <v/>
      </c>
      <c r="AB352" s="253" t="str">
        <f t="shared" si="89"/>
        <v/>
      </c>
      <c r="AJ352" s="121" t="e">
        <f>IF('Cable Info'!L351="","",CONCATENATE('Cable Info'!L351," - ",'Cable Info'!M351))</f>
        <v>#N/A</v>
      </c>
      <c r="AM352" s="121" t="e">
        <f t="shared" si="90"/>
        <v>#N/A</v>
      </c>
      <c r="AO352" s="121" t="e">
        <f>IF('Cable Info'!N351="","",CONCATENATE('Cable Info'!N351," - ",'Cable Info'!O351))</f>
        <v>#N/A</v>
      </c>
      <c r="AR352" s="121" t="e">
        <f t="shared" si="91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2"/>
        <v>#N/A</v>
      </c>
      <c r="AY352" s="121" t="str">
        <f>IF('Cable Info'!R351="","",CONCATENATE('Cable Info'!R351," - ",'Cable Info'!S351))</f>
        <v/>
      </c>
      <c r="BB352" s="121" t="str">
        <f t="shared" si="93"/>
        <v/>
      </c>
      <c r="BD352" s="121" t="str">
        <f>IF('Cable Info'!T351="","",CONCATENATE('Cable Info'!T351," - ",'Cable Info'!U351))</f>
        <v/>
      </c>
      <c r="BG352" s="121" t="str">
        <f t="shared" si="94"/>
        <v/>
      </c>
      <c r="BI352" s="121" t="str">
        <f>IF('Cable Info'!V351="","",CONCATENATE('Cable Info'!V351," - ",'Cable Info'!W351))</f>
        <v/>
      </c>
      <c r="BL352" s="121" t="str">
        <f t="shared" si="95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4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85"/>
        <v/>
      </c>
      <c r="Y353" s="252" t="str">
        <f t="shared" si="86"/>
        <v/>
      </c>
      <c r="Z353" s="253" t="str">
        <f t="shared" si="87"/>
        <v/>
      </c>
      <c r="AA353" s="253" t="str">
        <f t="shared" si="88"/>
        <v/>
      </c>
      <c r="AB353" s="253" t="str">
        <f t="shared" si="89"/>
        <v/>
      </c>
      <c r="AJ353" s="121" t="e">
        <f>IF('Cable Info'!L352="","",CONCATENATE('Cable Info'!L352," - ",'Cable Info'!M352))</f>
        <v>#N/A</v>
      </c>
      <c r="AM353" s="121" t="e">
        <f t="shared" si="90"/>
        <v>#N/A</v>
      </c>
      <c r="AO353" s="121" t="e">
        <f>IF('Cable Info'!N352="","",CONCATENATE('Cable Info'!N352," - ",'Cable Info'!O352))</f>
        <v>#N/A</v>
      </c>
      <c r="AR353" s="121" t="e">
        <f t="shared" si="91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2"/>
        <v>#N/A</v>
      </c>
      <c r="AY353" s="121" t="str">
        <f>IF('Cable Info'!R352="","",CONCATENATE('Cable Info'!R352," - ",'Cable Info'!S352))</f>
        <v/>
      </c>
      <c r="BB353" s="121" t="str">
        <f t="shared" si="93"/>
        <v/>
      </c>
      <c r="BD353" s="121" t="str">
        <f>IF('Cable Info'!T352="","",CONCATENATE('Cable Info'!T352," - ",'Cable Info'!U352))</f>
        <v/>
      </c>
      <c r="BG353" s="121" t="str">
        <f t="shared" si="94"/>
        <v/>
      </c>
      <c r="BI353" s="121" t="str">
        <f>IF('Cable Info'!V352="","",CONCATENATE('Cable Info'!V352," - ",'Cable Info'!W352))</f>
        <v/>
      </c>
      <c r="BL353" s="121" t="str">
        <f t="shared" si="95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4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85"/>
        <v/>
      </c>
      <c r="Y354" s="252" t="str">
        <f t="shared" si="86"/>
        <v/>
      </c>
      <c r="Z354" s="253" t="str">
        <f t="shared" si="87"/>
        <v/>
      </c>
      <c r="AA354" s="253" t="str">
        <f t="shared" si="88"/>
        <v/>
      </c>
      <c r="AB354" s="253" t="str">
        <f t="shared" si="89"/>
        <v/>
      </c>
      <c r="AJ354" s="121" t="e">
        <f>IF('Cable Info'!L353="","",CONCATENATE('Cable Info'!L353," - ",'Cable Info'!M353))</f>
        <v>#N/A</v>
      </c>
      <c r="AM354" s="121" t="e">
        <f t="shared" si="90"/>
        <v>#N/A</v>
      </c>
      <c r="AO354" s="121" t="e">
        <f>IF('Cable Info'!N353="","",CONCATENATE('Cable Info'!N353," - ",'Cable Info'!O353))</f>
        <v>#N/A</v>
      </c>
      <c r="AR354" s="121" t="e">
        <f t="shared" si="91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2"/>
        <v>#N/A</v>
      </c>
      <c r="AY354" s="121" t="str">
        <f>IF('Cable Info'!R353="","",CONCATENATE('Cable Info'!R353," - ",'Cable Info'!S353))</f>
        <v/>
      </c>
      <c r="BB354" s="121" t="str">
        <f t="shared" si="93"/>
        <v/>
      </c>
      <c r="BD354" s="121" t="str">
        <f>IF('Cable Info'!T353="","",CONCATENATE('Cable Info'!T353," - ",'Cable Info'!U353))</f>
        <v/>
      </c>
      <c r="BG354" s="121" t="str">
        <f t="shared" si="94"/>
        <v/>
      </c>
      <c r="BI354" s="121" t="str">
        <f>IF('Cable Info'!V353="","",CONCATENATE('Cable Info'!V353," - ",'Cable Info'!W353))</f>
        <v/>
      </c>
      <c r="BL354" s="121" t="str">
        <f t="shared" si="95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4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85"/>
        <v/>
      </c>
      <c r="Y355" s="252" t="str">
        <f t="shared" si="86"/>
        <v/>
      </c>
      <c r="Z355" s="253" t="str">
        <f t="shared" si="87"/>
        <v/>
      </c>
      <c r="AA355" s="253" t="str">
        <f t="shared" si="88"/>
        <v/>
      </c>
      <c r="AB355" s="253" t="str">
        <f t="shared" si="89"/>
        <v/>
      </c>
      <c r="AJ355" s="121" t="e">
        <f>IF('Cable Info'!L354="","",CONCATENATE('Cable Info'!L354," - ",'Cable Info'!M354))</f>
        <v>#N/A</v>
      </c>
      <c r="AM355" s="121" t="e">
        <f t="shared" si="90"/>
        <v>#N/A</v>
      </c>
      <c r="AO355" s="121" t="e">
        <f>IF('Cable Info'!N354="","",CONCATENATE('Cable Info'!N354," - ",'Cable Info'!O354))</f>
        <v>#N/A</v>
      </c>
      <c r="AR355" s="121" t="e">
        <f t="shared" si="91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2"/>
        <v>#N/A</v>
      </c>
      <c r="AY355" s="121" t="str">
        <f>IF('Cable Info'!R354="","",CONCATENATE('Cable Info'!R354," - ",'Cable Info'!S354))</f>
        <v/>
      </c>
      <c r="BB355" s="121" t="str">
        <f t="shared" si="93"/>
        <v/>
      </c>
      <c r="BD355" s="121" t="str">
        <f>IF('Cable Info'!T354="","",CONCATENATE('Cable Info'!T354," - ",'Cable Info'!U354))</f>
        <v/>
      </c>
      <c r="BG355" s="121" t="str">
        <f t="shared" si="94"/>
        <v/>
      </c>
      <c r="BI355" s="121" t="str">
        <f>IF('Cable Info'!V354="","",CONCATENATE('Cable Info'!V354," - ",'Cable Info'!W354))</f>
        <v/>
      </c>
      <c r="BL355" s="121" t="str">
        <f t="shared" si="95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4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85"/>
        <v/>
      </c>
      <c r="Y356" s="252" t="str">
        <f t="shared" si="86"/>
        <v/>
      </c>
      <c r="Z356" s="253" t="str">
        <f t="shared" si="87"/>
        <v/>
      </c>
      <c r="AA356" s="253" t="str">
        <f t="shared" si="88"/>
        <v/>
      </c>
      <c r="AB356" s="253" t="str">
        <f t="shared" si="89"/>
        <v/>
      </c>
      <c r="AJ356" s="121" t="e">
        <f>IF('Cable Info'!L355="","",CONCATENATE('Cable Info'!L355," - ",'Cable Info'!M355))</f>
        <v>#N/A</v>
      </c>
      <c r="AM356" s="121" t="e">
        <f t="shared" si="90"/>
        <v>#N/A</v>
      </c>
      <c r="AO356" s="121" t="e">
        <f>IF('Cable Info'!N355="","",CONCATENATE('Cable Info'!N355," - ",'Cable Info'!O355))</f>
        <v>#N/A</v>
      </c>
      <c r="AR356" s="121" t="e">
        <f t="shared" si="91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2"/>
        <v>#N/A</v>
      </c>
      <c r="AY356" s="121" t="str">
        <f>IF('Cable Info'!R355="","",CONCATENATE('Cable Info'!R355," - ",'Cable Info'!S355))</f>
        <v/>
      </c>
      <c r="BB356" s="121" t="str">
        <f t="shared" si="93"/>
        <v/>
      </c>
      <c r="BD356" s="121" t="str">
        <f>IF('Cable Info'!T355="","",CONCATENATE('Cable Info'!T355," - ",'Cable Info'!U355))</f>
        <v/>
      </c>
      <c r="BG356" s="121" t="str">
        <f t="shared" si="94"/>
        <v/>
      </c>
      <c r="BI356" s="121" t="str">
        <f>IF('Cable Info'!V355="","",CONCATENATE('Cable Info'!V355," - ",'Cable Info'!W355))</f>
        <v/>
      </c>
      <c r="BL356" s="121" t="str">
        <f t="shared" si="95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4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85"/>
        <v/>
      </c>
      <c r="Y357" s="252" t="str">
        <f t="shared" si="86"/>
        <v/>
      </c>
      <c r="Z357" s="253" t="str">
        <f t="shared" si="87"/>
        <v/>
      </c>
      <c r="AA357" s="253" t="str">
        <f t="shared" si="88"/>
        <v/>
      </c>
      <c r="AB357" s="253" t="str">
        <f t="shared" si="89"/>
        <v/>
      </c>
      <c r="AJ357" s="121" t="e">
        <f>IF('Cable Info'!L356="","",CONCATENATE('Cable Info'!L356," - ",'Cable Info'!M356))</f>
        <v>#N/A</v>
      </c>
      <c r="AM357" s="121" t="e">
        <f t="shared" si="90"/>
        <v>#N/A</v>
      </c>
      <c r="AO357" s="121" t="e">
        <f>IF('Cable Info'!N356="","",CONCATENATE('Cable Info'!N356," - ",'Cable Info'!O356))</f>
        <v>#N/A</v>
      </c>
      <c r="AR357" s="121" t="e">
        <f t="shared" si="91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2"/>
        <v>#N/A</v>
      </c>
      <c r="AY357" s="121" t="str">
        <f>IF('Cable Info'!R356="","",CONCATENATE('Cable Info'!R356," - ",'Cable Info'!S356))</f>
        <v/>
      </c>
      <c r="BB357" s="121" t="str">
        <f t="shared" si="93"/>
        <v/>
      </c>
      <c r="BD357" s="121" t="str">
        <f>IF('Cable Info'!T356="","",CONCATENATE('Cable Info'!T356," - ",'Cable Info'!U356))</f>
        <v/>
      </c>
      <c r="BG357" s="121" t="str">
        <f t="shared" si="94"/>
        <v/>
      </c>
      <c r="BI357" s="121" t="str">
        <f>IF('Cable Info'!V356="","",CONCATENATE('Cable Info'!V356," - ",'Cable Info'!W356))</f>
        <v/>
      </c>
      <c r="BL357" s="121" t="str">
        <f t="shared" si="95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4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85"/>
        <v/>
      </c>
      <c r="Y358" s="252" t="str">
        <f t="shared" si="86"/>
        <v/>
      </c>
      <c r="Z358" s="253" t="str">
        <f t="shared" si="87"/>
        <v/>
      </c>
      <c r="AA358" s="253" t="str">
        <f t="shared" si="88"/>
        <v/>
      </c>
      <c r="AB358" s="253" t="str">
        <f t="shared" si="89"/>
        <v/>
      </c>
      <c r="AJ358" s="121" t="e">
        <f>IF('Cable Info'!L357="","",CONCATENATE('Cable Info'!L357," - ",'Cable Info'!M357))</f>
        <v>#N/A</v>
      </c>
      <c r="AM358" s="121" t="e">
        <f t="shared" si="90"/>
        <v>#N/A</v>
      </c>
      <c r="AO358" s="121" t="e">
        <f>IF('Cable Info'!N357="","",CONCATENATE('Cable Info'!N357," - ",'Cable Info'!O357))</f>
        <v>#N/A</v>
      </c>
      <c r="AR358" s="121" t="e">
        <f t="shared" si="91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2"/>
        <v>#N/A</v>
      </c>
      <c r="AY358" s="121" t="str">
        <f>IF('Cable Info'!R357="","",CONCATENATE('Cable Info'!R357," - ",'Cable Info'!S357))</f>
        <v/>
      </c>
      <c r="BB358" s="121" t="str">
        <f t="shared" si="93"/>
        <v/>
      </c>
      <c r="BD358" s="121" t="str">
        <f>IF('Cable Info'!T357="","",CONCATENATE('Cable Info'!T357," - ",'Cable Info'!U357))</f>
        <v/>
      </c>
      <c r="BG358" s="121" t="str">
        <f t="shared" si="94"/>
        <v/>
      </c>
      <c r="BI358" s="121" t="str">
        <f>IF('Cable Info'!V357="","",CONCATENATE('Cable Info'!V357," - ",'Cable Info'!W357))</f>
        <v/>
      </c>
      <c r="BL358" s="121" t="str">
        <f t="shared" si="95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4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85"/>
        <v/>
      </c>
      <c r="Y359" s="252" t="str">
        <f t="shared" si="86"/>
        <v/>
      </c>
      <c r="Z359" s="253" t="str">
        <f t="shared" si="87"/>
        <v/>
      </c>
      <c r="AA359" s="253" t="str">
        <f t="shared" si="88"/>
        <v/>
      </c>
      <c r="AB359" s="253" t="str">
        <f t="shared" si="89"/>
        <v/>
      </c>
      <c r="AJ359" s="121" t="e">
        <f>IF('Cable Info'!L358="","",CONCATENATE('Cable Info'!L358," - ",'Cable Info'!M358))</f>
        <v>#N/A</v>
      </c>
      <c r="AM359" s="121" t="e">
        <f t="shared" si="90"/>
        <v>#N/A</v>
      </c>
      <c r="AO359" s="121" t="e">
        <f>IF('Cable Info'!N358="","",CONCATENATE('Cable Info'!N358," - ",'Cable Info'!O358))</f>
        <v>#N/A</v>
      </c>
      <c r="AR359" s="121" t="e">
        <f t="shared" si="91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2"/>
        <v>#N/A</v>
      </c>
      <c r="AY359" s="121" t="str">
        <f>IF('Cable Info'!R358="","",CONCATENATE('Cable Info'!R358," - ",'Cable Info'!S358))</f>
        <v/>
      </c>
      <c r="BB359" s="121" t="str">
        <f t="shared" si="93"/>
        <v/>
      </c>
      <c r="BD359" s="121" t="str">
        <f>IF('Cable Info'!T358="","",CONCATENATE('Cable Info'!T358," - ",'Cable Info'!U358))</f>
        <v/>
      </c>
      <c r="BG359" s="121" t="str">
        <f t="shared" si="94"/>
        <v/>
      </c>
      <c r="BI359" s="121" t="str">
        <f>IF('Cable Info'!V358="","",CONCATENATE('Cable Info'!V358," - ",'Cable Info'!W358))</f>
        <v/>
      </c>
      <c r="BL359" s="121" t="str">
        <f t="shared" si="95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4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85"/>
        <v/>
      </c>
      <c r="Y360" s="252" t="str">
        <f t="shared" si="86"/>
        <v/>
      </c>
      <c r="Z360" s="253" t="str">
        <f t="shared" si="87"/>
        <v/>
      </c>
      <c r="AA360" s="253" t="str">
        <f t="shared" si="88"/>
        <v/>
      </c>
      <c r="AB360" s="253" t="str">
        <f t="shared" si="89"/>
        <v/>
      </c>
      <c r="AJ360" s="121" t="e">
        <f>IF('Cable Info'!L359="","",CONCATENATE('Cable Info'!L359," - ",'Cable Info'!M359))</f>
        <v>#N/A</v>
      </c>
      <c r="AM360" s="121" t="e">
        <f t="shared" si="90"/>
        <v>#N/A</v>
      </c>
      <c r="AO360" s="121" t="e">
        <f>IF('Cable Info'!N359="","",CONCATENATE('Cable Info'!N359," - ",'Cable Info'!O359))</f>
        <v>#N/A</v>
      </c>
      <c r="AR360" s="121" t="e">
        <f t="shared" si="91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2"/>
        <v>#N/A</v>
      </c>
      <c r="AY360" s="121" t="str">
        <f>IF('Cable Info'!R359="","",CONCATENATE('Cable Info'!R359," - ",'Cable Info'!S359))</f>
        <v/>
      </c>
      <c r="BB360" s="121" t="str">
        <f t="shared" si="93"/>
        <v/>
      </c>
      <c r="BD360" s="121" t="str">
        <f>IF('Cable Info'!T359="","",CONCATENATE('Cable Info'!T359," - ",'Cable Info'!U359))</f>
        <v/>
      </c>
      <c r="BG360" s="121" t="str">
        <f t="shared" si="94"/>
        <v/>
      </c>
      <c r="BI360" s="121" t="str">
        <f>IF('Cable Info'!V359="","",CONCATENATE('Cable Info'!V359," - ",'Cable Info'!W359))</f>
        <v/>
      </c>
      <c r="BL360" s="121" t="str">
        <f t="shared" si="95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4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85"/>
        <v/>
      </c>
      <c r="Y361" s="252" t="str">
        <f t="shared" si="86"/>
        <v/>
      </c>
      <c r="Z361" s="253" t="str">
        <f t="shared" si="87"/>
        <v/>
      </c>
      <c r="AA361" s="253" t="str">
        <f t="shared" si="88"/>
        <v/>
      </c>
      <c r="AB361" s="253" t="str">
        <f t="shared" si="89"/>
        <v/>
      </c>
      <c r="AJ361" s="121" t="e">
        <f>IF('Cable Info'!L360="","",CONCATENATE('Cable Info'!L360," - ",'Cable Info'!M360))</f>
        <v>#N/A</v>
      </c>
      <c r="AM361" s="121" t="e">
        <f t="shared" si="90"/>
        <v>#N/A</v>
      </c>
      <c r="AO361" s="121" t="e">
        <f>IF('Cable Info'!N360="","",CONCATENATE('Cable Info'!N360," - ",'Cable Info'!O360))</f>
        <v>#N/A</v>
      </c>
      <c r="AR361" s="121" t="e">
        <f t="shared" si="91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2"/>
        <v>#N/A</v>
      </c>
      <c r="AY361" s="121" t="str">
        <f>IF('Cable Info'!R360="","",CONCATENATE('Cable Info'!R360," - ",'Cable Info'!S360))</f>
        <v/>
      </c>
      <c r="BB361" s="121" t="str">
        <f t="shared" si="93"/>
        <v/>
      </c>
      <c r="BD361" s="121" t="str">
        <f>IF('Cable Info'!T360="","",CONCATENATE('Cable Info'!T360," - ",'Cable Info'!U360))</f>
        <v/>
      </c>
      <c r="BG361" s="121" t="str">
        <f t="shared" si="94"/>
        <v/>
      </c>
      <c r="BI361" s="121" t="str">
        <f>IF('Cable Info'!V360="","",CONCATENATE('Cable Info'!V360," - ",'Cable Info'!W360))</f>
        <v/>
      </c>
      <c r="BL361" s="121" t="str">
        <f t="shared" si="95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4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85"/>
        <v/>
      </c>
      <c r="Y362" s="252" t="str">
        <f t="shared" si="86"/>
        <v/>
      </c>
      <c r="Z362" s="253" t="str">
        <f t="shared" si="87"/>
        <v/>
      </c>
      <c r="AA362" s="253" t="str">
        <f t="shared" si="88"/>
        <v/>
      </c>
      <c r="AB362" s="253" t="str">
        <f t="shared" si="89"/>
        <v/>
      </c>
      <c r="AJ362" s="121" t="e">
        <f>IF('Cable Info'!L361="","",CONCATENATE('Cable Info'!L361," - ",'Cable Info'!M361))</f>
        <v>#N/A</v>
      </c>
      <c r="AM362" s="121" t="e">
        <f t="shared" si="90"/>
        <v>#N/A</v>
      </c>
      <c r="AO362" s="121" t="e">
        <f>IF('Cable Info'!N361="","",CONCATENATE('Cable Info'!N361," - ",'Cable Info'!O361))</f>
        <v>#N/A</v>
      </c>
      <c r="AR362" s="121" t="e">
        <f t="shared" si="91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2"/>
        <v>#N/A</v>
      </c>
      <c r="AY362" s="121" t="str">
        <f>IF('Cable Info'!R361="","",CONCATENATE('Cable Info'!R361," - ",'Cable Info'!S361))</f>
        <v/>
      </c>
      <c r="BB362" s="121" t="str">
        <f t="shared" si="93"/>
        <v/>
      </c>
      <c r="BD362" s="121" t="str">
        <f>IF('Cable Info'!T361="","",CONCATENATE('Cable Info'!T361," - ",'Cable Info'!U361))</f>
        <v/>
      </c>
      <c r="BG362" s="121" t="str">
        <f t="shared" si="94"/>
        <v/>
      </c>
      <c r="BI362" s="121" t="str">
        <f>IF('Cable Info'!V361="","",CONCATENATE('Cable Info'!V361," - ",'Cable Info'!W361))</f>
        <v/>
      </c>
      <c r="BL362" s="121" t="str">
        <f t="shared" si="95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4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85"/>
        <v/>
      </c>
      <c r="Y363" s="252" t="str">
        <f t="shared" si="86"/>
        <v/>
      </c>
      <c r="Z363" s="253" t="str">
        <f t="shared" si="87"/>
        <v/>
      </c>
      <c r="AA363" s="253" t="str">
        <f t="shared" si="88"/>
        <v/>
      </c>
      <c r="AB363" s="253" t="str">
        <f t="shared" si="89"/>
        <v/>
      </c>
      <c r="AJ363" s="121" t="e">
        <f>IF('Cable Info'!L362="","",CONCATENATE('Cable Info'!L362," - ",'Cable Info'!M362))</f>
        <v>#N/A</v>
      </c>
      <c r="AM363" s="121" t="e">
        <f t="shared" si="90"/>
        <v>#N/A</v>
      </c>
      <c r="AO363" s="121" t="e">
        <f>IF('Cable Info'!N362="","",CONCATENATE('Cable Info'!N362," - ",'Cable Info'!O362))</f>
        <v>#N/A</v>
      </c>
      <c r="AR363" s="121" t="e">
        <f t="shared" si="91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2"/>
        <v>#N/A</v>
      </c>
      <c r="AY363" s="121" t="str">
        <f>IF('Cable Info'!R362="","",CONCATENATE('Cable Info'!R362," - ",'Cable Info'!S362))</f>
        <v/>
      </c>
      <c r="BB363" s="121" t="str">
        <f t="shared" si="93"/>
        <v/>
      </c>
      <c r="BD363" s="121" t="str">
        <f>IF('Cable Info'!T362="","",CONCATENATE('Cable Info'!T362," - ",'Cable Info'!U362))</f>
        <v/>
      </c>
      <c r="BG363" s="121" t="str">
        <f t="shared" si="94"/>
        <v/>
      </c>
      <c r="BI363" s="121" t="str">
        <f>IF('Cable Info'!V362="","",CONCATENATE('Cable Info'!V362," - ",'Cable Info'!W362))</f>
        <v/>
      </c>
      <c r="BL363" s="121" t="str">
        <f t="shared" si="95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4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85"/>
        <v/>
      </c>
      <c r="Y364" s="252" t="str">
        <f t="shared" si="86"/>
        <v/>
      </c>
      <c r="Z364" s="253" t="str">
        <f t="shared" si="87"/>
        <v/>
      </c>
      <c r="AA364" s="253" t="str">
        <f t="shared" si="88"/>
        <v/>
      </c>
      <c r="AB364" s="253" t="str">
        <f t="shared" si="89"/>
        <v/>
      </c>
      <c r="AJ364" s="121" t="e">
        <f>IF('Cable Info'!L363="","",CONCATENATE('Cable Info'!L363," - ",'Cable Info'!M363))</f>
        <v>#N/A</v>
      </c>
      <c r="AM364" s="121" t="e">
        <f t="shared" si="90"/>
        <v>#N/A</v>
      </c>
      <c r="AO364" s="121" t="e">
        <f>IF('Cable Info'!N363="","",CONCATENATE('Cable Info'!N363," - ",'Cable Info'!O363))</f>
        <v>#N/A</v>
      </c>
      <c r="AR364" s="121" t="e">
        <f t="shared" si="91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2"/>
        <v>#N/A</v>
      </c>
      <c r="AY364" s="121" t="str">
        <f>IF('Cable Info'!R363="","",CONCATENATE('Cable Info'!R363," - ",'Cable Info'!S363))</f>
        <v/>
      </c>
      <c r="BB364" s="121" t="str">
        <f t="shared" si="93"/>
        <v/>
      </c>
      <c r="BD364" s="121" t="str">
        <f>IF('Cable Info'!T363="","",CONCATENATE('Cable Info'!T363," - ",'Cable Info'!U363))</f>
        <v/>
      </c>
      <c r="BG364" s="121" t="str">
        <f t="shared" si="94"/>
        <v/>
      </c>
      <c r="BI364" s="121" t="str">
        <f>IF('Cable Info'!V363="","",CONCATENATE('Cable Info'!V363," - ",'Cable Info'!W363))</f>
        <v/>
      </c>
      <c r="BL364" s="121" t="str">
        <f t="shared" si="95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4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85"/>
        <v/>
      </c>
      <c r="Y365" s="252" t="str">
        <f t="shared" si="86"/>
        <v/>
      </c>
      <c r="Z365" s="253" t="str">
        <f t="shared" si="87"/>
        <v/>
      </c>
      <c r="AA365" s="253" t="str">
        <f t="shared" si="88"/>
        <v/>
      </c>
      <c r="AB365" s="253" t="str">
        <f t="shared" si="89"/>
        <v/>
      </c>
      <c r="AJ365" s="121" t="e">
        <f>IF('Cable Info'!L364="","",CONCATENATE('Cable Info'!L364," - ",'Cable Info'!M364))</f>
        <v>#N/A</v>
      </c>
      <c r="AM365" s="121" t="e">
        <f t="shared" si="90"/>
        <v>#N/A</v>
      </c>
      <c r="AO365" s="121" t="e">
        <f>IF('Cable Info'!N364="","",CONCATENATE('Cable Info'!N364," - ",'Cable Info'!O364))</f>
        <v>#N/A</v>
      </c>
      <c r="AR365" s="121" t="e">
        <f t="shared" si="91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2"/>
        <v>#N/A</v>
      </c>
      <c r="AY365" s="121" t="str">
        <f>IF('Cable Info'!R364="","",CONCATENATE('Cable Info'!R364," - ",'Cable Info'!S364))</f>
        <v/>
      </c>
      <c r="BB365" s="121" t="str">
        <f t="shared" si="93"/>
        <v/>
      </c>
      <c r="BD365" s="121" t="str">
        <f>IF('Cable Info'!T364="","",CONCATENATE('Cable Info'!T364," - ",'Cable Info'!U364))</f>
        <v/>
      </c>
      <c r="BG365" s="121" t="str">
        <f t="shared" si="94"/>
        <v/>
      </c>
      <c r="BI365" s="121" t="str">
        <f>IF('Cable Info'!V364="","",CONCATENATE('Cable Info'!V364," - ",'Cable Info'!W364))</f>
        <v/>
      </c>
      <c r="BL365" s="121" t="str">
        <f t="shared" si="95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4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85"/>
        <v/>
      </c>
      <c r="Y366" s="252" t="str">
        <f t="shared" si="86"/>
        <v/>
      </c>
      <c r="Z366" s="253" t="str">
        <f t="shared" si="87"/>
        <v/>
      </c>
      <c r="AA366" s="253" t="str">
        <f t="shared" si="88"/>
        <v/>
      </c>
      <c r="AB366" s="253" t="str">
        <f t="shared" si="89"/>
        <v/>
      </c>
      <c r="AJ366" s="121" t="e">
        <f>IF('Cable Info'!L365="","",CONCATENATE('Cable Info'!L365," - ",'Cable Info'!M365))</f>
        <v>#N/A</v>
      </c>
      <c r="AM366" s="121" t="e">
        <f t="shared" si="90"/>
        <v>#N/A</v>
      </c>
      <c r="AO366" s="121" t="e">
        <f>IF('Cable Info'!N365="","",CONCATENATE('Cable Info'!N365," - ",'Cable Info'!O365))</f>
        <v>#N/A</v>
      </c>
      <c r="AR366" s="121" t="e">
        <f t="shared" si="91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2"/>
        <v>#N/A</v>
      </c>
      <c r="AY366" s="121" t="str">
        <f>IF('Cable Info'!R365="","",CONCATENATE('Cable Info'!R365," - ",'Cable Info'!S365))</f>
        <v/>
      </c>
      <c r="BB366" s="121" t="str">
        <f t="shared" si="93"/>
        <v/>
      </c>
      <c r="BD366" s="121" t="str">
        <f>IF('Cable Info'!T365="","",CONCATENATE('Cable Info'!T365," - ",'Cable Info'!U365))</f>
        <v/>
      </c>
      <c r="BG366" s="121" t="str">
        <f t="shared" si="94"/>
        <v/>
      </c>
      <c r="BI366" s="121" t="str">
        <f>IF('Cable Info'!V365="","",CONCATENATE('Cable Info'!V365," - ",'Cable Info'!W365))</f>
        <v/>
      </c>
      <c r="BL366" s="121" t="str">
        <f t="shared" si="95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4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85"/>
        <v/>
      </c>
      <c r="Y367" s="252" t="str">
        <f t="shared" si="86"/>
        <v/>
      </c>
      <c r="Z367" s="253" t="str">
        <f t="shared" si="87"/>
        <v/>
      </c>
      <c r="AA367" s="253" t="str">
        <f t="shared" si="88"/>
        <v/>
      </c>
      <c r="AB367" s="253" t="str">
        <f t="shared" si="89"/>
        <v/>
      </c>
      <c r="AJ367" s="121" t="e">
        <f>IF('Cable Info'!L366="","",CONCATENATE('Cable Info'!L366," - ",'Cable Info'!M366))</f>
        <v>#N/A</v>
      </c>
      <c r="AM367" s="121" t="e">
        <f t="shared" si="90"/>
        <v>#N/A</v>
      </c>
      <c r="AO367" s="121" t="e">
        <f>IF('Cable Info'!N366="","",CONCATENATE('Cable Info'!N366," - ",'Cable Info'!O366))</f>
        <v>#N/A</v>
      </c>
      <c r="AR367" s="121" t="e">
        <f t="shared" si="91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2"/>
        <v>#N/A</v>
      </c>
      <c r="AY367" s="121" t="str">
        <f>IF('Cable Info'!R366="","",CONCATENATE('Cable Info'!R366," - ",'Cable Info'!S366))</f>
        <v/>
      </c>
      <c r="BB367" s="121" t="str">
        <f t="shared" si="93"/>
        <v/>
      </c>
      <c r="BD367" s="121" t="str">
        <f>IF('Cable Info'!T366="","",CONCATENATE('Cable Info'!T366," - ",'Cable Info'!U366))</f>
        <v/>
      </c>
      <c r="BG367" s="121" t="str">
        <f t="shared" si="94"/>
        <v/>
      </c>
      <c r="BI367" s="121" t="str">
        <f>IF('Cable Info'!V366="","",CONCATENATE('Cable Info'!V366," - ",'Cable Info'!W366))</f>
        <v/>
      </c>
      <c r="BL367" s="121" t="str">
        <f t="shared" si="95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4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85"/>
        <v/>
      </c>
      <c r="Y368" s="252" t="str">
        <f t="shared" si="86"/>
        <v/>
      </c>
      <c r="Z368" s="253" t="str">
        <f t="shared" si="87"/>
        <v/>
      </c>
      <c r="AA368" s="253" t="str">
        <f t="shared" si="88"/>
        <v/>
      </c>
      <c r="AB368" s="253" t="str">
        <f t="shared" si="89"/>
        <v/>
      </c>
      <c r="AJ368" s="121" t="e">
        <f>IF('Cable Info'!L367="","",CONCATENATE('Cable Info'!L367," - ",'Cable Info'!M367))</f>
        <v>#N/A</v>
      </c>
      <c r="AM368" s="121" t="e">
        <f t="shared" si="90"/>
        <v>#N/A</v>
      </c>
      <c r="AO368" s="121" t="e">
        <f>IF('Cable Info'!N367="","",CONCATENATE('Cable Info'!N367," - ",'Cable Info'!O367))</f>
        <v>#N/A</v>
      </c>
      <c r="AR368" s="121" t="e">
        <f t="shared" si="91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2"/>
        <v>#N/A</v>
      </c>
      <c r="AY368" s="121" t="str">
        <f>IF('Cable Info'!R367="","",CONCATENATE('Cable Info'!R367," - ",'Cable Info'!S367))</f>
        <v/>
      </c>
      <c r="BB368" s="121" t="str">
        <f t="shared" si="93"/>
        <v/>
      </c>
      <c r="BD368" s="121" t="str">
        <f>IF('Cable Info'!T367="","",CONCATENATE('Cable Info'!T367," - ",'Cable Info'!U367))</f>
        <v/>
      </c>
      <c r="BG368" s="121" t="str">
        <f t="shared" si="94"/>
        <v/>
      </c>
      <c r="BI368" s="121" t="str">
        <f>IF('Cable Info'!V367="","",CONCATENATE('Cable Info'!V367," - ",'Cable Info'!W367))</f>
        <v/>
      </c>
      <c r="BL368" s="121" t="str">
        <f t="shared" si="95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96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97">IF(V369="","",IF(R369="","",IF(S369="","",IF(R369="SPLICED",(IF(S369="SPLICE",0,9)),IF(V369=$U$3,(IF(S369="BREAK",12,11)),IF(S369="BREAK",2,1))))))</f>
        <v/>
      </c>
      <c r="Y369" s="252" t="str">
        <f t="shared" ref="Y369:Y379" si="98">IF(E369="","",IF(G369="","",IF(E369&gt;G369,1,"")))</f>
        <v/>
      </c>
      <c r="Z369" s="253" t="str">
        <f t="shared" ref="Z369:Z379" si="99">IF(I369="","",IF(K369="","",IF(I369&gt;K369,1,"")))</f>
        <v/>
      </c>
      <c r="AA369" s="253" t="str">
        <f t="shared" ref="AA369:AA379" si="100">IF(K369="","",((I369-K369)-1)*(-1))</f>
        <v/>
      </c>
      <c r="AB369" s="253" t="str">
        <f t="shared" ref="AB369:AB379" si="101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2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3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4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05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06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07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96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97"/>
        <v/>
      </c>
      <c r="Y370" s="252" t="str">
        <f t="shared" si="98"/>
        <v/>
      </c>
      <c r="Z370" s="253" t="str">
        <f t="shared" si="99"/>
        <v/>
      </c>
      <c r="AA370" s="253" t="str">
        <f t="shared" si="100"/>
        <v/>
      </c>
      <c r="AB370" s="253" t="str">
        <f t="shared" si="101"/>
        <v/>
      </c>
      <c r="AJ370" s="121" t="e">
        <f>IF('Cable Info'!L187="","",CONCATENATE('Cable Info'!L187," - ",'Cable Info'!M187))</f>
        <v>#N/A</v>
      </c>
      <c r="AM370" s="121" t="e">
        <f t="shared" si="102"/>
        <v>#N/A</v>
      </c>
      <c r="AO370" s="121" t="e">
        <f>IF('Cable Info'!N187="","",CONCATENATE('Cable Info'!N187," - ",'Cable Info'!O187))</f>
        <v>#N/A</v>
      </c>
      <c r="AR370" s="121" t="e">
        <f t="shared" si="103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4"/>
        <v>#N/A</v>
      </c>
      <c r="AY370" s="121" t="str">
        <f>IF('Cable Info'!R187="","",CONCATENATE('Cable Info'!R187," - ",'Cable Info'!S187))</f>
        <v/>
      </c>
      <c r="BB370" s="121" t="str">
        <f t="shared" si="105"/>
        <v/>
      </c>
      <c r="BD370" s="121" t="str">
        <f>IF('Cable Info'!T187="","",CONCATENATE('Cable Info'!T187," - ",'Cable Info'!U187))</f>
        <v/>
      </c>
      <c r="BG370" s="121" t="str">
        <f t="shared" si="106"/>
        <v/>
      </c>
      <c r="BI370" s="121" t="str">
        <f>IF('Cable Info'!V187="","",CONCATENATE('Cable Info'!V187," - ",'Cable Info'!W187))</f>
        <v/>
      </c>
      <c r="BL370" s="121" t="str">
        <f t="shared" si="107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96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97"/>
        <v/>
      </c>
      <c r="Y371" s="252" t="str">
        <f t="shared" si="98"/>
        <v/>
      </c>
      <c r="Z371" s="253" t="str">
        <f t="shared" si="99"/>
        <v/>
      </c>
      <c r="AA371" s="253" t="str">
        <f t="shared" si="100"/>
        <v/>
      </c>
      <c r="AB371" s="253" t="str">
        <f t="shared" si="101"/>
        <v/>
      </c>
      <c r="AJ371" s="121" t="e">
        <f>IF('Cable Info'!L188="","",CONCATENATE('Cable Info'!L188," - ",'Cable Info'!M188))</f>
        <v>#N/A</v>
      </c>
      <c r="AM371" s="121" t="e">
        <f t="shared" si="102"/>
        <v>#N/A</v>
      </c>
      <c r="AO371" s="121" t="e">
        <f>IF('Cable Info'!N188="","",CONCATENATE('Cable Info'!N188," - ",'Cable Info'!O188))</f>
        <v>#N/A</v>
      </c>
      <c r="AR371" s="121" t="e">
        <f t="shared" si="103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4"/>
        <v>#N/A</v>
      </c>
      <c r="AY371" s="121" t="str">
        <f>IF('Cable Info'!R188="","",CONCATENATE('Cable Info'!R188," - ",'Cable Info'!S188))</f>
        <v/>
      </c>
      <c r="BB371" s="121" t="str">
        <f t="shared" si="105"/>
        <v/>
      </c>
      <c r="BD371" s="121" t="str">
        <f>IF('Cable Info'!T188="","",CONCATENATE('Cable Info'!T188," - ",'Cable Info'!U188))</f>
        <v/>
      </c>
      <c r="BG371" s="121" t="str">
        <f t="shared" si="106"/>
        <v/>
      </c>
      <c r="BI371" s="121" t="str">
        <f>IF('Cable Info'!V188="","",CONCATENATE('Cable Info'!V188," - ",'Cable Info'!W188))</f>
        <v/>
      </c>
      <c r="BL371" s="121" t="str">
        <f t="shared" si="107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96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97"/>
        <v/>
      </c>
      <c r="Y372" s="252" t="str">
        <f t="shared" si="98"/>
        <v/>
      </c>
      <c r="Z372" s="253" t="str">
        <f t="shared" si="99"/>
        <v/>
      </c>
      <c r="AA372" s="253" t="str">
        <f t="shared" si="100"/>
        <v/>
      </c>
      <c r="AB372" s="253" t="str">
        <f t="shared" si="101"/>
        <v/>
      </c>
      <c r="AJ372" s="121" t="e">
        <f>IF('Cable Info'!L189="","",CONCATENATE('Cable Info'!L189," - ",'Cable Info'!M189))</f>
        <v>#N/A</v>
      </c>
      <c r="AM372" s="121" t="e">
        <f t="shared" si="102"/>
        <v>#N/A</v>
      </c>
      <c r="AO372" s="121" t="e">
        <f>IF('Cable Info'!N189="","",CONCATENATE('Cable Info'!N189," - ",'Cable Info'!O189))</f>
        <v>#N/A</v>
      </c>
      <c r="AR372" s="121" t="e">
        <f t="shared" si="103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4"/>
        <v>#N/A</v>
      </c>
      <c r="AY372" s="121" t="str">
        <f>IF('Cable Info'!R189="","",CONCATENATE('Cable Info'!R189," - ",'Cable Info'!S189))</f>
        <v/>
      </c>
      <c r="BB372" s="121" t="str">
        <f t="shared" si="105"/>
        <v/>
      </c>
      <c r="BD372" s="121" t="str">
        <f>IF('Cable Info'!T189="","",CONCATENATE('Cable Info'!T189," - ",'Cable Info'!U189))</f>
        <v/>
      </c>
      <c r="BG372" s="121" t="str">
        <f t="shared" si="106"/>
        <v/>
      </c>
      <c r="BI372" s="121" t="str">
        <f>IF('Cable Info'!V189="","",CONCATENATE('Cable Info'!V189," - ",'Cable Info'!W189))</f>
        <v/>
      </c>
      <c r="BL372" s="121" t="str">
        <f t="shared" si="107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96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97"/>
        <v/>
      </c>
      <c r="Y373" s="252" t="str">
        <f t="shared" si="98"/>
        <v/>
      </c>
      <c r="Z373" s="253" t="str">
        <f t="shared" si="99"/>
        <v/>
      </c>
      <c r="AA373" s="253" t="str">
        <f t="shared" si="100"/>
        <v/>
      </c>
      <c r="AB373" s="253" t="str">
        <f t="shared" si="101"/>
        <v/>
      </c>
      <c r="AJ373" s="121" t="e">
        <f>IF('Cable Info'!L190="","",CONCATENATE('Cable Info'!L190," - ",'Cable Info'!M190))</f>
        <v>#N/A</v>
      </c>
      <c r="AM373" s="121" t="e">
        <f t="shared" si="102"/>
        <v>#N/A</v>
      </c>
      <c r="AO373" s="121" t="e">
        <f>IF('Cable Info'!N190="","",CONCATENATE('Cable Info'!N190," - ",'Cable Info'!O190))</f>
        <v>#N/A</v>
      </c>
      <c r="AR373" s="121" t="e">
        <f t="shared" si="103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4"/>
        <v>#N/A</v>
      </c>
      <c r="AY373" s="121" t="str">
        <f>IF('Cable Info'!R190="","",CONCATENATE('Cable Info'!R190," - ",'Cable Info'!S190))</f>
        <v/>
      </c>
      <c r="BB373" s="121" t="str">
        <f t="shared" si="105"/>
        <v/>
      </c>
      <c r="BD373" s="121" t="str">
        <f>IF('Cable Info'!T190="","",CONCATENATE('Cable Info'!T190," - ",'Cable Info'!U190))</f>
        <v/>
      </c>
      <c r="BG373" s="121" t="str">
        <f t="shared" si="106"/>
        <v/>
      </c>
      <c r="BI373" s="121" t="str">
        <f>IF('Cable Info'!V190="","",CONCATENATE('Cable Info'!V190," - ",'Cable Info'!W190))</f>
        <v/>
      </c>
      <c r="BL373" s="121" t="str">
        <f t="shared" si="107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96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97"/>
        <v/>
      </c>
      <c r="Y374" s="252" t="str">
        <f t="shared" si="98"/>
        <v/>
      </c>
      <c r="Z374" s="253" t="str">
        <f t="shared" si="99"/>
        <v/>
      </c>
      <c r="AA374" s="253" t="str">
        <f t="shared" si="100"/>
        <v/>
      </c>
      <c r="AB374" s="253" t="str">
        <f t="shared" si="101"/>
        <v/>
      </c>
      <c r="AJ374" s="121" t="e">
        <f>IF('Cable Info'!L191="","",CONCATENATE('Cable Info'!L191," - ",'Cable Info'!M191))</f>
        <v>#N/A</v>
      </c>
      <c r="AM374" s="121" t="e">
        <f t="shared" si="102"/>
        <v>#N/A</v>
      </c>
      <c r="AO374" s="121" t="e">
        <f>IF('Cable Info'!N191="","",CONCATENATE('Cable Info'!N191," - ",'Cable Info'!O191))</f>
        <v>#N/A</v>
      </c>
      <c r="AR374" s="121" t="e">
        <f t="shared" si="103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4"/>
        <v>#N/A</v>
      </c>
      <c r="AY374" s="121" t="str">
        <f>IF('Cable Info'!R191="","",CONCATENATE('Cable Info'!R191," - ",'Cable Info'!S191))</f>
        <v/>
      </c>
      <c r="BB374" s="121" t="str">
        <f t="shared" si="105"/>
        <v/>
      </c>
      <c r="BD374" s="121" t="str">
        <f>IF('Cable Info'!T191="","",CONCATENATE('Cable Info'!T191," - ",'Cable Info'!U191))</f>
        <v/>
      </c>
      <c r="BG374" s="121" t="str">
        <f t="shared" si="106"/>
        <v/>
      </c>
      <c r="BI374" s="121" t="str">
        <f>IF('Cable Info'!V191="","",CONCATENATE('Cable Info'!V191," - ",'Cable Info'!W191))</f>
        <v/>
      </c>
      <c r="BL374" s="121" t="str">
        <f t="shared" si="107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96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97"/>
        <v/>
      </c>
      <c r="Y375" s="252" t="str">
        <f t="shared" si="98"/>
        <v/>
      </c>
      <c r="Z375" s="253" t="str">
        <f t="shared" si="99"/>
        <v/>
      </c>
      <c r="AA375" s="253" t="str">
        <f t="shared" si="100"/>
        <v/>
      </c>
      <c r="AB375" s="253" t="str">
        <f t="shared" si="101"/>
        <v/>
      </c>
      <c r="AJ375" s="121" t="e">
        <f>IF('Cable Info'!L192="","",CONCATENATE('Cable Info'!L192," - ",'Cable Info'!M192))</f>
        <v>#N/A</v>
      </c>
      <c r="AM375" s="121" t="e">
        <f t="shared" si="102"/>
        <v>#N/A</v>
      </c>
      <c r="AO375" s="121" t="e">
        <f>IF('Cable Info'!N192="","",CONCATENATE('Cable Info'!N192," - ",'Cable Info'!O192))</f>
        <v>#N/A</v>
      </c>
      <c r="AR375" s="121" t="e">
        <f t="shared" si="103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4"/>
        <v>#N/A</v>
      </c>
      <c r="AY375" s="121" t="str">
        <f>IF('Cable Info'!R192="","",CONCATENATE('Cable Info'!R192," - ",'Cable Info'!S192))</f>
        <v/>
      </c>
      <c r="BB375" s="121" t="str">
        <f t="shared" si="105"/>
        <v/>
      </c>
      <c r="BD375" s="121" t="str">
        <f>IF('Cable Info'!T192="","",CONCATENATE('Cable Info'!T192," - ",'Cable Info'!U192))</f>
        <v/>
      </c>
      <c r="BG375" s="121" t="str">
        <f t="shared" si="106"/>
        <v/>
      </c>
      <c r="BI375" s="121" t="str">
        <f>IF('Cable Info'!V192="","",CONCATENATE('Cable Info'!V192," - ",'Cable Info'!W192))</f>
        <v/>
      </c>
      <c r="BL375" s="121" t="str">
        <f t="shared" si="107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96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97"/>
        <v/>
      </c>
      <c r="Y376" s="252" t="str">
        <f t="shared" si="98"/>
        <v/>
      </c>
      <c r="Z376" s="253" t="str">
        <f t="shared" si="99"/>
        <v/>
      </c>
      <c r="AA376" s="253" t="str">
        <f t="shared" si="100"/>
        <v/>
      </c>
      <c r="AB376" s="253" t="str">
        <f t="shared" si="101"/>
        <v/>
      </c>
      <c r="AJ376" s="121" t="e">
        <f>IF('Cable Info'!L193="","",CONCATENATE('Cable Info'!L193," - ",'Cable Info'!M193))</f>
        <v>#N/A</v>
      </c>
      <c r="AM376" s="121" t="e">
        <f t="shared" si="102"/>
        <v>#N/A</v>
      </c>
      <c r="AO376" s="121" t="e">
        <f>IF('Cable Info'!N193="","",CONCATENATE('Cable Info'!N193," - ",'Cable Info'!O193))</f>
        <v>#N/A</v>
      </c>
      <c r="AR376" s="121" t="e">
        <f t="shared" si="103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4"/>
        <v>#N/A</v>
      </c>
      <c r="AY376" s="121" t="str">
        <f>IF('Cable Info'!R193="","",CONCATENATE('Cable Info'!R193," - ",'Cable Info'!S193))</f>
        <v/>
      </c>
      <c r="BB376" s="121" t="str">
        <f t="shared" si="105"/>
        <v/>
      </c>
      <c r="BD376" s="121" t="str">
        <f>IF('Cable Info'!T193="","",CONCATENATE('Cable Info'!T193," - ",'Cable Info'!U193))</f>
        <v/>
      </c>
      <c r="BG376" s="121" t="str">
        <f t="shared" si="106"/>
        <v/>
      </c>
      <c r="BI376" s="121" t="str">
        <f>IF('Cable Info'!V193="","",CONCATENATE('Cable Info'!V193," - ",'Cable Info'!W193))</f>
        <v/>
      </c>
      <c r="BL376" s="121" t="str">
        <f t="shared" si="107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96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97"/>
        <v/>
      </c>
      <c r="Y377" s="252" t="str">
        <f t="shared" si="98"/>
        <v/>
      </c>
      <c r="Z377" s="253" t="str">
        <f t="shared" si="99"/>
        <v/>
      </c>
      <c r="AA377" s="253" t="str">
        <f t="shared" si="100"/>
        <v/>
      </c>
      <c r="AB377" s="253" t="str">
        <f t="shared" si="101"/>
        <v/>
      </c>
      <c r="AJ377" s="121" t="e">
        <f>IF('Cable Info'!L194="","",CONCATENATE('Cable Info'!L194," - ",'Cable Info'!M194))</f>
        <v>#N/A</v>
      </c>
      <c r="AM377" s="121" t="e">
        <f t="shared" si="102"/>
        <v>#N/A</v>
      </c>
      <c r="AO377" s="121" t="e">
        <f>IF('Cable Info'!N194="","",CONCATENATE('Cable Info'!N194," - ",'Cable Info'!O194))</f>
        <v>#N/A</v>
      </c>
      <c r="AR377" s="121" t="e">
        <f t="shared" si="103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4"/>
        <v>#N/A</v>
      </c>
      <c r="AY377" s="121" t="str">
        <f>IF('Cable Info'!R194="","",CONCATENATE('Cable Info'!R194," - ",'Cable Info'!S194))</f>
        <v/>
      </c>
      <c r="BB377" s="121" t="str">
        <f t="shared" si="105"/>
        <v/>
      </c>
      <c r="BD377" s="121" t="str">
        <f>IF('Cable Info'!T194="","",CONCATENATE('Cable Info'!T194," - ",'Cable Info'!U194))</f>
        <v/>
      </c>
      <c r="BG377" s="121" t="str">
        <f t="shared" si="106"/>
        <v/>
      </c>
      <c r="BI377" s="121" t="str">
        <f>IF('Cable Info'!V194="","",CONCATENATE('Cable Info'!V194," - ",'Cable Info'!W194))</f>
        <v/>
      </c>
      <c r="BL377" s="121" t="str">
        <f t="shared" si="107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96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97"/>
        <v/>
      </c>
      <c r="Y378" s="252" t="str">
        <f t="shared" si="98"/>
        <v/>
      </c>
      <c r="Z378" s="253" t="str">
        <f t="shared" si="99"/>
        <v/>
      </c>
      <c r="AA378" s="253" t="str">
        <f t="shared" si="100"/>
        <v/>
      </c>
      <c r="AB378" s="253" t="str">
        <f t="shared" si="101"/>
        <v/>
      </c>
      <c r="AJ378" s="121" t="e">
        <f>IF('Cable Info'!L195="","",CONCATENATE('Cable Info'!L195," - ",'Cable Info'!M195))</f>
        <v>#N/A</v>
      </c>
      <c r="AM378" s="121" t="e">
        <f t="shared" si="102"/>
        <v>#N/A</v>
      </c>
      <c r="AO378" s="121" t="e">
        <f>IF('Cable Info'!N195="","",CONCATENATE('Cable Info'!N195," - ",'Cable Info'!O195))</f>
        <v>#N/A</v>
      </c>
      <c r="AR378" s="121" t="e">
        <f t="shared" si="103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4"/>
        <v>#N/A</v>
      </c>
      <c r="AY378" s="121" t="str">
        <f>IF('Cable Info'!R195="","",CONCATENATE('Cable Info'!R195," - ",'Cable Info'!S195))</f>
        <v/>
      </c>
      <c r="BB378" s="121" t="str">
        <f t="shared" si="105"/>
        <v/>
      </c>
      <c r="BD378" s="121" t="str">
        <f>IF('Cable Info'!T195="","",CONCATENATE('Cable Info'!T195," - ",'Cable Info'!U195))</f>
        <v/>
      </c>
      <c r="BG378" s="121" t="str">
        <f t="shared" si="106"/>
        <v/>
      </c>
      <c r="BI378" s="121" t="str">
        <f>IF('Cable Info'!V195="","",CONCATENATE('Cable Info'!V195," - ",'Cable Info'!W195))</f>
        <v/>
      </c>
      <c r="BL378" s="121" t="str">
        <f t="shared" si="107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96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97"/>
        <v/>
      </c>
      <c r="Y379" s="252" t="str">
        <f t="shared" si="98"/>
        <v/>
      </c>
      <c r="Z379" s="253" t="str">
        <f t="shared" si="99"/>
        <v/>
      </c>
      <c r="AA379" s="253" t="str">
        <f t="shared" si="100"/>
        <v/>
      </c>
      <c r="AB379" s="253" t="str">
        <f t="shared" si="101"/>
        <v/>
      </c>
      <c r="AJ379" s="121" t="e">
        <f>IF('Cable Info'!L196="","",CONCATENATE('Cable Info'!L196," - ",'Cable Info'!M196))</f>
        <v>#N/A</v>
      </c>
      <c r="AM379" s="121" t="e">
        <f t="shared" si="102"/>
        <v>#N/A</v>
      </c>
      <c r="AO379" s="121" t="e">
        <f>IF('Cable Info'!N196="","",CONCATENATE('Cable Info'!N196," - ",'Cable Info'!O196))</f>
        <v>#N/A</v>
      </c>
      <c r="AR379" s="121" t="e">
        <f t="shared" si="103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4"/>
        <v>#N/A</v>
      </c>
      <c r="AY379" s="121" t="str">
        <f>IF('Cable Info'!R196="","",CONCATENATE('Cable Info'!R196," - ",'Cable Info'!S196))</f>
        <v/>
      </c>
      <c r="BB379" s="121" t="str">
        <f t="shared" si="105"/>
        <v/>
      </c>
      <c r="BD379" s="121" t="str">
        <f>IF('Cable Info'!T196="","",CONCATENATE('Cable Info'!T196," - ",'Cable Info'!U196))</f>
        <v/>
      </c>
      <c r="BG379" s="121" t="str">
        <f t="shared" si="106"/>
        <v/>
      </c>
      <c r="BI379" s="121" t="str">
        <f>IF('Cable Info'!V196="","",CONCATENATE('Cable Info'!V196," - ",'Cable Info'!W196))</f>
        <v/>
      </c>
      <c r="BL379" s="121" t="str">
        <f t="shared" si="107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08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09">IF(V380="","",IF(R380="","",IF(S380="","",IF(R380="SPLICED",(IF(S380="SPLICE",0,9)),IF(V380=$U$3,(IF(S380="BREAK",12,11)),IF(S380="BREAK",2,1))))))</f>
        <v/>
      </c>
      <c r="Y380" s="252" t="str">
        <f t="shared" ref="Y380:Y383" si="110">IF(E380="","",IF(G380="","",IF(E380&gt;G380,1,"")))</f>
        <v/>
      </c>
      <c r="Z380" s="253" t="str">
        <f t="shared" ref="Z380:Z383" si="111">IF(I380="","",IF(K380="","",IF(I380&gt;K380,1,"")))</f>
        <v/>
      </c>
      <c r="AA380" s="253" t="str">
        <f t="shared" ref="AA380:AA383" si="112">IF(K380="","",((I380-K380)-1)*(-1))</f>
        <v/>
      </c>
      <c r="AB380" s="253" t="str">
        <f t="shared" ref="AB380:AB383" si="113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4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15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16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17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18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19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0"/>
        <v/>
      </c>
      <c r="Z381" s="253" t="str">
        <f t="shared" si="111"/>
        <v/>
      </c>
      <c r="AA381" s="253" t="str">
        <f t="shared" si="112"/>
        <v/>
      </c>
      <c r="AB381" s="253" t="str">
        <f t="shared" si="113"/>
        <v/>
      </c>
      <c r="AJ381" s="121" t="e">
        <f>IF('Cable Info'!L85="","",CONCATENATE('Cable Info'!L85," - ",'Cable Info'!M85))</f>
        <v>#N/A</v>
      </c>
      <c r="AM381" s="121" t="e">
        <f t="shared" si="114"/>
        <v>#N/A</v>
      </c>
      <c r="AO381" s="121" t="e">
        <f>IF('Cable Info'!N85="","",CONCATENATE('Cable Info'!N85," - ",'Cable Info'!O85))</f>
        <v>#N/A</v>
      </c>
      <c r="AR381" s="121" t="e">
        <f t="shared" si="115"/>
        <v>#N/A</v>
      </c>
      <c r="AT381" s="121" t="e">
        <f>IF('Cable Info'!P85="","",CONCATENATE('Cable Info'!P85," - ",'Cable Info'!Q85))</f>
        <v>#N/A</v>
      </c>
      <c r="AW381" s="121" t="e">
        <f t="shared" si="116"/>
        <v>#N/A</v>
      </c>
      <c r="AY381" s="121" t="str">
        <f>IF('Cable Info'!R85="","",CONCATENATE('Cable Info'!R85," - ",'Cable Info'!S85))</f>
        <v/>
      </c>
      <c r="BB381" s="121" t="str">
        <f t="shared" si="117"/>
        <v/>
      </c>
      <c r="BD381" s="121" t="str">
        <f>IF('Cable Info'!T85="","",CONCATENATE('Cable Info'!T85," - ",'Cable Info'!U85))</f>
        <v/>
      </c>
      <c r="BG381" s="121" t="str">
        <f t="shared" si="118"/>
        <v/>
      </c>
      <c r="BI381" s="121" t="str">
        <f>IF('Cable Info'!V85="","",CONCATENATE('Cable Info'!V85," - ",'Cable Info'!W85))</f>
        <v/>
      </c>
      <c r="BL381" s="121" t="str">
        <f t="shared" si="119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0"/>
        <v/>
      </c>
      <c r="Z382" s="254" t="str">
        <f t="shared" si="111"/>
        <v/>
      </c>
      <c r="AA382" s="254" t="str">
        <f t="shared" si="112"/>
        <v/>
      </c>
      <c r="AB382" s="254" t="str">
        <f t="shared" si="113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4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15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16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17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18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19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0"/>
        <v/>
      </c>
      <c r="Z383" s="255" t="str">
        <f t="shared" si="111"/>
        <v/>
      </c>
      <c r="AA383" s="255" t="str">
        <f t="shared" si="112"/>
        <v/>
      </c>
      <c r="AB383" s="255" t="str">
        <f t="shared" si="113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4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15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16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17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18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19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4"/>
        <v>#N/A</v>
      </c>
      <c r="AO384" s="121" t="e">
        <f>IF('Cable Info'!N88="","",CONCATENATE('Cable Info'!N88," - ",'Cable Info'!O88))</f>
        <v>#N/A</v>
      </c>
      <c r="AR384" s="121" t="e">
        <f t="shared" si="115"/>
        <v>#N/A</v>
      </c>
      <c r="AT384" s="121" t="e">
        <f>IF('Cable Info'!P88="","",CONCATENATE('Cable Info'!P88," - ",'Cable Info'!Q88))</f>
        <v>#N/A</v>
      </c>
      <c r="AW384" s="121" t="e">
        <f t="shared" si="116"/>
        <v>#N/A</v>
      </c>
      <c r="AY384" s="121" t="str">
        <f>IF('Cable Info'!R88="","",CONCATENATE('Cable Info'!R88," - ",'Cable Info'!S88))</f>
        <v/>
      </c>
      <c r="BB384" s="121" t="str">
        <f t="shared" si="117"/>
        <v/>
      </c>
      <c r="BD384" s="121" t="str">
        <f>IF('Cable Info'!T88="","",CONCATENATE('Cable Info'!T88," - ",'Cable Info'!U88))</f>
        <v/>
      </c>
      <c r="BG384" s="121" t="str">
        <f t="shared" si="118"/>
        <v/>
      </c>
      <c r="BI384" s="121" t="str">
        <f>IF('Cable Info'!V88="","",CONCATENATE('Cable Info'!V88," - ",'Cable Info'!W88))</f>
        <v/>
      </c>
      <c r="BL384" s="121" t="str">
        <f t="shared" si="119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4"/>
        <v>#N/A</v>
      </c>
      <c r="AO385" s="121" t="e">
        <f>IF('Cable Info'!N89="","",CONCATENATE('Cable Info'!N89," - ",'Cable Info'!O89))</f>
        <v>#N/A</v>
      </c>
      <c r="AR385" s="121" t="e">
        <f t="shared" si="115"/>
        <v>#N/A</v>
      </c>
      <c r="AT385" s="121" t="e">
        <f>IF('Cable Info'!P89="","",CONCATENATE('Cable Info'!P89," - ",'Cable Info'!Q89))</f>
        <v>#N/A</v>
      </c>
      <c r="AW385" s="121" t="e">
        <f t="shared" si="116"/>
        <v>#N/A</v>
      </c>
      <c r="AY385" s="121" t="str">
        <f>IF('Cable Info'!R89="","",CONCATENATE('Cable Info'!R89," - ",'Cable Info'!S89))</f>
        <v/>
      </c>
      <c r="BB385" s="121" t="str">
        <f t="shared" si="117"/>
        <v/>
      </c>
      <c r="BD385" s="121" t="str">
        <f>IF('Cable Info'!T89="","",CONCATENATE('Cable Info'!T89," - ",'Cable Info'!U89))</f>
        <v/>
      </c>
      <c r="BG385" s="121" t="str">
        <f t="shared" si="118"/>
        <v/>
      </c>
      <c r="BI385" s="121" t="str">
        <f>IF('Cable Info'!V89="","",CONCATENATE('Cable Info'!V89," - ",'Cable Info'!W89))</f>
        <v/>
      </c>
      <c r="BL385" s="121" t="str">
        <f t="shared" si="119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4"/>
        <v>#N/A</v>
      </c>
      <c r="AO386" s="121" t="e">
        <f>IF('Cable Info'!N90="","",CONCATENATE('Cable Info'!N90," - ",'Cable Info'!O90))</f>
        <v>#N/A</v>
      </c>
      <c r="AR386" s="121" t="e">
        <f t="shared" si="115"/>
        <v>#N/A</v>
      </c>
      <c r="AT386" s="121" t="e">
        <f>IF('Cable Info'!P90="","",CONCATENATE('Cable Info'!P90," - ",'Cable Info'!Q90))</f>
        <v>#N/A</v>
      </c>
      <c r="AW386" s="121" t="e">
        <f t="shared" si="116"/>
        <v>#N/A</v>
      </c>
      <c r="AY386" s="121" t="str">
        <f>IF('Cable Info'!R90="","",CONCATENATE('Cable Info'!R90," - ",'Cable Info'!S90))</f>
        <v/>
      </c>
      <c r="BB386" s="121" t="str">
        <f t="shared" si="117"/>
        <v/>
      </c>
      <c r="BD386" s="121" t="str">
        <f>IF('Cable Info'!T90="","",CONCATENATE('Cable Info'!T90," - ",'Cable Info'!U90))</f>
        <v/>
      </c>
      <c r="BG386" s="121" t="str">
        <f t="shared" si="118"/>
        <v/>
      </c>
      <c r="BI386" s="121" t="str">
        <f>IF('Cable Info'!V90="","",CONCATENATE('Cable Info'!V90," - ",'Cable Info'!W90))</f>
        <v/>
      </c>
      <c r="BL386" s="121" t="str">
        <f t="shared" si="119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4"/>
        <v>#N/A</v>
      </c>
      <c r="AO387" s="121" t="e">
        <f>IF('Cable Info'!N91="","",CONCATENATE('Cable Info'!N91," - ",'Cable Info'!O91))</f>
        <v>#N/A</v>
      </c>
      <c r="AR387" s="121" t="e">
        <f t="shared" si="115"/>
        <v>#N/A</v>
      </c>
      <c r="AT387" s="121" t="e">
        <f>IF('Cable Info'!P91="","",CONCATENATE('Cable Info'!P91," - ",'Cable Info'!Q91))</f>
        <v>#N/A</v>
      </c>
      <c r="AW387" s="121" t="e">
        <f t="shared" si="116"/>
        <v>#N/A</v>
      </c>
      <c r="AY387" s="121" t="str">
        <f>IF('Cable Info'!R91="","",CONCATENATE('Cable Info'!R91," - ",'Cable Info'!S91))</f>
        <v/>
      </c>
      <c r="BB387" s="121" t="str">
        <f t="shared" si="117"/>
        <v/>
      </c>
      <c r="BD387" s="121" t="str">
        <f>IF('Cable Info'!T91="","",CONCATENATE('Cable Info'!T91," - ",'Cable Info'!U91))</f>
        <v/>
      </c>
      <c r="BG387" s="121" t="str">
        <f t="shared" si="118"/>
        <v/>
      </c>
      <c r="BI387" s="121" t="str">
        <f>IF('Cable Info'!V91="","",CONCATENATE('Cable Info'!V91," - ",'Cable Info'!W91))</f>
        <v/>
      </c>
      <c r="BL387" s="121" t="str">
        <f t="shared" si="119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4"/>
        <v>#N/A</v>
      </c>
      <c r="AO388" s="121" t="e">
        <f>IF('Cable Info'!N92="","",CONCATENATE('Cable Info'!N92," - ",'Cable Info'!O92))</f>
        <v>#N/A</v>
      </c>
      <c r="AR388" s="121" t="e">
        <f t="shared" si="115"/>
        <v>#N/A</v>
      </c>
      <c r="AT388" s="121" t="e">
        <f>IF('Cable Info'!P92="","",CONCATENATE('Cable Info'!P92," - ",'Cable Info'!Q92))</f>
        <v>#N/A</v>
      </c>
      <c r="AW388" s="121" t="e">
        <f t="shared" si="116"/>
        <v>#N/A</v>
      </c>
      <c r="AY388" s="121" t="str">
        <f>IF('Cable Info'!R92="","",CONCATENATE('Cable Info'!R92," - ",'Cable Info'!S92))</f>
        <v/>
      </c>
      <c r="BB388" s="121" t="str">
        <f t="shared" si="117"/>
        <v/>
      </c>
      <c r="BD388" s="121" t="str">
        <f>IF('Cable Info'!T92="","",CONCATENATE('Cable Info'!T92," - ",'Cable Info'!U92))</f>
        <v/>
      </c>
      <c r="BG388" s="121" t="str">
        <f t="shared" si="118"/>
        <v/>
      </c>
      <c r="BI388" s="121" t="str">
        <f>IF('Cable Info'!V92="","",CONCATENATE('Cable Info'!V92," - ",'Cable Info'!W92))</f>
        <v/>
      </c>
      <c r="BL388" s="121" t="str">
        <f t="shared" si="119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4"/>
        <v>#N/A</v>
      </c>
      <c r="AO389" s="121" t="e">
        <f>IF('Cable Info'!N93="","",CONCATENATE('Cable Info'!N93," - ",'Cable Info'!O93))</f>
        <v>#N/A</v>
      </c>
      <c r="AR389" s="121" t="e">
        <f t="shared" si="115"/>
        <v>#N/A</v>
      </c>
      <c r="AT389" s="121" t="e">
        <f>IF('Cable Info'!P93="","",CONCATENATE('Cable Info'!P93," - ",'Cable Info'!Q93))</f>
        <v>#N/A</v>
      </c>
      <c r="AW389" s="121" t="e">
        <f t="shared" si="116"/>
        <v>#N/A</v>
      </c>
      <c r="AY389" s="121" t="str">
        <f>IF('Cable Info'!R93="","",CONCATENATE('Cable Info'!R93," - ",'Cable Info'!S93))</f>
        <v/>
      </c>
      <c r="BB389" s="121" t="str">
        <f t="shared" si="117"/>
        <v/>
      </c>
      <c r="BD389" s="121" t="str">
        <f>IF('Cable Info'!T93="","",CONCATENATE('Cable Info'!T93," - ",'Cable Info'!U93))</f>
        <v/>
      </c>
      <c r="BG389" s="121" t="str">
        <f t="shared" si="118"/>
        <v/>
      </c>
      <c r="BI389" s="121" t="str">
        <f>IF('Cable Info'!V93="","",CONCATENATE('Cable Info'!V93," - ",'Cable Info'!W93))</f>
        <v/>
      </c>
      <c r="BL389" s="121" t="str">
        <f t="shared" si="119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4"/>
        <v>#N/A</v>
      </c>
      <c r="AO390" s="121" t="e">
        <f>IF('Cable Info'!N94="","",CONCATENATE('Cable Info'!N94," - ",'Cable Info'!O94))</f>
        <v>#N/A</v>
      </c>
      <c r="AR390" s="121" t="e">
        <f t="shared" si="115"/>
        <v>#N/A</v>
      </c>
      <c r="AT390" s="121" t="e">
        <f>IF('Cable Info'!P94="","",CONCATENATE('Cable Info'!P94," - ",'Cable Info'!Q94))</f>
        <v>#N/A</v>
      </c>
      <c r="AW390" s="121" t="e">
        <f t="shared" si="116"/>
        <v>#N/A</v>
      </c>
      <c r="AY390" s="121" t="str">
        <f>IF('Cable Info'!R94="","",CONCATENATE('Cable Info'!R94," - ",'Cable Info'!S94))</f>
        <v/>
      </c>
      <c r="BB390" s="121" t="str">
        <f t="shared" si="117"/>
        <v/>
      </c>
      <c r="BD390" s="121" t="str">
        <f>IF('Cable Info'!T94="","",CONCATENATE('Cable Info'!T94," - ",'Cable Info'!U94))</f>
        <v/>
      </c>
      <c r="BG390" s="121" t="str">
        <f t="shared" si="118"/>
        <v/>
      </c>
      <c r="BI390" s="121" t="str">
        <f>IF('Cable Info'!V94="","",CONCATENATE('Cable Info'!V94," - ",'Cable Info'!W94))</f>
        <v/>
      </c>
      <c r="BL390" s="121" t="str">
        <f t="shared" si="119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4"/>
        <v>#N/A</v>
      </c>
      <c r="AO391" s="121" t="e">
        <f>IF('Cable Info'!N95="","",CONCATENATE('Cable Info'!N95," - ",'Cable Info'!O95))</f>
        <v>#N/A</v>
      </c>
      <c r="AR391" s="121" t="e">
        <f t="shared" si="115"/>
        <v>#N/A</v>
      </c>
      <c r="AT391" s="121" t="e">
        <f>IF('Cable Info'!P95="","",CONCATENATE('Cable Info'!P95," - ",'Cable Info'!Q95))</f>
        <v>#N/A</v>
      </c>
      <c r="AW391" s="121" t="e">
        <f t="shared" si="116"/>
        <v>#N/A</v>
      </c>
      <c r="AY391" s="121" t="str">
        <f>IF('Cable Info'!R95="","",CONCATENATE('Cable Info'!R95," - ",'Cable Info'!S95))</f>
        <v/>
      </c>
      <c r="BB391" s="121" t="str">
        <f t="shared" si="117"/>
        <v/>
      </c>
      <c r="BD391" s="121" t="str">
        <f>IF('Cable Info'!T95="","",CONCATENATE('Cable Info'!T95," - ",'Cable Info'!U95))</f>
        <v/>
      </c>
      <c r="BG391" s="121" t="str">
        <f t="shared" si="118"/>
        <v/>
      </c>
      <c r="BI391" s="121" t="str">
        <f>IF('Cable Info'!V95="","",CONCATENATE('Cable Info'!V95," - ",'Cable Info'!W95))</f>
        <v/>
      </c>
      <c r="BL391" s="121" t="str">
        <f t="shared" si="119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4"/>
        <v>#N/A</v>
      </c>
      <c r="AO392" s="121" t="e">
        <f>IF('Cable Info'!N96="","",CONCATENATE('Cable Info'!N96," - ",'Cable Info'!O96))</f>
        <v>#N/A</v>
      </c>
      <c r="AR392" s="121" t="e">
        <f t="shared" si="115"/>
        <v>#N/A</v>
      </c>
      <c r="AT392" s="121" t="e">
        <f>IF('Cable Info'!P96="","",CONCATENATE('Cable Info'!P96," - ",'Cable Info'!Q96))</f>
        <v>#N/A</v>
      </c>
      <c r="AW392" s="121" t="e">
        <f t="shared" si="116"/>
        <v>#N/A</v>
      </c>
      <c r="AY392" s="121" t="str">
        <f>IF('Cable Info'!R96="","",CONCATENATE('Cable Info'!R96," - ",'Cable Info'!S96))</f>
        <v/>
      </c>
      <c r="BB392" s="121" t="str">
        <f t="shared" si="117"/>
        <v/>
      </c>
      <c r="BD392" s="121" t="str">
        <f>IF('Cable Info'!T96="","",CONCATENATE('Cable Info'!T96," - ",'Cable Info'!U96))</f>
        <v/>
      </c>
      <c r="BG392" s="121" t="str">
        <f t="shared" si="118"/>
        <v/>
      </c>
      <c r="BI392" s="121" t="str">
        <f>IF('Cable Info'!V96="","",CONCATENATE('Cable Info'!V96," - ",'Cable Info'!W96))</f>
        <v/>
      </c>
      <c r="BL392" s="121" t="str">
        <f t="shared" si="119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4"/>
        <v>#N/A</v>
      </c>
      <c r="AO393" s="121" t="e">
        <f>IF('Cable Info'!N97="","",CONCATENATE('Cable Info'!N97," - ",'Cable Info'!O97))</f>
        <v>#N/A</v>
      </c>
      <c r="AR393" s="121" t="e">
        <f t="shared" si="115"/>
        <v>#N/A</v>
      </c>
      <c r="AT393" s="121" t="e">
        <f>IF('Cable Info'!P97="","",CONCATENATE('Cable Info'!P97," - ",'Cable Info'!Q97))</f>
        <v>#N/A</v>
      </c>
      <c r="AW393" s="121" t="e">
        <f t="shared" si="116"/>
        <v>#N/A</v>
      </c>
      <c r="AY393" s="121" t="str">
        <f>IF('Cable Info'!R97="","",CONCATENATE('Cable Info'!R97," - ",'Cable Info'!S97))</f>
        <v/>
      </c>
      <c r="BB393" s="121" t="str">
        <f t="shared" si="117"/>
        <v/>
      </c>
      <c r="BD393" s="121" t="str">
        <f>IF('Cable Info'!T97="","",CONCATENATE('Cable Info'!T97," - ",'Cable Info'!U97))</f>
        <v/>
      </c>
      <c r="BG393" s="121" t="str">
        <f t="shared" si="118"/>
        <v/>
      </c>
      <c r="BI393" s="121" t="str">
        <f>IF('Cable Info'!V97="","",CONCATENATE('Cable Info'!V97," - ",'Cable Info'!W97))</f>
        <v/>
      </c>
      <c r="BL393" s="121" t="str">
        <f t="shared" si="119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4"/>
        <v>#N/A</v>
      </c>
      <c r="AO394" s="121" t="e">
        <f>IF('Cable Info'!N98="","",CONCATENATE('Cable Info'!N98," - ",'Cable Info'!O98))</f>
        <v>#N/A</v>
      </c>
      <c r="AR394" s="121" t="e">
        <f t="shared" si="115"/>
        <v>#N/A</v>
      </c>
      <c r="AT394" s="121" t="e">
        <f>IF('Cable Info'!P98="","",CONCATENATE('Cable Info'!P98," - ",'Cable Info'!Q98))</f>
        <v>#N/A</v>
      </c>
      <c r="AW394" s="121" t="e">
        <f t="shared" si="116"/>
        <v>#N/A</v>
      </c>
      <c r="AY394" s="121" t="str">
        <f>IF('Cable Info'!R98="","",CONCATENATE('Cable Info'!R98," - ",'Cable Info'!S98))</f>
        <v/>
      </c>
      <c r="BB394" s="121" t="str">
        <f t="shared" si="117"/>
        <v/>
      </c>
      <c r="BD394" s="121" t="str">
        <f>IF('Cable Info'!T98="","",CONCATENATE('Cable Info'!T98," - ",'Cable Info'!U98))</f>
        <v/>
      </c>
      <c r="BG394" s="121" t="str">
        <f t="shared" si="118"/>
        <v/>
      </c>
      <c r="BI394" s="121" t="str">
        <f>IF('Cable Info'!V98="","",CONCATENATE('Cable Info'!V98," - ",'Cable Info'!W98))</f>
        <v/>
      </c>
      <c r="BL394" s="121" t="str">
        <f t="shared" si="119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4"/>
        <v>#N/A</v>
      </c>
      <c r="AO395" s="121" t="e">
        <f>IF('Cable Info'!N99="","",CONCATENATE('Cable Info'!N99," - ",'Cable Info'!O99))</f>
        <v>#N/A</v>
      </c>
      <c r="AR395" s="121" t="e">
        <f t="shared" si="115"/>
        <v>#N/A</v>
      </c>
      <c r="AT395" s="121" t="e">
        <f>IF('Cable Info'!P99="","",CONCATENATE('Cable Info'!P99," - ",'Cable Info'!Q99))</f>
        <v>#N/A</v>
      </c>
      <c r="AW395" s="121" t="e">
        <f t="shared" si="116"/>
        <v>#N/A</v>
      </c>
      <c r="AY395" s="121" t="str">
        <f>IF('Cable Info'!R99="","",CONCATENATE('Cable Info'!R99," - ",'Cable Info'!S99))</f>
        <v/>
      </c>
      <c r="BB395" s="121" t="str">
        <f t="shared" si="117"/>
        <v/>
      </c>
      <c r="BD395" s="121" t="str">
        <f>IF('Cable Info'!T99="","",CONCATENATE('Cable Info'!T99," - ",'Cable Info'!U99))</f>
        <v/>
      </c>
      <c r="BG395" s="121" t="str">
        <f t="shared" si="118"/>
        <v/>
      </c>
      <c r="BI395" s="121" t="str">
        <f>IF('Cable Info'!V99="","",CONCATENATE('Cable Info'!V99," - ",'Cable Info'!W99))</f>
        <v/>
      </c>
      <c r="BL395" s="121" t="str">
        <f t="shared" si="119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4"/>
        <v>#N/A</v>
      </c>
      <c r="AO396" s="121" t="e">
        <f>IF('Cable Info'!N100="","",CONCATENATE('Cable Info'!N100," - ",'Cable Info'!O100))</f>
        <v>#N/A</v>
      </c>
      <c r="AR396" s="121" t="e">
        <f t="shared" si="115"/>
        <v>#N/A</v>
      </c>
      <c r="AT396" s="121" t="e">
        <f>IF('Cable Info'!P100="","",CONCATENATE('Cable Info'!P100," - ",'Cable Info'!Q100))</f>
        <v>#N/A</v>
      </c>
      <c r="AW396" s="121" t="e">
        <f t="shared" si="116"/>
        <v>#N/A</v>
      </c>
      <c r="AY396" s="121" t="str">
        <f>IF('Cable Info'!R100="","",CONCATENATE('Cable Info'!R100," - ",'Cable Info'!S100))</f>
        <v/>
      </c>
      <c r="BB396" s="121" t="str">
        <f t="shared" si="117"/>
        <v/>
      </c>
      <c r="BD396" s="121" t="str">
        <f>IF('Cable Info'!T100="","",CONCATENATE('Cable Info'!T100," - ",'Cable Info'!U100))</f>
        <v/>
      </c>
      <c r="BG396" s="121" t="str">
        <f t="shared" si="118"/>
        <v/>
      </c>
      <c r="BI396" s="121" t="str">
        <f>IF('Cable Info'!V100="","",CONCATENATE('Cable Info'!V100," - ",'Cable Info'!W100))</f>
        <v/>
      </c>
      <c r="BL396" s="121" t="str">
        <f t="shared" si="119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4"/>
        <v>#N/A</v>
      </c>
      <c r="AO397" s="121" t="e">
        <f>IF('Cable Info'!N101="","",CONCATENATE('Cable Info'!N101," - ",'Cable Info'!O101))</f>
        <v>#N/A</v>
      </c>
      <c r="AR397" s="121" t="e">
        <f t="shared" si="115"/>
        <v>#N/A</v>
      </c>
      <c r="AT397" s="121" t="e">
        <f>IF('Cable Info'!P101="","",CONCATENATE('Cable Info'!P101," - ",'Cable Info'!Q101))</f>
        <v>#N/A</v>
      </c>
      <c r="AW397" s="121" t="e">
        <f t="shared" si="116"/>
        <v>#N/A</v>
      </c>
      <c r="AY397" s="121" t="str">
        <f>IF('Cable Info'!R101="","",CONCATENATE('Cable Info'!R101," - ",'Cable Info'!S101))</f>
        <v/>
      </c>
      <c r="BB397" s="121" t="str">
        <f t="shared" si="117"/>
        <v/>
      </c>
      <c r="BD397" s="121" t="str">
        <f>IF('Cable Info'!T101="","",CONCATENATE('Cable Info'!T101," - ",'Cable Info'!U101))</f>
        <v/>
      </c>
      <c r="BG397" s="121" t="str">
        <f t="shared" si="118"/>
        <v/>
      </c>
      <c r="BI397" s="121" t="str">
        <f>IF('Cable Info'!V101="","",CONCATENATE('Cable Info'!V101," - ",'Cable Info'!W101))</f>
        <v/>
      </c>
      <c r="BL397" s="121" t="str">
        <f t="shared" si="119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4"/>
        <v>#N/A</v>
      </c>
      <c r="AO398" s="121" t="e">
        <f>IF('Cable Info'!N102="","",CONCATENATE('Cable Info'!N102," - ",'Cable Info'!O102))</f>
        <v>#N/A</v>
      </c>
      <c r="AR398" s="121" t="e">
        <f t="shared" si="115"/>
        <v>#N/A</v>
      </c>
      <c r="AT398" s="121" t="e">
        <f>IF('Cable Info'!P102="","",CONCATENATE('Cable Info'!P102," - ",'Cable Info'!Q102))</f>
        <v>#N/A</v>
      </c>
      <c r="AW398" s="121" t="e">
        <f t="shared" si="116"/>
        <v>#N/A</v>
      </c>
      <c r="AY398" s="121" t="str">
        <f>IF('Cable Info'!R102="","",CONCATENATE('Cable Info'!R102," - ",'Cable Info'!S102))</f>
        <v/>
      </c>
      <c r="BB398" s="121" t="str">
        <f t="shared" si="117"/>
        <v/>
      </c>
      <c r="BD398" s="121" t="str">
        <f>IF('Cable Info'!T102="","",CONCATENATE('Cable Info'!T102," - ",'Cable Info'!U102))</f>
        <v/>
      </c>
      <c r="BG398" s="121" t="str">
        <f t="shared" si="118"/>
        <v/>
      </c>
      <c r="BI398" s="121" t="str">
        <f>IF('Cable Info'!V102="","",CONCATENATE('Cable Info'!V102," - ",'Cable Info'!W102))</f>
        <v/>
      </c>
      <c r="BL398" s="121" t="str">
        <f t="shared" si="119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4"/>
        <v>#N/A</v>
      </c>
      <c r="AO399" s="121" t="e">
        <f>IF('Cable Info'!N103="","",CONCATENATE('Cable Info'!N103," - ",'Cable Info'!O103))</f>
        <v>#N/A</v>
      </c>
      <c r="AR399" s="121" t="e">
        <f t="shared" si="115"/>
        <v>#N/A</v>
      </c>
      <c r="AT399" s="121" t="e">
        <f>IF('Cable Info'!P103="","",CONCATENATE('Cable Info'!P103," - ",'Cable Info'!Q103))</f>
        <v>#N/A</v>
      </c>
      <c r="AW399" s="121" t="e">
        <f t="shared" si="116"/>
        <v>#N/A</v>
      </c>
      <c r="AY399" s="121" t="str">
        <f>IF('Cable Info'!R103="","",CONCATENATE('Cable Info'!R103," - ",'Cable Info'!S103))</f>
        <v/>
      </c>
      <c r="BB399" s="121" t="str">
        <f t="shared" si="117"/>
        <v/>
      </c>
      <c r="BD399" s="121" t="str">
        <f>IF('Cable Info'!T103="","",CONCATENATE('Cable Info'!T103," - ",'Cable Info'!U103))</f>
        <v/>
      </c>
      <c r="BG399" s="121" t="str">
        <f t="shared" si="118"/>
        <v/>
      </c>
      <c r="BI399" s="121" t="str">
        <f>IF('Cable Info'!V103="","",CONCATENATE('Cable Info'!V103," - ",'Cable Info'!W103))</f>
        <v/>
      </c>
      <c r="BL399" s="121" t="str">
        <f t="shared" si="119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4"/>
        <v>#N/A</v>
      </c>
      <c r="AO400" s="121" t="e">
        <f>IF('Cable Info'!N104="","",CONCATENATE('Cable Info'!N104," - ",'Cable Info'!O104))</f>
        <v>#N/A</v>
      </c>
      <c r="AR400" s="121" t="e">
        <f t="shared" si="115"/>
        <v>#N/A</v>
      </c>
      <c r="AT400" s="121" t="e">
        <f>IF('Cable Info'!P104="","",CONCATENATE('Cable Info'!P104," - ",'Cable Info'!Q104))</f>
        <v>#N/A</v>
      </c>
      <c r="AW400" s="121" t="e">
        <f t="shared" si="116"/>
        <v>#N/A</v>
      </c>
      <c r="AY400" s="121" t="str">
        <f>IF('Cable Info'!R104="","",CONCATENATE('Cable Info'!R104," - ",'Cable Info'!S104))</f>
        <v/>
      </c>
      <c r="BB400" s="121" t="str">
        <f t="shared" si="117"/>
        <v/>
      </c>
      <c r="BD400" s="121" t="str">
        <f>IF('Cable Info'!T104="","",CONCATENATE('Cable Info'!T104," - ",'Cable Info'!U104))</f>
        <v/>
      </c>
      <c r="BG400" s="121" t="str">
        <f t="shared" si="118"/>
        <v/>
      </c>
      <c r="BI400" s="121" t="str">
        <f>IF('Cable Info'!V104="","",CONCATENATE('Cable Info'!V104," - ",'Cable Info'!W104))</f>
        <v/>
      </c>
      <c r="BL400" s="121" t="str">
        <f t="shared" si="119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4"/>
        <v>#N/A</v>
      </c>
      <c r="AO401" s="121" t="e">
        <f>IF('Cable Info'!N105="","",CONCATENATE('Cable Info'!N105," - ",'Cable Info'!O105))</f>
        <v>#N/A</v>
      </c>
      <c r="AR401" s="121" t="e">
        <f t="shared" si="115"/>
        <v>#N/A</v>
      </c>
      <c r="AT401" s="121" t="e">
        <f>IF('Cable Info'!P105="","",CONCATENATE('Cable Info'!P105," - ",'Cable Info'!Q105))</f>
        <v>#N/A</v>
      </c>
      <c r="AW401" s="121" t="e">
        <f t="shared" si="116"/>
        <v>#N/A</v>
      </c>
      <c r="AY401" s="121" t="str">
        <f>IF('Cable Info'!R105="","",CONCATENATE('Cable Info'!R105," - ",'Cable Info'!S105))</f>
        <v/>
      </c>
      <c r="BB401" s="121" t="str">
        <f t="shared" si="117"/>
        <v/>
      </c>
      <c r="BD401" s="121" t="str">
        <f>IF('Cable Info'!T105="","",CONCATENATE('Cable Info'!T105," - ",'Cable Info'!U105))</f>
        <v/>
      </c>
      <c r="BG401" s="121" t="str">
        <f t="shared" si="118"/>
        <v/>
      </c>
      <c r="BI401" s="121" t="str">
        <f>IF('Cable Info'!V105="","",CONCATENATE('Cable Info'!V105," - ",'Cable Info'!W105))</f>
        <v/>
      </c>
      <c r="BL401" s="121" t="str">
        <f t="shared" si="119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4"/>
        <v>#N/A</v>
      </c>
      <c r="AO402" s="121" t="e">
        <f>IF('Cable Info'!N106="","",CONCATENATE('Cable Info'!N106," - ",'Cable Info'!O106))</f>
        <v>#N/A</v>
      </c>
      <c r="AR402" s="121" t="e">
        <f t="shared" si="115"/>
        <v>#N/A</v>
      </c>
      <c r="AT402" s="121" t="e">
        <f>IF('Cable Info'!P106="","",CONCATENATE('Cable Info'!P106," - ",'Cable Info'!Q106))</f>
        <v>#N/A</v>
      </c>
      <c r="AW402" s="121" t="e">
        <f t="shared" si="116"/>
        <v>#N/A</v>
      </c>
      <c r="AY402" s="121" t="str">
        <f>IF('Cable Info'!R106="","",CONCATENATE('Cable Info'!R106," - ",'Cable Info'!S106))</f>
        <v/>
      </c>
      <c r="BB402" s="121" t="str">
        <f t="shared" si="117"/>
        <v/>
      </c>
      <c r="BD402" s="121" t="str">
        <f>IF('Cable Info'!T106="","",CONCATENATE('Cable Info'!T106," - ",'Cable Info'!U106))</f>
        <v/>
      </c>
      <c r="BG402" s="121" t="str">
        <f t="shared" si="118"/>
        <v/>
      </c>
      <c r="BI402" s="121" t="str">
        <f>IF('Cable Info'!V106="","",CONCATENATE('Cable Info'!V106," - ",'Cable Info'!W106))</f>
        <v/>
      </c>
      <c r="BL402" s="121" t="str">
        <f t="shared" si="119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4"/>
        <v>#N/A</v>
      </c>
      <c r="AO403" s="121" t="e">
        <f>IF('Cable Info'!N107="","",CONCATENATE('Cable Info'!N107," - ",'Cable Info'!O107))</f>
        <v>#N/A</v>
      </c>
      <c r="AR403" s="121" t="e">
        <f t="shared" si="115"/>
        <v>#N/A</v>
      </c>
      <c r="AT403" s="121" t="e">
        <f>IF('Cable Info'!P107="","",CONCATENATE('Cable Info'!P107," - ",'Cable Info'!Q107))</f>
        <v>#N/A</v>
      </c>
      <c r="AW403" s="121" t="e">
        <f t="shared" si="116"/>
        <v>#N/A</v>
      </c>
      <c r="AY403" s="121" t="str">
        <f>IF('Cable Info'!R107="","",CONCATENATE('Cable Info'!R107," - ",'Cable Info'!S107))</f>
        <v/>
      </c>
      <c r="BB403" s="121" t="str">
        <f t="shared" si="117"/>
        <v/>
      </c>
      <c r="BD403" s="121" t="str">
        <f>IF('Cable Info'!T107="","",CONCATENATE('Cable Info'!T107," - ",'Cable Info'!U107))</f>
        <v/>
      </c>
      <c r="BG403" s="121" t="str">
        <f t="shared" si="118"/>
        <v/>
      </c>
      <c r="BI403" s="121" t="str">
        <f>IF('Cable Info'!V107="","",CONCATENATE('Cable Info'!V107," - ",'Cable Info'!W107))</f>
        <v/>
      </c>
      <c r="BL403" s="121" t="str">
        <f t="shared" si="119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4"/>
        <v>#N/A</v>
      </c>
      <c r="AO404" s="121" t="e">
        <f>IF('Cable Info'!N108="","",CONCATENATE('Cable Info'!N108," - ",'Cable Info'!O108))</f>
        <v>#N/A</v>
      </c>
      <c r="AR404" s="121" t="e">
        <f t="shared" si="115"/>
        <v>#N/A</v>
      </c>
      <c r="AT404" s="121" t="e">
        <f>IF('Cable Info'!P108="","",CONCATENATE('Cable Info'!P108," - ",'Cable Info'!Q108))</f>
        <v>#N/A</v>
      </c>
      <c r="AW404" s="121" t="e">
        <f t="shared" si="116"/>
        <v>#N/A</v>
      </c>
      <c r="AY404" s="121" t="str">
        <f>IF('Cable Info'!R108="","",CONCATENATE('Cable Info'!R108," - ",'Cable Info'!S108))</f>
        <v/>
      </c>
      <c r="BB404" s="121" t="str">
        <f t="shared" si="117"/>
        <v/>
      </c>
      <c r="BD404" s="121" t="str">
        <f>IF('Cable Info'!T108="","",CONCATENATE('Cable Info'!T108," - ",'Cable Info'!U108))</f>
        <v/>
      </c>
      <c r="BG404" s="121" t="str">
        <f t="shared" si="118"/>
        <v/>
      </c>
      <c r="BI404" s="121" t="str">
        <f>IF('Cable Info'!V108="","",CONCATENATE('Cable Info'!V108," - ",'Cable Info'!W108))</f>
        <v/>
      </c>
      <c r="BL404" s="121" t="str">
        <f t="shared" si="119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4"/>
        <v>#N/A</v>
      </c>
      <c r="AO405" s="121" t="e">
        <f>IF('Cable Info'!N109="","",CONCATENATE('Cable Info'!N109," - ",'Cable Info'!O109))</f>
        <v>#N/A</v>
      </c>
      <c r="AR405" s="121" t="e">
        <f t="shared" si="115"/>
        <v>#N/A</v>
      </c>
      <c r="AT405" s="121" t="e">
        <f>IF('Cable Info'!P109="","",CONCATENATE('Cable Info'!P109," - ",'Cable Info'!Q109))</f>
        <v>#N/A</v>
      </c>
      <c r="AW405" s="121" t="e">
        <f t="shared" si="116"/>
        <v>#N/A</v>
      </c>
      <c r="AY405" s="121" t="str">
        <f>IF('Cable Info'!R109="","",CONCATENATE('Cable Info'!R109," - ",'Cable Info'!S109))</f>
        <v/>
      </c>
      <c r="BB405" s="121" t="str">
        <f t="shared" si="117"/>
        <v/>
      </c>
      <c r="BD405" s="121" t="str">
        <f>IF('Cable Info'!T109="","",CONCATENATE('Cable Info'!T109," - ",'Cable Info'!U109))</f>
        <v/>
      </c>
      <c r="BG405" s="121" t="str">
        <f t="shared" si="118"/>
        <v/>
      </c>
      <c r="BI405" s="121" t="str">
        <f>IF('Cable Info'!V109="","",CONCATENATE('Cable Info'!V109," - ",'Cable Info'!W109))</f>
        <v/>
      </c>
      <c r="BL405" s="121" t="str">
        <f t="shared" si="119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4"/>
        <v>#N/A</v>
      </c>
      <c r="AO406" s="121" t="e">
        <f>IF('Cable Info'!N110="","",CONCATENATE('Cable Info'!N110," - ",'Cable Info'!O110))</f>
        <v>#N/A</v>
      </c>
      <c r="AR406" s="121" t="e">
        <f t="shared" si="115"/>
        <v>#N/A</v>
      </c>
      <c r="AT406" s="121" t="e">
        <f>IF('Cable Info'!P110="","",CONCATENATE('Cable Info'!P110," - ",'Cable Info'!Q110))</f>
        <v>#N/A</v>
      </c>
      <c r="AW406" s="121" t="e">
        <f t="shared" si="116"/>
        <v>#N/A</v>
      </c>
      <c r="AY406" s="121" t="str">
        <f>IF('Cable Info'!R110="","",CONCATENATE('Cable Info'!R110," - ",'Cable Info'!S110))</f>
        <v/>
      </c>
      <c r="BB406" s="121" t="str">
        <f t="shared" si="117"/>
        <v/>
      </c>
      <c r="BD406" s="121" t="str">
        <f>IF('Cable Info'!T110="","",CONCATENATE('Cable Info'!T110," - ",'Cable Info'!U110))</f>
        <v/>
      </c>
      <c r="BG406" s="121" t="str">
        <f t="shared" si="118"/>
        <v/>
      </c>
      <c r="BI406" s="121" t="str">
        <f>IF('Cable Info'!V110="","",CONCATENATE('Cable Info'!V110," - ",'Cable Info'!W110))</f>
        <v/>
      </c>
      <c r="BL406" s="121" t="str">
        <f t="shared" si="119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4"/>
        <v>#N/A</v>
      </c>
      <c r="AO407" s="121" t="e">
        <f>IF('Cable Info'!N111="","",CONCATENATE('Cable Info'!N111," - ",'Cable Info'!O111))</f>
        <v>#N/A</v>
      </c>
      <c r="AR407" s="121" t="e">
        <f t="shared" si="115"/>
        <v>#N/A</v>
      </c>
      <c r="AT407" s="121" t="e">
        <f>IF('Cable Info'!P111="","",CONCATENATE('Cable Info'!P111," - ",'Cable Info'!Q111))</f>
        <v>#N/A</v>
      </c>
      <c r="AW407" s="121" t="e">
        <f t="shared" si="116"/>
        <v>#N/A</v>
      </c>
      <c r="AY407" s="121" t="str">
        <f>IF('Cable Info'!R111="","",CONCATENATE('Cable Info'!R111," - ",'Cable Info'!S111))</f>
        <v/>
      </c>
      <c r="BB407" s="121" t="str">
        <f t="shared" si="117"/>
        <v/>
      </c>
      <c r="BD407" s="121" t="str">
        <f>IF('Cable Info'!T111="","",CONCATENATE('Cable Info'!T111," - ",'Cable Info'!U111))</f>
        <v/>
      </c>
      <c r="BG407" s="121" t="str">
        <f t="shared" si="118"/>
        <v/>
      </c>
      <c r="BI407" s="121" t="str">
        <f>IF('Cable Info'!V111="","",CONCATENATE('Cable Info'!V111," - ",'Cable Info'!W111))</f>
        <v/>
      </c>
      <c r="BL407" s="121" t="str">
        <f t="shared" si="119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4"/>
        <v>#N/A</v>
      </c>
      <c r="AO408" s="121" t="e">
        <f>IF('Cable Info'!N112="","",CONCATENATE('Cable Info'!N112," - ",'Cable Info'!O112))</f>
        <v>#N/A</v>
      </c>
      <c r="AR408" s="121" t="e">
        <f t="shared" si="115"/>
        <v>#N/A</v>
      </c>
      <c r="AT408" s="121" t="e">
        <f>IF('Cable Info'!P112="","",CONCATENATE('Cable Info'!P112," - ",'Cable Info'!Q112))</f>
        <v>#N/A</v>
      </c>
      <c r="AW408" s="121" t="e">
        <f t="shared" si="116"/>
        <v>#N/A</v>
      </c>
      <c r="AY408" s="121" t="str">
        <f>IF('Cable Info'!R112="","",CONCATENATE('Cable Info'!R112," - ",'Cable Info'!S112))</f>
        <v/>
      </c>
      <c r="BB408" s="121" t="str">
        <f t="shared" si="117"/>
        <v/>
      </c>
      <c r="BD408" s="121" t="str">
        <f>IF('Cable Info'!T112="","",CONCATENATE('Cable Info'!T112," - ",'Cable Info'!U112))</f>
        <v/>
      </c>
      <c r="BG408" s="121" t="str">
        <f t="shared" si="118"/>
        <v/>
      </c>
      <c r="BI408" s="121" t="str">
        <f>IF('Cable Info'!V112="","",CONCATENATE('Cable Info'!V112," - ",'Cable Info'!W112))</f>
        <v/>
      </c>
      <c r="BL408" s="121" t="str">
        <f t="shared" si="119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4"/>
        <v>#N/A</v>
      </c>
      <c r="AO409" s="121" t="e">
        <f>IF('Cable Info'!N113="","",CONCATENATE('Cable Info'!N113," - ",'Cable Info'!O113))</f>
        <v>#N/A</v>
      </c>
      <c r="AR409" s="121" t="e">
        <f t="shared" si="115"/>
        <v>#N/A</v>
      </c>
      <c r="AT409" s="121" t="e">
        <f>IF('Cable Info'!P113="","",CONCATENATE('Cable Info'!P113," - ",'Cable Info'!Q113))</f>
        <v>#N/A</v>
      </c>
      <c r="AW409" s="121" t="e">
        <f t="shared" si="116"/>
        <v>#N/A</v>
      </c>
      <c r="AY409" s="121" t="str">
        <f>IF('Cable Info'!R113="","",CONCATENATE('Cable Info'!R113," - ",'Cable Info'!S113))</f>
        <v/>
      </c>
      <c r="BB409" s="121" t="str">
        <f t="shared" si="117"/>
        <v/>
      </c>
      <c r="BD409" s="121" t="str">
        <f>IF('Cable Info'!T113="","",CONCATENATE('Cable Info'!T113," - ",'Cable Info'!U113))</f>
        <v/>
      </c>
      <c r="BG409" s="121" t="str">
        <f t="shared" si="118"/>
        <v/>
      </c>
      <c r="BI409" s="121" t="str">
        <f>IF('Cable Info'!V113="","",CONCATENATE('Cable Info'!V113," - ",'Cable Info'!W113))</f>
        <v/>
      </c>
      <c r="BL409" s="121" t="str">
        <f t="shared" si="119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4"/>
        <v>#N/A</v>
      </c>
      <c r="AO410" s="121" t="e">
        <f>IF('Cable Info'!N114="","",CONCATENATE('Cable Info'!N114," - ",'Cable Info'!O114))</f>
        <v>#N/A</v>
      </c>
      <c r="AR410" s="121" t="e">
        <f t="shared" si="115"/>
        <v>#N/A</v>
      </c>
      <c r="AT410" s="121" t="e">
        <f>IF('Cable Info'!P114="","",CONCATENATE('Cable Info'!P114," - ",'Cable Info'!Q114))</f>
        <v>#N/A</v>
      </c>
      <c r="AW410" s="121" t="e">
        <f t="shared" si="116"/>
        <v>#N/A</v>
      </c>
      <c r="AY410" s="121" t="str">
        <f>IF('Cable Info'!R114="","",CONCATENATE('Cable Info'!R114," - ",'Cable Info'!S114))</f>
        <v/>
      </c>
      <c r="BB410" s="121" t="str">
        <f t="shared" si="117"/>
        <v/>
      </c>
      <c r="BD410" s="121" t="str">
        <f>IF('Cable Info'!T114="","",CONCATENATE('Cable Info'!T114," - ",'Cable Info'!U114))</f>
        <v/>
      </c>
      <c r="BG410" s="121" t="str">
        <f t="shared" si="118"/>
        <v/>
      </c>
      <c r="BI410" s="121" t="str">
        <f>IF('Cable Info'!V114="","",CONCATENATE('Cable Info'!V114," - ",'Cable Info'!W114))</f>
        <v/>
      </c>
      <c r="BL410" s="121" t="str">
        <f t="shared" si="119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4"/>
        <v>#N/A</v>
      </c>
      <c r="AO411" s="121" t="e">
        <f>IF('Cable Info'!N115="","",CONCATENATE('Cable Info'!N115," - ",'Cable Info'!O115))</f>
        <v>#N/A</v>
      </c>
      <c r="AR411" s="121" t="e">
        <f t="shared" si="115"/>
        <v>#N/A</v>
      </c>
      <c r="AT411" s="121" t="e">
        <f>IF('Cable Info'!P115="","",CONCATENATE('Cable Info'!P115," - ",'Cable Info'!Q115))</f>
        <v>#N/A</v>
      </c>
      <c r="AW411" s="121" t="e">
        <f t="shared" si="116"/>
        <v>#N/A</v>
      </c>
      <c r="AY411" s="121" t="str">
        <f>IF('Cable Info'!R115="","",CONCATENATE('Cable Info'!R115," - ",'Cable Info'!S115))</f>
        <v/>
      </c>
      <c r="BB411" s="121" t="str">
        <f t="shared" si="117"/>
        <v/>
      </c>
      <c r="BD411" s="121" t="str">
        <f>IF('Cable Info'!T115="","",CONCATENATE('Cable Info'!T115," - ",'Cable Info'!U115))</f>
        <v/>
      </c>
      <c r="BG411" s="121" t="str">
        <f t="shared" si="118"/>
        <v/>
      </c>
      <c r="BI411" s="121" t="str">
        <f>IF('Cable Info'!V115="","",CONCATENATE('Cable Info'!V115," - ",'Cable Info'!W115))</f>
        <v/>
      </c>
      <c r="BL411" s="121" t="str">
        <f t="shared" si="119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4"/>
        <v>#N/A</v>
      </c>
      <c r="AO412" s="121" t="e">
        <f>IF('Cable Info'!N116="","",CONCATENATE('Cable Info'!N116," - ",'Cable Info'!O116))</f>
        <v>#N/A</v>
      </c>
      <c r="AR412" s="121" t="e">
        <f t="shared" si="115"/>
        <v>#N/A</v>
      </c>
      <c r="AT412" s="121" t="e">
        <f>IF('Cable Info'!P116="","",CONCATENATE('Cable Info'!P116," - ",'Cable Info'!Q116))</f>
        <v>#N/A</v>
      </c>
      <c r="AW412" s="121" t="e">
        <f t="shared" si="116"/>
        <v>#N/A</v>
      </c>
      <c r="AY412" s="121" t="str">
        <f>IF('Cable Info'!R116="","",CONCATENATE('Cable Info'!R116," - ",'Cable Info'!S116))</f>
        <v/>
      </c>
      <c r="BB412" s="121" t="str">
        <f t="shared" si="117"/>
        <v/>
      </c>
      <c r="BD412" s="121" t="str">
        <f>IF('Cable Info'!T116="","",CONCATENATE('Cable Info'!T116," - ",'Cable Info'!U116))</f>
        <v/>
      </c>
      <c r="BG412" s="121" t="str">
        <f t="shared" si="118"/>
        <v/>
      </c>
      <c r="BI412" s="121" t="str">
        <f>IF('Cable Info'!V116="","",CONCATENATE('Cable Info'!V116," - ",'Cable Info'!W116))</f>
        <v/>
      </c>
      <c r="BL412" s="121" t="str">
        <f t="shared" si="119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4"/>
        <v>#N/A</v>
      </c>
      <c r="AO413" s="121" t="e">
        <f>IF('Cable Info'!N117="","",CONCATENATE('Cable Info'!N117," - ",'Cable Info'!O117))</f>
        <v>#N/A</v>
      </c>
      <c r="AR413" s="121" t="e">
        <f t="shared" si="115"/>
        <v>#N/A</v>
      </c>
      <c r="AT413" s="121" t="e">
        <f>IF('Cable Info'!P117="","",CONCATENATE('Cable Info'!P117," - ",'Cable Info'!Q117))</f>
        <v>#N/A</v>
      </c>
      <c r="AW413" s="121" t="e">
        <f t="shared" si="116"/>
        <v>#N/A</v>
      </c>
      <c r="AY413" s="121" t="str">
        <f>IF('Cable Info'!R117="","",CONCATENATE('Cable Info'!R117," - ",'Cable Info'!S117))</f>
        <v/>
      </c>
      <c r="BB413" s="121" t="str">
        <f t="shared" si="117"/>
        <v/>
      </c>
      <c r="BD413" s="121" t="str">
        <f>IF('Cable Info'!T117="","",CONCATENATE('Cable Info'!T117," - ",'Cable Info'!U117))</f>
        <v/>
      </c>
      <c r="BG413" s="121" t="str">
        <f t="shared" si="118"/>
        <v/>
      </c>
      <c r="BI413" s="121" t="str">
        <f>IF('Cable Info'!V117="","",CONCATENATE('Cable Info'!V117," - ",'Cable Info'!W117))</f>
        <v/>
      </c>
      <c r="BL413" s="121" t="str">
        <f t="shared" si="119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4"/>
        <v>#N/A</v>
      </c>
      <c r="AO414" s="121" t="e">
        <f>IF('Cable Info'!N118="","",CONCATENATE('Cable Info'!N118," - ",'Cable Info'!O118))</f>
        <v>#N/A</v>
      </c>
      <c r="AR414" s="121" t="e">
        <f t="shared" si="115"/>
        <v>#N/A</v>
      </c>
      <c r="AT414" s="121" t="e">
        <f>IF('Cable Info'!P118="","",CONCATENATE('Cable Info'!P118," - ",'Cable Info'!Q118))</f>
        <v>#N/A</v>
      </c>
      <c r="AW414" s="121" t="e">
        <f t="shared" si="116"/>
        <v>#N/A</v>
      </c>
      <c r="AY414" s="121" t="str">
        <f>IF('Cable Info'!R118="","",CONCATENATE('Cable Info'!R118," - ",'Cable Info'!S118))</f>
        <v/>
      </c>
      <c r="BB414" s="121" t="str">
        <f t="shared" si="117"/>
        <v/>
      </c>
      <c r="BD414" s="121" t="str">
        <f>IF('Cable Info'!T118="","",CONCATENATE('Cable Info'!T118," - ",'Cable Info'!U118))</f>
        <v/>
      </c>
      <c r="BG414" s="121" t="str">
        <f t="shared" si="118"/>
        <v/>
      </c>
      <c r="BI414" s="121" t="str">
        <f>IF('Cable Info'!V118="","",CONCATENATE('Cable Info'!V118," - ",'Cable Info'!W118))</f>
        <v/>
      </c>
      <c r="BL414" s="121" t="str">
        <f t="shared" si="119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4"/>
        <v>#N/A</v>
      </c>
      <c r="AO415" s="121" t="e">
        <f>IF('Cable Info'!N119="","",CONCATENATE('Cable Info'!N119," - ",'Cable Info'!O119))</f>
        <v>#N/A</v>
      </c>
      <c r="AR415" s="121" t="e">
        <f t="shared" si="115"/>
        <v>#N/A</v>
      </c>
      <c r="AT415" s="121" t="e">
        <f>IF('Cable Info'!P119="","",CONCATENATE('Cable Info'!P119," - ",'Cable Info'!Q119))</f>
        <v>#N/A</v>
      </c>
      <c r="AW415" s="121" t="e">
        <f t="shared" si="116"/>
        <v>#N/A</v>
      </c>
      <c r="AY415" s="121" t="str">
        <f>IF('Cable Info'!R119="","",CONCATENATE('Cable Info'!R119," - ",'Cable Info'!S119))</f>
        <v/>
      </c>
      <c r="BB415" s="121" t="str">
        <f t="shared" si="117"/>
        <v/>
      </c>
      <c r="BD415" s="121" t="str">
        <f>IF('Cable Info'!T119="","",CONCATENATE('Cable Info'!T119," - ",'Cable Info'!U119))</f>
        <v/>
      </c>
      <c r="BG415" s="121" t="str">
        <f t="shared" si="118"/>
        <v/>
      </c>
      <c r="BI415" s="121" t="str">
        <f>IF('Cable Info'!V119="","",CONCATENATE('Cable Info'!V119," - ",'Cable Info'!W119))</f>
        <v/>
      </c>
      <c r="BL415" s="121" t="str">
        <f t="shared" si="119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4"/>
        <v>#N/A</v>
      </c>
      <c r="AO416" s="121" t="e">
        <f>IF('Cable Info'!N120="","",CONCATENATE('Cable Info'!N120," - ",'Cable Info'!O120))</f>
        <v>#N/A</v>
      </c>
      <c r="AR416" s="121" t="e">
        <f t="shared" si="115"/>
        <v>#N/A</v>
      </c>
      <c r="AT416" s="121" t="e">
        <f>IF('Cable Info'!P120="","",CONCATENATE('Cable Info'!P120," - ",'Cable Info'!Q120))</f>
        <v>#N/A</v>
      </c>
      <c r="AW416" s="121" t="e">
        <f t="shared" si="116"/>
        <v>#N/A</v>
      </c>
      <c r="AY416" s="121" t="str">
        <f>IF('Cable Info'!R120="","",CONCATENATE('Cable Info'!R120," - ",'Cable Info'!S120))</f>
        <v/>
      </c>
      <c r="BB416" s="121" t="str">
        <f t="shared" si="117"/>
        <v/>
      </c>
      <c r="BD416" s="121" t="str">
        <f>IF('Cable Info'!T120="","",CONCATENATE('Cable Info'!T120," - ",'Cable Info'!U120))</f>
        <v/>
      </c>
      <c r="BG416" s="121" t="str">
        <f t="shared" si="118"/>
        <v/>
      </c>
      <c r="BI416" s="121" t="str">
        <f>IF('Cable Info'!V120="","",CONCATENATE('Cable Info'!V120," - ",'Cable Info'!W120))</f>
        <v/>
      </c>
      <c r="BL416" s="121" t="str">
        <f t="shared" si="119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4"/>
        <v>#N/A</v>
      </c>
      <c r="AO417" s="121" t="e">
        <f>IF('Cable Info'!N121="","",CONCATENATE('Cable Info'!N121," - ",'Cable Info'!O121))</f>
        <v>#N/A</v>
      </c>
      <c r="AR417" s="121" t="e">
        <f t="shared" si="115"/>
        <v>#N/A</v>
      </c>
      <c r="AT417" s="121" t="e">
        <f>IF('Cable Info'!P121="","",CONCATENATE('Cable Info'!P121," - ",'Cable Info'!Q121))</f>
        <v>#N/A</v>
      </c>
      <c r="AW417" s="121" t="e">
        <f t="shared" si="116"/>
        <v>#N/A</v>
      </c>
      <c r="AY417" s="121" t="str">
        <f>IF('Cable Info'!R121="","",CONCATENATE('Cable Info'!R121," - ",'Cable Info'!S121))</f>
        <v/>
      </c>
      <c r="BB417" s="121" t="str">
        <f t="shared" si="117"/>
        <v/>
      </c>
      <c r="BD417" s="121" t="str">
        <f>IF('Cable Info'!T121="","",CONCATENATE('Cable Info'!T121," - ",'Cable Info'!U121))</f>
        <v/>
      </c>
      <c r="BG417" s="121" t="str">
        <f t="shared" si="118"/>
        <v/>
      </c>
      <c r="BI417" s="121" t="str">
        <f>IF('Cable Info'!V121="","",CONCATENATE('Cable Info'!V121," - ",'Cable Info'!W121))</f>
        <v/>
      </c>
      <c r="BL417" s="121" t="str">
        <f t="shared" si="119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4"/>
        <v>#N/A</v>
      </c>
      <c r="AO418" s="121" t="e">
        <f>IF('Cable Info'!N122="","",CONCATENATE('Cable Info'!N122," - ",'Cable Info'!O122))</f>
        <v>#N/A</v>
      </c>
      <c r="AR418" s="121" t="e">
        <f t="shared" si="115"/>
        <v>#N/A</v>
      </c>
      <c r="AT418" s="121" t="e">
        <f>IF('Cable Info'!P122="","",CONCATENATE('Cable Info'!P122," - ",'Cable Info'!Q122))</f>
        <v>#N/A</v>
      </c>
      <c r="AW418" s="121" t="e">
        <f t="shared" si="116"/>
        <v>#N/A</v>
      </c>
      <c r="AY418" s="121" t="str">
        <f>IF('Cable Info'!R122="","",CONCATENATE('Cable Info'!R122," - ",'Cable Info'!S122))</f>
        <v/>
      </c>
      <c r="BB418" s="121" t="str">
        <f t="shared" si="117"/>
        <v/>
      </c>
      <c r="BD418" s="121" t="str">
        <f>IF('Cable Info'!T122="","",CONCATENATE('Cable Info'!T122," - ",'Cable Info'!U122))</f>
        <v/>
      </c>
      <c r="BG418" s="121" t="str">
        <f t="shared" si="118"/>
        <v/>
      </c>
      <c r="BI418" s="121" t="str">
        <f>IF('Cable Info'!V122="","",CONCATENATE('Cable Info'!V122," - ",'Cable Info'!W122))</f>
        <v/>
      </c>
      <c r="BL418" s="121" t="str">
        <f t="shared" si="119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4"/>
        <v>#N/A</v>
      </c>
      <c r="AO419" s="121" t="e">
        <f>IF('Cable Info'!N123="","",CONCATENATE('Cable Info'!N123," - ",'Cable Info'!O123))</f>
        <v>#N/A</v>
      </c>
      <c r="AR419" s="121" t="e">
        <f t="shared" si="115"/>
        <v>#N/A</v>
      </c>
      <c r="AT419" s="121" t="e">
        <f>IF('Cable Info'!P123="","",CONCATENATE('Cable Info'!P123," - ",'Cable Info'!Q123))</f>
        <v>#N/A</v>
      </c>
      <c r="AW419" s="121" t="e">
        <f t="shared" si="116"/>
        <v>#N/A</v>
      </c>
      <c r="AY419" s="121" t="str">
        <f>IF('Cable Info'!R123="","",CONCATENATE('Cable Info'!R123," - ",'Cable Info'!S123))</f>
        <v/>
      </c>
      <c r="BB419" s="121" t="str">
        <f t="shared" si="117"/>
        <v/>
      </c>
      <c r="BD419" s="121" t="str">
        <f>IF('Cable Info'!T123="","",CONCATENATE('Cable Info'!T123," - ",'Cable Info'!U123))</f>
        <v/>
      </c>
      <c r="BG419" s="121" t="str">
        <f t="shared" si="118"/>
        <v/>
      </c>
      <c r="BI419" s="121" t="str">
        <f>IF('Cable Info'!V123="","",CONCATENATE('Cable Info'!V123," - ",'Cable Info'!W123))</f>
        <v/>
      </c>
      <c r="BL419" s="121" t="str">
        <f t="shared" si="119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4"/>
        <v>#N/A</v>
      </c>
      <c r="AO420" s="121" t="e">
        <f>IF('Cable Info'!N124="","",CONCATENATE('Cable Info'!N124," - ",'Cable Info'!O124))</f>
        <v>#N/A</v>
      </c>
      <c r="AR420" s="121" t="e">
        <f t="shared" si="115"/>
        <v>#N/A</v>
      </c>
      <c r="AT420" s="121" t="e">
        <f>IF('Cable Info'!P124="","",CONCATENATE('Cable Info'!P124," - ",'Cable Info'!Q124))</f>
        <v>#N/A</v>
      </c>
      <c r="AW420" s="121" t="e">
        <f t="shared" si="116"/>
        <v>#N/A</v>
      </c>
      <c r="AY420" s="121" t="str">
        <f>IF('Cable Info'!R124="","",CONCATENATE('Cable Info'!R124," - ",'Cable Info'!S124))</f>
        <v/>
      </c>
      <c r="BB420" s="121" t="str">
        <f t="shared" si="117"/>
        <v/>
      </c>
      <c r="BD420" s="121" t="str">
        <f>IF('Cable Info'!T124="","",CONCATENATE('Cable Info'!T124," - ",'Cable Info'!U124))</f>
        <v/>
      </c>
      <c r="BG420" s="121" t="str">
        <f t="shared" si="118"/>
        <v/>
      </c>
      <c r="BI420" s="121" t="str">
        <f>IF('Cable Info'!V124="","",CONCATENATE('Cable Info'!V124," - ",'Cable Info'!W124))</f>
        <v/>
      </c>
      <c r="BL420" s="121" t="str">
        <f t="shared" si="119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4"/>
        <v>#N/A</v>
      </c>
      <c r="AO421" s="121" t="e">
        <f>IF('Cable Info'!N125="","",CONCATENATE('Cable Info'!N125," - ",'Cable Info'!O125))</f>
        <v>#N/A</v>
      </c>
      <c r="AR421" s="121" t="e">
        <f t="shared" si="115"/>
        <v>#N/A</v>
      </c>
      <c r="AT421" s="121" t="e">
        <f>IF('Cable Info'!P125="","",CONCATENATE('Cable Info'!P125," - ",'Cable Info'!Q125))</f>
        <v>#N/A</v>
      </c>
      <c r="AW421" s="121" t="e">
        <f t="shared" si="116"/>
        <v>#N/A</v>
      </c>
      <c r="AY421" s="121" t="str">
        <f>IF('Cable Info'!R125="","",CONCATENATE('Cable Info'!R125," - ",'Cable Info'!S125))</f>
        <v/>
      </c>
      <c r="BB421" s="121" t="str">
        <f t="shared" si="117"/>
        <v/>
      </c>
      <c r="BD421" s="121" t="str">
        <f>IF('Cable Info'!T125="","",CONCATENATE('Cable Info'!T125," - ",'Cable Info'!U125))</f>
        <v/>
      </c>
      <c r="BG421" s="121" t="str">
        <f t="shared" si="118"/>
        <v/>
      </c>
      <c r="BI421" s="121" t="str">
        <f>IF('Cable Info'!V125="","",CONCATENATE('Cable Info'!V125," - ",'Cable Info'!W125))</f>
        <v/>
      </c>
      <c r="BL421" s="121" t="str">
        <f t="shared" si="119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4"/>
        <v>#N/A</v>
      </c>
      <c r="AO422" s="121" t="e">
        <f>IF('Cable Info'!N126="","",CONCATENATE('Cable Info'!N126," - ",'Cable Info'!O126))</f>
        <v>#N/A</v>
      </c>
      <c r="AR422" s="121" t="e">
        <f t="shared" si="115"/>
        <v>#N/A</v>
      </c>
      <c r="AT422" s="121" t="e">
        <f>IF('Cable Info'!P126="","",CONCATENATE('Cable Info'!P126," - ",'Cable Info'!Q126))</f>
        <v>#N/A</v>
      </c>
      <c r="AW422" s="121" t="e">
        <f t="shared" si="116"/>
        <v>#N/A</v>
      </c>
      <c r="AY422" s="121" t="str">
        <f>IF('Cable Info'!R126="","",CONCATENATE('Cable Info'!R126," - ",'Cable Info'!S126))</f>
        <v/>
      </c>
      <c r="BB422" s="121" t="str">
        <f t="shared" si="117"/>
        <v/>
      </c>
      <c r="BD422" s="121" t="str">
        <f>IF('Cable Info'!T126="","",CONCATENATE('Cable Info'!T126," - ",'Cable Info'!U126))</f>
        <v/>
      </c>
      <c r="BG422" s="121" t="str">
        <f t="shared" si="118"/>
        <v/>
      </c>
      <c r="BI422" s="121" t="str">
        <f>IF('Cable Info'!V126="","",CONCATENATE('Cable Info'!V126," - ",'Cable Info'!W126))</f>
        <v/>
      </c>
      <c r="BL422" s="121" t="str">
        <f t="shared" si="119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4"/>
        <v>#N/A</v>
      </c>
      <c r="AO423" s="121" t="e">
        <f>IF('Cable Info'!N127="","",CONCATENATE('Cable Info'!N127," - ",'Cable Info'!O127))</f>
        <v>#N/A</v>
      </c>
      <c r="AR423" s="121" t="e">
        <f t="shared" si="115"/>
        <v>#N/A</v>
      </c>
      <c r="AT423" s="121" t="e">
        <f>IF('Cable Info'!P127="","",CONCATENATE('Cable Info'!P127," - ",'Cable Info'!Q127))</f>
        <v>#N/A</v>
      </c>
      <c r="AW423" s="121" t="e">
        <f t="shared" si="116"/>
        <v>#N/A</v>
      </c>
      <c r="AY423" s="121" t="str">
        <f>IF('Cable Info'!R127="","",CONCATENATE('Cable Info'!R127," - ",'Cable Info'!S127))</f>
        <v/>
      </c>
      <c r="BB423" s="121" t="str">
        <f t="shared" si="117"/>
        <v/>
      </c>
      <c r="BD423" s="121" t="str">
        <f>IF('Cable Info'!T127="","",CONCATENATE('Cable Info'!T127," - ",'Cable Info'!U127))</f>
        <v/>
      </c>
      <c r="BG423" s="121" t="str">
        <f t="shared" si="118"/>
        <v/>
      </c>
      <c r="BI423" s="121" t="str">
        <f>IF('Cable Info'!V127="","",CONCATENATE('Cable Info'!V127," - ",'Cable Info'!W127))</f>
        <v/>
      </c>
      <c r="BL423" s="121" t="str">
        <f t="shared" si="119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4"/>
        <v>#N/A</v>
      </c>
      <c r="AO424" s="121" t="e">
        <f>IF('Cable Info'!N128="","",CONCATENATE('Cable Info'!N128," - ",'Cable Info'!O128))</f>
        <v>#N/A</v>
      </c>
      <c r="AR424" s="121" t="e">
        <f t="shared" si="115"/>
        <v>#N/A</v>
      </c>
      <c r="AT424" s="121" t="e">
        <f>IF('Cable Info'!P128="","",CONCATENATE('Cable Info'!P128," - ",'Cable Info'!Q128))</f>
        <v>#N/A</v>
      </c>
      <c r="AW424" s="121" t="e">
        <f t="shared" si="116"/>
        <v>#N/A</v>
      </c>
      <c r="AY424" s="121" t="str">
        <f>IF('Cable Info'!R128="","",CONCATENATE('Cable Info'!R128," - ",'Cable Info'!S128))</f>
        <v/>
      </c>
      <c r="BB424" s="121" t="str">
        <f t="shared" si="117"/>
        <v/>
      </c>
      <c r="BD424" s="121" t="str">
        <f>IF('Cable Info'!T128="","",CONCATENATE('Cable Info'!T128," - ",'Cable Info'!U128))</f>
        <v/>
      </c>
      <c r="BG424" s="121" t="str">
        <f t="shared" si="118"/>
        <v/>
      </c>
      <c r="BI424" s="121" t="str">
        <f>IF('Cable Info'!V128="","",CONCATENATE('Cable Info'!V128," - ",'Cable Info'!W128))</f>
        <v/>
      </c>
      <c r="BL424" s="121" t="str">
        <f t="shared" si="119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4"/>
        <v>#N/A</v>
      </c>
      <c r="AO425" s="121" t="e">
        <f>IF('Cable Info'!N129="","",CONCATENATE('Cable Info'!N129," - ",'Cable Info'!O129))</f>
        <v>#N/A</v>
      </c>
      <c r="AR425" s="121" t="e">
        <f t="shared" si="115"/>
        <v>#N/A</v>
      </c>
      <c r="AT425" s="121" t="e">
        <f>IF('Cable Info'!P129="","",CONCATENATE('Cable Info'!P129," - ",'Cable Info'!Q129))</f>
        <v>#N/A</v>
      </c>
      <c r="AW425" s="121" t="e">
        <f t="shared" si="116"/>
        <v>#N/A</v>
      </c>
      <c r="AY425" s="121" t="str">
        <f>IF('Cable Info'!R129="","",CONCATENATE('Cable Info'!R129," - ",'Cable Info'!S129))</f>
        <v/>
      </c>
      <c r="BB425" s="121" t="str">
        <f t="shared" si="117"/>
        <v/>
      </c>
      <c r="BD425" s="121" t="str">
        <f>IF('Cable Info'!T129="","",CONCATENATE('Cable Info'!T129," - ",'Cable Info'!U129))</f>
        <v/>
      </c>
      <c r="BG425" s="121" t="str">
        <f t="shared" si="118"/>
        <v/>
      </c>
      <c r="BI425" s="121" t="str">
        <f>IF('Cable Info'!V129="","",CONCATENATE('Cable Info'!V129," - ",'Cable Info'!W129))</f>
        <v/>
      </c>
      <c r="BL425" s="121" t="str">
        <f t="shared" si="119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4"/>
        <v>#N/A</v>
      </c>
      <c r="AO426" s="121" t="e">
        <f>IF('Cable Info'!N130="","",CONCATENATE('Cable Info'!N130," - ",'Cable Info'!O130))</f>
        <v>#N/A</v>
      </c>
      <c r="AR426" s="121" t="e">
        <f t="shared" si="115"/>
        <v>#N/A</v>
      </c>
      <c r="AT426" s="121" t="e">
        <f>IF('Cable Info'!P130="","",CONCATENATE('Cable Info'!P130," - ",'Cable Info'!Q130))</f>
        <v>#N/A</v>
      </c>
      <c r="AW426" s="121" t="e">
        <f t="shared" si="116"/>
        <v>#N/A</v>
      </c>
      <c r="AY426" s="121" t="str">
        <f>IF('Cable Info'!R130="","",CONCATENATE('Cable Info'!R130," - ",'Cable Info'!S130))</f>
        <v/>
      </c>
      <c r="BB426" s="121" t="str">
        <f t="shared" si="117"/>
        <v/>
      </c>
      <c r="BD426" s="121" t="str">
        <f>IF('Cable Info'!T130="","",CONCATENATE('Cable Info'!T130," - ",'Cable Info'!U130))</f>
        <v/>
      </c>
      <c r="BG426" s="121" t="str">
        <f t="shared" si="118"/>
        <v/>
      </c>
      <c r="BI426" s="121" t="str">
        <f>IF('Cable Info'!V130="","",CONCATENATE('Cable Info'!V130," - ",'Cable Info'!W130))</f>
        <v/>
      </c>
      <c r="BL426" s="121" t="str">
        <f t="shared" si="119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0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1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2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3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4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25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0"/>
        <v>#N/A</v>
      </c>
      <c r="AO428" s="121" t="e">
        <f>IF('Cable Info'!N132="","",CONCATENATE('Cable Info'!N132," - ",'Cable Info'!O132))</f>
        <v>#N/A</v>
      </c>
      <c r="AR428" s="121" t="e">
        <f t="shared" si="121"/>
        <v>#N/A</v>
      </c>
      <c r="AT428" s="121" t="e">
        <f>IF('Cable Info'!P132="","",CONCATENATE('Cable Info'!P132," - ",'Cable Info'!Q132))</f>
        <v>#N/A</v>
      </c>
      <c r="AW428" s="121" t="e">
        <f t="shared" si="122"/>
        <v>#N/A</v>
      </c>
      <c r="AY428" s="121" t="str">
        <f>IF('Cable Info'!R132="","",CONCATENATE('Cable Info'!R132," - ",'Cable Info'!S132))</f>
        <v/>
      </c>
      <c r="BB428" s="121" t="str">
        <f t="shared" si="123"/>
        <v/>
      </c>
      <c r="BD428" s="121" t="str">
        <f>IF('Cable Info'!T132="","",CONCATENATE('Cable Info'!T132," - ",'Cable Info'!U132))</f>
        <v/>
      </c>
      <c r="BG428" s="121" t="str">
        <f t="shared" si="124"/>
        <v/>
      </c>
      <c r="BI428" s="121" t="str">
        <f>IF('Cable Info'!V132="","",CONCATENATE('Cable Info'!V132," - ",'Cable Info'!W132))</f>
        <v/>
      </c>
      <c r="BL428" s="121" t="str">
        <f t="shared" si="125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0"/>
        <v>#N/A</v>
      </c>
      <c r="AO429" s="121" t="e">
        <f>IF('Cable Info'!N133="","",CONCATENATE('Cable Info'!N133," - ",'Cable Info'!O133))</f>
        <v>#N/A</v>
      </c>
      <c r="AR429" s="121" t="e">
        <f t="shared" si="121"/>
        <v>#N/A</v>
      </c>
      <c r="AT429" s="121" t="e">
        <f>IF('Cable Info'!P133="","",CONCATENATE('Cable Info'!P133," - ",'Cable Info'!Q133))</f>
        <v>#N/A</v>
      </c>
      <c r="AW429" s="121" t="e">
        <f t="shared" si="122"/>
        <v>#N/A</v>
      </c>
      <c r="AY429" s="121" t="str">
        <f>IF('Cable Info'!R133="","",CONCATENATE('Cable Info'!R133," - ",'Cable Info'!S133))</f>
        <v/>
      </c>
      <c r="BB429" s="121" t="str">
        <f t="shared" si="123"/>
        <v/>
      </c>
      <c r="BD429" s="121" t="str">
        <f>IF('Cable Info'!T133="","",CONCATENATE('Cable Info'!T133," - ",'Cable Info'!U133))</f>
        <v/>
      </c>
      <c r="BG429" s="121" t="str">
        <f t="shared" si="124"/>
        <v/>
      </c>
      <c r="BI429" s="121" t="str">
        <f>IF('Cable Info'!V133="","",CONCATENATE('Cable Info'!V133," - ",'Cable Info'!W133))</f>
        <v/>
      </c>
      <c r="BL429" s="121" t="str">
        <f t="shared" si="125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0"/>
        <v>#N/A</v>
      </c>
      <c r="AO430" s="121" t="e">
        <f>IF('Cable Info'!N134="","",CONCATENATE('Cable Info'!N134," - ",'Cable Info'!O134))</f>
        <v>#N/A</v>
      </c>
      <c r="AR430" s="121" t="e">
        <f t="shared" si="121"/>
        <v>#N/A</v>
      </c>
      <c r="AT430" s="121" t="e">
        <f>IF('Cable Info'!P134="","",CONCATENATE('Cable Info'!P134," - ",'Cable Info'!Q134))</f>
        <v>#N/A</v>
      </c>
      <c r="AW430" s="121" t="e">
        <f t="shared" si="122"/>
        <v>#N/A</v>
      </c>
      <c r="AY430" s="121" t="str">
        <f>IF('Cable Info'!R134="","",CONCATENATE('Cable Info'!R134," - ",'Cable Info'!S134))</f>
        <v/>
      </c>
      <c r="BB430" s="121" t="str">
        <f t="shared" si="123"/>
        <v/>
      </c>
      <c r="BD430" s="121" t="str">
        <f>IF('Cable Info'!T134="","",CONCATENATE('Cable Info'!T134," - ",'Cable Info'!U134))</f>
        <v/>
      </c>
      <c r="BG430" s="121" t="str">
        <f t="shared" si="124"/>
        <v/>
      </c>
      <c r="BI430" s="121" t="str">
        <f>IF('Cable Info'!V134="","",CONCATENATE('Cable Info'!V134," - ",'Cable Info'!W134))</f>
        <v/>
      </c>
      <c r="BL430" s="121" t="str">
        <f t="shared" si="125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0"/>
        <v>#N/A</v>
      </c>
      <c r="AO431" s="121" t="e">
        <f>IF('Cable Info'!N135="","",CONCATENATE('Cable Info'!N135," - ",'Cable Info'!O135))</f>
        <v>#N/A</v>
      </c>
      <c r="AR431" s="121" t="e">
        <f t="shared" si="121"/>
        <v>#N/A</v>
      </c>
      <c r="AT431" s="121" t="e">
        <f>IF('Cable Info'!P135="","",CONCATENATE('Cable Info'!P135," - ",'Cable Info'!Q135))</f>
        <v>#N/A</v>
      </c>
      <c r="AW431" s="121" t="e">
        <f t="shared" si="122"/>
        <v>#N/A</v>
      </c>
      <c r="AY431" s="121" t="str">
        <f>IF('Cable Info'!R135="","",CONCATENATE('Cable Info'!R135," - ",'Cable Info'!S135))</f>
        <v/>
      </c>
      <c r="BB431" s="121" t="str">
        <f t="shared" si="123"/>
        <v/>
      </c>
      <c r="BD431" s="121" t="str">
        <f>IF('Cable Info'!T135="","",CONCATENATE('Cable Info'!T135," - ",'Cable Info'!U135))</f>
        <v/>
      </c>
      <c r="BG431" s="121" t="str">
        <f t="shared" si="124"/>
        <v/>
      </c>
      <c r="BI431" s="121" t="str">
        <f>IF('Cable Info'!V135="","",CONCATENATE('Cable Info'!V135," - ",'Cable Info'!W135))</f>
        <v/>
      </c>
      <c r="BL431" s="121" t="str">
        <f t="shared" si="125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0"/>
        <v>#N/A</v>
      </c>
      <c r="AO432" s="121" t="e">
        <f>IF('Cable Info'!N136="","",CONCATENATE('Cable Info'!N136," - ",'Cable Info'!O136))</f>
        <v>#N/A</v>
      </c>
      <c r="AR432" s="121" t="e">
        <f t="shared" si="121"/>
        <v>#N/A</v>
      </c>
      <c r="AT432" s="121" t="e">
        <f>IF('Cable Info'!P136="","",CONCATENATE('Cable Info'!P136," - ",'Cable Info'!Q136))</f>
        <v>#N/A</v>
      </c>
      <c r="AW432" s="121" t="e">
        <f t="shared" si="122"/>
        <v>#N/A</v>
      </c>
      <c r="AY432" s="121" t="str">
        <f>IF('Cable Info'!R136="","",CONCATENATE('Cable Info'!R136," - ",'Cable Info'!S136))</f>
        <v/>
      </c>
      <c r="BB432" s="121" t="str">
        <f t="shared" si="123"/>
        <v/>
      </c>
      <c r="BD432" s="121" t="str">
        <f>IF('Cable Info'!T136="","",CONCATENATE('Cable Info'!T136," - ",'Cable Info'!U136))</f>
        <v/>
      </c>
      <c r="BG432" s="121" t="str">
        <f t="shared" si="124"/>
        <v/>
      </c>
      <c r="BI432" s="121" t="str">
        <f>IF('Cable Info'!V136="","",CONCATENATE('Cable Info'!V136," - ",'Cable Info'!W136))</f>
        <v/>
      </c>
      <c r="BL432" s="121" t="str">
        <f t="shared" si="125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0"/>
        <v>#N/A</v>
      </c>
      <c r="AO433" s="121" t="e">
        <f>IF('Cable Info'!N137="","",CONCATENATE('Cable Info'!N137," - ",'Cable Info'!O137))</f>
        <v>#N/A</v>
      </c>
      <c r="AR433" s="121" t="e">
        <f t="shared" si="121"/>
        <v>#N/A</v>
      </c>
      <c r="AT433" s="121" t="e">
        <f>IF('Cable Info'!P137="","",CONCATENATE('Cable Info'!P137," - ",'Cable Info'!Q137))</f>
        <v>#N/A</v>
      </c>
      <c r="AW433" s="121" t="e">
        <f t="shared" si="122"/>
        <v>#N/A</v>
      </c>
      <c r="AY433" s="121" t="str">
        <f>IF('Cable Info'!R137="","",CONCATENATE('Cable Info'!R137," - ",'Cable Info'!S137))</f>
        <v/>
      </c>
      <c r="BB433" s="121" t="str">
        <f t="shared" si="123"/>
        <v/>
      </c>
      <c r="BD433" s="121" t="str">
        <f>IF('Cable Info'!T137="","",CONCATENATE('Cable Info'!T137," - ",'Cable Info'!U137))</f>
        <v/>
      </c>
      <c r="BG433" s="121" t="str">
        <f t="shared" si="124"/>
        <v/>
      </c>
      <c r="BI433" s="121" t="str">
        <f>IF('Cable Info'!V137="","",CONCATENATE('Cable Info'!V137," - ",'Cable Info'!W137))</f>
        <v/>
      </c>
      <c r="BL433" s="121" t="str">
        <f t="shared" si="125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0"/>
        <v>#N/A</v>
      </c>
      <c r="AO434" s="121" t="e">
        <f>IF('Cable Info'!N138="","",CONCATENATE('Cable Info'!N138," - ",'Cable Info'!O138))</f>
        <v>#N/A</v>
      </c>
      <c r="AR434" s="121" t="e">
        <f t="shared" si="121"/>
        <v>#N/A</v>
      </c>
      <c r="AT434" s="121" t="e">
        <f>IF('Cable Info'!P138="","",CONCATENATE('Cable Info'!P138," - ",'Cable Info'!Q138))</f>
        <v>#N/A</v>
      </c>
      <c r="AW434" s="121" t="e">
        <f t="shared" si="122"/>
        <v>#N/A</v>
      </c>
      <c r="AY434" s="121" t="str">
        <f>IF('Cable Info'!R138="","",CONCATENATE('Cable Info'!R138," - ",'Cable Info'!S138))</f>
        <v/>
      </c>
      <c r="BB434" s="121" t="str">
        <f t="shared" si="123"/>
        <v/>
      </c>
      <c r="BD434" s="121" t="str">
        <f>IF('Cable Info'!T138="","",CONCATENATE('Cable Info'!T138," - ",'Cable Info'!U138))</f>
        <v/>
      </c>
      <c r="BG434" s="121" t="str">
        <f t="shared" si="124"/>
        <v/>
      </c>
      <c r="BI434" s="121" t="str">
        <f>IF('Cable Info'!V138="","",CONCATENATE('Cable Info'!V138," - ",'Cable Info'!W138))</f>
        <v/>
      </c>
      <c r="BL434" s="121" t="str">
        <f t="shared" si="125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0"/>
        <v>#N/A</v>
      </c>
      <c r="AO435" s="121" t="e">
        <f>IF('Cable Info'!N139="","",CONCATENATE('Cable Info'!N139," - ",'Cable Info'!O139))</f>
        <v>#N/A</v>
      </c>
      <c r="AR435" s="121" t="e">
        <f t="shared" si="121"/>
        <v>#N/A</v>
      </c>
      <c r="AT435" s="121" t="e">
        <f>IF('Cable Info'!P139="","",CONCATENATE('Cable Info'!P139," - ",'Cable Info'!Q139))</f>
        <v>#N/A</v>
      </c>
      <c r="AW435" s="121" t="e">
        <f t="shared" si="122"/>
        <v>#N/A</v>
      </c>
      <c r="AY435" s="121" t="str">
        <f>IF('Cable Info'!R139="","",CONCATENATE('Cable Info'!R139," - ",'Cable Info'!S139))</f>
        <v/>
      </c>
      <c r="BB435" s="121" t="str">
        <f t="shared" si="123"/>
        <v/>
      </c>
      <c r="BD435" s="121" t="str">
        <f>IF('Cable Info'!T139="","",CONCATENATE('Cable Info'!T139," - ",'Cable Info'!U139))</f>
        <v/>
      </c>
      <c r="BG435" s="121" t="str">
        <f t="shared" si="124"/>
        <v/>
      </c>
      <c r="BI435" s="121" t="str">
        <f>IF('Cable Info'!V139="","",CONCATENATE('Cable Info'!V139," - ",'Cable Info'!W139))</f>
        <v/>
      </c>
      <c r="BL435" s="121" t="str">
        <f t="shared" si="125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0"/>
        <v>#N/A</v>
      </c>
      <c r="AO436" s="121" t="e">
        <f>IF('Cable Info'!N140="","",CONCATENATE('Cable Info'!N140," - ",'Cable Info'!O140))</f>
        <v>#N/A</v>
      </c>
      <c r="AR436" s="121" t="e">
        <f t="shared" si="121"/>
        <v>#N/A</v>
      </c>
      <c r="AT436" s="121" t="e">
        <f>IF('Cable Info'!P140="","",CONCATENATE('Cable Info'!P140," - ",'Cable Info'!Q140))</f>
        <v>#N/A</v>
      </c>
      <c r="AW436" s="121" t="e">
        <f t="shared" si="122"/>
        <v>#N/A</v>
      </c>
      <c r="AY436" s="121" t="str">
        <f>IF('Cable Info'!R140="","",CONCATENATE('Cable Info'!R140," - ",'Cable Info'!S140))</f>
        <v/>
      </c>
      <c r="BB436" s="121" t="str">
        <f t="shared" si="123"/>
        <v/>
      </c>
      <c r="BD436" s="121" t="str">
        <f>IF('Cable Info'!T140="","",CONCATENATE('Cable Info'!T140," - ",'Cable Info'!U140))</f>
        <v/>
      </c>
      <c r="BG436" s="121" t="str">
        <f t="shared" si="124"/>
        <v/>
      </c>
      <c r="BI436" s="121" t="str">
        <f>IF('Cable Info'!V140="","",CONCATENATE('Cable Info'!V140," - ",'Cable Info'!W140))</f>
        <v/>
      </c>
      <c r="BL436" s="121" t="str">
        <f t="shared" si="125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0"/>
        <v>#N/A</v>
      </c>
      <c r="AO437" s="121" t="e">
        <f>IF('Cable Info'!N141="","",CONCATENATE('Cable Info'!N141," - ",'Cable Info'!O141))</f>
        <v>#N/A</v>
      </c>
      <c r="AR437" s="121" t="e">
        <f t="shared" si="121"/>
        <v>#N/A</v>
      </c>
      <c r="AT437" s="121" t="e">
        <f>IF('Cable Info'!P141="","",CONCATENATE('Cable Info'!P141," - ",'Cable Info'!Q141))</f>
        <v>#N/A</v>
      </c>
      <c r="AW437" s="121" t="e">
        <f t="shared" si="122"/>
        <v>#N/A</v>
      </c>
      <c r="AY437" s="121" t="str">
        <f>IF('Cable Info'!R141="","",CONCATENATE('Cable Info'!R141," - ",'Cable Info'!S141))</f>
        <v/>
      </c>
      <c r="BB437" s="121" t="str">
        <f t="shared" si="123"/>
        <v/>
      </c>
      <c r="BD437" s="121" t="str">
        <f>IF('Cable Info'!T141="","",CONCATENATE('Cable Info'!T141," - ",'Cable Info'!U141))</f>
        <v/>
      </c>
      <c r="BG437" s="121" t="str">
        <f t="shared" si="124"/>
        <v/>
      </c>
      <c r="BI437" s="121" t="str">
        <f>IF('Cable Info'!V141="","",CONCATENATE('Cable Info'!V141," - ",'Cable Info'!W141))</f>
        <v/>
      </c>
      <c r="BL437" s="121" t="str">
        <f t="shared" si="125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0"/>
        <v>#N/A</v>
      </c>
      <c r="AO438" s="121" t="e">
        <f>IF('Cable Info'!N142="","",CONCATENATE('Cable Info'!N142," - ",'Cable Info'!O142))</f>
        <v>#N/A</v>
      </c>
      <c r="AR438" s="121" t="e">
        <f t="shared" si="121"/>
        <v>#N/A</v>
      </c>
      <c r="AT438" s="121" t="e">
        <f>IF('Cable Info'!P142="","",CONCATENATE('Cable Info'!P142," - ",'Cable Info'!Q142))</f>
        <v>#N/A</v>
      </c>
      <c r="AW438" s="121" t="e">
        <f t="shared" si="122"/>
        <v>#N/A</v>
      </c>
      <c r="AY438" s="121" t="str">
        <f>IF('Cable Info'!R142="","",CONCATENATE('Cable Info'!R142," - ",'Cable Info'!S142))</f>
        <v/>
      </c>
      <c r="BB438" s="121" t="str">
        <f t="shared" si="123"/>
        <v/>
      </c>
      <c r="BD438" s="121" t="str">
        <f>IF('Cable Info'!T142="","",CONCATENATE('Cable Info'!T142," - ",'Cable Info'!U142))</f>
        <v/>
      </c>
      <c r="BG438" s="121" t="str">
        <f t="shared" si="124"/>
        <v/>
      </c>
      <c r="BI438" s="121" t="str">
        <f>IF('Cable Info'!V142="","",CONCATENATE('Cable Info'!V142," - ",'Cable Info'!W142))</f>
        <v/>
      </c>
      <c r="BL438" s="121" t="str">
        <f t="shared" si="125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0"/>
        <v>#N/A</v>
      </c>
      <c r="AO439" s="121" t="e">
        <f>IF('Cable Info'!N143="","",CONCATENATE('Cable Info'!N143," - ",'Cable Info'!O143))</f>
        <v>#N/A</v>
      </c>
      <c r="AR439" s="121" t="e">
        <f t="shared" si="121"/>
        <v>#N/A</v>
      </c>
      <c r="AT439" s="121" t="e">
        <f>IF('Cable Info'!P143="","",CONCATENATE('Cable Info'!P143," - ",'Cable Info'!Q143))</f>
        <v>#N/A</v>
      </c>
      <c r="AW439" s="121" t="e">
        <f t="shared" si="122"/>
        <v>#N/A</v>
      </c>
      <c r="AY439" s="121" t="str">
        <f>IF('Cable Info'!R143="","",CONCATENATE('Cable Info'!R143," - ",'Cable Info'!S143))</f>
        <v/>
      </c>
      <c r="BB439" s="121" t="str">
        <f t="shared" si="123"/>
        <v/>
      </c>
      <c r="BD439" s="121" t="str">
        <f>IF('Cable Info'!T143="","",CONCATENATE('Cable Info'!T143," - ",'Cable Info'!U143))</f>
        <v/>
      </c>
      <c r="BG439" s="121" t="str">
        <f t="shared" si="124"/>
        <v/>
      </c>
      <c r="BI439" s="121" t="str">
        <f>IF('Cable Info'!V143="","",CONCATENATE('Cable Info'!V143," - ",'Cable Info'!W143))</f>
        <v/>
      </c>
      <c r="BL439" s="121" t="str">
        <f t="shared" si="125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0"/>
        <v>#N/A</v>
      </c>
      <c r="AO440" s="121" t="e">
        <f>IF('Cable Info'!N144="","",CONCATENATE('Cable Info'!N144," - ",'Cable Info'!O144))</f>
        <v>#N/A</v>
      </c>
      <c r="AR440" s="121" t="e">
        <f t="shared" si="121"/>
        <v>#N/A</v>
      </c>
      <c r="AT440" s="121" t="e">
        <f>IF('Cable Info'!P144="","",CONCATENATE('Cable Info'!P144," - ",'Cable Info'!Q144))</f>
        <v>#N/A</v>
      </c>
      <c r="AW440" s="121" t="e">
        <f t="shared" si="122"/>
        <v>#N/A</v>
      </c>
      <c r="AY440" s="121" t="str">
        <f>IF('Cable Info'!R144="","",CONCATENATE('Cable Info'!R144," - ",'Cable Info'!S144))</f>
        <v/>
      </c>
      <c r="BB440" s="121" t="str">
        <f t="shared" si="123"/>
        <v/>
      </c>
      <c r="BD440" s="121" t="str">
        <f>IF('Cable Info'!T144="","",CONCATENATE('Cable Info'!T144," - ",'Cable Info'!U144))</f>
        <v/>
      </c>
      <c r="BG440" s="121" t="str">
        <f t="shared" si="124"/>
        <v/>
      </c>
      <c r="BI440" s="121" t="str">
        <f>IF('Cable Info'!V144="","",CONCATENATE('Cable Info'!V144," - ",'Cable Info'!W144))</f>
        <v/>
      </c>
      <c r="BL440" s="121" t="str">
        <f t="shared" si="125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0"/>
        <v>#N/A</v>
      </c>
      <c r="AO441" s="121" t="e">
        <f>IF('Cable Info'!N145="","",CONCATENATE('Cable Info'!N145," - ",'Cable Info'!O145))</f>
        <v>#N/A</v>
      </c>
      <c r="AR441" s="121" t="e">
        <f t="shared" si="121"/>
        <v>#N/A</v>
      </c>
      <c r="AT441" s="121" t="e">
        <f>IF('Cable Info'!P145="","",CONCATENATE('Cable Info'!P145," - ",'Cable Info'!Q145))</f>
        <v>#N/A</v>
      </c>
      <c r="AW441" s="121" t="e">
        <f t="shared" si="122"/>
        <v>#N/A</v>
      </c>
      <c r="AY441" s="121" t="str">
        <f>IF('Cable Info'!R145="","",CONCATENATE('Cable Info'!R145," - ",'Cable Info'!S145))</f>
        <v/>
      </c>
      <c r="BB441" s="121" t="str">
        <f t="shared" si="123"/>
        <v/>
      </c>
      <c r="BD441" s="121" t="str">
        <f>IF('Cable Info'!T145="","",CONCATENATE('Cable Info'!T145," - ",'Cable Info'!U145))</f>
        <v/>
      </c>
      <c r="BG441" s="121" t="str">
        <f t="shared" si="124"/>
        <v/>
      </c>
      <c r="BI441" s="121" t="str">
        <f>IF('Cable Info'!V145="","",CONCATENATE('Cable Info'!V145," - ",'Cable Info'!W145))</f>
        <v/>
      </c>
      <c r="BL441" s="121" t="str">
        <f t="shared" si="125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0"/>
        <v>#N/A</v>
      </c>
      <c r="AO442" s="121" t="e">
        <f>IF('Cable Info'!N146="","",CONCATENATE('Cable Info'!N146," - ",'Cable Info'!O146))</f>
        <v>#N/A</v>
      </c>
      <c r="AR442" s="121" t="e">
        <f t="shared" si="121"/>
        <v>#N/A</v>
      </c>
      <c r="AT442" s="121" t="e">
        <f>IF('Cable Info'!P146="","",CONCATENATE('Cable Info'!P146," - ",'Cable Info'!Q146))</f>
        <v>#N/A</v>
      </c>
      <c r="AW442" s="121" t="e">
        <f t="shared" si="122"/>
        <v>#N/A</v>
      </c>
      <c r="AY442" s="121" t="str">
        <f>IF('Cable Info'!R146="","",CONCATENATE('Cable Info'!R146," - ",'Cable Info'!S146))</f>
        <v/>
      </c>
      <c r="BB442" s="121" t="str">
        <f t="shared" si="123"/>
        <v/>
      </c>
      <c r="BD442" s="121" t="str">
        <f>IF('Cable Info'!T146="","",CONCATENATE('Cable Info'!T146," - ",'Cable Info'!U146))</f>
        <v/>
      </c>
      <c r="BG442" s="121" t="str">
        <f t="shared" si="124"/>
        <v/>
      </c>
      <c r="BI442" s="121" t="str">
        <f>IF('Cable Info'!V146="","",CONCATENATE('Cable Info'!V146," - ",'Cable Info'!W146))</f>
        <v/>
      </c>
      <c r="BL442" s="121" t="str">
        <f t="shared" si="125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0"/>
        <v>#N/A</v>
      </c>
      <c r="AO443" s="121" t="e">
        <f>IF('Cable Info'!N147="","",CONCATENATE('Cable Info'!N147," - ",'Cable Info'!O147))</f>
        <v>#N/A</v>
      </c>
      <c r="AR443" s="121" t="e">
        <f t="shared" si="121"/>
        <v>#N/A</v>
      </c>
      <c r="AT443" s="121" t="e">
        <f>IF('Cable Info'!P147="","",CONCATENATE('Cable Info'!P147," - ",'Cable Info'!Q147))</f>
        <v>#N/A</v>
      </c>
      <c r="AW443" s="121" t="e">
        <f t="shared" si="122"/>
        <v>#N/A</v>
      </c>
      <c r="AY443" s="121" t="str">
        <f>IF('Cable Info'!R147="","",CONCATENATE('Cable Info'!R147," - ",'Cable Info'!S147))</f>
        <v/>
      </c>
      <c r="BB443" s="121" t="str">
        <f t="shared" si="123"/>
        <v/>
      </c>
      <c r="BD443" s="121" t="str">
        <f>IF('Cable Info'!T147="","",CONCATENATE('Cable Info'!T147," - ",'Cable Info'!U147))</f>
        <v/>
      </c>
      <c r="BG443" s="121" t="str">
        <f t="shared" si="124"/>
        <v/>
      </c>
      <c r="BI443" s="121" t="str">
        <f>IF('Cable Info'!V147="","",CONCATENATE('Cable Info'!V147," - ",'Cable Info'!W147))</f>
        <v/>
      </c>
      <c r="BL443" s="121" t="str">
        <f t="shared" si="125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0"/>
        <v>#N/A</v>
      </c>
      <c r="AO444" s="121" t="e">
        <f>IF('Cable Info'!N148="","",CONCATENATE('Cable Info'!N148," - ",'Cable Info'!O148))</f>
        <v>#N/A</v>
      </c>
      <c r="AR444" s="121" t="e">
        <f t="shared" si="121"/>
        <v>#N/A</v>
      </c>
      <c r="AT444" s="121" t="e">
        <f>IF('Cable Info'!P148="","",CONCATENATE('Cable Info'!P148," - ",'Cable Info'!Q148))</f>
        <v>#N/A</v>
      </c>
      <c r="AW444" s="121" t="e">
        <f t="shared" si="122"/>
        <v>#N/A</v>
      </c>
      <c r="AY444" s="121" t="str">
        <f>IF('Cable Info'!R148="","",CONCATENATE('Cable Info'!R148," - ",'Cable Info'!S148))</f>
        <v/>
      </c>
      <c r="BB444" s="121" t="str">
        <f t="shared" si="123"/>
        <v/>
      </c>
      <c r="BD444" s="121" t="str">
        <f>IF('Cable Info'!T148="","",CONCATENATE('Cable Info'!T148," - ",'Cable Info'!U148))</f>
        <v/>
      </c>
      <c r="BG444" s="121" t="str">
        <f t="shared" si="124"/>
        <v/>
      </c>
      <c r="BI444" s="121" t="str">
        <f>IF('Cable Info'!V148="","",CONCATENATE('Cable Info'!V148," - ",'Cable Info'!W148))</f>
        <v/>
      </c>
      <c r="BL444" s="121" t="str">
        <f t="shared" si="125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0"/>
        <v>#N/A</v>
      </c>
      <c r="AO445" s="121" t="e">
        <f>IF('Cable Info'!N149="","",CONCATENATE('Cable Info'!N149," - ",'Cable Info'!O149))</f>
        <v>#N/A</v>
      </c>
      <c r="AR445" s="121" t="e">
        <f t="shared" si="121"/>
        <v>#N/A</v>
      </c>
      <c r="AT445" s="121" t="e">
        <f>IF('Cable Info'!P149="","",CONCATENATE('Cable Info'!P149," - ",'Cable Info'!Q149))</f>
        <v>#N/A</v>
      </c>
      <c r="AW445" s="121" t="e">
        <f t="shared" si="122"/>
        <v>#N/A</v>
      </c>
      <c r="AY445" s="121" t="str">
        <f>IF('Cable Info'!R149="","",CONCATENATE('Cable Info'!R149," - ",'Cable Info'!S149))</f>
        <v/>
      </c>
      <c r="BB445" s="121" t="str">
        <f t="shared" si="123"/>
        <v/>
      </c>
      <c r="BD445" s="121" t="str">
        <f>IF('Cable Info'!T149="","",CONCATENATE('Cable Info'!T149," - ",'Cable Info'!U149))</f>
        <v/>
      </c>
      <c r="BG445" s="121" t="str">
        <f t="shared" si="124"/>
        <v/>
      </c>
      <c r="BI445" s="121" t="str">
        <f>IF('Cable Info'!V149="","",CONCATENATE('Cable Info'!V149," - ",'Cable Info'!W149))</f>
        <v/>
      </c>
      <c r="BL445" s="121" t="str">
        <f t="shared" si="125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0"/>
        <v>#N/A</v>
      </c>
      <c r="AO446" s="121" t="e">
        <f>IF('Cable Info'!N150="","",CONCATENATE('Cable Info'!N150," - ",'Cable Info'!O150))</f>
        <v>#N/A</v>
      </c>
      <c r="AR446" s="121" t="e">
        <f t="shared" si="121"/>
        <v>#N/A</v>
      </c>
      <c r="AT446" s="121" t="e">
        <f>IF('Cable Info'!P150="","",CONCATENATE('Cable Info'!P150," - ",'Cable Info'!Q150))</f>
        <v>#N/A</v>
      </c>
      <c r="AW446" s="121" t="e">
        <f t="shared" si="122"/>
        <v>#N/A</v>
      </c>
      <c r="AY446" s="121" t="str">
        <f>IF('Cable Info'!R150="","",CONCATENATE('Cable Info'!R150," - ",'Cable Info'!S150))</f>
        <v/>
      </c>
      <c r="BB446" s="121" t="str">
        <f t="shared" si="123"/>
        <v/>
      </c>
      <c r="BD446" s="121" t="str">
        <f>IF('Cable Info'!T150="","",CONCATENATE('Cable Info'!T150," - ",'Cable Info'!U150))</f>
        <v/>
      </c>
      <c r="BG446" s="121" t="str">
        <f t="shared" si="124"/>
        <v/>
      </c>
      <c r="BI446" s="121" t="str">
        <f>IF('Cable Info'!V150="","",CONCATENATE('Cable Info'!V150," - ",'Cable Info'!W150))</f>
        <v/>
      </c>
      <c r="BL446" s="121" t="str">
        <f t="shared" si="125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0"/>
        <v>#N/A</v>
      </c>
      <c r="AO447" s="121" t="e">
        <f>IF('Cable Info'!N151="","",CONCATENATE('Cable Info'!N151," - ",'Cable Info'!O151))</f>
        <v>#N/A</v>
      </c>
      <c r="AR447" s="121" t="e">
        <f t="shared" si="121"/>
        <v>#N/A</v>
      </c>
      <c r="AT447" s="121" t="e">
        <f>IF('Cable Info'!P151="","",CONCATENATE('Cable Info'!P151," - ",'Cable Info'!Q151))</f>
        <v>#N/A</v>
      </c>
      <c r="AW447" s="121" t="e">
        <f t="shared" si="122"/>
        <v>#N/A</v>
      </c>
      <c r="AY447" s="121" t="str">
        <f>IF('Cable Info'!R151="","",CONCATENATE('Cable Info'!R151," - ",'Cable Info'!S151))</f>
        <v/>
      </c>
      <c r="BB447" s="121" t="str">
        <f t="shared" si="123"/>
        <v/>
      </c>
      <c r="BD447" s="121" t="str">
        <f>IF('Cable Info'!T151="","",CONCATENATE('Cable Info'!T151," - ",'Cable Info'!U151))</f>
        <v/>
      </c>
      <c r="BG447" s="121" t="str">
        <f t="shared" si="124"/>
        <v/>
      </c>
      <c r="BI447" s="121" t="str">
        <f>IF('Cable Info'!V151="","",CONCATENATE('Cable Info'!V151," - ",'Cable Info'!W151))</f>
        <v/>
      </c>
      <c r="BL447" s="121" t="str">
        <f t="shared" si="125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0"/>
        <v>#N/A</v>
      </c>
      <c r="AO448" s="121" t="e">
        <f>IF('Cable Info'!N152="","",CONCATENATE('Cable Info'!N152," - ",'Cable Info'!O152))</f>
        <v>#N/A</v>
      </c>
      <c r="AR448" s="121" t="e">
        <f t="shared" si="121"/>
        <v>#N/A</v>
      </c>
      <c r="AT448" s="121" t="e">
        <f>IF('Cable Info'!P152="","",CONCATENATE('Cable Info'!P152," - ",'Cable Info'!Q152))</f>
        <v>#N/A</v>
      </c>
      <c r="AW448" s="121" t="e">
        <f t="shared" si="122"/>
        <v>#N/A</v>
      </c>
      <c r="AY448" s="121" t="str">
        <f>IF('Cable Info'!R152="","",CONCATENATE('Cable Info'!R152," - ",'Cable Info'!S152))</f>
        <v/>
      </c>
      <c r="BB448" s="121" t="str">
        <f t="shared" si="123"/>
        <v/>
      </c>
      <c r="BD448" s="121" t="str">
        <f>IF('Cable Info'!T152="","",CONCATENATE('Cable Info'!T152," - ",'Cable Info'!U152))</f>
        <v/>
      </c>
      <c r="BG448" s="121" t="str">
        <f t="shared" si="124"/>
        <v/>
      </c>
      <c r="BI448" s="121" t="str">
        <f>IF('Cable Info'!V152="","",CONCATENATE('Cable Info'!V152," - ",'Cable Info'!W152))</f>
        <v/>
      </c>
      <c r="BL448" s="121" t="str">
        <f t="shared" si="125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0"/>
        <v>#N/A</v>
      </c>
      <c r="AO449" s="121" t="e">
        <f>IF('Cable Info'!N153="","",CONCATENATE('Cable Info'!N153," - ",'Cable Info'!O153))</f>
        <v>#N/A</v>
      </c>
      <c r="AR449" s="121" t="e">
        <f t="shared" si="121"/>
        <v>#N/A</v>
      </c>
      <c r="AT449" s="121" t="e">
        <f>IF('Cable Info'!P153="","",CONCATENATE('Cable Info'!P153," - ",'Cable Info'!Q153))</f>
        <v>#N/A</v>
      </c>
      <c r="AW449" s="121" t="e">
        <f t="shared" si="122"/>
        <v>#N/A</v>
      </c>
      <c r="AY449" s="121" t="str">
        <f>IF('Cable Info'!R153="","",CONCATENATE('Cable Info'!R153," - ",'Cable Info'!S153))</f>
        <v/>
      </c>
      <c r="BB449" s="121" t="str">
        <f t="shared" si="123"/>
        <v/>
      </c>
      <c r="BD449" s="121" t="str">
        <f>IF('Cable Info'!T153="","",CONCATENATE('Cable Info'!T153," - ",'Cable Info'!U153))</f>
        <v/>
      </c>
      <c r="BG449" s="121" t="str">
        <f t="shared" si="124"/>
        <v/>
      </c>
      <c r="BI449" s="121" t="str">
        <f>IF('Cable Info'!V153="","",CONCATENATE('Cable Info'!V153," - ",'Cable Info'!W153))</f>
        <v/>
      </c>
      <c r="BL449" s="121" t="str">
        <f t="shared" si="125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0"/>
        <v>#N/A</v>
      </c>
      <c r="AO450" s="121" t="e">
        <f>IF('Cable Info'!N154="","",CONCATENATE('Cable Info'!N154," - ",'Cable Info'!O154))</f>
        <v>#N/A</v>
      </c>
      <c r="AR450" s="121" t="e">
        <f t="shared" si="121"/>
        <v>#N/A</v>
      </c>
      <c r="AT450" s="121" t="e">
        <f>IF('Cable Info'!P154="","",CONCATENATE('Cable Info'!P154," - ",'Cable Info'!Q154))</f>
        <v>#N/A</v>
      </c>
      <c r="AW450" s="121" t="e">
        <f t="shared" si="122"/>
        <v>#N/A</v>
      </c>
      <c r="AY450" s="121" t="str">
        <f>IF('Cable Info'!R154="","",CONCATENATE('Cable Info'!R154," - ",'Cable Info'!S154))</f>
        <v/>
      </c>
      <c r="BB450" s="121" t="str">
        <f t="shared" si="123"/>
        <v/>
      </c>
      <c r="BD450" s="121" t="str">
        <f>IF('Cable Info'!T154="","",CONCATENATE('Cable Info'!T154," - ",'Cable Info'!U154))</f>
        <v/>
      </c>
      <c r="BG450" s="121" t="str">
        <f t="shared" si="124"/>
        <v/>
      </c>
      <c r="BI450" s="121" t="str">
        <f>IF('Cable Info'!V154="","",CONCATENATE('Cable Info'!V154," - ",'Cable Info'!W154))</f>
        <v/>
      </c>
      <c r="BL450" s="121" t="str">
        <f t="shared" si="125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0"/>
        <v>#N/A</v>
      </c>
      <c r="AO451" s="121" t="e">
        <f>IF('Cable Info'!N155="","",CONCATENATE('Cable Info'!N155," - ",'Cable Info'!O155))</f>
        <v>#N/A</v>
      </c>
      <c r="AR451" s="121" t="e">
        <f t="shared" si="121"/>
        <v>#N/A</v>
      </c>
      <c r="AT451" s="121" t="e">
        <f>IF('Cable Info'!P155="","",CONCATENATE('Cable Info'!P155," - ",'Cable Info'!Q155))</f>
        <v>#N/A</v>
      </c>
      <c r="AW451" s="121" t="e">
        <f t="shared" si="122"/>
        <v>#N/A</v>
      </c>
      <c r="AY451" s="121" t="str">
        <f>IF('Cable Info'!R155="","",CONCATENATE('Cable Info'!R155," - ",'Cable Info'!S155))</f>
        <v/>
      </c>
      <c r="BB451" s="121" t="str">
        <f t="shared" si="123"/>
        <v/>
      </c>
      <c r="BD451" s="121" t="str">
        <f>IF('Cable Info'!T155="","",CONCATENATE('Cable Info'!T155," - ",'Cable Info'!U155))</f>
        <v/>
      </c>
      <c r="BG451" s="121" t="str">
        <f t="shared" si="124"/>
        <v/>
      </c>
      <c r="BI451" s="121" t="str">
        <f>IF('Cable Info'!V155="","",CONCATENATE('Cable Info'!V155," - ",'Cable Info'!W155))</f>
        <v/>
      </c>
      <c r="BL451" s="121" t="str">
        <f t="shared" si="125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0"/>
        <v>#N/A</v>
      </c>
      <c r="AO452" s="121" t="e">
        <f>IF('Cable Info'!N156="","",CONCATENATE('Cable Info'!N156," - ",'Cable Info'!O156))</f>
        <v>#N/A</v>
      </c>
      <c r="AR452" s="121" t="e">
        <f t="shared" si="121"/>
        <v>#N/A</v>
      </c>
      <c r="AT452" s="121" t="e">
        <f>IF('Cable Info'!P156="","",CONCATENATE('Cable Info'!P156," - ",'Cable Info'!Q156))</f>
        <v>#N/A</v>
      </c>
      <c r="AW452" s="121" t="e">
        <f t="shared" si="122"/>
        <v>#N/A</v>
      </c>
      <c r="AY452" s="121" t="str">
        <f>IF('Cable Info'!R156="","",CONCATENATE('Cable Info'!R156," - ",'Cable Info'!S156))</f>
        <v/>
      </c>
      <c r="BB452" s="121" t="str">
        <f t="shared" si="123"/>
        <v/>
      </c>
      <c r="BD452" s="121" t="str">
        <f>IF('Cable Info'!T156="","",CONCATENATE('Cable Info'!T156," - ",'Cable Info'!U156))</f>
        <v/>
      </c>
      <c r="BG452" s="121" t="str">
        <f t="shared" si="124"/>
        <v/>
      </c>
      <c r="BI452" s="121" t="str">
        <f>IF('Cable Info'!V156="","",CONCATENATE('Cable Info'!V156," - ",'Cable Info'!W156))</f>
        <v/>
      </c>
      <c r="BL452" s="121" t="str">
        <f t="shared" si="125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0"/>
        <v>#N/A</v>
      </c>
      <c r="AO453" s="121" t="e">
        <f>IF('Cable Info'!N157="","",CONCATENATE('Cable Info'!N157," - ",'Cable Info'!O157))</f>
        <v>#N/A</v>
      </c>
      <c r="AR453" s="121" t="e">
        <f t="shared" si="121"/>
        <v>#N/A</v>
      </c>
      <c r="AT453" s="121" t="e">
        <f>IF('Cable Info'!P157="","",CONCATENATE('Cable Info'!P157," - ",'Cable Info'!Q157))</f>
        <v>#N/A</v>
      </c>
      <c r="AW453" s="121" t="e">
        <f t="shared" si="122"/>
        <v>#N/A</v>
      </c>
      <c r="AY453" s="121" t="str">
        <f>IF('Cable Info'!R157="","",CONCATENATE('Cable Info'!R157," - ",'Cable Info'!S157))</f>
        <v/>
      </c>
      <c r="BB453" s="121" t="str">
        <f t="shared" si="123"/>
        <v/>
      </c>
      <c r="BD453" s="121" t="str">
        <f>IF('Cable Info'!T157="","",CONCATENATE('Cable Info'!T157," - ",'Cable Info'!U157))</f>
        <v/>
      </c>
      <c r="BG453" s="121" t="str">
        <f t="shared" si="124"/>
        <v/>
      </c>
      <c r="BI453" s="121" t="str">
        <f>IF('Cable Info'!V157="","",CONCATENATE('Cable Info'!V157," - ",'Cable Info'!W157))</f>
        <v/>
      </c>
      <c r="BL453" s="121" t="str">
        <f t="shared" si="125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0"/>
        <v>#N/A</v>
      </c>
      <c r="AO454" s="121" t="e">
        <f>IF('Cable Info'!N158="","",CONCATENATE('Cable Info'!N158," - ",'Cable Info'!O158))</f>
        <v>#N/A</v>
      </c>
      <c r="AR454" s="121" t="e">
        <f t="shared" si="121"/>
        <v>#N/A</v>
      </c>
      <c r="AT454" s="121" t="e">
        <f>IF('Cable Info'!P158="","",CONCATENATE('Cable Info'!P158," - ",'Cable Info'!Q158))</f>
        <v>#N/A</v>
      </c>
      <c r="AW454" s="121" t="e">
        <f t="shared" si="122"/>
        <v>#N/A</v>
      </c>
      <c r="AY454" s="121" t="str">
        <f>IF('Cable Info'!R158="","",CONCATENATE('Cable Info'!R158," - ",'Cable Info'!S158))</f>
        <v/>
      </c>
      <c r="BB454" s="121" t="str">
        <f t="shared" si="123"/>
        <v/>
      </c>
      <c r="BD454" s="121" t="str">
        <f>IF('Cable Info'!T158="","",CONCATENATE('Cable Info'!T158," - ",'Cable Info'!U158))</f>
        <v/>
      </c>
      <c r="BG454" s="121" t="str">
        <f t="shared" si="124"/>
        <v/>
      </c>
      <c r="BI454" s="121" t="str">
        <f>IF('Cable Info'!V158="","",CONCATENATE('Cable Info'!V158," - ",'Cable Info'!W158))</f>
        <v/>
      </c>
      <c r="BL454" s="121" t="str">
        <f t="shared" si="125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0"/>
        <v>#N/A</v>
      </c>
      <c r="AO455" s="121" t="e">
        <f>IF('Cable Info'!N159="","",CONCATENATE('Cable Info'!N159," - ",'Cable Info'!O159))</f>
        <v>#N/A</v>
      </c>
      <c r="AR455" s="121" t="e">
        <f t="shared" si="121"/>
        <v>#N/A</v>
      </c>
      <c r="AT455" s="121" t="e">
        <f>IF('Cable Info'!P159="","",CONCATENATE('Cable Info'!P159," - ",'Cable Info'!Q159))</f>
        <v>#N/A</v>
      </c>
      <c r="AW455" s="121" t="e">
        <f t="shared" si="122"/>
        <v>#N/A</v>
      </c>
      <c r="AY455" s="121" t="str">
        <f>IF('Cable Info'!R159="","",CONCATENATE('Cable Info'!R159," - ",'Cable Info'!S159))</f>
        <v/>
      </c>
      <c r="BB455" s="121" t="str">
        <f t="shared" si="123"/>
        <v/>
      </c>
      <c r="BD455" s="121" t="str">
        <f>IF('Cable Info'!T159="","",CONCATENATE('Cable Info'!T159," - ",'Cable Info'!U159))</f>
        <v/>
      </c>
      <c r="BG455" s="121" t="str">
        <f t="shared" si="124"/>
        <v/>
      </c>
      <c r="BI455" s="121" t="str">
        <f>IF('Cable Info'!V159="","",CONCATENATE('Cable Info'!V159," - ",'Cable Info'!W159))</f>
        <v/>
      </c>
      <c r="BL455" s="121" t="str">
        <f t="shared" si="125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0"/>
        <v>#N/A</v>
      </c>
      <c r="AO456" s="121" t="e">
        <f>IF('Cable Info'!N160="","",CONCATENATE('Cable Info'!N160," - ",'Cable Info'!O160))</f>
        <v>#N/A</v>
      </c>
      <c r="AR456" s="121" t="e">
        <f t="shared" si="121"/>
        <v>#N/A</v>
      </c>
      <c r="AT456" s="121" t="e">
        <f>IF('Cable Info'!P160="","",CONCATENATE('Cable Info'!P160," - ",'Cable Info'!Q160))</f>
        <v>#N/A</v>
      </c>
      <c r="AW456" s="121" t="e">
        <f t="shared" si="122"/>
        <v>#N/A</v>
      </c>
      <c r="AY456" s="121" t="str">
        <f>IF('Cable Info'!R160="","",CONCATENATE('Cable Info'!R160," - ",'Cable Info'!S160))</f>
        <v/>
      </c>
      <c r="BB456" s="121" t="str">
        <f t="shared" si="123"/>
        <v/>
      </c>
      <c r="BD456" s="121" t="str">
        <f>IF('Cable Info'!T160="","",CONCATENATE('Cable Info'!T160," - ",'Cable Info'!U160))</f>
        <v/>
      </c>
      <c r="BG456" s="121" t="str">
        <f t="shared" si="124"/>
        <v/>
      </c>
      <c r="BI456" s="121" t="str">
        <f>IF('Cable Info'!V160="","",CONCATENATE('Cable Info'!V160," - ",'Cable Info'!W160))</f>
        <v/>
      </c>
      <c r="BL456" s="121" t="str">
        <f t="shared" si="125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0"/>
        <v>#N/A</v>
      </c>
      <c r="AO457" s="121" t="e">
        <f>IF('Cable Info'!N161="","",CONCATENATE('Cable Info'!N161," - ",'Cable Info'!O161))</f>
        <v>#N/A</v>
      </c>
      <c r="AR457" s="121" t="e">
        <f t="shared" si="121"/>
        <v>#N/A</v>
      </c>
      <c r="AT457" s="121" t="e">
        <f>IF('Cable Info'!P161="","",CONCATENATE('Cable Info'!P161," - ",'Cable Info'!Q161))</f>
        <v>#N/A</v>
      </c>
      <c r="AW457" s="121" t="e">
        <f t="shared" si="122"/>
        <v>#N/A</v>
      </c>
      <c r="AY457" s="121" t="str">
        <f>IF('Cable Info'!R161="","",CONCATENATE('Cable Info'!R161," - ",'Cable Info'!S161))</f>
        <v/>
      </c>
      <c r="BB457" s="121" t="str">
        <f t="shared" si="123"/>
        <v/>
      </c>
      <c r="BD457" s="121" t="str">
        <f>IF('Cable Info'!T161="","",CONCATENATE('Cable Info'!T161," - ",'Cable Info'!U161))</f>
        <v/>
      </c>
      <c r="BG457" s="121" t="str">
        <f t="shared" si="124"/>
        <v/>
      </c>
      <c r="BI457" s="121" t="str">
        <f>IF('Cable Info'!V161="","",CONCATENATE('Cable Info'!V161," - ",'Cable Info'!W161))</f>
        <v/>
      </c>
      <c r="BL457" s="121" t="str">
        <f t="shared" si="125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0"/>
        <v>#N/A</v>
      </c>
      <c r="AO458" s="121" t="e">
        <f>IF('Cable Info'!N162="","",CONCATENATE('Cable Info'!N162," - ",'Cable Info'!O162))</f>
        <v>#N/A</v>
      </c>
      <c r="AR458" s="121" t="e">
        <f t="shared" si="121"/>
        <v>#N/A</v>
      </c>
      <c r="AT458" s="121" t="e">
        <f>IF('Cable Info'!P162="","",CONCATENATE('Cable Info'!P162," - ",'Cable Info'!Q162))</f>
        <v>#N/A</v>
      </c>
      <c r="AW458" s="121" t="e">
        <f t="shared" si="122"/>
        <v>#N/A</v>
      </c>
      <c r="AY458" s="121" t="str">
        <f>IF('Cable Info'!R162="","",CONCATENATE('Cable Info'!R162," - ",'Cable Info'!S162))</f>
        <v/>
      </c>
      <c r="BB458" s="121" t="str">
        <f t="shared" si="123"/>
        <v/>
      </c>
      <c r="BD458" s="121" t="str">
        <f>IF('Cable Info'!T162="","",CONCATENATE('Cable Info'!T162," - ",'Cable Info'!U162))</f>
        <v/>
      </c>
      <c r="BG458" s="121" t="str">
        <f t="shared" si="124"/>
        <v/>
      </c>
      <c r="BI458" s="121" t="str">
        <f>IF('Cable Info'!V162="","",CONCATENATE('Cable Info'!V162," - ",'Cable Info'!W162))</f>
        <v/>
      </c>
      <c r="BL458" s="121" t="str">
        <f t="shared" si="125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0"/>
        <v>#N/A</v>
      </c>
      <c r="AO459" s="121" t="e">
        <f>IF('Cable Info'!N163="","",CONCATENATE('Cable Info'!N163," - ",'Cable Info'!O163))</f>
        <v>#N/A</v>
      </c>
      <c r="AR459" s="121" t="e">
        <f t="shared" si="121"/>
        <v>#N/A</v>
      </c>
      <c r="AT459" s="121" t="e">
        <f>IF('Cable Info'!P163="","",CONCATENATE('Cable Info'!P163," - ",'Cable Info'!Q163))</f>
        <v>#N/A</v>
      </c>
      <c r="AW459" s="121" t="e">
        <f t="shared" si="122"/>
        <v>#N/A</v>
      </c>
      <c r="AY459" s="121" t="str">
        <f>IF('Cable Info'!R163="","",CONCATENATE('Cable Info'!R163," - ",'Cable Info'!S163))</f>
        <v/>
      </c>
      <c r="BB459" s="121" t="str">
        <f t="shared" si="123"/>
        <v/>
      </c>
      <c r="BD459" s="121" t="str">
        <f>IF('Cable Info'!T163="","",CONCATENATE('Cable Info'!T163," - ",'Cable Info'!U163))</f>
        <v/>
      </c>
      <c r="BG459" s="121" t="str">
        <f t="shared" si="124"/>
        <v/>
      </c>
      <c r="BI459" s="121" t="str">
        <f>IF('Cable Info'!V163="","",CONCATENATE('Cable Info'!V163," - ",'Cable Info'!W163))</f>
        <v/>
      </c>
      <c r="BL459" s="121" t="str">
        <f t="shared" si="125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0"/>
        <v>#N/A</v>
      </c>
      <c r="AO460" s="121" t="e">
        <f>IF('Cable Info'!N164="","",CONCATENATE('Cable Info'!N164," - ",'Cable Info'!O164))</f>
        <v>#N/A</v>
      </c>
      <c r="AR460" s="121" t="e">
        <f t="shared" si="121"/>
        <v>#N/A</v>
      </c>
      <c r="AT460" s="121" t="e">
        <f>IF('Cable Info'!P164="","",CONCATENATE('Cable Info'!P164," - ",'Cable Info'!Q164))</f>
        <v>#N/A</v>
      </c>
      <c r="AW460" s="121" t="e">
        <f t="shared" si="122"/>
        <v>#N/A</v>
      </c>
      <c r="AY460" s="121" t="str">
        <f>IF('Cable Info'!R164="","",CONCATENATE('Cable Info'!R164," - ",'Cable Info'!S164))</f>
        <v/>
      </c>
      <c r="BB460" s="121" t="str">
        <f t="shared" si="123"/>
        <v/>
      </c>
      <c r="BD460" s="121" t="str">
        <f>IF('Cable Info'!T164="","",CONCATENATE('Cable Info'!T164," - ",'Cable Info'!U164))</f>
        <v/>
      </c>
      <c r="BG460" s="121" t="str">
        <f t="shared" si="124"/>
        <v/>
      </c>
      <c r="BI460" s="121" t="str">
        <f>IF('Cable Info'!V164="","",CONCATENATE('Cable Info'!V164," - ",'Cable Info'!W164))</f>
        <v/>
      </c>
      <c r="BL460" s="121" t="str">
        <f t="shared" si="125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0"/>
        <v>#N/A</v>
      </c>
      <c r="AO461" s="121" t="e">
        <f>IF('Cable Info'!N165="","",CONCATENATE('Cable Info'!N165," - ",'Cable Info'!O165))</f>
        <v>#N/A</v>
      </c>
      <c r="AR461" s="121" t="e">
        <f t="shared" si="121"/>
        <v>#N/A</v>
      </c>
      <c r="AT461" s="121" t="e">
        <f>IF('Cable Info'!P165="","",CONCATENATE('Cable Info'!P165," - ",'Cable Info'!Q165))</f>
        <v>#N/A</v>
      </c>
      <c r="AW461" s="121" t="e">
        <f t="shared" si="122"/>
        <v>#N/A</v>
      </c>
      <c r="AY461" s="121" t="str">
        <f>IF('Cable Info'!R165="","",CONCATENATE('Cable Info'!R165," - ",'Cable Info'!S165))</f>
        <v/>
      </c>
      <c r="BB461" s="121" t="str">
        <f t="shared" si="123"/>
        <v/>
      </c>
      <c r="BD461" s="121" t="str">
        <f>IF('Cable Info'!T165="","",CONCATENATE('Cable Info'!T165," - ",'Cable Info'!U165))</f>
        <v/>
      </c>
      <c r="BG461" s="121" t="str">
        <f t="shared" si="124"/>
        <v/>
      </c>
      <c r="BI461" s="121" t="str">
        <f>IF('Cable Info'!V165="","",CONCATENATE('Cable Info'!V165," - ",'Cable Info'!W165))</f>
        <v/>
      </c>
      <c r="BL461" s="121" t="str">
        <f t="shared" si="125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0"/>
        <v>#N/A</v>
      </c>
      <c r="AO462" s="121" t="e">
        <f>IF('Cable Info'!N166="","",CONCATENATE('Cable Info'!N166," - ",'Cable Info'!O166))</f>
        <v>#N/A</v>
      </c>
      <c r="AR462" s="121" t="e">
        <f t="shared" si="121"/>
        <v>#N/A</v>
      </c>
      <c r="AT462" s="121" t="e">
        <f>IF('Cable Info'!P166="","",CONCATENATE('Cable Info'!P166," - ",'Cable Info'!Q166))</f>
        <v>#N/A</v>
      </c>
      <c r="AW462" s="121" t="e">
        <f t="shared" si="122"/>
        <v>#N/A</v>
      </c>
      <c r="AY462" s="121" t="str">
        <f>IF('Cable Info'!R166="","",CONCATENATE('Cable Info'!R166," - ",'Cable Info'!S166))</f>
        <v/>
      </c>
      <c r="BB462" s="121" t="str">
        <f t="shared" si="123"/>
        <v/>
      </c>
      <c r="BD462" s="121" t="str">
        <f>IF('Cable Info'!T166="","",CONCATENATE('Cable Info'!T166," - ",'Cable Info'!U166))</f>
        <v/>
      </c>
      <c r="BG462" s="121" t="str">
        <f t="shared" si="124"/>
        <v/>
      </c>
      <c r="BI462" s="121" t="str">
        <f>IF('Cable Info'!V166="","",CONCATENATE('Cable Info'!V166," - ",'Cable Info'!W166))</f>
        <v/>
      </c>
      <c r="BL462" s="121" t="str">
        <f t="shared" si="125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0"/>
        <v>#N/A</v>
      </c>
      <c r="AO463" s="121" t="e">
        <f>IF('Cable Info'!N167="","",CONCATENATE('Cable Info'!N167," - ",'Cable Info'!O167))</f>
        <v>#N/A</v>
      </c>
      <c r="AR463" s="121" t="e">
        <f t="shared" si="121"/>
        <v>#N/A</v>
      </c>
      <c r="AT463" s="121" t="e">
        <f>IF('Cable Info'!P167="","",CONCATENATE('Cable Info'!P167," - ",'Cable Info'!Q167))</f>
        <v>#N/A</v>
      </c>
      <c r="AW463" s="121" t="e">
        <f t="shared" si="122"/>
        <v>#N/A</v>
      </c>
      <c r="AY463" s="121" t="str">
        <f>IF('Cable Info'!R167="","",CONCATENATE('Cable Info'!R167," - ",'Cable Info'!S167))</f>
        <v/>
      </c>
      <c r="BB463" s="121" t="str">
        <f t="shared" si="123"/>
        <v/>
      </c>
      <c r="BD463" s="121" t="str">
        <f>IF('Cable Info'!T167="","",CONCATENATE('Cable Info'!T167," - ",'Cable Info'!U167))</f>
        <v/>
      </c>
      <c r="BG463" s="121" t="str">
        <f t="shared" si="124"/>
        <v/>
      </c>
      <c r="BI463" s="121" t="str">
        <f>IF('Cable Info'!V167="","",CONCATENATE('Cable Info'!V167," - ",'Cable Info'!W167))</f>
        <v/>
      </c>
      <c r="BL463" s="121" t="str">
        <f t="shared" si="125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0"/>
        <v>#N/A</v>
      </c>
      <c r="AO464" s="121" t="e">
        <f>IF('Cable Info'!N168="","",CONCATENATE('Cable Info'!N168," - ",'Cable Info'!O168))</f>
        <v>#N/A</v>
      </c>
      <c r="AR464" s="121" t="e">
        <f t="shared" si="121"/>
        <v>#N/A</v>
      </c>
      <c r="AT464" s="121" t="e">
        <f>IF('Cable Info'!P168="","",CONCATENATE('Cable Info'!P168," - ",'Cable Info'!Q168))</f>
        <v>#N/A</v>
      </c>
      <c r="AW464" s="121" t="e">
        <f t="shared" si="122"/>
        <v>#N/A</v>
      </c>
      <c r="AY464" s="121" t="str">
        <f>IF('Cable Info'!R168="","",CONCATENATE('Cable Info'!R168," - ",'Cable Info'!S168))</f>
        <v/>
      </c>
      <c r="BB464" s="121" t="str">
        <f t="shared" si="123"/>
        <v/>
      </c>
      <c r="BD464" s="121" t="str">
        <f>IF('Cable Info'!T168="","",CONCATENATE('Cable Info'!T168," - ",'Cable Info'!U168))</f>
        <v/>
      </c>
      <c r="BG464" s="121" t="str">
        <f t="shared" si="124"/>
        <v/>
      </c>
      <c r="BI464" s="121" t="str">
        <f>IF('Cable Info'!V168="","",CONCATENATE('Cable Info'!V168," - ",'Cable Info'!W168))</f>
        <v/>
      </c>
      <c r="BL464" s="121" t="str">
        <f t="shared" si="125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0"/>
        <v>#N/A</v>
      </c>
      <c r="AO465" s="121" t="e">
        <f>IF('Cable Info'!N169="","",CONCATENATE('Cable Info'!N169," - ",'Cable Info'!O169))</f>
        <v>#N/A</v>
      </c>
      <c r="AR465" s="121" t="e">
        <f t="shared" si="121"/>
        <v>#N/A</v>
      </c>
      <c r="AT465" s="121" t="e">
        <f>IF('Cable Info'!P169="","",CONCATENATE('Cable Info'!P169," - ",'Cable Info'!Q169))</f>
        <v>#N/A</v>
      </c>
      <c r="AW465" s="121" t="e">
        <f t="shared" si="122"/>
        <v>#N/A</v>
      </c>
      <c r="AY465" s="121" t="str">
        <f>IF('Cable Info'!R169="","",CONCATENATE('Cable Info'!R169," - ",'Cable Info'!S169))</f>
        <v/>
      </c>
      <c r="BB465" s="121" t="str">
        <f t="shared" si="123"/>
        <v/>
      </c>
      <c r="BD465" s="121" t="str">
        <f>IF('Cable Info'!T169="","",CONCATENATE('Cable Info'!T169," - ",'Cable Info'!U169))</f>
        <v/>
      </c>
      <c r="BG465" s="121" t="str">
        <f t="shared" si="124"/>
        <v/>
      </c>
      <c r="BI465" s="121" t="str">
        <f>IF('Cable Info'!V169="","",CONCATENATE('Cable Info'!V169," - ",'Cable Info'!W169))</f>
        <v/>
      </c>
      <c r="BL465" s="121" t="str">
        <f t="shared" si="125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0"/>
        <v>#N/A</v>
      </c>
      <c r="AO466" s="121" t="e">
        <f>IF('Cable Info'!N170="","",CONCATENATE('Cable Info'!N170," - ",'Cable Info'!O170))</f>
        <v>#N/A</v>
      </c>
      <c r="AR466" s="121" t="e">
        <f t="shared" si="121"/>
        <v>#N/A</v>
      </c>
      <c r="AT466" s="121" t="e">
        <f>IF('Cable Info'!P170="","",CONCATENATE('Cable Info'!P170," - ",'Cable Info'!Q170))</f>
        <v>#N/A</v>
      </c>
      <c r="AW466" s="121" t="e">
        <f t="shared" si="122"/>
        <v>#N/A</v>
      </c>
      <c r="AY466" s="121" t="str">
        <f>IF('Cable Info'!R170="","",CONCATENATE('Cable Info'!R170," - ",'Cable Info'!S170))</f>
        <v/>
      </c>
      <c r="BB466" s="121" t="str">
        <f t="shared" si="123"/>
        <v/>
      </c>
      <c r="BD466" s="121" t="str">
        <f>IF('Cable Info'!T170="","",CONCATENATE('Cable Info'!T170," - ",'Cable Info'!U170))</f>
        <v/>
      </c>
      <c r="BG466" s="121" t="str">
        <f t="shared" si="124"/>
        <v/>
      </c>
      <c r="BI466" s="121" t="str">
        <f>IF('Cable Info'!V170="","",CONCATENATE('Cable Info'!V170," - ",'Cable Info'!W170))</f>
        <v/>
      </c>
      <c r="BL466" s="121" t="str">
        <f t="shared" si="125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0"/>
        <v>#N/A</v>
      </c>
      <c r="AO467" s="121" t="e">
        <f>IF('Cable Info'!N171="","",CONCATENATE('Cable Info'!N171," - ",'Cable Info'!O171))</f>
        <v>#N/A</v>
      </c>
      <c r="AR467" s="121" t="e">
        <f t="shared" si="121"/>
        <v>#N/A</v>
      </c>
      <c r="AT467" s="121" t="e">
        <f>IF('Cable Info'!P171="","",CONCATENATE('Cable Info'!P171," - ",'Cable Info'!Q171))</f>
        <v>#N/A</v>
      </c>
      <c r="AW467" s="121" t="e">
        <f t="shared" si="122"/>
        <v>#N/A</v>
      </c>
      <c r="AY467" s="121" t="str">
        <f>IF('Cable Info'!R171="","",CONCATENATE('Cable Info'!R171," - ",'Cable Info'!S171))</f>
        <v/>
      </c>
      <c r="BB467" s="121" t="str">
        <f t="shared" si="123"/>
        <v/>
      </c>
      <c r="BD467" s="121" t="str">
        <f>IF('Cable Info'!T171="","",CONCATENATE('Cable Info'!T171," - ",'Cable Info'!U171))</f>
        <v/>
      </c>
      <c r="BG467" s="121" t="str">
        <f t="shared" si="124"/>
        <v/>
      </c>
      <c r="BI467" s="121" t="str">
        <f>IF('Cable Info'!V171="","",CONCATENATE('Cable Info'!V171," - ",'Cable Info'!W171))</f>
        <v/>
      </c>
      <c r="BL467" s="121" t="str">
        <f t="shared" si="125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0"/>
        <v>#N/A</v>
      </c>
      <c r="AO468" s="121" t="e">
        <f>IF('Cable Info'!N172="","",CONCATENATE('Cable Info'!N172," - ",'Cable Info'!O172))</f>
        <v>#N/A</v>
      </c>
      <c r="AR468" s="121" t="e">
        <f t="shared" si="121"/>
        <v>#N/A</v>
      </c>
      <c r="AT468" s="121" t="e">
        <f>IF('Cable Info'!P172="","",CONCATENATE('Cable Info'!P172," - ",'Cable Info'!Q172))</f>
        <v>#N/A</v>
      </c>
      <c r="AW468" s="121" t="e">
        <f t="shared" si="122"/>
        <v>#N/A</v>
      </c>
      <c r="AY468" s="121" t="str">
        <f>IF('Cable Info'!R172="","",CONCATENATE('Cable Info'!R172," - ",'Cable Info'!S172))</f>
        <v/>
      </c>
      <c r="BB468" s="121" t="str">
        <f t="shared" si="123"/>
        <v/>
      </c>
      <c r="BD468" s="121" t="str">
        <f>IF('Cable Info'!T172="","",CONCATENATE('Cable Info'!T172," - ",'Cable Info'!U172))</f>
        <v/>
      </c>
      <c r="BG468" s="121" t="str">
        <f t="shared" si="124"/>
        <v/>
      </c>
      <c r="BI468" s="121" t="str">
        <f>IF('Cable Info'!V172="","",CONCATENATE('Cable Info'!V172," - ",'Cable Info'!W172))</f>
        <v/>
      </c>
      <c r="BL468" s="121" t="str">
        <f t="shared" si="125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0"/>
        <v>#N/A</v>
      </c>
      <c r="AO469" s="121" t="e">
        <f>IF('Cable Info'!N173="","",CONCATENATE('Cable Info'!N173," - ",'Cable Info'!O173))</f>
        <v>#N/A</v>
      </c>
      <c r="AR469" s="121" t="e">
        <f t="shared" si="121"/>
        <v>#N/A</v>
      </c>
      <c r="AT469" s="121" t="e">
        <f>IF('Cable Info'!P173="","",CONCATENATE('Cable Info'!P173," - ",'Cable Info'!Q173))</f>
        <v>#N/A</v>
      </c>
      <c r="AW469" s="121" t="e">
        <f t="shared" si="122"/>
        <v>#N/A</v>
      </c>
      <c r="AY469" s="121" t="str">
        <f>IF('Cable Info'!R173="","",CONCATENATE('Cable Info'!R173," - ",'Cable Info'!S173))</f>
        <v/>
      </c>
      <c r="BB469" s="121" t="str">
        <f t="shared" si="123"/>
        <v/>
      </c>
      <c r="BD469" s="121" t="str">
        <f>IF('Cable Info'!T173="","",CONCATENATE('Cable Info'!T173," - ",'Cable Info'!U173))</f>
        <v/>
      </c>
      <c r="BG469" s="121" t="str">
        <f t="shared" si="124"/>
        <v/>
      </c>
      <c r="BI469" s="121" t="str">
        <f>IF('Cable Info'!V173="","",CONCATENATE('Cable Info'!V173," - ",'Cable Info'!W173))</f>
        <v/>
      </c>
      <c r="BL469" s="121" t="str">
        <f t="shared" si="125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0"/>
        <v>#N/A</v>
      </c>
      <c r="AO470" s="121" t="e">
        <f>IF('Cable Info'!N174="","",CONCATENATE('Cable Info'!N174," - ",'Cable Info'!O174))</f>
        <v>#N/A</v>
      </c>
      <c r="AR470" s="121" t="e">
        <f t="shared" si="121"/>
        <v>#N/A</v>
      </c>
      <c r="AT470" s="121" t="e">
        <f>IF('Cable Info'!P174="","",CONCATENATE('Cable Info'!P174," - ",'Cable Info'!Q174))</f>
        <v>#N/A</v>
      </c>
      <c r="AW470" s="121" t="e">
        <f t="shared" si="122"/>
        <v>#N/A</v>
      </c>
      <c r="AY470" s="121" t="str">
        <f>IF('Cable Info'!R174="","",CONCATENATE('Cable Info'!R174," - ",'Cable Info'!S174))</f>
        <v/>
      </c>
      <c r="BB470" s="121" t="str">
        <f t="shared" si="123"/>
        <v/>
      </c>
      <c r="BD470" s="121" t="str">
        <f>IF('Cable Info'!T174="","",CONCATENATE('Cable Info'!T174," - ",'Cable Info'!U174))</f>
        <v/>
      </c>
      <c r="BG470" s="121" t="str">
        <f t="shared" si="124"/>
        <v/>
      </c>
      <c r="BI470" s="121" t="str">
        <f>IF('Cable Info'!V174="","",CONCATENATE('Cable Info'!V174," - ",'Cable Info'!W174))</f>
        <v/>
      </c>
      <c r="BL470" s="121" t="str">
        <f t="shared" si="125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0"/>
        <v>#N/A</v>
      </c>
      <c r="AO471" s="121" t="e">
        <f>IF('Cable Info'!N175="","",CONCATENATE('Cable Info'!N175," - ",'Cable Info'!O175))</f>
        <v>#N/A</v>
      </c>
      <c r="AR471" s="121" t="e">
        <f t="shared" si="121"/>
        <v>#N/A</v>
      </c>
      <c r="AT471" s="121" t="e">
        <f>IF('Cable Info'!P175="","",CONCATENATE('Cable Info'!P175," - ",'Cable Info'!Q175))</f>
        <v>#N/A</v>
      </c>
      <c r="AW471" s="121" t="e">
        <f t="shared" si="122"/>
        <v>#N/A</v>
      </c>
      <c r="AY471" s="121" t="str">
        <f>IF('Cable Info'!R175="","",CONCATENATE('Cable Info'!R175," - ",'Cable Info'!S175))</f>
        <v/>
      </c>
      <c r="BB471" s="121" t="str">
        <f t="shared" si="123"/>
        <v/>
      </c>
      <c r="BD471" s="121" t="str">
        <f>IF('Cable Info'!T175="","",CONCATENATE('Cable Info'!T175," - ",'Cable Info'!U175))</f>
        <v/>
      </c>
      <c r="BG471" s="121" t="str">
        <f t="shared" si="124"/>
        <v/>
      </c>
      <c r="BI471" s="121" t="str">
        <f>IF('Cable Info'!V175="","",CONCATENATE('Cable Info'!V175," - ",'Cable Info'!W175))</f>
        <v/>
      </c>
      <c r="BL471" s="121" t="str">
        <f t="shared" si="125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0"/>
        <v>#N/A</v>
      </c>
      <c r="AO472" s="121" t="e">
        <f>IF('Cable Info'!N176="","",CONCATENATE('Cable Info'!N176," - ",'Cable Info'!O176))</f>
        <v>#N/A</v>
      </c>
      <c r="AR472" s="121" t="e">
        <f t="shared" si="121"/>
        <v>#N/A</v>
      </c>
      <c r="AT472" s="121" t="e">
        <f>IF('Cable Info'!P176="","",CONCATENATE('Cable Info'!P176," - ",'Cable Info'!Q176))</f>
        <v>#N/A</v>
      </c>
      <c r="AW472" s="121" t="e">
        <f t="shared" si="122"/>
        <v>#N/A</v>
      </c>
      <c r="AY472" s="121" t="str">
        <f>IF('Cable Info'!R176="","",CONCATENATE('Cable Info'!R176," - ",'Cable Info'!S176))</f>
        <v/>
      </c>
      <c r="BB472" s="121" t="str">
        <f t="shared" si="123"/>
        <v/>
      </c>
      <c r="BD472" s="121" t="str">
        <f>IF('Cable Info'!T176="","",CONCATENATE('Cable Info'!T176," - ",'Cable Info'!U176))</f>
        <v/>
      </c>
      <c r="BG472" s="121" t="str">
        <f t="shared" si="124"/>
        <v/>
      </c>
      <c r="BI472" s="121" t="str">
        <f>IF('Cable Info'!V176="","",CONCATENATE('Cable Info'!V176," - ",'Cable Info'!W176))</f>
        <v/>
      </c>
      <c r="BL472" s="121" t="str">
        <f t="shared" si="125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0"/>
        <v>#N/A</v>
      </c>
      <c r="AO473" s="121" t="e">
        <f>IF('Cable Info'!N177="","",CONCATENATE('Cable Info'!N177," - ",'Cable Info'!O177))</f>
        <v>#N/A</v>
      </c>
      <c r="AR473" s="121" t="e">
        <f t="shared" si="121"/>
        <v>#N/A</v>
      </c>
      <c r="AT473" s="121" t="e">
        <f>IF('Cable Info'!P177="","",CONCATENATE('Cable Info'!P177," - ",'Cable Info'!Q177))</f>
        <v>#N/A</v>
      </c>
      <c r="AW473" s="121" t="e">
        <f t="shared" si="122"/>
        <v>#N/A</v>
      </c>
      <c r="AY473" s="121" t="str">
        <f>IF('Cable Info'!R177="","",CONCATENATE('Cable Info'!R177," - ",'Cable Info'!S177))</f>
        <v/>
      </c>
      <c r="BB473" s="121" t="str">
        <f t="shared" si="123"/>
        <v/>
      </c>
      <c r="BD473" s="121" t="str">
        <f>IF('Cable Info'!T177="","",CONCATENATE('Cable Info'!T177," - ",'Cable Info'!U177))</f>
        <v/>
      </c>
      <c r="BG473" s="121" t="str">
        <f t="shared" si="124"/>
        <v/>
      </c>
      <c r="BI473" s="121" t="str">
        <f>IF('Cable Info'!V177="","",CONCATENATE('Cable Info'!V177," - ",'Cable Info'!W177))</f>
        <v/>
      </c>
      <c r="BL473" s="121" t="str">
        <f t="shared" si="125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0"/>
        <v>#N/A</v>
      </c>
      <c r="AO474" s="121" t="e">
        <f>IF('Cable Info'!N178="","",CONCATENATE('Cable Info'!N178," - ",'Cable Info'!O178))</f>
        <v>#N/A</v>
      </c>
      <c r="AR474" s="121" t="e">
        <f t="shared" si="121"/>
        <v>#N/A</v>
      </c>
      <c r="AT474" s="121" t="e">
        <f>IF('Cable Info'!P178="","",CONCATENATE('Cable Info'!P178," - ",'Cable Info'!Q178))</f>
        <v>#N/A</v>
      </c>
      <c r="AW474" s="121" t="e">
        <f t="shared" si="122"/>
        <v>#N/A</v>
      </c>
      <c r="AY474" s="121" t="str">
        <f>IF('Cable Info'!R178="","",CONCATENATE('Cable Info'!R178," - ",'Cable Info'!S178))</f>
        <v/>
      </c>
      <c r="BB474" s="121" t="str">
        <f t="shared" si="123"/>
        <v/>
      </c>
      <c r="BD474" s="121" t="str">
        <f>IF('Cable Info'!T178="","",CONCATENATE('Cable Info'!T178," - ",'Cable Info'!U178))</f>
        <v/>
      </c>
      <c r="BG474" s="121" t="str">
        <f t="shared" si="124"/>
        <v/>
      </c>
      <c r="BI474" s="121" t="str">
        <f>IF('Cable Info'!V178="","",CONCATENATE('Cable Info'!V178," - ",'Cable Info'!W178))</f>
        <v/>
      </c>
      <c r="BL474" s="121" t="str">
        <f t="shared" si="125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0"/>
        <v>#N/A</v>
      </c>
      <c r="AO475" s="121" t="e">
        <f>IF('Cable Info'!N179="","",CONCATENATE('Cable Info'!N179," - ",'Cable Info'!O179))</f>
        <v>#N/A</v>
      </c>
      <c r="AR475" s="121" t="e">
        <f t="shared" si="121"/>
        <v>#N/A</v>
      </c>
      <c r="AT475" s="121" t="e">
        <f>IF('Cable Info'!P179="","",CONCATENATE('Cable Info'!P179," - ",'Cable Info'!Q179))</f>
        <v>#N/A</v>
      </c>
      <c r="AW475" s="121" t="e">
        <f t="shared" si="122"/>
        <v>#N/A</v>
      </c>
      <c r="AY475" s="121" t="str">
        <f>IF('Cable Info'!R179="","",CONCATENATE('Cable Info'!R179," - ",'Cable Info'!S179))</f>
        <v/>
      </c>
      <c r="BB475" s="121" t="str">
        <f t="shared" si="123"/>
        <v/>
      </c>
      <c r="BD475" s="121" t="str">
        <f>IF('Cable Info'!T179="","",CONCATENATE('Cable Info'!T179," - ",'Cable Info'!U179))</f>
        <v/>
      </c>
      <c r="BG475" s="121" t="str">
        <f t="shared" si="124"/>
        <v/>
      </c>
      <c r="BI475" s="121" t="str">
        <f>IF('Cable Info'!V179="","",CONCATENATE('Cable Info'!V179," - ",'Cable Info'!W179))</f>
        <v/>
      </c>
      <c r="BL475" s="121" t="str">
        <f t="shared" si="125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0"/>
        <v>#N/A</v>
      </c>
      <c r="AO476" s="121" t="e">
        <f>IF('Cable Info'!N180="","",CONCATENATE('Cable Info'!N180," - ",'Cable Info'!O180))</f>
        <v>#N/A</v>
      </c>
      <c r="AR476" s="121" t="e">
        <f t="shared" si="121"/>
        <v>#N/A</v>
      </c>
      <c r="AT476" s="121" t="e">
        <f>IF('Cable Info'!P180="","",CONCATENATE('Cable Info'!P180," - ",'Cable Info'!Q180))</f>
        <v>#N/A</v>
      </c>
      <c r="AW476" s="121" t="e">
        <f t="shared" si="122"/>
        <v>#N/A</v>
      </c>
      <c r="AY476" s="121" t="str">
        <f>IF('Cable Info'!R180="","",CONCATENATE('Cable Info'!R180," - ",'Cable Info'!S180))</f>
        <v/>
      </c>
      <c r="BB476" s="121" t="str">
        <f t="shared" si="123"/>
        <v/>
      </c>
      <c r="BD476" s="121" t="str">
        <f>IF('Cable Info'!T180="","",CONCATENATE('Cable Info'!T180," - ",'Cable Info'!U180))</f>
        <v/>
      </c>
      <c r="BG476" s="121" t="str">
        <f t="shared" si="124"/>
        <v/>
      </c>
      <c r="BI476" s="121" t="str">
        <f>IF('Cable Info'!V180="","",CONCATENATE('Cable Info'!V180," - ",'Cable Info'!W180))</f>
        <v/>
      </c>
      <c r="BL476" s="121" t="str">
        <f t="shared" si="125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0"/>
        <v>#N/A</v>
      </c>
      <c r="AO477" s="121" t="e">
        <f>IF('Cable Info'!N181="","",CONCATENATE('Cable Info'!N181," - ",'Cable Info'!O181))</f>
        <v>#N/A</v>
      </c>
      <c r="AR477" s="121" t="e">
        <f t="shared" si="121"/>
        <v>#N/A</v>
      </c>
      <c r="AT477" s="121" t="e">
        <f>IF('Cable Info'!P181="","",CONCATENATE('Cable Info'!P181," - ",'Cable Info'!Q181))</f>
        <v>#N/A</v>
      </c>
      <c r="AW477" s="121" t="e">
        <f t="shared" si="122"/>
        <v>#N/A</v>
      </c>
      <c r="AY477" s="121" t="str">
        <f>IF('Cable Info'!R181="","",CONCATENATE('Cable Info'!R181," - ",'Cable Info'!S181))</f>
        <v/>
      </c>
      <c r="BB477" s="121" t="str">
        <f t="shared" si="123"/>
        <v/>
      </c>
      <c r="BD477" s="121" t="str">
        <f>IF('Cable Info'!T181="","",CONCATENATE('Cable Info'!T181," - ",'Cable Info'!U181))</f>
        <v/>
      </c>
      <c r="BG477" s="121" t="str">
        <f t="shared" si="124"/>
        <v/>
      </c>
      <c r="BI477" s="121" t="str">
        <f>IF('Cable Info'!V181="","",CONCATENATE('Cable Info'!V181," - ",'Cable Info'!W181))</f>
        <v/>
      </c>
      <c r="BL477" s="121" t="str">
        <f t="shared" si="125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0"/>
        <v>#N/A</v>
      </c>
      <c r="AO478" s="121" t="e">
        <f>IF('Cable Info'!N182="","",CONCATENATE('Cable Info'!N182," - ",'Cable Info'!O182))</f>
        <v>#N/A</v>
      </c>
      <c r="AR478" s="121" t="e">
        <f t="shared" si="121"/>
        <v>#N/A</v>
      </c>
      <c r="AT478" s="121" t="e">
        <f>IF('Cable Info'!P182="","",CONCATENATE('Cable Info'!P182," - ",'Cable Info'!Q182))</f>
        <v>#N/A</v>
      </c>
      <c r="AW478" s="121" t="e">
        <f t="shared" si="122"/>
        <v>#N/A</v>
      </c>
      <c r="AY478" s="121" t="str">
        <f>IF('Cable Info'!R182="","",CONCATENATE('Cable Info'!R182," - ",'Cable Info'!S182))</f>
        <v/>
      </c>
      <c r="BB478" s="121" t="str">
        <f t="shared" si="123"/>
        <v/>
      </c>
      <c r="BD478" s="121" t="str">
        <f>IF('Cable Info'!T182="","",CONCATENATE('Cable Info'!T182," - ",'Cable Info'!U182))</f>
        <v/>
      </c>
      <c r="BG478" s="121" t="str">
        <f t="shared" si="124"/>
        <v/>
      </c>
      <c r="BI478" s="121" t="str">
        <f>IF('Cable Info'!V182="","",CONCATENATE('Cable Info'!V182," - ",'Cable Info'!W182))</f>
        <v/>
      </c>
      <c r="BL478" s="121" t="str">
        <f t="shared" si="125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0"/>
        <v>#N/A</v>
      </c>
      <c r="AO479" s="121" t="e">
        <f>IF('Cable Info'!N183="","",CONCATENATE('Cable Info'!N183," - ",'Cable Info'!O183))</f>
        <v>#N/A</v>
      </c>
      <c r="AR479" s="121" t="e">
        <f t="shared" si="121"/>
        <v>#N/A</v>
      </c>
      <c r="AT479" s="121" t="e">
        <f>IF('Cable Info'!P183="","",CONCATENATE('Cable Info'!P183," - ",'Cable Info'!Q183))</f>
        <v>#N/A</v>
      </c>
      <c r="AW479" s="121" t="e">
        <f t="shared" si="122"/>
        <v>#N/A</v>
      </c>
      <c r="AY479" s="121" t="str">
        <f>IF('Cable Info'!R183="","",CONCATENATE('Cable Info'!R183," - ",'Cable Info'!S183))</f>
        <v/>
      </c>
      <c r="BB479" s="121" t="str">
        <f t="shared" si="123"/>
        <v/>
      </c>
      <c r="BD479" s="121" t="str">
        <f>IF('Cable Info'!T183="","",CONCATENATE('Cable Info'!T183," - ",'Cable Info'!U183))</f>
        <v/>
      </c>
      <c r="BG479" s="121" t="str">
        <f t="shared" si="124"/>
        <v/>
      </c>
      <c r="BI479" s="121" t="str">
        <f>IF('Cable Info'!V183="","",CONCATENATE('Cable Info'!V183," - ",'Cable Info'!W183))</f>
        <v/>
      </c>
      <c r="BL479" s="121" t="str">
        <f t="shared" si="125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0"/>
        <v>#N/A</v>
      </c>
      <c r="AO480" s="121" t="e">
        <f>IF('Cable Info'!N184="","",CONCATENATE('Cable Info'!N184," - ",'Cable Info'!O184))</f>
        <v>#N/A</v>
      </c>
      <c r="AR480" s="121" t="e">
        <f t="shared" si="121"/>
        <v>#N/A</v>
      </c>
      <c r="AT480" s="121" t="e">
        <f>IF('Cable Info'!P184="","",CONCATENATE('Cable Info'!P184," - ",'Cable Info'!Q184))</f>
        <v>#N/A</v>
      </c>
      <c r="AW480" s="121" t="e">
        <f t="shared" si="122"/>
        <v>#N/A</v>
      </c>
      <c r="AY480" s="121" t="str">
        <f>IF('Cable Info'!R184="","",CONCATENATE('Cable Info'!R184," - ",'Cable Info'!S184))</f>
        <v/>
      </c>
      <c r="BB480" s="121" t="str">
        <f t="shared" si="123"/>
        <v/>
      </c>
      <c r="BD480" s="121" t="str">
        <f>IF('Cable Info'!T184="","",CONCATENATE('Cable Info'!T184," - ",'Cable Info'!U184))</f>
        <v/>
      </c>
      <c r="BG480" s="121" t="str">
        <f t="shared" si="124"/>
        <v/>
      </c>
      <c r="BI480" s="121" t="str">
        <f>IF('Cable Info'!V184="","",CONCATENATE('Cable Info'!V184," - ",'Cable Info'!W184))</f>
        <v/>
      </c>
      <c r="BL480" s="121" t="str">
        <f t="shared" si="125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0"/>
        <v>#N/A</v>
      </c>
      <c r="AO481" s="121" t="e">
        <f>IF('Cable Info'!N185="","",CONCATENATE('Cable Info'!N185," - ",'Cable Info'!O185))</f>
        <v>#N/A</v>
      </c>
      <c r="AR481" s="121" t="e">
        <f t="shared" si="121"/>
        <v>#N/A</v>
      </c>
      <c r="AT481" s="121" t="e">
        <f>IF('Cable Info'!P185="","",CONCATENATE('Cable Info'!P185," - ",'Cable Info'!Q185))</f>
        <v>#N/A</v>
      </c>
      <c r="AW481" s="121" t="e">
        <f t="shared" si="122"/>
        <v>#N/A</v>
      </c>
      <c r="AY481" s="121" t="str">
        <f>IF('Cable Info'!R185="","",CONCATENATE('Cable Info'!R185," - ",'Cable Info'!S185))</f>
        <v/>
      </c>
      <c r="BB481" s="121" t="str">
        <f t="shared" si="123"/>
        <v/>
      </c>
      <c r="BD481" s="121" t="str">
        <f>IF('Cable Info'!T185="","",CONCATENATE('Cable Info'!T185," - ",'Cable Info'!U185))</f>
        <v/>
      </c>
      <c r="BG481" s="121" t="str">
        <f t="shared" si="124"/>
        <v/>
      </c>
      <c r="BI481" s="121" t="str">
        <f>IF('Cable Info'!V185="","",CONCATENATE('Cable Info'!V185," - ",'Cable Info'!W185))</f>
        <v/>
      </c>
      <c r="BL481" s="121" t="str">
        <f t="shared" si="125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0"/>
        <v>#N/A</v>
      </c>
      <c r="AO482" s="121" t="e">
        <f>IF('Cable Info'!N186="","",CONCATENATE('Cable Info'!N186," - ",'Cable Info'!O186))</f>
        <v>#N/A</v>
      </c>
      <c r="AR482" s="121" t="e">
        <f t="shared" si="121"/>
        <v>#N/A</v>
      </c>
      <c r="AT482" s="121" t="e">
        <f>IF('Cable Info'!P186="","",CONCATENATE('Cable Info'!P186," - ",'Cable Info'!Q186))</f>
        <v>#N/A</v>
      </c>
      <c r="AW482" s="121" t="e">
        <f t="shared" si="122"/>
        <v>#N/A</v>
      </c>
      <c r="AY482" s="121" t="str">
        <f>IF('Cable Info'!R186="","",CONCATENATE('Cable Info'!R186," - ",'Cable Info'!S186))</f>
        <v/>
      </c>
      <c r="BB482" s="121" t="str">
        <f t="shared" si="123"/>
        <v/>
      </c>
      <c r="BD482" s="121" t="str">
        <f>IF('Cable Info'!T186="","",CONCATENATE('Cable Info'!T186," - ",'Cable Info'!U186))</f>
        <v/>
      </c>
      <c r="BG482" s="121" t="str">
        <f t="shared" si="124"/>
        <v/>
      </c>
      <c r="BI482" s="121" t="str">
        <f>IF('Cable Info'!V186="","",CONCATENATE('Cable Info'!V186," - ",'Cable Info'!W186))</f>
        <v/>
      </c>
      <c r="BL482" s="121" t="str">
        <f t="shared" si="125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0"/>
        <v>#N/A</v>
      </c>
      <c r="AO483" s="121" t="e">
        <f>IF('Cable Info'!N187="","",CONCATENATE('Cable Info'!N187," - ",'Cable Info'!O187))</f>
        <v>#N/A</v>
      </c>
      <c r="AR483" s="121" t="e">
        <f t="shared" si="121"/>
        <v>#N/A</v>
      </c>
      <c r="AT483" s="121" t="e">
        <f>IF('Cable Info'!P187="","",CONCATENATE('Cable Info'!P187," - ",'Cable Info'!Q187))</f>
        <v>#N/A</v>
      </c>
      <c r="AW483" s="121" t="e">
        <f t="shared" si="122"/>
        <v>#N/A</v>
      </c>
      <c r="AY483" s="121" t="str">
        <f>IF('Cable Info'!R187="","",CONCATENATE('Cable Info'!R187," - ",'Cable Info'!S187))</f>
        <v/>
      </c>
      <c r="BB483" s="121" t="str">
        <f t="shared" si="123"/>
        <v/>
      </c>
      <c r="BD483" s="121" t="str">
        <f>IF('Cable Info'!T187="","",CONCATENATE('Cable Info'!T187," - ",'Cable Info'!U187))</f>
        <v/>
      </c>
      <c r="BG483" s="121" t="str">
        <f t="shared" si="124"/>
        <v/>
      </c>
      <c r="BI483" s="121" t="str">
        <f>IF('Cable Info'!V187="","",CONCATENATE('Cable Info'!V187," - ",'Cable Info'!W187))</f>
        <v/>
      </c>
      <c r="BL483" s="121" t="str">
        <f t="shared" si="125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0"/>
        <v>#N/A</v>
      </c>
      <c r="AO484" s="121" t="e">
        <f>IF('Cable Info'!N188="","",CONCATENATE('Cable Info'!N188," - ",'Cable Info'!O188))</f>
        <v>#N/A</v>
      </c>
      <c r="AR484" s="121" t="e">
        <f t="shared" si="121"/>
        <v>#N/A</v>
      </c>
      <c r="AT484" s="121" t="e">
        <f>IF('Cable Info'!P188="","",CONCATENATE('Cable Info'!P188," - ",'Cable Info'!Q188))</f>
        <v>#N/A</v>
      </c>
      <c r="AW484" s="121" t="e">
        <f t="shared" si="122"/>
        <v>#N/A</v>
      </c>
      <c r="AY484" s="121" t="str">
        <f>IF('Cable Info'!R188="","",CONCATENATE('Cable Info'!R188," - ",'Cable Info'!S188))</f>
        <v/>
      </c>
      <c r="BB484" s="121" t="str">
        <f t="shared" si="123"/>
        <v/>
      </c>
      <c r="BD484" s="121" t="str">
        <f>IF('Cable Info'!T188="","",CONCATENATE('Cable Info'!T188," - ",'Cable Info'!U188))</f>
        <v/>
      </c>
      <c r="BG484" s="121" t="str">
        <f t="shared" si="124"/>
        <v/>
      </c>
      <c r="BI484" s="121" t="str">
        <f>IF('Cable Info'!V188="","",CONCATENATE('Cable Info'!V188," - ",'Cable Info'!W188))</f>
        <v/>
      </c>
      <c r="BL484" s="121" t="str">
        <f t="shared" si="125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0"/>
        <v>#N/A</v>
      </c>
      <c r="AO485" s="121" t="e">
        <f>IF('Cable Info'!N189="","",CONCATENATE('Cable Info'!N189," - ",'Cable Info'!O189))</f>
        <v>#N/A</v>
      </c>
      <c r="AR485" s="121" t="e">
        <f t="shared" si="121"/>
        <v>#N/A</v>
      </c>
      <c r="AT485" s="121" t="e">
        <f>IF('Cable Info'!P189="","",CONCATENATE('Cable Info'!P189," - ",'Cable Info'!Q189))</f>
        <v>#N/A</v>
      </c>
      <c r="AW485" s="121" t="e">
        <f t="shared" si="122"/>
        <v>#N/A</v>
      </c>
      <c r="AY485" s="121" t="str">
        <f>IF('Cable Info'!R189="","",CONCATENATE('Cable Info'!R189," - ",'Cable Info'!S189))</f>
        <v/>
      </c>
      <c r="BB485" s="121" t="str">
        <f t="shared" si="123"/>
        <v/>
      </c>
      <c r="BD485" s="121" t="str">
        <f>IF('Cable Info'!T189="","",CONCATENATE('Cable Info'!T189," - ",'Cable Info'!U189))</f>
        <v/>
      </c>
      <c r="BG485" s="121" t="str">
        <f t="shared" si="124"/>
        <v/>
      </c>
      <c r="BI485" s="121" t="str">
        <f>IF('Cable Info'!V189="","",CONCATENATE('Cable Info'!V189," - ",'Cable Info'!W189))</f>
        <v/>
      </c>
      <c r="BL485" s="121" t="str">
        <f t="shared" si="125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0"/>
        <v>#N/A</v>
      </c>
      <c r="AO486" s="121" t="e">
        <f>IF('Cable Info'!N190="","",CONCATENATE('Cable Info'!N190," - ",'Cable Info'!O190))</f>
        <v>#N/A</v>
      </c>
      <c r="AR486" s="121" t="e">
        <f t="shared" si="121"/>
        <v>#N/A</v>
      </c>
      <c r="AT486" s="121" t="e">
        <f>IF('Cable Info'!P190="","",CONCATENATE('Cable Info'!P190," - ",'Cable Info'!Q190))</f>
        <v>#N/A</v>
      </c>
      <c r="AW486" s="121" t="e">
        <f t="shared" si="122"/>
        <v>#N/A</v>
      </c>
      <c r="AY486" s="121" t="str">
        <f>IF('Cable Info'!R190="","",CONCATENATE('Cable Info'!R190," - ",'Cable Info'!S190))</f>
        <v/>
      </c>
      <c r="BB486" s="121" t="str">
        <f t="shared" si="123"/>
        <v/>
      </c>
      <c r="BD486" s="121" t="str">
        <f>IF('Cable Info'!T190="","",CONCATENATE('Cable Info'!T190," - ",'Cable Info'!U190))</f>
        <v/>
      </c>
      <c r="BG486" s="121" t="str">
        <f t="shared" si="124"/>
        <v/>
      </c>
      <c r="BI486" s="121" t="str">
        <f>IF('Cable Info'!V190="","",CONCATENATE('Cable Info'!V190," - ",'Cable Info'!W190))</f>
        <v/>
      </c>
      <c r="BL486" s="121" t="str">
        <f t="shared" si="125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0"/>
        <v>#N/A</v>
      </c>
      <c r="AO487" s="121" t="e">
        <f>IF('Cable Info'!N191="","",CONCATENATE('Cable Info'!N191," - ",'Cable Info'!O191))</f>
        <v>#N/A</v>
      </c>
      <c r="AR487" s="121" t="e">
        <f t="shared" si="121"/>
        <v>#N/A</v>
      </c>
      <c r="AT487" s="121" t="e">
        <f>IF('Cable Info'!P191="","",CONCATENATE('Cable Info'!P191," - ",'Cable Info'!Q191))</f>
        <v>#N/A</v>
      </c>
      <c r="AW487" s="121" t="e">
        <f t="shared" si="122"/>
        <v>#N/A</v>
      </c>
      <c r="AY487" s="121" t="str">
        <f>IF('Cable Info'!R191="","",CONCATENATE('Cable Info'!R191," - ",'Cable Info'!S191))</f>
        <v/>
      </c>
      <c r="BB487" s="121" t="str">
        <f t="shared" si="123"/>
        <v/>
      </c>
      <c r="BD487" s="121" t="str">
        <f>IF('Cable Info'!T191="","",CONCATENATE('Cable Info'!T191," - ",'Cable Info'!U191))</f>
        <v/>
      </c>
      <c r="BG487" s="121" t="str">
        <f t="shared" si="124"/>
        <v/>
      </c>
      <c r="BI487" s="121" t="str">
        <f>IF('Cable Info'!V191="","",CONCATENATE('Cable Info'!V191," - ",'Cable Info'!W191))</f>
        <v/>
      </c>
      <c r="BL487" s="121" t="str">
        <f t="shared" si="125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0"/>
        <v>#N/A</v>
      </c>
      <c r="AO488" s="121" t="e">
        <f>IF('Cable Info'!N192="","",CONCATENATE('Cable Info'!N192," - ",'Cable Info'!O192))</f>
        <v>#N/A</v>
      </c>
      <c r="AR488" s="121" t="e">
        <f t="shared" si="121"/>
        <v>#N/A</v>
      </c>
      <c r="AT488" s="121" t="e">
        <f>IF('Cable Info'!P192="","",CONCATENATE('Cable Info'!P192," - ",'Cable Info'!Q192))</f>
        <v>#N/A</v>
      </c>
      <c r="AW488" s="121" t="e">
        <f t="shared" si="122"/>
        <v>#N/A</v>
      </c>
      <c r="AY488" s="121" t="str">
        <f>IF('Cable Info'!R192="","",CONCATENATE('Cable Info'!R192," - ",'Cable Info'!S192))</f>
        <v/>
      </c>
      <c r="BB488" s="121" t="str">
        <f t="shared" si="123"/>
        <v/>
      </c>
      <c r="BD488" s="121" t="str">
        <f>IF('Cable Info'!T192="","",CONCATENATE('Cable Info'!T192," - ",'Cable Info'!U192))</f>
        <v/>
      </c>
      <c r="BG488" s="121" t="str">
        <f t="shared" si="124"/>
        <v/>
      </c>
      <c r="BI488" s="121" t="str">
        <f>IF('Cable Info'!V192="","",CONCATENATE('Cable Info'!V192," - ",'Cable Info'!W192))</f>
        <v/>
      </c>
      <c r="BL488" s="121" t="str">
        <f t="shared" si="125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0"/>
        <v>#N/A</v>
      </c>
      <c r="AO489" s="121" t="e">
        <f>IF('Cable Info'!N193="","",CONCATENATE('Cable Info'!N193," - ",'Cable Info'!O193))</f>
        <v>#N/A</v>
      </c>
      <c r="AR489" s="121" t="e">
        <f t="shared" si="121"/>
        <v>#N/A</v>
      </c>
      <c r="AT489" s="121" t="e">
        <f>IF('Cable Info'!P193="","",CONCATENATE('Cable Info'!P193," - ",'Cable Info'!Q193))</f>
        <v>#N/A</v>
      </c>
      <c r="AW489" s="121" t="e">
        <f t="shared" si="122"/>
        <v>#N/A</v>
      </c>
      <c r="AY489" s="121" t="str">
        <f>IF('Cable Info'!R193="","",CONCATENATE('Cable Info'!R193," - ",'Cable Info'!S193))</f>
        <v/>
      </c>
      <c r="BB489" s="121" t="str">
        <f t="shared" si="123"/>
        <v/>
      </c>
      <c r="BD489" s="121" t="str">
        <f>IF('Cable Info'!T193="","",CONCATENATE('Cable Info'!T193," - ",'Cable Info'!U193))</f>
        <v/>
      </c>
      <c r="BG489" s="121" t="str">
        <f t="shared" si="124"/>
        <v/>
      </c>
      <c r="BI489" s="121" t="str">
        <f>IF('Cable Info'!V193="","",CONCATENATE('Cable Info'!V193," - ",'Cable Info'!W193))</f>
        <v/>
      </c>
      <c r="BL489" s="121" t="str">
        <f t="shared" si="125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0"/>
        <v>#N/A</v>
      </c>
      <c r="AO490" s="121" t="e">
        <f>IF('Cable Info'!N194="","",CONCATENATE('Cable Info'!N194," - ",'Cable Info'!O194))</f>
        <v>#N/A</v>
      </c>
      <c r="AR490" s="121" t="e">
        <f t="shared" si="121"/>
        <v>#N/A</v>
      </c>
      <c r="AT490" s="121" t="e">
        <f>IF('Cable Info'!P194="","",CONCATENATE('Cable Info'!P194," - ",'Cable Info'!Q194))</f>
        <v>#N/A</v>
      </c>
      <c r="AW490" s="121" t="e">
        <f t="shared" si="122"/>
        <v>#N/A</v>
      </c>
      <c r="AY490" s="121" t="str">
        <f>IF('Cable Info'!R194="","",CONCATENATE('Cable Info'!R194," - ",'Cable Info'!S194))</f>
        <v/>
      </c>
      <c r="BB490" s="121" t="str">
        <f t="shared" si="123"/>
        <v/>
      </c>
      <c r="BD490" s="121" t="str">
        <f>IF('Cable Info'!T194="","",CONCATENATE('Cable Info'!T194," - ",'Cable Info'!U194))</f>
        <v/>
      </c>
      <c r="BG490" s="121" t="str">
        <f t="shared" si="124"/>
        <v/>
      </c>
      <c r="BI490" s="121" t="str">
        <f>IF('Cable Info'!V194="","",CONCATENATE('Cable Info'!V194," - ",'Cable Info'!W194))</f>
        <v/>
      </c>
      <c r="BL490" s="121" t="str">
        <f t="shared" si="125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26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27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28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29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0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1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26"/>
        <v>#N/A</v>
      </c>
      <c r="AO492" s="121" t="e">
        <f>IF('Cable Info'!N196="","",CONCATENATE('Cable Info'!N196," - ",'Cable Info'!O196))</f>
        <v>#N/A</v>
      </c>
      <c r="AR492" s="121" t="e">
        <f t="shared" si="127"/>
        <v>#N/A</v>
      </c>
      <c r="AT492" s="121" t="e">
        <f>IF('Cable Info'!P196="","",CONCATENATE('Cable Info'!P196," - ",'Cable Info'!Q196))</f>
        <v>#N/A</v>
      </c>
      <c r="AW492" s="121" t="e">
        <f t="shared" si="128"/>
        <v>#N/A</v>
      </c>
      <c r="AY492" s="121" t="str">
        <f>IF('Cable Info'!R196="","",CONCATENATE('Cable Info'!R196," - ",'Cable Info'!S196))</f>
        <v/>
      </c>
      <c r="BB492" s="121" t="str">
        <f t="shared" si="129"/>
        <v/>
      </c>
      <c r="BD492" s="121" t="str">
        <f>IF('Cable Info'!T196="","",CONCATENATE('Cable Info'!T196," - ",'Cable Info'!U196))</f>
        <v/>
      </c>
      <c r="BG492" s="121" t="str">
        <f t="shared" si="130"/>
        <v/>
      </c>
      <c r="BI492" s="121" t="str">
        <f>IF('Cable Info'!V196="","",CONCATENATE('Cable Info'!V196," - ",'Cable Info'!W196))</f>
        <v/>
      </c>
      <c r="BL492" s="121" t="str">
        <f t="shared" si="131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26"/>
        <v>#N/A</v>
      </c>
      <c r="AO493" s="121" t="e">
        <f>IF('Cable Info'!N197="","",CONCATENATE('Cable Info'!N197," - ",'Cable Info'!O197))</f>
        <v>#N/A</v>
      </c>
      <c r="AR493" s="121" t="e">
        <f t="shared" si="127"/>
        <v>#N/A</v>
      </c>
      <c r="AT493" s="121" t="e">
        <f>IF('Cable Info'!P197="","",CONCATENATE('Cable Info'!P197," - ",'Cable Info'!Q197))</f>
        <v>#N/A</v>
      </c>
      <c r="AW493" s="121" t="e">
        <f t="shared" si="128"/>
        <v>#N/A</v>
      </c>
      <c r="AY493" s="121" t="str">
        <f>IF('Cable Info'!R197="","",CONCATENATE('Cable Info'!R197," - ",'Cable Info'!S197))</f>
        <v/>
      </c>
      <c r="BB493" s="121" t="str">
        <f t="shared" si="129"/>
        <v/>
      </c>
      <c r="BD493" s="121" t="str">
        <f>IF('Cable Info'!T197="","",CONCATENATE('Cable Info'!T197," - ",'Cable Info'!U197))</f>
        <v/>
      </c>
      <c r="BG493" s="121" t="str">
        <f t="shared" si="130"/>
        <v/>
      </c>
      <c r="BI493" s="121" t="str">
        <f>IF('Cable Info'!V197="","",CONCATENATE('Cable Info'!V197," - ",'Cable Info'!W197))</f>
        <v/>
      </c>
      <c r="BL493" s="121" t="str">
        <f t="shared" si="131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26"/>
        <v>#N/A</v>
      </c>
      <c r="AO494" s="121" t="e">
        <f>IF('Cable Info'!N198="","",CONCATENATE('Cable Info'!N198," - ",'Cable Info'!O198))</f>
        <v>#N/A</v>
      </c>
      <c r="AR494" s="121" t="e">
        <f t="shared" si="127"/>
        <v>#N/A</v>
      </c>
      <c r="AT494" s="121" t="e">
        <f>IF('Cable Info'!P198="","",CONCATENATE('Cable Info'!P198," - ",'Cable Info'!Q198))</f>
        <v>#N/A</v>
      </c>
      <c r="AW494" s="121" t="e">
        <f t="shared" si="128"/>
        <v>#N/A</v>
      </c>
      <c r="AY494" s="121" t="str">
        <f>IF('Cable Info'!R198="","",CONCATENATE('Cable Info'!R198," - ",'Cable Info'!S198))</f>
        <v/>
      </c>
      <c r="BB494" s="121" t="str">
        <f t="shared" si="129"/>
        <v/>
      </c>
      <c r="BD494" s="121" t="str">
        <f>IF('Cable Info'!T198="","",CONCATENATE('Cable Info'!T198," - ",'Cable Info'!U198))</f>
        <v/>
      </c>
      <c r="BG494" s="121" t="str">
        <f t="shared" si="130"/>
        <v/>
      </c>
      <c r="BI494" s="121" t="str">
        <f>IF('Cable Info'!V198="","",CONCATENATE('Cable Info'!V198," - ",'Cable Info'!W198))</f>
        <v/>
      </c>
      <c r="BL494" s="121" t="str">
        <f t="shared" si="131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26"/>
        <v>#N/A</v>
      </c>
      <c r="AO495" s="121" t="e">
        <f>IF('Cable Info'!N199="","",CONCATENATE('Cable Info'!N199," - ",'Cable Info'!O199))</f>
        <v>#N/A</v>
      </c>
      <c r="AR495" s="121" t="e">
        <f t="shared" si="127"/>
        <v>#N/A</v>
      </c>
      <c r="AT495" s="121" t="e">
        <f>IF('Cable Info'!P199="","",CONCATENATE('Cable Info'!P199," - ",'Cable Info'!Q199))</f>
        <v>#N/A</v>
      </c>
      <c r="AW495" s="121" t="e">
        <f t="shared" si="128"/>
        <v>#N/A</v>
      </c>
      <c r="AY495" s="121" t="str">
        <f>IF('Cable Info'!R199="","",CONCATENATE('Cable Info'!R199," - ",'Cable Info'!S199))</f>
        <v/>
      </c>
      <c r="BB495" s="121" t="str">
        <f t="shared" si="129"/>
        <v/>
      </c>
      <c r="BD495" s="121" t="str">
        <f>IF('Cable Info'!T199="","",CONCATENATE('Cable Info'!T199," - ",'Cable Info'!U199))</f>
        <v/>
      </c>
      <c r="BG495" s="121" t="str">
        <f t="shared" si="130"/>
        <v/>
      </c>
      <c r="BI495" s="121" t="str">
        <f>IF('Cable Info'!V199="","",CONCATENATE('Cable Info'!V199," - ",'Cable Info'!W199))</f>
        <v/>
      </c>
      <c r="BL495" s="121" t="str">
        <f t="shared" si="131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26"/>
        <v>#N/A</v>
      </c>
      <c r="AO496" s="121" t="e">
        <f>IF('Cable Info'!N200="","",CONCATENATE('Cable Info'!N200," - ",'Cable Info'!O200))</f>
        <v>#N/A</v>
      </c>
      <c r="AR496" s="121" t="e">
        <f t="shared" si="127"/>
        <v>#N/A</v>
      </c>
      <c r="AT496" s="121" t="e">
        <f>IF('Cable Info'!P200="","",CONCATENATE('Cable Info'!P200," - ",'Cable Info'!Q200))</f>
        <v>#N/A</v>
      </c>
      <c r="AW496" s="121" t="e">
        <f t="shared" si="128"/>
        <v>#N/A</v>
      </c>
      <c r="AY496" s="121" t="str">
        <f>IF('Cable Info'!R200="","",CONCATENATE('Cable Info'!R200," - ",'Cable Info'!S200))</f>
        <v/>
      </c>
      <c r="BB496" s="121" t="str">
        <f t="shared" si="129"/>
        <v/>
      </c>
      <c r="BD496" s="121" t="str">
        <f>IF('Cable Info'!T200="","",CONCATENATE('Cable Info'!T200," - ",'Cable Info'!U200))</f>
        <v/>
      </c>
      <c r="BG496" s="121" t="str">
        <f t="shared" si="130"/>
        <v/>
      </c>
      <c r="BI496" s="121" t="str">
        <f>IF('Cable Info'!V200="","",CONCATENATE('Cable Info'!V200," - ",'Cable Info'!W200))</f>
        <v/>
      </c>
      <c r="BL496" s="121" t="str">
        <f t="shared" si="131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26"/>
        <v>#N/A</v>
      </c>
      <c r="AO497" s="121" t="e">
        <f>IF('Cable Info'!N201="","",CONCATENATE('Cable Info'!N201," - ",'Cable Info'!O201))</f>
        <v>#N/A</v>
      </c>
      <c r="AR497" s="121" t="e">
        <f t="shared" si="127"/>
        <v>#N/A</v>
      </c>
      <c r="AT497" s="121" t="e">
        <f>IF('Cable Info'!P201="","",CONCATENATE('Cable Info'!P201," - ",'Cable Info'!Q201))</f>
        <v>#N/A</v>
      </c>
      <c r="AW497" s="121" t="e">
        <f t="shared" si="128"/>
        <v>#N/A</v>
      </c>
      <c r="AY497" s="121" t="str">
        <f>IF('Cable Info'!R201="","",CONCATENATE('Cable Info'!R201," - ",'Cable Info'!S201))</f>
        <v/>
      </c>
      <c r="BB497" s="121" t="str">
        <f t="shared" si="129"/>
        <v/>
      </c>
      <c r="BD497" s="121" t="str">
        <f>IF('Cable Info'!T201="","",CONCATENATE('Cable Info'!T201," - ",'Cable Info'!U201))</f>
        <v/>
      </c>
      <c r="BG497" s="121" t="str">
        <f t="shared" si="130"/>
        <v/>
      </c>
      <c r="BI497" s="121" t="str">
        <f>IF('Cable Info'!V201="","",CONCATENATE('Cable Info'!V201," - ",'Cable Info'!W201))</f>
        <v/>
      </c>
      <c r="BL497" s="121" t="str">
        <f t="shared" si="131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26"/>
        <v>#N/A</v>
      </c>
      <c r="AO498" s="121" t="e">
        <f>IF('Cable Info'!N202="","",CONCATENATE('Cable Info'!N202," - ",'Cable Info'!O202))</f>
        <v>#N/A</v>
      </c>
      <c r="AR498" s="121" t="e">
        <f t="shared" si="127"/>
        <v>#N/A</v>
      </c>
      <c r="AT498" s="121" t="e">
        <f>IF('Cable Info'!P202="","",CONCATENATE('Cable Info'!P202," - ",'Cable Info'!Q202))</f>
        <v>#N/A</v>
      </c>
      <c r="AW498" s="121" t="e">
        <f t="shared" si="128"/>
        <v>#N/A</v>
      </c>
      <c r="AY498" s="121" t="str">
        <f>IF('Cable Info'!R202="","",CONCATENATE('Cable Info'!R202," - ",'Cable Info'!S202))</f>
        <v/>
      </c>
      <c r="BB498" s="121" t="str">
        <f t="shared" si="129"/>
        <v/>
      </c>
      <c r="BD498" s="121" t="str">
        <f>IF('Cable Info'!T202="","",CONCATENATE('Cable Info'!T202," - ",'Cable Info'!U202))</f>
        <v/>
      </c>
      <c r="BG498" s="121" t="str">
        <f t="shared" si="130"/>
        <v/>
      </c>
      <c r="BI498" s="121" t="str">
        <f>IF('Cable Info'!V202="","",CONCATENATE('Cable Info'!V202," - ",'Cable Info'!W202))</f>
        <v/>
      </c>
      <c r="BL498" s="121" t="str">
        <f t="shared" si="131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26"/>
        <v>#N/A</v>
      </c>
      <c r="AO499" s="121" t="e">
        <f>IF('Cable Info'!N203="","",CONCATENATE('Cable Info'!N203," - ",'Cable Info'!O203))</f>
        <v>#N/A</v>
      </c>
      <c r="AR499" s="121" t="e">
        <f t="shared" si="127"/>
        <v>#N/A</v>
      </c>
      <c r="AT499" s="121" t="e">
        <f>IF('Cable Info'!P203="","",CONCATENATE('Cable Info'!P203," - ",'Cable Info'!Q203))</f>
        <v>#N/A</v>
      </c>
      <c r="AW499" s="121" t="e">
        <f t="shared" si="128"/>
        <v>#N/A</v>
      </c>
      <c r="AY499" s="121" t="str">
        <f>IF('Cable Info'!R203="","",CONCATENATE('Cable Info'!R203," - ",'Cable Info'!S203))</f>
        <v/>
      </c>
      <c r="BB499" s="121" t="str">
        <f t="shared" si="129"/>
        <v/>
      </c>
      <c r="BD499" s="121" t="str">
        <f>IF('Cable Info'!T203="","",CONCATENATE('Cable Info'!T203," - ",'Cable Info'!U203))</f>
        <v/>
      </c>
      <c r="BG499" s="121" t="str">
        <f t="shared" si="130"/>
        <v/>
      </c>
      <c r="BI499" s="121" t="str">
        <f>IF('Cable Info'!V203="","",CONCATENATE('Cable Info'!V203," - ",'Cable Info'!W203))</f>
        <v/>
      </c>
      <c r="BL499" s="121" t="str">
        <f t="shared" si="131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26"/>
        <v>#N/A</v>
      </c>
      <c r="AO500" s="121" t="e">
        <f>IF('Cable Info'!N204="","",CONCATENATE('Cable Info'!N204," - ",'Cable Info'!O204))</f>
        <v>#N/A</v>
      </c>
      <c r="AR500" s="121" t="e">
        <f t="shared" si="127"/>
        <v>#N/A</v>
      </c>
      <c r="AT500" s="121" t="e">
        <f>IF('Cable Info'!P204="","",CONCATENATE('Cable Info'!P204," - ",'Cable Info'!Q204))</f>
        <v>#N/A</v>
      </c>
      <c r="AW500" s="121" t="e">
        <f t="shared" si="128"/>
        <v>#N/A</v>
      </c>
      <c r="AY500" s="121" t="str">
        <f>IF('Cable Info'!R204="","",CONCATENATE('Cable Info'!R204," - ",'Cable Info'!S204))</f>
        <v/>
      </c>
      <c r="BB500" s="121" t="str">
        <f t="shared" si="129"/>
        <v/>
      </c>
      <c r="BD500" s="121" t="str">
        <f>IF('Cable Info'!T204="","",CONCATENATE('Cable Info'!T204," - ",'Cable Info'!U204))</f>
        <v/>
      </c>
      <c r="BG500" s="121" t="str">
        <f t="shared" si="130"/>
        <v/>
      </c>
      <c r="BI500" s="121" t="str">
        <f>IF('Cable Info'!V204="","",CONCATENATE('Cable Info'!V204," - ",'Cable Info'!W204))</f>
        <v/>
      </c>
      <c r="BL500" s="121" t="str">
        <f t="shared" si="131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26"/>
        <v>#N/A</v>
      </c>
      <c r="AO501" s="121" t="e">
        <f>IF('Cable Info'!N205="","",CONCATENATE('Cable Info'!N205," - ",'Cable Info'!O205))</f>
        <v>#N/A</v>
      </c>
      <c r="AR501" s="121" t="e">
        <f t="shared" si="127"/>
        <v>#N/A</v>
      </c>
      <c r="AT501" s="121" t="e">
        <f>IF('Cable Info'!P205="","",CONCATENATE('Cable Info'!P205," - ",'Cable Info'!Q205))</f>
        <v>#N/A</v>
      </c>
      <c r="AW501" s="121" t="e">
        <f t="shared" si="128"/>
        <v>#N/A</v>
      </c>
      <c r="AY501" s="121" t="str">
        <f>IF('Cable Info'!R205="","",CONCATENATE('Cable Info'!R205," - ",'Cable Info'!S205))</f>
        <v/>
      </c>
      <c r="BB501" s="121" t="str">
        <f t="shared" si="129"/>
        <v/>
      </c>
      <c r="BD501" s="121" t="str">
        <f>IF('Cable Info'!T205="","",CONCATENATE('Cable Info'!T205," - ",'Cable Info'!U205))</f>
        <v/>
      </c>
      <c r="BG501" s="121" t="str">
        <f t="shared" si="130"/>
        <v/>
      </c>
      <c r="BI501" s="121" t="str">
        <f>IF('Cable Info'!V205="","",CONCATENATE('Cable Info'!V205," - ",'Cable Info'!W205))</f>
        <v/>
      </c>
      <c r="BL501" s="121" t="str">
        <f t="shared" si="131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26"/>
        <v>#N/A</v>
      </c>
      <c r="AO502" s="121" t="e">
        <f>IF('Cable Info'!N206="","",CONCATENATE('Cable Info'!N206," - ",'Cable Info'!O206))</f>
        <v>#N/A</v>
      </c>
      <c r="AR502" s="121" t="e">
        <f t="shared" si="127"/>
        <v>#N/A</v>
      </c>
      <c r="AT502" s="121" t="e">
        <f>IF('Cable Info'!P206="","",CONCATENATE('Cable Info'!P206," - ",'Cable Info'!Q206))</f>
        <v>#N/A</v>
      </c>
      <c r="AW502" s="121" t="e">
        <f t="shared" si="128"/>
        <v>#N/A</v>
      </c>
      <c r="AY502" s="121" t="str">
        <f>IF('Cable Info'!R206="","",CONCATENATE('Cable Info'!R206," - ",'Cable Info'!S206))</f>
        <v/>
      </c>
      <c r="BB502" s="121" t="str">
        <f t="shared" si="129"/>
        <v/>
      </c>
      <c r="BD502" s="121" t="str">
        <f>IF('Cable Info'!T206="","",CONCATENATE('Cable Info'!T206," - ",'Cable Info'!U206))</f>
        <v/>
      </c>
      <c r="BG502" s="121" t="str">
        <f t="shared" si="130"/>
        <v/>
      </c>
      <c r="BI502" s="121" t="str">
        <f>IF('Cable Info'!V206="","",CONCATENATE('Cable Info'!V206," - ",'Cable Info'!W206))</f>
        <v/>
      </c>
      <c r="BL502" s="121" t="str">
        <f t="shared" si="131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26"/>
        <v>#N/A</v>
      </c>
      <c r="AO503" s="121" t="e">
        <f>IF('Cable Info'!N207="","",CONCATENATE('Cable Info'!N207," - ",'Cable Info'!O207))</f>
        <v>#N/A</v>
      </c>
      <c r="AR503" s="121" t="e">
        <f t="shared" si="127"/>
        <v>#N/A</v>
      </c>
      <c r="AT503" s="121" t="e">
        <f>IF('Cable Info'!P207="","",CONCATENATE('Cable Info'!P207," - ",'Cable Info'!Q207))</f>
        <v>#N/A</v>
      </c>
      <c r="AW503" s="121" t="e">
        <f t="shared" si="128"/>
        <v>#N/A</v>
      </c>
      <c r="AY503" s="121" t="str">
        <f>IF('Cable Info'!R207="","",CONCATENATE('Cable Info'!R207," - ",'Cable Info'!S207))</f>
        <v/>
      </c>
      <c r="BB503" s="121" t="str">
        <f t="shared" si="129"/>
        <v/>
      </c>
      <c r="BD503" s="121" t="str">
        <f>IF('Cable Info'!T207="","",CONCATENATE('Cable Info'!T207," - ",'Cable Info'!U207))</f>
        <v/>
      </c>
      <c r="BG503" s="121" t="str">
        <f t="shared" si="130"/>
        <v/>
      </c>
      <c r="BI503" s="121" t="str">
        <f>IF('Cable Info'!V207="","",CONCATENATE('Cable Info'!V207," - ",'Cable Info'!W207))</f>
        <v/>
      </c>
      <c r="BL503" s="121" t="str">
        <f t="shared" si="131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26"/>
        <v>#N/A</v>
      </c>
      <c r="AO504" s="121" t="e">
        <f>IF('Cable Info'!N208="","",CONCATENATE('Cable Info'!N208," - ",'Cable Info'!O208))</f>
        <v>#N/A</v>
      </c>
      <c r="AR504" s="121" t="e">
        <f t="shared" si="127"/>
        <v>#N/A</v>
      </c>
      <c r="AT504" s="121" t="e">
        <f>IF('Cable Info'!P208="","",CONCATENATE('Cable Info'!P208," - ",'Cable Info'!Q208))</f>
        <v>#N/A</v>
      </c>
      <c r="AW504" s="121" t="e">
        <f t="shared" si="128"/>
        <v>#N/A</v>
      </c>
      <c r="AY504" s="121" t="str">
        <f>IF('Cable Info'!R208="","",CONCATENATE('Cable Info'!R208," - ",'Cable Info'!S208))</f>
        <v/>
      </c>
      <c r="BB504" s="121" t="str">
        <f t="shared" si="129"/>
        <v/>
      </c>
      <c r="BD504" s="121" t="str">
        <f>IF('Cable Info'!T208="","",CONCATENATE('Cable Info'!T208," - ",'Cable Info'!U208))</f>
        <v/>
      </c>
      <c r="BG504" s="121" t="str">
        <f t="shared" si="130"/>
        <v/>
      </c>
      <c r="BI504" s="121" t="str">
        <f>IF('Cable Info'!V208="","",CONCATENATE('Cable Info'!V208," - ",'Cable Info'!W208))</f>
        <v/>
      </c>
      <c r="BL504" s="121" t="str">
        <f t="shared" si="131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26"/>
        <v>#N/A</v>
      </c>
      <c r="AO505" s="121" t="e">
        <f>IF('Cable Info'!N209="","",CONCATENATE('Cable Info'!N209," - ",'Cable Info'!O209))</f>
        <v>#N/A</v>
      </c>
      <c r="AR505" s="121" t="e">
        <f t="shared" si="127"/>
        <v>#N/A</v>
      </c>
      <c r="AT505" s="121" t="e">
        <f>IF('Cable Info'!P209="","",CONCATENATE('Cable Info'!P209," - ",'Cable Info'!Q209))</f>
        <v>#N/A</v>
      </c>
      <c r="AW505" s="121" t="e">
        <f t="shared" si="128"/>
        <v>#N/A</v>
      </c>
      <c r="AY505" s="121" t="str">
        <f>IF('Cable Info'!R209="","",CONCATENATE('Cable Info'!R209," - ",'Cable Info'!S209))</f>
        <v/>
      </c>
      <c r="BB505" s="121" t="str">
        <f t="shared" si="129"/>
        <v/>
      </c>
      <c r="BD505" s="121" t="str">
        <f>IF('Cable Info'!T209="","",CONCATENATE('Cable Info'!T209," - ",'Cable Info'!U209))</f>
        <v/>
      </c>
      <c r="BG505" s="121" t="str">
        <f t="shared" si="130"/>
        <v/>
      </c>
      <c r="BI505" s="121" t="str">
        <f>IF('Cable Info'!V209="","",CONCATENATE('Cable Info'!V209," - ",'Cable Info'!W209))</f>
        <v/>
      </c>
      <c r="BL505" s="121" t="str">
        <f t="shared" si="131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26"/>
        <v>#N/A</v>
      </c>
      <c r="AO506" s="121" t="e">
        <f>IF('Cable Info'!N210="","",CONCATENATE('Cable Info'!N210," - ",'Cable Info'!O210))</f>
        <v>#N/A</v>
      </c>
      <c r="AR506" s="121" t="e">
        <f t="shared" si="127"/>
        <v>#N/A</v>
      </c>
      <c r="AT506" s="121" t="e">
        <f>IF('Cable Info'!P210="","",CONCATENATE('Cable Info'!P210," - ",'Cable Info'!Q210))</f>
        <v>#N/A</v>
      </c>
      <c r="AW506" s="121" t="e">
        <f t="shared" si="128"/>
        <v>#N/A</v>
      </c>
      <c r="AY506" s="121" t="str">
        <f>IF('Cable Info'!R210="","",CONCATENATE('Cable Info'!R210," - ",'Cable Info'!S210))</f>
        <v/>
      </c>
      <c r="BB506" s="121" t="str">
        <f t="shared" si="129"/>
        <v/>
      </c>
      <c r="BD506" s="121" t="str">
        <f>IF('Cable Info'!T210="","",CONCATENATE('Cable Info'!T210," - ",'Cable Info'!U210))</f>
        <v/>
      </c>
      <c r="BG506" s="121" t="str">
        <f t="shared" si="130"/>
        <v/>
      </c>
      <c r="BI506" s="121" t="str">
        <f>IF('Cable Info'!V210="","",CONCATENATE('Cable Info'!V210," - ",'Cable Info'!W210))</f>
        <v/>
      </c>
      <c r="BL506" s="121" t="str">
        <f t="shared" si="131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26"/>
        <v>#N/A</v>
      </c>
      <c r="AO507" s="121" t="e">
        <f>IF('Cable Info'!N211="","",CONCATENATE('Cable Info'!N211," - ",'Cable Info'!O211))</f>
        <v>#N/A</v>
      </c>
      <c r="AR507" s="121" t="e">
        <f t="shared" si="127"/>
        <v>#N/A</v>
      </c>
      <c r="AT507" s="121" t="e">
        <f>IF('Cable Info'!P211="","",CONCATENATE('Cable Info'!P211," - ",'Cable Info'!Q211))</f>
        <v>#N/A</v>
      </c>
      <c r="AW507" s="121" t="e">
        <f t="shared" si="128"/>
        <v>#N/A</v>
      </c>
      <c r="AY507" s="121" t="str">
        <f>IF('Cable Info'!R211="","",CONCATENATE('Cable Info'!R211," - ",'Cable Info'!S211))</f>
        <v/>
      </c>
      <c r="BB507" s="121" t="str">
        <f t="shared" si="129"/>
        <v/>
      </c>
      <c r="BD507" s="121" t="str">
        <f>IF('Cable Info'!T211="","",CONCATENATE('Cable Info'!T211," - ",'Cable Info'!U211))</f>
        <v/>
      </c>
      <c r="BG507" s="121" t="str">
        <f t="shared" si="130"/>
        <v/>
      </c>
      <c r="BI507" s="121" t="str">
        <f>IF('Cable Info'!V211="","",CONCATENATE('Cable Info'!V211," - ",'Cable Info'!W211))</f>
        <v/>
      </c>
      <c r="BL507" s="121" t="str">
        <f t="shared" si="131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26"/>
        <v>#N/A</v>
      </c>
      <c r="AO508" s="121" t="e">
        <f>IF('Cable Info'!N212="","",CONCATENATE('Cable Info'!N212," - ",'Cable Info'!O212))</f>
        <v>#N/A</v>
      </c>
      <c r="AR508" s="121" t="e">
        <f t="shared" si="127"/>
        <v>#N/A</v>
      </c>
      <c r="AT508" s="121" t="e">
        <f>IF('Cable Info'!P212="","",CONCATENATE('Cable Info'!P212," - ",'Cable Info'!Q212))</f>
        <v>#N/A</v>
      </c>
      <c r="AW508" s="121" t="e">
        <f t="shared" si="128"/>
        <v>#N/A</v>
      </c>
      <c r="AY508" s="121" t="str">
        <f>IF('Cable Info'!R212="","",CONCATENATE('Cable Info'!R212," - ",'Cable Info'!S212))</f>
        <v/>
      </c>
      <c r="BB508" s="121" t="str">
        <f t="shared" si="129"/>
        <v/>
      </c>
      <c r="BD508" s="121" t="str">
        <f>IF('Cable Info'!T212="","",CONCATENATE('Cable Info'!T212," - ",'Cable Info'!U212))</f>
        <v/>
      </c>
      <c r="BG508" s="121" t="str">
        <f t="shared" si="130"/>
        <v/>
      </c>
      <c r="BI508" s="121" t="str">
        <f>IF('Cable Info'!V212="","",CONCATENATE('Cable Info'!V212," - ",'Cable Info'!W212))</f>
        <v/>
      </c>
      <c r="BL508" s="121" t="str">
        <f t="shared" si="131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26"/>
        <v>#N/A</v>
      </c>
      <c r="AO509" s="121" t="e">
        <f>IF('Cable Info'!N213="","",CONCATENATE('Cable Info'!N213," - ",'Cable Info'!O213))</f>
        <v>#N/A</v>
      </c>
      <c r="AR509" s="121" t="e">
        <f t="shared" si="127"/>
        <v>#N/A</v>
      </c>
      <c r="AT509" s="121" t="e">
        <f>IF('Cable Info'!P213="","",CONCATENATE('Cable Info'!P213," - ",'Cable Info'!Q213))</f>
        <v>#N/A</v>
      </c>
      <c r="AW509" s="121" t="e">
        <f t="shared" si="128"/>
        <v>#N/A</v>
      </c>
      <c r="AY509" s="121" t="str">
        <f>IF('Cable Info'!R213="","",CONCATENATE('Cable Info'!R213," - ",'Cable Info'!S213))</f>
        <v/>
      </c>
      <c r="BB509" s="121" t="str">
        <f t="shared" si="129"/>
        <v/>
      </c>
      <c r="BD509" s="121" t="str">
        <f>IF('Cable Info'!T213="","",CONCATENATE('Cable Info'!T213," - ",'Cable Info'!U213))</f>
        <v/>
      </c>
      <c r="BG509" s="121" t="str">
        <f t="shared" si="130"/>
        <v/>
      </c>
      <c r="BI509" s="121" t="str">
        <f>IF('Cable Info'!V213="","",CONCATENATE('Cable Info'!V213," - ",'Cable Info'!W213))</f>
        <v/>
      </c>
      <c r="BL509" s="121" t="str">
        <f t="shared" si="131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26"/>
        <v>#N/A</v>
      </c>
      <c r="AO510" s="121" t="e">
        <f>IF('Cable Info'!N214="","",CONCATENATE('Cable Info'!N214," - ",'Cable Info'!O214))</f>
        <v>#N/A</v>
      </c>
      <c r="AR510" s="121" t="e">
        <f t="shared" si="127"/>
        <v>#N/A</v>
      </c>
      <c r="AT510" s="121" t="e">
        <f>IF('Cable Info'!P214="","",CONCATENATE('Cable Info'!P214," - ",'Cable Info'!Q214))</f>
        <v>#N/A</v>
      </c>
      <c r="AW510" s="121" t="e">
        <f t="shared" si="128"/>
        <v>#N/A</v>
      </c>
      <c r="AY510" s="121" t="str">
        <f>IF('Cable Info'!R214="","",CONCATENATE('Cable Info'!R214," - ",'Cable Info'!S214))</f>
        <v/>
      </c>
      <c r="BB510" s="121" t="str">
        <f t="shared" si="129"/>
        <v/>
      </c>
      <c r="BD510" s="121" t="str">
        <f>IF('Cable Info'!T214="","",CONCATENATE('Cable Info'!T214," - ",'Cable Info'!U214))</f>
        <v/>
      </c>
      <c r="BG510" s="121" t="str">
        <f t="shared" si="130"/>
        <v/>
      </c>
      <c r="BI510" s="121" t="str">
        <f>IF('Cable Info'!V214="","",CONCATENATE('Cable Info'!V214," - ",'Cable Info'!W214))</f>
        <v/>
      </c>
      <c r="BL510" s="121" t="str">
        <f t="shared" si="131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26"/>
        <v>#N/A</v>
      </c>
      <c r="AO511" s="121" t="e">
        <f>IF('Cable Info'!N215="","",CONCATENATE('Cable Info'!N215," - ",'Cable Info'!O215))</f>
        <v>#N/A</v>
      </c>
      <c r="AR511" s="121" t="e">
        <f t="shared" si="127"/>
        <v>#N/A</v>
      </c>
      <c r="AT511" s="121" t="e">
        <f>IF('Cable Info'!P215="","",CONCATENATE('Cable Info'!P215," - ",'Cable Info'!Q215))</f>
        <v>#N/A</v>
      </c>
      <c r="AW511" s="121" t="e">
        <f t="shared" si="128"/>
        <v>#N/A</v>
      </c>
      <c r="AY511" s="121" t="str">
        <f>IF('Cable Info'!R215="","",CONCATENATE('Cable Info'!R215," - ",'Cable Info'!S215))</f>
        <v/>
      </c>
      <c r="BB511" s="121" t="str">
        <f t="shared" si="129"/>
        <v/>
      </c>
      <c r="BD511" s="121" t="str">
        <f>IF('Cable Info'!T215="","",CONCATENATE('Cable Info'!T215," - ",'Cable Info'!U215))</f>
        <v/>
      </c>
      <c r="BG511" s="121" t="str">
        <f t="shared" si="130"/>
        <v/>
      </c>
      <c r="BI511" s="121" t="str">
        <f>IF('Cable Info'!V215="","",CONCATENATE('Cable Info'!V215," - ",'Cable Info'!W215))</f>
        <v/>
      </c>
      <c r="BL511" s="121" t="str">
        <f t="shared" si="131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26"/>
        <v>#N/A</v>
      </c>
      <c r="AO512" s="121" t="e">
        <f>IF('Cable Info'!N216="","",CONCATENATE('Cable Info'!N216," - ",'Cable Info'!O216))</f>
        <v>#N/A</v>
      </c>
      <c r="AR512" s="121" t="e">
        <f t="shared" si="127"/>
        <v>#N/A</v>
      </c>
      <c r="AT512" s="121" t="e">
        <f>IF('Cable Info'!P216="","",CONCATENATE('Cable Info'!P216," - ",'Cable Info'!Q216))</f>
        <v>#N/A</v>
      </c>
      <c r="AW512" s="121" t="e">
        <f t="shared" si="128"/>
        <v>#N/A</v>
      </c>
      <c r="AY512" s="121" t="str">
        <f>IF('Cable Info'!R216="","",CONCATENATE('Cable Info'!R216," - ",'Cable Info'!S216))</f>
        <v/>
      </c>
      <c r="BB512" s="121" t="str">
        <f t="shared" si="129"/>
        <v/>
      </c>
      <c r="BD512" s="121" t="str">
        <f>IF('Cable Info'!T216="","",CONCATENATE('Cable Info'!T216," - ",'Cable Info'!U216))</f>
        <v/>
      </c>
      <c r="BG512" s="121" t="str">
        <f t="shared" si="130"/>
        <v/>
      </c>
      <c r="BI512" s="121" t="str">
        <f>IF('Cable Info'!V216="","",CONCATENATE('Cable Info'!V216," - ",'Cable Info'!W216))</f>
        <v/>
      </c>
      <c r="BL512" s="121" t="str">
        <f t="shared" si="131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26"/>
        <v>#N/A</v>
      </c>
      <c r="AO513" s="121" t="e">
        <f>IF('Cable Info'!N217="","",CONCATENATE('Cable Info'!N217," - ",'Cable Info'!O217))</f>
        <v>#N/A</v>
      </c>
      <c r="AR513" s="121" t="e">
        <f t="shared" si="127"/>
        <v>#N/A</v>
      </c>
      <c r="AT513" s="121" t="e">
        <f>IF('Cable Info'!P217="","",CONCATENATE('Cable Info'!P217," - ",'Cable Info'!Q217))</f>
        <v>#N/A</v>
      </c>
      <c r="AW513" s="121" t="e">
        <f t="shared" si="128"/>
        <v>#N/A</v>
      </c>
      <c r="AY513" s="121" t="str">
        <f>IF('Cable Info'!R217="","",CONCATENATE('Cable Info'!R217," - ",'Cable Info'!S217))</f>
        <v/>
      </c>
      <c r="BB513" s="121" t="str">
        <f t="shared" si="129"/>
        <v/>
      </c>
      <c r="BD513" s="121" t="str">
        <f>IF('Cable Info'!T217="","",CONCATENATE('Cable Info'!T217," - ",'Cable Info'!U217))</f>
        <v/>
      </c>
      <c r="BG513" s="121" t="str">
        <f t="shared" si="130"/>
        <v/>
      </c>
      <c r="BI513" s="121" t="str">
        <f>IF('Cable Info'!V217="","",CONCATENATE('Cable Info'!V217," - ",'Cable Info'!W217))</f>
        <v/>
      </c>
      <c r="BL513" s="121" t="str">
        <f t="shared" si="131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26"/>
        <v>#N/A</v>
      </c>
      <c r="AO514" s="121" t="e">
        <f>IF('Cable Info'!N218="","",CONCATENATE('Cable Info'!N218," - ",'Cable Info'!O218))</f>
        <v>#N/A</v>
      </c>
      <c r="AR514" s="121" t="e">
        <f t="shared" si="127"/>
        <v>#N/A</v>
      </c>
      <c r="AT514" s="121" t="e">
        <f>IF('Cable Info'!P218="","",CONCATENATE('Cable Info'!P218," - ",'Cable Info'!Q218))</f>
        <v>#N/A</v>
      </c>
      <c r="AW514" s="121" t="e">
        <f t="shared" si="128"/>
        <v>#N/A</v>
      </c>
      <c r="AY514" s="121" t="str">
        <f>IF('Cable Info'!R218="","",CONCATENATE('Cable Info'!R218," - ",'Cable Info'!S218))</f>
        <v/>
      </c>
      <c r="BB514" s="121" t="str">
        <f t="shared" si="129"/>
        <v/>
      </c>
      <c r="BD514" s="121" t="str">
        <f>IF('Cable Info'!T218="","",CONCATENATE('Cable Info'!T218," - ",'Cable Info'!U218))</f>
        <v/>
      </c>
      <c r="BG514" s="121" t="str">
        <f t="shared" si="130"/>
        <v/>
      </c>
      <c r="BI514" s="121" t="str">
        <f>IF('Cable Info'!V218="","",CONCATENATE('Cable Info'!V218," - ",'Cable Info'!W218))</f>
        <v/>
      </c>
      <c r="BL514" s="121" t="str">
        <f t="shared" si="131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26"/>
        <v>#N/A</v>
      </c>
      <c r="AO515" s="121" t="e">
        <f>IF('Cable Info'!N219="","",CONCATENATE('Cable Info'!N219," - ",'Cable Info'!O219))</f>
        <v>#N/A</v>
      </c>
      <c r="AR515" s="121" t="e">
        <f t="shared" si="127"/>
        <v>#N/A</v>
      </c>
      <c r="AT515" s="121" t="e">
        <f>IF('Cable Info'!P219="","",CONCATENATE('Cable Info'!P219," - ",'Cable Info'!Q219))</f>
        <v>#N/A</v>
      </c>
      <c r="AW515" s="121" t="e">
        <f t="shared" si="128"/>
        <v>#N/A</v>
      </c>
      <c r="AY515" s="121" t="str">
        <f>IF('Cable Info'!R219="","",CONCATENATE('Cable Info'!R219," - ",'Cable Info'!S219))</f>
        <v/>
      </c>
      <c r="BB515" s="121" t="str">
        <f t="shared" si="129"/>
        <v/>
      </c>
      <c r="BD515" s="121" t="str">
        <f>IF('Cable Info'!T219="","",CONCATENATE('Cable Info'!T219," - ",'Cable Info'!U219))</f>
        <v/>
      </c>
      <c r="BG515" s="121" t="str">
        <f t="shared" si="130"/>
        <v/>
      </c>
      <c r="BI515" s="121" t="str">
        <f>IF('Cable Info'!V219="","",CONCATENATE('Cable Info'!V219," - ",'Cable Info'!W219))</f>
        <v/>
      </c>
      <c r="BL515" s="121" t="str">
        <f t="shared" si="131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26"/>
        <v>#N/A</v>
      </c>
      <c r="AO516" s="121" t="e">
        <f>IF('Cable Info'!N220="","",CONCATENATE('Cable Info'!N220," - ",'Cable Info'!O220))</f>
        <v>#N/A</v>
      </c>
      <c r="AR516" s="121" t="e">
        <f t="shared" si="127"/>
        <v>#N/A</v>
      </c>
      <c r="AT516" s="121" t="e">
        <f>IF('Cable Info'!P220="","",CONCATENATE('Cable Info'!P220," - ",'Cable Info'!Q220))</f>
        <v>#N/A</v>
      </c>
      <c r="AW516" s="121" t="e">
        <f t="shared" si="128"/>
        <v>#N/A</v>
      </c>
      <c r="AY516" s="121" t="str">
        <f>IF('Cable Info'!R220="","",CONCATENATE('Cable Info'!R220," - ",'Cable Info'!S220))</f>
        <v/>
      </c>
      <c r="BB516" s="121" t="str">
        <f t="shared" si="129"/>
        <v/>
      </c>
      <c r="BD516" s="121" t="str">
        <f>IF('Cable Info'!T220="","",CONCATENATE('Cable Info'!T220," - ",'Cable Info'!U220))</f>
        <v/>
      </c>
      <c r="BG516" s="121" t="str">
        <f t="shared" si="130"/>
        <v/>
      </c>
      <c r="BI516" s="121" t="str">
        <f>IF('Cable Info'!V220="","",CONCATENATE('Cable Info'!V220," - ",'Cable Info'!W220))</f>
        <v/>
      </c>
      <c r="BL516" s="121" t="str">
        <f t="shared" si="131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26"/>
        <v>#N/A</v>
      </c>
      <c r="AO517" s="121" t="e">
        <f>IF('Cable Info'!N221="","",CONCATENATE('Cable Info'!N221," - ",'Cable Info'!O221))</f>
        <v>#N/A</v>
      </c>
      <c r="AR517" s="121" t="e">
        <f t="shared" si="127"/>
        <v>#N/A</v>
      </c>
      <c r="AT517" s="121" t="e">
        <f>IF('Cable Info'!P221="","",CONCATENATE('Cable Info'!P221," - ",'Cable Info'!Q221))</f>
        <v>#N/A</v>
      </c>
      <c r="AW517" s="121" t="e">
        <f t="shared" si="128"/>
        <v>#N/A</v>
      </c>
      <c r="AY517" s="121" t="str">
        <f>IF('Cable Info'!R221="","",CONCATENATE('Cable Info'!R221," - ",'Cable Info'!S221))</f>
        <v/>
      </c>
      <c r="BB517" s="121" t="str">
        <f t="shared" si="129"/>
        <v/>
      </c>
      <c r="BD517" s="121" t="str">
        <f>IF('Cable Info'!T221="","",CONCATENATE('Cable Info'!T221," - ",'Cable Info'!U221))</f>
        <v/>
      </c>
      <c r="BG517" s="121" t="str">
        <f t="shared" si="130"/>
        <v/>
      </c>
      <c r="BI517" s="121" t="str">
        <f>IF('Cable Info'!V221="","",CONCATENATE('Cable Info'!V221," - ",'Cable Info'!W221))</f>
        <v/>
      </c>
      <c r="BL517" s="121" t="str">
        <f t="shared" si="131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26"/>
        <v>#N/A</v>
      </c>
      <c r="AO518" s="121" t="e">
        <f>IF('Cable Info'!N222="","",CONCATENATE('Cable Info'!N222," - ",'Cable Info'!O222))</f>
        <v>#N/A</v>
      </c>
      <c r="AR518" s="121" t="e">
        <f t="shared" si="127"/>
        <v>#N/A</v>
      </c>
      <c r="AT518" s="121" t="e">
        <f>IF('Cable Info'!P222="","",CONCATENATE('Cable Info'!P222," - ",'Cable Info'!Q222))</f>
        <v>#N/A</v>
      </c>
      <c r="AW518" s="121" t="e">
        <f t="shared" si="128"/>
        <v>#N/A</v>
      </c>
      <c r="AY518" s="121" t="str">
        <f>IF('Cable Info'!R222="","",CONCATENATE('Cable Info'!R222," - ",'Cable Info'!S222))</f>
        <v/>
      </c>
      <c r="BB518" s="121" t="str">
        <f t="shared" si="129"/>
        <v/>
      </c>
      <c r="BD518" s="121" t="str">
        <f>IF('Cable Info'!T222="","",CONCATENATE('Cable Info'!T222," - ",'Cable Info'!U222))</f>
        <v/>
      </c>
      <c r="BG518" s="121" t="str">
        <f t="shared" si="130"/>
        <v/>
      </c>
      <c r="BI518" s="121" t="str">
        <f>IF('Cable Info'!V222="","",CONCATENATE('Cable Info'!V222," - ",'Cable Info'!W222))</f>
        <v/>
      </c>
      <c r="BL518" s="121" t="str">
        <f t="shared" si="131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26"/>
        <v>#N/A</v>
      </c>
      <c r="AO519" s="121" t="e">
        <f>IF('Cable Info'!N223="","",CONCATENATE('Cable Info'!N223," - ",'Cable Info'!O223))</f>
        <v>#N/A</v>
      </c>
      <c r="AR519" s="121" t="e">
        <f t="shared" si="127"/>
        <v>#N/A</v>
      </c>
      <c r="AT519" s="121" t="e">
        <f>IF('Cable Info'!P223="","",CONCATENATE('Cable Info'!P223," - ",'Cable Info'!Q223))</f>
        <v>#N/A</v>
      </c>
      <c r="AW519" s="121" t="e">
        <f t="shared" si="128"/>
        <v>#N/A</v>
      </c>
      <c r="AY519" s="121" t="str">
        <f>IF('Cable Info'!R223="","",CONCATENATE('Cable Info'!R223," - ",'Cable Info'!S223))</f>
        <v/>
      </c>
      <c r="BB519" s="121" t="str">
        <f t="shared" si="129"/>
        <v/>
      </c>
      <c r="BD519" s="121" t="str">
        <f>IF('Cable Info'!T223="","",CONCATENATE('Cable Info'!T223," - ",'Cable Info'!U223))</f>
        <v/>
      </c>
      <c r="BG519" s="121" t="str">
        <f t="shared" si="130"/>
        <v/>
      </c>
      <c r="BI519" s="121" t="str">
        <f>IF('Cable Info'!V223="","",CONCATENATE('Cable Info'!V223," - ",'Cable Info'!W223))</f>
        <v/>
      </c>
      <c r="BL519" s="121" t="str">
        <f t="shared" si="131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26"/>
        <v>#N/A</v>
      </c>
      <c r="AO520" s="121" t="e">
        <f>IF('Cable Info'!N224="","",CONCATENATE('Cable Info'!N224," - ",'Cable Info'!O224))</f>
        <v>#N/A</v>
      </c>
      <c r="AR520" s="121" t="e">
        <f t="shared" si="127"/>
        <v>#N/A</v>
      </c>
      <c r="AT520" s="121" t="e">
        <f>IF('Cable Info'!P224="","",CONCATENATE('Cable Info'!P224," - ",'Cable Info'!Q224))</f>
        <v>#N/A</v>
      </c>
      <c r="AW520" s="121" t="e">
        <f t="shared" si="128"/>
        <v>#N/A</v>
      </c>
      <c r="AY520" s="121" t="str">
        <f>IF('Cable Info'!R224="","",CONCATENATE('Cable Info'!R224," - ",'Cable Info'!S224))</f>
        <v/>
      </c>
      <c r="BB520" s="121" t="str">
        <f t="shared" si="129"/>
        <v/>
      </c>
      <c r="BD520" s="121" t="str">
        <f>IF('Cable Info'!T224="","",CONCATENATE('Cable Info'!T224," - ",'Cable Info'!U224))</f>
        <v/>
      </c>
      <c r="BG520" s="121" t="str">
        <f t="shared" si="130"/>
        <v/>
      </c>
      <c r="BI520" s="121" t="str">
        <f>IF('Cable Info'!V224="","",CONCATENATE('Cable Info'!V224," - ",'Cable Info'!W224))</f>
        <v/>
      </c>
      <c r="BL520" s="121" t="str">
        <f t="shared" si="131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26"/>
        <v>#N/A</v>
      </c>
      <c r="AO521" s="121" t="e">
        <f>IF('Cable Info'!N225="","",CONCATENATE('Cable Info'!N225," - ",'Cable Info'!O225))</f>
        <v>#N/A</v>
      </c>
      <c r="AR521" s="121" t="e">
        <f t="shared" si="127"/>
        <v>#N/A</v>
      </c>
      <c r="AT521" s="121" t="e">
        <f>IF('Cable Info'!P225="","",CONCATENATE('Cable Info'!P225," - ",'Cable Info'!Q225))</f>
        <v>#N/A</v>
      </c>
      <c r="AW521" s="121" t="e">
        <f t="shared" si="128"/>
        <v>#N/A</v>
      </c>
      <c r="AY521" s="121" t="str">
        <f>IF('Cable Info'!R225="","",CONCATENATE('Cable Info'!R225," - ",'Cable Info'!S225))</f>
        <v/>
      </c>
      <c r="BB521" s="121" t="str">
        <f t="shared" si="129"/>
        <v/>
      </c>
      <c r="BD521" s="121" t="str">
        <f>IF('Cable Info'!T225="","",CONCATENATE('Cable Info'!T225," - ",'Cable Info'!U225))</f>
        <v/>
      </c>
      <c r="BG521" s="121" t="str">
        <f t="shared" si="130"/>
        <v/>
      </c>
      <c r="BI521" s="121" t="str">
        <f>IF('Cable Info'!V225="","",CONCATENATE('Cable Info'!V225," - ",'Cable Info'!W225))</f>
        <v/>
      </c>
      <c r="BL521" s="121" t="str">
        <f t="shared" si="131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26"/>
        <v>#N/A</v>
      </c>
      <c r="AO522" s="121" t="e">
        <f>IF('Cable Info'!N226="","",CONCATENATE('Cable Info'!N226," - ",'Cable Info'!O226))</f>
        <v>#N/A</v>
      </c>
      <c r="AR522" s="121" t="e">
        <f t="shared" si="127"/>
        <v>#N/A</v>
      </c>
      <c r="AT522" s="121" t="e">
        <f>IF('Cable Info'!P226="","",CONCATENATE('Cable Info'!P226," - ",'Cable Info'!Q226))</f>
        <v>#N/A</v>
      </c>
      <c r="AW522" s="121" t="e">
        <f t="shared" si="128"/>
        <v>#N/A</v>
      </c>
      <c r="AY522" s="121" t="str">
        <f>IF('Cable Info'!R226="","",CONCATENATE('Cable Info'!R226," - ",'Cable Info'!S226))</f>
        <v/>
      </c>
      <c r="BB522" s="121" t="str">
        <f t="shared" si="129"/>
        <v/>
      </c>
      <c r="BD522" s="121" t="str">
        <f>IF('Cable Info'!T226="","",CONCATENATE('Cable Info'!T226," - ",'Cable Info'!U226))</f>
        <v/>
      </c>
      <c r="BG522" s="121" t="str">
        <f t="shared" si="130"/>
        <v/>
      </c>
      <c r="BI522" s="121" t="str">
        <f>IF('Cable Info'!V226="","",CONCATENATE('Cable Info'!V226," - ",'Cable Info'!W226))</f>
        <v/>
      </c>
      <c r="BL522" s="121" t="str">
        <f t="shared" si="131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26"/>
        <v>#N/A</v>
      </c>
      <c r="AO523" s="121" t="e">
        <f>IF('Cable Info'!N227="","",CONCATENATE('Cable Info'!N227," - ",'Cable Info'!O227))</f>
        <v>#N/A</v>
      </c>
      <c r="AR523" s="121" t="e">
        <f t="shared" si="127"/>
        <v>#N/A</v>
      </c>
      <c r="AT523" s="121" t="e">
        <f>IF('Cable Info'!P227="","",CONCATENATE('Cable Info'!P227," - ",'Cable Info'!Q227))</f>
        <v>#N/A</v>
      </c>
      <c r="AW523" s="121" t="e">
        <f t="shared" si="128"/>
        <v>#N/A</v>
      </c>
      <c r="AY523" s="121" t="str">
        <f>IF('Cable Info'!R227="","",CONCATENATE('Cable Info'!R227," - ",'Cable Info'!S227))</f>
        <v/>
      </c>
      <c r="BB523" s="121" t="str">
        <f t="shared" si="129"/>
        <v/>
      </c>
      <c r="BD523" s="121" t="str">
        <f>IF('Cable Info'!T227="","",CONCATENATE('Cable Info'!T227," - ",'Cable Info'!U227))</f>
        <v/>
      </c>
      <c r="BG523" s="121" t="str">
        <f t="shared" si="130"/>
        <v/>
      </c>
      <c r="BI523" s="121" t="str">
        <f>IF('Cable Info'!V227="","",CONCATENATE('Cable Info'!V227," - ",'Cable Info'!W227))</f>
        <v/>
      </c>
      <c r="BL523" s="121" t="str">
        <f t="shared" si="131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26"/>
        <v>#N/A</v>
      </c>
      <c r="AO524" s="121" t="e">
        <f>IF('Cable Info'!N228="","",CONCATENATE('Cable Info'!N228," - ",'Cable Info'!O228))</f>
        <v>#N/A</v>
      </c>
      <c r="AR524" s="121" t="e">
        <f t="shared" si="127"/>
        <v>#N/A</v>
      </c>
      <c r="AT524" s="121" t="e">
        <f>IF('Cable Info'!P228="","",CONCATENATE('Cable Info'!P228," - ",'Cable Info'!Q228))</f>
        <v>#N/A</v>
      </c>
      <c r="AW524" s="121" t="e">
        <f t="shared" si="128"/>
        <v>#N/A</v>
      </c>
      <c r="AY524" s="121" t="str">
        <f>IF('Cable Info'!R228="","",CONCATENATE('Cable Info'!R228," - ",'Cable Info'!S228))</f>
        <v/>
      </c>
      <c r="BB524" s="121" t="str">
        <f t="shared" si="129"/>
        <v/>
      </c>
      <c r="BD524" s="121" t="str">
        <f>IF('Cable Info'!T228="","",CONCATENATE('Cable Info'!T228," - ",'Cable Info'!U228))</f>
        <v/>
      </c>
      <c r="BG524" s="121" t="str">
        <f t="shared" si="130"/>
        <v/>
      </c>
      <c r="BI524" s="121" t="str">
        <f>IF('Cable Info'!V228="","",CONCATENATE('Cable Info'!V228," - ",'Cable Info'!W228))</f>
        <v/>
      </c>
      <c r="BL524" s="121" t="str">
        <f t="shared" si="131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26"/>
        <v>#N/A</v>
      </c>
      <c r="AO525" s="121" t="e">
        <f>IF('Cable Info'!N229="","",CONCATENATE('Cable Info'!N229," - ",'Cable Info'!O229))</f>
        <v>#N/A</v>
      </c>
      <c r="AR525" s="121" t="e">
        <f t="shared" si="127"/>
        <v>#N/A</v>
      </c>
      <c r="AT525" s="121" t="e">
        <f>IF('Cable Info'!P229="","",CONCATENATE('Cable Info'!P229," - ",'Cable Info'!Q229))</f>
        <v>#N/A</v>
      </c>
      <c r="AW525" s="121" t="e">
        <f t="shared" si="128"/>
        <v>#N/A</v>
      </c>
      <c r="AY525" s="121" t="str">
        <f>IF('Cable Info'!R229="","",CONCATENATE('Cable Info'!R229," - ",'Cable Info'!S229))</f>
        <v/>
      </c>
      <c r="BB525" s="121" t="str">
        <f t="shared" si="129"/>
        <v/>
      </c>
      <c r="BD525" s="121" t="str">
        <f>IF('Cable Info'!T229="","",CONCATENATE('Cable Info'!T229," - ",'Cable Info'!U229))</f>
        <v/>
      </c>
      <c r="BG525" s="121" t="str">
        <f t="shared" si="130"/>
        <v/>
      </c>
      <c r="BI525" s="121" t="str">
        <f>IF('Cable Info'!V229="","",CONCATENATE('Cable Info'!V229," - ",'Cable Info'!W229))</f>
        <v/>
      </c>
      <c r="BL525" s="121" t="str">
        <f t="shared" si="131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26"/>
        <v>#N/A</v>
      </c>
      <c r="AO526" s="121" t="e">
        <f>IF('Cable Info'!N230="","",CONCATENATE('Cable Info'!N230," - ",'Cable Info'!O230))</f>
        <v>#N/A</v>
      </c>
      <c r="AR526" s="121" t="e">
        <f t="shared" si="127"/>
        <v>#N/A</v>
      </c>
      <c r="AT526" s="121" t="e">
        <f>IF('Cable Info'!P230="","",CONCATENATE('Cable Info'!P230," - ",'Cable Info'!Q230))</f>
        <v>#N/A</v>
      </c>
      <c r="AW526" s="121" t="e">
        <f t="shared" si="128"/>
        <v>#N/A</v>
      </c>
      <c r="AY526" s="121" t="str">
        <f>IF('Cable Info'!R230="","",CONCATENATE('Cable Info'!R230," - ",'Cable Info'!S230))</f>
        <v/>
      </c>
      <c r="BB526" s="121" t="str">
        <f t="shared" si="129"/>
        <v/>
      </c>
      <c r="BD526" s="121" t="str">
        <f>IF('Cable Info'!T230="","",CONCATENATE('Cable Info'!T230," - ",'Cable Info'!U230))</f>
        <v/>
      </c>
      <c r="BG526" s="121" t="str">
        <f t="shared" si="130"/>
        <v/>
      </c>
      <c r="BI526" s="121" t="str">
        <f>IF('Cable Info'!V230="","",CONCATENATE('Cable Info'!V230," - ",'Cable Info'!W230))</f>
        <v/>
      </c>
      <c r="BL526" s="121" t="str">
        <f t="shared" si="131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26"/>
        <v>#N/A</v>
      </c>
      <c r="AO527" s="121" t="e">
        <f>IF('Cable Info'!N231="","",CONCATENATE('Cable Info'!N231," - ",'Cable Info'!O231))</f>
        <v>#N/A</v>
      </c>
      <c r="AR527" s="121" t="e">
        <f t="shared" si="127"/>
        <v>#N/A</v>
      </c>
      <c r="AT527" s="121" t="e">
        <f>IF('Cable Info'!P231="","",CONCATENATE('Cable Info'!P231," - ",'Cable Info'!Q231))</f>
        <v>#N/A</v>
      </c>
      <c r="AW527" s="121" t="e">
        <f t="shared" si="128"/>
        <v>#N/A</v>
      </c>
      <c r="AY527" s="121" t="str">
        <f>IF('Cable Info'!R231="","",CONCATENATE('Cable Info'!R231," - ",'Cable Info'!S231))</f>
        <v/>
      </c>
      <c r="BB527" s="121" t="str">
        <f t="shared" si="129"/>
        <v/>
      </c>
      <c r="BD527" s="121" t="str">
        <f>IF('Cable Info'!T231="","",CONCATENATE('Cable Info'!T231," - ",'Cable Info'!U231))</f>
        <v/>
      </c>
      <c r="BG527" s="121" t="str">
        <f t="shared" si="130"/>
        <v/>
      </c>
      <c r="BI527" s="121" t="str">
        <f>IF('Cable Info'!V231="","",CONCATENATE('Cable Info'!V231," - ",'Cable Info'!W231))</f>
        <v/>
      </c>
      <c r="BL527" s="121" t="str">
        <f t="shared" si="131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26"/>
        <v>#N/A</v>
      </c>
      <c r="AO528" s="121" t="e">
        <f>IF('Cable Info'!N232="","",CONCATENATE('Cable Info'!N232," - ",'Cable Info'!O232))</f>
        <v>#N/A</v>
      </c>
      <c r="AR528" s="121" t="e">
        <f t="shared" si="127"/>
        <v>#N/A</v>
      </c>
      <c r="AT528" s="121" t="e">
        <f>IF('Cable Info'!P232="","",CONCATENATE('Cable Info'!P232," - ",'Cable Info'!Q232))</f>
        <v>#N/A</v>
      </c>
      <c r="AW528" s="121" t="e">
        <f t="shared" si="128"/>
        <v>#N/A</v>
      </c>
      <c r="AY528" s="121" t="str">
        <f>IF('Cable Info'!R232="","",CONCATENATE('Cable Info'!R232," - ",'Cable Info'!S232))</f>
        <v/>
      </c>
      <c r="BB528" s="121" t="str">
        <f t="shared" si="129"/>
        <v/>
      </c>
      <c r="BD528" s="121" t="str">
        <f>IF('Cable Info'!T232="","",CONCATENATE('Cable Info'!T232," - ",'Cable Info'!U232))</f>
        <v/>
      </c>
      <c r="BG528" s="121" t="str">
        <f t="shared" si="130"/>
        <v/>
      </c>
      <c r="BI528" s="121" t="str">
        <f>IF('Cable Info'!V232="","",CONCATENATE('Cable Info'!V232," - ",'Cable Info'!W232))</f>
        <v/>
      </c>
      <c r="BL528" s="121" t="str">
        <f t="shared" si="131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26"/>
        <v>#N/A</v>
      </c>
      <c r="AO529" s="121" t="e">
        <f>IF('Cable Info'!N233="","",CONCATENATE('Cable Info'!N233," - ",'Cable Info'!O233))</f>
        <v>#N/A</v>
      </c>
      <c r="AR529" s="121" t="e">
        <f t="shared" si="127"/>
        <v>#N/A</v>
      </c>
      <c r="AT529" s="121" t="e">
        <f>IF('Cable Info'!P233="","",CONCATENATE('Cable Info'!P233," - ",'Cable Info'!Q233))</f>
        <v>#N/A</v>
      </c>
      <c r="AW529" s="121" t="e">
        <f t="shared" si="128"/>
        <v>#N/A</v>
      </c>
      <c r="AY529" s="121" t="str">
        <f>IF('Cable Info'!R233="","",CONCATENATE('Cable Info'!R233," - ",'Cable Info'!S233))</f>
        <v/>
      </c>
      <c r="BB529" s="121" t="str">
        <f t="shared" si="129"/>
        <v/>
      </c>
      <c r="BD529" s="121" t="str">
        <f>IF('Cable Info'!T233="","",CONCATENATE('Cable Info'!T233," - ",'Cable Info'!U233))</f>
        <v/>
      </c>
      <c r="BG529" s="121" t="str">
        <f t="shared" si="130"/>
        <v/>
      </c>
      <c r="BI529" s="121" t="str">
        <f>IF('Cable Info'!V233="","",CONCATENATE('Cable Info'!V233," - ",'Cable Info'!W233))</f>
        <v/>
      </c>
      <c r="BL529" s="121" t="str">
        <f t="shared" si="131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26"/>
        <v>#N/A</v>
      </c>
      <c r="AO530" s="121" t="e">
        <f>IF('Cable Info'!N234="","",CONCATENATE('Cable Info'!N234," - ",'Cable Info'!O234))</f>
        <v>#N/A</v>
      </c>
      <c r="AR530" s="121" t="e">
        <f t="shared" si="127"/>
        <v>#N/A</v>
      </c>
      <c r="AT530" s="121" t="e">
        <f>IF('Cable Info'!P234="","",CONCATENATE('Cable Info'!P234," - ",'Cable Info'!Q234))</f>
        <v>#N/A</v>
      </c>
      <c r="AW530" s="121" t="e">
        <f t="shared" si="128"/>
        <v>#N/A</v>
      </c>
      <c r="AY530" s="121" t="str">
        <f>IF('Cable Info'!R234="","",CONCATENATE('Cable Info'!R234," - ",'Cable Info'!S234))</f>
        <v/>
      </c>
      <c r="BB530" s="121" t="str">
        <f t="shared" si="129"/>
        <v/>
      </c>
      <c r="BD530" s="121" t="str">
        <f>IF('Cable Info'!T234="","",CONCATENATE('Cable Info'!T234," - ",'Cable Info'!U234))</f>
        <v/>
      </c>
      <c r="BG530" s="121" t="str">
        <f t="shared" si="130"/>
        <v/>
      </c>
      <c r="BI530" s="121" t="str">
        <f>IF('Cable Info'!V234="","",CONCATENATE('Cable Info'!V234," - ",'Cable Info'!W234))</f>
        <v/>
      </c>
      <c r="BL530" s="121" t="str">
        <f t="shared" si="131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26"/>
        <v>#N/A</v>
      </c>
      <c r="AO531" s="121" t="e">
        <f>IF('Cable Info'!N235="","",CONCATENATE('Cable Info'!N235," - ",'Cable Info'!O235))</f>
        <v>#N/A</v>
      </c>
      <c r="AR531" s="121" t="e">
        <f t="shared" si="127"/>
        <v>#N/A</v>
      </c>
      <c r="AT531" s="121" t="e">
        <f>IF('Cable Info'!P235="","",CONCATENATE('Cable Info'!P235," - ",'Cable Info'!Q235))</f>
        <v>#N/A</v>
      </c>
      <c r="AW531" s="121" t="e">
        <f t="shared" si="128"/>
        <v>#N/A</v>
      </c>
      <c r="AY531" s="121" t="str">
        <f>IF('Cable Info'!R235="","",CONCATENATE('Cable Info'!R235," - ",'Cable Info'!S235))</f>
        <v/>
      </c>
      <c r="BB531" s="121" t="str">
        <f t="shared" si="129"/>
        <v/>
      </c>
      <c r="BD531" s="121" t="str">
        <f>IF('Cable Info'!T235="","",CONCATENATE('Cable Info'!T235," - ",'Cable Info'!U235))</f>
        <v/>
      </c>
      <c r="BG531" s="121" t="str">
        <f t="shared" si="130"/>
        <v/>
      </c>
      <c r="BI531" s="121" t="str">
        <f>IF('Cable Info'!V235="","",CONCATENATE('Cable Info'!V235," - ",'Cable Info'!W235))</f>
        <v/>
      </c>
      <c r="BL531" s="121" t="str">
        <f t="shared" si="131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26"/>
        <v>#N/A</v>
      </c>
      <c r="AO532" s="121" t="e">
        <f>IF('Cable Info'!N236="","",CONCATENATE('Cable Info'!N236," - ",'Cable Info'!O236))</f>
        <v>#N/A</v>
      </c>
      <c r="AR532" s="121" t="e">
        <f t="shared" si="127"/>
        <v>#N/A</v>
      </c>
      <c r="AT532" s="121" t="e">
        <f>IF('Cable Info'!P236="","",CONCATENATE('Cable Info'!P236," - ",'Cable Info'!Q236))</f>
        <v>#N/A</v>
      </c>
      <c r="AW532" s="121" t="e">
        <f t="shared" si="128"/>
        <v>#N/A</v>
      </c>
      <c r="AY532" s="121" t="str">
        <f>IF('Cable Info'!R236="","",CONCATENATE('Cable Info'!R236," - ",'Cable Info'!S236))</f>
        <v/>
      </c>
      <c r="BB532" s="121" t="str">
        <f t="shared" si="129"/>
        <v/>
      </c>
      <c r="BD532" s="121" t="str">
        <f>IF('Cable Info'!T236="","",CONCATENATE('Cable Info'!T236," - ",'Cable Info'!U236))</f>
        <v/>
      </c>
      <c r="BG532" s="121" t="str">
        <f t="shared" si="130"/>
        <v/>
      </c>
      <c r="BI532" s="121" t="str">
        <f>IF('Cable Info'!V236="","",CONCATENATE('Cable Info'!V236," - ",'Cable Info'!W236))</f>
        <v/>
      </c>
      <c r="BL532" s="121" t="str">
        <f t="shared" si="131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26"/>
        <v>#N/A</v>
      </c>
      <c r="AO533" s="121" t="e">
        <f>IF('Cable Info'!N237="","",CONCATENATE('Cable Info'!N237," - ",'Cable Info'!O237))</f>
        <v>#N/A</v>
      </c>
      <c r="AR533" s="121" t="e">
        <f t="shared" si="127"/>
        <v>#N/A</v>
      </c>
      <c r="AT533" s="121" t="e">
        <f>IF('Cable Info'!P237="","",CONCATENATE('Cable Info'!P237," - ",'Cable Info'!Q237))</f>
        <v>#N/A</v>
      </c>
      <c r="AW533" s="121" t="e">
        <f t="shared" si="128"/>
        <v>#N/A</v>
      </c>
      <c r="AY533" s="121" t="str">
        <f>IF('Cable Info'!R237="","",CONCATENATE('Cable Info'!R237," - ",'Cable Info'!S237))</f>
        <v/>
      </c>
      <c r="BB533" s="121" t="str">
        <f t="shared" si="129"/>
        <v/>
      </c>
      <c r="BD533" s="121" t="str">
        <f>IF('Cable Info'!T237="","",CONCATENATE('Cable Info'!T237," - ",'Cable Info'!U237))</f>
        <v/>
      </c>
      <c r="BG533" s="121" t="str">
        <f t="shared" si="130"/>
        <v/>
      </c>
      <c r="BI533" s="121" t="str">
        <f>IF('Cable Info'!V237="","",CONCATENATE('Cable Info'!V237," - ",'Cable Info'!W237))</f>
        <v/>
      </c>
      <c r="BL533" s="121" t="str">
        <f t="shared" si="131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26"/>
        <v>#N/A</v>
      </c>
      <c r="AO534" s="121" t="e">
        <f>IF('Cable Info'!N238="","",CONCATENATE('Cable Info'!N238," - ",'Cable Info'!O238))</f>
        <v>#N/A</v>
      </c>
      <c r="AR534" s="121" t="e">
        <f t="shared" si="127"/>
        <v>#N/A</v>
      </c>
      <c r="AT534" s="121" t="e">
        <f>IF('Cable Info'!P238="","",CONCATENATE('Cable Info'!P238," - ",'Cable Info'!Q238))</f>
        <v>#N/A</v>
      </c>
      <c r="AW534" s="121" t="e">
        <f t="shared" si="128"/>
        <v>#N/A</v>
      </c>
      <c r="AY534" s="121" t="str">
        <f>IF('Cable Info'!R238="","",CONCATENATE('Cable Info'!R238," - ",'Cable Info'!S238))</f>
        <v/>
      </c>
      <c r="BB534" s="121" t="str">
        <f t="shared" si="129"/>
        <v/>
      </c>
      <c r="BD534" s="121" t="str">
        <f>IF('Cable Info'!T238="","",CONCATENATE('Cable Info'!T238," - ",'Cable Info'!U238))</f>
        <v/>
      </c>
      <c r="BG534" s="121" t="str">
        <f t="shared" si="130"/>
        <v/>
      </c>
      <c r="BI534" s="121" t="str">
        <f>IF('Cable Info'!V238="","",CONCATENATE('Cable Info'!V238," - ",'Cable Info'!W238))</f>
        <v/>
      </c>
      <c r="BL534" s="121" t="str">
        <f t="shared" si="131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26"/>
        <v>#N/A</v>
      </c>
      <c r="AO535" s="121" t="e">
        <f>IF('Cable Info'!N239="","",CONCATENATE('Cable Info'!N239," - ",'Cable Info'!O239))</f>
        <v>#N/A</v>
      </c>
      <c r="AR535" s="121" t="e">
        <f t="shared" si="127"/>
        <v>#N/A</v>
      </c>
      <c r="AT535" s="121" t="e">
        <f>IF('Cable Info'!P239="","",CONCATENATE('Cable Info'!P239," - ",'Cable Info'!Q239))</f>
        <v>#N/A</v>
      </c>
      <c r="AW535" s="121" t="e">
        <f t="shared" si="128"/>
        <v>#N/A</v>
      </c>
      <c r="AY535" s="121" t="str">
        <f>IF('Cable Info'!R239="","",CONCATENATE('Cable Info'!R239," - ",'Cable Info'!S239))</f>
        <v/>
      </c>
      <c r="BB535" s="121" t="str">
        <f t="shared" si="129"/>
        <v/>
      </c>
      <c r="BD535" s="121" t="str">
        <f>IF('Cable Info'!T239="","",CONCATENATE('Cable Info'!T239," - ",'Cable Info'!U239))</f>
        <v/>
      </c>
      <c r="BG535" s="121" t="str">
        <f t="shared" si="130"/>
        <v/>
      </c>
      <c r="BI535" s="121" t="str">
        <f>IF('Cable Info'!V239="","",CONCATENATE('Cable Info'!V239," - ",'Cable Info'!W239))</f>
        <v/>
      </c>
      <c r="BL535" s="121" t="str">
        <f t="shared" si="131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26"/>
        <v>#N/A</v>
      </c>
      <c r="AO536" s="121" t="e">
        <f>IF('Cable Info'!N240="","",CONCATENATE('Cable Info'!N240," - ",'Cable Info'!O240))</f>
        <v>#N/A</v>
      </c>
      <c r="AR536" s="121" t="e">
        <f t="shared" si="127"/>
        <v>#N/A</v>
      </c>
      <c r="AT536" s="121" t="e">
        <f>IF('Cable Info'!P240="","",CONCATENATE('Cable Info'!P240," - ",'Cable Info'!Q240))</f>
        <v>#N/A</v>
      </c>
      <c r="AW536" s="121" t="e">
        <f t="shared" si="128"/>
        <v>#N/A</v>
      </c>
      <c r="AY536" s="121" t="str">
        <f>IF('Cable Info'!R240="","",CONCATENATE('Cable Info'!R240," - ",'Cable Info'!S240))</f>
        <v/>
      </c>
      <c r="BB536" s="121" t="str">
        <f t="shared" si="129"/>
        <v/>
      </c>
      <c r="BD536" s="121" t="str">
        <f>IF('Cable Info'!T240="","",CONCATENATE('Cable Info'!T240," - ",'Cable Info'!U240))</f>
        <v/>
      </c>
      <c r="BG536" s="121" t="str">
        <f t="shared" si="130"/>
        <v/>
      </c>
      <c r="BI536" s="121" t="str">
        <f>IF('Cable Info'!V240="","",CONCATENATE('Cable Info'!V240," - ",'Cable Info'!W240))</f>
        <v/>
      </c>
      <c r="BL536" s="121" t="str">
        <f t="shared" si="131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26"/>
        <v>#N/A</v>
      </c>
      <c r="AO537" s="121" t="e">
        <f>IF('Cable Info'!N241="","",CONCATENATE('Cable Info'!N241," - ",'Cable Info'!O241))</f>
        <v>#N/A</v>
      </c>
      <c r="AR537" s="121" t="e">
        <f t="shared" si="127"/>
        <v>#N/A</v>
      </c>
      <c r="AT537" s="121" t="e">
        <f>IF('Cable Info'!P241="","",CONCATENATE('Cable Info'!P241," - ",'Cable Info'!Q241))</f>
        <v>#N/A</v>
      </c>
      <c r="AW537" s="121" t="e">
        <f t="shared" si="128"/>
        <v>#N/A</v>
      </c>
      <c r="AY537" s="121" t="str">
        <f>IF('Cable Info'!R241="","",CONCATENATE('Cable Info'!R241," - ",'Cable Info'!S241))</f>
        <v/>
      </c>
      <c r="BB537" s="121" t="str">
        <f t="shared" si="129"/>
        <v/>
      </c>
      <c r="BD537" s="121" t="str">
        <f>IF('Cable Info'!T241="","",CONCATENATE('Cable Info'!T241," - ",'Cable Info'!U241))</f>
        <v/>
      </c>
      <c r="BG537" s="121" t="str">
        <f t="shared" si="130"/>
        <v/>
      </c>
      <c r="BI537" s="121" t="str">
        <f>IF('Cable Info'!V241="","",CONCATENATE('Cable Info'!V241," - ",'Cable Info'!W241))</f>
        <v/>
      </c>
      <c r="BL537" s="121" t="str">
        <f t="shared" si="131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26"/>
        <v>#N/A</v>
      </c>
      <c r="AO538" s="121" t="e">
        <f>IF('Cable Info'!N242="","",CONCATENATE('Cable Info'!N242," - ",'Cable Info'!O242))</f>
        <v>#N/A</v>
      </c>
      <c r="AR538" s="121" t="e">
        <f t="shared" si="127"/>
        <v>#N/A</v>
      </c>
      <c r="AT538" s="121" t="e">
        <f>IF('Cable Info'!P242="","",CONCATENATE('Cable Info'!P242," - ",'Cable Info'!Q242))</f>
        <v>#N/A</v>
      </c>
      <c r="AW538" s="121" t="e">
        <f t="shared" si="128"/>
        <v>#N/A</v>
      </c>
      <c r="AY538" s="121" t="str">
        <f>IF('Cable Info'!R242="","",CONCATENATE('Cable Info'!R242," - ",'Cable Info'!S242))</f>
        <v/>
      </c>
      <c r="BB538" s="121" t="str">
        <f t="shared" si="129"/>
        <v/>
      </c>
      <c r="BD538" s="121" t="str">
        <f>IF('Cable Info'!T242="","",CONCATENATE('Cable Info'!T242," - ",'Cable Info'!U242))</f>
        <v/>
      </c>
      <c r="BG538" s="121" t="str">
        <f t="shared" si="130"/>
        <v/>
      </c>
      <c r="BI538" s="121" t="str">
        <f>IF('Cable Info'!V242="","",CONCATENATE('Cable Info'!V242," - ",'Cable Info'!W242))</f>
        <v/>
      </c>
      <c r="BL538" s="121" t="str">
        <f t="shared" si="131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26"/>
        <v>#N/A</v>
      </c>
      <c r="AO539" s="121" t="e">
        <f>IF('Cable Info'!N243="","",CONCATENATE('Cable Info'!N243," - ",'Cable Info'!O243))</f>
        <v>#N/A</v>
      </c>
      <c r="AR539" s="121" t="e">
        <f t="shared" si="127"/>
        <v>#N/A</v>
      </c>
      <c r="AT539" s="121" t="e">
        <f>IF('Cable Info'!P243="","",CONCATENATE('Cable Info'!P243," - ",'Cable Info'!Q243))</f>
        <v>#N/A</v>
      </c>
      <c r="AW539" s="121" t="e">
        <f t="shared" si="128"/>
        <v>#N/A</v>
      </c>
      <c r="AY539" s="121" t="str">
        <f>IF('Cable Info'!R243="","",CONCATENATE('Cable Info'!R243," - ",'Cable Info'!S243))</f>
        <v/>
      </c>
      <c r="BB539" s="121" t="str">
        <f t="shared" si="129"/>
        <v/>
      </c>
      <c r="BD539" s="121" t="str">
        <f>IF('Cable Info'!T243="","",CONCATENATE('Cable Info'!T243," - ",'Cable Info'!U243))</f>
        <v/>
      </c>
      <c r="BG539" s="121" t="str">
        <f t="shared" si="130"/>
        <v/>
      </c>
      <c r="BI539" s="121" t="str">
        <f>IF('Cable Info'!V243="","",CONCATENATE('Cable Info'!V243," - ",'Cable Info'!W243))</f>
        <v/>
      </c>
      <c r="BL539" s="121" t="str">
        <f t="shared" si="131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26"/>
        <v>#N/A</v>
      </c>
      <c r="AO540" s="121" t="e">
        <f>IF('Cable Info'!N244="","",CONCATENATE('Cable Info'!N244," - ",'Cable Info'!O244))</f>
        <v>#N/A</v>
      </c>
      <c r="AR540" s="121" t="e">
        <f t="shared" si="127"/>
        <v>#N/A</v>
      </c>
      <c r="AT540" s="121" t="e">
        <f>IF('Cable Info'!P244="","",CONCATENATE('Cable Info'!P244," - ",'Cable Info'!Q244))</f>
        <v>#N/A</v>
      </c>
      <c r="AW540" s="121" t="e">
        <f t="shared" si="128"/>
        <v>#N/A</v>
      </c>
      <c r="AY540" s="121" t="str">
        <f>IF('Cable Info'!R244="","",CONCATENATE('Cable Info'!R244," - ",'Cable Info'!S244))</f>
        <v/>
      </c>
      <c r="BB540" s="121" t="str">
        <f t="shared" si="129"/>
        <v/>
      </c>
      <c r="BD540" s="121" t="str">
        <f>IF('Cable Info'!T244="","",CONCATENATE('Cable Info'!T244," - ",'Cable Info'!U244))</f>
        <v/>
      </c>
      <c r="BG540" s="121" t="str">
        <f t="shared" si="130"/>
        <v/>
      </c>
      <c r="BI540" s="121" t="str">
        <f>IF('Cable Info'!V244="","",CONCATENATE('Cable Info'!V244," - ",'Cable Info'!W244))</f>
        <v/>
      </c>
      <c r="BL540" s="121" t="str">
        <f t="shared" si="131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26"/>
        <v>#N/A</v>
      </c>
      <c r="AO541" s="121" t="e">
        <f>IF('Cable Info'!N245="","",CONCATENATE('Cable Info'!N245," - ",'Cable Info'!O245))</f>
        <v>#N/A</v>
      </c>
      <c r="AR541" s="121" t="e">
        <f t="shared" si="127"/>
        <v>#N/A</v>
      </c>
      <c r="AT541" s="121" t="e">
        <f>IF('Cable Info'!P245="","",CONCATENATE('Cable Info'!P245," - ",'Cable Info'!Q245))</f>
        <v>#N/A</v>
      </c>
      <c r="AW541" s="121" t="e">
        <f t="shared" si="128"/>
        <v>#N/A</v>
      </c>
      <c r="AY541" s="121" t="str">
        <f>IF('Cable Info'!R245="","",CONCATENATE('Cable Info'!R245," - ",'Cable Info'!S245))</f>
        <v/>
      </c>
      <c r="BB541" s="121" t="str">
        <f t="shared" si="129"/>
        <v/>
      </c>
      <c r="BD541" s="121" t="str">
        <f>IF('Cable Info'!T245="","",CONCATENATE('Cable Info'!T245," - ",'Cable Info'!U245))</f>
        <v/>
      </c>
      <c r="BG541" s="121" t="str">
        <f t="shared" si="130"/>
        <v/>
      </c>
      <c r="BI541" s="121" t="str">
        <f>IF('Cable Info'!V245="","",CONCATENATE('Cable Info'!V245," - ",'Cable Info'!W245))</f>
        <v/>
      </c>
      <c r="BL541" s="121" t="str">
        <f t="shared" si="131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26"/>
        <v>#N/A</v>
      </c>
      <c r="AO542" s="121" t="e">
        <f>IF('Cable Info'!N246="","",CONCATENATE('Cable Info'!N246," - ",'Cable Info'!O246))</f>
        <v>#N/A</v>
      </c>
      <c r="AR542" s="121" t="e">
        <f t="shared" si="127"/>
        <v>#N/A</v>
      </c>
      <c r="AT542" s="121" t="e">
        <f>IF('Cable Info'!P246="","",CONCATENATE('Cable Info'!P246," - ",'Cable Info'!Q246))</f>
        <v>#N/A</v>
      </c>
      <c r="AW542" s="121" t="e">
        <f t="shared" si="128"/>
        <v>#N/A</v>
      </c>
      <c r="AY542" s="121" t="str">
        <f>IF('Cable Info'!R246="","",CONCATENATE('Cable Info'!R246," - ",'Cable Info'!S246))</f>
        <v/>
      </c>
      <c r="BB542" s="121" t="str">
        <f t="shared" si="129"/>
        <v/>
      </c>
      <c r="BD542" s="121" t="str">
        <f>IF('Cable Info'!T246="","",CONCATENATE('Cable Info'!T246," - ",'Cable Info'!U246))</f>
        <v/>
      </c>
      <c r="BG542" s="121" t="str">
        <f t="shared" si="130"/>
        <v/>
      </c>
      <c r="BI542" s="121" t="str">
        <f>IF('Cable Info'!V246="","",CONCATENATE('Cable Info'!V246," - ",'Cable Info'!W246))</f>
        <v/>
      </c>
      <c r="BL542" s="121" t="str">
        <f t="shared" si="131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26"/>
        <v>#N/A</v>
      </c>
      <c r="AO543" s="121" t="e">
        <f>IF('Cable Info'!N247="","",CONCATENATE('Cable Info'!N247," - ",'Cable Info'!O247))</f>
        <v>#N/A</v>
      </c>
      <c r="AR543" s="121" t="e">
        <f t="shared" si="127"/>
        <v>#N/A</v>
      </c>
      <c r="AT543" s="121" t="e">
        <f>IF('Cable Info'!P247="","",CONCATENATE('Cable Info'!P247," - ",'Cable Info'!Q247))</f>
        <v>#N/A</v>
      </c>
      <c r="AW543" s="121" t="e">
        <f t="shared" si="128"/>
        <v>#N/A</v>
      </c>
      <c r="AY543" s="121" t="str">
        <f>IF('Cable Info'!R247="","",CONCATENATE('Cable Info'!R247," - ",'Cable Info'!S247))</f>
        <v/>
      </c>
      <c r="BB543" s="121" t="str">
        <f t="shared" si="129"/>
        <v/>
      </c>
      <c r="BD543" s="121" t="str">
        <f>IF('Cable Info'!T247="","",CONCATENATE('Cable Info'!T247," - ",'Cable Info'!U247))</f>
        <v/>
      </c>
      <c r="BG543" s="121" t="str">
        <f t="shared" si="130"/>
        <v/>
      </c>
      <c r="BI543" s="121" t="str">
        <f>IF('Cable Info'!V247="","",CONCATENATE('Cable Info'!V247," - ",'Cable Info'!W247))</f>
        <v/>
      </c>
      <c r="BL543" s="121" t="str">
        <f t="shared" si="131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26"/>
        <v>#N/A</v>
      </c>
      <c r="AO544" s="121" t="e">
        <f>IF('Cable Info'!N248="","",CONCATENATE('Cable Info'!N248," - ",'Cable Info'!O248))</f>
        <v>#N/A</v>
      </c>
      <c r="AR544" s="121" t="e">
        <f t="shared" si="127"/>
        <v>#N/A</v>
      </c>
      <c r="AT544" s="121" t="e">
        <f>IF('Cable Info'!P248="","",CONCATENATE('Cable Info'!P248," - ",'Cable Info'!Q248))</f>
        <v>#N/A</v>
      </c>
      <c r="AW544" s="121" t="e">
        <f t="shared" si="128"/>
        <v>#N/A</v>
      </c>
      <c r="AY544" s="121" t="str">
        <f>IF('Cable Info'!R248="","",CONCATENATE('Cable Info'!R248," - ",'Cable Info'!S248))</f>
        <v/>
      </c>
      <c r="BB544" s="121" t="str">
        <f t="shared" si="129"/>
        <v/>
      </c>
      <c r="BD544" s="121" t="str">
        <f>IF('Cable Info'!T248="","",CONCATENATE('Cable Info'!T248," - ",'Cable Info'!U248))</f>
        <v/>
      </c>
      <c r="BG544" s="121" t="str">
        <f t="shared" si="130"/>
        <v/>
      </c>
      <c r="BI544" s="121" t="str">
        <f>IF('Cable Info'!V248="","",CONCATENATE('Cable Info'!V248," - ",'Cable Info'!W248))</f>
        <v/>
      </c>
      <c r="BL544" s="121" t="str">
        <f t="shared" si="131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26"/>
        <v>#N/A</v>
      </c>
      <c r="AO545" s="121" t="e">
        <f>IF('Cable Info'!N249="","",CONCATENATE('Cable Info'!N249," - ",'Cable Info'!O249))</f>
        <v>#N/A</v>
      </c>
      <c r="AR545" s="121" t="e">
        <f t="shared" si="127"/>
        <v>#N/A</v>
      </c>
      <c r="AT545" s="121" t="e">
        <f>IF('Cable Info'!P249="","",CONCATENATE('Cable Info'!P249," - ",'Cable Info'!Q249))</f>
        <v>#N/A</v>
      </c>
      <c r="AW545" s="121" t="e">
        <f t="shared" si="128"/>
        <v>#N/A</v>
      </c>
      <c r="AY545" s="121" t="str">
        <f>IF('Cable Info'!R249="","",CONCATENATE('Cable Info'!R249," - ",'Cable Info'!S249))</f>
        <v/>
      </c>
      <c r="BB545" s="121" t="str">
        <f t="shared" si="129"/>
        <v/>
      </c>
      <c r="BD545" s="121" t="str">
        <f>IF('Cable Info'!T249="","",CONCATENATE('Cable Info'!T249," - ",'Cable Info'!U249))</f>
        <v/>
      </c>
      <c r="BG545" s="121" t="str">
        <f t="shared" si="130"/>
        <v/>
      </c>
      <c r="BI545" s="121" t="str">
        <f>IF('Cable Info'!V249="","",CONCATENATE('Cable Info'!V249," - ",'Cable Info'!W249))</f>
        <v/>
      </c>
      <c r="BL545" s="121" t="str">
        <f t="shared" si="131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26"/>
        <v>#N/A</v>
      </c>
      <c r="AO546" s="121" t="e">
        <f>IF('Cable Info'!N250="","",CONCATENATE('Cable Info'!N250," - ",'Cable Info'!O250))</f>
        <v>#N/A</v>
      </c>
      <c r="AR546" s="121" t="e">
        <f t="shared" si="127"/>
        <v>#N/A</v>
      </c>
      <c r="AT546" s="121" t="e">
        <f>IF('Cable Info'!P250="","",CONCATENATE('Cable Info'!P250," - ",'Cable Info'!Q250))</f>
        <v>#N/A</v>
      </c>
      <c r="AW546" s="121" t="e">
        <f t="shared" si="128"/>
        <v>#N/A</v>
      </c>
      <c r="AY546" s="121" t="str">
        <f>IF('Cable Info'!R250="","",CONCATENATE('Cable Info'!R250," - ",'Cable Info'!S250))</f>
        <v/>
      </c>
      <c r="BB546" s="121" t="str">
        <f t="shared" si="129"/>
        <v/>
      </c>
      <c r="BD546" s="121" t="str">
        <f>IF('Cable Info'!T250="","",CONCATENATE('Cable Info'!T250," - ",'Cable Info'!U250))</f>
        <v/>
      </c>
      <c r="BG546" s="121" t="str">
        <f t="shared" si="130"/>
        <v/>
      </c>
      <c r="BI546" s="121" t="str">
        <f>IF('Cable Info'!V250="","",CONCATENATE('Cable Info'!V250," - ",'Cable Info'!W250))</f>
        <v/>
      </c>
      <c r="BL546" s="121" t="str">
        <f t="shared" si="131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26"/>
        <v>#N/A</v>
      </c>
      <c r="AO547" s="121" t="e">
        <f>IF('Cable Info'!N251="","",CONCATENATE('Cable Info'!N251," - ",'Cable Info'!O251))</f>
        <v>#N/A</v>
      </c>
      <c r="AR547" s="121" t="e">
        <f t="shared" si="127"/>
        <v>#N/A</v>
      </c>
      <c r="AT547" s="121" t="e">
        <f>IF('Cable Info'!P251="","",CONCATENATE('Cable Info'!P251," - ",'Cable Info'!Q251))</f>
        <v>#N/A</v>
      </c>
      <c r="AW547" s="121" t="e">
        <f t="shared" si="128"/>
        <v>#N/A</v>
      </c>
      <c r="AY547" s="121" t="str">
        <f>IF('Cable Info'!R251="","",CONCATENATE('Cable Info'!R251," - ",'Cable Info'!S251))</f>
        <v/>
      </c>
      <c r="BB547" s="121" t="str">
        <f t="shared" si="129"/>
        <v/>
      </c>
      <c r="BD547" s="121" t="str">
        <f>IF('Cable Info'!T251="","",CONCATENATE('Cable Info'!T251," - ",'Cable Info'!U251))</f>
        <v/>
      </c>
      <c r="BG547" s="121" t="str">
        <f t="shared" si="130"/>
        <v/>
      </c>
      <c r="BI547" s="121" t="str">
        <f>IF('Cable Info'!V251="","",CONCATENATE('Cable Info'!V251," - ",'Cable Info'!W251))</f>
        <v/>
      </c>
      <c r="BL547" s="121" t="str">
        <f t="shared" si="131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26"/>
        <v>#N/A</v>
      </c>
      <c r="AO548" s="121" t="e">
        <f>IF('Cable Info'!N252="","",CONCATENATE('Cable Info'!N252," - ",'Cable Info'!O252))</f>
        <v>#N/A</v>
      </c>
      <c r="AR548" s="121" t="e">
        <f t="shared" si="127"/>
        <v>#N/A</v>
      </c>
      <c r="AT548" s="121" t="e">
        <f>IF('Cable Info'!P252="","",CONCATENATE('Cable Info'!P252," - ",'Cable Info'!Q252))</f>
        <v>#N/A</v>
      </c>
      <c r="AW548" s="121" t="e">
        <f t="shared" si="128"/>
        <v>#N/A</v>
      </c>
      <c r="AY548" s="121" t="str">
        <f>IF('Cable Info'!R252="","",CONCATENATE('Cable Info'!R252," - ",'Cable Info'!S252))</f>
        <v/>
      </c>
      <c r="BB548" s="121" t="str">
        <f t="shared" si="129"/>
        <v/>
      </c>
      <c r="BD548" s="121" t="str">
        <f>IF('Cable Info'!T252="","",CONCATENATE('Cable Info'!T252," - ",'Cable Info'!U252))</f>
        <v/>
      </c>
      <c r="BG548" s="121" t="str">
        <f t="shared" si="130"/>
        <v/>
      </c>
      <c r="BI548" s="121" t="str">
        <f>IF('Cable Info'!V252="","",CONCATENATE('Cable Info'!V252," - ",'Cable Info'!W252))</f>
        <v/>
      </c>
      <c r="BL548" s="121" t="str">
        <f t="shared" si="131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26"/>
        <v>#N/A</v>
      </c>
      <c r="AO549" s="121" t="e">
        <f>IF('Cable Info'!N253="","",CONCATENATE('Cable Info'!N253," - ",'Cable Info'!O253))</f>
        <v>#N/A</v>
      </c>
      <c r="AR549" s="121" t="e">
        <f t="shared" si="127"/>
        <v>#N/A</v>
      </c>
      <c r="AT549" s="121" t="e">
        <f>IF('Cable Info'!P253="","",CONCATENATE('Cable Info'!P253," - ",'Cable Info'!Q253))</f>
        <v>#N/A</v>
      </c>
      <c r="AW549" s="121" t="e">
        <f t="shared" si="128"/>
        <v>#N/A</v>
      </c>
      <c r="AY549" s="121" t="str">
        <f>IF('Cable Info'!R253="","",CONCATENATE('Cable Info'!R253," - ",'Cable Info'!S253))</f>
        <v/>
      </c>
      <c r="BB549" s="121" t="str">
        <f t="shared" si="129"/>
        <v/>
      </c>
      <c r="BD549" s="121" t="str">
        <f>IF('Cable Info'!T253="","",CONCATENATE('Cable Info'!T253," - ",'Cable Info'!U253))</f>
        <v/>
      </c>
      <c r="BG549" s="121" t="str">
        <f t="shared" si="130"/>
        <v/>
      </c>
      <c r="BI549" s="121" t="str">
        <f>IF('Cable Info'!V253="","",CONCATENATE('Cable Info'!V253," - ",'Cable Info'!W253))</f>
        <v/>
      </c>
      <c r="BL549" s="121" t="str">
        <f t="shared" si="131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26"/>
        <v>#N/A</v>
      </c>
      <c r="AO550" s="121" t="e">
        <f>IF('Cable Info'!N254="","",CONCATENATE('Cable Info'!N254," - ",'Cable Info'!O254))</f>
        <v>#N/A</v>
      </c>
      <c r="AR550" s="121" t="e">
        <f t="shared" si="127"/>
        <v>#N/A</v>
      </c>
      <c r="AT550" s="121" t="e">
        <f>IF('Cable Info'!P254="","",CONCATENATE('Cable Info'!P254," - ",'Cable Info'!Q254))</f>
        <v>#N/A</v>
      </c>
      <c r="AW550" s="121" t="e">
        <f t="shared" si="128"/>
        <v>#N/A</v>
      </c>
      <c r="AY550" s="121" t="str">
        <f>IF('Cable Info'!R254="","",CONCATENATE('Cable Info'!R254," - ",'Cable Info'!S254))</f>
        <v/>
      </c>
      <c r="BB550" s="121" t="str">
        <f t="shared" si="129"/>
        <v/>
      </c>
      <c r="BD550" s="121" t="str">
        <f>IF('Cable Info'!T254="","",CONCATENATE('Cable Info'!T254," - ",'Cable Info'!U254))</f>
        <v/>
      </c>
      <c r="BG550" s="121" t="str">
        <f t="shared" si="130"/>
        <v/>
      </c>
      <c r="BI550" s="121" t="str">
        <f>IF('Cable Info'!V254="","",CONCATENATE('Cable Info'!V254," - ",'Cable Info'!W254))</f>
        <v/>
      </c>
      <c r="BL550" s="121" t="str">
        <f t="shared" si="131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26"/>
        <v>#N/A</v>
      </c>
      <c r="AO551" s="121" t="e">
        <f>IF('Cable Info'!N255="","",CONCATENATE('Cable Info'!N255," - ",'Cable Info'!O255))</f>
        <v>#N/A</v>
      </c>
      <c r="AR551" s="121" t="e">
        <f t="shared" si="127"/>
        <v>#N/A</v>
      </c>
      <c r="AT551" s="121" t="e">
        <f>IF('Cable Info'!P255="","",CONCATENATE('Cable Info'!P255," - ",'Cable Info'!Q255))</f>
        <v>#N/A</v>
      </c>
      <c r="AW551" s="121" t="e">
        <f t="shared" si="128"/>
        <v>#N/A</v>
      </c>
      <c r="AY551" s="121" t="str">
        <f>IF('Cable Info'!R255="","",CONCATENATE('Cable Info'!R255," - ",'Cable Info'!S255))</f>
        <v/>
      </c>
      <c r="BB551" s="121" t="str">
        <f t="shared" si="129"/>
        <v/>
      </c>
      <c r="BD551" s="121" t="str">
        <f>IF('Cable Info'!T255="","",CONCATENATE('Cable Info'!T255," - ",'Cable Info'!U255))</f>
        <v/>
      </c>
      <c r="BG551" s="121" t="str">
        <f t="shared" si="130"/>
        <v/>
      </c>
      <c r="BI551" s="121" t="str">
        <f>IF('Cable Info'!V255="","",CONCATENATE('Cable Info'!V255," - ",'Cable Info'!W255))</f>
        <v/>
      </c>
      <c r="BL551" s="121" t="str">
        <f t="shared" si="131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26"/>
        <v>#N/A</v>
      </c>
      <c r="AO552" s="121" t="e">
        <f>IF('Cable Info'!N256="","",CONCATENATE('Cable Info'!N256," - ",'Cable Info'!O256))</f>
        <v>#N/A</v>
      </c>
      <c r="AR552" s="121" t="e">
        <f t="shared" si="127"/>
        <v>#N/A</v>
      </c>
      <c r="AT552" s="121" t="e">
        <f>IF('Cable Info'!P256="","",CONCATENATE('Cable Info'!P256," - ",'Cable Info'!Q256))</f>
        <v>#N/A</v>
      </c>
      <c r="AW552" s="121" t="e">
        <f t="shared" si="128"/>
        <v>#N/A</v>
      </c>
      <c r="AY552" s="121" t="str">
        <f>IF('Cable Info'!R256="","",CONCATENATE('Cable Info'!R256," - ",'Cable Info'!S256))</f>
        <v/>
      </c>
      <c r="BB552" s="121" t="str">
        <f t="shared" si="129"/>
        <v/>
      </c>
      <c r="BD552" s="121" t="str">
        <f>IF('Cable Info'!T256="","",CONCATENATE('Cable Info'!T256," - ",'Cable Info'!U256))</f>
        <v/>
      </c>
      <c r="BG552" s="121" t="str">
        <f t="shared" si="130"/>
        <v/>
      </c>
      <c r="BI552" s="121" t="str">
        <f>IF('Cable Info'!V256="","",CONCATENATE('Cable Info'!V256," - ",'Cable Info'!W256))</f>
        <v/>
      </c>
      <c r="BL552" s="121" t="str">
        <f t="shared" si="131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26"/>
        <v>#N/A</v>
      </c>
      <c r="AO553" s="121" t="e">
        <f>IF('Cable Info'!N257="","",CONCATENATE('Cable Info'!N257," - ",'Cable Info'!O257))</f>
        <v>#N/A</v>
      </c>
      <c r="AR553" s="121" t="e">
        <f t="shared" si="127"/>
        <v>#N/A</v>
      </c>
      <c r="AT553" s="121" t="e">
        <f>IF('Cable Info'!P257="","",CONCATENATE('Cable Info'!P257," - ",'Cable Info'!Q257))</f>
        <v>#N/A</v>
      </c>
      <c r="AW553" s="121" t="e">
        <f t="shared" si="128"/>
        <v>#N/A</v>
      </c>
      <c r="AY553" s="121" t="str">
        <f>IF('Cable Info'!R257="","",CONCATENATE('Cable Info'!R257," - ",'Cable Info'!S257))</f>
        <v/>
      </c>
      <c r="BB553" s="121" t="str">
        <f t="shared" si="129"/>
        <v/>
      </c>
      <c r="BD553" s="121" t="str">
        <f>IF('Cable Info'!T257="","",CONCATENATE('Cable Info'!T257," - ",'Cable Info'!U257))</f>
        <v/>
      </c>
      <c r="BG553" s="121" t="str">
        <f t="shared" si="130"/>
        <v/>
      </c>
      <c r="BI553" s="121" t="str">
        <f>IF('Cable Info'!V257="","",CONCATENATE('Cable Info'!V257," - ",'Cable Info'!W257))</f>
        <v/>
      </c>
      <c r="BL553" s="121" t="str">
        <f t="shared" si="131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26"/>
        <v>#N/A</v>
      </c>
      <c r="AO554" s="121" t="e">
        <f>IF('Cable Info'!N258="","",CONCATENATE('Cable Info'!N258," - ",'Cable Info'!O258))</f>
        <v>#N/A</v>
      </c>
      <c r="AR554" s="121" t="e">
        <f t="shared" si="127"/>
        <v>#N/A</v>
      </c>
      <c r="AT554" s="121" t="e">
        <f>IF('Cable Info'!P258="","",CONCATENATE('Cable Info'!P258," - ",'Cable Info'!Q258))</f>
        <v>#N/A</v>
      </c>
      <c r="AW554" s="121" t="e">
        <f t="shared" si="128"/>
        <v>#N/A</v>
      </c>
      <c r="AY554" s="121" t="str">
        <f>IF('Cable Info'!R258="","",CONCATENATE('Cable Info'!R258," - ",'Cable Info'!S258))</f>
        <v/>
      </c>
      <c r="BB554" s="121" t="str">
        <f t="shared" si="129"/>
        <v/>
      </c>
      <c r="BD554" s="121" t="str">
        <f>IF('Cable Info'!T258="","",CONCATENATE('Cable Info'!T258," - ",'Cable Info'!U258))</f>
        <v/>
      </c>
      <c r="BG554" s="121" t="str">
        <f t="shared" si="130"/>
        <v/>
      </c>
      <c r="BI554" s="121" t="str">
        <f>IF('Cable Info'!V258="","",CONCATENATE('Cable Info'!V258," - ",'Cable Info'!W258))</f>
        <v/>
      </c>
      <c r="BL554" s="121" t="str">
        <f t="shared" si="131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2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3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4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35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36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37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2"/>
        <v>#N/A</v>
      </c>
      <c r="AO556" s="121" t="e">
        <f>IF('Cable Info'!N260="","",CONCATENATE('Cable Info'!N260," - ",'Cable Info'!O260))</f>
        <v>#N/A</v>
      </c>
      <c r="AR556" s="121" t="e">
        <f t="shared" si="133"/>
        <v>#N/A</v>
      </c>
      <c r="AT556" s="121" t="e">
        <f>IF('Cable Info'!P260="","",CONCATENATE('Cable Info'!P260," - ",'Cable Info'!Q260))</f>
        <v>#N/A</v>
      </c>
      <c r="AW556" s="121" t="e">
        <f t="shared" si="134"/>
        <v>#N/A</v>
      </c>
      <c r="AY556" s="121" t="str">
        <f>IF('Cable Info'!R260="","",CONCATENATE('Cable Info'!R260," - ",'Cable Info'!S260))</f>
        <v/>
      </c>
      <c r="BB556" s="121" t="str">
        <f t="shared" si="135"/>
        <v/>
      </c>
      <c r="BD556" s="121" t="str">
        <f>IF('Cable Info'!T260="","",CONCATENATE('Cable Info'!T260," - ",'Cable Info'!U260))</f>
        <v/>
      </c>
      <c r="BG556" s="121" t="str">
        <f t="shared" si="136"/>
        <v/>
      </c>
      <c r="BI556" s="121" t="str">
        <f>IF('Cable Info'!V260="","",CONCATENATE('Cable Info'!V260," - ",'Cable Info'!W260))</f>
        <v/>
      </c>
      <c r="BL556" s="121" t="str">
        <f t="shared" si="137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2"/>
        <v>#N/A</v>
      </c>
      <c r="AO557" s="121" t="e">
        <f>IF('Cable Info'!N261="","",CONCATENATE('Cable Info'!N261," - ",'Cable Info'!O261))</f>
        <v>#N/A</v>
      </c>
      <c r="AR557" s="121" t="e">
        <f t="shared" si="133"/>
        <v>#N/A</v>
      </c>
      <c r="AT557" s="121" t="e">
        <f>IF('Cable Info'!P261="","",CONCATENATE('Cable Info'!P261," - ",'Cable Info'!Q261))</f>
        <v>#N/A</v>
      </c>
      <c r="AW557" s="121" t="e">
        <f t="shared" si="134"/>
        <v>#N/A</v>
      </c>
      <c r="AY557" s="121" t="str">
        <f>IF('Cable Info'!R261="","",CONCATENATE('Cable Info'!R261," - ",'Cable Info'!S261))</f>
        <v/>
      </c>
      <c r="BB557" s="121" t="str">
        <f t="shared" si="135"/>
        <v/>
      </c>
      <c r="BD557" s="121" t="str">
        <f>IF('Cable Info'!T261="","",CONCATENATE('Cable Info'!T261," - ",'Cable Info'!U261))</f>
        <v/>
      </c>
      <c r="BG557" s="121" t="str">
        <f t="shared" si="136"/>
        <v/>
      </c>
      <c r="BI557" s="121" t="str">
        <f>IF('Cable Info'!V261="","",CONCATENATE('Cable Info'!V261," - ",'Cable Info'!W261))</f>
        <v/>
      </c>
      <c r="BL557" s="121" t="str">
        <f t="shared" si="137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2"/>
        <v>#N/A</v>
      </c>
      <c r="AO558" s="121" t="e">
        <f>IF('Cable Info'!N262="","",CONCATENATE('Cable Info'!N262," - ",'Cable Info'!O262))</f>
        <v>#N/A</v>
      </c>
      <c r="AR558" s="121" t="e">
        <f t="shared" si="133"/>
        <v>#N/A</v>
      </c>
      <c r="AT558" s="121" t="e">
        <f>IF('Cable Info'!P262="","",CONCATENATE('Cable Info'!P262," - ",'Cable Info'!Q262))</f>
        <v>#N/A</v>
      </c>
      <c r="AW558" s="121" t="e">
        <f t="shared" si="134"/>
        <v>#N/A</v>
      </c>
      <c r="AY558" s="121" t="str">
        <f>IF('Cable Info'!R262="","",CONCATENATE('Cable Info'!R262," - ",'Cable Info'!S262))</f>
        <v/>
      </c>
      <c r="BB558" s="121" t="str">
        <f t="shared" si="135"/>
        <v/>
      </c>
      <c r="BD558" s="121" t="str">
        <f>IF('Cable Info'!T262="","",CONCATENATE('Cable Info'!T262," - ",'Cable Info'!U262))</f>
        <v/>
      </c>
      <c r="BG558" s="121" t="str">
        <f t="shared" si="136"/>
        <v/>
      </c>
      <c r="BI558" s="121" t="str">
        <f>IF('Cable Info'!V262="","",CONCATENATE('Cable Info'!V262," - ",'Cable Info'!W262))</f>
        <v/>
      </c>
      <c r="BL558" s="121" t="str">
        <f t="shared" si="137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2"/>
        <v>#N/A</v>
      </c>
      <c r="AO559" s="121" t="e">
        <f>IF('Cable Info'!N263="","",CONCATENATE('Cable Info'!N263," - ",'Cable Info'!O263))</f>
        <v>#N/A</v>
      </c>
      <c r="AR559" s="121" t="e">
        <f t="shared" si="133"/>
        <v>#N/A</v>
      </c>
      <c r="AT559" s="121" t="e">
        <f>IF('Cable Info'!P263="","",CONCATENATE('Cable Info'!P263," - ",'Cable Info'!Q263))</f>
        <v>#N/A</v>
      </c>
      <c r="AW559" s="121" t="e">
        <f t="shared" si="134"/>
        <v>#N/A</v>
      </c>
      <c r="AY559" s="121" t="str">
        <f>IF('Cable Info'!R263="","",CONCATENATE('Cable Info'!R263," - ",'Cable Info'!S263))</f>
        <v/>
      </c>
      <c r="BB559" s="121" t="str">
        <f t="shared" si="135"/>
        <v/>
      </c>
      <c r="BD559" s="121" t="str">
        <f>IF('Cable Info'!T263="","",CONCATENATE('Cable Info'!T263," - ",'Cable Info'!U263))</f>
        <v/>
      </c>
      <c r="BG559" s="121" t="str">
        <f t="shared" si="136"/>
        <v/>
      </c>
      <c r="BI559" s="121" t="str">
        <f>IF('Cable Info'!V263="","",CONCATENATE('Cable Info'!V263," - ",'Cable Info'!W263))</f>
        <v/>
      </c>
      <c r="BL559" s="121" t="str">
        <f t="shared" si="137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2"/>
        <v>#N/A</v>
      </c>
      <c r="AO560" s="121" t="e">
        <f>IF('Cable Info'!N264="","",CONCATENATE('Cable Info'!N264," - ",'Cable Info'!O264))</f>
        <v>#N/A</v>
      </c>
      <c r="AR560" s="121" t="e">
        <f t="shared" si="133"/>
        <v>#N/A</v>
      </c>
      <c r="AT560" s="121" t="e">
        <f>IF('Cable Info'!P264="","",CONCATENATE('Cable Info'!P264," - ",'Cable Info'!Q264))</f>
        <v>#N/A</v>
      </c>
      <c r="AW560" s="121" t="e">
        <f t="shared" si="134"/>
        <v>#N/A</v>
      </c>
      <c r="AY560" s="121" t="str">
        <f>IF('Cable Info'!R264="","",CONCATENATE('Cable Info'!R264," - ",'Cable Info'!S264))</f>
        <v/>
      </c>
      <c r="BB560" s="121" t="str">
        <f t="shared" si="135"/>
        <v/>
      </c>
      <c r="BD560" s="121" t="str">
        <f>IF('Cable Info'!T264="","",CONCATENATE('Cable Info'!T264," - ",'Cable Info'!U264))</f>
        <v/>
      </c>
      <c r="BG560" s="121" t="str">
        <f t="shared" si="136"/>
        <v/>
      </c>
      <c r="BI560" s="121" t="str">
        <f>IF('Cable Info'!V264="","",CONCATENATE('Cable Info'!V264," - ",'Cable Info'!W264))</f>
        <v/>
      </c>
      <c r="BL560" s="121" t="str">
        <f t="shared" si="137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2"/>
        <v>#N/A</v>
      </c>
      <c r="AO561" s="121" t="e">
        <f>IF('Cable Info'!N265="","",CONCATENATE('Cable Info'!N265," - ",'Cable Info'!O265))</f>
        <v>#N/A</v>
      </c>
      <c r="AR561" s="121" t="e">
        <f t="shared" si="133"/>
        <v>#N/A</v>
      </c>
      <c r="AT561" s="121" t="e">
        <f>IF('Cable Info'!P265="","",CONCATENATE('Cable Info'!P265," - ",'Cable Info'!Q265))</f>
        <v>#N/A</v>
      </c>
      <c r="AW561" s="121" t="e">
        <f t="shared" si="134"/>
        <v>#N/A</v>
      </c>
      <c r="AY561" s="121" t="str">
        <f>IF('Cable Info'!R265="","",CONCATENATE('Cable Info'!R265," - ",'Cable Info'!S265))</f>
        <v/>
      </c>
      <c r="BB561" s="121" t="str">
        <f t="shared" si="135"/>
        <v/>
      </c>
      <c r="BD561" s="121" t="str">
        <f>IF('Cable Info'!T265="","",CONCATENATE('Cable Info'!T265," - ",'Cable Info'!U265))</f>
        <v/>
      </c>
      <c r="BG561" s="121" t="str">
        <f t="shared" si="136"/>
        <v/>
      </c>
      <c r="BI561" s="121" t="str">
        <f>IF('Cable Info'!V265="","",CONCATENATE('Cable Info'!V265," - ",'Cable Info'!W265))</f>
        <v/>
      </c>
      <c r="BL561" s="121" t="str">
        <f t="shared" si="137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2"/>
        <v>#N/A</v>
      </c>
      <c r="AO562" s="121" t="e">
        <f>IF('Cable Info'!N266="","",CONCATENATE('Cable Info'!N266," - ",'Cable Info'!O266))</f>
        <v>#N/A</v>
      </c>
      <c r="AR562" s="121" t="e">
        <f t="shared" si="133"/>
        <v>#N/A</v>
      </c>
      <c r="AT562" s="121" t="e">
        <f>IF('Cable Info'!P266="","",CONCATENATE('Cable Info'!P266," - ",'Cable Info'!Q266))</f>
        <v>#N/A</v>
      </c>
      <c r="AW562" s="121" t="e">
        <f t="shared" si="134"/>
        <v>#N/A</v>
      </c>
      <c r="AY562" s="121" t="str">
        <f>IF('Cable Info'!R266="","",CONCATENATE('Cable Info'!R266," - ",'Cable Info'!S266))</f>
        <v/>
      </c>
      <c r="BB562" s="121" t="str">
        <f t="shared" si="135"/>
        <v/>
      </c>
      <c r="BD562" s="121" t="str">
        <f>IF('Cable Info'!T266="","",CONCATENATE('Cable Info'!T266," - ",'Cable Info'!U266))</f>
        <v/>
      </c>
      <c r="BG562" s="121" t="str">
        <f t="shared" si="136"/>
        <v/>
      </c>
      <c r="BI562" s="121" t="str">
        <f>IF('Cable Info'!V266="","",CONCATENATE('Cable Info'!V266," - ",'Cable Info'!W266))</f>
        <v/>
      </c>
      <c r="BL562" s="121" t="str">
        <f t="shared" si="137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2"/>
        <v>#N/A</v>
      </c>
      <c r="AO563" s="121" t="e">
        <f>IF('Cable Info'!N267="","",CONCATENATE('Cable Info'!N267," - ",'Cable Info'!O267))</f>
        <v>#N/A</v>
      </c>
      <c r="AR563" s="121" t="e">
        <f t="shared" si="133"/>
        <v>#N/A</v>
      </c>
      <c r="AT563" s="121" t="e">
        <f>IF('Cable Info'!P267="","",CONCATENATE('Cable Info'!P267," - ",'Cable Info'!Q267))</f>
        <v>#N/A</v>
      </c>
      <c r="AW563" s="121" t="e">
        <f t="shared" si="134"/>
        <v>#N/A</v>
      </c>
      <c r="AY563" s="121" t="str">
        <f>IF('Cable Info'!R267="","",CONCATENATE('Cable Info'!R267," - ",'Cable Info'!S267))</f>
        <v/>
      </c>
      <c r="BB563" s="121" t="str">
        <f t="shared" si="135"/>
        <v/>
      </c>
      <c r="BD563" s="121" t="str">
        <f>IF('Cable Info'!T267="","",CONCATENATE('Cable Info'!T267," - ",'Cable Info'!U267))</f>
        <v/>
      </c>
      <c r="BG563" s="121" t="str">
        <f t="shared" si="136"/>
        <v/>
      </c>
      <c r="BI563" s="121" t="str">
        <f>IF('Cable Info'!V267="","",CONCATENATE('Cable Info'!V267," - ",'Cable Info'!W267))</f>
        <v/>
      </c>
      <c r="BL563" s="121" t="str">
        <f t="shared" si="137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2"/>
        <v>#N/A</v>
      </c>
      <c r="AO564" s="121" t="e">
        <f>IF('Cable Info'!N268="","",CONCATENATE('Cable Info'!N268," - ",'Cable Info'!O268))</f>
        <v>#N/A</v>
      </c>
      <c r="AR564" s="121" t="e">
        <f t="shared" si="133"/>
        <v>#N/A</v>
      </c>
      <c r="AT564" s="121" t="e">
        <f>IF('Cable Info'!P268="","",CONCATENATE('Cable Info'!P268," - ",'Cable Info'!Q268))</f>
        <v>#N/A</v>
      </c>
      <c r="AW564" s="121" t="e">
        <f t="shared" si="134"/>
        <v>#N/A</v>
      </c>
      <c r="AY564" s="121" t="str">
        <f>IF('Cable Info'!R268="","",CONCATENATE('Cable Info'!R268," - ",'Cable Info'!S268))</f>
        <v/>
      </c>
      <c r="BB564" s="121" t="str">
        <f t="shared" si="135"/>
        <v/>
      </c>
      <c r="BD564" s="121" t="str">
        <f>IF('Cable Info'!T268="","",CONCATENATE('Cable Info'!T268," - ",'Cable Info'!U268))</f>
        <v/>
      </c>
      <c r="BG564" s="121" t="str">
        <f t="shared" si="136"/>
        <v/>
      </c>
      <c r="BI564" s="121" t="str">
        <f>IF('Cable Info'!V268="","",CONCATENATE('Cable Info'!V268," - ",'Cable Info'!W268))</f>
        <v/>
      </c>
      <c r="BL564" s="121" t="str">
        <f t="shared" si="137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2"/>
        <v>#N/A</v>
      </c>
      <c r="AO565" s="121" t="e">
        <f>IF('Cable Info'!N269="","",CONCATENATE('Cable Info'!N269," - ",'Cable Info'!O269))</f>
        <v>#N/A</v>
      </c>
      <c r="AR565" s="121" t="e">
        <f t="shared" si="133"/>
        <v>#N/A</v>
      </c>
      <c r="AT565" s="121" t="e">
        <f>IF('Cable Info'!P269="","",CONCATENATE('Cable Info'!P269," - ",'Cable Info'!Q269))</f>
        <v>#N/A</v>
      </c>
      <c r="AW565" s="121" t="e">
        <f t="shared" si="134"/>
        <v>#N/A</v>
      </c>
      <c r="AY565" s="121" t="str">
        <f>IF('Cable Info'!R269="","",CONCATENATE('Cable Info'!R269," - ",'Cable Info'!S269))</f>
        <v/>
      </c>
      <c r="BB565" s="121" t="str">
        <f t="shared" si="135"/>
        <v/>
      </c>
      <c r="BD565" s="121" t="str">
        <f>IF('Cable Info'!T269="","",CONCATENATE('Cable Info'!T269," - ",'Cable Info'!U269))</f>
        <v/>
      </c>
      <c r="BG565" s="121" t="str">
        <f t="shared" si="136"/>
        <v/>
      </c>
      <c r="BI565" s="121" t="str">
        <f>IF('Cable Info'!V269="","",CONCATENATE('Cable Info'!V269," - ",'Cable Info'!W269))</f>
        <v/>
      </c>
      <c r="BL565" s="121" t="str">
        <f t="shared" si="137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2"/>
        <v>#N/A</v>
      </c>
      <c r="AO566" s="121" t="e">
        <f>IF('Cable Info'!N270="","",CONCATENATE('Cable Info'!N270," - ",'Cable Info'!O270))</f>
        <v>#N/A</v>
      </c>
      <c r="AR566" s="121" t="e">
        <f t="shared" si="133"/>
        <v>#N/A</v>
      </c>
      <c r="AT566" s="121" t="e">
        <f>IF('Cable Info'!P270="","",CONCATENATE('Cable Info'!P270," - ",'Cable Info'!Q270))</f>
        <v>#N/A</v>
      </c>
      <c r="AW566" s="121" t="e">
        <f t="shared" si="134"/>
        <v>#N/A</v>
      </c>
      <c r="AY566" s="121" t="str">
        <f>IF('Cable Info'!R270="","",CONCATENATE('Cable Info'!R270," - ",'Cable Info'!S270))</f>
        <v/>
      </c>
      <c r="BB566" s="121" t="str">
        <f t="shared" si="135"/>
        <v/>
      </c>
      <c r="BD566" s="121" t="str">
        <f>IF('Cable Info'!T270="","",CONCATENATE('Cable Info'!T270," - ",'Cable Info'!U270))</f>
        <v/>
      </c>
      <c r="BG566" s="121" t="str">
        <f t="shared" si="136"/>
        <v/>
      </c>
      <c r="BI566" s="121" t="str">
        <f>IF('Cable Info'!V270="","",CONCATENATE('Cable Info'!V270," - ",'Cable Info'!W270))</f>
        <v/>
      </c>
      <c r="BL566" s="121" t="str">
        <f t="shared" si="137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2"/>
        <v>#N/A</v>
      </c>
      <c r="AO567" s="121" t="e">
        <f>IF('Cable Info'!N271="","",CONCATENATE('Cable Info'!N271," - ",'Cable Info'!O271))</f>
        <v>#N/A</v>
      </c>
      <c r="AR567" s="121" t="e">
        <f t="shared" si="133"/>
        <v>#N/A</v>
      </c>
      <c r="AT567" s="121" t="e">
        <f>IF('Cable Info'!P271="","",CONCATENATE('Cable Info'!P271," - ",'Cable Info'!Q271))</f>
        <v>#N/A</v>
      </c>
      <c r="AW567" s="121" t="e">
        <f t="shared" si="134"/>
        <v>#N/A</v>
      </c>
      <c r="AY567" s="121" t="str">
        <f>IF('Cable Info'!R271="","",CONCATENATE('Cable Info'!R271," - ",'Cable Info'!S271))</f>
        <v/>
      </c>
      <c r="BB567" s="121" t="str">
        <f t="shared" si="135"/>
        <v/>
      </c>
      <c r="BD567" s="121" t="str">
        <f>IF('Cable Info'!T271="","",CONCATENATE('Cable Info'!T271," - ",'Cable Info'!U271))</f>
        <v/>
      </c>
      <c r="BG567" s="121" t="str">
        <f t="shared" si="136"/>
        <v/>
      </c>
      <c r="BI567" s="121" t="str">
        <f>IF('Cable Info'!V271="","",CONCATENATE('Cable Info'!V271," - ",'Cable Info'!W271))</f>
        <v/>
      </c>
      <c r="BL567" s="121" t="str">
        <f t="shared" si="137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2"/>
        <v>#N/A</v>
      </c>
      <c r="AO568" s="121" t="e">
        <f>IF('Cable Info'!N272="","",CONCATENATE('Cable Info'!N272," - ",'Cable Info'!O272))</f>
        <v>#N/A</v>
      </c>
      <c r="AR568" s="121" t="e">
        <f t="shared" si="133"/>
        <v>#N/A</v>
      </c>
      <c r="AT568" s="121" t="e">
        <f>IF('Cable Info'!P272="","",CONCATENATE('Cable Info'!P272," - ",'Cable Info'!Q272))</f>
        <v>#N/A</v>
      </c>
      <c r="AW568" s="121" t="e">
        <f t="shared" si="134"/>
        <v>#N/A</v>
      </c>
      <c r="AY568" s="121" t="str">
        <f>IF('Cable Info'!R272="","",CONCATENATE('Cable Info'!R272," - ",'Cable Info'!S272))</f>
        <v/>
      </c>
      <c r="BB568" s="121" t="str">
        <f t="shared" si="135"/>
        <v/>
      </c>
      <c r="BD568" s="121" t="str">
        <f>IF('Cable Info'!T272="","",CONCATENATE('Cable Info'!T272," - ",'Cable Info'!U272))</f>
        <v/>
      </c>
      <c r="BG568" s="121" t="str">
        <f t="shared" si="136"/>
        <v/>
      </c>
      <c r="BI568" s="121" t="str">
        <f>IF('Cable Info'!V272="","",CONCATENATE('Cable Info'!V272," - ",'Cable Info'!W272))</f>
        <v/>
      </c>
      <c r="BL568" s="121" t="str">
        <f t="shared" si="137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2"/>
        <v>#N/A</v>
      </c>
      <c r="AO569" s="121" t="e">
        <f>IF('Cable Info'!N273="","",CONCATENATE('Cable Info'!N273," - ",'Cable Info'!O273))</f>
        <v>#N/A</v>
      </c>
      <c r="AR569" s="121" t="e">
        <f t="shared" si="133"/>
        <v>#N/A</v>
      </c>
      <c r="AT569" s="121" t="e">
        <f>IF('Cable Info'!P273="","",CONCATENATE('Cable Info'!P273," - ",'Cable Info'!Q273))</f>
        <v>#N/A</v>
      </c>
      <c r="AW569" s="121" t="e">
        <f t="shared" si="134"/>
        <v>#N/A</v>
      </c>
      <c r="AY569" s="121" t="str">
        <f>IF('Cable Info'!R273="","",CONCATENATE('Cable Info'!R273," - ",'Cable Info'!S273))</f>
        <v/>
      </c>
      <c r="BB569" s="121" t="str">
        <f t="shared" si="135"/>
        <v/>
      </c>
      <c r="BD569" s="121" t="str">
        <f>IF('Cable Info'!T273="","",CONCATENATE('Cable Info'!T273," - ",'Cable Info'!U273))</f>
        <v/>
      </c>
      <c r="BG569" s="121" t="str">
        <f t="shared" si="136"/>
        <v/>
      </c>
      <c r="BI569" s="121" t="str">
        <f>IF('Cable Info'!V273="","",CONCATENATE('Cable Info'!V273," - ",'Cable Info'!W273))</f>
        <v/>
      </c>
      <c r="BL569" s="121" t="str">
        <f t="shared" si="137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2"/>
        <v>#N/A</v>
      </c>
      <c r="AO570" s="121" t="e">
        <f>IF('Cable Info'!N274="","",CONCATENATE('Cable Info'!N274," - ",'Cable Info'!O274))</f>
        <v>#N/A</v>
      </c>
      <c r="AR570" s="121" t="e">
        <f t="shared" si="133"/>
        <v>#N/A</v>
      </c>
      <c r="AT570" s="121" t="e">
        <f>IF('Cable Info'!P274="","",CONCATENATE('Cable Info'!P274," - ",'Cable Info'!Q274))</f>
        <v>#N/A</v>
      </c>
      <c r="AW570" s="121" t="e">
        <f t="shared" si="134"/>
        <v>#N/A</v>
      </c>
      <c r="AY570" s="121" t="str">
        <f>IF('Cable Info'!R274="","",CONCATENATE('Cable Info'!R274," - ",'Cable Info'!S274))</f>
        <v/>
      </c>
      <c r="BB570" s="121" t="str">
        <f t="shared" si="135"/>
        <v/>
      </c>
      <c r="BD570" s="121" t="str">
        <f>IF('Cable Info'!T274="","",CONCATENATE('Cable Info'!T274," - ",'Cable Info'!U274))</f>
        <v/>
      </c>
      <c r="BG570" s="121" t="str">
        <f t="shared" si="136"/>
        <v/>
      </c>
      <c r="BI570" s="121" t="str">
        <f>IF('Cable Info'!V274="","",CONCATENATE('Cable Info'!V274," - ",'Cable Info'!W274))</f>
        <v/>
      </c>
      <c r="BL570" s="121" t="str">
        <f t="shared" si="137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2"/>
        <v>#N/A</v>
      </c>
      <c r="AO571" s="121" t="e">
        <f>IF('Cable Info'!N275="","",CONCATENATE('Cable Info'!N275," - ",'Cable Info'!O275))</f>
        <v>#N/A</v>
      </c>
      <c r="AR571" s="121" t="e">
        <f t="shared" si="133"/>
        <v>#N/A</v>
      </c>
      <c r="AT571" s="121" t="e">
        <f>IF('Cable Info'!P275="","",CONCATENATE('Cable Info'!P275," - ",'Cable Info'!Q275))</f>
        <v>#N/A</v>
      </c>
      <c r="AW571" s="121" t="e">
        <f t="shared" si="134"/>
        <v>#N/A</v>
      </c>
      <c r="AY571" s="121" t="str">
        <f>IF('Cable Info'!R275="","",CONCATENATE('Cable Info'!R275," - ",'Cable Info'!S275))</f>
        <v/>
      </c>
      <c r="BB571" s="121" t="str">
        <f t="shared" si="135"/>
        <v/>
      </c>
      <c r="BD571" s="121" t="str">
        <f>IF('Cable Info'!T275="","",CONCATENATE('Cable Info'!T275," - ",'Cable Info'!U275))</f>
        <v/>
      </c>
      <c r="BG571" s="121" t="str">
        <f t="shared" si="136"/>
        <v/>
      </c>
      <c r="BI571" s="121" t="str">
        <f>IF('Cable Info'!V275="","",CONCATENATE('Cable Info'!V275," - ",'Cable Info'!W275))</f>
        <v/>
      </c>
      <c r="BL571" s="121" t="str">
        <f t="shared" si="137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2"/>
        <v>#N/A</v>
      </c>
      <c r="AO572" s="121" t="e">
        <f>IF('Cable Info'!N276="","",CONCATENATE('Cable Info'!N276," - ",'Cable Info'!O276))</f>
        <v>#N/A</v>
      </c>
      <c r="AR572" s="121" t="e">
        <f t="shared" si="133"/>
        <v>#N/A</v>
      </c>
      <c r="AT572" s="121" t="e">
        <f>IF('Cable Info'!P276="","",CONCATENATE('Cable Info'!P276," - ",'Cable Info'!Q276))</f>
        <v>#N/A</v>
      </c>
      <c r="AW572" s="121" t="e">
        <f t="shared" si="134"/>
        <v>#N/A</v>
      </c>
      <c r="AY572" s="121" t="str">
        <f>IF('Cable Info'!R276="","",CONCATENATE('Cable Info'!R276," - ",'Cable Info'!S276))</f>
        <v/>
      </c>
      <c r="BB572" s="121" t="str">
        <f t="shared" si="135"/>
        <v/>
      </c>
      <c r="BD572" s="121" t="str">
        <f>IF('Cable Info'!T276="","",CONCATENATE('Cable Info'!T276," - ",'Cable Info'!U276))</f>
        <v/>
      </c>
      <c r="BG572" s="121" t="str">
        <f t="shared" si="136"/>
        <v/>
      </c>
      <c r="BI572" s="121" t="str">
        <f>IF('Cable Info'!V276="","",CONCATENATE('Cable Info'!V276," - ",'Cable Info'!W276))</f>
        <v/>
      </c>
      <c r="BL572" s="121" t="str">
        <f t="shared" si="137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2"/>
        <v>#N/A</v>
      </c>
      <c r="AO573" s="121" t="e">
        <f>IF('Cable Info'!N277="","",CONCATENATE('Cable Info'!N277," - ",'Cable Info'!O277))</f>
        <v>#N/A</v>
      </c>
      <c r="AR573" s="121" t="e">
        <f t="shared" si="133"/>
        <v>#N/A</v>
      </c>
      <c r="AT573" s="121" t="e">
        <f>IF('Cable Info'!P277="","",CONCATENATE('Cable Info'!P277," - ",'Cable Info'!Q277))</f>
        <v>#N/A</v>
      </c>
      <c r="AW573" s="121" t="e">
        <f t="shared" si="134"/>
        <v>#N/A</v>
      </c>
      <c r="AY573" s="121" t="str">
        <f>IF('Cable Info'!R277="","",CONCATENATE('Cable Info'!R277," - ",'Cable Info'!S277))</f>
        <v/>
      </c>
      <c r="BB573" s="121" t="str">
        <f t="shared" si="135"/>
        <v/>
      </c>
      <c r="BD573" s="121" t="str">
        <f>IF('Cable Info'!T277="","",CONCATENATE('Cable Info'!T277," - ",'Cable Info'!U277))</f>
        <v/>
      </c>
      <c r="BG573" s="121" t="str">
        <f t="shared" si="136"/>
        <v/>
      </c>
      <c r="BI573" s="121" t="str">
        <f>IF('Cable Info'!V277="","",CONCATENATE('Cable Info'!V277," - ",'Cable Info'!W277))</f>
        <v/>
      </c>
      <c r="BL573" s="121" t="str">
        <f t="shared" si="137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2"/>
        <v>#N/A</v>
      </c>
      <c r="AO574" s="121" t="e">
        <f>IF('Cable Info'!N278="","",CONCATENATE('Cable Info'!N278," - ",'Cable Info'!O278))</f>
        <v>#N/A</v>
      </c>
      <c r="AR574" s="121" t="e">
        <f t="shared" si="133"/>
        <v>#N/A</v>
      </c>
      <c r="AT574" s="121" t="e">
        <f>IF('Cable Info'!P278="","",CONCATENATE('Cable Info'!P278," - ",'Cable Info'!Q278))</f>
        <v>#N/A</v>
      </c>
      <c r="AW574" s="121" t="e">
        <f t="shared" si="134"/>
        <v>#N/A</v>
      </c>
      <c r="AY574" s="121" t="str">
        <f>IF('Cable Info'!R278="","",CONCATENATE('Cable Info'!R278," - ",'Cable Info'!S278))</f>
        <v/>
      </c>
      <c r="BB574" s="121" t="str">
        <f t="shared" si="135"/>
        <v/>
      </c>
      <c r="BD574" s="121" t="str">
        <f>IF('Cable Info'!T278="","",CONCATENATE('Cable Info'!T278," - ",'Cable Info'!U278))</f>
        <v/>
      </c>
      <c r="BG574" s="121" t="str">
        <f t="shared" si="136"/>
        <v/>
      </c>
      <c r="BI574" s="121" t="str">
        <f>IF('Cable Info'!V278="","",CONCATENATE('Cable Info'!V278," - ",'Cable Info'!W278))</f>
        <v/>
      </c>
      <c r="BL574" s="121" t="str">
        <f t="shared" si="137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2"/>
        <v>#N/A</v>
      </c>
      <c r="AO575" s="121" t="e">
        <f>IF('Cable Info'!N279="","",CONCATENATE('Cable Info'!N279," - ",'Cable Info'!O279))</f>
        <v>#N/A</v>
      </c>
      <c r="AR575" s="121" t="e">
        <f t="shared" si="133"/>
        <v>#N/A</v>
      </c>
      <c r="AT575" s="121" t="e">
        <f>IF('Cable Info'!P279="","",CONCATENATE('Cable Info'!P279," - ",'Cable Info'!Q279))</f>
        <v>#N/A</v>
      </c>
      <c r="AW575" s="121" t="e">
        <f t="shared" si="134"/>
        <v>#N/A</v>
      </c>
      <c r="AY575" s="121" t="str">
        <f>IF('Cable Info'!R279="","",CONCATENATE('Cable Info'!R279," - ",'Cable Info'!S279))</f>
        <v/>
      </c>
      <c r="BB575" s="121" t="str">
        <f t="shared" si="135"/>
        <v/>
      </c>
      <c r="BD575" s="121" t="str">
        <f>IF('Cable Info'!T279="","",CONCATENATE('Cable Info'!T279," - ",'Cable Info'!U279))</f>
        <v/>
      </c>
      <c r="BG575" s="121" t="str">
        <f t="shared" si="136"/>
        <v/>
      </c>
      <c r="BI575" s="121" t="str">
        <f>IF('Cable Info'!V279="","",CONCATENATE('Cable Info'!V279," - ",'Cable Info'!W279))</f>
        <v/>
      </c>
      <c r="BL575" s="121" t="str">
        <f t="shared" si="137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2"/>
        <v>#N/A</v>
      </c>
      <c r="AO576" s="121" t="e">
        <f>IF('Cable Info'!N280="","",CONCATENATE('Cable Info'!N280," - ",'Cable Info'!O280))</f>
        <v>#N/A</v>
      </c>
      <c r="AR576" s="121" t="e">
        <f t="shared" si="133"/>
        <v>#N/A</v>
      </c>
      <c r="AT576" s="121" t="e">
        <f>IF('Cable Info'!P280="","",CONCATENATE('Cable Info'!P280," - ",'Cable Info'!Q280))</f>
        <v>#N/A</v>
      </c>
      <c r="AW576" s="121" t="e">
        <f t="shared" si="134"/>
        <v>#N/A</v>
      </c>
      <c r="AY576" s="121" t="str">
        <f>IF('Cable Info'!R280="","",CONCATENATE('Cable Info'!R280," - ",'Cable Info'!S280))</f>
        <v/>
      </c>
      <c r="BB576" s="121" t="str">
        <f t="shared" si="135"/>
        <v/>
      </c>
      <c r="BD576" s="121" t="str">
        <f>IF('Cable Info'!T280="","",CONCATENATE('Cable Info'!T280," - ",'Cable Info'!U280))</f>
        <v/>
      </c>
      <c r="BG576" s="121" t="str">
        <f t="shared" si="136"/>
        <v/>
      </c>
      <c r="BI576" s="121" t="str">
        <f>IF('Cable Info'!V280="","",CONCATENATE('Cable Info'!V280," - ",'Cable Info'!W280))</f>
        <v/>
      </c>
      <c r="BL576" s="121" t="str">
        <f t="shared" si="137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2"/>
        <v>#N/A</v>
      </c>
      <c r="AO577" s="121" t="e">
        <f>IF('Cable Info'!N281="","",CONCATENATE('Cable Info'!N281," - ",'Cable Info'!O281))</f>
        <v>#N/A</v>
      </c>
      <c r="AR577" s="121" t="e">
        <f t="shared" si="133"/>
        <v>#N/A</v>
      </c>
      <c r="AT577" s="121" t="e">
        <f>IF('Cable Info'!P281="","",CONCATENATE('Cable Info'!P281," - ",'Cable Info'!Q281))</f>
        <v>#N/A</v>
      </c>
      <c r="AW577" s="121" t="e">
        <f t="shared" si="134"/>
        <v>#N/A</v>
      </c>
      <c r="AY577" s="121" t="str">
        <f>IF('Cable Info'!R281="","",CONCATENATE('Cable Info'!R281," - ",'Cable Info'!S281))</f>
        <v/>
      </c>
      <c r="BB577" s="121" t="str">
        <f t="shared" si="135"/>
        <v/>
      </c>
      <c r="BD577" s="121" t="str">
        <f>IF('Cable Info'!T281="","",CONCATENATE('Cable Info'!T281," - ",'Cable Info'!U281))</f>
        <v/>
      </c>
      <c r="BG577" s="121" t="str">
        <f t="shared" si="136"/>
        <v/>
      </c>
      <c r="BI577" s="121" t="str">
        <f>IF('Cable Info'!V281="","",CONCATENATE('Cable Info'!V281," - ",'Cable Info'!W281))</f>
        <v/>
      </c>
      <c r="BL577" s="121" t="str">
        <f t="shared" si="137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2"/>
        <v>#N/A</v>
      </c>
      <c r="AO578" s="121" t="e">
        <f>IF('Cable Info'!N282="","",CONCATENATE('Cable Info'!N282," - ",'Cable Info'!O282))</f>
        <v>#N/A</v>
      </c>
      <c r="AR578" s="121" t="e">
        <f t="shared" si="133"/>
        <v>#N/A</v>
      </c>
      <c r="AT578" s="121" t="e">
        <f>IF('Cable Info'!P282="","",CONCATENATE('Cable Info'!P282," - ",'Cable Info'!Q282))</f>
        <v>#N/A</v>
      </c>
      <c r="AW578" s="121" t="e">
        <f t="shared" si="134"/>
        <v>#N/A</v>
      </c>
      <c r="AY578" s="121" t="str">
        <f>IF('Cable Info'!R282="","",CONCATENATE('Cable Info'!R282," - ",'Cable Info'!S282))</f>
        <v/>
      </c>
      <c r="BB578" s="121" t="str">
        <f t="shared" si="135"/>
        <v/>
      </c>
      <c r="BD578" s="121" t="str">
        <f>IF('Cable Info'!T282="","",CONCATENATE('Cable Info'!T282," - ",'Cable Info'!U282))</f>
        <v/>
      </c>
      <c r="BG578" s="121" t="str">
        <f t="shared" si="136"/>
        <v/>
      </c>
      <c r="BI578" s="121" t="str">
        <f>IF('Cable Info'!V282="","",CONCATENATE('Cable Info'!V282," - ",'Cable Info'!W282))</f>
        <v/>
      </c>
      <c r="BL578" s="121" t="str">
        <f t="shared" si="137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2"/>
        <v>#N/A</v>
      </c>
      <c r="AO579" s="121" t="e">
        <f>IF('Cable Info'!N283="","",CONCATENATE('Cable Info'!N283," - ",'Cable Info'!O283))</f>
        <v>#N/A</v>
      </c>
      <c r="AR579" s="121" t="e">
        <f t="shared" si="133"/>
        <v>#N/A</v>
      </c>
      <c r="AT579" s="121" t="e">
        <f>IF('Cable Info'!P283="","",CONCATENATE('Cable Info'!P283," - ",'Cable Info'!Q283))</f>
        <v>#N/A</v>
      </c>
      <c r="AW579" s="121" t="e">
        <f t="shared" si="134"/>
        <v>#N/A</v>
      </c>
      <c r="AY579" s="121" t="str">
        <f>IF('Cable Info'!R283="","",CONCATENATE('Cable Info'!R283," - ",'Cable Info'!S283))</f>
        <v/>
      </c>
      <c r="BB579" s="121" t="str">
        <f t="shared" si="135"/>
        <v/>
      </c>
      <c r="BD579" s="121" t="str">
        <f>IF('Cable Info'!T283="","",CONCATENATE('Cable Info'!T283," - ",'Cable Info'!U283))</f>
        <v/>
      </c>
      <c r="BG579" s="121" t="str">
        <f t="shared" si="136"/>
        <v/>
      </c>
      <c r="BI579" s="121" t="str">
        <f>IF('Cable Info'!V283="","",CONCATENATE('Cable Info'!V283," - ",'Cable Info'!W283))</f>
        <v/>
      </c>
      <c r="BL579" s="121" t="str">
        <f t="shared" si="137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2"/>
        <v>#N/A</v>
      </c>
      <c r="AO580" s="121" t="e">
        <f>IF('Cable Info'!N284="","",CONCATENATE('Cable Info'!N284," - ",'Cable Info'!O284))</f>
        <v>#N/A</v>
      </c>
      <c r="AR580" s="121" t="e">
        <f t="shared" si="133"/>
        <v>#N/A</v>
      </c>
      <c r="AT580" s="121" t="e">
        <f>IF('Cable Info'!P284="","",CONCATENATE('Cable Info'!P284," - ",'Cable Info'!Q284))</f>
        <v>#N/A</v>
      </c>
      <c r="AW580" s="121" t="e">
        <f t="shared" si="134"/>
        <v>#N/A</v>
      </c>
      <c r="AY580" s="121" t="str">
        <f>IF('Cable Info'!R284="","",CONCATENATE('Cable Info'!R284," - ",'Cable Info'!S284))</f>
        <v/>
      </c>
      <c r="BB580" s="121" t="str">
        <f t="shared" si="135"/>
        <v/>
      </c>
      <c r="BD580" s="121" t="str">
        <f>IF('Cable Info'!T284="","",CONCATENATE('Cable Info'!T284," - ",'Cable Info'!U284))</f>
        <v/>
      </c>
      <c r="BG580" s="121" t="str">
        <f t="shared" si="136"/>
        <v/>
      </c>
      <c r="BI580" s="121" t="str">
        <f>IF('Cable Info'!V284="","",CONCATENATE('Cable Info'!V284," - ",'Cable Info'!W284))</f>
        <v/>
      </c>
      <c r="BL580" s="121" t="str">
        <f t="shared" si="137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2"/>
        <v>#N/A</v>
      </c>
      <c r="AO581" s="121" t="e">
        <f>IF('Cable Info'!N285="","",CONCATENATE('Cable Info'!N285," - ",'Cable Info'!O285))</f>
        <v>#N/A</v>
      </c>
      <c r="AR581" s="121" t="e">
        <f t="shared" si="133"/>
        <v>#N/A</v>
      </c>
      <c r="AT581" s="121" t="e">
        <f>IF('Cable Info'!P285="","",CONCATENATE('Cable Info'!P285," - ",'Cable Info'!Q285))</f>
        <v>#N/A</v>
      </c>
      <c r="AW581" s="121" t="e">
        <f t="shared" si="134"/>
        <v>#N/A</v>
      </c>
      <c r="AY581" s="121" t="str">
        <f>IF('Cable Info'!R285="","",CONCATENATE('Cable Info'!R285," - ",'Cable Info'!S285))</f>
        <v/>
      </c>
      <c r="BB581" s="121" t="str">
        <f t="shared" si="135"/>
        <v/>
      </c>
      <c r="BD581" s="121" t="str">
        <f>IF('Cable Info'!T285="","",CONCATENATE('Cable Info'!T285," - ",'Cable Info'!U285))</f>
        <v/>
      </c>
      <c r="BG581" s="121" t="str">
        <f t="shared" si="136"/>
        <v/>
      </c>
      <c r="BI581" s="121" t="str">
        <f>IF('Cable Info'!V285="","",CONCATENATE('Cable Info'!V285," - ",'Cable Info'!W285))</f>
        <v/>
      </c>
      <c r="BL581" s="121" t="str">
        <f t="shared" si="137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2"/>
        <v>#N/A</v>
      </c>
      <c r="AO582" s="121" t="e">
        <f>IF('Cable Info'!N286="","",CONCATENATE('Cable Info'!N286," - ",'Cable Info'!O286))</f>
        <v>#N/A</v>
      </c>
      <c r="AR582" s="121" t="e">
        <f t="shared" si="133"/>
        <v>#N/A</v>
      </c>
      <c r="AT582" s="121" t="e">
        <f>IF('Cable Info'!P286="","",CONCATENATE('Cable Info'!P286," - ",'Cable Info'!Q286))</f>
        <v>#N/A</v>
      </c>
      <c r="AW582" s="121" t="e">
        <f t="shared" si="134"/>
        <v>#N/A</v>
      </c>
      <c r="AY582" s="121" t="str">
        <f>IF('Cable Info'!R286="","",CONCATENATE('Cable Info'!R286," - ",'Cable Info'!S286))</f>
        <v/>
      </c>
      <c r="BB582" s="121" t="str">
        <f t="shared" si="135"/>
        <v/>
      </c>
      <c r="BD582" s="121" t="str">
        <f>IF('Cable Info'!T286="","",CONCATENATE('Cable Info'!T286," - ",'Cable Info'!U286))</f>
        <v/>
      </c>
      <c r="BG582" s="121" t="str">
        <f t="shared" si="136"/>
        <v/>
      </c>
      <c r="BI582" s="121" t="str">
        <f>IF('Cable Info'!V286="","",CONCATENATE('Cable Info'!V286," - ",'Cable Info'!W286))</f>
        <v/>
      </c>
      <c r="BL582" s="121" t="str">
        <f t="shared" si="137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2"/>
        <v>#N/A</v>
      </c>
      <c r="AO583" s="121" t="e">
        <f>IF('Cable Info'!N287="","",CONCATENATE('Cable Info'!N287," - ",'Cable Info'!O287))</f>
        <v>#N/A</v>
      </c>
      <c r="AR583" s="121" t="e">
        <f t="shared" si="133"/>
        <v>#N/A</v>
      </c>
      <c r="AT583" s="121" t="e">
        <f>IF('Cable Info'!P287="","",CONCATENATE('Cable Info'!P287," - ",'Cable Info'!Q287))</f>
        <v>#N/A</v>
      </c>
      <c r="AW583" s="121" t="e">
        <f t="shared" si="134"/>
        <v>#N/A</v>
      </c>
      <c r="AY583" s="121" t="str">
        <f>IF('Cable Info'!R287="","",CONCATENATE('Cable Info'!R287," - ",'Cable Info'!S287))</f>
        <v/>
      </c>
      <c r="BB583" s="121" t="str">
        <f t="shared" si="135"/>
        <v/>
      </c>
      <c r="BD583" s="121" t="str">
        <f>IF('Cable Info'!T287="","",CONCATENATE('Cable Info'!T287," - ",'Cable Info'!U287))</f>
        <v/>
      </c>
      <c r="BG583" s="121" t="str">
        <f t="shared" si="136"/>
        <v/>
      </c>
      <c r="BI583" s="121" t="str">
        <f>IF('Cable Info'!V287="","",CONCATENATE('Cable Info'!V287," - ",'Cable Info'!W287))</f>
        <v/>
      </c>
      <c r="BL583" s="121" t="str">
        <f t="shared" si="137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2"/>
        <v>#N/A</v>
      </c>
      <c r="AO584" s="121" t="e">
        <f>IF('Cable Info'!N288="","",CONCATENATE('Cable Info'!N288," - ",'Cable Info'!O288))</f>
        <v>#N/A</v>
      </c>
      <c r="AR584" s="121" t="e">
        <f t="shared" si="133"/>
        <v>#N/A</v>
      </c>
      <c r="AT584" s="121" t="e">
        <f>IF('Cable Info'!P288="","",CONCATENATE('Cable Info'!P288," - ",'Cable Info'!Q288))</f>
        <v>#N/A</v>
      </c>
      <c r="AW584" s="121" t="e">
        <f t="shared" si="134"/>
        <v>#N/A</v>
      </c>
      <c r="AY584" s="121" t="str">
        <f>IF('Cable Info'!R288="","",CONCATENATE('Cable Info'!R288," - ",'Cable Info'!S288))</f>
        <v/>
      </c>
      <c r="BB584" s="121" t="str">
        <f t="shared" si="135"/>
        <v/>
      </c>
      <c r="BD584" s="121" t="str">
        <f>IF('Cable Info'!T288="","",CONCATENATE('Cable Info'!T288," - ",'Cable Info'!U288))</f>
        <v/>
      </c>
      <c r="BG584" s="121" t="str">
        <f t="shared" si="136"/>
        <v/>
      </c>
      <c r="BI584" s="121" t="str">
        <f>IF('Cable Info'!V288="","",CONCATENATE('Cable Info'!V288," - ",'Cable Info'!W288))</f>
        <v/>
      </c>
      <c r="BL584" s="121" t="str">
        <f t="shared" si="137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2"/>
        <v>#N/A</v>
      </c>
      <c r="AO585" s="121" t="e">
        <f>IF('Cable Info'!N289="","",CONCATENATE('Cable Info'!N289," - ",'Cable Info'!O289))</f>
        <v>#N/A</v>
      </c>
      <c r="AR585" s="121" t="e">
        <f t="shared" si="133"/>
        <v>#N/A</v>
      </c>
      <c r="AT585" s="121" t="e">
        <f>IF('Cable Info'!P289="","",CONCATENATE('Cable Info'!P289," - ",'Cable Info'!Q289))</f>
        <v>#N/A</v>
      </c>
      <c r="AW585" s="121" t="e">
        <f t="shared" si="134"/>
        <v>#N/A</v>
      </c>
      <c r="AY585" s="121" t="str">
        <f>IF('Cable Info'!R289="","",CONCATENATE('Cable Info'!R289," - ",'Cable Info'!S289))</f>
        <v/>
      </c>
      <c r="BB585" s="121" t="str">
        <f t="shared" si="135"/>
        <v/>
      </c>
      <c r="BD585" s="121" t="str">
        <f>IF('Cable Info'!T289="","",CONCATENATE('Cable Info'!T289," - ",'Cable Info'!U289))</f>
        <v/>
      </c>
      <c r="BG585" s="121" t="str">
        <f t="shared" si="136"/>
        <v/>
      </c>
      <c r="BI585" s="121" t="str">
        <f>IF('Cable Info'!V289="","",CONCATENATE('Cable Info'!V289," - ",'Cable Info'!W289))</f>
        <v/>
      </c>
      <c r="BL585" s="121" t="str">
        <f t="shared" si="137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2"/>
        <v>#N/A</v>
      </c>
      <c r="AO586" s="121" t="e">
        <f>IF('Cable Info'!N290="","",CONCATENATE('Cable Info'!N290," - ",'Cable Info'!O290))</f>
        <v>#N/A</v>
      </c>
      <c r="AR586" s="121" t="e">
        <f t="shared" si="133"/>
        <v>#N/A</v>
      </c>
      <c r="AT586" s="121" t="e">
        <f>IF('Cable Info'!P290="","",CONCATENATE('Cable Info'!P290," - ",'Cable Info'!Q290))</f>
        <v>#N/A</v>
      </c>
      <c r="AW586" s="121" t="e">
        <f t="shared" si="134"/>
        <v>#N/A</v>
      </c>
      <c r="AY586" s="121" t="str">
        <f>IF('Cable Info'!R290="","",CONCATENATE('Cable Info'!R290," - ",'Cable Info'!S290))</f>
        <v/>
      </c>
      <c r="BB586" s="121" t="str">
        <f t="shared" si="135"/>
        <v/>
      </c>
      <c r="BD586" s="121" t="str">
        <f>IF('Cable Info'!T290="","",CONCATENATE('Cable Info'!T290," - ",'Cable Info'!U290))</f>
        <v/>
      </c>
      <c r="BG586" s="121" t="str">
        <f t="shared" si="136"/>
        <v/>
      </c>
      <c r="BI586" s="121" t="str">
        <f>IF('Cable Info'!V290="","",CONCATENATE('Cable Info'!V290," - ",'Cable Info'!W290))</f>
        <v/>
      </c>
      <c r="BL586" s="121" t="str">
        <f t="shared" si="137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2"/>
        <v>#N/A</v>
      </c>
      <c r="AO587" s="121" t="e">
        <f>IF('Cable Info'!N291="","",CONCATENATE('Cable Info'!N291," - ",'Cable Info'!O291))</f>
        <v>#N/A</v>
      </c>
      <c r="AR587" s="121" t="e">
        <f t="shared" si="133"/>
        <v>#N/A</v>
      </c>
      <c r="AT587" s="121" t="e">
        <f>IF('Cable Info'!P291="","",CONCATENATE('Cable Info'!P291," - ",'Cable Info'!Q291))</f>
        <v>#N/A</v>
      </c>
      <c r="AW587" s="121" t="e">
        <f t="shared" si="134"/>
        <v>#N/A</v>
      </c>
      <c r="AY587" s="121" t="str">
        <f>IF('Cable Info'!R291="","",CONCATENATE('Cable Info'!R291," - ",'Cable Info'!S291))</f>
        <v/>
      </c>
      <c r="BB587" s="121" t="str">
        <f t="shared" si="135"/>
        <v/>
      </c>
      <c r="BD587" s="121" t="str">
        <f>IF('Cable Info'!T291="","",CONCATENATE('Cable Info'!T291," - ",'Cable Info'!U291))</f>
        <v/>
      </c>
      <c r="BG587" s="121" t="str">
        <f t="shared" si="136"/>
        <v/>
      </c>
      <c r="BI587" s="121" t="str">
        <f>IF('Cable Info'!V291="","",CONCATENATE('Cable Info'!V291," - ",'Cable Info'!W291))</f>
        <v/>
      </c>
      <c r="BL587" s="121" t="str">
        <f t="shared" si="137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2"/>
        <v>#N/A</v>
      </c>
      <c r="AO588" s="121" t="e">
        <f>IF('Cable Info'!N292="","",CONCATENATE('Cable Info'!N292," - ",'Cable Info'!O292))</f>
        <v>#N/A</v>
      </c>
      <c r="AR588" s="121" t="e">
        <f t="shared" si="133"/>
        <v>#N/A</v>
      </c>
      <c r="AT588" s="121" t="e">
        <f>IF('Cable Info'!P292="","",CONCATENATE('Cable Info'!P292," - ",'Cable Info'!Q292))</f>
        <v>#N/A</v>
      </c>
      <c r="AW588" s="121" t="e">
        <f t="shared" si="134"/>
        <v>#N/A</v>
      </c>
      <c r="AY588" s="121" t="str">
        <f>IF('Cable Info'!R292="","",CONCATENATE('Cable Info'!R292," - ",'Cable Info'!S292))</f>
        <v/>
      </c>
      <c r="BB588" s="121" t="str">
        <f t="shared" si="135"/>
        <v/>
      </c>
      <c r="BD588" s="121" t="str">
        <f>IF('Cable Info'!T292="","",CONCATENATE('Cable Info'!T292," - ",'Cable Info'!U292))</f>
        <v/>
      </c>
      <c r="BG588" s="121" t="str">
        <f t="shared" si="136"/>
        <v/>
      </c>
      <c r="BI588" s="121" t="str">
        <f>IF('Cable Info'!V292="","",CONCATENATE('Cable Info'!V292," - ",'Cable Info'!W292))</f>
        <v/>
      </c>
      <c r="BL588" s="121" t="str">
        <f t="shared" si="137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2"/>
        <v>#N/A</v>
      </c>
      <c r="AO589" s="121" t="e">
        <f>IF('Cable Info'!N293="","",CONCATENATE('Cable Info'!N293," - ",'Cable Info'!O293))</f>
        <v>#N/A</v>
      </c>
      <c r="AR589" s="121" t="e">
        <f t="shared" si="133"/>
        <v>#N/A</v>
      </c>
      <c r="AT589" s="121" t="e">
        <f>IF('Cable Info'!P293="","",CONCATENATE('Cable Info'!P293," - ",'Cable Info'!Q293))</f>
        <v>#N/A</v>
      </c>
      <c r="AW589" s="121" t="e">
        <f t="shared" si="134"/>
        <v>#N/A</v>
      </c>
      <c r="AY589" s="121" t="str">
        <f>IF('Cable Info'!R293="","",CONCATENATE('Cable Info'!R293," - ",'Cable Info'!S293))</f>
        <v/>
      </c>
      <c r="BB589" s="121" t="str">
        <f t="shared" si="135"/>
        <v/>
      </c>
      <c r="BD589" s="121" t="str">
        <f>IF('Cable Info'!T293="","",CONCATENATE('Cable Info'!T293," - ",'Cable Info'!U293))</f>
        <v/>
      </c>
      <c r="BG589" s="121" t="str">
        <f t="shared" si="136"/>
        <v/>
      </c>
      <c r="BI589" s="121" t="str">
        <f>IF('Cable Info'!V293="","",CONCATENATE('Cable Info'!V293," - ",'Cable Info'!W293))</f>
        <v/>
      </c>
      <c r="BL589" s="121" t="str">
        <f t="shared" si="137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2"/>
        <v>#N/A</v>
      </c>
      <c r="AO590" s="121" t="e">
        <f>IF('Cable Info'!N294="","",CONCATENATE('Cable Info'!N294," - ",'Cable Info'!O294))</f>
        <v>#N/A</v>
      </c>
      <c r="AR590" s="121" t="e">
        <f t="shared" si="133"/>
        <v>#N/A</v>
      </c>
      <c r="AT590" s="121" t="e">
        <f>IF('Cable Info'!P294="","",CONCATENATE('Cable Info'!P294," - ",'Cable Info'!Q294))</f>
        <v>#N/A</v>
      </c>
      <c r="AW590" s="121" t="e">
        <f t="shared" si="134"/>
        <v>#N/A</v>
      </c>
      <c r="AY590" s="121" t="str">
        <f>IF('Cable Info'!R294="","",CONCATENATE('Cable Info'!R294," - ",'Cable Info'!S294))</f>
        <v/>
      </c>
      <c r="BB590" s="121" t="str">
        <f t="shared" si="135"/>
        <v/>
      </c>
      <c r="BD590" s="121" t="str">
        <f>IF('Cable Info'!T294="","",CONCATENATE('Cable Info'!T294," - ",'Cable Info'!U294))</f>
        <v/>
      </c>
      <c r="BG590" s="121" t="str">
        <f t="shared" si="136"/>
        <v/>
      </c>
      <c r="BI590" s="121" t="str">
        <f>IF('Cable Info'!V294="","",CONCATENATE('Cable Info'!V294," - ",'Cable Info'!W294))</f>
        <v/>
      </c>
      <c r="BL590" s="121" t="str">
        <f t="shared" si="137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2"/>
        <v>#N/A</v>
      </c>
      <c r="AO591" s="121" t="e">
        <f>IF('Cable Info'!N295="","",CONCATENATE('Cable Info'!N295," - ",'Cable Info'!O295))</f>
        <v>#N/A</v>
      </c>
      <c r="AR591" s="121" t="e">
        <f t="shared" si="133"/>
        <v>#N/A</v>
      </c>
      <c r="AT591" s="121" t="e">
        <f>IF('Cable Info'!P295="","",CONCATENATE('Cable Info'!P295," - ",'Cable Info'!Q295))</f>
        <v>#N/A</v>
      </c>
      <c r="AW591" s="121" t="e">
        <f t="shared" si="134"/>
        <v>#N/A</v>
      </c>
      <c r="AY591" s="121" t="str">
        <f>IF('Cable Info'!R295="","",CONCATENATE('Cable Info'!R295," - ",'Cable Info'!S295))</f>
        <v/>
      </c>
      <c r="BB591" s="121" t="str">
        <f t="shared" si="135"/>
        <v/>
      </c>
      <c r="BD591" s="121" t="str">
        <f>IF('Cable Info'!T295="","",CONCATENATE('Cable Info'!T295," - ",'Cable Info'!U295))</f>
        <v/>
      </c>
      <c r="BG591" s="121" t="str">
        <f t="shared" si="136"/>
        <v/>
      </c>
      <c r="BI591" s="121" t="str">
        <f>IF('Cable Info'!V295="","",CONCATENATE('Cable Info'!V295," - ",'Cable Info'!W295))</f>
        <v/>
      </c>
      <c r="BL591" s="121" t="str">
        <f t="shared" si="137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2"/>
        <v>#N/A</v>
      </c>
      <c r="AO592" s="121" t="e">
        <f>IF('Cable Info'!N296="","",CONCATENATE('Cable Info'!N296," - ",'Cable Info'!O296))</f>
        <v>#N/A</v>
      </c>
      <c r="AR592" s="121" t="e">
        <f t="shared" si="133"/>
        <v>#N/A</v>
      </c>
      <c r="AT592" s="121" t="e">
        <f>IF('Cable Info'!P296="","",CONCATENATE('Cable Info'!P296," - ",'Cable Info'!Q296))</f>
        <v>#N/A</v>
      </c>
      <c r="AW592" s="121" t="e">
        <f t="shared" si="134"/>
        <v>#N/A</v>
      </c>
      <c r="AY592" s="121" t="str">
        <f>IF('Cable Info'!R296="","",CONCATENATE('Cable Info'!R296," - ",'Cable Info'!S296))</f>
        <v/>
      </c>
      <c r="BB592" s="121" t="str">
        <f t="shared" si="135"/>
        <v/>
      </c>
      <c r="BD592" s="121" t="str">
        <f>IF('Cable Info'!T296="","",CONCATENATE('Cable Info'!T296," - ",'Cable Info'!U296))</f>
        <v/>
      </c>
      <c r="BG592" s="121" t="str">
        <f t="shared" si="136"/>
        <v/>
      </c>
      <c r="BI592" s="121" t="str">
        <f>IF('Cable Info'!V296="","",CONCATENATE('Cable Info'!V296," - ",'Cable Info'!W296))</f>
        <v/>
      </c>
      <c r="BL592" s="121" t="str">
        <f t="shared" si="137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2"/>
        <v>#N/A</v>
      </c>
      <c r="AO593" s="121" t="e">
        <f>IF('Cable Info'!N297="","",CONCATENATE('Cable Info'!N297," - ",'Cable Info'!O297))</f>
        <v>#N/A</v>
      </c>
      <c r="AR593" s="121" t="e">
        <f t="shared" si="133"/>
        <v>#N/A</v>
      </c>
      <c r="AT593" s="121" t="e">
        <f>IF('Cable Info'!P297="","",CONCATENATE('Cable Info'!P297," - ",'Cable Info'!Q297))</f>
        <v>#N/A</v>
      </c>
      <c r="AW593" s="121" t="e">
        <f t="shared" si="134"/>
        <v>#N/A</v>
      </c>
      <c r="AY593" s="121" t="str">
        <f>IF('Cable Info'!R297="","",CONCATENATE('Cable Info'!R297," - ",'Cable Info'!S297))</f>
        <v/>
      </c>
      <c r="BB593" s="121" t="str">
        <f t="shared" si="135"/>
        <v/>
      </c>
      <c r="BD593" s="121" t="str">
        <f>IF('Cable Info'!T297="","",CONCATENATE('Cable Info'!T297," - ",'Cable Info'!U297))</f>
        <v/>
      </c>
      <c r="BG593" s="121" t="str">
        <f t="shared" si="136"/>
        <v/>
      </c>
      <c r="BI593" s="121" t="str">
        <f>IF('Cable Info'!V297="","",CONCATENATE('Cable Info'!V297," - ",'Cable Info'!W297))</f>
        <v/>
      </c>
      <c r="BL593" s="121" t="str">
        <f t="shared" si="137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2"/>
        <v>#N/A</v>
      </c>
      <c r="AO594" s="121" t="e">
        <f>IF('Cable Info'!N298="","",CONCATENATE('Cable Info'!N298," - ",'Cable Info'!O298))</f>
        <v>#N/A</v>
      </c>
      <c r="AR594" s="121" t="e">
        <f t="shared" si="133"/>
        <v>#N/A</v>
      </c>
      <c r="AT594" s="121" t="e">
        <f>IF('Cable Info'!P298="","",CONCATENATE('Cable Info'!P298," - ",'Cable Info'!Q298))</f>
        <v>#N/A</v>
      </c>
      <c r="AW594" s="121" t="e">
        <f t="shared" si="134"/>
        <v>#N/A</v>
      </c>
      <c r="AY594" s="121" t="str">
        <f>IF('Cable Info'!R298="","",CONCATENATE('Cable Info'!R298," - ",'Cable Info'!S298))</f>
        <v/>
      </c>
      <c r="BB594" s="121" t="str">
        <f t="shared" si="135"/>
        <v/>
      </c>
      <c r="BD594" s="121" t="str">
        <f>IF('Cable Info'!T298="","",CONCATENATE('Cable Info'!T298," - ",'Cable Info'!U298))</f>
        <v/>
      </c>
      <c r="BG594" s="121" t="str">
        <f t="shared" si="136"/>
        <v/>
      </c>
      <c r="BI594" s="121" t="str">
        <f>IF('Cable Info'!V298="","",CONCATENATE('Cable Info'!V298," - ",'Cable Info'!W298))</f>
        <v/>
      </c>
      <c r="BL594" s="121" t="str">
        <f t="shared" si="137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2"/>
        <v>#N/A</v>
      </c>
      <c r="AO595" s="121" t="e">
        <f>IF('Cable Info'!N299="","",CONCATENATE('Cable Info'!N299," - ",'Cable Info'!O299))</f>
        <v>#N/A</v>
      </c>
      <c r="AR595" s="121" t="e">
        <f t="shared" si="133"/>
        <v>#N/A</v>
      </c>
      <c r="AT595" s="121" t="e">
        <f>IF('Cable Info'!P299="","",CONCATENATE('Cable Info'!P299," - ",'Cable Info'!Q299))</f>
        <v>#N/A</v>
      </c>
      <c r="AW595" s="121" t="e">
        <f t="shared" si="134"/>
        <v>#N/A</v>
      </c>
      <c r="AY595" s="121" t="str">
        <f>IF('Cable Info'!R299="","",CONCATENATE('Cable Info'!R299," - ",'Cable Info'!S299))</f>
        <v/>
      </c>
      <c r="BB595" s="121" t="str">
        <f t="shared" si="135"/>
        <v/>
      </c>
      <c r="BD595" s="121" t="str">
        <f>IF('Cable Info'!T299="","",CONCATENATE('Cable Info'!T299," - ",'Cable Info'!U299))</f>
        <v/>
      </c>
      <c r="BG595" s="121" t="str">
        <f t="shared" si="136"/>
        <v/>
      </c>
      <c r="BI595" s="121" t="str">
        <f>IF('Cable Info'!V299="","",CONCATENATE('Cable Info'!V299," - ",'Cable Info'!W299))</f>
        <v/>
      </c>
      <c r="BL595" s="121" t="str">
        <f t="shared" si="137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2"/>
        <v>#N/A</v>
      </c>
      <c r="AO596" s="121" t="e">
        <f>IF('Cable Info'!N300="","",CONCATENATE('Cable Info'!N300," - ",'Cable Info'!O300))</f>
        <v>#N/A</v>
      </c>
      <c r="AR596" s="121" t="e">
        <f t="shared" si="133"/>
        <v>#N/A</v>
      </c>
      <c r="AT596" s="121" t="e">
        <f>IF('Cable Info'!P300="","",CONCATENATE('Cable Info'!P300," - ",'Cable Info'!Q300))</f>
        <v>#N/A</v>
      </c>
      <c r="AW596" s="121" t="e">
        <f t="shared" si="134"/>
        <v>#N/A</v>
      </c>
      <c r="AY596" s="121" t="str">
        <f>IF('Cable Info'!R300="","",CONCATENATE('Cable Info'!R300," - ",'Cable Info'!S300))</f>
        <v/>
      </c>
      <c r="BB596" s="121" t="str">
        <f t="shared" si="135"/>
        <v/>
      </c>
      <c r="BD596" s="121" t="str">
        <f>IF('Cable Info'!T300="","",CONCATENATE('Cable Info'!T300," - ",'Cable Info'!U300))</f>
        <v/>
      </c>
      <c r="BG596" s="121" t="str">
        <f t="shared" si="136"/>
        <v/>
      </c>
      <c r="BI596" s="121" t="str">
        <f>IF('Cable Info'!V300="","",CONCATENATE('Cable Info'!V300," - ",'Cable Info'!W300))</f>
        <v/>
      </c>
      <c r="BL596" s="121" t="str">
        <f t="shared" si="137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2"/>
        <v>#N/A</v>
      </c>
      <c r="AO597" s="121" t="e">
        <f>IF('Cable Info'!N301="","",CONCATENATE('Cable Info'!N301," - ",'Cable Info'!O301))</f>
        <v>#N/A</v>
      </c>
      <c r="AR597" s="121" t="e">
        <f t="shared" si="133"/>
        <v>#N/A</v>
      </c>
      <c r="AT597" s="121" t="e">
        <f>IF('Cable Info'!P301="","",CONCATENATE('Cable Info'!P301," - ",'Cable Info'!Q301))</f>
        <v>#N/A</v>
      </c>
      <c r="AW597" s="121" t="e">
        <f t="shared" si="134"/>
        <v>#N/A</v>
      </c>
      <c r="AY597" s="121" t="str">
        <f>IF('Cable Info'!R301="","",CONCATENATE('Cable Info'!R301," - ",'Cable Info'!S301))</f>
        <v/>
      </c>
      <c r="BB597" s="121" t="str">
        <f t="shared" si="135"/>
        <v/>
      </c>
      <c r="BD597" s="121" t="str">
        <f>IF('Cable Info'!T301="","",CONCATENATE('Cable Info'!T301," - ",'Cable Info'!U301))</f>
        <v/>
      </c>
      <c r="BG597" s="121" t="str">
        <f t="shared" si="136"/>
        <v/>
      </c>
      <c r="BI597" s="121" t="str">
        <f>IF('Cable Info'!V301="","",CONCATENATE('Cable Info'!V301," - ",'Cable Info'!W301))</f>
        <v/>
      </c>
      <c r="BL597" s="121" t="str">
        <f t="shared" si="137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2"/>
        <v>#N/A</v>
      </c>
      <c r="AO598" s="121" t="e">
        <f>IF('Cable Info'!N302="","",CONCATENATE('Cable Info'!N302," - ",'Cable Info'!O302))</f>
        <v>#N/A</v>
      </c>
      <c r="AR598" s="121" t="e">
        <f t="shared" si="133"/>
        <v>#N/A</v>
      </c>
      <c r="AT598" s="121" t="e">
        <f>IF('Cable Info'!P302="","",CONCATENATE('Cable Info'!P302," - ",'Cable Info'!Q302))</f>
        <v>#N/A</v>
      </c>
      <c r="AW598" s="121" t="e">
        <f t="shared" si="134"/>
        <v>#N/A</v>
      </c>
      <c r="AY598" s="121" t="str">
        <f>IF('Cable Info'!R302="","",CONCATENATE('Cable Info'!R302," - ",'Cable Info'!S302))</f>
        <v/>
      </c>
      <c r="BB598" s="121" t="str">
        <f t="shared" si="135"/>
        <v/>
      </c>
      <c r="BD598" s="121" t="str">
        <f>IF('Cable Info'!T302="","",CONCATENATE('Cable Info'!T302," - ",'Cable Info'!U302))</f>
        <v/>
      </c>
      <c r="BG598" s="121" t="str">
        <f t="shared" si="136"/>
        <v/>
      </c>
      <c r="BI598" s="121" t="str">
        <f>IF('Cable Info'!V302="","",CONCATENATE('Cable Info'!V302," - ",'Cable Info'!W302))</f>
        <v/>
      </c>
      <c r="BL598" s="121" t="str">
        <f t="shared" si="137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2"/>
        <v>#N/A</v>
      </c>
      <c r="AO599" s="121" t="e">
        <f>IF('Cable Info'!N303="","",CONCATENATE('Cable Info'!N303," - ",'Cable Info'!O303))</f>
        <v>#N/A</v>
      </c>
      <c r="AR599" s="121" t="e">
        <f t="shared" si="133"/>
        <v>#N/A</v>
      </c>
      <c r="AT599" s="121" t="e">
        <f>IF('Cable Info'!P303="","",CONCATENATE('Cable Info'!P303," - ",'Cable Info'!Q303))</f>
        <v>#N/A</v>
      </c>
      <c r="AW599" s="121" t="e">
        <f t="shared" si="134"/>
        <v>#N/A</v>
      </c>
      <c r="AY599" s="121" t="str">
        <f>IF('Cable Info'!R303="","",CONCATENATE('Cable Info'!R303," - ",'Cable Info'!S303))</f>
        <v/>
      </c>
      <c r="BB599" s="121" t="str">
        <f t="shared" si="135"/>
        <v/>
      </c>
      <c r="BD599" s="121" t="str">
        <f>IF('Cable Info'!T303="","",CONCATENATE('Cable Info'!T303," - ",'Cable Info'!U303))</f>
        <v/>
      </c>
      <c r="BG599" s="121" t="str">
        <f t="shared" si="136"/>
        <v/>
      </c>
      <c r="BI599" s="121" t="str">
        <f>IF('Cable Info'!V303="","",CONCATENATE('Cable Info'!V303," - ",'Cable Info'!W303))</f>
        <v/>
      </c>
      <c r="BL599" s="121" t="str">
        <f t="shared" si="137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2"/>
        <v>#N/A</v>
      </c>
      <c r="AO600" s="121" t="e">
        <f>IF('Cable Info'!N304="","",CONCATENATE('Cable Info'!N304," - ",'Cable Info'!O304))</f>
        <v>#N/A</v>
      </c>
      <c r="AR600" s="121" t="e">
        <f t="shared" si="133"/>
        <v>#N/A</v>
      </c>
      <c r="AT600" s="121" t="e">
        <f>IF('Cable Info'!P304="","",CONCATENATE('Cable Info'!P304," - ",'Cable Info'!Q304))</f>
        <v>#N/A</v>
      </c>
      <c r="AW600" s="121" t="e">
        <f t="shared" si="134"/>
        <v>#N/A</v>
      </c>
      <c r="AY600" s="121" t="str">
        <f>IF('Cable Info'!R304="","",CONCATENATE('Cable Info'!R304," - ",'Cable Info'!S304))</f>
        <v/>
      </c>
      <c r="BB600" s="121" t="str">
        <f t="shared" si="135"/>
        <v/>
      </c>
      <c r="BD600" s="121" t="str">
        <f>IF('Cable Info'!T304="","",CONCATENATE('Cable Info'!T304," - ",'Cable Info'!U304))</f>
        <v/>
      </c>
      <c r="BG600" s="121" t="str">
        <f t="shared" si="136"/>
        <v/>
      </c>
      <c r="BI600" s="121" t="str">
        <f>IF('Cable Info'!V304="","",CONCATENATE('Cable Info'!V304," - ",'Cable Info'!W304))</f>
        <v/>
      </c>
      <c r="BL600" s="121" t="str">
        <f t="shared" si="137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2"/>
        <v>#N/A</v>
      </c>
      <c r="AO601" s="121" t="e">
        <f>IF('Cable Info'!N305="","",CONCATENATE('Cable Info'!N305," - ",'Cable Info'!O305))</f>
        <v>#N/A</v>
      </c>
      <c r="AR601" s="121" t="e">
        <f t="shared" si="133"/>
        <v>#N/A</v>
      </c>
      <c r="AT601" s="121" t="e">
        <f>IF('Cable Info'!P305="","",CONCATENATE('Cable Info'!P305," - ",'Cable Info'!Q305))</f>
        <v>#N/A</v>
      </c>
      <c r="AW601" s="121" t="e">
        <f t="shared" si="134"/>
        <v>#N/A</v>
      </c>
      <c r="AY601" s="121" t="str">
        <f>IF('Cable Info'!R305="","",CONCATENATE('Cable Info'!R305," - ",'Cable Info'!S305))</f>
        <v/>
      </c>
      <c r="BB601" s="121" t="str">
        <f t="shared" si="135"/>
        <v/>
      </c>
      <c r="BD601" s="121" t="str">
        <f>IF('Cable Info'!T305="","",CONCATENATE('Cable Info'!T305," - ",'Cable Info'!U305))</f>
        <v/>
      </c>
      <c r="BG601" s="121" t="str">
        <f t="shared" si="136"/>
        <v/>
      </c>
      <c r="BI601" s="121" t="str">
        <f>IF('Cable Info'!V305="","",CONCATENATE('Cable Info'!V305," - ",'Cable Info'!W305))</f>
        <v/>
      </c>
      <c r="BL601" s="121" t="str">
        <f t="shared" si="137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2"/>
        <v>#N/A</v>
      </c>
      <c r="AO602" s="121" t="e">
        <f>IF('Cable Info'!N306="","",CONCATENATE('Cable Info'!N306," - ",'Cable Info'!O306))</f>
        <v>#N/A</v>
      </c>
      <c r="AR602" s="121" t="e">
        <f t="shared" si="133"/>
        <v>#N/A</v>
      </c>
      <c r="AT602" s="121" t="e">
        <f>IF('Cable Info'!P306="","",CONCATENATE('Cable Info'!P306," - ",'Cable Info'!Q306))</f>
        <v>#N/A</v>
      </c>
      <c r="AW602" s="121" t="e">
        <f t="shared" si="134"/>
        <v>#N/A</v>
      </c>
      <c r="AY602" s="121" t="str">
        <f>IF('Cable Info'!R306="","",CONCATENATE('Cable Info'!R306," - ",'Cable Info'!S306))</f>
        <v/>
      </c>
      <c r="BB602" s="121" t="str">
        <f t="shared" si="135"/>
        <v/>
      </c>
      <c r="BD602" s="121" t="str">
        <f>IF('Cable Info'!T306="","",CONCATENATE('Cable Info'!T306," - ",'Cable Info'!U306))</f>
        <v/>
      </c>
      <c r="BG602" s="121" t="str">
        <f t="shared" si="136"/>
        <v/>
      </c>
      <c r="BI602" s="121" t="str">
        <f>IF('Cable Info'!V306="","",CONCATENATE('Cable Info'!V306," - ",'Cable Info'!W306))</f>
        <v/>
      </c>
      <c r="BL602" s="121" t="str">
        <f t="shared" si="137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2"/>
        <v>#N/A</v>
      </c>
      <c r="AO603" s="121" t="e">
        <f>IF('Cable Info'!N307="","",CONCATENATE('Cable Info'!N307," - ",'Cable Info'!O307))</f>
        <v>#N/A</v>
      </c>
      <c r="AR603" s="121" t="e">
        <f t="shared" si="133"/>
        <v>#N/A</v>
      </c>
      <c r="AT603" s="121" t="e">
        <f>IF('Cable Info'!P307="","",CONCATENATE('Cable Info'!P307," - ",'Cable Info'!Q307))</f>
        <v>#N/A</v>
      </c>
      <c r="AW603" s="121" t="e">
        <f t="shared" si="134"/>
        <v>#N/A</v>
      </c>
      <c r="AY603" s="121" t="str">
        <f>IF('Cable Info'!R307="","",CONCATENATE('Cable Info'!R307," - ",'Cable Info'!S307))</f>
        <v/>
      </c>
      <c r="BB603" s="121" t="str">
        <f t="shared" si="135"/>
        <v/>
      </c>
      <c r="BD603" s="121" t="str">
        <f>IF('Cable Info'!T307="","",CONCATENATE('Cable Info'!T307," - ",'Cable Info'!U307))</f>
        <v/>
      </c>
      <c r="BG603" s="121" t="str">
        <f t="shared" si="136"/>
        <v/>
      </c>
      <c r="BI603" s="121" t="str">
        <f>IF('Cable Info'!V307="","",CONCATENATE('Cable Info'!V307," - ",'Cable Info'!W307))</f>
        <v/>
      </c>
      <c r="BL603" s="121" t="str">
        <f t="shared" si="137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2"/>
        <v>#N/A</v>
      </c>
      <c r="AO604" s="121" t="e">
        <f>IF('Cable Info'!N308="","",CONCATENATE('Cable Info'!N308," - ",'Cable Info'!O308))</f>
        <v>#N/A</v>
      </c>
      <c r="AR604" s="121" t="e">
        <f t="shared" si="133"/>
        <v>#N/A</v>
      </c>
      <c r="AT604" s="121" t="e">
        <f>IF('Cable Info'!P308="","",CONCATENATE('Cable Info'!P308," - ",'Cable Info'!Q308))</f>
        <v>#N/A</v>
      </c>
      <c r="AW604" s="121" t="e">
        <f t="shared" si="134"/>
        <v>#N/A</v>
      </c>
      <c r="AY604" s="121" t="str">
        <f>IF('Cable Info'!R308="","",CONCATENATE('Cable Info'!R308," - ",'Cable Info'!S308))</f>
        <v/>
      </c>
      <c r="BB604" s="121" t="str">
        <f t="shared" si="135"/>
        <v/>
      </c>
      <c r="BD604" s="121" t="str">
        <f>IF('Cable Info'!T308="","",CONCATENATE('Cable Info'!T308," - ",'Cable Info'!U308))</f>
        <v/>
      </c>
      <c r="BG604" s="121" t="str">
        <f t="shared" si="136"/>
        <v/>
      </c>
      <c r="BI604" s="121" t="str">
        <f>IF('Cable Info'!V308="","",CONCATENATE('Cable Info'!V308," - ",'Cable Info'!W308))</f>
        <v/>
      </c>
      <c r="BL604" s="121" t="str">
        <f t="shared" si="137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2"/>
        <v>#N/A</v>
      </c>
      <c r="AO605" s="121" t="e">
        <f>IF('Cable Info'!N309="","",CONCATENATE('Cable Info'!N309," - ",'Cable Info'!O309))</f>
        <v>#N/A</v>
      </c>
      <c r="AR605" s="121" t="e">
        <f t="shared" si="133"/>
        <v>#N/A</v>
      </c>
      <c r="AT605" s="121" t="e">
        <f>IF('Cable Info'!P309="","",CONCATENATE('Cable Info'!P309," - ",'Cable Info'!Q309))</f>
        <v>#N/A</v>
      </c>
      <c r="AW605" s="121" t="e">
        <f t="shared" si="134"/>
        <v>#N/A</v>
      </c>
      <c r="AY605" s="121" t="str">
        <f>IF('Cable Info'!R309="","",CONCATENATE('Cable Info'!R309," - ",'Cable Info'!S309))</f>
        <v/>
      </c>
      <c r="BB605" s="121" t="str">
        <f t="shared" si="135"/>
        <v/>
      </c>
      <c r="BD605" s="121" t="str">
        <f>IF('Cable Info'!T309="","",CONCATENATE('Cable Info'!T309," - ",'Cable Info'!U309))</f>
        <v/>
      </c>
      <c r="BG605" s="121" t="str">
        <f t="shared" si="136"/>
        <v/>
      </c>
      <c r="BI605" s="121" t="str">
        <f>IF('Cable Info'!V309="","",CONCATENATE('Cable Info'!V309," - ",'Cable Info'!W309))</f>
        <v/>
      </c>
      <c r="BL605" s="121" t="str">
        <f t="shared" si="137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2"/>
        <v>#N/A</v>
      </c>
      <c r="AO606" s="121" t="e">
        <f>IF('Cable Info'!N310="","",CONCATENATE('Cable Info'!N310," - ",'Cable Info'!O310))</f>
        <v>#N/A</v>
      </c>
      <c r="AR606" s="121" t="e">
        <f t="shared" si="133"/>
        <v>#N/A</v>
      </c>
      <c r="AT606" s="121" t="e">
        <f>IF('Cable Info'!P310="","",CONCATENATE('Cable Info'!P310," - ",'Cable Info'!Q310))</f>
        <v>#N/A</v>
      </c>
      <c r="AW606" s="121" t="e">
        <f t="shared" si="134"/>
        <v>#N/A</v>
      </c>
      <c r="AY606" s="121" t="str">
        <f>IF('Cable Info'!R310="","",CONCATENATE('Cable Info'!R310," - ",'Cable Info'!S310))</f>
        <v/>
      </c>
      <c r="BB606" s="121" t="str">
        <f t="shared" si="135"/>
        <v/>
      </c>
      <c r="BD606" s="121" t="str">
        <f>IF('Cable Info'!T310="","",CONCATENATE('Cable Info'!T310," - ",'Cable Info'!U310))</f>
        <v/>
      </c>
      <c r="BG606" s="121" t="str">
        <f t="shared" si="136"/>
        <v/>
      </c>
      <c r="BI606" s="121" t="str">
        <f>IF('Cable Info'!V310="","",CONCATENATE('Cable Info'!V310," - ",'Cable Info'!W310))</f>
        <v/>
      </c>
      <c r="BL606" s="121" t="str">
        <f t="shared" si="137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2"/>
        <v>#N/A</v>
      </c>
      <c r="AO607" s="121" t="e">
        <f>IF('Cable Info'!N311="","",CONCATENATE('Cable Info'!N311," - ",'Cable Info'!O311))</f>
        <v>#N/A</v>
      </c>
      <c r="AR607" s="121" t="e">
        <f t="shared" si="133"/>
        <v>#N/A</v>
      </c>
      <c r="AT607" s="121" t="e">
        <f>IF('Cable Info'!P311="","",CONCATENATE('Cable Info'!P311," - ",'Cable Info'!Q311))</f>
        <v>#N/A</v>
      </c>
      <c r="AW607" s="121" t="e">
        <f t="shared" si="134"/>
        <v>#N/A</v>
      </c>
      <c r="AY607" s="121" t="str">
        <f>IF('Cable Info'!R311="","",CONCATENATE('Cable Info'!R311," - ",'Cable Info'!S311))</f>
        <v/>
      </c>
      <c r="BB607" s="121" t="str">
        <f t="shared" si="135"/>
        <v/>
      </c>
      <c r="BD607" s="121" t="str">
        <f>IF('Cable Info'!T311="","",CONCATENATE('Cable Info'!T311," - ",'Cable Info'!U311))</f>
        <v/>
      </c>
      <c r="BG607" s="121" t="str">
        <f t="shared" si="136"/>
        <v/>
      </c>
      <c r="BI607" s="121" t="str">
        <f>IF('Cable Info'!V311="","",CONCATENATE('Cable Info'!V311," - ",'Cable Info'!W311))</f>
        <v/>
      </c>
      <c r="BL607" s="121" t="str">
        <f t="shared" si="137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2"/>
        <v>#N/A</v>
      </c>
      <c r="AO608" s="121" t="e">
        <f>IF('Cable Info'!N312="","",CONCATENATE('Cable Info'!N312," - ",'Cable Info'!O312))</f>
        <v>#N/A</v>
      </c>
      <c r="AR608" s="121" t="e">
        <f t="shared" si="133"/>
        <v>#N/A</v>
      </c>
      <c r="AT608" s="121" t="e">
        <f>IF('Cable Info'!P312="","",CONCATENATE('Cable Info'!P312," - ",'Cable Info'!Q312))</f>
        <v>#N/A</v>
      </c>
      <c r="AW608" s="121" t="e">
        <f t="shared" si="134"/>
        <v>#N/A</v>
      </c>
      <c r="AY608" s="121" t="str">
        <f>IF('Cable Info'!R312="","",CONCATENATE('Cable Info'!R312," - ",'Cable Info'!S312))</f>
        <v/>
      </c>
      <c r="BB608" s="121" t="str">
        <f t="shared" si="135"/>
        <v/>
      </c>
      <c r="BD608" s="121" t="str">
        <f>IF('Cable Info'!T312="","",CONCATENATE('Cable Info'!T312," - ",'Cable Info'!U312))</f>
        <v/>
      </c>
      <c r="BG608" s="121" t="str">
        <f t="shared" si="136"/>
        <v/>
      </c>
      <c r="BI608" s="121" t="str">
        <f>IF('Cable Info'!V312="","",CONCATENATE('Cable Info'!V312," - ",'Cable Info'!W312))</f>
        <v/>
      </c>
      <c r="BL608" s="121" t="str">
        <f t="shared" si="137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2"/>
        <v>#N/A</v>
      </c>
      <c r="AO609" s="121" t="e">
        <f>IF('Cable Info'!N313="","",CONCATENATE('Cable Info'!N313," - ",'Cable Info'!O313))</f>
        <v>#N/A</v>
      </c>
      <c r="AR609" s="121" t="e">
        <f t="shared" si="133"/>
        <v>#N/A</v>
      </c>
      <c r="AT609" s="121" t="e">
        <f>IF('Cable Info'!P313="","",CONCATENATE('Cable Info'!P313," - ",'Cable Info'!Q313))</f>
        <v>#N/A</v>
      </c>
      <c r="AW609" s="121" t="e">
        <f t="shared" si="134"/>
        <v>#N/A</v>
      </c>
      <c r="AY609" s="121" t="str">
        <f>IF('Cable Info'!R313="","",CONCATENATE('Cable Info'!R313," - ",'Cable Info'!S313))</f>
        <v/>
      </c>
      <c r="BB609" s="121" t="str">
        <f t="shared" si="135"/>
        <v/>
      </c>
      <c r="BD609" s="121" t="str">
        <f>IF('Cable Info'!T313="","",CONCATENATE('Cable Info'!T313," - ",'Cable Info'!U313))</f>
        <v/>
      </c>
      <c r="BG609" s="121" t="str">
        <f t="shared" si="136"/>
        <v/>
      </c>
      <c r="BI609" s="121" t="str">
        <f>IF('Cable Info'!V313="","",CONCATENATE('Cable Info'!V313," - ",'Cable Info'!W313))</f>
        <v/>
      </c>
      <c r="BL609" s="121" t="str">
        <f t="shared" si="137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2"/>
        <v>#N/A</v>
      </c>
      <c r="AO610" s="121" t="e">
        <f>IF('Cable Info'!N314="","",CONCATENATE('Cable Info'!N314," - ",'Cable Info'!O314))</f>
        <v>#N/A</v>
      </c>
      <c r="AR610" s="121" t="e">
        <f t="shared" si="133"/>
        <v>#N/A</v>
      </c>
      <c r="AT610" s="121" t="e">
        <f>IF('Cable Info'!P314="","",CONCATENATE('Cable Info'!P314," - ",'Cable Info'!Q314))</f>
        <v>#N/A</v>
      </c>
      <c r="AW610" s="121" t="e">
        <f t="shared" si="134"/>
        <v>#N/A</v>
      </c>
      <c r="AY610" s="121" t="str">
        <f>IF('Cable Info'!R314="","",CONCATENATE('Cable Info'!R314," - ",'Cable Info'!S314))</f>
        <v/>
      </c>
      <c r="BB610" s="121" t="str">
        <f t="shared" si="135"/>
        <v/>
      </c>
      <c r="BD610" s="121" t="str">
        <f>IF('Cable Info'!T314="","",CONCATENATE('Cable Info'!T314," - ",'Cable Info'!U314))</f>
        <v/>
      </c>
      <c r="BG610" s="121" t="str">
        <f t="shared" si="136"/>
        <v/>
      </c>
      <c r="BI610" s="121" t="str">
        <f>IF('Cable Info'!V314="","",CONCATENATE('Cable Info'!V314," - ",'Cable Info'!W314))</f>
        <v/>
      </c>
      <c r="BL610" s="121" t="str">
        <f t="shared" si="137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2"/>
        <v>#N/A</v>
      </c>
      <c r="AO611" s="121" t="e">
        <f>IF('Cable Info'!N315="","",CONCATENATE('Cable Info'!N315," - ",'Cable Info'!O315))</f>
        <v>#N/A</v>
      </c>
      <c r="AR611" s="121" t="e">
        <f t="shared" si="133"/>
        <v>#N/A</v>
      </c>
      <c r="AT611" s="121" t="e">
        <f>IF('Cable Info'!P315="","",CONCATENATE('Cable Info'!P315," - ",'Cable Info'!Q315))</f>
        <v>#N/A</v>
      </c>
      <c r="AW611" s="121" t="e">
        <f t="shared" si="134"/>
        <v>#N/A</v>
      </c>
      <c r="AY611" s="121" t="str">
        <f>IF('Cable Info'!R315="","",CONCATENATE('Cable Info'!R315," - ",'Cable Info'!S315))</f>
        <v/>
      </c>
      <c r="BB611" s="121" t="str">
        <f t="shared" si="135"/>
        <v/>
      </c>
      <c r="BD611" s="121" t="str">
        <f>IF('Cable Info'!T315="","",CONCATENATE('Cable Info'!T315," - ",'Cable Info'!U315))</f>
        <v/>
      </c>
      <c r="BG611" s="121" t="str">
        <f t="shared" si="136"/>
        <v/>
      </c>
      <c r="BI611" s="121" t="str">
        <f>IF('Cable Info'!V315="","",CONCATENATE('Cable Info'!V315," - ",'Cable Info'!W315))</f>
        <v/>
      </c>
      <c r="BL611" s="121" t="str">
        <f t="shared" si="137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2"/>
        <v>#N/A</v>
      </c>
      <c r="AO612" s="121" t="e">
        <f>IF('Cable Info'!N316="","",CONCATENATE('Cable Info'!N316," - ",'Cable Info'!O316))</f>
        <v>#N/A</v>
      </c>
      <c r="AR612" s="121" t="e">
        <f t="shared" si="133"/>
        <v>#N/A</v>
      </c>
      <c r="AT612" s="121" t="e">
        <f>IF('Cable Info'!P316="","",CONCATENATE('Cable Info'!P316," - ",'Cable Info'!Q316))</f>
        <v>#N/A</v>
      </c>
      <c r="AW612" s="121" t="e">
        <f t="shared" si="134"/>
        <v>#N/A</v>
      </c>
      <c r="AY612" s="121" t="str">
        <f>IF('Cable Info'!R316="","",CONCATENATE('Cable Info'!R316," - ",'Cable Info'!S316))</f>
        <v/>
      </c>
      <c r="BB612" s="121" t="str">
        <f t="shared" si="135"/>
        <v/>
      </c>
      <c r="BD612" s="121" t="str">
        <f>IF('Cable Info'!T316="","",CONCATENATE('Cable Info'!T316," - ",'Cable Info'!U316))</f>
        <v/>
      </c>
      <c r="BG612" s="121" t="str">
        <f t="shared" si="136"/>
        <v/>
      </c>
      <c r="BI612" s="121" t="str">
        <f>IF('Cable Info'!V316="","",CONCATENATE('Cable Info'!V316," - ",'Cable Info'!W316))</f>
        <v/>
      </c>
      <c r="BL612" s="121" t="str">
        <f t="shared" si="137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2"/>
        <v>#N/A</v>
      </c>
      <c r="AO613" s="121" t="e">
        <f>IF('Cable Info'!N317="","",CONCATENATE('Cable Info'!N317," - ",'Cable Info'!O317))</f>
        <v>#N/A</v>
      </c>
      <c r="AR613" s="121" t="e">
        <f t="shared" si="133"/>
        <v>#N/A</v>
      </c>
      <c r="AT613" s="121" t="e">
        <f>IF('Cable Info'!P317="","",CONCATENATE('Cable Info'!P317," - ",'Cable Info'!Q317))</f>
        <v>#N/A</v>
      </c>
      <c r="AW613" s="121" t="e">
        <f t="shared" si="134"/>
        <v>#N/A</v>
      </c>
      <c r="AY613" s="121" t="str">
        <f>IF('Cable Info'!R317="","",CONCATENATE('Cable Info'!R317," - ",'Cable Info'!S317))</f>
        <v/>
      </c>
      <c r="BB613" s="121" t="str">
        <f t="shared" si="135"/>
        <v/>
      </c>
      <c r="BD613" s="121" t="str">
        <f>IF('Cable Info'!T317="","",CONCATENATE('Cable Info'!T317," - ",'Cable Info'!U317))</f>
        <v/>
      </c>
      <c r="BG613" s="121" t="str">
        <f t="shared" si="136"/>
        <v/>
      </c>
      <c r="BI613" s="121" t="str">
        <f>IF('Cable Info'!V317="","",CONCATENATE('Cable Info'!V317," - ",'Cable Info'!W317))</f>
        <v/>
      </c>
      <c r="BL613" s="121" t="str">
        <f t="shared" si="137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2"/>
        <v>#N/A</v>
      </c>
      <c r="AO614" s="121" t="e">
        <f>IF('Cable Info'!N318="","",CONCATENATE('Cable Info'!N318," - ",'Cable Info'!O318))</f>
        <v>#N/A</v>
      </c>
      <c r="AR614" s="121" t="e">
        <f t="shared" si="133"/>
        <v>#N/A</v>
      </c>
      <c r="AT614" s="121" t="e">
        <f>IF('Cable Info'!P318="","",CONCATENATE('Cable Info'!P318," - ",'Cable Info'!Q318))</f>
        <v>#N/A</v>
      </c>
      <c r="AW614" s="121" t="e">
        <f t="shared" si="134"/>
        <v>#N/A</v>
      </c>
      <c r="AY614" s="121" t="str">
        <f>IF('Cable Info'!R318="","",CONCATENATE('Cable Info'!R318," - ",'Cable Info'!S318))</f>
        <v/>
      </c>
      <c r="BB614" s="121" t="str">
        <f t="shared" si="135"/>
        <v/>
      </c>
      <c r="BD614" s="121" t="str">
        <f>IF('Cable Info'!T318="","",CONCATENATE('Cable Info'!T318," - ",'Cable Info'!U318))</f>
        <v/>
      </c>
      <c r="BG614" s="121" t="str">
        <f t="shared" si="136"/>
        <v/>
      </c>
      <c r="BI614" s="121" t="str">
        <f>IF('Cable Info'!V318="","",CONCATENATE('Cable Info'!V318," - ",'Cable Info'!W318))</f>
        <v/>
      </c>
      <c r="BL614" s="121" t="str">
        <f t="shared" si="137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2"/>
        <v>#N/A</v>
      </c>
      <c r="AO615" s="121" t="e">
        <f>IF('Cable Info'!N319="","",CONCATENATE('Cable Info'!N319," - ",'Cable Info'!O319))</f>
        <v>#N/A</v>
      </c>
      <c r="AR615" s="121" t="e">
        <f t="shared" si="133"/>
        <v>#N/A</v>
      </c>
      <c r="AT615" s="121" t="e">
        <f>IF('Cable Info'!P319="","",CONCATENATE('Cable Info'!P319," - ",'Cable Info'!Q319))</f>
        <v>#N/A</v>
      </c>
      <c r="AW615" s="121" t="e">
        <f t="shared" si="134"/>
        <v>#N/A</v>
      </c>
      <c r="AY615" s="121" t="str">
        <f>IF('Cable Info'!R319="","",CONCATENATE('Cable Info'!R319," - ",'Cable Info'!S319))</f>
        <v/>
      </c>
      <c r="BB615" s="121" t="str">
        <f t="shared" si="135"/>
        <v/>
      </c>
      <c r="BD615" s="121" t="str">
        <f>IF('Cable Info'!T319="","",CONCATENATE('Cable Info'!T319," - ",'Cable Info'!U319))</f>
        <v/>
      </c>
      <c r="BG615" s="121" t="str">
        <f t="shared" si="136"/>
        <v/>
      </c>
      <c r="BI615" s="121" t="str">
        <f>IF('Cable Info'!V319="","",CONCATENATE('Cable Info'!V319," - ",'Cable Info'!W319))</f>
        <v/>
      </c>
      <c r="BL615" s="121" t="str">
        <f t="shared" si="137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2"/>
        <v>#N/A</v>
      </c>
      <c r="AO616" s="121" t="e">
        <f>IF('Cable Info'!N320="","",CONCATENATE('Cable Info'!N320," - ",'Cable Info'!O320))</f>
        <v>#N/A</v>
      </c>
      <c r="AR616" s="121" t="e">
        <f t="shared" si="133"/>
        <v>#N/A</v>
      </c>
      <c r="AT616" s="121" t="e">
        <f>IF('Cable Info'!P320="","",CONCATENATE('Cable Info'!P320," - ",'Cable Info'!Q320))</f>
        <v>#N/A</v>
      </c>
      <c r="AW616" s="121" t="e">
        <f t="shared" si="134"/>
        <v>#N/A</v>
      </c>
      <c r="AY616" s="121" t="str">
        <f>IF('Cable Info'!R320="","",CONCATENATE('Cable Info'!R320," - ",'Cable Info'!S320))</f>
        <v/>
      </c>
      <c r="BB616" s="121" t="str">
        <f t="shared" si="135"/>
        <v/>
      </c>
      <c r="BD616" s="121" t="str">
        <f>IF('Cable Info'!T320="","",CONCATENATE('Cable Info'!T320," - ",'Cable Info'!U320))</f>
        <v/>
      </c>
      <c r="BG616" s="121" t="str">
        <f t="shared" si="136"/>
        <v/>
      </c>
      <c r="BI616" s="121" t="str">
        <f>IF('Cable Info'!V320="","",CONCATENATE('Cable Info'!V320," - ",'Cable Info'!W320))</f>
        <v/>
      </c>
      <c r="BL616" s="121" t="str">
        <f t="shared" si="137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2"/>
        <v>#N/A</v>
      </c>
      <c r="AO617" s="121" t="e">
        <f>IF('Cable Info'!N321="","",CONCATENATE('Cable Info'!N321," - ",'Cable Info'!O321))</f>
        <v>#N/A</v>
      </c>
      <c r="AR617" s="121" t="e">
        <f t="shared" si="133"/>
        <v>#N/A</v>
      </c>
      <c r="AT617" s="121" t="e">
        <f>IF('Cable Info'!P321="","",CONCATENATE('Cable Info'!P321," - ",'Cable Info'!Q321))</f>
        <v>#N/A</v>
      </c>
      <c r="AW617" s="121" t="e">
        <f t="shared" si="134"/>
        <v>#N/A</v>
      </c>
      <c r="AY617" s="121" t="str">
        <f>IF('Cable Info'!R321="","",CONCATENATE('Cable Info'!R321," - ",'Cable Info'!S321))</f>
        <v/>
      </c>
      <c r="BB617" s="121" t="str">
        <f t="shared" si="135"/>
        <v/>
      </c>
      <c r="BD617" s="121" t="str">
        <f>IF('Cable Info'!T321="","",CONCATENATE('Cable Info'!T321," - ",'Cable Info'!U321))</f>
        <v/>
      </c>
      <c r="BG617" s="121" t="str">
        <f t="shared" si="136"/>
        <v/>
      </c>
      <c r="BI617" s="121" t="str">
        <f>IF('Cable Info'!V321="","",CONCATENATE('Cable Info'!V321," - ",'Cable Info'!W321))</f>
        <v/>
      </c>
      <c r="BL617" s="121" t="str">
        <f t="shared" si="137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2"/>
        <v>#N/A</v>
      </c>
      <c r="AO618" s="121" t="e">
        <f>IF('Cable Info'!N322="","",CONCATENATE('Cable Info'!N322," - ",'Cable Info'!O322))</f>
        <v>#N/A</v>
      </c>
      <c r="AR618" s="121" t="e">
        <f t="shared" si="133"/>
        <v>#N/A</v>
      </c>
      <c r="AT618" s="121" t="e">
        <f>IF('Cable Info'!P322="","",CONCATENATE('Cable Info'!P322," - ",'Cable Info'!Q322))</f>
        <v>#N/A</v>
      </c>
      <c r="AW618" s="121" t="e">
        <f t="shared" si="134"/>
        <v>#N/A</v>
      </c>
      <c r="AY618" s="121" t="str">
        <f>IF('Cable Info'!R322="","",CONCATENATE('Cable Info'!R322," - ",'Cable Info'!S322))</f>
        <v/>
      </c>
      <c r="BB618" s="121" t="str">
        <f t="shared" si="135"/>
        <v/>
      </c>
      <c r="BD618" s="121" t="str">
        <f>IF('Cable Info'!T322="","",CONCATENATE('Cable Info'!T322," - ",'Cable Info'!U322))</f>
        <v/>
      </c>
      <c r="BG618" s="121" t="str">
        <f t="shared" si="136"/>
        <v/>
      </c>
      <c r="BI618" s="121" t="str">
        <f>IF('Cable Info'!V322="","",CONCATENATE('Cable Info'!V322," - ",'Cable Info'!W322))</f>
        <v/>
      </c>
      <c r="BL618" s="121" t="str">
        <f t="shared" si="137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38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39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0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1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2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3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38"/>
        <v>#N/A</v>
      </c>
      <c r="AO620" s="121" t="e">
        <f>IF('Cable Info'!N324="","",CONCATENATE('Cable Info'!N324," - ",'Cable Info'!O324))</f>
        <v>#N/A</v>
      </c>
      <c r="AR620" s="121" t="e">
        <f t="shared" si="139"/>
        <v>#N/A</v>
      </c>
      <c r="AT620" s="121" t="e">
        <f>IF('Cable Info'!P324="","",CONCATENATE('Cable Info'!P324," - ",'Cable Info'!Q324))</f>
        <v>#N/A</v>
      </c>
      <c r="AW620" s="121" t="e">
        <f t="shared" si="140"/>
        <v>#N/A</v>
      </c>
      <c r="AY620" s="121" t="str">
        <f>IF('Cable Info'!R324="","",CONCATENATE('Cable Info'!R324," - ",'Cable Info'!S324))</f>
        <v/>
      </c>
      <c r="BB620" s="121" t="str">
        <f t="shared" si="141"/>
        <v/>
      </c>
      <c r="BD620" s="121" t="str">
        <f>IF('Cable Info'!T324="","",CONCATENATE('Cable Info'!T324," - ",'Cable Info'!U324))</f>
        <v/>
      </c>
      <c r="BG620" s="121" t="str">
        <f t="shared" si="142"/>
        <v/>
      </c>
      <c r="BI620" s="121" t="str">
        <f>IF('Cable Info'!V324="","",CONCATENATE('Cable Info'!V324," - ",'Cable Info'!W324))</f>
        <v/>
      </c>
      <c r="BL620" s="121" t="str">
        <f t="shared" si="143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38"/>
        <v>#N/A</v>
      </c>
      <c r="AO621" s="121" t="e">
        <f>IF('Cable Info'!N325="","",CONCATENATE('Cable Info'!N325," - ",'Cable Info'!O325))</f>
        <v>#N/A</v>
      </c>
      <c r="AR621" s="121" t="e">
        <f t="shared" si="139"/>
        <v>#N/A</v>
      </c>
      <c r="AT621" s="121" t="e">
        <f>IF('Cable Info'!P325="","",CONCATENATE('Cable Info'!P325," - ",'Cable Info'!Q325))</f>
        <v>#N/A</v>
      </c>
      <c r="AW621" s="121" t="e">
        <f t="shared" si="140"/>
        <v>#N/A</v>
      </c>
      <c r="AY621" s="121" t="str">
        <f>IF('Cable Info'!R325="","",CONCATENATE('Cable Info'!R325," - ",'Cable Info'!S325))</f>
        <v/>
      </c>
      <c r="BB621" s="121" t="str">
        <f t="shared" si="141"/>
        <v/>
      </c>
      <c r="BD621" s="121" t="str">
        <f>IF('Cable Info'!T325="","",CONCATENATE('Cable Info'!T325," - ",'Cable Info'!U325))</f>
        <v/>
      </c>
      <c r="BG621" s="121" t="str">
        <f t="shared" si="142"/>
        <v/>
      </c>
      <c r="BI621" s="121" t="str">
        <f>IF('Cable Info'!V325="","",CONCATENATE('Cable Info'!V325," - ",'Cable Info'!W325))</f>
        <v/>
      </c>
      <c r="BL621" s="121" t="str">
        <f t="shared" si="143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38"/>
        <v>#N/A</v>
      </c>
      <c r="AO622" s="121" t="e">
        <f>IF('Cable Info'!N326="","",CONCATENATE('Cable Info'!N326," - ",'Cable Info'!O326))</f>
        <v>#N/A</v>
      </c>
      <c r="AR622" s="121" t="e">
        <f t="shared" si="139"/>
        <v>#N/A</v>
      </c>
      <c r="AT622" s="121" t="e">
        <f>IF('Cable Info'!P326="","",CONCATENATE('Cable Info'!P326," - ",'Cable Info'!Q326))</f>
        <v>#N/A</v>
      </c>
      <c r="AW622" s="121" t="e">
        <f t="shared" si="140"/>
        <v>#N/A</v>
      </c>
      <c r="AY622" s="121" t="str">
        <f>IF('Cable Info'!R326="","",CONCATENATE('Cable Info'!R326," - ",'Cable Info'!S326))</f>
        <v/>
      </c>
      <c r="BB622" s="121" t="str">
        <f t="shared" si="141"/>
        <v/>
      </c>
      <c r="BD622" s="121" t="str">
        <f>IF('Cable Info'!T326="","",CONCATENATE('Cable Info'!T326," - ",'Cable Info'!U326))</f>
        <v/>
      </c>
      <c r="BG622" s="121" t="str">
        <f t="shared" si="142"/>
        <v/>
      </c>
      <c r="BI622" s="121" t="str">
        <f>IF('Cable Info'!V326="","",CONCATENATE('Cable Info'!V326," - ",'Cable Info'!W326))</f>
        <v/>
      </c>
      <c r="BL622" s="121" t="str">
        <f t="shared" si="143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38"/>
        <v>#N/A</v>
      </c>
      <c r="AO623" s="121" t="e">
        <f>IF('Cable Info'!N327="","",CONCATENATE('Cable Info'!N327," - ",'Cable Info'!O327))</f>
        <v>#N/A</v>
      </c>
      <c r="AR623" s="121" t="e">
        <f t="shared" si="139"/>
        <v>#N/A</v>
      </c>
      <c r="AT623" s="121" t="e">
        <f>IF('Cable Info'!P327="","",CONCATENATE('Cable Info'!P327," - ",'Cable Info'!Q327))</f>
        <v>#N/A</v>
      </c>
      <c r="AW623" s="121" t="e">
        <f t="shared" si="140"/>
        <v>#N/A</v>
      </c>
      <c r="AY623" s="121" t="str">
        <f>IF('Cable Info'!R327="","",CONCATENATE('Cable Info'!R327," - ",'Cable Info'!S327))</f>
        <v/>
      </c>
      <c r="BB623" s="121" t="str">
        <f t="shared" si="141"/>
        <v/>
      </c>
      <c r="BD623" s="121" t="str">
        <f>IF('Cable Info'!T327="","",CONCATENATE('Cable Info'!T327," - ",'Cable Info'!U327))</f>
        <v/>
      </c>
      <c r="BG623" s="121" t="str">
        <f t="shared" si="142"/>
        <v/>
      </c>
      <c r="BI623" s="121" t="str">
        <f>IF('Cable Info'!V327="","",CONCATENATE('Cable Info'!V327," - ",'Cable Info'!W327))</f>
        <v/>
      </c>
      <c r="BL623" s="121" t="str">
        <f t="shared" si="143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38"/>
        <v>#N/A</v>
      </c>
      <c r="AO624" s="121" t="e">
        <f>IF('Cable Info'!N328="","",CONCATENATE('Cable Info'!N328," - ",'Cable Info'!O328))</f>
        <v>#N/A</v>
      </c>
      <c r="AR624" s="121" t="e">
        <f t="shared" si="139"/>
        <v>#N/A</v>
      </c>
      <c r="AT624" s="121" t="e">
        <f>IF('Cable Info'!P328="","",CONCATENATE('Cable Info'!P328," - ",'Cable Info'!Q328))</f>
        <v>#N/A</v>
      </c>
      <c r="AW624" s="121" t="e">
        <f t="shared" si="140"/>
        <v>#N/A</v>
      </c>
      <c r="AY624" s="121" t="str">
        <f>IF('Cable Info'!R328="","",CONCATENATE('Cable Info'!R328," - ",'Cable Info'!S328))</f>
        <v/>
      </c>
      <c r="BB624" s="121" t="str">
        <f t="shared" si="141"/>
        <v/>
      </c>
      <c r="BD624" s="121" t="str">
        <f>IF('Cable Info'!T328="","",CONCATENATE('Cable Info'!T328," - ",'Cable Info'!U328))</f>
        <v/>
      </c>
      <c r="BG624" s="121" t="str">
        <f t="shared" si="142"/>
        <v/>
      </c>
      <c r="BI624" s="121" t="str">
        <f>IF('Cable Info'!V328="","",CONCATENATE('Cable Info'!V328," - ",'Cable Info'!W328))</f>
        <v/>
      </c>
      <c r="BL624" s="121" t="str">
        <f t="shared" si="143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38"/>
        <v>#N/A</v>
      </c>
      <c r="AO625" s="121" t="e">
        <f>IF('Cable Info'!N329="","",CONCATENATE('Cable Info'!N329," - ",'Cable Info'!O329))</f>
        <v>#N/A</v>
      </c>
      <c r="AR625" s="121" t="e">
        <f t="shared" si="139"/>
        <v>#N/A</v>
      </c>
      <c r="AT625" s="121" t="e">
        <f>IF('Cable Info'!P329="","",CONCATENATE('Cable Info'!P329," - ",'Cable Info'!Q329))</f>
        <v>#N/A</v>
      </c>
      <c r="AW625" s="121" t="e">
        <f t="shared" si="140"/>
        <v>#N/A</v>
      </c>
      <c r="AY625" s="121" t="str">
        <f>IF('Cable Info'!R329="","",CONCATENATE('Cable Info'!R329," - ",'Cable Info'!S329))</f>
        <v/>
      </c>
      <c r="BB625" s="121" t="str">
        <f t="shared" si="141"/>
        <v/>
      </c>
      <c r="BD625" s="121" t="str">
        <f>IF('Cable Info'!T329="","",CONCATENATE('Cable Info'!T329," - ",'Cable Info'!U329))</f>
        <v/>
      </c>
      <c r="BG625" s="121" t="str">
        <f t="shared" si="142"/>
        <v/>
      </c>
      <c r="BI625" s="121" t="str">
        <f>IF('Cable Info'!V329="","",CONCATENATE('Cable Info'!V329," - ",'Cable Info'!W329))</f>
        <v/>
      </c>
      <c r="BL625" s="121" t="str">
        <f t="shared" si="143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38"/>
        <v>#N/A</v>
      </c>
      <c r="AO626" s="121" t="e">
        <f>IF('Cable Info'!N330="","",CONCATENATE('Cable Info'!N330," - ",'Cable Info'!O330))</f>
        <v>#N/A</v>
      </c>
      <c r="AR626" s="121" t="e">
        <f t="shared" si="139"/>
        <v>#N/A</v>
      </c>
      <c r="AT626" s="121" t="e">
        <f>IF('Cable Info'!P330="","",CONCATENATE('Cable Info'!P330," - ",'Cable Info'!Q330))</f>
        <v>#N/A</v>
      </c>
      <c r="AW626" s="121" t="e">
        <f t="shared" si="140"/>
        <v>#N/A</v>
      </c>
      <c r="AY626" s="121" t="str">
        <f>IF('Cable Info'!R330="","",CONCATENATE('Cable Info'!R330," - ",'Cable Info'!S330))</f>
        <v/>
      </c>
      <c r="BB626" s="121" t="str">
        <f t="shared" si="141"/>
        <v/>
      </c>
      <c r="BD626" s="121" t="str">
        <f>IF('Cable Info'!T330="","",CONCATENATE('Cable Info'!T330," - ",'Cable Info'!U330))</f>
        <v/>
      </c>
      <c r="BG626" s="121" t="str">
        <f t="shared" si="142"/>
        <v/>
      </c>
      <c r="BI626" s="121" t="str">
        <f>IF('Cable Info'!V330="","",CONCATENATE('Cable Info'!V330," - ",'Cable Info'!W330))</f>
        <v/>
      </c>
      <c r="BL626" s="121" t="str">
        <f t="shared" si="143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38"/>
        <v>#N/A</v>
      </c>
      <c r="AO627" s="121" t="e">
        <f>IF('Cable Info'!N331="","",CONCATENATE('Cable Info'!N331," - ",'Cable Info'!O331))</f>
        <v>#N/A</v>
      </c>
      <c r="AR627" s="121" t="e">
        <f t="shared" si="139"/>
        <v>#N/A</v>
      </c>
      <c r="AT627" s="121" t="e">
        <f>IF('Cable Info'!P331="","",CONCATENATE('Cable Info'!P331," - ",'Cable Info'!Q331))</f>
        <v>#N/A</v>
      </c>
      <c r="AW627" s="121" t="e">
        <f t="shared" si="140"/>
        <v>#N/A</v>
      </c>
      <c r="AY627" s="121" t="str">
        <f>IF('Cable Info'!R331="","",CONCATENATE('Cable Info'!R331," - ",'Cable Info'!S331))</f>
        <v/>
      </c>
      <c r="BB627" s="121" t="str">
        <f t="shared" si="141"/>
        <v/>
      </c>
      <c r="BD627" s="121" t="str">
        <f>IF('Cable Info'!T331="","",CONCATENATE('Cable Info'!T331," - ",'Cable Info'!U331))</f>
        <v/>
      </c>
      <c r="BG627" s="121" t="str">
        <f t="shared" si="142"/>
        <v/>
      </c>
      <c r="BI627" s="121" t="str">
        <f>IF('Cable Info'!V331="","",CONCATENATE('Cable Info'!V331," - ",'Cable Info'!W331))</f>
        <v/>
      </c>
      <c r="BL627" s="121" t="str">
        <f t="shared" si="143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38"/>
        <v>#N/A</v>
      </c>
      <c r="AO628" s="121" t="e">
        <f>IF('Cable Info'!N332="","",CONCATENATE('Cable Info'!N332," - ",'Cable Info'!O332))</f>
        <v>#N/A</v>
      </c>
      <c r="AR628" s="121" t="e">
        <f t="shared" si="139"/>
        <v>#N/A</v>
      </c>
      <c r="AT628" s="121" t="e">
        <f>IF('Cable Info'!P332="","",CONCATENATE('Cable Info'!P332," - ",'Cable Info'!Q332))</f>
        <v>#N/A</v>
      </c>
      <c r="AW628" s="121" t="e">
        <f t="shared" si="140"/>
        <v>#N/A</v>
      </c>
      <c r="AY628" s="121" t="str">
        <f>IF('Cable Info'!R332="","",CONCATENATE('Cable Info'!R332," - ",'Cable Info'!S332))</f>
        <v/>
      </c>
      <c r="BB628" s="121" t="str">
        <f t="shared" si="141"/>
        <v/>
      </c>
      <c r="BD628" s="121" t="str">
        <f>IF('Cable Info'!T332="","",CONCATENATE('Cable Info'!T332," - ",'Cable Info'!U332))</f>
        <v/>
      </c>
      <c r="BG628" s="121" t="str">
        <f t="shared" si="142"/>
        <v/>
      </c>
      <c r="BI628" s="121" t="str">
        <f>IF('Cable Info'!V332="","",CONCATENATE('Cable Info'!V332," - ",'Cable Info'!W332))</f>
        <v/>
      </c>
      <c r="BL628" s="121" t="str">
        <f t="shared" si="143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38"/>
        <v>#N/A</v>
      </c>
      <c r="AO629" s="121" t="e">
        <f>IF('Cable Info'!N333="","",CONCATENATE('Cable Info'!N333," - ",'Cable Info'!O333))</f>
        <v>#N/A</v>
      </c>
      <c r="AR629" s="121" t="e">
        <f t="shared" si="139"/>
        <v>#N/A</v>
      </c>
      <c r="AT629" s="121" t="e">
        <f>IF('Cable Info'!P333="","",CONCATENATE('Cable Info'!P333," - ",'Cable Info'!Q333))</f>
        <v>#N/A</v>
      </c>
      <c r="AW629" s="121" t="e">
        <f t="shared" si="140"/>
        <v>#N/A</v>
      </c>
      <c r="AY629" s="121" t="str">
        <f>IF('Cable Info'!R333="","",CONCATENATE('Cable Info'!R333," - ",'Cable Info'!S333))</f>
        <v/>
      </c>
      <c r="BB629" s="121" t="str">
        <f t="shared" si="141"/>
        <v/>
      </c>
      <c r="BD629" s="121" t="str">
        <f>IF('Cable Info'!T333="","",CONCATENATE('Cable Info'!T333," - ",'Cable Info'!U333))</f>
        <v/>
      </c>
      <c r="BG629" s="121" t="str">
        <f t="shared" si="142"/>
        <v/>
      </c>
      <c r="BI629" s="121" t="str">
        <f>IF('Cable Info'!V333="","",CONCATENATE('Cable Info'!V333," - ",'Cable Info'!W333))</f>
        <v/>
      </c>
      <c r="BL629" s="121" t="str">
        <f t="shared" si="143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38"/>
        <v>#N/A</v>
      </c>
      <c r="AO630" s="121" t="e">
        <f>IF('Cable Info'!N334="","",CONCATENATE('Cable Info'!N334," - ",'Cable Info'!O334))</f>
        <v>#N/A</v>
      </c>
      <c r="AR630" s="121" t="e">
        <f t="shared" si="139"/>
        <v>#N/A</v>
      </c>
      <c r="AT630" s="121" t="e">
        <f>IF('Cable Info'!P334="","",CONCATENATE('Cable Info'!P334," - ",'Cable Info'!Q334))</f>
        <v>#N/A</v>
      </c>
      <c r="AW630" s="121" t="e">
        <f t="shared" si="140"/>
        <v>#N/A</v>
      </c>
      <c r="AY630" s="121" t="str">
        <f>IF('Cable Info'!R334="","",CONCATENATE('Cable Info'!R334," - ",'Cable Info'!S334))</f>
        <v/>
      </c>
      <c r="BB630" s="121" t="str">
        <f t="shared" si="141"/>
        <v/>
      </c>
      <c r="BD630" s="121" t="str">
        <f>IF('Cable Info'!T334="","",CONCATENATE('Cable Info'!T334," - ",'Cable Info'!U334))</f>
        <v/>
      </c>
      <c r="BG630" s="121" t="str">
        <f t="shared" si="142"/>
        <v/>
      </c>
      <c r="BI630" s="121" t="str">
        <f>IF('Cable Info'!V334="","",CONCATENATE('Cable Info'!V334," - ",'Cable Info'!W334))</f>
        <v/>
      </c>
      <c r="BL630" s="121" t="str">
        <f t="shared" si="143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38"/>
        <v>#N/A</v>
      </c>
      <c r="AO631" s="121" t="e">
        <f>IF('Cable Info'!N335="","",CONCATENATE('Cable Info'!N335," - ",'Cable Info'!O335))</f>
        <v>#N/A</v>
      </c>
      <c r="AR631" s="121" t="e">
        <f t="shared" si="139"/>
        <v>#N/A</v>
      </c>
      <c r="AT631" s="121" t="e">
        <f>IF('Cable Info'!P335="","",CONCATENATE('Cable Info'!P335," - ",'Cable Info'!Q335))</f>
        <v>#N/A</v>
      </c>
      <c r="AW631" s="121" t="e">
        <f t="shared" si="140"/>
        <v>#N/A</v>
      </c>
      <c r="AY631" s="121" t="str">
        <f>IF('Cable Info'!R335="","",CONCATENATE('Cable Info'!R335," - ",'Cable Info'!S335))</f>
        <v/>
      </c>
      <c r="BB631" s="121" t="str">
        <f t="shared" si="141"/>
        <v/>
      </c>
      <c r="BD631" s="121" t="str">
        <f>IF('Cable Info'!T335="","",CONCATENATE('Cable Info'!T335," - ",'Cable Info'!U335))</f>
        <v/>
      </c>
      <c r="BG631" s="121" t="str">
        <f t="shared" si="142"/>
        <v/>
      </c>
      <c r="BI631" s="121" t="str">
        <f>IF('Cable Info'!V335="","",CONCATENATE('Cable Info'!V335," - ",'Cable Info'!W335))</f>
        <v/>
      </c>
      <c r="BL631" s="121" t="str">
        <f t="shared" si="143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38"/>
        <v>#N/A</v>
      </c>
      <c r="AO632" s="121" t="e">
        <f>IF('Cable Info'!N336="","",CONCATENATE('Cable Info'!N336," - ",'Cable Info'!O336))</f>
        <v>#N/A</v>
      </c>
      <c r="AR632" s="121" t="e">
        <f t="shared" si="139"/>
        <v>#N/A</v>
      </c>
      <c r="AT632" s="121" t="e">
        <f>IF('Cable Info'!P336="","",CONCATENATE('Cable Info'!P336," - ",'Cable Info'!Q336))</f>
        <v>#N/A</v>
      </c>
      <c r="AW632" s="121" t="e">
        <f t="shared" si="140"/>
        <v>#N/A</v>
      </c>
      <c r="AY632" s="121" t="str">
        <f>IF('Cable Info'!R336="","",CONCATENATE('Cable Info'!R336," - ",'Cable Info'!S336))</f>
        <v/>
      </c>
      <c r="BB632" s="121" t="str">
        <f t="shared" si="141"/>
        <v/>
      </c>
      <c r="BD632" s="121" t="str">
        <f>IF('Cable Info'!T336="","",CONCATENATE('Cable Info'!T336," - ",'Cable Info'!U336))</f>
        <v/>
      </c>
      <c r="BG632" s="121" t="str">
        <f t="shared" si="142"/>
        <v/>
      </c>
      <c r="BI632" s="121" t="str">
        <f>IF('Cable Info'!V336="","",CONCATENATE('Cable Info'!V336," - ",'Cable Info'!W336))</f>
        <v/>
      </c>
      <c r="BL632" s="121" t="str">
        <f t="shared" si="143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38"/>
        <v>#N/A</v>
      </c>
      <c r="AO633" s="121" t="e">
        <f>IF('Cable Info'!N337="","",CONCATENATE('Cable Info'!N337," - ",'Cable Info'!O337))</f>
        <v>#N/A</v>
      </c>
      <c r="AR633" s="121" t="e">
        <f t="shared" si="139"/>
        <v>#N/A</v>
      </c>
      <c r="AT633" s="121" t="e">
        <f>IF('Cable Info'!P337="","",CONCATENATE('Cable Info'!P337," - ",'Cable Info'!Q337))</f>
        <v>#N/A</v>
      </c>
      <c r="AW633" s="121" t="e">
        <f t="shared" si="140"/>
        <v>#N/A</v>
      </c>
      <c r="AY633" s="121" t="str">
        <f>IF('Cable Info'!R337="","",CONCATENATE('Cable Info'!R337," - ",'Cable Info'!S337))</f>
        <v/>
      </c>
      <c r="BB633" s="121" t="str">
        <f t="shared" si="141"/>
        <v/>
      </c>
      <c r="BD633" s="121" t="str">
        <f>IF('Cable Info'!T337="","",CONCATENATE('Cable Info'!T337," - ",'Cable Info'!U337))</f>
        <v/>
      </c>
      <c r="BG633" s="121" t="str">
        <f t="shared" si="142"/>
        <v/>
      </c>
      <c r="BI633" s="121" t="str">
        <f>IF('Cable Info'!V337="","",CONCATENATE('Cable Info'!V337," - ",'Cable Info'!W337))</f>
        <v/>
      </c>
      <c r="BL633" s="121" t="str">
        <f t="shared" si="143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38"/>
        <v>#N/A</v>
      </c>
      <c r="AO634" s="121" t="e">
        <f>IF('Cable Info'!N338="","",CONCATENATE('Cable Info'!N338," - ",'Cable Info'!O338))</f>
        <v>#N/A</v>
      </c>
      <c r="AR634" s="121" t="e">
        <f t="shared" si="139"/>
        <v>#N/A</v>
      </c>
      <c r="AT634" s="121" t="e">
        <f>IF('Cable Info'!P338="","",CONCATENATE('Cable Info'!P338," - ",'Cable Info'!Q338))</f>
        <v>#N/A</v>
      </c>
      <c r="AW634" s="121" t="e">
        <f t="shared" si="140"/>
        <v>#N/A</v>
      </c>
      <c r="AY634" s="121" t="str">
        <f>IF('Cable Info'!R338="","",CONCATENATE('Cable Info'!R338," - ",'Cable Info'!S338))</f>
        <v/>
      </c>
      <c r="BB634" s="121" t="str">
        <f t="shared" si="141"/>
        <v/>
      </c>
      <c r="BD634" s="121" t="str">
        <f>IF('Cable Info'!T338="","",CONCATENATE('Cable Info'!T338," - ",'Cable Info'!U338))</f>
        <v/>
      </c>
      <c r="BG634" s="121" t="str">
        <f t="shared" si="142"/>
        <v/>
      </c>
      <c r="BI634" s="121" t="str">
        <f>IF('Cable Info'!V338="","",CONCATENATE('Cable Info'!V338," - ",'Cable Info'!W338))</f>
        <v/>
      </c>
      <c r="BL634" s="121" t="str">
        <f t="shared" si="143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38"/>
        <v>#N/A</v>
      </c>
      <c r="AO635" s="121" t="e">
        <f>IF('Cable Info'!N339="","",CONCATENATE('Cable Info'!N339," - ",'Cable Info'!O339))</f>
        <v>#N/A</v>
      </c>
      <c r="AR635" s="121" t="e">
        <f t="shared" si="139"/>
        <v>#N/A</v>
      </c>
      <c r="AT635" s="121" t="e">
        <f>IF('Cable Info'!P339="","",CONCATENATE('Cable Info'!P339," - ",'Cable Info'!Q339))</f>
        <v>#N/A</v>
      </c>
      <c r="AW635" s="121" t="e">
        <f t="shared" si="140"/>
        <v>#N/A</v>
      </c>
      <c r="AY635" s="121" t="str">
        <f>IF('Cable Info'!R339="","",CONCATENATE('Cable Info'!R339," - ",'Cable Info'!S339))</f>
        <v/>
      </c>
      <c r="BB635" s="121" t="str">
        <f t="shared" si="141"/>
        <v/>
      </c>
      <c r="BD635" s="121" t="str">
        <f>IF('Cable Info'!T339="","",CONCATENATE('Cable Info'!T339," - ",'Cable Info'!U339))</f>
        <v/>
      </c>
      <c r="BG635" s="121" t="str">
        <f t="shared" si="142"/>
        <v/>
      </c>
      <c r="BI635" s="121" t="str">
        <f>IF('Cable Info'!V339="","",CONCATENATE('Cable Info'!V339," - ",'Cable Info'!W339))</f>
        <v/>
      </c>
      <c r="BL635" s="121" t="str">
        <f t="shared" si="143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38"/>
        <v>#N/A</v>
      </c>
      <c r="AO636" s="121" t="e">
        <f>IF('Cable Info'!N340="","",CONCATENATE('Cable Info'!N340," - ",'Cable Info'!O340))</f>
        <v>#N/A</v>
      </c>
      <c r="AR636" s="121" t="e">
        <f t="shared" si="139"/>
        <v>#N/A</v>
      </c>
      <c r="AT636" s="121" t="e">
        <f>IF('Cable Info'!P340="","",CONCATENATE('Cable Info'!P340," - ",'Cable Info'!Q340))</f>
        <v>#N/A</v>
      </c>
      <c r="AW636" s="121" t="e">
        <f t="shared" si="140"/>
        <v>#N/A</v>
      </c>
      <c r="AY636" s="121" t="str">
        <f>IF('Cable Info'!R340="","",CONCATENATE('Cable Info'!R340," - ",'Cable Info'!S340))</f>
        <v/>
      </c>
      <c r="BB636" s="121" t="str">
        <f t="shared" si="141"/>
        <v/>
      </c>
      <c r="BD636" s="121" t="str">
        <f>IF('Cable Info'!T340="","",CONCATENATE('Cable Info'!T340," - ",'Cable Info'!U340))</f>
        <v/>
      </c>
      <c r="BG636" s="121" t="str">
        <f t="shared" si="142"/>
        <v/>
      </c>
      <c r="BI636" s="121" t="str">
        <f>IF('Cable Info'!V340="","",CONCATENATE('Cable Info'!V340," - ",'Cable Info'!W340))</f>
        <v/>
      </c>
      <c r="BL636" s="121" t="str">
        <f t="shared" si="143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38"/>
        <v>#N/A</v>
      </c>
      <c r="AO637" s="121" t="e">
        <f>IF('Cable Info'!N341="","",CONCATENATE('Cable Info'!N341," - ",'Cable Info'!O341))</f>
        <v>#N/A</v>
      </c>
      <c r="AR637" s="121" t="e">
        <f t="shared" si="139"/>
        <v>#N/A</v>
      </c>
      <c r="AT637" s="121" t="e">
        <f>IF('Cable Info'!P341="","",CONCATENATE('Cable Info'!P341," - ",'Cable Info'!Q341))</f>
        <v>#N/A</v>
      </c>
      <c r="AW637" s="121" t="e">
        <f t="shared" si="140"/>
        <v>#N/A</v>
      </c>
      <c r="AY637" s="121" t="str">
        <f>IF('Cable Info'!R341="","",CONCATENATE('Cable Info'!R341," - ",'Cable Info'!S341))</f>
        <v/>
      </c>
      <c r="BB637" s="121" t="str">
        <f t="shared" si="141"/>
        <v/>
      </c>
      <c r="BD637" s="121" t="str">
        <f>IF('Cable Info'!T341="","",CONCATENATE('Cable Info'!T341," - ",'Cable Info'!U341))</f>
        <v/>
      </c>
      <c r="BG637" s="121" t="str">
        <f t="shared" si="142"/>
        <v/>
      </c>
      <c r="BI637" s="121" t="str">
        <f>IF('Cable Info'!V341="","",CONCATENATE('Cable Info'!V341," - ",'Cable Info'!W341))</f>
        <v/>
      </c>
      <c r="BL637" s="121" t="str">
        <f t="shared" si="143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38"/>
        <v>#N/A</v>
      </c>
      <c r="AO638" s="121" t="e">
        <f>IF('Cable Info'!N342="","",CONCATENATE('Cable Info'!N342," - ",'Cable Info'!O342))</f>
        <v>#N/A</v>
      </c>
      <c r="AR638" s="121" t="e">
        <f t="shared" si="139"/>
        <v>#N/A</v>
      </c>
      <c r="AT638" s="121" t="e">
        <f>IF('Cable Info'!P342="","",CONCATENATE('Cable Info'!P342," - ",'Cable Info'!Q342))</f>
        <v>#N/A</v>
      </c>
      <c r="AW638" s="121" t="e">
        <f t="shared" si="140"/>
        <v>#N/A</v>
      </c>
      <c r="AY638" s="121" t="str">
        <f>IF('Cable Info'!R342="","",CONCATENATE('Cable Info'!R342," - ",'Cable Info'!S342))</f>
        <v/>
      </c>
      <c r="BB638" s="121" t="str">
        <f t="shared" si="141"/>
        <v/>
      </c>
      <c r="BD638" s="121" t="str">
        <f>IF('Cable Info'!T342="","",CONCATENATE('Cable Info'!T342," - ",'Cable Info'!U342))</f>
        <v/>
      </c>
      <c r="BG638" s="121" t="str">
        <f t="shared" si="142"/>
        <v/>
      </c>
      <c r="BI638" s="121" t="str">
        <f>IF('Cable Info'!V342="","",CONCATENATE('Cable Info'!V342," - ",'Cable Info'!W342))</f>
        <v/>
      </c>
      <c r="BL638" s="121" t="str">
        <f t="shared" si="143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38"/>
        <v>#N/A</v>
      </c>
      <c r="AO639" s="121" t="e">
        <f>IF('Cable Info'!N343="","",CONCATENATE('Cable Info'!N343," - ",'Cable Info'!O343))</f>
        <v>#N/A</v>
      </c>
      <c r="AR639" s="121" t="e">
        <f t="shared" si="139"/>
        <v>#N/A</v>
      </c>
      <c r="AT639" s="121" t="e">
        <f>IF('Cable Info'!P343="","",CONCATENATE('Cable Info'!P343," - ",'Cable Info'!Q343))</f>
        <v>#N/A</v>
      </c>
      <c r="AW639" s="121" t="e">
        <f t="shared" si="140"/>
        <v>#N/A</v>
      </c>
      <c r="AY639" s="121" t="str">
        <f>IF('Cable Info'!R343="","",CONCATENATE('Cable Info'!R343," - ",'Cable Info'!S343))</f>
        <v/>
      </c>
      <c r="BB639" s="121" t="str">
        <f t="shared" si="141"/>
        <v/>
      </c>
      <c r="BD639" s="121" t="str">
        <f>IF('Cable Info'!T343="","",CONCATENATE('Cable Info'!T343," - ",'Cable Info'!U343))</f>
        <v/>
      </c>
      <c r="BG639" s="121" t="str">
        <f t="shared" si="142"/>
        <v/>
      </c>
      <c r="BI639" s="121" t="str">
        <f>IF('Cable Info'!V343="","",CONCATENATE('Cable Info'!V343," - ",'Cable Info'!W343))</f>
        <v/>
      </c>
      <c r="BL639" s="121" t="str">
        <f t="shared" si="143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38"/>
        <v>#N/A</v>
      </c>
      <c r="AO640" s="121" t="e">
        <f>IF('Cable Info'!N344="","",CONCATENATE('Cable Info'!N344," - ",'Cable Info'!O344))</f>
        <v>#N/A</v>
      </c>
      <c r="AR640" s="121" t="e">
        <f t="shared" si="139"/>
        <v>#N/A</v>
      </c>
      <c r="AT640" s="121" t="e">
        <f>IF('Cable Info'!P344="","",CONCATENATE('Cable Info'!P344," - ",'Cable Info'!Q344))</f>
        <v>#N/A</v>
      </c>
      <c r="AW640" s="121" t="e">
        <f t="shared" si="140"/>
        <v>#N/A</v>
      </c>
      <c r="AY640" s="121" t="str">
        <f>IF('Cable Info'!R344="","",CONCATENATE('Cable Info'!R344," - ",'Cable Info'!S344))</f>
        <v/>
      </c>
      <c r="BB640" s="121" t="str">
        <f t="shared" si="141"/>
        <v/>
      </c>
      <c r="BD640" s="121" t="str">
        <f>IF('Cable Info'!T344="","",CONCATENATE('Cable Info'!T344," - ",'Cable Info'!U344))</f>
        <v/>
      </c>
      <c r="BG640" s="121" t="str">
        <f t="shared" si="142"/>
        <v/>
      </c>
      <c r="BI640" s="121" t="str">
        <f>IF('Cable Info'!V344="","",CONCATENATE('Cable Info'!V344," - ",'Cable Info'!W344))</f>
        <v/>
      </c>
      <c r="BL640" s="121" t="str">
        <f t="shared" si="143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38"/>
        <v>#N/A</v>
      </c>
      <c r="AO641" s="121" t="e">
        <f>IF('Cable Info'!N345="","",CONCATENATE('Cable Info'!N345," - ",'Cable Info'!O345))</f>
        <v>#N/A</v>
      </c>
      <c r="AR641" s="121" t="e">
        <f t="shared" si="139"/>
        <v>#N/A</v>
      </c>
      <c r="AT641" s="121" t="e">
        <f>IF('Cable Info'!P345="","",CONCATENATE('Cable Info'!P345," - ",'Cable Info'!Q345))</f>
        <v>#N/A</v>
      </c>
      <c r="AW641" s="121" t="e">
        <f t="shared" si="140"/>
        <v>#N/A</v>
      </c>
      <c r="AY641" s="121" t="str">
        <f>IF('Cable Info'!R345="","",CONCATENATE('Cable Info'!R345," - ",'Cable Info'!S345))</f>
        <v/>
      </c>
      <c r="BB641" s="121" t="str">
        <f t="shared" si="141"/>
        <v/>
      </c>
      <c r="BD641" s="121" t="str">
        <f>IF('Cable Info'!T345="","",CONCATENATE('Cable Info'!T345," - ",'Cable Info'!U345))</f>
        <v/>
      </c>
      <c r="BG641" s="121" t="str">
        <f t="shared" si="142"/>
        <v/>
      </c>
      <c r="BI641" s="121" t="str">
        <f>IF('Cable Info'!V345="","",CONCATENATE('Cable Info'!V345," - ",'Cable Info'!W345))</f>
        <v/>
      </c>
      <c r="BL641" s="121" t="str">
        <f t="shared" si="143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38"/>
        <v>#N/A</v>
      </c>
      <c r="AO642" s="121" t="e">
        <f>IF('Cable Info'!N346="","",CONCATENATE('Cable Info'!N346," - ",'Cable Info'!O346))</f>
        <v>#N/A</v>
      </c>
      <c r="AR642" s="121" t="e">
        <f t="shared" si="139"/>
        <v>#N/A</v>
      </c>
      <c r="AT642" s="121" t="e">
        <f>IF('Cable Info'!P346="","",CONCATENATE('Cable Info'!P346," - ",'Cable Info'!Q346))</f>
        <v>#N/A</v>
      </c>
      <c r="AW642" s="121" t="e">
        <f t="shared" si="140"/>
        <v>#N/A</v>
      </c>
      <c r="AY642" s="121" t="str">
        <f>IF('Cable Info'!R346="","",CONCATENATE('Cable Info'!R346," - ",'Cable Info'!S346))</f>
        <v/>
      </c>
      <c r="BB642" s="121" t="str">
        <f t="shared" si="141"/>
        <v/>
      </c>
      <c r="BD642" s="121" t="str">
        <f>IF('Cable Info'!T346="","",CONCATENATE('Cable Info'!T346," - ",'Cable Info'!U346))</f>
        <v/>
      </c>
      <c r="BG642" s="121" t="str">
        <f t="shared" si="142"/>
        <v/>
      </c>
      <c r="BI642" s="121" t="str">
        <f>IF('Cable Info'!V346="","",CONCATENATE('Cable Info'!V346," - ",'Cable Info'!W346))</f>
        <v/>
      </c>
      <c r="BL642" s="121" t="str">
        <f t="shared" si="143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38"/>
        <v>#N/A</v>
      </c>
      <c r="AO643" s="121" t="e">
        <f>IF('Cable Info'!N347="","",CONCATENATE('Cable Info'!N347," - ",'Cable Info'!O347))</f>
        <v>#N/A</v>
      </c>
      <c r="AR643" s="121" t="e">
        <f t="shared" si="139"/>
        <v>#N/A</v>
      </c>
      <c r="AT643" s="121" t="e">
        <f>IF('Cable Info'!P347="","",CONCATENATE('Cable Info'!P347," - ",'Cable Info'!Q347))</f>
        <v>#N/A</v>
      </c>
      <c r="AW643" s="121" t="e">
        <f t="shared" si="140"/>
        <v>#N/A</v>
      </c>
      <c r="AY643" s="121" t="str">
        <f>IF('Cable Info'!R347="","",CONCATENATE('Cable Info'!R347," - ",'Cable Info'!S347))</f>
        <v/>
      </c>
      <c r="BB643" s="121" t="str">
        <f t="shared" si="141"/>
        <v/>
      </c>
      <c r="BD643" s="121" t="str">
        <f>IF('Cable Info'!T347="","",CONCATENATE('Cable Info'!T347," - ",'Cable Info'!U347))</f>
        <v/>
      </c>
      <c r="BG643" s="121" t="str">
        <f t="shared" si="142"/>
        <v/>
      </c>
      <c r="BI643" s="121" t="str">
        <f>IF('Cable Info'!V347="","",CONCATENATE('Cable Info'!V347," - ",'Cable Info'!W347))</f>
        <v/>
      </c>
      <c r="BL643" s="121" t="str">
        <f t="shared" si="143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38"/>
        <v>#N/A</v>
      </c>
      <c r="AO644" s="121" t="e">
        <f>IF('Cable Info'!N348="","",CONCATENATE('Cable Info'!N348," - ",'Cable Info'!O348))</f>
        <v>#N/A</v>
      </c>
      <c r="AR644" s="121" t="e">
        <f t="shared" si="139"/>
        <v>#N/A</v>
      </c>
      <c r="AT644" s="121" t="e">
        <f>IF('Cable Info'!P348="","",CONCATENATE('Cable Info'!P348," - ",'Cable Info'!Q348))</f>
        <v>#N/A</v>
      </c>
      <c r="AW644" s="121" t="e">
        <f t="shared" si="140"/>
        <v>#N/A</v>
      </c>
      <c r="AY644" s="121" t="str">
        <f>IF('Cable Info'!R348="","",CONCATENATE('Cable Info'!R348," - ",'Cable Info'!S348))</f>
        <v/>
      </c>
      <c r="BB644" s="121" t="str">
        <f t="shared" si="141"/>
        <v/>
      </c>
      <c r="BD644" s="121" t="str">
        <f>IF('Cable Info'!T348="","",CONCATENATE('Cable Info'!T348," - ",'Cable Info'!U348))</f>
        <v/>
      </c>
      <c r="BG644" s="121" t="str">
        <f t="shared" si="142"/>
        <v/>
      </c>
      <c r="BI644" s="121" t="str">
        <f>IF('Cable Info'!V348="","",CONCATENATE('Cable Info'!V348," - ",'Cable Info'!W348))</f>
        <v/>
      </c>
      <c r="BL644" s="121" t="str">
        <f t="shared" si="143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38"/>
        <v>#N/A</v>
      </c>
      <c r="AO645" s="121" t="e">
        <f>IF('Cable Info'!N349="","",CONCATENATE('Cable Info'!N349," - ",'Cable Info'!O349))</f>
        <v>#N/A</v>
      </c>
      <c r="AR645" s="121" t="e">
        <f t="shared" si="139"/>
        <v>#N/A</v>
      </c>
      <c r="AT645" s="121" t="e">
        <f>IF('Cable Info'!P349="","",CONCATENATE('Cable Info'!P349," - ",'Cable Info'!Q349))</f>
        <v>#N/A</v>
      </c>
      <c r="AW645" s="121" t="e">
        <f t="shared" si="140"/>
        <v>#N/A</v>
      </c>
      <c r="AY645" s="121" t="str">
        <f>IF('Cable Info'!R349="","",CONCATENATE('Cable Info'!R349," - ",'Cable Info'!S349))</f>
        <v/>
      </c>
      <c r="BB645" s="121" t="str">
        <f t="shared" si="141"/>
        <v/>
      </c>
      <c r="BD645" s="121" t="str">
        <f>IF('Cable Info'!T349="","",CONCATENATE('Cable Info'!T349," - ",'Cable Info'!U349))</f>
        <v/>
      </c>
      <c r="BG645" s="121" t="str">
        <f t="shared" si="142"/>
        <v/>
      </c>
      <c r="BI645" s="121" t="str">
        <f>IF('Cable Info'!V349="","",CONCATENATE('Cable Info'!V349," - ",'Cable Info'!W349))</f>
        <v/>
      </c>
      <c r="BL645" s="121" t="str">
        <f t="shared" si="143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38"/>
        <v>#N/A</v>
      </c>
      <c r="AO646" s="121" t="e">
        <f>IF('Cable Info'!N350="","",CONCATENATE('Cable Info'!N350," - ",'Cable Info'!O350))</f>
        <v>#N/A</v>
      </c>
      <c r="AR646" s="121" t="e">
        <f t="shared" si="139"/>
        <v>#N/A</v>
      </c>
      <c r="AT646" s="121" t="e">
        <f>IF('Cable Info'!P350="","",CONCATENATE('Cable Info'!P350," - ",'Cable Info'!Q350))</f>
        <v>#N/A</v>
      </c>
      <c r="AW646" s="121" t="e">
        <f t="shared" si="140"/>
        <v>#N/A</v>
      </c>
      <c r="AY646" s="121" t="str">
        <f>IF('Cable Info'!R350="","",CONCATENATE('Cable Info'!R350," - ",'Cable Info'!S350))</f>
        <v/>
      </c>
      <c r="BB646" s="121" t="str">
        <f t="shared" si="141"/>
        <v/>
      </c>
      <c r="BD646" s="121" t="str">
        <f>IF('Cable Info'!T350="","",CONCATENATE('Cable Info'!T350," - ",'Cable Info'!U350))</f>
        <v/>
      </c>
      <c r="BG646" s="121" t="str">
        <f t="shared" si="142"/>
        <v/>
      </c>
      <c r="BI646" s="121" t="str">
        <f>IF('Cable Info'!V350="","",CONCATENATE('Cable Info'!V350," - ",'Cable Info'!W350))</f>
        <v/>
      </c>
      <c r="BL646" s="121" t="str">
        <f t="shared" si="143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38"/>
        <v>#N/A</v>
      </c>
      <c r="AO647" s="121" t="e">
        <f>IF('Cable Info'!N351="","",CONCATENATE('Cable Info'!N351," - ",'Cable Info'!O351))</f>
        <v>#N/A</v>
      </c>
      <c r="AR647" s="121" t="e">
        <f t="shared" si="139"/>
        <v>#N/A</v>
      </c>
      <c r="AT647" s="121" t="e">
        <f>IF('Cable Info'!P351="","",CONCATENATE('Cable Info'!P351," - ",'Cable Info'!Q351))</f>
        <v>#N/A</v>
      </c>
      <c r="AW647" s="121" t="e">
        <f t="shared" si="140"/>
        <v>#N/A</v>
      </c>
      <c r="AY647" s="121" t="str">
        <f>IF('Cable Info'!R351="","",CONCATENATE('Cable Info'!R351," - ",'Cable Info'!S351))</f>
        <v/>
      </c>
      <c r="BB647" s="121" t="str">
        <f t="shared" si="141"/>
        <v/>
      </c>
      <c r="BD647" s="121" t="str">
        <f>IF('Cable Info'!T351="","",CONCATENATE('Cable Info'!T351," - ",'Cable Info'!U351))</f>
        <v/>
      </c>
      <c r="BG647" s="121" t="str">
        <f t="shared" si="142"/>
        <v/>
      </c>
      <c r="BI647" s="121" t="str">
        <f>IF('Cable Info'!V351="","",CONCATENATE('Cable Info'!V351," - ",'Cable Info'!W351))</f>
        <v/>
      </c>
      <c r="BL647" s="121" t="str">
        <f t="shared" si="143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38"/>
        <v>#N/A</v>
      </c>
      <c r="AO648" s="121" t="e">
        <f>IF('Cable Info'!N352="","",CONCATENATE('Cable Info'!N352," - ",'Cable Info'!O352))</f>
        <v>#N/A</v>
      </c>
      <c r="AR648" s="121" t="e">
        <f t="shared" si="139"/>
        <v>#N/A</v>
      </c>
      <c r="AT648" s="121" t="e">
        <f>IF('Cable Info'!P352="","",CONCATENATE('Cable Info'!P352," - ",'Cable Info'!Q352))</f>
        <v>#N/A</v>
      </c>
      <c r="AW648" s="121" t="e">
        <f t="shared" si="140"/>
        <v>#N/A</v>
      </c>
      <c r="AY648" s="121" t="str">
        <f>IF('Cable Info'!R352="","",CONCATENATE('Cable Info'!R352," - ",'Cable Info'!S352))</f>
        <v/>
      </c>
      <c r="BB648" s="121" t="str">
        <f t="shared" si="141"/>
        <v/>
      </c>
      <c r="BD648" s="121" t="str">
        <f>IF('Cable Info'!T352="","",CONCATENATE('Cable Info'!T352," - ",'Cable Info'!U352))</f>
        <v/>
      </c>
      <c r="BG648" s="121" t="str">
        <f t="shared" si="142"/>
        <v/>
      </c>
      <c r="BI648" s="121" t="str">
        <f>IF('Cable Info'!V352="","",CONCATENATE('Cable Info'!V352," - ",'Cable Info'!W352))</f>
        <v/>
      </c>
      <c r="BL648" s="121" t="str">
        <f t="shared" si="143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38"/>
        <v>#N/A</v>
      </c>
      <c r="AO649" s="121" t="e">
        <f>IF('Cable Info'!N353="","",CONCATENATE('Cable Info'!N353," - ",'Cable Info'!O353))</f>
        <v>#N/A</v>
      </c>
      <c r="AR649" s="121" t="e">
        <f t="shared" si="139"/>
        <v>#N/A</v>
      </c>
      <c r="AT649" s="121" t="e">
        <f>IF('Cable Info'!P353="","",CONCATENATE('Cable Info'!P353," - ",'Cable Info'!Q353))</f>
        <v>#N/A</v>
      </c>
      <c r="AW649" s="121" t="e">
        <f t="shared" si="140"/>
        <v>#N/A</v>
      </c>
      <c r="AY649" s="121" t="str">
        <f>IF('Cable Info'!R353="","",CONCATENATE('Cable Info'!R353," - ",'Cable Info'!S353))</f>
        <v/>
      </c>
      <c r="BB649" s="121" t="str">
        <f t="shared" si="141"/>
        <v/>
      </c>
      <c r="BD649" s="121" t="str">
        <f>IF('Cable Info'!T353="","",CONCATENATE('Cable Info'!T353," - ",'Cable Info'!U353))</f>
        <v/>
      </c>
      <c r="BG649" s="121" t="str">
        <f t="shared" si="142"/>
        <v/>
      </c>
      <c r="BI649" s="121" t="str">
        <f>IF('Cable Info'!V353="","",CONCATENATE('Cable Info'!V353," - ",'Cable Info'!W353))</f>
        <v/>
      </c>
      <c r="BL649" s="121" t="str">
        <f t="shared" si="143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38"/>
        <v>#N/A</v>
      </c>
      <c r="AO650" s="121" t="e">
        <f>IF('Cable Info'!N354="","",CONCATENATE('Cable Info'!N354," - ",'Cable Info'!O354))</f>
        <v>#N/A</v>
      </c>
      <c r="AR650" s="121" t="e">
        <f t="shared" si="139"/>
        <v>#N/A</v>
      </c>
      <c r="AT650" s="121" t="e">
        <f>IF('Cable Info'!P354="","",CONCATENATE('Cable Info'!P354," - ",'Cable Info'!Q354))</f>
        <v>#N/A</v>
      </c>
      <c r="AW650" s="121" t="e">
        <f t="shared" si="140"/>
        <v>#N/A</v>
      </c>
      <c r="AY650" s="121" t="str">
        <f>IF('Cable Info'!R354="","",CONCATENATE('Cable Info'!R354," - ",'Cable Info'!S354))</f>
        <v/>
      </c>
      <c r="BB650" s="121" t="str">
        <f t="shared" si="141"/>
        <v/>
      </c>
      <c r="BD650" s="121" t="str">
        <f>IF('Cable Info'!T354="","",CONCATENATE('Cable Info'!T354," - ",'Cable Info'!U354))</f>
        <v/>
      </c>
      <c r="BG650" s="121" t="str">
        <f t="shared" si="142"/>
        <v/>
      </c>
      <c r="BI650" s="121" t="str">
        <f>IF('Cable Info'!V354="","",CONCATENATE('Cable Info'!V354," - ",'Cable Info'!W354))</f>
        <v/>
      </c>
      <c r="BL650" s="121" t="str">
        <f t="shared" si="143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38"/>
        <v>#N/A</v>
      </c>
      <c r="AO651" s="121" t="e">
        <f>IF('Cable Info'!N355="","",CONCATENATE('Cable Info'!N355," - ",'Cable Info'!O355))</f>
        <v>#N/A</v>
      </c>
      <c r="AR651" s="121" t="e">
        <f t="shared" si="139"/>
        <v>#N/A</v>
      </c>
      <c r="AT651" s="121" t="e">
        <f>IF('Cable Info'!P355="","",CONCATENATE('Cable Info'!P355," - ",'Cable Info'!Q355))</f>
        <v>#N/A</v>
      </c>
      <c r="AW651" s="121" t="e">
        <f t="shared" si="140"/>
        <v>#N/A</v>
      </c>
      <c r="AY651" s="121" t="str">
        <f>IF('Cable Info'!R355="","",CONCATENATE('Cable Info'!R355," - ",'Cable Info'!S355))</f>
        <v/>
      </c>
      <c r="BB651" s="121" t="str">
        <f t="shared" si="141"/>
        <v/>
      </c>
      <c r="BD651" s="121" t="str">
        <f>IF('Cable Info'!T355="","",CONCATENATE('Cable Info'!T355," - ",'Cable Info'!U355))</f>
        <v/>
      </c>
      <c r="BG651" s="121" t="str">
        <f t="shared" si="142"/>
        <v/>
      </c>
      <c r="BI651" s="121" t="str">
        <f>IF('Cable Info'!V355="","",CONCATENATE('Cable Info'!V355," - ",'Cable Info'!W355))</f>
        <v/>
      </c>
      <c r="BL651" s="121" t="str">
        <f t="shared" si="143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38"/>
        <v>#N/A</v>
      </c>
      <c r="AO652" s="121" t="e">
        <f>IF('Cable Info'!N356="","",CONCATENATE('Cable Info'!N356," - ",'Cable Info'!O356))</f>
        <v>#N/A</v>
      </c>
      <c r="AR652" s="121" t="e">
        <f t="shared" si="139"/>
        <v>#N/A</v>
      </c>
      <c r="AT652" s="121" t="e">
        <f>IF('Cable Info'!P356="","",CONCATENATE('Cable Info'!P356," - ",'Cable Info'!Q356))</f>
        <v>#N/A</v>
      </c>
      <c r="AW652" s="121" t="e">
        <f t="shared" si="140"/>
        <v>#N/A</v>
      </c>
      <c r="AY652" s="121" t="str">
        <f>IF('Cable Info'!R356="","",CONCATENATE('Cable Info'!R356," - ",'Cable Info'!S356))</f>
        <v/>
      </c>
      <c r="BB652" s="121" t="str">
        <f t="shared" si="141"/>
        <v/>
      </c>
      <c r="BD652" s="121" t="str">
        <f>IF('Cable Info'!T356="","",CONCATENATE('Cable Info'!T356," - ",'Cable Info'!U356))</f>
        <v/>
      </c>
      <c r="BG652" s="121" t="str">
        <f t="shared" si="142"/>
        <v/>
      </c>
      <c r="BI652" s="121" t="str">
        <f>IF('Cable Info'!V356="","",CONCATENATE('Cable Info'!V356," - ",'Cable Info'!W356))</f>
        <v/>
      </c>
      <c r="BL652" s="121" t="str">
        <f t="shared" si="143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38"/>
        <v>#N/A</v>
      </c>
      <c r="AO653" s="121" t="e">
        <f>IF('Cable Info'!N357="","",CONCATENATE('Cable Info'!N357," - ",'Cable Info'!O357))</f>
        <v>#N/A</v>
      </c>
      <c r="AR653" s="121" t="e">
        <f t="shared" si="139"/>
        <v>#N/A</v>
      </c>
      <c r="AT653" s="121" t="e">
        <f>IF('Cable Info'!P357="","",CONCATENATE('Cable Info'!P357," - ",'Cable Info'!Q357))</f>
        <v>#N/A</v>
      </c>
      <c r="AW653" s="121" t="e">
        <f t="shared" si="140"/>
        <v>#N/A</v>
      </c>
      <c r="AY653" s="121" t="str">
        <f>IF('Cable Info'!R357="","",CONCATENATE('Cable Info'!R357," - ",'Cable Info'!S357))</f>
        <v/>
      </c>
      <c r="BB653" s="121" t="str">
        <f t="shared" si="141"/>
        <v/>
      </c>
      <c r="BD653" s="121" t="str">
        <f>IF('Cable Info'!T357="","",CONCATENATE('Cable Info'!T357," - ",'Cable Info'!U357))</f>
        <v/>
      </c>
      <c r="BG653" s="121" t="str">
        <f t="shared" si="142"/>
        <v/>
      </c>
      <c r="BI653" s="121" t="str">
        <f>IF('Cable Info'!V357="","",CONCATENATE('Cable Info'!V357," - ",'Cable Info'!W357))</f>
        <v/>
      </c>
      <c r="BL653" s="121" t="str">
        <f t="shared" si="143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38"/>
        <v>#N/A</v>
      </c>
      <c r="AO654" s="121" t="e">
        <f>IF('Cable Info'!N358="","",CONCATENATE('Cable Info'!N358," - ",'Cable Info'!O358))</f>
        <v>#N/A</v>
      </c>
      <c r="AR654" s="121" t="e">
        <f t="shared" si="139"/>
        <v>#N/A</v>
      </c>
      <c r="AT654" s="121" t="e">
        <f>IF('Cable Info'!P358="","",CONCATENATE('Cable Info'!P358," - ",'Cable Info'!Q358))</f>
        <v>#N/A</v>
      </c>
      <c r="AW654" s="121" t="e">
        <f t="shared" si="140"/>
        <v>#N/A</v>
      </c>
      <c r="AY654" s="121" t="str">
        <f>IF('Cable Info'!R358="","",CONCATENATE('Cable Info'!R358," - ",'Cable Info'!S358))</f>
        <v/>
      </c>
      <c r="BB654" s="121" t="str">
        <f t="shared" si="141"/>
        <v/>
      </c>
      <c r="BD654" s="121" t="str">
        <f>IF('Cable Info'!T358="","",CONCATENATE('Cable Info'!T358," - ",'Cable Info'!U358))</f>
        <v/>
      </c>
      <c r="BG654" s="121" t="str">
        <f t="shared" si="142"/>
        <v/>
      </c>
      <c r="BI654" s="121" t="str">
        <f>IF('Cable Info'!V358="","",CONCATENATE('Cable Info'!V358," - ",'Cable Info'!W358))</f>
        <v/>
      </c>
      <c r="BL654" s="121" t="str">
        <f t="shared" si="143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38"/>
        <v>#N/A</v>
      </c>
      <c r="AO655" s="121" t="e">
        <f>IF('Cable Info'!N359="","",CONCATENATE('Cable Info'!N359," - ",'Cable Info'!O359))</f>
        <v>#N/A</v>
      </c>
      <c r="AR655" s="121" t="e">
        <f t="shared" si="139"/>
        <v>#N/A</v>
      </c>
      <c r="AT655" s="121" t="e">
        <f>IF('Cable Info'!P359="","",CONCATENATE('Cable Info'!P359," - ",'Cable Info'!Q359))</f>
        <v>#N/A</v>
      </c>
      <c r="AW655" s="121" t="e">
        <f t="shared" si="140"/>
        <v>#N/A</v>
      </c>
      <c r="AY655" s="121" t="str">
        <f>IF('Cable Info'!R359="","",CONCATENATE('Cable Info'!R359," - ",'Cable Info'!S359))</f>
        <v/>
      </c>
      <c r="BB655" s="121" t="str">
        <f t="shared" si="141"/>
        <v/>
      </c>
      <c r="BD655" s="121" t="str">
        <f>IF('Cable Info'!T359="","",CONCATENATE('Cable Info'!T359," - ",'Cable Info'!U359))</f>
        <v/>
      </c>
      <c r="BG655" s="121" t="str">
        <f t="shared" si="142"/>
        <v/>
      </c>
      <c r="BI655" s="121" t="str">
        <f>IF('Cable Info'!V359="","",CONCATENATE('Cable Info'!V359," - ",'Cable Info'!W359))</f>
        <v/>
      </c>
      <c r="BL655" s="121" t="str">
        <f t="shared" si="143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38"/>
        <v>#N/A</v>
      </c>
      <c r="AO656" s="121" t="e">
        <f>IF('Cable Info'!N360="","",CONCATENATE('Cable Info'!N360," - ",'Cable Info'!O360))</f>
        <v>#N/A</v>
      </c>
      <c r="AR656" s="121" t="e">
        <f t="shared" si="139"/>
        <v>#N/A</v>
      </c>
      <c r="AT656" s="121" t="e">
        <f>IF('Cable Info'!P360="","",CONCATENATE('Cable Info'!P360," - ",'Cable Info'!Q360))</f>
        <v>#N/A</v>
      </c>
      <c r="AW656" s="121" t="e">
        <f t="shared" si="140"/>
        <v>#N/A</v>
      </c>
      <c r="AY656" s="121" t="str">
        <f>IF('Cable Info'!R360="","",CONCATENATE('Cable Info'!R360," - ",'Cable Info'!S360))</f>
        <v/>
      </c>
      <c r="BB656" s="121" t="str">
        <f t="shared" si="141"/>
        <v/>
      </c>
      <c r="BD656" s="121" t="str">
        <f>IF('Cable Info'!T360="","",CONCATENATE('Cable Info'!T360," - ",'Cable Info'!U360))</f>
        <v/>
      </c>
      <c r="BG656" s="121" t="str">
        <f t="shared" si="142"/>
        <v/>
      </c>
      <c r="BI656" s="121" t="str">
        <f>IF('Cable Info'!V360="","",CONCATENATE('Cable Info'!V360," - ",'Cable Info'!W360))</f>
        <v/>
      </c>
      <c r="BL656" s="121" t="str">
        <f t="shared" si="143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38"/>
        <v>#N/A</v>
      </c>
      <c r="AO657" s="121" t="e">
        <f>IF('Cable Info'!N361="","",CONCATENATE('Cable Info'!N361," - ",'Cable Info'!O361))</f>
        <v>#N/A</v>
      </c>
      <c r="AR657" s="121" t="e">
        <f t="shared" si="139"/>
        <v>#N/A</v>
      </c>
      <c r="AT657" s="121" t="e">
        <f>IF('Cable Info'!P361="","",CONCATENATE('Cable Info'!P361," - ",'Cable Info'!Q361))</f>
        <v>#N/A</v>
      </c>
      <c r="AW657" s="121" t="e">
        <f t="shared" si="140"/>
        <v>#N/A</v>
      </c>
      <c r="AY657" s="121" t="str">
        <f>IF('Cable Info'!R361="","",CONCATENATE('Cable Info'!R361," - ",'Cable Info'!S361))</f>
        <v/>
      </c>
      <c r="BB657" s="121" t="str">
        <f t="shared" si="141"/>
        <v/>
      </c>
      <c r="BD657" s="121" t="str">
        <f>IF('Cable Info'!T361="","",CONCATENATE('Cable Info'!T361," - ",'Cable Info'!U361))</f>
        <v/>
      </c>
      <c r="BG657" s="121" t="str">
        <f t="shared" si="142"/>
        <v/>
      </c>
      <c r="BI657" s="121" t="str">
        <f>IF('Cable Info'!V361="","",CONCATENATE('Cable Info'!V361," - ",'Cable Info'!W361))</f>
        <v/>
      </c>
      <c r="BL657" s="121" t="str">
        <f t="shared" si="143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38"/>
        <v>#N/A</v>
      </c>
      <c r="AO658" s="121" t="e">
        <f>IF('Cable Info'!N362="","",CONCATENATE('Cable Info'!N362," - ",'Cable Info'!O362))</f>
        <v>#N/A</v>
      </c>
      <c r="AR658" s="121" t="e">
        <f t="shared" si="139"/>
        <v>#N/A</v>
      </c>
      <c r="AT658" s="121" t="e">
        <f>IF('Cable Info'!P362="","",CONCATENATE('Cable Info'!P362," - ",'Cable Info'!Q362))</f>
        <v>#N/A</v>
      </c>
      <c r="AW658" s="121" t="e">
        <f t="shared" si="140"/>
        <v>#N/A</v>
      </c>
      <c r="AY658" s="121" t="str">
        <f>IF('Cable Info'!R362="","",CONCATENATE('Cable Info'!R362," - ",'Cable Info'!S362))</f>
        <v/>
      </c>
      <c r="BB658" s="121" t="str">
        <f t="shared" si="141"/>
        <v/>
      </c>
      <c r="BD658" s="121" t="str">
        <f>IF('Cable Info'!T362="","",CONCATENATE('Cable Info'!T362," - ",'Cable Info'!U362))</f>
        <v/>
      </c>
      <c r="BG658" s="121" t="str">
        <f t="shared" si="142"/>
        <v/>
      </c>
      <c r="BI658" s="121" t="str">
        <f>IF('Cable Info'!V362="","",CONCATENATE('Cable Info'!V362," - ",'Cable Info'!W362))</f>
        <v/>
      </c>
      <c r="BL658" s="121" t="str">
        <f t="shared" si="143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38"/>
        <v>#N/A</v>
      </c>
      <c r="AO659" s="121" t="e">
        <f>IF('Cable Info'!N363="","",CONCATENATE('Cable Info'!N363," - ",'Cable Info'!O363))</f>
        <v>#N/A</v>
      </c>
      <c r="AR659" s="121" t="e">
        <f t="shared" si="139"/>
        <v>#N/A</v>
      </c>
      <c r="AT659" s="121" t="e">
        <f>IF('Cable Info'!P363="","",CONCATENATE('Cable Info'!P363," - ",'Cable Info'!Q363))</f>
        <v>#N/A</v>
      </c>
      <c r="AW659" s="121" t="e">
        <f t="shared" si="140"/>
        <v>#N/A</v>
      </c>
      <c r="AY659" s="121" t="str">
        <f>IF('Cable Info'!R363="","",CONCATENATE('Cable Info'!R363," - ",'Cable Info'!S363))</f>
        <v/>
      </c>
      <c r="BB659" s="121" t="str">
        <f t="shared" si="141"/>
        <v/>
      </c>
      <c r="BD659" s="121" t="str">
        <f>IF('Cable Info'!T363="","",CONCATENATE('Cable Info'!T363," - ",'Cable Info'!U363))</f>
        <v/>
      </c>
      <c r="BG659" s="121" t="str">
        <f t="shared" si="142"/>
        <v/>
      </c>
      <c r="BI659" s="121" t="str">
        <f>IF('Cable Info'!V363="","",CONCATENATE('Cable Info'!V363," - ",'Cable Info'!W363))</f>
        <v/>
      </c>
      <c r="BL659" s="121" t="str">
        <f t="shared" si="143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38"/>
        <v>#N/A</v>
      </c>
      <c r="AO660" s="121" t="e">
        <f>IF('Cable Info'!N364="","",CONCATENATE('Cable Info'!N364," - ",'Cable Info'!O364))</f>
        <v>#N/A</v>
      </c>
      <c r="AR660" s="121" t="e">
        <f t="shared" si="139"/>
        <v>#N/A</v>
      </c>
      <c r="AT660" s="121" t="e">
        <f>IF('Cable Info'!P364="","",CONCATENATE('Cable Info'!P364," - ",'Cable Info'!Q364))</f>
        <v>#N/A</v>
      </c>
      <c r="AW660" s="121" t="e">
        <f t="shared" si="140"/>
        <v>#N/A</v>
      </c>
      <c r="AY660" s="121" t="str">
        <f>IF('Cable Info'!R364="","",CONCATENATE('Cable Info'!R364," - ",'Cable Info'!S364))</f>
        <v/>
      </c>
      <c r="BB660" s="121" t="str">
        <f t="shared" si="141"/>
        <v/>
      </c>
      <c r="BD660" s="121" t="str">
        <f>IF('Cable Info'!T364="","",CONCATENATE('Cable Info'!T364," - ",'Cable Info'!U364))</f>
        <v/>
      </c>
      <c r="BG660" s="121" t="str">
        <f t="shared" si="142"/>
        <v/>
      </c>
      <c r="BI660" s="121" t="str">
        <f>IF('Cable Info'!V364="","",CONCATENATE('Cable Info'!V364," - ",'Cable Info'!W364))</f>
        <v/>
      </c>
      <c r="BL660" s="121" t="str">
        <f t="shared" si="143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38"/>
        <v>#N/A</v>
      </c>
      <c r="AO661" s="121" t="e">
        <f>IF('Cable Info'!N365="","",CONCATENATE('Cable Info'!N365," - ",'Cable Info'!O365))</f>
        <v>#N/A</v>
      </c>
      <c r="AR661" s="121" t="e">
        <f t="shared" si="139"/>
        <v>#N/A</v>
      </c>
      <c r="AT661" s="121" t="e">
        <f>IF('Cable Info'!P365="","",CONCATENATE('Cable Info'!P365," - ",'Cable Info'!Q365))</f>
        <v>#N/A</v>
      </c>
      <c r="AW661" s="121" t="e">
        <f t="shared" si="140"/>
        <v>#N/A</v>
      </c>
      <c r="AY661" s="121" t="str">
        <f>IF('Cable Info'!R365="","",CONCATENATE('Cable Info'!R365," - ",'Cable Info'!S365))</f>
        <v/>
      </c>
      <c r="BB661" s="121" t="str">
        <f t="shared" si="141"/>
        <v/>
      </c>
      <c r="BD661" s="121" t="str">
        <f>IF('Cable Info'!T365="","",CONCATENATE('Cable Info'!T365," - ",'Cable Info'!U365))</f>
        <v/>
      </c>
      <c r="BG661" s="121" t="str">
        <f t="shared" si="142"/>
        <v/>
      </c>
      <c r="BI661" s="121" t="str">
        <f>IF('Cable Info'!V365="","",CONCATENATE('Cable Info'!V365," - ",'Cable Info'!W365))</f>
        <v/>
      </c>
      <c r="BL661" s="121" t="str">
        <f t="shared" si="143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38"/>
        <v>#N/A</v>
      </c>
      <c r="AO662" s="121" t="e">
        <f>IF('Cable Info'!N366="","",CONCATENATE('Cable Info'!N366," - ",'Cable Info'!O366))</f>
        <v>#N/A</v>
      </c>
      <c r="AR662" s="121" t="e">
        <f t="shared" si="139"/>
        <v>#N/A</v>
      </c>
      <c r="AT662" s="121" t="e">
        <f>IF('Cable Info'!P366="","",CONCATENATE('Cable Info'!P366," - ",'Cable Info'!Q366))</f>
        <v>#N/A</v>
      </c>
      <c r="AW662" s="121" t="e">
        <f t="shared" si="140"/>
        <v>#N/A</v>
      </c>
      <c r="AY662" s="121" t="str">
        <f>IF('Cable Info'!R366="","",CONCATENATE('Cable Info'!R366," - ",'Cable Info'!S366))</f>
        <v/>
      </c>
      <c r="BB662" s="121" t="str">
        <f t="shared" si="141"/>
        <v/>
      </c>
      <c r="BD662" s="121" t="str">
        <f>IF('Cable Info'!T366="","",CONCATENATE('Cable Info'!T366," - ",'Cable Info'!U366))</f>
        <v/>
      </c>
      <c r="BG662" s="121" t="str">
        <f t="shared" si="142"/>
        <v/>
      </c>
      <c r="BI662" s="121" t="str">
        <f>IF('Cable Info'!V366="","",CONCATENATE('Cable Info'!V366," - ",'Cable Info'!W366))</f>
        <v/>
      </c>
      <c r="BL662" s="121" t="str">
        <f t="shared" si="143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38"/>
        <v>#N/A</v>
      </c>
      <c r="AO663" s="121" t="e">
        <f>IF('Cable Info'!N367="","",CONCATENATE('Cable Info'!N367," - ",'Cable Info'!O367))</f>
        <v>#N/A</v>
      </c>
      <c r="AR663" s="121" t="e">
        <f t="shared" si="139"/>
        <v>#N/A</v>
      </c>
      <c r="AT663" s="121" t="e">
        <f>IF('Cable Info'!P367="","",CONCATENATE('Cable Info'!P367," - ",'Cable Info'!Q367))</f>
        <v>#N/A</v>
      </c>
      <c r="AW663" s="121" t="e">
        <f t="shared" si="140"/>
        <v>#N/A</v>
      </c>
      <c r="AY663" s="121" t="str">
        <f>IF('Cable Info'!R367="","",CONCATENATE('Cable Info'!R367," - ",'Cable Info'!S367))</f>
        <v/>
      </c>
      <c r="BB663" s="121" t="str">
        <f t="shared" si="141"/>
        <v/>
      </c>
      <c r="BD663" s="121" t="str">
        <f>IF('Cable Info'!T367="","",CONCATENATE('Cable Info'!T367," - ",'Cable Info'!U367))</f>
        <v/>
      </c>
      <c r="BG663" s="121" t="str">
        <f t="shared" si="142"/>
        <v/>
      </c>
      <c r="BI663" s="121" t="str">
        <f>IF('Cable Info'!V367="","",CONCATENATE('Cable Info'!V367," - ",'Cable Info'!W367))</f>
        <v/>
      </c>
      <c r="BL663" s="121" t="str">
        <f t="shared" si="143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38"/>
        <v>#N/A</v>
      </c>
      <c r="AO664" s="121" t="e">
        <f>IF('Cable Info'!N368="","",CONCATENATE('Cable Info'!N368," - ",'Cable Info'!O368))</f>
        <v>#N/A</v>
      </c>
      <c r="AR664" s="121" t="e">
        <f t="shared" si="139"/>
        <v>#N/A</v>
      </c>
      <c r="AT664" s="121" t="e">
        <f>IF('Cable Info'!P368="","",CONCATENATE('Cable Info'!P368," - ",'Cable Info'!Q368))</f>
        <v>#N/A</v>
      </c>
      <c r="AW664" s="121" t="e">
        <f t="shared" si="140"/>
        <v>#N/A</v>
      </c>
      <c r="AY664" s="121" t="str">
        <f>IF('Cable Info'!R368="","",CONCATENATE('Cable Info'!R368," - ",'Cable Info'!S368))</f>
        <v/>
      </c>
      <c r="BB664" s="121" t="str">
        <f t="shared" si="141"/>
        <v/>
      </c>
      <c r="BD664" s="121" t="str">
        <f>IF('Cable Info'!T368="","",CONCATENATE('Cable Info'!T368," - ",'Cable Info'!U368))</f>
        <v/>
      </c>
      <c r="BG664" s="121" t="str">
        <f t="shared" si="142"/>
        <v/>
      </c>
      <c r="BI664" s="121" t="str">
        <f>IF('Cable Info'!V368="","",CONCATENATE('Cable Info'!V368," - ",'Cable Info'!W368))</f>
        <v/>
      </c>
      <c r="BL664" s="121" t="str">
        <f t="shared" si="143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38"/>
        <v>#N/A</v>
      </c>
      <c r="AO665" s="121" t="e">
        <f>IF('Cable Info'!N369="","",CONCATENATE('Cable Info'!N369," - ",'Cable Info'!O369))</f>
        <v>#N/A</v>
      </c>
      <c r="AR665" s="121" t="e">
        <f t="shared" si="139"/>
        <v>#N/A</v>
      </c>
      <c r="AT665" s="121" t="e">
        <f>IF('Cable Info'!P369="","",CONCATENATE('Cable Info'!P369," - ",'Cable Info'!Q369))</f>
        <v>#N/A</v>
      </c>
      <c r="AW665" s="121" t="e">
        <f t="shared" si="140"/>
        <v>#N/A</v>
      </c>
      <c r="AY665" s="121" t="str">
        <f>IF('Cable Info'!R369="","",CONCATENATE('Cable Info'!R369," - ",'Cable Info'!S369))</f>
        <v/>
      </c>
      <c r="BB665" s="121" t="str">
        <f t="shared" si="141"/>
        <v/>
      </c>
      <c r="BD665" s="121" t="str">
        <f>IF('Cable Info'!T369="","",CONCATENATE('Cable Info'!T369," - ",'Cable Info'!U369))</f>
        <v/>
      </c>
      <c r="BG665" s="121" t="str">
        <f t="shared" si="142"/>
        <v/>
      </c>
      <c r="BI665" s="121" t="str">
        <f>IF('Cable Info'!V369="","",CONCATENATE('Cable Info'!V369," - ",'Cable Info'!W369))</f>
        <v/>
      </c>
      <c r="BL665" s="121" t="str">
        <f t="shared" si="143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38"/>
        <v>#N/A</v>
      </c>
      <c r="AO666" s="121" t="e">
        <f>IF('Cable Info'!N370="","",CONCATENATE('Cable Info'!N370," - ",'Cable Info'!O370))</f>
        <v>#N/A</v>
      </c>
      <c r="AR666" s="121" t="e">
        <f t="shared" si="139"/>
        <v>#N/A</v>
      </c>
      <c r="AT666" s="121" t="e">
        <f>IF('Cable Info'!P370="","",CONCATENATE('Cable Info'!P370," - ",'Cable Info'!Q370))</f>
        <v>#N/A</v>
      </c>
      <c r="AW666" s="121" t="e">
        <f t="shared" si="140"/>
        <v>#N/A</v>
      </c>
      <c r="AY666" s="121" t="str">
        <f>IF('Cable Info'!R370="","",CONCATENATE('Cable Info'!R370," - ",'Cable Info'!S370))</f>
        <v/>
      </c>
      <c r="BB666" s="121" t="str">
        <f t="shared" si="141"/>
        <v/>
      </c>
      <c r="BD666" s="121" t="str">
        <f>IF('Cable Info'!T370="","",CONCATENATE('Cable Info'!T370," - ",'Cable Info'!U370))</f>
        <v/>
      </c>
      <c r="BG666" s="121" t="str">
        <f t="shared" si="142"/>
        <v/>
      </c>
      <c r="BI666" s="121" t="str">
        <f>IF('Cable Info'!V370="","",CONCATENATE('Cable Info'!V370," - ",'Cable Info'!W370))</f>
        <v/>
      </c>
      <c r="BL666" s="121" t="str">
        <f t="shared" si="143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38"/>
        <v>#N/A</v>
      </c>
      <c r="AO667" s="121" t="e">
        <f>IF('Cable Info'!N371="","",CONCATENATE('Cable Info'!N371," - ",'Cable Info'!O371))</f>
        <v>#N/A</v>
      </c>
      <c r="AR667" s="121" t="e">
        <f t="shared" si="139"/>
        <v>#N/A</v>
      </c>
      <c r="AT667" s="121" t="e">
        <f>IF('Cable Info'!P371="","",CONCATENATE('Cable Info'!P371," - ",'Cable Info'!Q371))</f>
        <v>#N/A</v>
      </c>
      <c r="AW667" s="121" t="e">
        <f t="shared" si="140"/>
        <v>#N/A</v>
      </c>
      <c r="AY667" s="121" t="str">
        <f>IF('Cable Info'!R371="","",CONCATENATE('Cable Info'!R371," - ",'Cable Info'!S371))</f>
        <v/>
      </c>
      <c r="BB667" s="121" t="str">
        <f t="shared" si="141"/>
        <v/>
      </c>
      <c r="BD667" s="121" t="str">
        <f>IF('Cable Info'!T371="","",CONCATENATE('Cable Info'!T371," - ",'Cable Info'!U371))</f>
        <v/>
      </c>
      <c r="BG667" s="121" t="str">
        <f t="shared" si="142"/>
        <v/>
      </c>
      <c r="BI667" s="121" t="str">
        <f>IF('Cable Info'!V371="","",CONCATENATE('Cable Info'!V371," - ",'Cable Info'!W371))</f>
        <v/>
      </c>
      <c r="BL667" s="121" t="str">
        <f t="shared" si="143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38"/>
        <v>#N/A</v>
      </c>
      <c r="AO668" s="121" t="e">
        <f>IF('Cable Info'!N372="","",CONCATENATE('Cable Info'!N372," - ",'Cable Info'!O372))</f>
        <v>#N/A</v>
      </c>
      <c r="AR668" s="121" t="e">
        <f t="shared" si="139"/>
        <v>#N/A</v>
      </c>
      <c r="AT668" s="121" t="e">
        <f>IF('Cable Info'!P372="","",CONCATENATE('Cable Info'!P372," - ",'Cable Info'!Q372))</f>
        <v>#N/A</v>
      </c>
      <c r="AW668" s="121" t="e">
        <f t="shared" si="140"/>
        <v>#N/A</v>
      </c>
      <c r="AY668" s="121" t="str">
        <f>IF('Cable Info'!R372="","",CONCATENATE('Cable Info'!R372," - ",'Cable Info'!S372))</f>
        <v/>
      </c>
      <c r="BB668" s="121" t="str">
        <f t="shared" si="141"/>
        <v/>
      </c>
      <c r="BD668" s="121" t="str">
        <f>IF('Cable Info'!T372="","",CONCATENATE('Cable Info'!T372," - ",'Cable Info'!U372))</f>
        <v/>
      </c>
      <c r="BG668" s="121" t="str">
        <f t="shared" si="142"/>
        <v/>
      </c>
      <c r="BI668" s="121" t="str">
        <f>IF('Cable Info'!V372="","",CONCATENATE('Cable Info'!V372," - ",'Cable Info'!W372))</f>
        <v/>
      </c>
      <c r="BL668" s="121" t="str">
        <f t="shared" si="143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38"/>
        <v>#N/A</v>
      </c>
      <c r="AO669" s="121" t="e">
        <f>IF('Cable Info'!N373="","",CONCATENATE('Cable Info'!N373," - ",'Cable Info'!O373))</f>
        <v>#N/A</v>
      </c>
      <c r="AR669" s="121" t="e">
        <f t="shared" si="139"/>
        <v>#N/A</v>
      </c>
      <c r="AT669" s="121" t="e">
        <f>IF('Cable Info'!P373="","",CONCATENATE('Cable Info'!P373," - ",'Cable Info'!Q373))</f>
        <v>#N/A</v>
      </c>
      <c r="AW669" s="121" t="e">
        <f t="shared" si="140"/>
        <v>#N/A</v>
      </c>
      <c r="AY669" s="121" t="str">
        <f>IF('Cable Info'!R373="","",CONCATENATE('Cable Info'!R373," - ",'Cable Info'!S373))</f>
        <v/>
      </c>
      <c r="BB669" s="121" t="str">
        <f t="shared" si="141"/>
        <v/>
      </c>
      <c r="BD669" s="121" t="str">
        <f>IF('Cable Info'!T373="","",CONCATENATE('Cable Info'!T373," - ",'Cable Info'!U373))</f>
        <v/>
      </c>
      <c r="BG669" s="121" t="str">
        <f t="shared" si="142"/>
        <v/>
      </c>
      <c r="BI669" s="121" t="str">
        <f>IF('Cable Info'!V373="","",CONCATENATE('Cable Info'!V373," - ",'Cable Info'!W373))</f>
        <v/>
      </c>
      <c r="BL669" s="121" t="str">
        <f t="shared" si="143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38"/>
        <v>#N/A</v>
      </c>
      <c r="AO670" s="121" t="e">
        <f>IF('Cable Info'!N374="","",CONCATENATE('Cable Info'!N374," - ",'Cable Info'!O374))</f>
        <v>#N/A</v>
      </c>
      <c r="AR670" s="121" t="e">
        <f t="shared" si="139"/>
        <v>#N/A</v>
      </c>
      <c r="AT670" s="121" t="e">
        <f>IF('Cable Info'!P374="","",CONCATENATE('Cable Info'!P374," - ",'Cable Info'!Q374))</f>
        <v>#N/A</v>
      </c>
      <c r="AW670" s="121" t="e">
        <f t="shared" si="140"/>
        <v>#N/A</v>
      </c>
      <c r="AY670" s="121" t="str">
        <f>IF('Cable Info'!R374="","",CONCATENATE('Cable Info'!R374," - ",'Cable Info'!S374))</f>
        <v/>
      </c>
      <c r="BB670" s="121" t="str">
        <f t="shared" si="141"/>
        <v/>
      </c>
      <c r="BD670" s="121" t="str">
        <f>IF('Cable Info'!T374="","",CONCATENATE('Cable Info'!T374," - ",'Cable Info'!U374))</f>
        <v/>
      </c>
      <c r="BG670" s="121" t="str">
        <f t="shared" si="142"/>
        <v/>
      </c>
      <c r="BI670" s="121" t="str">
        <f>IF('Cable Info'!V374="","",CONCATENATE('Cable Info'!V374," - ",'Cable Info'!W374))</f>
        <v/>
      </c>
      <c r="BL670" s="121" t="str">
        <f t="shared" si="143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38"/>
        <v>#N/A</v>
      </c>
      <c r="AO671" s="121" t="e">
        <f>IF('Cable Info'!N375="","",CONCATENATE('Cable Info'!N375," - ",'Cable Info'!O375))</f>
        <v>#N/A</v>
      </c>
      <c r="AR671" s="121" t="e">
        <f t="shared" si="139"/>
        <v>#N/A</v>
      </c>
      <c r="AT671" s="121" t="e">
        <f>IF('Cable Info'!P375="","",CONCATENATE('Cable Info'!P375," - ",'Cable Info'!Q375))</f>
        <v>#N/A</v>
      </c>
      <c r="AW671" s="121" t="e">
        <f t="shared" si="140"/>
        <v>#N/A</v>
      </c>
      <c r="AY671" s="121" t="str">
        <f>IF('Cable Info'!R375="","",CONCATENATE('Cable Info'!R375," - ",'Cable Info'!S375))</f>
        <v/>
      </c>
      <c r="BB671" s="121" t="str">
        <f t="shared" si="141"/>
        <v/>
      </c>
      <c r="BD671" s="121" t="str">
        <f>IF('Cable Info'!T375="","",CONCATENATE('Cable Info'!T375," - ",'Cable Info'!U375))</f>
        <v/>
      </c>
      <c r="BG671" s="121" t="str">
        <f t="shared" si="142"/>
        <v/>
      </c>
      <c r="BI671" s="121" t="str">
        <f>IF('Cable Info'!V375="","",CONCATENATE('Cable Info'!V375," - ",'Cable Info'!W375))</f>
        <v/>
      </c>
      <c r="BL671" s="121" t="str">
        <f t="shared" si="143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38"/>
        <v>#N/A</v>
      </c>
      <c r="AO672" s="121" t="e">
        <f>IF('Cable Info'!N376="","",CONCATENATE('Cable Info'!N376," - ",'Cable Info'!O376))</f>
        <v>#N/A</v>
      </c>
      <c r="AR672" s="121" t="e">
        <f t="shared" si="139"/>
        <v>#N/A</v>
      </c>
      <c r="AT672" s="121" t="e">
        <f>IF('Cable Info'!P376="","",CONCATENATE('Cable Info'!P376," - ",'Cable Info'!Q376))</f>
        <v>#N/A</v>
      </c>
      <c r="AW672" s="121" t="e">
        <f t="shared" si="140"/>
        <v>#N/A</v>
      </c>
      <c r="AY672" s="121" t="str">
        <f>IF('Cable Info'!R376="","",CONCATENATE('Cable Info'!R376," - ",'Cable Info'!S376))</f>
        <v/>
      </c>
      <c r="BB672" s="121" t="str">
        <f t="shared" si="141"/>
        <v/>
      </c>
      <c r="BD672" s="121" t="str">
        <f>IF('Cable Info'!T376="","",CONCATENATE('Cable Info'!T376," - ",'Cable Info'!U376))</f>
        <v/>
      </c>
      <c r="BG672" s="121" t="str">
        <f t="shared" si="142"/>
        <v/>
      </c>
      <c r="BI672" s="121" t="str">
        <f>IF('Cable Info'!V376="","",CONCATENATE('Cable Info'!V376," - ",'Cable Info'!W376))</f>
        <v/>
      </c>
      <c r="BL672" s="121" t="str">
        <f t="shared" si="143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38"/>
        <v>#N/A</v>
      </c>
      <c r="AO673" s="121" t="e">
        <f>IF('Cable Info'!N377="","",CONCATENATE('Cable Info'!N377," - ",'Cable Info'!O377))</f>
        <v>#N/A</v>
      </c>
      <c r="AR673" s="121" t="e">
        <f t="shared" si="139"/>
        <v>#N/A</v>
      </c>
      <c r="AT673" s="121" t="e">
        <f>IF('Cable Info'!P377="","",CONCATENATE('Cable Info'!P377," - ",'Cable Info'!Q377))</f>
        <v>#N/A</v>
      </c>
      <c r="AW673" s="121" t="e">
        <f t="shared" si="140"/>
        <v>#N/A</v>
      </c>
      <c r="AY673" s="121" t="str">
        <f>IF('Cable Info'!R377="","",CONCATENATE('Cable Info'!R377," - ",'Cable Info'!S377))</f>
        <v/>
      </c>
      <c r="BB673" s="121" t="str">
        <f t="shared" si="141"/>
        <v/>
      </c>
      <c r="BD673" s="121" t="str">
        <f>IF('Cable Info'!T377="","",CONCATENATE('Cable Info'!T377," - ",'Cable Info'!U377))</f>
        <v/>
      </c>
      <c r="BG673" s="121" t="str">
        <f t="shared" si="142"/>
        <v/>
      </c>
      <c r="BI673" s="121" t="str">
        <f>IF('Cable Info'!V377="","",CONCATENATE('Cable Info'!V377," - ",'Cable Info'!W377))</f>
        <v/>
      </c>
      <c r="BL673" s="121" t="str">
        <f t="shared" si="143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38"/>
        <v>#N/A</v>
      </c>
      <c r="AO674" s="121" t="e">
        <f>IF('Cable Info'!N378="","",CONCATENATE('Cable Info'!N378," - ",'Cable Info'!O378))</f>
        <v>#N/A</v>
      </c>
      <c r="AR674" s="121" t="e">
        <f t="shared" si="139"/>
        <v>#N/A</v>
      </c>
      <c r="AT674" s="121" t="e">
        <f>IF('Cable Info'!P378="","",CONCATENATE('Cable Info'!P378," - ",'Cable Info'!Q378))</f>
        <v>#N/A</v>
      </c>
      <c r="AW674" s="121" t="e">
        <f t="shared" si="140"/>
        <v>#N/A</v>
      </c>
      <c r="AY674" s="121" t="str">
        <f>IF('Cable Info'!R378="","",CONCATENATE('Cable Info'!R378," - ",'Cable Info'!S378))</f>
        <v/>
      </c>
      <c r="BB674" s="121" t="str">
        <f t="shared" si="141"/>
        <v/>
      </c>
      <c r="BD674" s="121" t="str">
        <f>IF('Cable Info'!T378="","",CONCATENATE('Cable Info'!T378," - ",'Cable Info'!U378))</f>
        <v/>
      </c>
      <c r="BG674" s="121" t="str">
        <f t="shared" si="142"/>
        <v/>
      </c>
      <c r="BI674" s="121" t="str">
        <f>IF('Cable Info'!V378="","",CONCATENATE('Cable Info'!V378," - ",'Cable Info'!W378))</f>
        <v/>
      </c>
      <c r="BL674" s="121" t="str">
        <f t="shared" si="143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38"/>
        <v>#N/A</v>
      </c>
      <c r="AO675" s="121" t="e">
        <f>IF('Cable Info'!N379="","",CONCATENATE('Cable Info'!N379," - ",'Cable Info'!O379))</f>
        <v>#N/A</v>
      </c>
      <c r="AR675" s="121" t="e">
        <f t="shared" si="139"/>
        <v>#N/A</v>
      </c>
      <c r="AT675" s="121" t="e">
        <f>IF('Cable Info'!P379="","",CONCATENATE('Cable Info'!P379," - ",'Cable Info'!Q379))</f>
        <v>#N/A</v>
      </c>
      <c r="AW675" s="121" t="e">
        <f t="shared" si="140"/>
        <v>#N/A</v>
      </c>
      <c r="AY675" s="121" t="str">
        <f>IF('Cable Info'!R379="","",CONCATENATE('Cable Info'!R379," - ",'Cable Info'!S379))</f>
        <v/>
      </c>
      <c r="BB675" s="121" t="str">
        <f t="shared" si="141"/>
        <v/>
      </c>
      <c r="BD675" s="121" t="str">
        <f>IF('Cable Info'!T379="","",CONCATENATE('Cable Info'!T379," - ",'Cable Info'!U379))</f>
        <v/>
      </c>
      <c r="BG675" s="121" t="str">
        <f t="shared" si="142"/>
        <v/>
      </c>
      <c r="BI675" s="121" t="str">
        <f>IF('Cable Info'!V379="","",CONCATENATE('Cable Info'!V379," - ",'Cable Info'!W379))</f>
        <v/>
      </c>
      <c r="BL675" s="121" t="str">
        <f t="shared" si="143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38"/>
        <v>#N/A</v>
      </c>
      <c r="AO676" s="121" t="e">
        <f>IF('Cable Info'!N380="","",CONCATENATE('Cable Info'!N380," - ",'Cable Info'!O380))</f>
        <v>#N/A</v>
      </c>
      <c r="AR676" s="121" t="e">
        <f t="shared" si="139"/>
        <v>#N/A</v>
      </c>
      <c r="AT676" s="121" t="e">
        <f>IF('Cable Info'!P380="","",CONCATENATE('Cable Info'!P380," - ",'Cable Info'!Q380))</f>
        <v>#N/A</v>
      </c>
      <c r="AW676" s="121" t="e">
        <f t="shared" si="140"/>
        <v>#N/A</v>
      </c>
      <c r="AY676" s="121" t="str">
        <f>IF('Cable Info'!R380="","",CONCATENATE('Cable Info'!R380," - ",'Cable Info'!S380))</f>
        <v/>
      </c>
      <c r="BB676" s="121" t="str">
        <f t="shared" si="141"/>
        <v/>
      </c>
      <c r="BD676" s="121" t="str">
        <f>IF('Cable Info'!T380="","",CONCATENATE('Cable Info'!T380," - ",'Cable Info'!U380))</f>
        <v/>
      </c>
      <c r="BG676" s="121" t="str">
        <f t="shared" si="142"/>
        <v/>
      </c>
      <c r="BI676" s="121" t="str">
        <f>IF('Cable Info'!V380="","",CONCATENATE('Cable Info'!V380," - ",'Cable Info'!W380))</f>
        <v/>
      </c>
      <c r="BL676" s="121" t="str">
        <f t="shared" si="143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38"/>
        <v>#N/A</v>
      </c>
      <c r="AO677" s="121" t="e">
        <f>IF('Cable Info'!N381="","",CONCATENATE('Cable Info'!N381," - ",'Cable Info'!O381))</f>
        <v>#N/A</v>
      </c>
      <c r="AR677" s="121" t="e">
        <f t="shared" si="139"/>
        <v>#N/A</v>
      </c>
      <c r="AT677" s="121" t="e">
        <f>IF('Cable Info'!P381="","",CONCATENATE('Cable Info'!P381," - ",'Cable Info'!Q381))</f>
        <v>#N/A</v>
      </c>
      <c r="AW677" s="121" t="e">
        <f t="shared" si="140"/>
        <v>#N/A</v>
      </c>
      <c r="AY677" s="121" t="str">
        <f>IF('Cable Info'!R381="","",CONCATENATE('Cable Info'!R381," - ",'Cable Info'!S381))</f>
        <v/>
      </c>
      <c r="BB677" s="121" t="str">
        <f t="shared" si="141"/>
        <v/>
      </c>
      <c r="BD677" s="121" t="str">
        <f>IF('Cable Info'!T381="","",CONCATENATE('Cable Info'!T381," - ",'Cable Info'!U381))</f>
        <v/>
      </c>
      <c r="BG677" s="121" t="str">
        <f t="shared" si="142"/>
        <v/>
      </c>
      <c r="BI677" s="121" t="str">
        <f>IF('Cable Info'!V381="","",CONCATENATE('Cable Info'!V381," - ",'Cable Info'!W381))</f>
        <v/>
      </c>
      <c r="BL677" s="121" t="str">
        <f t="shared" si="143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38"/>
        <v>#N/A</v>
      </c>
      <c r="AO678" s="121" t="e">
        <f>IF('Cable Info'!N382="","",CONCATENATE('Cable Info'!N382," - ",'Cable Info'!O382))</f>
        <v>#N/A</v>
      </c>
      <c r="AR678" s="121" t="e">
        <f t="shared" si="139"/>
        <v>#N/A</v>
      </c>
      <c r="AT678" s="121" t="e">
        <f>IF('Cable Info'!P382="","",CONCATENATE('Cable Info'!P382," - ",'Cable Info'!Q382))</f>
        <v>#N/A</v>
      </c>
      <c r="AW678" s="121" t="e">
        <f t="shared" si="140"/>
        <v>#N/A</v>
      </c>
      <c r="AY678" s="121" t="str">
        <f>IF('Cable Info'!R382="","",CONCATENATE('Cable Info'!R382," - ",'Cable Info'!S382))</f>
        <v/>
      </c>
      <c r="BB678" s="121" t="str">
        <f t="shared" si="141"/>
        <v/>
      </c>
      <c r="BD678" s="121" t="str">
        <f>IF('Cable Info'!T382="","",CONCATENATE('Cable Info'!T382," - ",'Cable Info'!U382))</f>
        <v/>
      </c>
      <c r="BG678" s="121" t="str">
        <f t="shared" si="142"/>
        <v/>
      </c>
      <c r="BI678" s="121" t="str">
        <f>IF('Cable Info'!V382="","",CONCATENATE('Cable Info'!V382," - ",'Cable Info'!W382))</f>
        <v/>
      </c>
      <c r="BL678" s="121" t="str">
        <f t="shared" si="143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38"/>
        <v>#N/A</v>
      </c>
      <c r="AO679" s="121" t="e">
        <f>IF('Cable Info'!N383="","",CONCATENATE('Cable Info'!N383," - ",'Cable Info'!O383))</f>
        <v>#N/A</v>
      </c>
      <c r="AR679" s="121" t="e">
        <f t="shared" si="139"/>
        <v>#N/A</v>
      </c>
      <c r="AT679" s="121" t="e">
        <f>IF('Cable Info'!P383="","",CONCATENATE('Cable Info'!P383," - ",'Cable Info'!Q383))</f>
        <v>#N/A</v>
      </c>
      <c r="AW679" s="121" t="e">
        <f t="shared" si="140"/>
        <v>#N/A</v>
      </c>
      <c r="AY679" s="121" t="str">
        <f>IF('Cable Info'!R383="","",CONCATENATE('Cable Info'!R383," - ",'Cable Info'!S383))</f>
        <v/>
      </c>
      <c r="BB679" s="121" t="str">
        <f t="shared" si="141"/>
        <v/>
      </c>
      <c r="BD679" s="121" t="str">
        <f>IF('Cable Info'!T383="","",CONCATENATE('Cable Info'!T383," - ",'Cable Info'!U383))</f>
        <v/>
      </c>
      <c r="BG679" s="121" t="str">
        <f t="shared" si="142"/>
        <v/>
      </c>
      <c r="BI679" s="121" t="str">
        <f>IF('Cable Info'!V383="","",CONCATENATE('Cable Info'!V383," - ",'Cable Info'!W383))</f>
        <v/>
      </c>
      <c r="BL679" s="121" t="str">
        <f t="shared" si="143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38"/>
        <v>#N/A</v>
      </c>
      <c r="AO680" s="121" t="e">
        <f>IF('Cable Info'!N384="","",CONCATENATE('Cable Info'!N384," - ",'Cable Info'!O384))</f>
        <v>#N/A</v>
      </c>
      <c r="AR680" s="121" t="e">
        <f t="shared" si="139"/>
        <v>#N/A</v>
      </c>
      <c r="AT680" s="121" t="e">
        <f>IF('Cable Info'!P384="","",CONCATENATE('Cable Info'!P384," - ",'Cable Info'!Q384))</f>
        <v>#N/A</v>
      </c>
      <c r="AW680" s="121" t="e">
        <f t="shared" si="140"/>
        <v>#N/A</v>
      </c>
      <c r="AY680" s="121" t="str">
        <f>IF('Cable Info'!R384="","",CONCATENATE('Cable Info'!R384," - ",'Cable Info'!S384))</f>
        <v/>
      </c>
      <c r="BB680" s="121" t="str">
        <f t="shared" si="141"/>
        <v/>
      </c>
      <c r="BD680" s="121" t="str">
        <f>IF('Cable Info'!T384="","",CONCATENATE('Cable Info'!T384," - ",'Cable Info'!U384))</f>
        <v/>
      </c>
      <c r="BG680" s="121" t="str">
        <f t="shared" si="142"/>
        <v/>
      </c>
      <c r="BI680" s="121" t="str">
        <f>IF('Cable Info'!V384="","",CONCATENATE('Cable Info'!V384," - ",'Cable Info'!W384))</f>
        <v/>
      </c>
      <c r="BL680" s="121" t="str">
        <f t="shared" si="143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38"/>
        <v>#N/A</v>
      </c>
      <c r="AO681" s="121" t="e">
        <f>IF('Cable Info'!N385="","",CONCATENATE('Cable Info'!N385," - ",'Cable Info'!O385))</f>
        <v>#N/A</v>
      </c>
      <c r="AR681" s="121" t="e">
        <f t="shared" si="139"/>
        <v>#N/A</v>
      </c>
      <c r="AT681" s="121" t="e">
        <f>IF('Cable Info'!P385="","",CONCATENATE('Cable Info'!P385," - ",'Cable Info'!Q385))</f>
        <v>#N/A</v>
      </c>
      <c r="AW681" s="121" t="e">
        <f t="shared" si="140"/>
        <v>#N/A</v>
      </c>
      <c r="AY681" s="121" t="str">
        <f>IF('Cable Info'!R385="","",CONCATENATE('Cable Info'!R385," - ",'Cable Info'!S385))</f>
        <v/>
      </c>
      <c r="BB681" s="121" t="str">
        <f t="shared" si="141"/>
        <v/>
      </c>
      <c r="BD681" s="121" t="str">
        <f>IF('Cable Info'!T385="","",CONCATENATE('Cable Info'!T385," - ",'Cable Info'!U385))</f>
        <v/>
      </c>
      <c r="BG681" s="121" t="str">
        <f t="shared" si="142"/>
        <v/>
      </c>
      <c r="BI681" s="121" t="str">
        <f>IF('Cable Info'!V385="","",CONCATENATE('Cable Info'!V385," - ",'Cable Info'!W385))</f>
        <v/>
      </c>
      <c r="BL681" s="121" t="str">
        <f t="shared" si="143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38"/>
        <v>#N/A</v>
      </c>
      <c r="AO682" s="121" t="e">
        <f>IF('Cable Info'!N386="","",CONCATENATE('Cable Info'!N386," - ",'Cable Info'!O386))</f>
        <v>#N/A</v>
      </c>
      <c r="AR682" s="121" t="e">
        <f t="shared" si="139"/>
        <v>#N/A</v>
      </c>
      <c r="AT682" s="121" t="e">
        <f>IF('Cable Info'!P386="","",CONCATENATE('Cable Info'!P386," - ",'Cable Info'!Q386))</f>
        <v>#N/A</v>
      </c>
      <c r="AW682" s="121" t="e">
        <f t="shared" si="140"/>
        <v>#N/A</v>
      </c>
      <c r="AY682" s="121" t="str">
        <f>IF('Cable Info'!R386="","",CONCATENATE('Cable Info'!R386," - ",'Cable Info'!S386))</f>
        <v/>
      </c>
      <c r="BB682" s="121" t="str">
        <f t="shared" si="141"/>
        <v/>
      </c>
      <c r="BD682" s="121" t="str">
        <f>IF('Cable Info'!T386="","",CONCATENATE('Cable Info'!T386," - ",'Cable Info'!U386))</f>
        <v/>
      </c>
      <c r="BG682" s="121" t="str">
        <f t="shared" si="142"/>
        <v/>
      </c>
      <c r="BI682" s="121" t="str">
        <f>IF('Cable Info'!V386="","",CONCATENATE('Cable Info'!V386," - ",'Cable Info'!W386))</f>
        <v/>
      </c>
      <c r="BL682" s="121" t="str">
        <f t="shared" si="143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4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45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46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47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48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49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4"/>
        <v>#N/A</v>
      </c>
      <c r="AO684" s="121" t="e">
        <f>IF('Cable Info'!N388="","",CONCATENATE('Cable Info'!N388," - ",'Cable Info'!O388))</f>
        <v>#N/A</v>
      </c>
      <c r="AR684" s="121" t="e">
        <f t="shared" si="145"/>
        <v>#N/A</v>
      </c>
      <c r="AT684" s="121" t="e">
        <f>IF('Cable Info'!P388="","",CONCATENATE('Cable Info'!P388," - ",'Cable Info'!Q388))</f>
        <v>#N/A</v>
      </c>
      <c r="AW684" s="121" t="e">
        <f t="shared" si="146"/>
        <v>#N/A</v>
      </c>
      <c r="AY684" s="121" t="str">
        <f>IF('Cable Info'!R388="","",CONCATENATE('Cable Info'!R388," - ",'Cable Info'!S388))</f>
        <v/>
      </c>
      <c r="BB684" s="121" t="str">
        <f t="shared" si="147"/>
        <v/>
      </c>
      <c r="BD684" s="121" t="str">
        <f>IF('Cable Info'!T388="","",CONCATENATE('Cable Info'!T388," - ",'Cable Info'!U388))</f>
        <v/>
      </c>
      <c r="BG684" s="121" t="str">
        <f t="shared" si="148"/>
        <v/>
      </c>
      <c r="BI684" s="121" t="str">
        <f>IF('Cable Info'!V388="","",CONCATENATE('Cable Info'!V388," - ",'Cable Info'!W388))</f>
        <v/>
      </c>
      <c r="BL684" s="121" t="str">
        <f t="shared" si="149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4"/>
        <v>#N/A</v>
      </c>
      <c r="AO685" s="121" t="e">
        <f>IF('Cable Info'!N389="","",CONCATENATE('Cable Info'!N389," - ",'Cable Info'!O389))</f>
        <v>#N/A</v>
      </c>
      <c r="AR685" s="121" t="e">
        <f t="shared" si="145"/>
        <v>#N/A</v>
      </c>
      <c r="AT685" s="121" t="e">
        <f>IF('Cable Info'!P389="","",CONCATENATE('Cable Info'!P389," - ",'Cable Info'!Q389))</f>
        <v>#N/A</v>
      </c>
      <c r="AW685" s="121" t="e">
        <f t="shared" si="146"/>
        <v>#N/A</v>
      </c>
      <c r="AY685" s="121" t="str">
        <f>IF('Cable Info'!R389="","",CONCATENATE('Cable Info'!R389," - ",'Cable Info'!S389))</f>
        <v/>
      </c>
      <c r="BB685" s="121" t="str">
        <f t="shared" si="147"/>
        <v/>
      </c>
      <c r="BD685" s="121" t="str">
        <f>IF('Cable Info'!T389="","",CONCATENATE('Cable Info'!T389," - ",'Cable Info'!U389))</f>
        <v/>
      </c>
      <c r="BG685" s="121" t="str">
        <f t="shared" si="148"/>
        <v/>
      </c>
      <c r="BI685" s="121" t="str">
        <f>IF('Cable Info'!V389="","",CONCATENATE('Cable Info'!V389," - ",'Cable Info'!W389))</f>
        <v/>
      </c>
      <c r="BL685" s="121" t="str">
        <f t="shared" si="149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4"/>
        <v>#N/A</v>
      </c>
      <c r="AO686" s="121" t="e">
        <f>IF('Cable Info'!N390="","",CONCATENATE('Cable Info'!N390," - ",'Cable Info'!O390))</f>
        <v>#N/A</v>
      </c>
      <c r="AR686" s="121" t="e">
        <f t="shared" si="145"/>
        <v>#N/A</v>
      </c>
      <c r="AT686" s="121" t="e">
        <f>IF('Cable Info'!P390="","",CONCATENATE('Cable Info'!P390," - ",'Cable Info'!Q390))</f>
        <v>#N/A</v>
      </c>
      <c r="AW686" s="121" t="e">
        <f t="shared" si="146"/>
        <v>#N/A</v>
      </c>
      <c r="AY686" s="121" t="str">
        <f>IF('Cable Info'!R390="","",CONCATENATE('Cable Info'!R390," - ",'Cable Info'!S390))</f>
        <v/>
      </c>
      <c r="BB686" s="121" t="str">
        <f t="shared" si="147"/>
        <v/>
      </c>
      <c r="BD686" s="121" t="str">
        <f>IF('Cable Info'!T390="","",CONCATENATE('Cable Info'!T390," - ",'Cable Info'!U390))</f>
        <v/>
      </c>
      <c r="BG686" s="121" t="str">
        <f t="shared" si="148"/>
        <v/>
      </c>
      <c r="BI686" s="121" t="str">
        <f>IF('Cable Info'!V390="","",CONCATENATE('Cable Info'!V390," - ",'Cable Info'!W390))</f>
        <v/>
      </c>
      <c r="BL686" s="121" t="str">
        <f t="shared" si="149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4"/>
        <v>#N/A</v>
      </c>
      <c r="AO687" s="121" t="e">
        <f>IF('Cable Info'!N391="","",CONCATENATE('Cable Info'!N391," - ",'Cable Info'!O391))</f>
        <v>#N/A</v>
      </c>
      <c r="AR687" s="121" t="e">
        <f t="shared" si="145"/>
        <v>#N/A</v>
      </c>
      <c r="AT687" s="121" t="e">
        <f>IF('Cable Info'!P391="","",CONCATENATE('Cable Info'!P391," - ",'Cable Info'!Q391))</f>
        <v>#N/A</v>
      </c>
      <c r="AW687" s="121" t="e">
        <f t="shared" si="146"/>
        <v>#N/A</v>
      </c>
      <c r="AY687" s="121" t="str">
        <f>IF('Cable Info'!R391="","",CONCATENATE('Cable Info'!R391," - ",'Cable Info'!S391))</f>
        <v/>
      </c>
      <c r="BB687" s="121" t="str">
        <f t="shared" si="147"/>
        <v/>
      </c>
      <c r="BD687" s="121" t="str">
        <f>IF('Cable Info'!T391="","",CONCATENATE('Cable Info'!T391," - ",'Cable Info'!U391))</f>
        <v/>
      </c>
      <c r="BG687" s="121" t="str">
        <f t="shared" si="148"/>
        <v/>
      </c>
      <c r="BI687" s="121" t="str">
        <f>IF('Cable Info'!V391="","",CONCATENATE('Cable Info'!V391," - ",'Cable Info'!W391))</f>
        <v/>
      </c>
      <c r="BL687" s="121" t="str">
        <f t="shared" si="149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4"/>
        <v>#N/A</v>
      </c>
      <c r="AO688" s="121" t="e">
        <f>IF('Cable Info'!N392="","",CONCATENATE('Cable Info'!N392," - ",'Cable Info'!O392))</f>
        <v>#N/A</v>
      </c>
      <c r="AR688" s="121" t="e">
        <f t="shared" si="145"/>
        <v>#N/A</v>
      </c>
      <c r="AT688" s="121" t="e">
        <f>IF('Cable Info'!P392="","",CONCATENATE('Cable Info'!P392," - ",'Cable Info'!Q392))</f>
        <v>#N/A</v>
      </c>
      <c r="AW688" s="121" t="e">
        <f t="shared" si="146"/>
        <v>#N/A</v>
      </c>
      <c r="AY688" s="121" t="str">
        <f>IF('Cable Info'!R392="","",CONCATENATE('Cable Info'!R392," - ",'Cable Info'!S392))</f>
        <v/>
      </c>
      <c r="BB688" s="121" t="str">
        <f t="shared" si="147"/>
        <v/>
      </c>
      <c r="BD688" s="121" t="str">
        <f>IF('Cable Info'!T392="","",CONCATENATE('Cable Info'!T392," - ",'Cable Info'!U392))</f>
        <v/>
      </c>
      <c r="BG688" s="121" t="str">
        <f t="shared" si="148"/>
        <v/>
      </c>
      <c r="BI688" s="121" t="str">
        <f>IF('Cable Info'!V392="","",CONCATENATE('Cable Info'!V392," - ",'Cable Info'!W392))</f>
        <v/>
      </c>
      <c r="BL688" s="121" t="str">
        <f t="shared" si="149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4"/>
        <v>#N/A</v>
      </c>
      <c r="AO689" s="121" t="e">
        <f>IF('Cable Info'!N393="","",CONCATENATE('Cable Info'!N393," - ",'Cable Info'!O393))</f>
        <v>#N/A</v>
      </c>
      <c r="AR689" s="121" t="e">
        <f t="shared" si="145"/>
        <v>#N/A</v>
      </c>
      <c r="AT689" s="121" t="e">
        <f>IF('Cable Info'!P393="","",CONCATENATE('Cable Info'!P393," - ",'Cable Info'!Q393))</f>
        <v>#N/A</v>
      </c>
      <c r="AW689" s="121" t="e">
        <f t="shared" si="146"/>
        <v>#N/A</v>
      </c>
      <c r="AY689" s="121" t="str">
        <f>IF('Cable Info'!R393="","",CONCATENATE('Cable Info'!R393," - ",'Cable Info'!S393))</f>
        <v/>
      </c>
      <c r="BB689" s="121" t="str">
        <f t="shared" si="147"/>
        <v/>
      </c>
      <c r="BD689" s="121" t="str">
        <f>IF('Cable Info'!T393="","",CONCATENATE('Cable Info'!T393," - ",'Cable Info'!U393))</f>
        <v/>
      </c>
      <c r="BG689" s="121" t="str">
        <f t="shared" si="148"/>
        <v/>
      </c>
      <c r="BI689" s="121" t="str">
        <f>IF('Cable Info'!V393="","",CONCATENATE('Cable Info'!V393," - ",'Cable Info'!W393))</f>
        <v/>
      </c>
      <c r="BL689" s="121" t="str">
        <f t="shared" si="149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4"/>
        <v>#N/A</v>
      </c>
      <c r="AO690" s="121" t="e">
        <f>IF('Cable Info'!N394="","",CONCATENATE('Cable Info'!N394," - ",'Cable Info'!O394))</f>
        <v>#N/A</v>
      </c>
      <c r="AR690" s="121" t="e">
        <f t="shared" si="145"/>
        <v>#N/A</v>
      </c>
      <c r="AT690" s="121" t="e">
        <f>IF('Cable Info'!P394="","",CONCATENATE('Cable Info'!P394," - ",'Cable Info'!Q394))</f>
        <v>#N/A</v>
      </c>
      <c r="AW690" s="121" t="e">
        <f t="shared" si="146"/>
        <v>#N/A</v>
      </c>
      <c r="AY690" s="121" t="str">
        <f>IF('Cable Info'!R394="","",CONCATENATE('Cable Info'!R394," - ",'Cable Info'!S394))</f>
        <v/>
      </c>
      <c r="BB690" s="121" t="str">
        <f t="shared" si="147"/>
        <v/>
      </c>
      <c r="BD690" s="121" t="str">
        <f>IF('Cable Info'!T394="","",CONCATENATE('Cable Info'!T394," - ",'Cable Info'!U394))</f>
        <v/>
      </c>
      <c r="BG690" s="121" t="str">
        <f t="shared" si="148"/>
        <v/>
      </c>
      <c r="BI690" s="121" t="str">
        <f>IF('Cable Info'!V394="","",CONCATENATE('Cable Info'!V394," - ",'Cable Info'!W394))</f>
        <v/>
      </c>
      <c r="BL690" s="121" t="str">
        <f t="shared" si="149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4"/>
        <v>#N/A</v>
      </c>
      <c r="AO691" s="121" t="e">
        <f>IF('Cable Info'!N395="","",CONCATENATE('Cable Info'!N395," - ",'Cable Info'!O395))</f>
        <v>#N/A</v>
      </c>
      <c r="AR691" s="121" t="e">
        <f t="shared" si="145"/>
        <v>#N/A</v>
      </c>
      <c r="AT691" s="121" t="e">
        <f>IF('Cable Info'!P395="","",CONCATENATE('Cable Info'!P395," - ",'Cable Info'!Q395))</f>
        <v>#N/A</v>
      </c>
      <c r="AW691" s="121" t="e">
        <f t="shared" si="146"/>
        <v>#N/A</v>
      </c>
      <c r="AY691" s="121" t="str">
        <f>IF('Cable Info'!R395="","",CONCATENATE('Cable Info'!R395," - ",'Cable Info'!S395))</f>
        <v/>
      </c>
      <c r="BB691" s="121" t="str">
        <f t="shared" si="147"/>
        <v/>
      </c>
      <c r="BD691" s="121" t="str">
        <f>IF('Cable Info'!T395="","",CONCATENATE('Cable Info'!T395," - ",'Cable Info'!U395))</f>
        <v/>
      </c>
      <c r="BG691" s="121" t="str">
        <f t="shared" si="148"/>
        <v/>
      </c>
      <c r="BI691" s="121" t="str">
        <f>IF('Cable Info'!V395="","",CONCATENATE('Cable Info'!V395," - ",'Cable Info'!W395))</f>
        <v/>
      </c>
      <c r="BL691" s="121" t="str">
        <f t="shared" si="149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4"/>
        <v>#N/A</v>
      </c>
      <c r="AO692" s="121" t="e">
        <f>IF('Cable Info'!N396="","",CONCATENATE('Cable Info'!N396," - ",'Cable Info'!O396))</f>
        <v>#N/A</v>
      </c>
      <c r="AR692" s="121" t="e">
        <f t="shared" si="145"/>
        <v>#N/A</v>
      </c>
      <c r="AT692" s="121" t="e">
        <f>IF('Cable Info'!P396="","",CONCATENATE('Cable Info'!P396," - ",'Cable Info'!Q396))</f>
        <v>#N/A</v>
      </c>
      <c r="AW692" s="121" t="e">
        <f t="shared" si="146"/>
        <v>#N/A</v>
      </c>
      <c r="AY692" s="121" t="str">
        <f>IF('Cable Info'!R396="","",CONCATENATE('Cable Info'!R396," - ",'Cable Info'!S396))</f>
        <v/>
      </c>
      <c r="BB692" s="121" t="str">
        <f t="shared" si="147"/>
        <v/>
      </c>
      <c r="BD692" s="121" t="str">
        <f>IF('Cable Info'!T396="","",CONCATENATE('Cable Info'!T396," - ",'Cable Info'!U396))</f>
        <v/>
      </c>
      <c r="BG692" s="121" t="str">
        <f t="shared" si="148"/>
        <v/>
      </c>
      <c r="BI692" s="121" t="str">
        <f>IF('Cable Info'!V396="","",CONCATENATE('Cable Info'!V396," - ",'Cable Info'!W396))</f>
        <v/>
      </c>
      <c r="BL692" s="121" t="str">
        <f t="shared" si="149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4"/>
        <v>#N/A</v>
      </c>
      <c r="AO693" s="121" t="e">
        <f>IF('Cable Info'!N397="","",CONCATENATE('Cable Info'!N397," - ",'Cable Info'!O397))</f>
        <v>#N/A</v>
      </c>
      <c r="AR693" s="121" t="e">
        <f t="shared" si="145"/>
        <v>#N/A</v>
      </c>
      <c r="AT693" s="121" t="e">
        <f>IF('Cable Info'!P397="","",CONCATENATE('Cable Info'!P397," - ",'Cable Info'!Q397))</f>
        <v>#N/A</v>
      </c>
      <c r="AW693" s="121" t="e">
        <f t="shared" si="146"/>
        <v>#N/A</v>
      </c>
      <c r="AY693" s="121" t="str">
        <f>IF('Cable Info'!R397="","",CONCATENATE('Cable Info'!R397," - ",'Cable Info'!S397))</f>
        <v/>
      </c>
      <c r="BB693" s="121" t="str">
        <f t="shared" si="147"/>
        <v/>
      </c>
      <c r="BD693" s="121" t="str">
        <f>IF('Cable Info'!T397="","",CONCATENATE('Cable Info'!T397," - ",'Cable Info'!U397))</f>
        <v/>
      </c>
      <c r="BG693" s="121" t="str">
        <f t="shared" si="148"/>
        <v/>
      </c>
      <c r="BI693" s="121" t="str">
        <f>IF('Cable Info'!V397="","",CONCATENATE('Cable Info'!V397," - ",'Cable Info'!W397))</f>
        <v/>
      </c>
      <c r="BL693" s="121" t="str">
        <f t="shared" si="149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4"/>
        <v>#N/A</v>
      </c>
      <c r="AO694" s="121" t="e">
        <f>IF('Cable Info'!N398="","",CONCATENATE('Cable Info'!N398," - ",'Cable Info'!O398))</f>
        <v>#N/A</v>
      </c>
      <c r="AR694" s="121" t="e">
        <f t="shared" si="145"/>
        <v>#N/A</v>
      </c>
      <c r="AT694" s="121" t="e">
        <f>IF('Cable Info'!P398="","",CONCATENATE('Cable Info'!P398," - ",'Cable Info'!Q398))</f>
        <v>#N/A</v>
      </c>
      <c r="AW694" s="121" t="e">
        <f t="shared" si="146"/>
        <v>#N/A</v>
      </c>
      <c r="AY694" s="121" t="str">
        <f>IF('Cable Info'!R398="","",CONCATENATE('Cable Info'!R398," - ",'Cable Info'!S398))</f>
        <v/>
      </c>
      <c r="BB694" s="121" t="str">
        <f t="shared" si="147"/>
        <v/>
      </c>
      <c r="BD694" s="121" t="str">
        <f>IF('Cable Info'!T398="","",CONCATENATE('Cable Info'!T398," - ",'Cable Info'!U398))</f>
        <v/>
      </c>
      <c r="BG694" s="121" t="str">
        <f t="shared" si="148"/>
        <v/>
      </c>
      <c r="BI694" s="121" t="str">
        <f>IF('Cable Info'!V398="","",CONCATENATE('Cable Info'!V398," - ",'Cable Info'!W398))</f>
        <v/>
      </c>
      <c r="BL694" s="121" t="str">
        <f t="shared" si="149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4"/>
        <v>#N/A</v>
      </c>
      <c r="AO695" s="121" t="e">
        <f>IF('Cable Info'!N399="","",CONCATENATE('Cable Info'!N399," - ",'Cable Info'!O399))</f>
        <v>#N/A</v>
      </c>
      <c r="AR695" s="121" t="e">
        <f t="shared" si="145"/>
        <v>#N/A</v>
      </c>
      <c r="AT695" s="121" t="e">
        <f>IF('Cable Info'!P399="","",CONCATENATE('Cable Info'!P399," - ",'Cable Info'!Q399))</f>
        <v>#N/A</v>
      </c>
      <c r="AW695" s="121" t="e">
        <f t="shared" si="146"/>
        <v>#N/A</v>
      </c>
      <c r="AY695" s="121" t="str">
        <f>IF('Cable Info'!R399="","",CONCATENATE('Cable Info'!R399," - ",'Cable Info'!S399))</f>
        <v/>
      </c>
      <c r="BB695" s="121" t="str">
        <f t="shared" si="147"/>
        <v/>
      </c>
      <c r="BD695" s="121" t="str">
        <f>IF('Cable Info'!T399="","",CONCATENATE('Cable Info'!T399," - ",'Cable Info'!U399))</f>
        <v/>
      </c>
      <c r="BG695" s="121" t="str">
        <f t="shared" si="148"/>
        <v/>
      </c>
      <c r="BI695" s="121" t="str">
        <f>IF('Cable Info'!V399="","",CONCATENATE('Cable Info'!V399," - ",'Cable Info'!W399))</f>
        <v/>
      </c>
      <c r="BL695" s="121" t="str">
        <f t="shared" si="149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4"/>
        <v>#N/A</v>
      </c>
      <c r="AO696" s="121" t="e">
        <f>IF('Cable Info'!N400="","",CONCATENATE('Cable Info'!N400," - ",'Cable Info'!O400))</f>
        <v>#N/A</v>
      </c>
      <c r="AR696" s="121" t="e">
        <f t="shared" si="145"/>
        <v>#N/A</v>
      </c>
      <c r="AT696" s="121" t="e">
        <f>IF('Cable Info'!P400="","",CONCATENATE('Cable Info'!P400," - ",'Cable Info'!Q400))</f>
        <v>#N/A</v>
      </c>
      <c r="AW696" s="121" t="e">
        <f t="shared" si="146"/>
        <v>#N/A</v>
      </c>
      <c r="AY696" s="121" t="str">
        <f>IF('Cable Info'!R400="","",CONCATENATE('Cable Info'!R400," - ",'Cable Info'!S400))</f>
        <v/>
      </c>
      <c r="BB696" s="121" t="str">
        <f t="shared" si="147"/>
        <v/>
      </c>
      <c r="BD696" s="121" t="str">
        <f>IF('Cable Info'!T400="","",CONCATENATE('Cable Info'!T400," - ",'Cable Info'!U400))</f>
        <v/>
      </c>
      <c r="BG696" s="121" t="str">
        <f t="shared" si="148"/>
        <v/>
      </c>
      <c r="BI696" s="121" t="str">
        <f>IF('Cable Info'!V400="","",CONCATENATE('Cable Info'!V400," - ",'Cable Info'!W400))</f>
        <v/>
      </c>
      <c r="BL696" s="121" t="str">
        <f t="shared" si="149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4"/>
        <v>#N/A</v>
      </c>
      <c r="AO697" s="121" t="e">
        <f>IF('Cable Info'!N401="","",CONCATENATE('Cable Info'!N401," - ",'Cable Info'!O401))</f>
        <v>#N/A</v>
      </c>
      <c r="AR697" s="121" t="e">
        <f t="shared" si="145"/>
        <v>#N/A</v>
      </c>
      <c r="AT697" s="121" t="e">
        <f>IF('Cable Info'!P401="","",CONCATENATE('Cable Info'!P401," - ",'Cable Info'!Q401))</f>
        <v>#N/A</v>
      </c>
      <c r="AW697" s="121" t="e">
        <f t="shared" si="146"/>
        <v>#N/A</v>
      </c>
      <c r="AY697" s="121" t="str">
        <f>IF('Cable Info'!R401="","",CONCATENATE('Cable Info'!R401," - ",'Cable Info'!S401))</f>
        <v/>
      </c>
      <c r="BB697" s="121" t="str">
        <f t="shared" si="147"/>
        <v/>
      </c>
      <c r="BD697" s="121" t="str">
        <f>IF('Cable Info'!T401="","",CONCATENATE('Cable Info'!T401," - ",'Cable Info'!U401))</f>
        <v/>
      </c>
      <c r="BG697" s="121" t="str">
        <f t="shared" si="148"/>
        <v/>
      </c>
      <c r="BI697" s="121" t="str">
        <f>IF('Cable Info'!V401="","",CONCATENATE('Cable Info'!V401," - ",'Cable Info'!W401))</f>
        <v/>
      </c>
      <c r="BL697" s="121" t="str">
        <f t="shared" si="149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4"/>
        <v>#N/A</v>
      </c>
      <c r="AO698" s="121" t="e">
        <f>IF('Cable Info'!N402="","",CONCATENATE('Cable Info'!N402," - ",'Cable Info'!O402))</f>
        <v>#N/A</v>
      </c>
      <c r="AR698" s="121" t="e">
        <f t="shared" si="145"/>
        <v>#N/A</v>
      </c>
      <c r="AT698" s="121" t="e">
        <f>IF('Cable Info'!P402="","",CONCATENATE('Cable Info'!P402," - ",'Cable Info'!Q402))</f>
        <v>#N/A</v>
      </c>
      <c r="AW698" s="121" t="e">
        <f t="shared" si="146"/>
        <v>#N/A</v>
      </c>
      <c r="AY698" s="121" t="str">
        <f>IF('Cable Info'!R402="","",CONCATENATE('Cable Info'!R402," - ",'Cable Info'!S402))</f>
        <v/>
      </c>
      <c r="BB698" s="121" t="str">
        <f t="shared" si="147"/>
        <v/>
      </c>
      <c r="BD698" s="121" t="str">
        <f>IF('Cable Info'!T402="","",CONCATENATE('Cable Info'!T402," - ",'Cable Info'!U402))</f>
        <v/>
      </c>
      <c r="BG698" s="121" t="str">
        <f t="shared" si="148"/>
        <v/>
      </c>
      <c r="BI698" s="121" t="str">
        <f>IF('Cable Info'!V402="","",CONCATENATE('Cable Info'!V402," - ",'Cable Info'!W402))</f>
        <v/>
      </c>
      <c r="BL698" s="121" t="str">
        <f t="shared" si="149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4"/>
        <v>#N/A</v>
      </c>
      <c r="AO699" s="121" t="e">
        <f>IF('Cable Info'!N403="","",CONCATENATE('Cable Info'!N403," - ",'Cable Info'!O403))</f>
        <v>#N/A</v>
      </c>
      <c r="AR699" s="121" t="e">
        <f t="shared" si="145"/>
        <v>#N/A</v>
      </c>
      <c r="AT699" s="121" t="e">
        <f>IF('Cable Info'!P403="","",CONCATENATE('Cable Info'!P403," - ",'Cable Info'!Q403))</f>
        <v>#N/A</v>
      </c>
      <c r="AW699" s="121" t="e">
        <f t="shared" si="146"/>
        <v>#N/A</v>
      </c>
      <c r="AY699" s="121" t="str">
        <f>IF('Cable Info'!R403="","",CONCATENATE('Cable Info'!R403," - ",'Cable Info'!S403))</f>
        <v/>
      </c>
      <c r="BB699" s="121" t="str">
        <f t="shared" si="147"/>
        <v/>
      </c>
      <c r="BD699" s="121" t="str">
        <f>IF('Cable Info'!T403="","",CONCATENATE('Cable Info'!T403," - ",'Cable Info'!U403))</f>
        <v/>
      </c>
      <c r="BG699" s="121" t="str">
        <f t="shared" si="148"/>
        <v/>
      </c>
      <c r="BI699" s="121" t="str">
        <f>IF('Cable Info'!V403="","",CONCATENATE('Cable Info'!V403," - ",'Cable Info'!W403))</f>
        <v/>
      </c>
      <c r="BL699" s="121" t="str">
        <f t="shared" si="149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4"/>
        <v>#N/A</v>
      </c>
      <c r="AO700" s="121" t="e">
        <f>IF('Cable Info'!N404="","",CONCATENATE('Cable Info'!N404," - ",'Cable Info'!O404))</f>
        <v>#N/A</v>
      </c>
      <c r="AR700" s="121" t="e">
        <f t="shared" si="145"/>
        <v>#N/A</v>
      </c>
      <c r="AT700" s="121" t="e">
        <f>IF('Cable Info'!P404="","",CONCATENATE('Cable Info'!P404," - ",'Cable Info'!Q404))</f>
        <v>#N/A</v>
      </c>
      <c r="AW700" s="121" t="e">
        <f t="shared" si="146"/>
        <v>#N/A</v>
      </c>
      <c r="AY700" s="121" t="str">
        <f>IF('Cable Info'!R404="","",CONCATENATE('Cable Info'!R404," - ",'Cable Info'!S404))</f>
        <v/>
      </c>
      <c r="BB700" s="121" t="str">
        <f t="shared" si="147"/>
        <v/>
      </c>
      <c r="BD700" s="121" t="str">
        <f>IF('Cable Info'!T404="","",CONCATENATE('Cable Info'!T404," - ",'Cable Info'!U404))</f>
        <v/>
      </c>
      <c r="BG700" s="121" t="str">
        <f t="shared" si="148"/>
        <v/>
      </c>
      <c r="BI700" s="121" t="str">
        <f>IF('Cable Info'!V404="","",CONCATENATE('Cable Info'!V404," - ",'Cable Info'!W404))</f>
        <v/>
      </c>
      <c r="BL700" s="121" t="str">
        <f t="shared" si="149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4"/>
        <v>#N/A</v>
      </c>
      <c r="AO701" s="121" t="e">
        <f>IF('Cable Info'!N405="","",CONCATENATE('Cable Info'!N405," - ",'Cable Info'!O405))</f>
        <v>#N/A</v>
      </c>
      <c r="AR701" s="121" t="e">
        <f t="shared" si="145"/>
        <v>#N/A</v>
      </c>
      <c r="AT701" s="121" t="e">
        <f>IF('Cable Info'!P405="","",CONCATENATE('Cable Info'!P405," - ",'Cable Info'!Q405))</f>
        <v>#N/A</v>
      </c>
      <c r="AW701" s="121" t="e">
        <f t="shared" si="146"/>
        <v>#N/A</v>
      </c>
      <c r="AY701" s="121" t="str">
        <f>IF('Cable Info'!R405="","",CONCATENATE('Cable Info'!R405," - ",'Cable Info'!S405))</f>
        <v/>
      </c>
      <c r="BB701" s="121" t="str">
        <f t="shared" si="147"/>
        <v/>
      </c>
      <c r="BD701" s="121" t="str">
        <f>IF('Cable Info'!T405="","",CONCATENATE('Cable Info'!T405," - ",'Cable Info'!U405))</f>
        <v/>
      </c>
      <c r="BG701" s="121" t="str">
        <f t="shared" si="148"/>
        <v/>
      </c>
      <c r="BI701" s="121" t="str">
        <f>IF('Cable Info'!V405="","",CONCATENATE('Cable Info'!V405," - ",'Cable Info'!W405))</f>
        <v/>
      </c>
      <c r="BL701" s="121" t="str">
        <f t="shared" si="149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4"/>
        <v>#N/A</v>
      </c>
      <c r="AO702" s="121" t="e">
        <f>IF('Cable Info'!N406="","",CONCATENATE('Cable Info'!N406," - ",'Cable Info'!O406))</f>
        <v>#N/A</v>
      </c>
      <c r="AR702" s="121" t="e">
        <f t="shared" si="145"/>
        <v>#N/A</v>
      </c>
      <c r="AT702" s="121" t="e">
        <f>IF('Cable Info'!P406="","",CONCATENATE('Cable Info'!P406," - ",'Cable Info'!Q406))</f>
        <v>#N/A</v>
      </c>
      <c r="AW702" s="121" t="e">
        <f t="shared" si="146"/>
        <v>#N/A</v>
      </c>
      <c r="AY702" s="121" t="str">
        <f>IF('Cable Info'!R406="","",CONCATENATE('Cable Info'!R406," - ",'Cable Info'!S406))</f>
        <v/>
      </c>
      <c r="BB702" s="121" t="str">
        <f t="shared" si="147"/>
        <v/>
      </c>
      <c r="BD702" s="121" t="str">
        <f>IF('Cable Info'!T406="","",CONCATENATE('Cable Info'!T406," - ",'Cable Info'!U406))</f>
        <v/>
      </c>
      <c r="BG702" s="121" t="str">
        <f t="shared" si="148"/>
        <v/>
      </c>
      <c r="BI702" s="121" t="str">
        <f>IF('Cable Info'!V406="","",CONCATENATE('Cable Info'!V406," - ",'Cable Info'!W406))</f>
        <v/>
      </c>
      <c r="BL702" s="121" t="str">
        <f t="shared" si="149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4"/>
        <v>#N/A</v>
      </c>
      <c r="AO703" s="121" t="e">
        <f>IF('Cable Info'!N407="","",CONCATENATE('Cable Info'!N407," - ",'Cable Info'!O407))</f>
        <v>#N/A</v>
      </c>
      <c r="AR703" s="121" t="e">
        <f t="shared" si="145"/>
        <v>#N/A</v>
      </c>
      <c r="AT703" s="121" t="e">
        <f>IF('Cable Info'!P407="","",CONCATENATE('Cable Info'!P407," - ",'Cable Info'!Q407))</f>
        <v>#N/A</v>
      </c>
      <c r="AW703" s="121" t="e">
        <f t="shared" si="146"/>
        <v>#N/A</v>
      </c>
      <c r="AY703" s="121" t="str">
        <f>IF('Cable Info'!R407="","",CONCATENATE('Cable Info'!R407," - ",'Cable Info'!S407))</f>
        <v/>
      </c>
      <c r="BB703" s="121" t="str">
        <f t="shared" si="147"/>
        <v/>
      </c>
      <c r="BD703" s="121" t="str">
        <f>IF('Cable Info'!T407="","",CONCATENATE('Cable Info'!T407," - ",'Cable Info'!U407))</f>
        <v/>
      </c>
      <c r="BG703" s="121" t="str">
        <f t="shared" si="148"/>
        <v/>
      </c>
      <c r="BI703" s="121" t="str">
        <f>IF('Cable Info'!V407="","",CONCATENATE('Cable Info'!V407," - ",'Cable Info'!W407))</f>
        <v/>
      </c>
      <c r="BL703" s="121" t="str">
        <f t="shared" si="149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4"/>
        <v>#N/A</v>
      </c>
      <c r="AO704" s="121" t="e">
        <f>IF('Cable Info'!N408="","",CONCATENATE('Cable Info'!N408," - ",'Cable Info'!O408))</f>
        <v>#N/A</v>
      </c>
      <c r="AR704" s="121" t="e">
        <f t="shared" si="145"/>
        <v>#N/A</v>
      </c>
      <c r="AT704" s="121" t="e">
        <f>IF('Cable Info'!P408="","",CONCATENATE('Cable Info'!P408," - ",'Cable Info'!Q408))</f>
        <v>#N/A</v>
      </c>
      <c r="AW704" s="121" t="e">
        <f t="shared" si="146"/>
        <v>#N/A</v>
      </c>
      <c r="AY704" s="121" t="str">
        <f>IF('Cable Info'!R408="","",CONCATENATE('Cable Info'!R408," - ",'Cable Info'!S408))</f>
        <v/>
      </c>
      <c r="BB704" s="121" t="str">
        <f t="shared" si="147"/>
        <v/>
      </c>
      <c r="BD704" s="121" t="str">
        <f>IF('Cable Info'!T408="","",CONCATENATE('Cable Info'!T408," - ",'Cable Info'!U408))</f>
        <v/>
      </c>
      <c r="BG704" s="121" t="str">
        <f t="shared" si="148"/>
        <v/>
      </c>
      <c r="BI704" s="121" t="str">
        <f>IF('Cable Info'!V408="","",CONCATENATE('Cable Info'!V408," - ",'Cable Info'!W408))</f>
        <v/>
      </c>
      <c r="BL704" s="121" t="str">
        <f t="shared" si="149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4"/>
        <v>#N/A</v>
      </c>
      <c r="AO705" s="121" t="e">
        <f>IF('Cable Info'!N409="","",CONCATENATE('Cable Info'!N409," - ",'Cable Info'!O409))</f>
        <v>#N/A</v>
      </c>
      <c r="AR705" s="121" t="e">
        <f t="shared" si="145"/>
        <v>#N/A</v>
      </c>
      <c r="AT705" s="121" t="e">
        <f>IF('Cable Info'!P409="","",CONCATENATE('Cable Info'!P409," - ",'Cable Info'!Q409))</f>
        <v>#N/A</v>
      </c>
      <c r="AW705" s="121" t="e">
        <f t="shared" si="146"/>
        <v>#N/A</v>
      </c>
      <c r="AY705" s="121" t="str">
        <f>IF('Cable Info'!R409="","",CONCATENATE('Cable Info'!R409," - ",'Cable Info'!S409))</f>
        <v/>
      </c>
      <c r="BB705" s="121" t="str">
        <f t="shared" si="147"/>
        <v/>
      </c>
      <c r="BD705" s="121" t="str">
        <f>IF('Cable Info'!T409="","",CONCATENATE('Cable Info'!T409," - ",'Cable Info'!U409))</f>
        <v/>
      </c>
      <c r="BG705" s="121" t="str">
        <f t="shared" si="148"/>
        <v/>
      </c>
      <c r="BI705" s="121" t="str">
        <f>IF('Cable Info'!V409="","",CONCATENATE('Cable Info'!V409," - ",'Cable Info'!W409))</f>
        <v/>
      </c>
      <c r="BL705" s="121" t="str">
        <f t="shared" si="149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4"/>
        <v>#N/A</v>
      </c>
      <c r="AO706" s="121" t="e">
        <f>IF('Cable Info'!N410="","",CONCATENATE('Cable Info'!N410," - ",'Cable Info'!O410))</f>
        <v>#N/A</v>
      </c>
      <c r="AR706" s="121" t="e">
        <f t="shared" si="145"/>
        <v>#N/A</v>
      </c>
      <c r="AT706" s="121" t="e">
        <f>IF('Cable Info'!P410="","",CONCATENATE('Cable Info'!P410," - ",'Cable Info'!Q410))</f>
        <v>#N/A</v>
      </c>
      <c r="AW706" s="121" t="e">
        <f t="shared" si="146"/>
        <v>#N/A</v>
      </c>
      <c r="AY706" s="121" t="str">
        <f>IF('Cable Info'!R410="","",CONCATENATE('Cable Info'!R410," - ",'Cable Info'!S410))</f>
        <v/>
      </c>
      <c r="BB706" s="121" t="str">
        <f t="shared" si="147"/>
        <v/>
      </c>
      <c r="BD706" s="121" t="str">
        <f>IF('Cable Info'!T410="","",CONCATENATE('Cable Info'!T410," - ",'Cable Info'!U410))</f>
        <v/>
      </c>
      <c r="BG706" s="121" t="str">
        <f t="shared" si="148"/>
        <v/>
      </c>
      <c r="BI706" s="121" t="str">
        <f>IF('Cable Info'!V410="","",CONCATENATE('Cable Info'!V410," - ",'Cable Info'!W410))</f>
        <v/>
      </c>
      <c r="BL706" s="121" t="str">
        <f t="shared" si="149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4"/>
        <v>#N/A</v>
      </c>
      <c r="AO707" s="121" t="e">
        <f>IF('Cable Info'!N411="","",CONCATENATE('Cable Info'!N411," - ",'Cable Info'!O411))</f>
        <v>#N/A</v>
      </c>
      <c r="AR707" s="121" t="e">
        <f t="shared" si="145"/>
        <v>#N/A</v>
      </c>
      <c r="AT707" s="121" t="e">
        <f>IF('Cable Info'!P411="","",CONCATENATE('Cable Info'!P411," - ",'Cable Info'!Q411))</f>
        <v>#N/A</v>
      </c>
      <c r="AW707" s="121" t="e">
        <f t="shared" si="146"/>
        <v>#N/A</v>
      </c>
      <c r="AY707" s="121" t="str">
        <f>IF('Cable Info'!R411="","",CONCATENATE('Cable Info'!R411," - ",'Cable Info'!S411))</f>
        <v/>
      </c>
      <c r="BB707" s="121" t="str">
        <f t="shared" si="147"/>
        <v/>
      </c>
      <c r="BD707" s="121" t="str">
        <f>IF('Cable Info'!T411="","",CONCATENATE('Cable Info'!T411," - ",'Cable Info'!U411))</f>
        <v/>
      </c>
      <c r="BG707" s="121" t="str">
        <f t="shared" si="148"/>
        <v/>
      </c>
      <c r="BI707" s="121" t="str">
        <f>IF('Cable Info'!V411="","",CONCATENATE('Cable Info'!V411," - ",'Cable Info'!W411))</f>
        <v/>
      </c>
      <c r="BL707" s="121" t="str">
        <f t="shared" si="149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4"/>
        <v>#N/A</v>
      </c>
      <c r="AO708" s="121" t="e">
        <f>IF('Cable Info'!N412="","",CONCATENATE('Cable Info'!N412," - ",'Cable Info'!O412))</f>
        <v>#N/A</v>
      </c>
      <c r="AR708" s="121" t="e">
        <f t="shared" si="145"/>
        <v>#N/A</v>
      </c>
      <c r="AT708" s="121" t="e">
        <f>IF('Cable Info'!P412="","",CONCATENATE('Cable Info'!P412," - ",'Cable Info'!Q412))</f>
        <v>#N/A</v>
      </c>
      <c r="AW708" s="121" t="e">
        <f t="shared" si="146"/>
        <v>#N/A</v>
      </c>
      <c r="AY708" s="121" t="str">
        <f>IF('Cable Info'!R412="","",CONCATENATE('Cable Info'!R412," - ",'Cable Info'!S412))</f>
        <v/>
      </c>
      <c r="BB708" s="121" t="str">
        <f t="shared" si="147"/>
        <v/>
      </c>
      <c r="BD708" s="121" t="str">
        <f>IF('Cable Info'!T412="","",CONCATENATE('Cable Info'!T412," - ",'Cable Info'!U412))</f>
        <v/>
      </c>
      <c r="BG708" s="121" t="str">
        <f t="shared" si="148"/>
        <v/>
      </c>
      <c r="BI708" s="121" t="str">
        <f>IF('Cable Info'!V412="","",CONCATENATE('Cable Info'!V412," - ",'Cable Info'!W412))</f>
        <v/>
      </c>
      <c r="BL708" s="121" t="str">
        <f t="shared" si="149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4"/>
        <v>#N/A</v>
      </c>
      <c r="AO709" s="121" t="e">
        <f>IF('Cable Info'!N413="","",CONCATENATE('Cable Info'!N413," - ",'Cable Info'!O413))</f>
        <v>#N/A</v>
      </c>
      <c r="AR709" s="121" t="e">
        <f t="shared" si="145"/>
        <v>#N/A</v>
      </c>
      <c r="AT709" s="121" t="e">
        <f>IF('Cable Info'!P413="","",CONCATENATE('Cable Info'!P413," - ",'Cable Info'!Q413))</f>
        <v>#N/A</v>
      </c>
      <c r="AW709" s="121" t="e">
        <f t="shared" si="146"/>
        <v>#N/A</v>
      </c>
      <c r="AY709" s="121" t="str">
        <f>IF('Cable Info'!R413="","",CONCATENATE('Cable Info'!R413," - ",'Cable Info'!S413))</f>
        <v/>
      </c>
      <c r="BB709" s="121" t="str">
        <f t="shared" si="147"/>
        <v/>
      </c>
      <c r="BD709" s="121" t="str">
        <f>IF('Cable Info'!T413="","",CONCATENATE('Cable Info'!T413," - ",'Cable Info'!U413))</f>
        <v/>
      </c>
      <c r="BG709" s="121" t="str">
        <f t="shared" si="148"/>
        <v/>
      </c>
      <c r="BI709" s="121" t="str">
        <f>IF('Cable Info'!V413="","",CONCATENATE('Cable Info'!V413," - ",'Cable Info'!W413))</f>
        <v/>
      </c>
      <c r="BL709" s="121" t="str">
        <f t="shared" si="149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4"/>
        <v>#N/A</v>
      </c>
      <c r="AO710" s="121" t="e">
        <f>IF('Cable Info'!N414="","",CONCATENATE('Cable Info'!N414," - ",'Cable Info'!O414))</f>
        <v>#N/A</v>
      </c>
      <c r="AR710" s="121" t="e">
        <f t="shared" si="145"/>
        <v>#N/A</v>
      </c>
      <c r="AT710" s="121" t="e">
        <f>IF('Cable Info'!P414="","",CONCATENATE('Cable Info'!P414," - ",'Cable Info'!Q414))</f>
        <v>#N/A</v>
      </c>
      <c r="AW710" s="121" t="e">
        <f t="shared" si="146"/>
        <v>#N/A</v>
      </c>
      <c r="AY710" s="121" t="str">
        <f>IF('Cable Info'!R414="","",CONCATENATE('Cable Info'!R414," - ",'Cable Info'!S414))</f>
        <v/>
      </c>
      <c r="BB710" s="121" t="str">
        <f t="shared" si="147"/>
        <v/>
      </c>
      <c r="BD710" s="121" t="str">
        <f>IF('Cable Info'!T414="","",CONCATENATE('Cable Info'!T414," - ",'Cable Info'!U414))</f>
        <v/>
      </c>
      <c r="BG710" s="121" t="str">
        <f t="shared" si="148"/>
        <v/>
      </c>
      <c r="BI710" s="121" t="str">
        <f>IF('Cable Info'!V414="","",CONCATENATE('Cable Info'!V414," - ",'Cable Info'!W414))</f>
        <v/>
      </c>
      <c r="BL710" s="121" t="str">
        <f t="shared" si="149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4"/>
        <v>#N/A</v>
      </c>
      <c r="AO711" s="121" t="e">
        <f>IF('Cable Info'!N415="","",CONCATENATE('Cable Info'!N415," - ",'Cable Info'!O415))</f>
        <v>#N/A</v>
      </c>
      <c r="AR711" s="121" t="e">
        <f t="shared" si="145"/>
        <v>#N/A</v>
      </c>
      <c r="AT711" s="121" t="e">
        <f>IF('Cable Info'!P415="","",CONCATENATE('Cable Info'!P415," - ",'Cable Info'!Q415))</f>
        <v>#N/A</v>
      </c>
      <c r="AW711" s="121" t="e">
        <f t="shared" si="146"/>
        <v>#N/A</v>
      </c>
      <c r="AY711" s="121" t="str">
        <f>IF('Cable Info'!R415="","",CONCATENATE('Cable Info'!R415," - ",'Cable Info'!S415))</f>
        <v/>
      </c>
      <c r="BB711" s="121" t="str">
        <f t="shared" si="147"/>
        <v/>
      </c>
      <c r="BD711" s="121" t="str">
        <f>IF('Cable Info'!T415="","",CONCATENATE('Cable Info'!T415," - ",'Cable Info'!U415))</f>
        <v/>
      </c>
      <c r="BG711" s="121" t="str">
        <f t="shared" si="148"/>
        <v/>
      </c>
      <c r="BI711" s="121" t="str">
        <f>IF('Cable Info'!V415="","",CONCATENATE('Cable Info'!V415," - ",'Cable Info'!W415))</f>
        <v/>
      </c>
      <c r="BL711" s="121" t="str">
        <f t="shared" si="149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4"/>
        <v>#N/A</v>
      </c>
      <c r="AO712" s="121" t="e">
        <f>IF('Cable Info'!N416="","",CONCATENATE('Cable Info'!N416," - ",'Cable Info'!O416))</f>
        <v>#N/A</v>
      </c>
      <c r="AR712" s="121" t="e">
        <f t="shared" si="145"/>
        <v>#N/A</v>
      </c>
      <c r="AT712" s="121" t="e">
        <f>IF('Cable Info'!P416="","",CONCATENATE('Cable Info'!P416," - ",'Cable Info'!Q416))</f>
        <v>#N/A</v>
      </c>
      <c r="AW712" s="121" t="e">
        <f t="shared" si="146"/>
        <v>#N/A</v>
      </c>
      <c r="AY712" s="121" t="str">
        <f>IF('Cable Info'!R416="","",CONCATENATE('Cable Info'!R416," - ",'Cable Info'!S416))</f>
        <v/>
      </c>
      <c r="BB712" s="121" t="str">
        <f t="shared" si="147"/>
        <v/>
      </c>
      <c r="BD712" s="121" t="str">
        <f>IF('Cable Info'!T416="","",CONCATENATE('Cable Info'!T416," - ",'Cable Info'!U416))</f>
        <v/>
      </c>
      <c r="BG712" s="121" t="str">
        <f t="shared" si="148"/>
        <v/>
      </c>
      <c r="BI712" s="121" t="str">
        <f>IF('Cable Info'!V416="","",CONCATENATE('Cable Info'!V416," - ",'Cable Info'!W416))</f>
        <v/>
      </c>
      <c r="BL712" s="121" t="str">
        <f t="shared" si="149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4"/>
        <v>#N/A</v>
      </c>
      <c r="AO713" s="121" t="e">
        <f>IF('Cable Info'!N417="","",CONCATENATE('Cable Info'!N417," - ",'Cable Info'!O417))</f>
        <v>#N/A</v>
      </c>
      <c r="AR713" s="121" t="e">
        <f t="shared" si="145"/>
        <v>#N/A</v>
      </c>
      <c r="AT713" s="121" t="e">
        <f>IF('Cable Info'!P417="","",CONCATENATE('Cable Info'!P417," - ",'Cable Info'!Q417))</f>
        <v>#N/A</v>
      </c>
      <c r="AW713" s="121" t="e">
        <f t="shared" si="146"/>
        <v>#N/A</v>
      </c>
      <c r="AY713" s="121" t="str">
        <f>IF('Cable Info'!R417="","",CONCATENATE('Cable Info'!R417," - ",'Cable Info'!S417))</f>
        <v/>
      </c>
      <c r="BB713" s="121" t="str">
        <f t="shared" si="147"/>
        <v/>
      </c>
      <c r="BD713" s="121" t="str">
        <f>IF('Cable Info'!T417="","",CONCATENATE('Cable Info'!T417," - ",'Cable Info'!U417))</f>
        <v/>
      </c>
      <c r="BG713" s="121" t="str">
        <f t="shared" si="148"/>
        <v/>
      </c>
      <c r="BI713" s="121" t="str">
        <f>IF('Cable Info'!V417="","",CONCATENATE('Cable Info'!V417," - ",'Cable Info'!W417))</f>
        <v/>
      </c>
      <c r="BL713" s="121" t="str">
        <f t="shared" si="149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4"/>
        <v>#N/A</v>
      </c>
      <c r="AO714" s="121" t="e">
        <f>IF('Cable Info'!N418="","",CONCATENATE('Cable Info'!N418," - ",'Cable Info'!O418))</f>
        <v>#N/A</v>
      </c>
      <c r="AR714" s="121" t="e">
        <f t="shared" si="145"/>
        <v>#N/A</v>
      </c>
      <c r="AT714" s="121" t="e">
        <f>IF('Cable Info'!P418="","",CONCATENATE('Cable Info'!P418," - ",'Cable Info'!Q418))</f>
        <v>#N/A</v>
      </c>
      <c r="AW714" s="121" t="e">
        <f t="shared" si="146"/>
        <v>#N/A</v>
      </c>
      <c r="AY714" s="121" t="str">
        <f>IF('Cable Info'!R418="","",CONCATENATE('Cable Info'!R418," - ",'Cable Info'!S418))</f>
        <v/>
      </c>
      <c r="BB714" s="121" t="str">
        <f t="shared" si="147"/>
        <v/>
      </c>
      <c r="BD714" s="121" t="str">
        <f>IF('Cable Info'!T418="","",CONCATENATE('Cable Info'!T418," - ",'Cable Info'!U418))</f>
        <v/>
      </c>
      <c r="BG714" s="121" t="str">
        <f t="shared" si="148"/>
        <v/>
      </c>
      <c r="BI714" s="121" t="str">
        <f>IF('Cable Info'!V418="","",CONCATENATE('Cable Info'!V418," - ",'Cable Info'!W418))</f>
        <v/>
      </c>
      <c r="BL714" s="121" t="str">
        <f t="shared" si="149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4"/>
        <v>#N/A</v>
      </c>
      <c r="AO715" s="121" t="e">
        <f>IF('Cable Info'!N419="","",CONCATENATE('Cable Info'!N419," - ",'Cable Info'!O419))</f>
        <v>#N/A</v>
      </c>
      <c r="AR715" s="121" t="e">
        <f t="shared" si="145"/>
        <v>#N/A</v>
      </c>
      <c r="AT715" s="121" t="e">
        <f>IF('Cable Info'!P419="","",CONCATENATE('Cable Info'!P419," - ",'Cable Info'!Q419))</f>
        <v>#N/A</v>
      </c>
      <c r="AW715" s="121" t="e">
        <f t="shared" si="146"/>
        <v>#N/A</v>
      </c>
      <c r="AY715" s="121" t="str">
        <f>IF('Cable Info'!R419="","",CONCATENATE('Cable Info'!R419," - ",'Cable Info'!S419))</f>
        <v/>
      </c>
      <c r="BB715" s="121" t="str">
        <f t="shared" si="147"/>
        <v/>
      </c>
      <c r="BD715" s="121" t="str">
        <f>IF('Cable Info'!T419="","",CONCATENATE('Cable Info'!T419," - ",'Cable Info'!U419))</f>
        <v/>
      </c>
      <c r="BG715" s="121" t="str">
        <f t="shared" si="148"/>
        <v/>
      </c>
      <c r="BI715" s="121" t="str">
        <f>IF('Cable Info'!V419="","",CONCATENATE('Cable Info'!V419," - ",'Cable Info'!W419))</f>
        <v/>
      </c>
      <c r="BL715" s="121" t="str">
        <f t="shared" si="149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4"/>
        <v>#N/A</v>
      </c>
      <c r="AO716" s="121" t="e">
        <f>IF('Cable Info'!N420="","",CONCATENATE('Cable Info'!N420," - ",'Cable Info'!O420))</f>
        <v>#N/A</v>
      </c>
      <c r="AR716" s="121" t="e">
        <f t="shared" si="145"/>
        <v>#N/A</v>
      </c>
      <c r="AT716" s="121" t="e">
        <f>IF('Cable Info'!P420="","",CONCATENATE('Cable Info'!P420," - ",'Cable Info'!Q420))</f>
        <v>#N/A</v>
      </c>
      <c r="AW716" s="121" t="e">
        <f t="shared" si="146"/>
        <v>#N/A</v>
      </c>
      <c r="AY716" s="121" t="str">
        <f>IF('Cable Info'!R420="","",CONCATENATE('Cable Info'!R420," - ",'Cable Info'!S420))</f>
        <v/>
      </c>
      <c r="BB716" s="121" t="str">
        <f t="shared" si="147"/>
        <v/>
      </c>
      <c r="BD716" s="121" t="str">
        <f>IF('Cable Info'!T420="","",CONCATENATE('Cable Info'!T420," - ",'Cable Info'!U420))</f>
        <v/>
      </c>
      <c r="BG716" s="121" t="str">
        <f t="shared" si="148"/>
        <v/>
      </c>
      <c r="BI716" s="121" t="str">
        <f>IF('Cable Info'!V420="","",CONCATENATE('Cable Info'!V420," - ",'Cable Info'!W420))</f>
        <v/>
      </c>
      <c r="BL716" s="121" t="str">
        <f t="shared" si="149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4"/>
        <v>#N/A</v>
      </c>
      <c r="AO717" s="121" t="e">
        <f>IF('Cable Info'!N421="","",CONCATENATE('Cable Info'!N421," - ",'Cable Info'!O421))</f>
        <v>#N/A</v>
      </c>
      <c r="AR717" s="121" t="e">
        <f t="shared" si="145"/>
        <v>#N/A</v>
      </c>
      <c r="AT717" s="121" t="e">
        <f>IF('Cable Info'!P421="","",CONCATENATE('Cable Info'!P421," - ",'Cable Info'!Q421))</f>
        <v>#N/A</v>
      </c>
      <c r="AW717" s="121" t="e">
        <f t="shared" si="146"/>
        <v>#N/A</v>
      </c>
      <c r="AY717" s="121" t="str">
        <f>IF('Cable Info'!R421="","",CONCATENATE('Cable Info'!R421," - ",'Cable Info'!S421))</f>
        <v/>
      </c>
      <c r="BB717" s="121" t="str">
        <f t="shared" si="147"/>
        <v/>
      </c>
      <c r="BD717" s="121" t="str">
        <f>IF('Cable Info'!T421="","",CONCATENATE('Cable Info'!T421," - ",'Cable Info'!U421))</f>
        <v/>
      </c>
      <c r="BG717" s="121" t="str">
        <f t="shared" si="148"/>
        <v/>
      </c>
      <c r="BI717" s="121" t="str">
        <f>IF('Cable Info'!V421="","",CONCATENATE('Cable Info'!V421," - ",'Cable Info'!W421))</f>
        <v/>
      </c>
      <c r="BL717" s="121" t="str">
        <f t="shared" si="149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4"/>
        <v>#N/A</v>
      </c>
      <c r="AO718" s="121" t="e">
        <f>IF('Cable Info'!N422="","",CONCATENATE('Cable Info'!N422," - ",'Cable Info'!O422))</f>
        <v>#N/A</v>
      </c>
      <c r="AR718" s="121" t="e">
        <f t="shared" si="145"/>
        <v>#N/A</v>
      </c>
      <c r="AT718" s="121" t="e">
        <f>IF('Cable Info'!P422="","",CONCATENATE('Cable Info'!P422," - ",'Cable Info'!Q422))</f>
        <v>#N/A</v>
      </c>
      <c r="AW718" s="121" t="e">
        <f t="shared" si="146"/>
        <v>#N/A</v>
      </c>
      <c r="AY718" s="121" t="str">
        <f>IF('Cable Info'!R422="","",CONCATENATE('Cable Info'!R422," - ",'Cable Info'!S422))</f>
        <v/>
      </c>
      <c r="BB718" s="121" t="str">
        <f t="shared" si="147"/>
        <v/>
      </c>
      <c r="BD718" s="121" t="str">
        <f>IF('Cable Info'!T422="","",CONCATENATE('Cable Info'!T422," - ",'Cable Info'!U422))</f>
        <v/>
      </c>
      <c r="BG718" s="121" t="str">
        <f t="shared" si="148"/>
        <v/>
      </c>
      <c r="BI718" s="121" t="str">
        <f>IF('Cable Info'!V422="","",CONCATENATE('Cable Info'!V422," - ",'Cable Info'!W422))</f>
        <v/>
      </c>
      <c r="BL718" s="121" t="str">
        <f t="shared" si="149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4"/>
        <v>#N/A</v>
      </c>
      <c r="AO719" s="121" t="e">
        <f>IF('Cable Info'!N423="","",CONCATENATE('Cable Info'!N423," - ",'Cable Info'!O423))</f>
        <v>#N/A</v>
      </c>
      <c r="AR719" s="121" t="e">
        <f t="shared" si="145"/>
        <v>#N/A</v>
      </c>
      <c r="AT719" s="121" t="e">
        <f>IF('Cable Info'!P423="","",CONCATENATE('Cable Info'!P423," - ",'Cable Info'!Q423))</f>
        <v>#N/A</v>
      </c>
      <c r="AW719" s="121" t="e">
        <f t="shared" si="146"/>
        <v>#N/A</v>
      </c>
      <c r="AY719" s="121" t="str">
        <f>IF('Cable Info'!R423="","",CONCATENATE('Cable Info'!R423," - ",'Cable Info'!S423))</f>
        <v/>
      </c>
      <c r="BB719" s="121" t="str">
        <f t="shared" si="147"/>
        <v/>
      </c>
      <c r="BD719" s="121" t="str">
        <f>IF('Cable Info'!T423="","",CONCATENATE('Cable Info'!T423," - ",'Cable Info'!U423))</f>
        <v/>
      </c>
      <c r="BG719" s="121" t="str">
        <f t="shared" si="148"/>
        <v/>
      </c>
      <c r="BI719" s="121" t="str">
        <f>IF('Cable Info'!V423="","",CONCATENATE('Cable Info'!V423," - ",'Cable Info'!W423))</f>
        <v/>
      </c>
      <c r="BL719" s="121" t="str">
        <f t="shared" si="149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4"/>
        <v>#N/A</v>
      </c>
      <c r="AO720" s="121" t="e">
        <f>IF('Cable Info'!N424="","",CONCATENATE('Cable Info'!N424," - ",'Cable Info'!O424))</f>
        <v>#N/A</v>
      </c>
      <c r="AR720" s="121" t="e">
        <f t="shared" si="145"/>
        <v>#N/A</v>
      </c>
      <c r="AT720" s="121" t="e">
        <f>IF('Cable Info'!P424="","",CONCATENATE('Cable Info'!P424," - ",'Cable Info'!Q424))</f>
        <v>#N/A</v>
      </c>
      <c r="AW720" s="121" t="e">
        <f t="shared" si="146"/>
        <v>#N/A</v>
      </c>
      <c r="AY720" s="121" t="str">
        <f>IF('Cable Info'!R424="","",CONCATENATE('Cable Info'!R424," - ",'Cable Info'!S424))</f>
        <v/>
      </c>
      <c r="BB720" s="121" t="str">
        <f t="shared" si="147"/>
        <v/>
      </c>
      <c r="BD720" s="121" t="str">
        <f>IF('Cable Info'!T424="","",CONCATENATE('Cable Info'!T424," - ",'Cable Info'!U424))</f>
        <v/>
      </c>
      <c r="BG720" s="121" t="str">
        <f t="shared" si="148"/>
        <v/>
      </c>
      <c r="BI720" s="121" t="str">
        <f>IF('Cable Info'!V424="","",CONCATENATE('Cable Info'!V424," - ",'Cable Info'!W424))</f>
        <v/>
      </c>
      <c r="BL720" s="121" t="str">
        <f t="shared" si="149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4"/>
        <v>#N/A</v>
      </c>
      <c r="AO721" s="121" t="e">
        <f>IF('Cable Info'!N425="","",CONCATENATE('Cable Info'!N425," - ",'Cable Info'!O425))</f>
        <v>#N/A</v>
      </c>
      <c r="AR721" s="121" t="e">
        <f t="shared" si="145"/>
        <v>#N/A</v>
      </c>
      <c r="AT721" s="121" t="e">
        <f>IF('Cable Info'!P425="","",CONCATENATE('Cable Info'!P425," - ",'Cable Info'!Q425))</f>
        <v>#N/A</v>
      </c>
      <c r="AW721" s="121" t="e">
        <f t="shared" si="146"/>
        <v>#N/A</v>
      </c>
      <c r="AY721" s="121" t="str">
        <f>IF('Cable Info'!R425="","",CONCATENATE('Cable Info'!R425," - ",'Cable Info'!S425))</f>
        <v/>
      </c>
      <c r="BB721" s="121" t="str">
        <f t="shared" si="147"/>
        <v/>
      </c>
      <c r="BD721" s="121" t="str">
        <f>IF('Cable Info'!T425="","",CONCATENATE('Cable Info'!T425," - ",'Cable Info'!U425))</f>
        <v/>
      </c>
      <c r="BG721" s="121" t="str">
        <f t="shared" si="148"/>
        <v/>
      </c>
      <c r="BI721" s="121" t="str">
        <f>IF('Cable Info'!V425="","",CONCATENATE('Cable Info'!V425," - ",'Cable Info'!W425))</f>
        <v/>
      </c>
      <c r="BL721" s="121" t="str">
        <f t="shared" si="149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4"/>
        <v>#N/A</v>
      </c>
      <c r="AO722" s="121" t="e">
        <f>IF('Cable Info'!N426="","",CONCATENATE('Cable Info'!N426," - ",'Cable Info'!O426))</f>
        <v>#N/A</v>
      </c>
      <c r="AR722" s="121" t="e">
        <f t="shared" si="145"/>
        <v>#N/A</v>
      </c>
      <c r="AT722" s="121" t="e">
        <f>IF('Cable Info'!P426="","",CONCATENATE('Cable Info'!P426," - ",'Cable Info'!Q426))</f>
        <v>#N/A</v>
      </c>
      <c r="AW722" s="121" t="e">
        <f t="shared" si="146"/>
        <v>#N/A</v>
      </c>
      <c r="AY722" s="121" t="str">
        <f>IF('Cable Info'!R426="","",CONCATENATE('Cable Info'!R426," - ",'Cable Info'!S426))</f>
        <v/>
      </c>
      <c r="BB722" s="121" t="str">
        <f t="shared" si="147"/>
        <v/>
      </c>
      <c r="BD722" s="121" t="str">
        <f>IF('Cable Info'!T426="","",CONCATENATE('Cable Info'!T426," - ",'Cable Info'!U426))</f>
        <v/>
      </c>
      <c r="BG722" s="121" t="str">
        <f t="shared" si="148"/>
        <v/>
      </c>
      <c r="BI722" s="121" t="str">
        <f>IF('Cable Info'!V426="","",CONCATENATE('Cable Info'!V426," - ",'Cable Info'!W426))</f>
        <v/>
      </c>
      <c r="BL722" s="121" t="str">
        <f t="shared" si="149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4"/>
        <v>#N/A</v>
      </c>
      <c r="AO723" s="121" t="e">
        <f>IF('Cable Info'!N427="","",CONCATENATE('Cable Info'!N427," - ",'Cable Info'!O427))</f>
        <v>#N/A</v>
      </c>
      <c r="AR723" s="121" t="e">
        <f t="shared" si="145"/>
        <v>#N/A</v>
      </c>
      <c r="AT723" s="121" t="e">
        <f>IF('Cable Info'!P427="","",CONCATENATE('Cable Info'!P427," - ",'Cable Info'!Q427))</f>
        <v>#N/A</v>
      </c>
      <c r="AW723" s="121" t="e">
        <f t="shared" si="146"/>
        <v>#N/A</v>
      </c>
      <c r="AY723" s="121" t="str">
        <f>IF('Cable Info'!R427="","",CONCATENATE('Cable Info'!R427," - ",'Cable Info'!S427))</f>
        <v/>
      </c>
      <c r="BB723" s="121" t="str">
        <f t="shared" si="147"/>
        <v/>
      </c>
      <c r="BD723" s="121" t="str">
        <f>IF('Cable Info'!T427="","",CONCATENATE('Cable Info'!T427," - ",'Cable Info'!U427))</f>
        <v/>
      </c>
      <c r="BG723" s="121" t="str">
        <f t="shared" si="148"/>
        <v/>
      </c>
      <c r="BI723" s="121" t="str">
        <f>IF('Cable Info'!V427="","",CONCATENATE('Cable Info'!V427," - ",'Cable Info'!W427))</f>
        <v/>
      </c>
      <c r="BL723" s="121" t="str">
        <f t="shared" si="149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4"/>
        <v>#N/A</v>
      </c>
      <c r="AO724" s="121" t="e">
        <f>IF('Cable Info'!N428="","",CONCATENATE('Cable Info'!N428," - ",'Cable Info'!O428))</f>
        <v>#N/A</v>
      </c>
      <c r="AR724" s="121" t="e">
        <f t="shared" si="145"/>
        <v>#N/A</v>
      </c>
      <c r="AT724" s="121" t="e">
        <f>IF('Cable Info'!P428="","",CONCATENATE('Cable Info'!P428," - ",'Cable Info'!Q428))</f>
        <v>#N/A</v>
      </c>
      <c r="AW724" s="121" t="e">
        <f t="shared" si="146"/>
        <v>#N/A</v>
      </c>
      <c r="AY724" s="121" t="str">
        <f>IF('Cable Info'!R428="","",CONCATENATE('Cable Info'!R428," - ",'Cable Info'!S428))</f>
        <v/>
      </c>
      <c r="BB724" s="121" t="str">
        <f t="shared" si="147"/>
        <v/>
      </c>
      <c r="BD724" s="121" t="str">
        <f>IF('Cable Info'!T428="","",CONCATENATE('Cable Info'!T428," - ",'Cable Info'!U428))</f>
        <v/>
      </c>
      <c r="BG724" s="121" t="str">
        <f t="shared" si="148"/>
        <v/>
      </c>
      <c r="BI724" s="121" t="str">
        <f>IF('Cable Info'!V428="","",CONCATENATE('Cable Info'!V428," - ",'Cable Info'!W428))</f>
        <v/>
      </c>
      <c r="BL724" s="121" t="str">
        <f t="shared" si="149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4"/>
        <v>#N/A</v>
      </c>
      <c r="AO725" s="121" t="e">
        <f>IF('Cable Info'!N429="","",CONCATENATE('Cable Info'!N429," - ",'Cable Info'!O429))</f>
        <v>#N/A</v>
      </c>
      <c r="AR725" s="121" t="e">
        <f t="shared" si="145"/>
        <v>#N/A</v>
      </c>
      <c r="AT725" s="121" t="e">
        <f>IF('Cable Info'!P429="","",CONCATENATE('Cable Info'!P429," - ",'Cable Info'!Q429))</f>
        <v>#N/A</v>
      </c>
      <c r="AW725" s="121" t="e">
        <f t="shared" si="146"/>
        <v>#N/A</v>
      </c>
      <c r="AY725" s="121" t="str">
        <f>IF('Cable Info'!R429="","",CONCATENATE('Cable Info'!R429," - ",'Cable Info'!S429))</f>
        <v/>
      </c>
      <c r="BB725" s="121" t="str">
        <f t="shared" si="147"/>
        <v/>
      </c>
      <c r="BD725" s="121" t="str">
        <f>IF('Cable Info'!T429="","",CONCATENATE('Cable Info'!T429," - ",'Cable Info'!U429))</f>
        <v/>
      </c>
      <c r="BG725" s="121" t="str">
        <f t="shared" si="148"/>
        <v/>
      </c>
      <c r="BI725" s="121" t="str">
        <f>IF('Cable Info'!V429="","",CONCATENATE('Cable Info'!V429," - ",'Cable Info'!W429))</f>
        <v/>
      </c>
      <c r="BL725" s="121" t="str">
        <f t="shared" si="149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4"/>
        <v>#N/A</v>
      </c>
      <c r="AO726" s="121" t="e">
        <f>IF('Cable Info'!N430="","",CONCATENATE('Cable Info'!N430," - ",'Cable Info'!O430))</f>
        <v>#N/A</v>
      </c>
      <c r="AR726" s="121" t="e">
        <f t="shared" si="145"/>
        <v>#N/A</v>
      </c>
      <c r="AT726" s="121" t="e">
        <f>IF('Cable Info'!P430="","",CONCATENATE('Cable Info'!P430," - ",'Cable Info'!Q430))</f>
        <v>#N/A</v>
      </c>
      <c r="AW726" s="121" t="e">
        <f t="shared" si="146"/>
        <v>#N/A</v>
      </c>
      <c r="AY726" s="121" t="str">
        <f>IF('Cable Info'!R430="","",CONCATENATE('Cable Info'!R430," - ",'Cable Info'!S430))</f>
        <v/>
      </c>
      <c r="BB726" s="121" t="str">
        <f t="shared" si="147"/>
        <v/>
      </c>
      <c r="BD726" s="121" t="str">
        <f>IF('Cable Info'!T430="","",CONCATENATE('Cable Info'!T430," - ",'Cable Info'!U430))</f>
        <v/>
      </c>
      <c r="BG726" s="121" t="str">
        <f t="shared" si="148"/>
        <v/>
      </c>
      <c r="BI726" s="121" t="str">
        <f>IF('Cable Info'!V430="","",CONCATENATE('Cable Info'!V430," - ",'Cable Info'!W430))</f>
        <v/>
      </c>
      <c r="BL726" s="121" t="str">
        <f t="shared" si="149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4"/>
        <v>#N/A</v>
      </c>
      <c r="AO727" s="121" t="e">
        <f>IF('Cable Info'!N431="","",CONCATENATE('Cable Info'!N431," - ",'Cable Info'!O431))</f>
        <v>#N/A</v>
      </c>
      <c r="AR727" s="121" t="e">
        <f t="shared" si="145"/>
        <v>#N/A</v>
      </c>
      <c r="AT727" s="121" t="e">
        <f>IF('Cable Info'!P431="","",CONCATENATE('Cable Info'!P431," - ",'Cable Info'!Q431))</f>
        <v>#N/A</v>
      </c>
      <c r="AW727" s="121" t="e">
        <f t="shared" si="146"/>
        <v>#N/A</v>
      </c>
      <c r="AY727" s="121" t="str">
        <f>IF('Cable Info'!R431="","",CONCATENATE('Cable Info'!R431," - ",'Cable Info'!S431))</f>
        <v/>
      </c>
      <c r="BB727" s="121" t="str">
        <f t="shared" si="147"/>
        <v/>
      </c>
      <c r="BD727" s="121" t="str">
        <f>IF('Cable Info'!T431="","",CONCATENATE('Cable Info'!T431," - ",'Cable Info'!U431))</f>
        <v/>
      </c>
      <c r="BG727" s="121" t="str">
        <f t="shared" si="148"/>
        <v/>
      </c>
      <c r="BI727" s="121" t="str">
        <f>IF('Cable Info'!V431="","",CONCATENATE('Cable Info'!V431," - ",'Cable Info'!W431))</f>
        <v/>
      </c>
      <c r="BL727" s="121" t="str">
        <f t="shared" si="149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4"/>
        <v>#N/A</v>
      </c>
      <c r="AO728" s="121" t="e">
        <f>IF('Cable Info'!N432="","",CONCATENATE('Cable Info'!N432," - ",'Cable Info'!O432))</f>
        <v>#N/A</v>
      </c>
      <c r="AR728" s="121" t="e">
        <f t="shared" si="145"/>
        <v>#N/A</v>
      </c>
      <c r="AT728" s="121" t="e">
        <f>IF('Cable Info'!P432="","",CONCATENATE('Cable Info'!P432," - ",'Cable Info'!Q432))</f>
        <v>#N/A</v>
      </c>
      <c r="AW728" s="121" t="e">
        <f t="shared" si="146"/>
        <v>#N/A</v>
      </c>
      <c r="AY728" s="121" t="str">
        <f>IF('Cable Info'!R432="","",CONCATENATE('Cable Info'!R432," - ",'Cable Info'!S432))</f>
        <v/>
      </c>
      <c r="BB728" s="121" t="str">
        <f t="shared" si="147"/>
        <v/>
      </c>
      <c r="BD728" s="121" t="str">
        <f>IF('Cable Info'!T432="","",CONCATENATE('Cable Info'!T432," - ",'Cable Info'!U432))</f>
        <v/>
      </c>
      <c r="BG728" s="121" t="str">
        <f t="shared" si="148"/>
        <v/>
      </c>
      <c r="BI728" s="121" t="str">
        <f>IF('Cable Info'!V432="","",CONCATENATE('Cable Info'!V432," - ",'Cable Info'!W432))</f>
        <v/>
      </c>
      <c r="BL728" s="121" t="str">
        <f t="shared" si="149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4"/>
        <v>#N/A</v>
      </c>
      <c r="AO729" s="121" t="e">
        <f>IF('Cable Info'!N433="","",CONCATENATE('Cable Info'!N433," - ",'Cable Info'!O433))</f>
        <v>#N/A</v>
      </c>
      <c r="AR729" s="121" t="e">
        <f t="shared" si="145"/>
        <v>#N/A</v>
      </c>
      <c r="AT729" s="121" t="e">
        <f>IF('Cable Info'!P433="","",CONCATENATE('Cable Info'!P433," - ",'Cable Info'!Q433))</f>
        <v>#N/A</v>
      </c>
      <c r="AW729" s="121" t="e">
        <f t="shared" si="146"/>
        <v>#N/A</v>
      </c>
      <c r="AY729" s="121" t="str">
        <f>IF('Cable Info'!R433="","",CONCATENATE('Cable Info'!R433," - ",'Cable Info'!S433))</f>
        <v/>
      </c>
      <c r="BB729" s="121" t="str">
        <f t="shared" si="147"/>
        <v/>
      </c>
      <c r="BD729" s="121" t="str">
        <f>IF('Cable Info'!T433="","",CONCATENATE('Cable Info'!T433," - ",'Cable Info'!U433))</f>
        <v/>
      </c>
      <c r="BG729" s="121" t="str">
        <f t="shared" si="148"/>
        <v/>
      </c>
      <c r="BI729" s="121" t="str">
        <f>IF('Cable Info'!V433="","",CONCATENATE('Cable Info'!V433," - ",'Cable Info'!W433))</f>
        <v/>
      </c>
      <c r="BL729" s="121" t="str">
        <f t="shared" si="149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4"/>
        <v>#N/A</v>
      </c>
      <c r="AO730" s="121" t="e">
        <f>IF('Cable Info'!N434="","",CONCATENATE('Cable Info'!N434," - ",'Cable Info'!O434))</f>
        <v>#N/A</v>
      </c>
      <c r="AR730" s="121" t="e">
        <f t="shared" si="145"/>
        <v>#N/A</v>
      </c>
      <c r="AT730" s="121" t="e">
        <f>IF('Cable Info'!P434="","",CONCATENATE('Cable Info'!P434," - ",'Cable Info'!Q434))</f>
        <v>#N/A</v>
      </c>
      <c r="AW730" s="121" t="e">
        <f t="shared" si="146"/>
        <v>#N/A</v>
      </c>
      <c r="AY730" s="121" t="str">
        <f>IF('Cable Info'!R434="","",CONCATENATE('Cable Info'!R434," - ",'Cable Info'!S434))</f>
        <v/>
      </c>
      <c r="BB730" s="121" t="str">
        <f t="shared" si="147"/>
        <v/>
      </c>
      <c r="BD730" s="121" t="str">
        <f>IF('Cable Info'!T434="","",CONCATENATE('Cable Info'!T434," - ",'Cable Info'!U434))</f>
        <v/>
      </c>
      <c r="BG730" s="121" t="str">
        <f t="shared" si="148"/>
        <v/>
      </c>
      <c r="BI730" s="121" t="str">
        <f>IF('Cable Info'!V434="","",CONCATENATE('Cable Info'!V434," - ",'Cable Info'!W434))</f>
        <v/>
      </c>
      <c r="BL730" s="121" t="str">
        <f t="shared" si="149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4"/>
        <v>#N/A</v>
      </c>
      <c r="AO731" s="121" t="e">
        <f>IF('Cable Info'!N435="","",CONCATENATE('Cable Info'!N435," - ",'Cable Info'!O435))</f>
        <v>#N/A</v>
      </c>
      <c r="AR731" s="121" t="e">
        <f t="shared" si="145"/>
        <v>#N/A</v>
      </c>
      <c r="AT731" s="121" t="e">
        <f>IF('Cable Info'!P435="","",CONCATENATE('Cable Info'!P435," - ",'Cable Info'!Q435))</f>
        <v>#N/A</v>
      </c>
      <c r="AW731" s="121" t="e">
        <f t="shared" si="146"/>
        <v>#N/A</v>
      </c>
      <c r="AY731" s="121" t="str">
        <f>IF('Cable Info'!R435="","",CONCATENATE('Cable Info'!R435," - ",'Cable Info'!S435))</f>
        <v/>
      </c>
      <c r="BB731" s="121" t="str">
        <f t="shared" si="147"/>
        <v/>
      </c>
      <c r="BD731" s="121" t="str">
        <f>IF('Cable Info'!T435="","",CONCATENATE('Cable Info'!T435," - ",'Cable Info'!U435))</f>
        <v/>
      </c>
      <c r="BG731" s="121" t="str">
        <f t="shared" si="148"/>
        <v/>
      </c>
      <c r="BI731" s="121" t="str">
        <f>IF('Cable Info'!V435="","",CONCATENATE('Cable Info'!V435," - ",'Cable Info'!W435))</f>
        <v/>
      </c>
      <c r="BL731" s="121" t="str">
        <f t="shared" si="149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4"/>
        <v>#N/A</v>
      </c>
      <c r="AO732" s="121" t="e">
        <f>IF('Cable Info'!N436="","",CONCATENATE('Cable Info'!N436," - ",'Cable Info'!O436))</f>
        <v>#N/A</v>
      </c>
      <c r="AR732" s="121" t="e">
        <f t="shared" si="145"/>
        <v>#N/A</v>
      </c>
      <c r="AT732" s="121" t="e">
        <f>IF('Cable Info'!P436="","",CONCATENATE('Cable Info'!P436," - ",'Cable Info'!Q436))</f>
        <v>#N/A</v>
      </c>
      <c r="AW732" s="121" t="e">
        <f t="shared" si="146"/>
        <v>#N/A</v>
      </c>
      <c r="AY732" s="121" t="str">
        <f>IF('Cable Info'!R436="","",CONCATENATE('Cable Info'!R436," - ",'Cable Info'!S436))</f>
        <v/>
      </c>
      <c r="BB732" s="121" t="str">
        <f t="shared" si="147"/>
        <v/>
      </c>
      <c r="BD732" s="121" t="str">
        <f>IF('Cable Info'!T436="","",CONCATENATE('Cable Info'!T436," - ",'Cable Info'!U436))</f>
        <v/>
      </c>
      <c r="BG732" s="121" t="str">
        <f t="shared" si="148"/>
        <v/>
      </c>
      <c r="BI732" s="121" t="str">
        <f>IF('Cable Info'!V436="","",CONCATENATE('Cable Info'!V436," - ",'Cable Info'!W436))</f>
        <v/>
      </c>
      <c r="BL732" s="121" t="str">
        <f t="shared" si="149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4"/>
        <v>#N/A</v>
      </c>
      <c r="AO733" s="121" t="e">
        <f>IF('Cable Info'!N437="","",CONCATENATE('Cable Info'!N437," - ",'Cable Info'!O437))</f>
        <v>#N/A</v>
      </c>
      <c r="AR733" s="121" t="e">
        <f t="shared" si="145"/>
        <v>#N/A</v>
      </c>
      <c r="AT733" s="121" t="e">
        <f>IF('Cable Info'!P437="","",CONCATENATE('Cable Info'!P437," - ",'Cable Info'!Q437))</f>
        <v>#N/A</v>
      </c>
      <c r="AW733" s="121" t="e">
        <f t="shared" si="146"/>
        <v>#N/A</v>
      </c>
      <c r="AY733" s="121" t="str">
        <f>IF('Cable Info'!R437="","",CONCATENATE('Cable Info'!R437," - ",'Cable Info'!S437))</f>
        <v/>
      </c>
      <c r="BB733" s="121" t="str">
        <f t="shared" si="147"/>
        <v/>
      </c>
      <c r="BD733" s="121" t="str">
        <f>IF('Cable Info'!T437="","",CONCATENATE('Cable Info'!T437," - ",'Cable Info'!U437))</f>
        <v/>
      </c>
      <c r="BG733" s="121" t="str">
        <f t="shared" si="148"/>
        <v/>
      </c>
      <c r="BI733" s="121" t="str">
        <f>IF('Cable Info'!V437="","",CONCATENATE('Cable Info'!V437," - ",'Cable Info'!W437))</f>
        <v/>
      </c>
      <c r="BL733" s="121" t="str">
        <f t="shared" si="149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4"/>
        <v>#N/A</v>
      </c>
      <c r="AO734" s="121" t="e">
        <f>IF('Cable Info'!N438="","",CONCATENATE('Cable Info'!N438," - ",'Cable Info'!O438))</f>
        <v>#N/A</v>
      </c>
      <c r="AR734" s="121" t="e">
        <f t="shared" si="145"/>
        <v>#N/A</v>
      </c>
      <c r="AT734" s="121" t="e">
        <f>IF('Cable Info'!P438="","",CONCATENATE('Cable Info'!P438," - ",'Cable Info'!Q438))</f>
        <v>#N/A</v>
      </c>
      <c r="AW734" s="121" t="e">
        <f t="shared" si="146"/>
        <v>#N/A</v>
      </c>
      <c r="AY734" s="121" t="str">
        <f>IF('Cable Info'!R438="","",CONCATENATE('Cable Info'!R438," - ",'Cable Info'!S438))</f>
        <v/>
      </c>
      <c r="BB734" s="121" t="str">
        <f t="shared" si="147"/>
        <v/>
      </c>
      <c r="BD734" s="121" t="str">
        <f>IF('Cable Info'!T438="","",CONCATENATE('Cable Info'!T438," - ",'Cable Info'!U438))</f>
        <v/>
      </c>
      <c r="BG734" s="121" t="str">
        <f t="shared" si="148"/>
        <v/>
      </c>
      <c r="BI734" s="121" t="str">
        <f>IF('Cable Info'!V438="","",CONCATENATE('Cable Info'!V438," - ",'Cable Info'!W438))</f>
        <v/>
      </c>
      <c r="BL734" s="121" t="str">
        <f t="shared" si="149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4"/>
        <v>#N/A</v>
      </c>
      <c r="AO735" s="121" t="e">
        <f>IF('Cable Info'!N439="","",CONCATENATE('Cable Info'!N439," - ",'Cable Info'!O439))</f>
        <v>#N/A</v>
      </c>
      <c r="AR735" s="121" t="e">
        <f t="shared" si="145"/>
        <v>#N/A</v>
      </c>
      <c r="AT735" s="121" t="e">
        <f>IF('Cable Info'!P439="","",CONCATENATE('Cable Info'!P439," - ",'Cable Info'!Q439))</f>
        <v>#N/A</v>
      </c>
      <c r="AW735" s="121" t="e">
        <f t="shared" si="146"/>
        <v>#N/A</v>
      </c>
      <c r="AY735" s="121" t="str">
        <f>IF('Cable Info'!R439="","",CONCATENATE('Cable Info'!R439," - ",'Cable Info'!S439))</f>
        <v/>
      </c>
      <c r="BB735" s="121" t="str">
        <f t="shared" si="147"/>
        <v/>
      </c>
      <c r="BD735" s="121" t="str">
        <f>IF('Cable Info'!T439="","",CONCATENATE('Cable Info'!T439," - ",'Cable Info'!U439))</f>
        <v/>
      </c>
      <c r="BG735" s="121" t="str">
        <f t="shared" si="148"/>
        <v/>
      </c>
      <c r="BI735" s="121" t="str">
        <f>IF('Cable Info'!V439="","",CONCATENATE('Cable Info'!V439," - ",'Cable Info'!W439))</f>
        <v/>
      </c>
      <c r="BL735" s="121" t="str">
        <f t="shared" si="149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4"/>
        <v>#N/A</v>
      </c>
      <c r="AO736" s="121" t="e">
        <f>IF('Cable Info'!N440="","",CONCATENATE('Cable Info'!N440," - ",'Cable Info'!O440))</f>
        <v>#N/A</v>
      </c>
      <c r="AR736" s="121" t="e">
        <f t="shared" si="145"/>
        <v>#N/A</v>
      </c>
      <c r="AT736" s="121" t="e">
        <f>IF('Cable Info'!P440="","",CONCATENATE('Cable Info'!P440," - ",'Cable Info'!Q440))</f>
        <v>#N/A</v>
      </c>
      <c r="AW736" s="121" t="e">
        <f t="shared" si="146"/>
        <v>#N/A</v>
      </c>
      <c r="AY736" s="121" t="str">
        <f>IF('Cable Info'!R440="","",CONCATENATE('Cable Info'!R440," - ",'Cable Info'!S440))</f>
        <v/>
      </c>
      <c r="BB736" s="121" t="str">
        <f t="shared" si="147"/>
        <v/>
      </c>
      <c r="BD736" s="121" t="str">
        <f>IF('Cable Info'!T440="","",CONCATENATE('Cable Info'!T440," - ",'Cable Info'!U440))</f>
        <v/>
      </c>
      <c r="BG736" s="121" t="str">
        <f t="shared" si="148"/>
        <v/>
      </c>
      <c r="BI736" s="121" t="str">
        <f>IF('Cable Info'!V440="","",CONCATENATE('Cable Info'!V440," - ",'Cable Info'!W440))</f>
        <v/>
      </c>
      <c r="BL736" s="121" t="str">
        <f t="shared" si="149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4"/>
        <v>#N/A</v>
      </c>
      <c r="AO737" s="121" t="e">
        <f>IF('Cable Info'!N441="","",CONCATENATE('Cable Info'!N441," - ",'Cable Info'!O441))</f>
        <v>#N/A</v>
      </c>
      <c r="AR737" s="121" t="e">
        <f t="shared" si="145"/>
        <v>#N/A</v>
      </c>
      <c r="AT737" s="121" t="e">
        <f>IF('Cable Info'!P441="","",CONCATENATE('Cable Info'!P441," - ",'Cable Info'!Q441))</f>
        <v>#N/A</v>
      </c>
      <c r="AW737" s="121" t="e">
        <f t="shared" si="146"/>
        <v>#N/A</v>
      </c>
      <c r="AY737" s="121" t="str">
        <f>IF('Cable Info'!R441="","",CONCATENATE('Cable Info'!R441," - ",'Cable Info'!S441))</f>
        <v/>
      </c>
      <c r="BB737" s="121" t="str">
        <f t="shared" si="147"/>
        <v/>
      </c>
      <c r="BD737" s="121" t="str">
        <f>IF('Cable Info'!T441="","",CONCATENATE('Cable Info'!T441," - ",'Cable Info'!U441))</f>
        <v/>
      </c>
      <c r="BG737" s="121" t="str">
        <f t="shared" si="148"/>
        <v/>
      </c>
      <c r="BI737" s="121" t="str">
        <f>IF('Cable Info'!V441="","",CONCATENATE('Cable Info'!V441," - ",'Cable Info'!W441))</f>
        <v/>
      </c>
      <c r="BL737" s="121" t="str">
        <f t="shared" si="149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4"/>
        <v>#N/A</v>
      </c>
      <c r="AO738" s="121" t="e">
        <f>IF('Cable Info'!N442="","",CONCATENATE('Cable Info'!N442," - ",'Cable Info'!O442))</f>
        <v>#N/A</v>
      </c>
      <c r="AR738" s="121" t="e">
        <f t="shared" si="145"/>
        <v>#N/A</v>
      </c>
      <c r="AT738" s="121" t="e">
        <f>IF('Cable Info'!P442="","",CONCATENATE('Cable Info'!P442," - ",'Cable Info'!Q442))</f>
        <v>#N/A</v>
      </c>
      <c r="AW738" s="121" t="e">
        <f t="shared" si="146"/>
        <v>#N/A</v>
      </c>
      <c r="AY738" s="121" t="str">
        <f>IF('Cable Info'!R442="","",CONCATENATE('Cable Info'!R442," - ",'Cable Info'!S442))</f>
        <v/>
      </c>
      <c r="BB738" s="121" t="str">
        <f t="shared" si="147"/>
        <v/>
      </c>
      <c r="BD738" s="121" t="str">
        <f>IF('Cable Info'!T442="","",CONCATENATE('Cable Info'!T442," - ",'Cable Info'!U442))</f>
        <v/>
      </c>
      <c r="BG738" s="121" t="str">
        <f t="shared" si="148"/>
        <v/>
      </c>
      <c r="BI738" s="121" t="str">
        <f>IF('Cable Info'!V442="","",CONCATENATE('Cable Info'!V442," - ",'Cable Info'!W442))</f>
        <v/>
      </c>
      <c r="BL738" s="121" t="str">
        <f t="shared" si="149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4"/>
        <v>#N/A</v>
      </c>
      <c r="AO739" s="121" t="e">
        <f>IF('Cable Info'!N443="","",CONCATENATE('Cable Info'!N443," - ",'Cable Info'!O443))</f>
        <v>#N/A</v>
      </c>
      <c r="AR739" s="121" t="e">
        <f t="shared" si="145"/>
        <v>#N/A</v>
      </c>
      <c r="AT739" s="121" t="e">
        <f>IF('Cable Info'!P443="","",CONCATENATE('Cable Info'!P443," - ",'Cable Info'!Q443))</f>
        <v>#N/A</v>
      </c>
      <c r="AW739" s="121" t="e">
        <f t="shared" si="146"/>
        <v>#N/A</v>
      </c>
      <c r="AY739" s="121" t="str">
        <f>IF('Cable Info'!R443="","",CONCATENATE('Cable Info'!R443," - ",'Cable Info'!S443))</f>
        <v/>
      </c>
      <c r="BB739" s="121" t="str">
        <f t="shared" si="147"/>
        <v/>
      </c>
      <c r="BD739" s="121" t="str">
        <f>IF('Cable Info'!T443="","",CONCATENATE('Cable Info'!T443," - ",'Cable Info'!U443))</f>
        <v/>
      </c>
      <c r="BG739" s="121" t="str">
        <f t="shared" si="148"/>
        <v/>
      </c>
      <c r="BI739" s="121" t="str">
        <f>IF('Cable Info'!V443="","",CONCATENATE('Cable Info'!V443," - ",'Cable Info'!W443))</f>
        <v/>
      </c>
      <c r="BL739" s="121" t="str">
        <f t="shared" si="149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4"/>
        <v>#N/A</v>
      </c>
      <c r="AO740" s="121" t="e">
        <f>IF('Cable Info'!N444="","",CONCATENATE('Cable Info'!N444," - ",'Cable Info'!O444))</f>
        <v>#N/A</v>
      </c>
      <c r="AR740" s="121" t="e">
        <f t="shared" si="145"/>
        <v>#N/A</v>
      </c>
      <c r="AT740" s="121" t="e">
        <f>IF('Cable Info'!P444="","",CONCATENATE('Cable Info'!P444," - ",'Cable Info'!Q444))</f>
        <v>#N/A</v>
      </c>
      <c r="AW740" s="121" t="e">
        <f t="shared" si="146"/>
        <v>#N/A</v>
      </c>
      <c r="AY740" s="121" t="str">
        <f>IF('Cable Info'!R444="","",CONCATENATE('Cable Info'!R444," - ",'Cable Info'!S444))</f>
        <v/>
      </c>
      <c r="BB740" s="121" t="str">
        <f t="shared" si="147"/>
        <v/>
      </c>
      <c r="BD740" s="121" t="str">
        <f>IF('Cable Info'!T444="","",CONCATENATE('Cable Info'!T444," - ",'Cable Info'!U444))</f>
        <v/>
      </c>
      <c r="BG740" s="121" t="str">
        <f t="shared" si="148"/>
        <v/>
      </c>
      <c r="BI740" s="121" t="str">
        <f>IF('Cable Info'!V444="","",CONCATENATE('Cable Info'!V444," - ",'Cable Info'!W444))</f>
        <v/>
      </c>
      <c r="BL740" s="121" t="str">
        <f t="shared" si="149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4"/>
        <v>#N/A</v>
      </c>
      <c r="AO741" s="121" t="e">
        <f>IF('Cable Info'!N445="","",CONCATENATE('Cable Info'!N445," - ",'Cable Info'!O445))</f>
        <v>#N/A</v>
      </c>
      <c r="AR741" s="121" t="e">
        <f t="shared" si="145"/>
        <v>#N/A</v>
      </c>
      <c r="AT741" s="121" t="e">
        <f>IF('Cable Info'!P445="","",CONCATENATE('Cable Info'!P445," - ",'Cable Info'!Q445))</f>
        <v>#N/A</v>
      </c>
      <c r="AW741" s="121" t="e">
        <f t="shared" si="146"/>
        <v>#N/A</v>
      </c>
      <c r="AY741" s="121" t="str">
        <f>IF('Cable Info'!R445="","",CONCATENATE('Cable Info'!R445," - ",'Cable Info'!S445))</f>
        <v/>
      </c>
      <c r="BB741" s="121" t="str">
        <f t="shared" si="147"/>
        <v/>
      </c>
      <c r="BD741" s="121" t="str">
        <f>IF('Cable Info'!T445="","",CONCATENATE('Cable Info'!T445," - ",'Cable Info'!U445))</f>
        <v/>
      </c>
      <c r="BG741" s="121" t="str">
        <f t="shared" si="148"/>
        <v/>
      </c>
      <c r="BI741" s="121" t="str">
        <f>IF('Cable Info'!V445="","",CONCATENATE('Cable Info'!V445," - ",'Cable Info'!W445))</f>
        <v/>
      </c>
      <c r="BL741" s="121" t="str">
        <f t="shared" si="149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4"/>
        <v>#N/A</v>
      </c>
      <c r="AO742" s="121" t="e">
        <f>IF('Cable Info'!N446="","",CONCATENATE('Cable Info'!N446," - ",'Cable Info'!O446))</f>
        <v>#N/A</v>
      </c>
      <c r="AR742" s="121" t="e">
        <f t="shared" si="145"/>
        <v>#N/A</v>
      </c>
      <c r="AT742" s="121" t="e">
        <f>IF('Cable Info'!P446="","",CONCATENATE('Cable Info'!P446," - ",'Cable Info'!Q446))</f>
        <v>#N/A</v>
      </c>
      <c r="AW742" s="121" t="e">
        <f t="shared" si="146"/>
        <v>#N/A</v>
      </c>
      <c r="AY742" s="121" t="str">
        <f>IF('Cable Info'!R446="","",CONCATENATE('Cable Info'!R446," - ",'Cable Info'!S446))</f>
        <v/>
      </c>
      <c r="BB742" s="121" t="str">
        <f t="shared" si="147"/>
        <v/>
      </c>
      <c r="BD742" s="121" t="str">
        <f>IF('Cable Info'!T446="","",CONCATENATE('Cable Info'!T446," - ",'Cable Info'!U446))</f>
        <v/>
      </c>
      <c r="BG742" s="121" t="str">
        <f t="shared" si="148"/>
        <v/>
      </c>
      <c r="BI742" s="121" t="str">
        <f>IF('Cable Info'!V446="","",CONCATENATE('Cable Info'!V446," - ",'Cable Info'!W446))</f>
        <v/>
      </c>
      <c r="BL742" s="121" t="str">
        <f t="shared" si="149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4"/>
        <v>#N/A</v>
      </c>
      <c r="AO743" s="121" t="e">
        <f>IF('Cable Info'!N447="","",CONCATENATE('Cable Info'!N447," - ",'Cable Info'!O447))</f>
        <v>#N/A</v>
      </c>
      <c r="AR743" s="121" t="e">
        <f t="shared" si="145"/>
        <v>#N/A</v>
      </c>
      <c r="AT743" s="121" t="e">
        <f>IF('Cable Info'!P447="","",CONCATENATE('Cable Info'!P447," - ",'Cable Info'!Q447))</f>
        <v>#N/A</v>
      </c>
      <c r="AW743" s="121" t="e">
        <f t="shared" si="146"/>
        <v>#N/A</v>
      </c>
      <c r="AY743" s="121" t="str">
        <f>IF('Cable Info'!R447="","",CONCATENATE('Cable Info'!R447," - ",'Cable Info'!S447))</f>
        <v/>
      </c>
      <c r="BB743" s="121" t="str">
        <f t="shared" si="147"/>
        <v/>
      </c>
      <c r="BD743" s="121" t="str">
        <f>IF('Cable Info'!T447="","",CONCATENATE('Cable Info'!T447," - ",'Cable Info'!U447))</f>
        <v/>
      </c>
      <c r="BG743" s="121" t="str">
        <f t="shared" si="148"/>
        <v/>
      </c>
      <c r="BI743" s="121" t="str">
        <f>IF('Cable Info'!V447="","",CONCATENATE('Cable Info'!V447," - ",'Cable Info'!W447))</f>
        <v/>
      </c>
      <c r="BL743" s="121" t="str">
        <f t="shared" si="149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4"/>
        <v>#N/A</v>
      </c>
      <c r="AO744" s="121" t="e">
        <f>IF('Cable Info'!N448="","",CONCATENATE('Cable Info'!N448," - ",'Cable Info'!O448))</f>
        <v>#N/A</v>
      </c>
      <c r="AR744" s="121" t="e">
        <f t="shared" si="145"/>
        <v>#N/A</v>
      </c>
      <c r="AT744" s="121" t="e">
        <f>IF('Cable Info'!P448="","",CONCATENATE('Cable Info'!P448," - ",'Cable Info'!Q448))</f>
        <v>#N/A</v>
      </c>
      <c r="AW744" s="121" t="e">
        <f t="shared" si="146"/>
        <v>#N/A</v>
      </c>
      <c r="AY744" s="121" t="str">
        <f>IF('Cable Info'!R448="","",CONCATENATE('Cable Info'!R448," - ",'Cable Info'!S448))</f>
        <v/>
      </c>
      <c r="BB744" s="121" t="str">
        <f t="shared" si="147"/>
        <v/>
      </c>
      <c r="BD744" s="121" t="str">
        <f>IF('Cable Info'!T448="","",CONCATENATE('Cable Info'!T448," - ",'Cable Info'!U448))</f>
        <v/>
      </c>
      <c r="BG744" s="121" t="str">
        <f t="shared" si="148"/>
        <v/>
      </c>
      <c r="BI744" s="121" t="str">
        <f>IF('Cable Info'!V448="","",CONCATENATE('Cable Info'!V448," - ",'Cable Info'!W448))</f>
        <v/>
      </c>
      <c r="BL744" s="121" t="str">
        <f t="shared" si="149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4"/>
        <v>#N/A</v>
      </c>
      <c r="AO745" s="121" t="e">
        <f>IF('Cable Info'!N449="","",CONCATENATE('Cable Info'!N449," - ",'Cable Info'!O449))</f>
        <v>#N/A</v>
      </c>
      <c r="AR745" s="121" t="e">
        <f t="shared" si="145"/>
        <v>#N/A</v>
      </c>
      <c r="AT745" s="121" t="e">
        <f>IF('Cable Info'!P449="","",CONCATENATE('Cable Info'!P449," - ",'Cable Info'!Q449))</f>
        <v>#N/A</v>
      </c>
      <c r="AW745" s="121" t="e">
        <f t="shared" si="146"/>
        <v>#N/A</v>
      </c>
      <c r="AY745" s="121" t="str">
        <f>IF('Cable Info'!R449="","",CONCATENATE('Cable Info'!R449," - ",'Cable Info'!S449))</f>
        <v/>
      </c>
      <c r="BB745" s="121" t="str">
        <f t="shared" si="147"/>
        <v/>
      </c>
      <c r="BD745" s="121" t="str">
        <f>IF('Cable Info'!T449="","",CONCATENATE('Cable Info'!T449," - ",'Cable Info'!U449))</f>
        <v/>
      </c>
      <c r="BG745" s="121" t="str">
        <f t="shared" si="148"/>
        <v/>
      </c>
      <c r="BI745" s="121" t="str">
        <f>IF('Cable Info'!V449="","",CONCATENATE('Cable Info'!V449," - ",'Cable Info'!W449))</f>
        <v/>
      </c>
      <c r="BL745" s="121" t="str">
        <f t="shared" si="149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4"/>
        <v>#N/A</v>
      </c>
      <c r="AO746" s="121" t="e">
        <f>IF('Cable Info'!N450="","",CONCATENATE('Cable Info'!N450," - ",'Cable Info'!O450))</f>
        <v>#N/A</v>
      </c>
      <c r="AR746" s="121" t="e">
        <f t="shared" si="145"/>
        <v>#N/A</v>
      </c>
      <c r="AT746" s="121" t="e">
        <f>IF('Cable Info'!P450="","",CONCATENATE('Cable Info'!P450," - ",'Cable Info'!Q450))</f>
        <v>#N/A</v>
      </c>
      <c r="AW746" s="121" t="e">
        <f t="shared" si="146"/>
        <v>#N/A</v>
      </c>
      <c r="AY746" s="121" t="str">
        <f>IF('Cable Info'!R450="","",CONCATENATE('Cable Info'!R450," - ",'Cable Info'!S450))</f>
        <v/>
      </c>
      <c r="BB746" s="121" t="str">
        <f t="shared" si="147"/>
        <v/>
      </c>
      <c r="BD746" s="121" t="str">
        <f>IF('Cable Info'!T450="","",CONCATENATE('Cable Info'!T450," - ",'Cable Info'!U450))</f>
        <v/>
      </c>
      <c r="BG746" s="121" t="str">
        <f t="shared" si="148"/>
        <v/>
      </c>
      <c r="BI746" s="121" t="str">
        <f>IF('Cable Info'!V450="","",CONCATENATE('Cable Info'!V450," - ",'Cable Info'!W450))</f>
        <v/>
      </c>
      <c r="BL746" s="121" t="str">
        <f t="shared" si="149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0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1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2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3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4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55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0"/>
        <v>#N/A</v>
      </c>
      <c r="AO748" s="121" t="e">
        <f>IF('Cable Info'!N452="","",CONCATENATE('Cable Info'!N452," - ",'Cable Info'!O452))</f>
        <v>#N/A</v>
      </c>
      <c r="AR748" s="121" t="e">
        <f t="shared" si="151"/>
        <v>#N/A</v>
      </c>
      <c r="AT748" s="121" t="e">
        <f>IF('Cable Info'!P452="","",CONCATENATE('Cable Info'!P452," - ",'Cable Info'!Q452))</f>
        <v>#N/A</v>
      </c>
      <c r="AW748" s="121" t="e">
        <f t="shared" si="152"/>
        <v>#N/A</v>
      </c>
      <c r="AY748" s="121" t="str">
        <f>IF('Cable Info'!R452="","",CONCATENATE('Cable Info'!R452," - ",'Cable Info'!S452))</f>
        <v/>
      </c>
      <c r="BB748" s="121" t="str">
        <f t="shared" si="153"/>
        <v/>
      </c>
      <c r="BD748" s="121" t="str">
        <f>IF('Cable Info'!T452="","",CONCATENATE('Cable Info'!T452," - ",'Cable Info'!U452))</f>
        <v/>
      </c>
      <c r="BG748" s="121" t="str">
        <f t="shared" si="154"/>
        <v/>
      </c>
      <c r="BI748" s="121" t="str">
        <f>IF('Cable Info'!V452="","",CONCATENATE('Cable Info'!V452," - ",'Cable Info'!W452))</f>
        <v/>
      </c>
      <c r="BL748" s="121" t="str">
        <f t="shared" si="155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0"/>
        <v>#N/A</v>
      </c>
      <c r="AO749" s="121" t="e">
        <f>IF('Cable Info'!N453="","",CONCATENATE('Cable Info'!N453," - ",'Cable Info'!O453))</f>
        <v>#N/A</v>
      </c>
      <c r="AR749" s="121" t="e">
        <f t="shared" si="151"/>
        <v>#N/A</v>
      </c>
      <c r="AT749" s="121" t="e">
        <f>IF('Cable Info'!P453="","",CONCATENATE('Cable Info'!P453," - ",'Cable Info'!Q453))</f>
        <v>#N/A</v>
      </c>
      <c r="AW749" s="121" t="e">
        <f t="shared" si="152"/>
        <v>#N/A</v>
      </c>
      <c r="AY749" s="121" t="str">
        <f>IF('Cable Info'!R453="","",CONCATENATE('Cable Info'!R453," - ",'Cable Info'!S453))</f>
        <v/>
      </c>
      <c r="BB749" s="121" t="str">
        <f t="shared" si="153"/>
        <v/>
      </c>
      <c r="BD749" s="121" t="str">
        <f>IF('Cable Info'!T453="","",CONCATENATE('Cable Info'!T453," - ",'Cable Info'!U453))</f>
        <v/>
      </c>
      <c r="BG749" s="121" t="str">
        <f t="shared" si="154"/>
        <v/>
      </c>
      <c r="BI749" s="121" t="str">
        <f>IF('Cable Info'!V453="","",CONCATENATE('Cable Info'!V453," - ",'Cable Info'!W453))</f>
        <v/>
      </c>
      <c r="BL749" s="121" t="str">
        <f t="shared" si="155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0"/>
        <v>#N/A</v>
      </c>
      <c r="AO750" s="121" t="e">
        <f>IF('Cable Info'!N454="","",CONCATENATE('Cable Info'!N454," - ",'Cable Info'!O454))</f>
        <v>#N/A</v>
      </c>
      <c r="AR750" s="121" t="e">
        <f t="shared" si="151"/>
        <v>#N/A</v>
      </c>
      <c r="AT750" s="121" t="e">
        <f>IF('Cable Info'!P454="","",CONCATENATE('Cable Info'!P454," - ",'Cable Info'!Q454))</f>
        <v>#N/A</v>
      </c>
      <c r="AW750" s="121" t="e">
        <f t="shared" si="152"/>
        <v>#N/A</v>
      </c>
      <c r="AY750" s="121" t="str">
        <f>IF('Cable Info'!R454="","",CONCATENATE('Cable Info'!R454," - ",'Cable Info'!S454))</f>
        <v/>
      </c>
      <c r="BB750" s="121" t="str">
        <f t="shared" si="153"/>
        <v/>
      </c>
      <c r="BD750" s="121" t="str">
        <f>IF('Cable Info'!T454="","",CONCATENATE('Cable Info'!T454," - ",'Cable Info'!U454))</f>
        <v/>
      </c>
      <c r="BG750" s="121" t="str">
        <f t="shared" si="154"/>
        <v/>
      </c>
      <c r="BI750" s="121" t="str">
        <f>IF('Cable Info'!V454="","",CONCATENATE('Cable Info'!V454," - ",'Cable Info'!W454))</f>
        <v/>
      </c>
      <c r="BL750" s="121" t="str">
        <f t="shared" si="155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0"/>
        <v>#N/A</v>
      </c>
      <c r="AO751" s="121" t="e">
        <f>IF('Cable Info'!N455="","",CONCATENATE('Cable Info'!N455," - ",'Cable Info'!O455))</f>
        <v>#N/A</v>
      </c>
      <c r="AR751" s="121" t="e">
        <f t="shared" si="151"/>
        <v>#N/A</v>
      </c>
      <c r="AT751" s="121" t="e">
        <f>IF('Cable Info'!P455="","",CONCATENATE('Cable Info'!P455," - ",'Cable Info'!Q455))</f>
        <v>#N/A</v>
      </c>
      <c r="AW751" s="121" t="e">
        <f t="shared" si="152"/>
        <v>#N/A</v>
      </c>
      <c r="AY751" s="121" t="str">
        <f>IF('Cable Info'!R455="","",CONCATENATE('Cable Info'!R455," - ",'Cable Info'!S455))</f>
        <v/>
      </c>
      <c r="BB751" s="121" t="str">
        <f t="shared" si="153"/>
        <v/>
      </c>
      <c r="BD751" s="121" t="str">
        <f>IF('Cable Info'!T455="","",CONCATENATE('Cable Info'!T455," - ",'Cable Info'!U455))</f>
        <v/>
      </c>
      <c r="BG751" s="121" t="str">
        <f t="shared" si="154"/>
        <v/>
      </c>
      <c r="BI751" s="121" t="str">
        <f>IF('Cable Info'!V455="","",CONCATENATE('Cable Info'!V455," - ",'Cable Info'!W455))</f>
        <v/>
      </c>
      <c r="BL751" s="121" t="str">
        <f t="shared" si="155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0"/>
        <v>#N/A</v>
      </c>
      <c r="AO752" s="121" t="e">
        <f>IF('Cable Info'!N456="","",CONCATENATE('Cable Info'!N456," - ",'Cable Info'!O456))</f>
        <v>#N/A</v>
      </c>
      <c r="AR752" s="121" t="e">
        <f t="shared" si="151"/>
        <v>#N/A</v>
      </c>
      <c r="AT752" s="121" t="e">
        <f>IF('Cable Info'!P456="","",CONCATENATE('Cable Info'!P456," - ",'Cable Info'!Q456))</f>
        <v>#N/A</v>
      </c>
      <c r="AW752" s="121" t="e">
        <f t="shared" si="152"/>
        <v>#N/A</v>
      </c>
      <c r="AY752" s="121" t="str">
        <f>IF('Cable Info'!R456="","",CONCATENATE('Cable Info'!R456," - ",'Cable Info'!S456))</f>
        <v/>
      </c>
      <c r="BB752" s="121" t="str">
        <f t="shared" si="153"/>
        <v/>
      </c>
      <c r="BD752" s="121" t="str">
        <f>IF('Cable Info'!T456="","",CONCATENATE('Cable Info'!T456," - ",'Cable Info'!U456))</f>
        <v/>
      </c>
      <c r="BG752" s="121" t="str">
        <f t="shared" si="154"/>
        <v/>
      </c>
      <c r="BI752" s="121" t="str">
        <f>IF('Cable Info'!V456="","",CONCATENATE('Cable Info'!V456," - ",'Cable Info'!W456))</f>
        <v/>
      </c>
      <c r="BL752" s="121" t="str">
        <f t="shared" si="155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0"/>
        <v>#N/A</v>
      </c>
      <c r="AO753" s="121" t="e">
        <f>IF('Cable Info'!N457="","",CONCATENATE('Cable Info'!N457," - ",'Cable Info'!O457))</f>
        <v>#N/A</v>
      </c>
      <c r="AR753" s="121" t="e">
        <f t="shared" si="151"/>
        <v>#N/A</v>
      </c>
      <c r="AT753" s="121" t="e">
        <f>IF('Cable Info'!P457="","",CONCATENATE('Cable Info'!P457," - ",'Cable Info'!Q457))</f>
        <v>#N/A</v>
      </c>
      <c r="AW753" s="121" t="e">
        <f t="shared" si="152"/>
        <v>#N/A</v>
      </c>
      <c r="AY753" s="121" t="str">
        <f>IF('Cable Info'!R457="","",CONCATENATE('Cable Info'!R457," - ",'Cable Info'!S457))</f>
        <v/>
      </c>
      <c r="BB753" s="121" t="str">
        <f t="shared" si="153"/>
        <v/>
      </c>
      <c r="BD753" s="121" t="str">
        <f>IF('Cable Info'!T457="","",CONCATENATE('Cable Info'!T457," - ",'Cable Info'!U457))</f>
        <v/>
      </c>
      <c r="BG753" s="121" t="str">
        <f t="shared" si="154"/>
        <v/>
      </c>
      <c r="BI753" s="121" t="str">
        <f>IF('Cable Info'!V457="","",CONCATENATE('Cable Info'!V457," - ",'Cable Info'!W457))</f>
        <v/>
      </c>
      <c r="BL753" s="121" t="str">
        <f t="shared" si="155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0"/>
        <v>#N/A</v>
      </c>
      <c r="AO754" s="121" t="e">
        <f>IF('Cable Info'!N458="","",CONCATENATE('Cable Info'!N458," - ",'Cable Info'!O458))</f>
        <v>#N/A</v>
      </c>
      <c r="AR754" s="121" t="e">
        <f t="shared" si="151"/>
        <v>#N/A</v>
      </c>
      <c r="AT754" s="121" t="e">
        <f>IF('Cable Info'!P458="","",CONCATENATE('Cable Info'!P458," - ",'Cable Info'!Q458))</f>
        <v>#N/A</v>
      </c>
      <c r="AW754" s="121" t="e">
        <f t="shared" si="152"/>
        <v>#N/A</v>
      </c>
      <c r="AY754" s="121" t="str">
        <f>IF('Cable Info'!R458="","",CONCATENATE('Cable Info'!R458," - ",'Cable Info'!S458))</f>
        <v/>
      </c>
      <c r="BB754" s="121" t="str">
        <f t="shared" si="153"/>
        <v/>
      </c>
      <c r="BD754" s="121" t="str">
        <f>IF('Cable Info'!T458="","",CONCATENATE('Cable Info'!T458," - ",'Cable Info'!U458))</f>
        <v/>
      </c>
      <c r="BG754" s="121" t="str">
        <f t="shared" si="154"/>
        <v/>
      </c>
      <c r="BI754" s="121" t="str">
        <f>IF('Cable Info'!V458="","",CONCATENATE('Cable Info'!V458," - ",'Cable Info'!W458))</f>
        <v/>
      </c>
      <c r="BL754" s="121" t="str">
        <f t="shared" si="155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0"/>
        <v>#N/A</v>
      </c>
      <c r="AO755" s="121" t="e">
        <f>IF('Cable Info'!N459="","",CONCATENATE('Cable Info'!N459," - ",'Cable Info'!O459))</f>
        <v>#N/A</v>
      </c>
      <c r="AR755" s="121" t="e">
        <f t="shared" si="151"/>
        <v>#N/A</v>
      </c>
      <c r="AT755" s="121" t="e">
        <f>IF('Cable Info'!P459="","",CONCATENATE('Cable Info'!P459," - ",'Cable Info'!Q459))</f>
        <v>#N/A</v>
      </c>
      <c r="AW755" s="121" t="e">
        <f t="shared" si="152"/>
        <v>#N/A</v>
      </c>
      <c r="AY755" s="121" t="str">
        <f>IF('Cable Info'!R459="","",CONCATENATE('Cable Info'!R459," - ",'Cable Info'!S459))</f>
        <v/>
      </c>
      <c r="BB755" s="121" t="str">
        <f t="shared" si="153"/>
        <v/>
      </c>
      <c r="BD755" s="121" t="str">
        <f>IF('Cable Info'!T459="","",CONCATENATE('Cable Info'!T459," - ",'Cable Info'!U459))</f>
        <v/>
      </c>
      <c r="BG755" s="121" t="str">
        <f t="shared" si="154"/>
        <v/>
      </c>
      <c r="BI755" s="121" t="str">
        <f>IF('Cable Info'!V459="","",CONCATENATE('Cable Info'!V459," - ",'Cable Info'!W459))</f>
        <v/>
      </c>
      <c r="BL755" s="121" t="str">
        <f t="shared" si="155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0"/>
        <v>#N/A</v>
      </c>
      <c r="AO756" s="121" t="e">
        <f>IF('Cable Info'!N460="","",CONCATENATE('Cable Info'!N460," - ",'Cable Info'!O460))</f>
        <v>#N/A</v>
      </c>
      <c r="AR756" s="121" t="e">
        <f t="shared" si="151"/>
        <v>#N/A</v>
      </c>
      <c r="AT756" s="121" t="e">
        <f>IF('Cable Info'!P460="","",CONCATENATE('Cable Info'!P460," - ",'Cable Info'!Q460))</f>
        <v>#N/A</v>
      </c>
      <c r="AW756" s="121" t="e">
        <f t="shared" si="152"/>
        <v>#N/A</v>
      </c>
      <c r="AY756" s="121" t="str">
        <f>IF('Cable Info'!R460="","",CONCATENATE('Cable Info'!R460," - ",'Cable Info'!S460))</f>
        <v/>
      </c>
      <c r="BB756" s="121" t="str">
        <f t="shared" si="153"/>
        <v/>
      </c>
      <c r="BD756" s="121" t="str">
        <f>IF('Cable Info'!T460="","",CONCATENATE('Cable Info'!T460," - ",'Cable Info'!U460))</f>
        <v/>
      </c>
      <c r="BG756" s="121" t="str">
        <f t="shared" si="154"/>
        <v/>
      </c>
      <c r="BI756" s="121" t="str">
        <f>IF('Cable Info'!V460="","",CONCATENATE('Cable Info'!V460," - ",'Cable Info'!W460))</f>
        <v/>
      </c>
      <c r="BL756" s="121" t="str">
        <f t="shared" si="155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0"/>
        <v>#N/A</v>
      </c>
      <c r="AO757" s="121" t="e">
        <f>IF('Cable Info'!N461="","",CONCATENATE('Cable Info'!N461," - ",'Cable Info'!O461))</f>
        <v>#N/A</v>
      </c>
      <c r="AR757" s="121" t="e">
        <f t="shared" si="151"/>
        <v>#N/A</v>
      </c>
      <c r="AT757" s="121" t="e">
        <f>IF('Cable Info'!P461="","",CONCATENATE('Cable Info'!P461," - ",'Cable Info'!Q461))</f>
        <v>#N/A</v>
      </c>
      <c r="AW757" s="121" t="e">
        <f t="shared" si="152"/>
        <v>#N/A</v>
      </c>
      <c r="AY757" s="121" t="str">
        <f>IF('Cable Info'!R461="","",CONCATENATE('Cable Info'!R461," - ",'Cable Info'!S461))</f>
        <v/>
      </c>
      <c r="BB757" s="121" t="str">
        <f t="shared" si="153"/>
        <v/>
      </c>
      <c r="BD757" s="121" t="str">
        <f>IF('Cable Info'!T461="","",CONCATENATE('Cable Info'!T461," - ",'Cable Info'!U461))</f>
        <v/>
      </c>
      <c r="BG757" s="121" t="str">
        <f t="shared" si="154"/>
        <v/>
      </c>
      <c r="BI757" s="121" t="str">
        <f>IF('Cable Info'!V461="","",CONCATENATE('Cable Info'!V461," - ",'Cable Info'!W461))</f>
        <v/>
      </c>
      <c r="BL757" s="121" t="str">
        <f t="shared" si="155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0"/>
        <v>#N/A</v>
      </c>
      <c r="AO758" s="121" t="e">
        <f>IF('Cable Info'!N462="","",CONCATENATE('Cable Info'!N462," - ",'Cable Info'!O462))</f>
        <v>#N/A</v>
      </c>
      <c r="AR758" s="121" t="e">
        <f t="shared" si="151"/>
        <v>#N/A</v>
      </c>
      <c r="AT758" s="121" t="e">
        <f>IF('Cable Info'!P462="","",CONCATENATE('Cable Info'!P462," - ",'Cable Info'!Q462))</f>
        <v>#N/A</v>
      </c>
      <c r="AW758" s="121" t="e">
        <f t="shared" si="152"/>
        <v>#N/A</v>
      </c>
      <c r="AY758" s="121" t="str">
        <f>IF('Cable Info'!R462="","",CONCATENATE('Cable Info'!R462," - ",'Cable Info'!S462))</f>
        <v/>
      </c>
      <c r="BB758" s="121" t="str">
        <f t="shared" si="153"/>
        <v/>
      </c>
      <c r="BD758" s="121" t="str">
        <f>IF('Cable Info'!T462="","",CONCATENATE('Cable Info'!T462," - ",'Cable Info'!U462))</f>
        <v/>
      </c>
      <c r="BG758" s="121" t="str">
        <f t="shared" si="154"/>
        <v/>
      </c>
      <c r="BI758" s="121" t="str">
        <f>IF('Cable Info'!V462="","",CONCATENATE('Cable Info'!V462," - ",'Cable Info'!W462))</f>
        <v/>
      </c>
      <c r="BL758" s="121" t="str">
        <f t="shared" si="155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0"/>
        <v>#N/A</v>
      </c>
      <c r="AO759" s="121" t="e">
        <f>IF('Cable Info'!N463="","",CONCATENATE('Cable Info'!N463," - ",'Cable Info'!O463))</f>
        <v>#N/A</v>
      </c>
      <c r="AR759" s="121" t="e">
        <f t="shared" si="151"/>
        <v>#N/A</v>
      </c>
      <c r="AT759" s="121" t="e">
        <f>IF('Cable Info'!P463="","",CONCATENATE('Cable Info'!P463," - ",'Cable Info'!Q463))</f>
        <v>#N/A</v>
      </c>
      <c r="AW759" s="121" t="e">
        <f t="shared" si="152"/>
        <v>#N/A</v>
      </c>
      <c r="AY759" s="121" t="str">
        <f>IF('Cable Info'!R463="","",CONCATENATE('Cable Info'!R463," - ",'Cable Info'!S463))</f>
        <v/>
      </c>
      <c r="BB759" s="121" t="str">
        <f t="shared" si="153"/>
        <v/>
      </c>
      <c r="BD759" s="121" t="str">
        <f>IF('Cable Info'!T463="","",CONCATENATE('Cable Info'!T463," - ",'Cable Info'!U463))</f>
        <v/>
      </c>
      <c r="BG759" s="121" t="str">
        <f t="shared" si="154"/>
        <v/>
      </c>
      <c r="BI759" s="121" t="str">
        <f>IF('Cable Info'!V463="","",CONCATENATE('Cable Info'!V463," - ",'Cable Info'!W463))</f>
        <v/>
      </c>
      <c r="BL759" s="121" t="str">
        <f t="shared" si="155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0"/>
        <v>#N/A</v>
      </c>
      <c r="AO760" s="121" t="e">
        <f>IF('Cable Info'!N464="","",CONCATENATE('Cable Info'!N464," - ",'Cable Info'!O464))</f>
        <v>#N/A</v>
      </c>
      <c r="AR760" s="121" t="e">
        <f t="shared" si="151"/>
        <v>#N/A</v>
      </c>
      <c r="AT760" s="121" t="e">
        <f>IF('Cable Info'!P464="","",CONCATENATE('Cable Info'!P464," - ",'Cable Info'!Q464))</f>
        <v>#N/A</v>
      </c>
      <c r="AW760" s="121" t="e">
        <f t="shared" si="152"/>
        <v>#N/A</v>
      </c>
      <c r="AY760" s="121" t="str">
        <f>IF('Cable Info'!R464="","",CONCATENATE('Cable Info'!R464," - ",'Cable Info'!S464))</f>
        <v/>
      </c>
      <c r="BB760" s="121" t="str">
        <f t="shared" si="153"/>
        <v/>
      </c>
      <c r="BD760" s="121" t="str">
        <f>IF('Cable Info'!T464="","",CONCATENATE('Cable Info'!T464," - ",'Cable Info'!U464))</f>
        <v/>
      </c>
      <c r="BG760" s="121" t="str">
        <f t="shared" si="154"/>
        <v/>
      </c>
      <c r="BI760" s="121" t="str">
        <f>IF('Cable Info'!V464="","",CONCATENATE('Cable Info'!V464," - ",'Cable Info'!W464))</f>
        <v/>
      </c>
      <c r="BL760" s="121" t="str">
        <f t="shared" si="155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0"/>
        <v>#N/A</v>
      </c>
      <c r="AO761" s="121" t="e">
        <f>IF('Cable Info'!N465="","",CONCATENATE('Cable Info'!N465," - ",'Cable Info'!O465))</f>
        <v>#N/A</v>
      </c>
      <c r="AR761" s="121" t="e">
        <f t="shared" si="151"/>
        <v>#N/A</v>
      </c>
      <c r="AT761" s="121" t="e">
        <f>IF('Cable Info'!P465="","",CONCATENATE('Cable Info'!P465," - ",'Cable Info'!Q465))</f>
        <v>#N/A</v>
      </c>
      <c r="AW761" s="121" t="e">
        <f t="shared" si="152"/>
        <v>#N/A</v>
      </c>
      <c r="AY761" s="121" t="str">
        <f>IF('Cable Info'!R465="","",CONCATENATE('Cable Info'!R465," - ",'Cable Info'!S465))</f>
        <v/>
      </c>
      <c r="BB761" s="121" t="str">
        <f t="shared" si="153"/>
        <v/>
      </c>
      <c r="BD761" s="121" t="str">
        <f>IF('Cable Info'!T465="","",CONCATENATE('Cable Info'!T465," - ",'Cable Info'!U465))</f>
        <v/>
      </c>
      <c r="BG761" s="121" t="str">
        <f t="shared" si="154"/>
        <v/>
      </c>
      <c r="BI761" s="121" t="str">
        <f>IF('Cable Info'!V465="","",CONCATENATE('Cable Info'!V465," - ",'Cable Info'!W465))</f>
        <v/>
      </c>
      <c r="BL761" s="121" t="str">
        <f t="shared" si="155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0"/>
        <v>#N/A</v>
      </c>
      <c r="AO762" s="121" t="e">
        <f>IF('Cable Info'!N466="","",CONCATENATE('Cable Info'!N466," - ",'Cable Info'!O466))</f>
        <v>#N/A</v>
      </c>
      <c r="AR762" s="121" t="e">
        <f t="shared" si="151"/>
        <v>#N/A</v>
      </c>
      <c r="AT762" s="121" t="e">
        <f>IF('Cable Info'!P466="","",CONCATENATE('Cable Info'!P466," - ",'Cable Info'!Q466))</f>
        <v>#N/A</v>
      </c>
      <c r="AW762" s="121" t="e">
        <f t="shared" si="152"/>
        <v>#N/A</v>
      </c>
      <c r="AY762" s="121" t="str">
        <f>IF('Cable Info'!R466="","",CONCATENATE('Cable Info'!R466," - ",'Cable Info'!S466))</f>
        <v/>
      </c>
      <c r="BB762" s="121" t="str">
        <f t="shared" si="153"/>
        <v/>
      </c>
      <c r="BD762" s="121" t="str">
        <f>IF('Cable Info'!T466="","",CONCATENATE('Cable Info'!T466," - ",'Cable Info'!U466))</f>
        <v/>
      </c>
      <c r="BG762" s="121" t="str">
        <f t="shared" si="154"/>
        <v/>
      </c>
      <c r="BI762" s="121" t="str">
        <f>IF('Cable Info'!V466="","",CONCATENATE('Cable Info'!V466," - ",'Cable Info'!W466))</f>
        <v/>
      </c>
      <c r="BL762" s="121" t="str">
        <f t="shared" si="155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0"/>
        <v>#N/A</v>
      </c>
      <c r="AO763" s="121" t="e">
        <f>IF('Cable Info'!N467="","",CONCATENATE('Cable Info'!N467," - ",'Cable Info'!O467))</f>
        <v>#N/A</v>
      </c>
      <c r="AR763" s="121" t="e">
        <f t="shared" si="151"/>
        <v>#N/A</v>
      </c>
      <c r="AT763" s="121" t="e">
        <f>IF('Cable Info'!P467="","",CONCATENATE('Cable Info'!P467," - ",'Cable Info'!Q467))</f>
        <v>#N/A</v>
      </c>
      <c r="AW763" s="121" t="e">
        <f t="shared" si="152"/>
        <v>#N/A</v>
      </c>
      <c r="AY763" s="121" t="str">
        <f>IF('Cable Info'!R467="","",CONCATENATE('Cable Info'!R467," - ",'Cable Info'!S467))</f>
        <v/>
      </c>
      <c r="BB763" s="121" t="str">
        <f t="shared" si="153"/>
        <v/>
      </c>
      <c r="BD763" s="121" t="str">
        <f>IF('Cable Info'!T467="","",CONCATENATE('Cable Info'!T467," - ",'Cable Info'!U467))</f>
        <v/>
      </c>
      <c r="BG763" s="121" t="str">
        <f t="shared" si="154"/>
        <v/>
      </c>
      <c r="BI763" s="121" t="str">
        <f>IF('Cable Info'!V467="","",CONCATENATE('Cable Info'!V467," - ",'Cable Info'!W467))</f>
        <v/>
      </c>
      <c r="BL763" s="121" t="str">
        <f t="shared" si="155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0"/>
        <v>#N/A</v>
      </c>
      <c r="AO764" s="121" t="e">
        <f>IF('Cable Info'!N468="","",CONCATENATE('Cable Info'!N468," - ",'Cable Info'!O468))</f>
        <v>#N/A</v>
      </c>
      <c r="AR764" s="121" t="e">
        <f t="shared" si="151"/>
        <v>#N/A</v>
      </c>
      <c r="AT764" s="121" t="e">
        <f>IF('Cable Info'!P468="","",CONCATENATE('Cable Info'!P468," - ",'Cable Info'!Q468))</f>
        <v>#N/A</v>
      </c>
      <c r="AW764" s="121" t="e">
        <f t="shared" si="152"/>
        <v>#N/A</v>
      </c>
      <c r="AY764" s="121" t="str">
        <f>IF('Cable Info'!R468="","",CONCATENATE('Cable Info'!R468," - ",'Cable Info'!S468))</f>
        <v/>
      </c>
      <c r="BB764" s="121" t="str">
        <f t="shared" si="153"/>
        <v/>
      </c>
      <c r="BD764" s="121" t="str">
        <f>IF('Cable Info'!T468="","",CONCATENATE('Cable Info'!T468," - ",'Cable Info'!U468))</f>
        <v/>
      </c>
      <c r="BG764" s="121" t="str">
        <f t="shared" si="154"/>
        <v/>
      </c>
      <c r="BI764" s="121" t="str">
        <f>IF('Cable Info'!V468="","",CONCATENATE('Cable Info'!V468," - ",'Cable Info'!W468))</f>
        <v/>
      </c>
      <c r="BL764" s="121" t="str">
        <f t="shared" si="155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0"/>
        <v>#N/A</v>
      </c>
      <c r="AO765" s="121" t="e">
        <f>IF('Cable Info'!N469="","",CONCATENATE('Cable Info'!N469," - ",'Cable Info'!O469))</f>
        <v>#N/A</v>
      </c>
      <c r="AR765" s="121" t="e">
        <f t="shared" si="151"/>
        <v>#N/A</v>
      </c>
      <c r="AT765" s="121" t="e">
        <f>IF('Cable Info'!P469="","",CONCATENATE('Cable Info'!P469," - ",'Cable Info'!Q469))</f>
        <v>#N/A</v>
      </c>
      <c r="AW765" s="121" t="e">
        <f t="shared" si="152"/>
        <v>#N/A</v>
      </c>
      <c r="AY765" s="121" t="str">
        <f>IF('Cable Info'!R469="","",CONCATENATE('Cable Info'!R469," - ",'Cable Info'!S469))</f>
        <v/>
      </c>
      <c r="BB765" s="121" t="str">
        <f t="shared" si="153"/>
        <v/>
      </c>
      <c r="BD765" s="121" t="str">
        <f>IF('Cable Info'!T469="","",CONCATENATE('Cable Info'!T469," - ",'Cable Info'!U469))</f>
        <v/>
      </c>
      <c r="BG765" s="121" t="str">
        <f t="shared" si="154"/>
        <v/>
      </c>
      <c r="BI765" s="121" t="str">
        <f>IF('Cable Info'!V469="","",CONCATENATE('Cable Info'!V469," - ",'Cable Info'!W469))</f>
        <v/>
      </c>
      <c r="BL765" s="121" t="str">
        <f t="shared" si="155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0"/>
        <v>#N/A</v>
      </c>
      <c r="AO766" s="121" t="e">
        <f>IF('Cable Info'!N470="","",CONCATENATE('Cable Info'!N470," - ",'Cable Info'!O470))</f>
        <v>#N/A</v>
      </c>
      <c r="AR766" s="121" t="e">
        <f t="shared" si="151"/>
        <v>#N/A</v>
      </c>
      <c r="AT766" s="121" t="e">
        <f>IF('Cable Info'!P470="","",CONCATENATE('Cable Info'!P470," - ",'Cable Info'!Q470))</f>
        <v>#N/A</v>
      </c>
      <c r="AW766" s="121" t="e">
        <f t="shared" si="152"/>
        <v>#N/A</v>
      </c>
      <c r="AY766" s="121" t="str">
        <f>IF('Cable Info'!R470="","",CONCATENATE('Cable Info'!R470," - ",'Cable Info'!S470))</f>
        <v/>
      </c>
      <c r="BB766" s="121" t="str">
        <f t="shared" si="153"/>
        <v/>
      </c>
      <c r="BD766" s="121" t="str">
        <f>IF('Cable Info'!T470="","",CONCATENATE('Cable Info'!T470," - ",'Cable Info'!U470))</f>
        <v/>
      </c>
      <c r="BG766" s="121" t="str">
        <f t="shared" si="154"/>
        <v/>
      </c>
      <c r="BI766" s="121" t="str">
        <f>IF('Cable Info'!V470="","",CONCATENATE('Cable Info'!V470," - ",'Cable Info'!W470))</f>
        <v/>
      </c>
      <c r="BL766" s="121" t="str">
        <f t="shared" si="155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0"/>
        <v>#N/A</v>
      </c>
      <c r="AO767" s="121" t="e">
        <f>IF('Cable Info'!N471="","",CONCATENATE('Cable Info'!N471," - ",'Cable Info'!O471))</f>
        <v>#N/A</v>
      </c>
      <c r="AR767" s="121" t="e">
        <f t="shared" si="151"/>
        <v>#N/A</v>
      </c>
      <c r="AT767" s="121" t="e">
        <f>IF('Cable Info'!P471="","",CONCATENATE('Cable Info'!P471," - ",'Cable Info'!Q471))</f>
        <v>#N/A</v>
      </c>
      <c r="AW767" s="121" t="e">
        <f t="shared" si="152"/>
        <v>#N/A</v>
      </c>
      <c r="AY767" s="121" t="str">
        <f>IF('Cable Info'!R471="","",CONCATENATE('Cable Info'!R471," - ",'Cable Info'!S471))</f>
        <v/>
      </c>
      <c r="BB767" s="121" t="str">
        <f t="shared" si="153"/>
        <v/>
      </c>
      <c r="BD767" s="121" t="str">
        <f>IF('Cable Info'!T471="","",CONCATENATE('Cable Info'!T471," - ",'Cable Info'!U471))</f>
        <v/>
      </c>
      <c r="BG767" s="121" t="str">
        <f t="shared" si="154"/>
        <v/>
      </c>
      <c r="BI767" s="121" t="str">
        <f>IF('Cable Info'!V471="","",CONCATENATE('Cable Info'!V471," - ",'Cable Info'!W471))</f>
        <v/>
      </c>
      <c r="BL767" s="121" t="str">
        <f t="shared" si="155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0"/>
        <v>#N/A</v>
      </c>
      <c r="AO768" s="121" t="e">
        <f>IF('Cable Info'!N472="","",CONCATENATE('Cable Info'!N472," - ",'Cable Info'!O472))</f>
        <v>#N/A</v>
      </c>
      <c r="AR768" s="121" t="e">
        <f t="shared" si="151"/>
        <v>#N/A</v>
      </c>
      <c r="AT768" s="121" t="e">
        <f>IF('Cable Info'!P472="","",CONCATENATE('Cable Info'!P472," - ",'Cable Info'!Q472))</f>
        <v>#N/A</v>
      </c>
      <c r="AW768" s="121" t="e">
        <f t="shared" si="152"/>
        <v>#N/A</v>
      </c>
      <c r="AY768" s="121" t="str">
        <f>IF('Cable Info'!R472="","",CONCATENATE('Cable Info'!R472," - ",'Cable Info'!S472))</f>
        <v/>
      </c>
      <c r="BB768" s="121" t="str">
        <f t="shared" si="153"/>
        <v/>
      </c>
      <c r="BD768" s="121" t="str">
        <f>IF('Cable Info'!T472="","",CONCATENATE('Cable Info'!T472," - ",'Cable Info'!U472))</f>
        <v/>
      </c>
      <c r="BG768" s="121" t="str">
        <f t="shared" si="154"/>
        <v/>
      </c>
      <c r="BI768" s="121" t="str">
        <f>IF('Cable Info'!V472="","",CONCATENATE('Cable Info'!V472," - ",'Cable Info'!W472))</f>
        <v/>
      </c>
      <c r="BL768" s="121" t="str">
        <f t="shared" si="155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0"/>
        <v>#N/A</v>
      </c>
      <c r="AO769" s="121" t="e">
        <f>IF('Cable Info'!N473="","",CONCATENATE('Cable Info'!N473," - ",'Cable Info'!O473))</f>
        <v>#N/A</v>
      </c>
      <c r="AR769" s="121" t="e">
        <f t="shared" si="151"/>
        <v>#N/A</v>
      </c>
      <c r="AT769" s="121" t="e">
        <f>IF('Cable Info'!P473="","",CONCATENATE('Cable Info'!P473," - ",'Cable Info'!Q473))</f>
        <v>#N/A</v>
      </c>
      <c r="AW769" s="121" t="e">
        <f t="shared" si="152"/>
        <v>#N/A</v>
      </c>
      <c r="AY769" s="121" t="str">
        <f>IF('Cable Info'!R473="","",CONCATENATE('Cable Info'!R473," - ",'Cable Info'!S473))</f>
        <v/>
      </c>
      <c r="BB769" s="121" t="str">
        <f t="shared" si="153"/>
        <v/>
      </c>
      <c r="BD769" s="121" t="str">
        <f>IF('Cable Info'!T473="","",CONCATENATE('Cable Info'!T473," - ",'Cable Info'!U473))</f>
        <v/>
      </c>
      <c r="BG769" s="121" t="str">
        <f t="shared" si="154"/>
        <v/>
      </c>
      <c r="BI769" s="121" t="str">
        <f>IF('Cable Info'!V473="","",CONCATENATE('Cable Info'!V473," - ",'Cable Info'!W473))</f>
        <v/>
      </c>
      <c r="BL769" s="121" t="str">
        <f t="shared" si="155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0"/>
        <v>#N/A</v>
      </c>
      <c r="AO770" s="121" t="e">
        <f>IF('Cable Info'!N474="","",CONCATENATE('Cable Info'!N474," - ",'Cable Info'!O474))</f>
        <v>#N/A</v>
      </c>
      <c r="AR770" s="121" t="e">
        <f t="shared" si="151"/>
        <v>#N/A</v>
      </c>
      <c r="AT770" s="121" t="e">
        <f>IF('Cable Info'!P474="","",CONCATENATE('Cable Info'!P474," - ",'Cable Info'!Q474))</f>
        <v>#N/A</v>
      </c>
      <c r="AW770" s="121" t="e">
        <f t="shared" si="152"/>
        <v>#N/A</v>
      </c>
      <c r="AY770" s="121" t="str">
        <f>IF('Cable Info'!R474="","",CONCATENATE('Cable Info'!R474," - ",'Cable Info'!S474))</f>
        <v/>
      </c>
      <c r="BB770" s="121" t="str">
        <f t="shared" si="153"/>
        <v/>
      </c>
      <c r="BD770" s="121" t="str">
        <f>IF('Cable Info'!T474="","",CONCATENATE('Cable Info'!T474," - ",'Cable Info'!U474))</f>
        <v/>
      </c>
      <c r="BG770" s="121" t="str">
        <f t="shared" si="154"/>
        <v/>
      </c>
      <c r="BI770" s="121" t="str">
        <f>IF('Cable Info'!V474="","",CONCATENATE('Cable Info'!V474," - ",'Cable Info'!W474))</f>
        <v/>
      </c>
      <c r="BL770" s="121" t="str">
        <f t="shared" si="155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0"/>
        <v>#N/A</v>
      </c>
      <c r="AO771" s="121" t="e">
        <f>IF('Cable Info'!N475="","",CONCATENATE('Cable Info'!N475," - ",'Cable Info'!O475))</f>
        <v>#N/A</v>
      </c>
      <c r="AR771" s="121" t="e">
        <f t="shared" si="151"/>
        <v>#N/A</v>
      </c>
      <c r="AT771" s="121" t="e">
        <f>IF('Cable Info'!P475="","",CONCATENATE('Cable Info'!P475," - ",'Cable Info'!Q475))</f>
        <v>#N/A</v>
      </c>
      <c r="AW771" s="121" t="e">
        <f t="shared" si="152"/>
        <v>#N/A</v>
      </c>
      <c r="AY771" s="121" t="str">
        <f>IF('Cable Info'!R475="","",CONCATENATE('Cable Info'!R475," - ",'Cable Info'!S475))</f>
        <v/>
      </c>
      <c r="BB771" s="121" t="str">
        <f t="shared" si="153"/>
        <v/>
      </c>
      <c r="BD771" s="121" t="str">
        <f>IF('Cable Info'!T475="","",CONCATENATE('Cable Info'!T475," - ",'Cable Info'!U475))</f>
        <v/>
      </c>
      <c r="BG771" s="121" t="str">
        <f t="shared" si="154"/>
        <v/>
      </c>
      <c r="BI771" s="121" t="str">
        <f>IF('Cable Info'!V475="","",CONCATENATE('Cable Info'!V475," - ",'Cable Info'!W475))</f>
        <v/>
      </c>
      <c r="BL771" s="121" t="str">
        <f t="shared" si="155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0"/>
        <v>#N/A</v>
      </c>
      <c r="AO772" s="121" t="e">
        <f>IF('Cable Info'!N476="","",CONCATENATE('Cable Info'!N476," - ",'Cable Info'!O476))</f>
        <v>#N/A</v>
      </c>
      <c r="AR772" s="121" t="e">
        <f t="shared" si="151"/>
        <v>#N/A</v>
      </c>
      <c r="AT772" s="121" t="e">
        <f>IF('Cable Info'!P476="","",CONCATENATE('Cable Info'!P476," - ",'Cable Info'!Q476))</f>
        <v>#N/A</v>
      </c>
      <c r="AW772" s="121" t="e">
        <f t="shared" si="152"/>
        <v>#N/A</v>
      </c>
      <c r="AY772" s="121" t="str">
        <f>IF('Cable Info'!R476="","",CONCATENATE('Cable Info'!R476," - ",'Cable Info'!S476))</f>
        <v/>
      </c>
      <c r="BB772" s="121" t="str">
        <f t="shared" si="153"/>
        <v/>
      </c>
      <c r="BD772" s="121" t="str">
        <f>IF('Cable Info'!T476="","",CONCATENATE('Cable Info'!T476," - ",'Cable Info'!U476))</f>
        <v/>
      </c>
      <c r="BG772" s="121" t="str">
        <f t="shared" si="154"/>
        <v/>
      </c>
      <c r="BI772" s="121" t="str">
        <f>IF('Cable Info'!V476="","",CONCATENATE('Cable Info'!V476," - ",'Cable Info'!W476))</f>
        <v/>
      </c>
      <c r="BL772" s="121" t="str">
        <f t="shared" si="155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0"/>
        <v>#N/A</v>
      </c>
      <c r="AO773" s="121" t="e">
        <f>IF('Cable Info'!N477="","",CONCATENATE('Cable Info'!N477," - ",'Cable Info'!O477))</f>
        <v>#N/A</v>
      </c>
      <c r="AR773" s="121" t="e">
        <f t="shared" si="151"/>
        <v>#N/A</v>
      </c>
      <c r="AT773" s="121" t="e">
        <f>IF('Cable Info'!P477="","",CONCATENATE('Cable Info'!P477," - ",'Cable Info'!Q477))</f>
        <v>#N/A</v>
      </c>
      <c r="AW773" s="121" t="e">
        <f t="shared" si="152"/>
        <v>#N/A</v>
      </c>
      <c r="AY773" s="121" t="str">
        <f>IF('Cable Info'!R477="","",CONCATENATE('Cable Info'!R477," - ",'Cable Info'!S477))</f>
        <v/>
      </c>
      <c r="BB773" s="121" t="str">
        <f t="shared" si="153"/>
        <v/>
      </c>
      <c r="BD773" s="121" t="str">
        <f>IF('Cable Info'!T477="","",CONCATENATE('Cable Info'!T477," - ",'Cable Info'!U477))</f>
        <v/>
      </c>
      <c r="BG773" s="121" t="str">
        <f t="shared" si="154"/>
        <v/>
      </c>
      <c r="BI773" s="121" t="str">
        <f>IF('Cable Info'!V477="","",CONCATENATE('Cable Info'!V477," - ",'Cable Info'!W477))</f>
        <v/>
      </c>
      <c r="BL773" s="121" t="str">
        <f t="shared" si="155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0"/>
        <v>#N/A</v>
      </c>
      <c r="AO774" s="121" t="e">
        <f>IF('Cable Info'!N478="","",CONCATENATE('Cable Info'!N478," - ",'Cable Info'!O478))</f>
        <v>#N/A</v>
      </c>
      <c r="AR774" s="121" t="e">
        <f t="shared" si="151"/>
        <v>#N/A</v>
      </c>
      <c r="AT774" s="121" t="e">
        <f>IF('Cable Info'!P478="","",CONCATENATE('Cable Info'!P478," - ",'Cable Info'!Q478))</f>
        <v>#N/A</v>
      </c>
      <c r="AW774" s="121" t="e">
        <f t="shared" si="152"/>
        <v>#N/A</v>
      </c>
      <c r="AY774" s="121" t="str">
        <f>IF('Cable Info'!R478="","",CONCATENATE('Cable Info'!R478," - ",'Cable Info'!S478))</f>
        <v/>
      </c>
      <c r="BB774" s="121" t="str">
        <f t="shared" si="153"/>
        <v/>
      </c>
      <c r="BD774" s="121" t="str">
        <f>IF('Cable Info'!T478="","",CONCATENATE('Cable Info'!T478," - ",'Cable Info'!U478))</f>
        <v/>
      </c>
      <c r="BG774" s="121" t="str">
        <f t="shared" si="154"/>
        <v/>
      </c>
      <c r="BI774" s="121" t="str">
        <f>IF('Cable Info'!V478="","",CONCATENATE('Cable Info'!V478," - ",'Cable Info'!W478))</f>
        <v/>
      </c>
      <c r="BL774" s="121" t="str">
        <f t="shared" si="155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0"/>
        <v>#N/A</v>
      </c>
      <c r="AO775" s="121" t="e">
        <f>IF('Cable Info'!N479="","",CONCATENATE('Cable Info'!N479," - ",'Cable Info'!O479))</f>
        <v>#N/A</v>
      </c>
      <c r="AR775" s="121" t="e">
        <f t="shared" si="151"/>
        <v>#N/A</v>
      </c>
      <c r="AT775" s="121" t="e">
        <f>IF('Cable Info'!P479="","",CONCATENATE('Cable Info'!P479," - ",'Cable Info'!Q479))</f>
        <v>#N/A</v>
      </c>
      <c r="AW775" s="121" t="e">
        <f t="shared" si="152"/>
        <v>#N/A</v>
      </c>
      <c r="AY775" s="121" t="str">
        <f>IF('Cable Info'!R479="","",CONCATENATE('Cable Info'!R479," - ",'Cable Info'!S479))</f>
        <v/>
      </c>
      <c r="BB775" s="121" t="str">
        <f t="shared" si="153"/>
        <v/>
      </c>
      <c r="BD775" s="121" t="str">
        <f>IF('Cable Info'!T479="","",CONCATENATE('Cable Info'!T479," - ",'Cable Info'!U479))</f>
        <v/>
      </c>
      <c r="BG775" s="121" t="str">
        <f t="shared" si="154"/>
        <v/>
      </c>
      <c r="BI775" s="121" t="str">
        <f>IF('Cable Info'!V479="","",CONCATENATE('Cable Info'!V479," - ",'Cable Info'!W479))</f>
        <v/>
      </c>
      <c r="BL775" s="121" t="str">
        <f t="shared" si="155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0"/>
        <v>#N/A</v>
      </c>
      <c r="AO776" s="121" t="e">
        <f>IF('Cable Info'!N480="","",CONCATENATE('Cable Info'!N480," - ",'Cable Info'!O480))</f>
        <v>#N/A</v>
      </c>
      <c r="AR776" s="121" t="e">
        <f t="shared" si="151"/>
        <v>#N/A</v>
      </c>
      <c r="AT776" s="121" t="e">
        <f>IF('Cable Info'!P480="","",CONCATENATE('Cable Info'!P480," - ",'Cable Info'!Q480))</f>
        <v>#N/A</v>
      </c>
      <c r="AW776" s="121" t="e">
        <f t="shared" si="152"/>
        <v>#N/A</v>
      </c>
      <c r="AY776" s="121" t="str">
        <f>IF('Cable Info'!R480="","",CONCATENATE('Cable Info'!R480," - ",'Cable Info'!S480))</f>
        <v/>
      </c>
      <c r="BB776" s="121" t="str">
        <f t="shared" si="153"/>
        <v/>
      </c>
      <c r="BD776" s="121" t="str">
        <f>IF('Cable Info'!T480="","",CONCATENATE('Cable Info'!T480," - ",'Cable Info'!U480))</f>
        <v/>
      </c>
      <c r="BG776" s="121" t="str">
        <f t="shared" si="154"/>
        <v/>
      </c>
      <c r="BI776" s="121" t="str">
        <f>IF('Cable Info'!V480="","",CONCATENATE('Cable Info'!V480," - ",'Cable Info'!W480))</f>
        <v/>
      </c>
      <c r="BL776" s="121" t="str">
        <f t="shared" si="155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0"/>
        <v>#N/A</v>
      </c>
      <c r="AO777" s="121" t="e">
        <f>IF('Cable Info'!N481="","",CONCATENATE('Cable Info'!N481," - ",'Cable Info'!O481))</f>
        <v>#N/A</v>
      </c>
      <c r="AR777" s="121" t="e">
        <f t="shared" si="151"/>
        <v>#N/A</v>
      </c>
      <c r="AT777" s="121" t="e">
        <f>IF('Cable Info'!P481="","",CONCATENATE('Cable Info'!P481," - ",'Cable Info'!Q481))</f>
        <v>#N/A</v>
      </c>
      <c r="AW777" s="121" t="e">
        <f t="shared" si="152"/>
        <v>#N/A</v>
      </c>
      <c r="AY777" s="121" t="str">
        <f>IF('Cable Info'!R481="","",CONCATENATE('Cable Info'!R481," - ",'Cable Info'!S481))</f>
        <v/>
      </c>
      <c r="BB777" s="121" t="str">
        <f t="shared" si="153"/>
        <v/>
      </c>
      <c r="BD777" s="121" t="str">
        <f>IF('Cable Info'!T481="","",CONCATENATE('Cable Info'!T481," - ",'Cable Info'!U481))</f>
        <v/>
      </c>
      <c r="BG777" s="121" t="str">
        <f t="shared" si="154"/>
        <v/>
      </c>
      <c r="BI777" s="121" t="str">
        <f>IF('Cable Info'!V481="","",CONCATENATE('Cable Info'!V481," - ",'Cable Info'!W481))</f>
        <v/>
      </c>
      <c r="BL777" s="121" t="str">
        <f t="shared" si="155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0"/>
        <v>#N/A</v>
      </c>
      <c r="AO778" s="121" t="e">
        <f>IF('Cable Info'!N482="","",CONCATENATE('Cable Info'!N482," - ",'Cable Info'!O482))</f>
        <v>#N/A</v>
      </c>
      <c r="AR778" s="121" t="e">
        <f t="shared" si="151"/>
        <v>#N/A</v>
      </c>
      <c r="AT778" s="121" t="e">
        <f>IF('Cable Info'!P482="","",CONCATENATE('Cable Info'!P482," - ",'Cable Info'!Q482))</f>
        <v>#N/A</v>
      </c>
      <c r="AW778" s="121" t="e">
        <f t="shared" si="152"/>
        <v>#N/A</v>
      </c>
      <c r="AY778" s="121" t="str">
        <f>IF('Cable Info'!R482="","",CONCATENATE('Cable Info'!R482," - ",'Cable Info'!S482))</f>
        <v/>
      </c>
      <c r="BB778" s="121" t="str">
        <f t="shared" si="153"/>
        <v/>
      </c>
      <c r="BD778" s="121" t="str">
        <f>IF('Cable Info'!T482="","",CONCATENATE('Cable Info'!T482," - ",'Cable Info'!U482))</f>
        <v/>
      </c>
      <c r="BG778" s="121" t="str">
        <f t="shared" si="154"/>
        <v/>
      </c>
      <c r="BI778" s="121" t="str">
        <f>IF('Cable Info'!V482="","",CONCATENATE('Cable Info'!V482," - ",'Cable Info'!W482))</f>
        <v/>
      </c>
      <c r="BL778" s="121" t="str">
        <f t="shared" si="155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0"/>
        <v>#N/A</v>
      </c>
      <c r="AO779" s="121" t="e">
        <f>IF('Cable Info'!N483="","",CONCATENATE('Cable Info'!N483," - ",'Cable Info'!O483))</f>
        <v>#N/A</v>
      </c>
      <c r="AR779" s="121" t="e">
        <f t="shared" si="151"/>
        <v>#N/A</v>
      </c>
      <c r="AT779" s="121" t="e">
        <f>IF('Cable Info'!P483="","",CONCATENATE('Cable Info'!P483," - ",'Cable Info'!Q483))</f>
        <v>#N/A</v>
      </c>
      <c r="AW779" s="121" t="e">
        <f t="shared" si="152"/>
        <v>#N/A</v>
      </c>
      <c r="AY779" s="121" t="str">
        <f>IF('Cable Info'!R483="","",CONCATENATE('Cable Info'!R483," - ",'Cable Info'!S483))</f>
        <v/>
      </c>
      <c r="BB779" s="121" t="str">
        <f t="shared" si="153"/>
        <v/>
      </c>
      <c r="BD779" s="121" t="str">
        <f>IF('Cable Info'!T483="","",CONCATENATE('Cable Info'!T483," - ",'Cable Info'!U483))</f>
        <v/>
      </c>
      <c r="BG779" s="121" t="str">
        <f t="shared" si="154"/>
        <v/>
      </c>
      <c r="BI779" s="121" t="str">
        <f>IF('Cable Info'!V483="","",CONCATENATE('Cable Info'!V483," - ",'Cable Info'!W483))</f>
        <v/>
      </c>
      <c r="BL779" s="121" t="str">
        <f t="shared" si="155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0"/>
        <v>#N/A</v>
      </c>
      <c r="AO780" s="121" t="e">
        <f>IF('Cable Info'!N484="","",CONCATENATE('Cable Info'!N484," - ",'Cable Info'!O484))</f>
        <v>#N/A</v>
      </c>
      <c r="AR780" s="121" t="e">
        <f t="shared" si="151"/>
        <v>#N/A</v>
      </c>
      <c r="AT780" s="121" t="e">
        <f>IF('Cable Info'!P484="","",CONCATENATE('Cable Info'!P484," - ",'Cable Info'!Q484))</f>
        <v>#N/A</v>
      </c>
      <c r="AW780" s="121" t="e">
        <f t="shared" si="152"/>
        <v>#N/A</v>
      </c>
      <c r="AY780" s="121" t="str">
        <f>IF('Cable Info'!R484="","",CONCATENATE('Cable Info'!R484," - ",'Cable Info'!S484))</f>
        <v/>
      </c>
      <c r="BB780" s="121" t="str">
        <f t="shared" si="153"/>
        <v/>
      </c>
      <c r="BD780" s="121" t="str">
        <f>IF('Cable Info'!T484="","",CONCATENATE('Cable Info'!T484," - ",'Cable Info'!U484))</f>
        <v/>
      </c>
      <c r="BG780" s="121" t="str">
        <f t="shared" si="154"/>
        <v/>
      </c>
      <c r="BI780" s="121" t="str">
        <f>IF('Cable Info'!V484="","",CONCATENATE('Cable Info'!V484," - ",'Cable Info'!W484))</f>
        <v/>
      </c>
      <c r="BL780" s="121" t="str">
        <f t="shared" si="155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0"/>
        <v>#N/A</v>
      </c>
      <c r="AO781" s="121" t="e">
        <f>IF('Cable Info'!N485="","",CONCATENATE('Cable Info'!N485," - ",'Cable Info'!O485))</f>
        <v>#N/A</v>
      </c>
      <c r="AR781" s="121" t="e">
        <f t="shared" si="151"/>
        <v>#N/A</v>
      </c>
      <c r="AT781" s="121" t="e">
        <f>IF('Cable Info'!P485="","",CONCATENATE('Cable Info'!P485," - ",'Cable Info'!Q485))</f>
        <v>#N/A</v>
      </c>
      <c r="AW781" s="121" t="e">
        <f t="shared" si="152"/>
        <v>#N/A</v>
      </c>
      <c r="AY781" s="121" t="str">
        <f>IF('Cable Info'!R485="","",CONCATENATE('Cable Info'!R485," - ",'Cable Info'!S485))</f>
        <v/>
      </c>
      <c r="BB781" s="121" t="str">
        <f t="shared" si="153"/>
        <v/>
      </c>
      <c r="BD781" s="121" t="str">
        <f>IF('Cable Info'!T485="","",CONCATENATE('Cable Info'!T485," - ",'Cable Info'!U485))</f>
        <v/>
      </c>
      <c r="BG781" s="121" t="str">
        <f t="shared" si="154"/>
        <v/>
      </c>
      <c r="BI781" s="121" t="str">
        <f>IF('Cable Info'!V485="","",CONCATENATE('Cable Info'!V485," - ",'Cable Info'!W485))</f>
        <v/>
      </c>
      <c r="BL781" s="121" t="str">
        <f t="shared" si="155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0"/>
        <v>#N/A</v>
      </c>
      <c r="AO782" s="121" t="e">
        <f>IF('Cable Info'!N486="","",CONCATENATE('Cable Info'!N486," - ",'Cable Info'!O486))</f>
        <v>#N/A</v>
      </c>
      <c r="AR782" s="121" t="e">
        <f t="shared" si="151"/>
        <v>#N/A</v>
      </c>
      <c r="AT782" s="121" t="e">
        <f>IF('Cable Info'!P486="","",CONCATENATE('Cable Info'!P486," - ",'Cable Info'!Q486))</f>
        <v>#N/A</v>
      </c>
      <c r="AW782" s="121" t="e">
        <f t="shared" si="152"/>
        <v>#N/A</v>
      </c>
      <c r="AY782" s="121" t="str">
        <f>IF('Cable Info'!R486="","",CONCATENATE('Cable Info'!R486," - ",'Cable Info'!S486))</f>
        <v/>
      </c>
      <c r="BB782" s="121" t="str">
        <f t="shared" si="153"/>
        <v/>
      </c>
      <c r="BD782" s="121" t="str">
        <f>IF('Cable Info'!T486="","",CONCATENATE('Cable Info'!T486," - ",'Cable Info'!U486))</f>
        <v/>
      </c>
      <c r="BG782" s="121" t="str">
        <f t="shared" si="154"/>
        <v/>
      </c>
      <c r="BI782" s="121" t="str">
        <f>IF('Cable Info'!V486="","",CONCATENATE('Cable Info'!V486," - ",'Cable Info'!W486))</f>
        <v/>
      </c>
      <c r="BL782" s="121" t="str">
        <f t="shared" si="155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0"/>
        <v>#N/A</v>
      </c>
      <c r="AO783" s="121" t="e">
        <f>IF('Cable Info'!N487="","",CONCATENATE('Cable Info'!N487," - ",'Cable Info'!O487))</f>
        <v>#N/A</v>
      </c>
      <c r="AR783" s="121" t="e">
        <f t="shared" si="151"/>
        <v>#N/A</v>
      </c>
      <c r="AT783" s="121" t="e">
        <f>IF('Cable Info'!P487="","",CONCATENATE('Cable Info'!P487," - ",'Cable Info'!Q487))</f>
        <v>#N/A</v>
      </c>
      <c r="AW783" s="121" t="e">
        <f t="shared" si="152"/>
        <v>#N/A</v>
      </c>
      <c r="AY783" s="121" t="str">
        <f>IF('Cable Info'!R487="","",CONCATENATE('Cable Info'!R487," - ",'Cable Info'!S487))</f>
        <v/>
      </c>
      <c r="BB783" s="121" t="str">
        <f t="shared" si="153"/>
        <v/>
      </c>
      <c r="BD783" s="121" t="str">
        <f>IF('Cable Info'!T487="","",CONCATENATE('Cable Info'!T487," - ",'Cable Info'!U487))</f>
        <v/>
      </c>
      <c r="BG783" s="121" t="str">
        <f t="shared" si="154"/>
        <v/>
      </c>
      <c r="BI783" s="121" t="str">
        <f>IF('Cable Info'!V487="","",CONCATENATE('Cable Info'!V487," - ",'Cable Info'!W487))</f>
        <v/>
      </c>
      <c r="BL783" s="121" t="str">
        <f t="shared" si="155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0"/>
        <v>#N/A</v>
      </c>
      <c r="AO784" s="121" t="e">
        <f>IF('Cable Info'!N488="","",CONCATENATE('Cable Info'!N488," - ",'Cable Info'!O488))</f>
        <v>#N/A</v>
      </c>
      <c r="AR784" s="121" t="e">
        <f t="shared" si="151"/>
        <v>#N/A</v>
      </c>
      <c r="AT784" s="121" t="e">
        <f>IF('Cable Info'!P488="","",CONCATENATE('Cable Info'!P488," - ",'Cable Info'!Q488))</f>
        <v>#N/A</v>
      </c>
      <c r="AW784" s="121" t="e">
        <f t="shared" si="152"/>
        <v>#N/A</v>
      </c>
      <c r="AY784" s="121" t="str">
        <f>IF('Cable Info'!R488="","",CONCATENATE('Cable Info'!R488," - ",'Cable Info'!S488))</f>
        <v/>
      </c>
      <c r="BB784" s="121" t="str">
        <f t="shared" si="153"/>
        <v/>
      </c>
      <c r="BD784" s="121" t="str">
        <f>IF('Cable Info'!T488="","",CONCATENATE('Cable Info'!T488," - ",'Cable Info'!U488))</f>
        <v/>
      </c>
      <c r="BG784" s="121" t="str">
        <f t="shared" si="154"/>
        <v/>
      </c>
      <c r="BI784" s="121" t="str">
        <f>IF('Cable Info'!V488="","",CONCATENATE('Cable Info'!V488," - ",'Cable Info'!W488))</f>
        <v/>
      </c>
      <c r="BL784" s="121" t="str">
        <f t="shared" si="155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0"/>
        <v>#N/A</v>
      </c>
      <c r="AO785" s="121" t="e">
        <f>IF('Cable Info'!N489="","",CONCATENATE('Cable Info'!N489," - ",'Cable Info'!O489))</f>
        <v>#N/A</v>
      </c>
      <c r="AR785" s="121" t="e">
        <f t="shared" si="151"/>
        <v>#N/A</v>
      </c>
      <c r="AT785" s="121" t="e">
        <f>IF('Cable Info'!P489="","",CONCATENATE('Cable Info'!P489," - ",'Cable Info'!Q489))</f>
        <v>#N/A</v>
      </c>
      <c r="AW785" s="121" t="e">
        <f t="shared" si="152"/>
        <v>#N/A</v>
      </c>
      <c r="AY785" s="121" t="str">
        <f>IF('Cable Info'!R489="","",CONCATENATE('Cable Info'!R489," - ",'Cable Info'!S489))</f>
        <v/>
      </c>
      <c r="BB785" s="121" t="str">
        <f t="shared" si="153"/>
        <v/>
      </c>
      <c r="BD785" s="121" t="str">
        <f>IF('Cable Info'!T489="","",CONCATENATE('Cable Info'!T489," - ",'Cable Info'!U489))</f>
        <v/>
      </c>
      <c r="BG785" s="121" t="str">
        <f t="shared" si="154"/>
        <v/>
      </c>
      <c r="BI785" s="121" t="str">
        <f>IF('Cable Info'!V489="","",CONCATENATE('Cable Info'!V489," - ",'Cable Info'!W489))</f>
        <v/>
      </c>
      <c r="BL785" s="121" t="str">
        <f t="shared" si="155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0"/>
        <v>#N/A</v>
      </c>
      <c r="AO786" s="121" t="e">
        <f>IF('Cable Info'!N490="","",CONCATENATE('Cable Info'!N490," - ",'Cable Info'!O490))</f>
        <v>#N/A</v>
      </c>
      <c r="AR786" s="121" t="e">
        <f t="shared" si="151"/>
        <v>#N/A</v>
      </c>
      <c r="AT786" s="121" t="e">
        <f>IF('Cable Info'!P490="","",CONCATENATE('Cable Info'!P490," - ",'Cable Info'!Q490))</f>
        <v>#N/A</v>
      </c>
      <c r="AW786" s="121" t="e">
        <f t="shared" si="152"/>
        <v>#N/A</v>
      </c>
      <c r="AY786" s="121" t="str">
        <f>IF('Cable Info'!R490="","",CONCATENATE('Cable Info'!R490," - ",'Cable Info'!S490))</f>
        <v/>
      </c>
      <c r="BB786" s="121" t="str">
        <f t="shared" si="153"/>
        <v/>
      </c>
      <c r="BD786" s="121" t="str">
        <f>IF('Cable Info'!T490="","",CONCATENATE('Cable Info'!T490," - ",'Cable Info'!U490))</f>
        <v/>
      </c>
      <c r="BG786" s="121" t="str">
        <f t="shared" si="154"/>
        <v/>
      </c>
      <c r="BI786" s="121" t="str">
        <f>IF('Cable Info'!V490="","",CONCATENATE('Cable Info'!V490," - ",'Cable Info'!W490))</f>
        <v/>
      </c>
      <c r="BL786" s="121" t="str">
        <f t="shared" si="155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0"/>
        <v>#N/A</v>
      </c>
      <c r="AO787" s="121" t="e">
        <f>IF('Cable Info'!N491="","",CONCATENATE('Cable Info'!N491," - ",'Cable Info'!O491))</f>
        <v>#N/A</v>
      </c>
      <c r="AR787" s="121" t="e">
        <f t="shared" si="151"/>
        <v>#N/A</v>
      </c>
      <c r="AT787" s="121" t="e">
        <f>IF('Cable Info'!P491="","",CONCATENATE('Cable Info'!P491," - ",'Cable Info'!Q491))</f>
        <v>#N/A</v>
      </c>
      <c r="AW787" s="121" t="e">
        <f t="shared" si="152"/>
        <v>#N/A</v>
      </c>
      <c r="AY787" s="121" t="str">
        <f>IF('Cable Info'!R491="","",CONCATENATE('Cable Info'!R491," - ",'Cable Info'!S491))</f>
        <v/>
      </c>
      <c r="BB787" s="121" t="str">
        <f t="shared" si="153"/>
        <v/>
      </c>
      <c r="BD787" s="121" t="str">
        <f>IF('Cable Info'!T491="","",CONCATENATE('Cable Info'!T491," - ",'Cable Info'!U491))</f>
        <v/>
      </c>
      <c r="BG787" s="121" t="str">
        <f t="shared" si="154"/>
        <v/>
      </c>
      <c r="BI787" s="121" t="str">
        <f>IF('Cable Info'!V491="","",CONCATENATE('Cable Info'!V491," - ",'Cable Info'!W491))</f>
        <v/>
      </c>
      <c r="BL787" s="121" t="str">
        <f t="shared" si="155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0"/>
        <v>#N/A</v>
      </c>
      <c r="AO788" s="121" t="e">
        <f>IF('Cable Info'!N492="","",CONCATENATE('Cable Info'!N492," - ",'Cable Info'!O492))</f>
        <v>#N/A</v>
      </c>
      <c r="AR788" s="121" t="e">
        <f t="shared" si="151"/>
        <v>#N/A</v>
      </c>
      <c r="AT788" s="121" t="e">
        <f>IF('Cable Info'!P492="","",CONCATENATE('Cable Info'!P492," - ",'Cable Info'!Q492))</f>
        <v>#N/A</v>
      </c>
      <c r="AW788" s="121" t="e">
        <f t="shared" si="152"/>
        <v>#N/A</v>
      </c>
      <c r="AY788" s="121" t="str">
        <f>IF('Cable Info'!R492="","",CONCATENATE('Cable Info'!R492," - ",'Cable Info'!S492))</f>
        <v/>
      </c>
      <c r="BB788" s="121" t="str">
        <f t="shared" si="153"/>
        <v/>
      </c>
      <c r="BD788" s="121" t="str">
        <f>IF('Cable Info'!T492="","",CONCATENATE('Cable Info'!T492," - ",'Cable Info'!U492))</f>
        <v/>
      </c>
      <c r="BG788" s="121" t="str">
        <f t="shared" si="154"/>
        <v/>
      </c>
      <c r="BI788" s="121" t="str">
        <f>IF('Cable Info'!V492="","",CONCATENATE('Cable Info'!V492," - ",'Cable Info'!W492))</f>
        <v/>
      </c>
      <c r="BL788" s="121" t="str">
        <f t="shared" si="155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0"/>
        <v>#N/A</v>
      </c>
      <c r="AO789" s="121" t="e">
        <f>IF('Cable Info'!N493="","",CONCATENATE('Cable Info'!N493," - ",'Cable Info'!O493))</f>
        <v>#N/A</v>
      </c>
      <c r="AR789" s="121" t="e">
        <f t="shared" si="151"/>
        <v>#N/A</v>
      </c>
      <c r="AT789" s="121" t="e">
        <f>IF('Cable Info'!P493="","",CONCATENATE('Cable Info'!P493," - ",'Cable Info'!Q493))</f>
        <v>#N/A</v>
      </c>
      <c r="AW789" s="121" t="e">
        <f t="shared" si="152"/>
        <v>#N/A</v>
      </c>
      <c r="AY789" s="121" t="str">
        <f>IF('Cable Info'!R493="","",CONCATENATE('Cable Info'!R493," - ",'Cable Info'!S493))</f>
        <v/>
      </c>
      <c r="BB789" s="121" t="str">
        <f t="shared" si="153"/>
        <v/>
      </c>
      <c r="BD789" s="121" t="str">
        <f>IF('Cable Info'!T493="","",CONCATENATE('Cable Info'!T493," - ",'Cable Info'!U493))</f>
        <v/>
      </c>
      <c r="BG789" s="121" t="str">
        <f t="shared" si="154"/>
        <v/>
      </c>
      <c r="BI789" s="121" t="str">
        <f>IF('Cable Info'!V493="","",CONCATENATE('Cable Info'!V493," - ",'Cable Info'!W493))</f>
        <v/>
      </c>
      <c r="BL789" s="121" t="str">
        <f t="shared" si="155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0"/>
        <v>#N/A</v>
      </c>
      <c r="AO790" s="121" t="e">
        <f>IF('Cable Info'!N494="","",CONCATENATE('Cable Info'!N494," - ",'Cable Info'!O494))</f>
        <v>#N/A</v>
      </c>
      <c r="AR790" s="121" t="e">
        <f t="shared" si="151"/>
        <v>#N/A</v>
      </c>
      <c r="AT790" s="121" t="e">
        <f>IF('Cable Info'!P494="","",CONCATENATE('Cable Info'!P494," - ",'Cable Info'!Q494))</f>
        <v>#N/A</v>
      </c>
      <c r="AW790" s="121" t="e">
        <f t="shared" si="152"/>
        <v>#N/A</v>
      </c>
      <c r="AY790" s="121" t="str">
        <f>IF('Cable Info'!R494="","",CONCATENATE('Cable Info'!R494," - ",'Cable Info'!S494))</f>
        <v/>
      </c>
      <c r="BB790" s="121" t="str">
        <f t="shared" si="153"/>
        <v/>
      </c>
      <c r="BD790" s="121" t="str">
        <f>IF('Cable Info'!T494="","",CONCATENATE('Cable Info'!T494," - ",'Cable Info'!U494))</f>
        <v/>
      </c>
      <c r="BG790" s="121" t="str">
        <f t="shared" si="154"/>
        <v/>
      </c>
      <c r="BI790" s="121" t="str">
        <f>IF('Cable Info'!V494="","",CONCATENATE('Cable Info'!V494," - ",'Cable Info'!W494))</f>
        <v/>
      </c>
      <c r="BL790" s="121" t="str">
        <f t="shared" si="155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0"/>
        <v>#N/A</v>
      </c>
      <c r="AO791" s="121" t="e">
        <f>IF('Cable Info'!N495="","",CONCATENATE('Cable Info'!N495," - ",'Cable Info'!O495))</f>
        <v>#N/A</v>
      </c>
      <c r="AR791" s="121" t="e">
        <f t="shared" si="151"/>
        <v>#N/A</v>
      </c>
      <c r="AT791" s="121" t="e">
        <f>IF('Cable Info'!P495="","",CONCATENATE('Cable Info'!P495," - ",'Cable Info'!Q495))</f>
        <v>#N/A</v>
      </c>
      <c r="AW791" s="121" t="e">
        <f t="shared" si="152"/>
        <v>#N/A</v>
      </c>
      <c r="AY791" s="121" t="str">
        <f>IF('Cable Info'!R495="","",CONCATENATE('Cable Info'!R495," - ",'Cable Info'!S495))</f>
        <v/>
      </c>
      <c r="BB791" s="121" t="str">
        <f t="shared" si="153"/>
        <v/>
      </c>
      <c r="BD791" s="121" t="str">
        <f>IF('Cable Info'!T495="","",CONCATENATE('Cable Info'!T495," - ",'Cable Info'!U495))</f>
        <v/>
      </c>
      <c r="BG791" s="121" t="str">
        <f t="shared" si="154"/>
        <v/>
      </c>
      <c r="BI791" s="121" t="str">
        <f>IF('Cable Info'!V495="","",CONCATENATE('Cable Info'!V495," - ",'Cable Info'!W495))</f>
        <v/>
      </c>
      <c r="BL791" s="121" t="str">
        <f t="shared" si="155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0"/>
        <v>#N/A</v>
      </c>
      <c r="AO792" s="121" t="e">
        <f>IF('Cable Info'!N496="","",CONCATENATE('Cable Info'!N496," - ",'Cable Info'!O496))</f>
        <v>#N/A</v>
      </c>
      <c r="AR792" s="121" t="e">
        <f t="shared" si="151"/>
        <v>#N/A</v>
      </c>
      <c r="AT792" s="121" t="e">
        <f>IF('Cable Info'!P496="","",CONCATENATE('Cable Info'!P496," - ",'Cable Info'!Q496))</f>
        <v>#N/A</v>
      </c>
      <c r="AW792" s="121" t="e">
        <f t="shared" si="152"/>
        <v>#N/A</v>
      </c>
      <c r="AY792" s="121" t="str">
        <f>IF('Cable Info'!R496="","",CONCATENATE('Cable Info'!R496," - ",'Cable Info'!S496))</f>
        <v/>
      </c>
      <c r="BB792" s="121" t="str">
        <f t="shared" si="153"/>
        <v/>
      </c>
      <c r="BD792" s="121" t="str">
        <f>IF('Cable Info'!T496="","",CONCATENATE('Cable Info'!T496," - ",'Cable Info'!U496))</f>
        <v/>
      </c>
      <c r="BG792" s="121" t="str">
        <f t="shared" si="154"/>
        <v/>
      </c>
      <c r="BI792" s="121" t="str">
        <f>IF('Cable Info'!V496="","",CONCATENATE('Cable Info'!V496," - ",'Cable Info'!W496))</f>
        <v/>
      </c>
      <c r="BL792" s="121" t="str">
        <f t="shared" si="155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0"/>
        <v>#N/A</v>
      </c>
      <c r="AO793" s="121" t="e">
        <f>IF('Cable Info'!N497="","",CONCATENATE('Cable Info'!N497," - ",'Cable Info'!O497))</f>
        <v>#N/A</v>
      </c>
      <c r="AR793" s="121" t="e">
        <f t="shared" si="151"/>
        <v>#N/A</v>
      </c>
      <c r="AT793" s="121" t="e">
        <f>IF('Cable Info'!P497="","",CONCATENATE('Cable Info'!P497," - ",'Cable Info'!Q497))</f>
        <v>#N/A</v>
      </c>
      <c r="AW793" s="121" t="e">
        <f t="shared" si="152"/>
        <v>#N/A</v>
      </c>
      <c r="AY793" s="121" t="str">
        <f>IF('Cable Info'!R497="","",CONCATENATE('Cable Info'!R497," - ",'Cable Info'!S497))</f>
        <v/>
      </c>
      <c r="BB793" s="121" t="str">
        <f t="shared" si="153"/>
        <v/>
      </c>
      <c r="BD793" s="121" t="str">
        <f>IF('Cable Info'!T497="","",CONCATENATE('Cable Info'!T497," - ",'Cable Info'!U497))</f>
        <v/>
      </c>
      <c r="BG793" s="121" t="str">
        <f t="shared" si="154"/>
        <v/>
      </c>
      <c r="BI793" s="121" t="str">
        <f>IF('Cable Info'!V497="","",CONCATENATE('Cable Info'!V497," - ",'Cable Info'!W497))</f>
        <v/>
      </c>
      <c r="BL793" s="121" t="str">
        <f t="shared" si="155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0"/>
        <v>#N/A</v>
      </c>
      <c r="AO794" s="121" t="e">
        <f>IF('Cable Info'!N498="","",CONCATENATE('Cable Info'!N498," - ",'Cable Info'!O498))</f>
        <v>#N/A</v>
      </c>
      <c r="AR794" s="121" t="e">
        <f t="shared" si="151"/>
        <v>#N/A</v>
      </c>
      <c r="AT794" s="121" t="e">
        <f>IF('Cable Info'!P498="","",CONCATENATE('Cable Info'!P498," - ",'Cable Info'!Q498))</f>
        <v>#N/A</v>
      </c>
      <c r="AW794" s="121" t="e">
        <f t="shared" si="152"/>
        <v>#N/A</v>
      </c>
      <c r="AY794" s="121" t="str">
        <f>IF('Cable Info'!R498="","",CONCATENATE('Cable Info'!R498," - ",'Cable Info'!S498))</f>
        <v/>
      </c>
      <c r="BB794" s="121" t="str">
        <f t="shared" si="153"/>
        <v/>
      </c>
      <c r="BD794" s="121" t="str">
        <f>IF('Cable Info'!T498="","",CONCATENATE('Cable Info'!T498," - ",'Cable Info'!U498))</f>
        <v/>
      </c>
      <c r="BG794" s="121" t="str">
        <f t="shared" si="154"/>
        <v/>
      </c>
      <c r="BI794" s="121" t="str">
        <f>IF('Cable Info'!V498="","",CONCATENATE('Cable Info'!V498," - ",'Cable Info'!W498))</f>
        <v/>
      </c>
      <c r="BL794" s="121" t="str">
        <f t="shared" si="155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0"/>
        <v>#N/A</v>
      </c>
      <c r="AO795" s="121" t="e">
        <f>IF('Cable Info'!N499="","",CONCATENATE('Cable Info'!N499," - ",'Cable Info'!O499))</f>
        <v>#N/A</v>
      </c>
      <c r="AR795" s="121" t="e">
        <f t="shared" si="151"/>
        <v>#N/A</v>
      </c>
      <c r="AT795" s="121" t="e">
        <f>IF('Cable Info'!P499="","",CONCATENATE('Cable Info'!P499," - ",'Cable Info'!Q499))</f>
        <v>#N/A</v>
      </c>
      <c r="AW795" s="121" t="e">
        <f t="shared" si="152"/>
        <v>#N/A</v>
      </c>
      <c r="AY795" s="121" t="str">
        <f>IF('Cable Info'!R499="","",CONCATENATE('Cable Info'!R499," - ",'Cable Info'!S499))</f>
        <v/>
      </c>
      <c r="BB795" s="121" t="str">
        <f t="shared" si="153"/>
        <v/>
      </c>
      <c r="BD795" s="121" t="str">
        <f>IF('Cable Info'!T499="","",CONCATENATE('Cable Info'!T499," - ",'Cable Info'!U499))</f>
        <v/>
      </c>
      <c r="BG795" s="121" t="str">
        <f t="shared" si="154"/>
        <v/>
      </c>
      <c r="BI795" s="121" t="str">
        <f>IF('Cable Info'!V499="","",CONCATENATE('Cable Info'!V499," - ",'Cable Info'!W499))</f>
        <v/>
      </c>
      <c r="BL795" s="121" t="str">
        <f t="shared" si="155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0"/>
        <v>#N/A</v>
      </c>
      <c r="AO796" s="121" t="e">
        <f>IF('Cable Info'!N500="","",CONCATENATE('Cable Info'!N500," - ",'Cable Info'!O500))</f>
        <v>#N/A</v>
      </c>
      <c r="AR796" s="121" t="e">
        <f t="shared" si="151"/>
        <v>#N/A</v>
      </c>
      <c r="AT796" s="121" t="e">
        <f>IF('Cable Info'!P500="","",CONCATENATE('Cable Info'!P500," - ",'Cable Info'!Q500))</f>
        <v>#N/A</v>
      </c>
      <c r="AW796" s="121" t="e">
        <f t="shared" si="152"/>
        <v>#N/A</v>
      </c>
      <c r="AY796" s="121" t="str">
        <f>IF('Cable Info'!R500="","",CONCATENATE('Cable Info'!R500," - ",'Cable Info'!S500))</f>
        <v/>
      </c>
      <c r="BB796" s="121" t="str">
        <f t="shared" si="153"/>
        <v/>
      </c>
      <c r="BD796" s="121" t="str">
        <f>IF('Cable Info'!T500="","",CONCATENATE('Cable Info'!T500," - ",'Cable Info'!U500))</f>
        <v/>
      </c>
      <c r="BG796" s="121" t="str">
        <f t="shared" si="154"/>
        <v/>
      </c>
      <c r="BI796" s="121" t="str">
        <f>IF('Cable Info'!V500="","",CONCATENATE('Cable Info'!V500," - ",'Cable Info'!W500))</f>
        <v/>
      </c>
      <c r="BL796" s="121" t="str">
        <f t="shared" si="155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0"/>
        <v>#N/A</v>
      </c>
      <c r="AO797" s="121" t="e">
        <f>IF('Cable Info'!N501="","",CONCATENATE('Cable Info'!N501," - ",'Cable Info'!O501))</f>
        <v>#N/A</v>
      </c>
      <c r="AR797" s="121" t="e">
        <f t="shared" si="151"/>
        <v>#N/A</v>
      </c>
      <c r="AT797" s="121" t="e">
        <f>IF('Cable Info'!P501="","",CONCATENATE('Cable Info'!P501," - ",'Cable Info'!Q501))</f>
        <v>#N/A</v>
      </c>
      <c r="AW797" s="121" t="e">
        <f t="shared" si="152"/>
        <v>#N/A</v>
      </c>
      <c r="AY797" s="121" t="str">
        <f>IF('Cable Info'!R501="","",CONCATENATE('Cable Info'!R501," - ",'Cable Info'!S501))</f>
        <v/>
      </c>
      <c r="BB797" s="121" t="str">
        <f t="shared" si="153"/>
        <v/>
      </c>
      <c r="BD797" s="121" t="str">
        <f>IF('Cable Info'!T501="","",CONCATENATE('Cable Info'!T501," - ",'Cable Info'!U501))</f>
        <v/>
      </c>
      <c r="BG797" s="121" t="str">
        <f t="shared" si="154"/>
        <v/>
      </c>
      <c r="BI797" s="121" t="str">
        <f>IF('Cable Info'!V501="","",CONCATENATE('Cable Info'!V501," - ",'Cable Info'!W501))</f>
        <v/>
      </c>
      <c r="BL797" s="121" t="str">
        <f t="shared" si="155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0"/>
        <v>#N/A</v>
      </c>
      <c r="AO798" s="121" t="e">
        <f>IF('Cable Info'!N502="","",CONCATENATE('Cable Info'!N502," - ",'Cable Info'!O502))</f>
        <v>#N/A</v>
      </c>
      <c r="AR798" s="121" t="e">
        <f t="shared" si="151"/>
        <v>#N/A</v>
      </c>
      <c r="AT798" s="121" t="e">
        <f>IF('Cable Info'!P502="","",CONCATENATE('Cable Info'!P502," - ",'Cable Info'!Q502))</f>
        <v>#N/A</v>
      </c>
      <c r="AW798" s="121" t="e">
        <f t="shared" si="152"/>
        <v>#N/A</v>
      </c>
      <c r="AY798" s="121" t="str">
        <f>IF('Cable Info'!R502="","",CONCATENATE('Cable Info'!R502," - ",'Cable Info'!S502))</f>
        <v/>
      </c>
      <c r="BB798" s="121" t="str">
        <f t="shared" si="153"/>
        <v/>
      </c>
      <c r="BD798" s="121" t="str">
        <f>IF('Cable Info'!T502="","",CONCATENATE('Cable Info'!T502," - ",'Cable Info'!U502))</f>
        <v/>
      </c>
      <c r="BG798" s="121" t="str">
        <f t="shared" si="154"/>
        <v/>
      </c>
      <c r="BI798" s="121" t="str">
        <f>IF('Cable Info'!V502="","",CONCATENATE('Cable Info'!V502," - ",'Cable Info'!W502))</f>
        <v/>
      </c>
      <c r="BL798" s="121" t="str">
        <f t="shared" si="155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0"/>
        <v>#N/A</v>
      </c>
      <c r="AO799" s="121" t="e">
        <f>IF('Cable Info'!N503="","",CONCATENATE('Cable Info'!N503," - ",'Cable Info'!O503))</f>
        <v>#N/A</v>
      </c>
      <c r="AR799" s="121" t="e">
        <f t="shared" si="151"/>
        <v>#N/A</v>
      </c>
      <c r="AT799" s="121" t="e">
        <f>IF('Cable Info'!P503="","",CONCATENATE('Cable Info'!P503," - ",'Cable Info'!Q503))</f>
        <v>#N/A</v>
      </c>
      <c r="AW799" s="121" t="e">
        <f t="shared" si="152"/>
        <v>#N/A</v>
      </c>
      <c r="AY799" s="121" t="str">
        <f>IF('Cable Info'!R503="","",CONCATENATE('Cable Info'!R503," - ",'Cable Info'!S503))</f>
        <v/>
      </c>
      <c r="BB799" s="121" t="str">
        <f t="shared" si="153"/>
        <v/>
      </c>
      <c r="BD799" s="121" t="str">
        <f>IF('Cable Info'!T503="","",CONCATENATE('Cable Info'!T503," - ",'Cable Info'!U503))</f>
        <v/>
      </c>
      <c r="BG799" s="121" t="str">
        <f t="shared" si="154"/>
        <v/>
      </c>
      <c r="BI799" s="121" t="str">
        <f>IF('Cable Info'!V503="","",CONCATENATE('Cable Info'!V503," - ",'Cable Info'!W503))</f>
        <v/>
      </c>
      <c r="BL799" s="121" t="str">
        <f t="shared" si="155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0"/>
        <v>#N/A</v>
      </c>
      <c r="AO800" s="121" t="e">
        <f>IF('Cable Info'!N504="","",CONCATENATE('Cable Info'!N504," - ",'Cable Info'!O504))</f>
        <v>#N/A</v>
      </c>
      <c r="AR800" s="121" t="e">
        <f t="shared" si="151"/>
        <v>#N/A</v>
      </c>
      <c r="AT800" s="121" t="e">
        <f>IF('Cable Info'!P504="","",CONCATENATE('Cable Info'!P504," - ",'Cable Info'!Q504))</f>
        <v>#N/A</v>
      </c>
      <c r="AW800" s="121" t="e">
        <f t="shared" si="152"/>
        <v>#N/A</v>
      </c>
      <c r="AY800" s="121" t="str">
        <f>IF('Cable Info'!R504="","",CONCATENATE('Cable Info'!R504," - ",'Cable Info'!S504))</f>
        <v/>
      </c>
      <c r="BB800" s="121" t="str">
        <f t="shared" si="153"/>
        <v/>
      </c>
      <c r="BD800" s="121" t="str">
        <f>IF('Cable Info'!T504="","",CONCATENATE('Cable Info'!T504," - ",'Cable Info'!U504))</f>
        <v/>
      </c>
      <c r="BG800" s="121" t="str">
        <f t="shared" si="154"/>
        <v/>
      </c>
      <c r="BI800" s="121" t="str">
        <f>IF('Cable Info'!V504="","",CONCATENATE('Cable Info'!V504," - ",'Cable Info'!W504))</f>
        <v/>
      </c>
      <c r="BL800" s="121" t="str">
        <f t="shared" si="155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0"/>
        <v>#N/A</v>
      </c>
      <c r="AO801" s="121" t="e">
        <f>IF('Cable Info'!N505="","",CONCATENATE('Cable Info'!N505," - ",'Cable Info'!O505))</f>
        <v>#N/A</v>
      </c>
      <c r="AR801" s="121" t="e">
        <f t="shared" si="151"/>
        <v>#N/A</v>
      </c>
      <c r="AT801" s="121" t="e">
        <f>IF('Cable Info'!P505="","",CONCATENATE('Cable Info'!P505," - ",'Cable Info'!Q505))</f>
        <v>#N/A</v>
      </c>
      <c r="AW801" s="121" t="e">
        <f t="shared" si="152"/>
        <v>#N/A</v>
      </c>
      <c r="AY801" s="121" t="str">
        <f>IF('Cable Info'!R505="","",CONCATENATE('Cable Info'!R505," - ",'Cable Info'!S505))</f>
        <v/>
      </c>
      <c r="BB801" s="121" t="str">
        <f t="shared" si="153"/>
        <v/>
      </c>
      <c r="BD801" s="121" t="str">
        <f>IF('Cable Info'!T505="","",CONCATENATE('Cable Info'!T505," - ",'Cable Info'!U505))</f>
        <v/>
      </c>
      <c r="BG801" s="121" t="str">
        <f t="shared" si="154"/>
        <v/>
      </c>
      <c r="BI801" s="121" t="str">
        <f>IF('Cable Info'!V505="","",CONCATENATE('Cable Info'!V505," - ",'Cable Info'!W505))</f>
        <v/>
      </c>
      <c r="BL801" s="121" t="str">
        <f t="shared" si="155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0"/>
        <v>#N/A</v>
      </c>
      <c r="AO802" s="121" t="e">
        <f>IF('Cable Info'!N506="","",CONCATENATE('Cable Info'!N506," - ",'Cable Info'!O506))</f>
        <v>#N/A</v>
      </c>
      <c r="AR802" s="121" t="e">
        <f t="shared" si="151"/>
        <v>#N/A</v>
      </c>
      <c r="AT802" s="121" t="e">
        <f>IF('Cable Info'!P506="","",CONCATENATE('Cable Info'!P506," - ",'Cable Info'!Q506))</f>
        <v>#N/A</v>
      </c>
      <c r="AW802" s="121" t="e">
        <f t="shared" si="152"/>
        <v>#N/A</v>
      </c>
      <c r="AY802" s="121" t="str">
        <f>IF('Cable Info'!R506="","",CONCATENATE('Cable Info'!R506," - ",'Cable Info'!S506))</f>
        <v/>
      </c>
      <c r="BB802" s="121" t="str">
        <f t="shared" si="153"/>
        <v/>
      </c>
      <c r="BD802" s="121" t="str">
        <f>IF('Cable Info'!T506="","",CONCATENATE('Cable Info'!T506," - ",'Cable Info'!U506))</f>
        <v/>
      </c>
      <c r="BG802" s="121" t="str">
        <f t="shared" si="154"/>
        <v/>
      </c>
      <c r="BI802" s="121" t="str">
        <f>IF('Cable Info'!V506="","",CONCATENATE('Cable Info'!V506," - ",'Cable Info'!W506))</f>
        <v/>
      </c>
      <c r="BL802" s="121" t="str">
        <f t="shared" si="155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0"/>
        <v>#N/A</v>
      </c>
      <c r="AO803" s="121" t="e">
        <f>IF('Cable Info'!N507="","",CONCATENATE('Cable Info'!N507," - ",'Cable Info'!O507))</f>
        <v>#N/A</v>
      </c>
      <c r="AR803" s="121" t="e">
        <f t="shared" si="151"/>
        <v>#N/A</v>
      </c>
      <c r="AT803" s="121" t="e">
        <f>IF('Cable Info'!P507="","",CONCATENATE('Cable Info'!P507," - ",'Cable Info'!Q507))</f>
        <v>#N/A</v>
      </c>
      <c r="AW803" s="121" t="e">
        <f t="shared" si="152"/>
        <v>#N/A</v>
      </c>
      <c r="AY803" s="121" t="str">
        <f>IF('Cable Info'!R507="","",CONCATENATE('Cable Info'!R507," - ",'Cable Info'!S507))</f>
        <v/>
      </c>
      <c r="BB803" s="121" t="str">
        <f t="shared" si="153"/>
        <v/>
      </c>
      <c r="BD803" s="121" t="str">
        <f>IF('Cable Info'!T507="","",CONCATENATE('Cable Info'!T507," - ",'Cable Info'!U507))</f>
        <v/>
      </c>
      <c r="BG803" s="121" t="str">
        <f t="shared" si="154"/>
        <v/>
      </c>
      <c r="BI803" s="121" t="str">
        <f>IF('Cable Info'!V507="","",CONCATENATE('Cable Info'!V507," - ",'Cable Info'!W507))</f>
        <v/>
      </c>
      <c r="BL803" s="121" t="str">
        <f t="shared" si="155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0"/>
        <v>#N/A</v>
      </c>
      <c r="AO804" s="121" t="e">
        <f>IF('Cable Info'!N508="","",CONCATENATE('Cable Info'!N508," - ",'Cable Info'!O508))</f>
        <v>#N/A</v>
      </c>
      <c r="AR804" s="121" t="e">
        <f t="shared" si="151"/>
        <v>#N/A</v>
      </c>
      <c r="AT804" s="121" t="e">
        <f>IF('Cable Info'!P508="","",CONCATENATE('Cable Info'!P508," - ",'Cable Info'!Q508))</f>
        <v>#N/A</v>
      </c>
      <c r="AW804" s="121" t="e">
        <f t="shared" si="152"/>
        <v>#N/A</v>
      </c>
      <c r="AY804" s="121" t="str">
        <f>IF('Cable Info'!R508="","",CONCATENATE('Cable Info'!R508," - ",'Cable Info'!S508))</f>
        <v/>
      </c>
      <c r="BB804" s="121" t="str">
        <f t="shared" si="153"/>
        <v/>
      </c>
      <c r="BD804" s="121" t="str">
        <f>IF('Cable Info'!T508="","",CONCATENATE('Cable Info'!T508," - ",'Cable Info'!U508))</f>
        <v/>
      </c>
      <c r="BG804" s="121" t="str">
        <f t="shared" si="154"/>
        <v/>
      </c>
      <c r="BI804" s="121" t="str">
        <f>IF('Cable Info'!V508="","",CONCATENATE('Cable Info'!V508," - ",'Cable Info'!W508))</f>
        <v/>
      </c>
      <c r="BL804" s="121" t="str">
        <f t="shared" si="155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0"/>
        <v>#N/A</v>
      </c>
      <c r="AO805" s="121" t="e">
        <f>IF('Cable Info'!N509="","",CONCATENATE('Cable Info'!N509," - ",'Cable Info'!O509))</f>
        <v>#N/A</v>
      </c>
      <c r="AR805" s="121" t="e">
        <f t="shared" si="151"/>
        <v>#N/A</v>
      </c>
      <c r="AT805" s="121" t="e">
        <f>IF('Cable Info'!P509="","",CONCATENATE('Cable Info'!P509," - ",'Cable Info'!Q509))</f>
        <v>#N/A</v>
      </c>
      <c r="AW805" s="121" t="e">
        <f t="shared" si="152"/>
        <v>#N/A</v>
      </c>
      <c r="AY805" s="121" t="str">
        <f>IF('Cable Info'!R509="","",CONCATENATE('Cable Info'!R509," - ",'Cable Info'!S509))</f>
        <v/>
      </c>
      <c r="BB805" s="121" t="str">
        <f t="shared" si="153"/>
        <v/>
      </c>
      <c r="BD805" s="121" t="str">
        <f>IF('Cable Info'!T509="","",CONCATENATE('Cable Info'!T509," - ",'Cable Info'!U509))</f>
        <v/>
      </c>
      <c r="BG805" s="121" t="str">
        <f t="shared" si="154"/>
        <v/>
      </c>
      <c r="BI805" s="121" t="str">
        <f>IF('Cable Info'!V509="","",CONCATENATE('Cable Info'!V509," - ",'Cable Info'!W509))</f>
        <v/>
      </c>
      <c r="BL805" s="121" t="str">
        <f t="shared" si="155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0"/>
        <v>#N/A</v>
      </c>
      <c r="AO806" s="121" t="e">
        <f>IF('Cable Info'!N510="","",CONCATENATE('Cable Info'!N510," - ",'Cable Info'!O510))</f>
        <v>#N/A</v>
      </c>
      <c r="AR806" s="121" t="e">
        <f t="shared" si="151"/>
        <v>#N/A</v>
      </c>
      <c r="AT806" s="121" t="e">
        <f>IF('Cable Info'!P510="","",CONCATENATE('Cable Info'!P510," - ",'Cable Info'!Q510))</f>
        <v>#N/A</v>
      </c>
      <c r="AW806" s="121" t="e">
        <f t="shared" si="152"/>
        <v>#N/A</v>
      </c>
      <c r="AY806" s="121" t="str">
        <f>IF('Cable Info'!R510="","",CONCATENATE('Cable Info'!R510," - ",'Cable Info'!S510))</f>
        <v/>
      </c>
      <c r="BB806" s="121" t="str">
        <f t="shared" si="153"/>
        <v/>
      </c>
      <c r="BD806" s="121" t="str">
        <f>IF('Cable Info'!T510="","",CONCATENATE('Cable Info'!T510," - ",'Cable Info'!U510))</f>
        <v/>
      </c>
      <c r="BG806" s="121" t="str">
        <f t="shared" si="154"/>
        <v/>
      </c>
      <c r="BI806" s="121" t="str">
        <f>IF('Cable Info'!V510="","",CONCATENATE('Cable Info'!V510," - ",'Cable Info'!W510))</f>
        <v/>
      </c>
      <c r="BL806" s="121" t="str">
        <f t="shared" si="155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0"/>
        <v>#N/A</v>
      </c>
      <c r="AO807" s="121" t="e">
        <f>IF('Cable Info'!N511="","",CONCATENATE('Cable Info'!N511," - ",'Cable Info'!O511))</f>
        <v>#N/A</v>
      </c>
      <c r="AR807" s="121" t="e">
        <f t="shared" si="151"/>
        <v>#N/A</v>
      </c>
      <c r="AT807" s="121" t="e">
        <f>IF('Cable Info'!P511="","",CONCATENATE('Cable Info'!P511," - ",'Cable Info'!Q511))</f>
        <v>#N/A</v>
      </c>
      <c r="AW807" s="121" t="e">
        <f t="shared" si="152"/>
        <v>#N/A</v>
      </c>
      <c r="AY807" s="121" t="str">
        <f>IF('Cable Info'!R511="","",CONCATENATE('Cable Info'!R511," - ",'Cable Info'!S511))</f>
        <v/>
      </c>
      <c r="BB807" s="121" t="str">
        <f t="shared" si="153"/>
        <v/>
      </c>
      <c r="BD807" s="121" t="str">
        <f>IF('Cable Info'!T511="","",CONCATENATE('Cable Info'!T511," - ",'Cable Info'!U511))</f>
        <v/>
      </c>
      <c r="BG807" s="121" t="str">
        <f t="shared" si="154"/>
        <v/>
      </c>
      <c r="BI807" s="121" t="str">
        <f>IF('Cable Info'!V511="","",CONCATENATE('Cable Info'!V511," - ",'Cable Info'!W511))</f>
        <v/>
      </c>
      <c r="BL807" s="121" t="str">
        <f t="shared" si="155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0"/>
        <v>#N/A</v>
      </c>
      <c r="AO808" s="121" t="e">
        <f>IF('Cable Info'!N512="","",CONCATENATE('Cable Info'!N512," - ",'Cable Info'!O512))</f>
        <v>#N/A</v>
      </c>
      <c r="AR808" s="121" t="e">
        <f t="shared" si="151"/>
        <v>#N/A</v>
      </c>
      <c r="AT808" s="121" t="e">
        <f>IF('Cable Info'!P512="","",CONCATENATE('Cable Info'!P512," - ",'Cable Info'!Q512))</f>
        <v>#N/A</v>
      </c>
      <c r="AW808" s="121" t="e">
        <f t="shared" si="152"/>
        <v>#N/A</v>
      </c>
      <c r="AY808" s="121" t="str">
        <f>IF('Cable Info'!R512="","",CONCATENATE('Cable Info'!R512," - ",'Cable Info'!S512))</f>
        <v/>
      </c>
      <c r="BB808" s="121" t="str">
        <f t="shared" si="153"/>
        <v/>
      </c>
      <c r="BD808" s="121" t="str">
        <f>IF('Cable Info'!T512="","",CONCATENATE('Cable Info'!T512," - ",'Cable Info'!U512))</f>
        <v/>
      </c>
      <c r="BG808" s="121" t="str">
        <f t="shared" si="154"/>
        <v/>
      </c>
      <c r="BI808" s="121" t="str">
        <f>IF('Cable Info'!V512="","",CONCATENATE('Cable Info'!V512," - ",'Cable Info'!W512))</f>
        <v/>
      </c>
      <c r="BL808" s="121" t="str">
        <f t="shared" si="155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0"/>
        <v>#N/A</v>
      </c>
      <c r="AO809" s="121" t="e">
        <f>IF('Cable Info'!N513="","",CONCATENATE('Cable Info'!N513," - ",'Cable Info'!O513))</f>
        <v>#N/A</v>
      </c>
      <c r="AR809" s="121" t="e">
        <f t="shared" si="151"/>
        <v>#N/A</v>
      </c>
      <c r="AT809" s="121" t="e">
        <f>IF('Cable Info'!P513="","",CONCATENATE('Cable Info'!P513," - ",'Cable Info'!Q513))</f>
        <v>#N/A</v>
      </c>
      <c r="AW809" s="121" t="e">
        <f t="shared" si="152"/>
        <v>#N/A</v>
      </c>
      <c r="AY809" s="121" t="str">
        <f>IF('Cable Info'!R513="","",CONCATENATE('Cable Info'!R513," - ",'Cable Info'!S513))</f>
        <v/>
      </c>
      <c r="BB809" s="121" t="str">
        <f t="shared" si="153"/>
        <v/>
      </c>
      <c r="BD809" s="121" t="str">
        <f>IF('Cable Info'!T513="","",CONCATENATE('Cable Info'!T513," - ",'Cable Info'!U513))</f>
        <v/>
      </c>
      <c r="BG809" s="121" t="str">
        <f t="shared" si="154"/>
        <v/>
      </c>
      <c r="BI809" s="121" t="str">
        <f>IF('Cable Info'!V513="","",CONCATENATE('Cable Info'!V513," - ",'Cable Info'!W513))</f>
        <v/>
      </c>
      <c r="BL809" s="121" t="str">
        <f t="shared" si="155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0"/>
        <v>#N/A</v>
      </c>
      <c r="AO810" s="121" t="e">
        <f>IF('Cable Info'!N514="","",CONCATENATE('Cable Info'!N514," - ",'Cable Info'!O514))</f>
        <v>#N/A</v>
      </c>
      <c r="AR810" s="121" t="e">
        <f t="shared" si="151"/>
        <v>#N/A</v>
      </c>
      <c r="AT810" s="121" t="e">
        <f>IF('Cable Info'!P514="","",CONCATENATE('Cable Info'!P514," - ",'Cable Info'!Q514))</f>
        <v>#N/A</v>
      </c>
      <c r="AW810" s="121" t="e">
        <f t="shared" si="152"/>
        <v>#N/A</v>
      </c>
      <c r="AY810" s="121" t="str">
        <f>IF('Cable Info'!R514="","",CONCATENATE('Cable Info'!R514," - ",'Cable Info'!S514))</f>
        <v/>
      </c>
      <c r="BB810" s="121" t="str">
        <f t="shared" si="153"/>
        <v/>
      </c>
      <c r="BD810" s="121" t="str">
        <f>IF('Cable Info'!T514="","",CONCATENATE('Cable Info'!T514," - ",'Cable Info'!U514))</f>
        <v/>
      </c>
      <c r="BG810" s="121" t="str">
        <f t="shared" si="154"/>
        <v/>
      </c>
      <c r="BI810" s="121" t="str">
        <f>IF('Cable Info'!V514="","",CONCATENATE('Cable Info'!V514," - ",'Cable Info'!W514))</f>
        <v/>
      </c>
      <c r="BL810" s="121" t="str">
        <f t="shared" si="155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56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57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58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59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0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1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56"/>
        <v>#N/A</v>
      </c>
      <c r="AO812" s="121" t="e">
        <f>IF('Cable Info'!N516="","",CONCATENATE('Cable Info'!N516," - ",'Cable Info'!O516))</f>
        <v>#N/A</v>
      </c>
      <c r="AR812" s="121" t="e">
        <f t="shared" si="157"/>
        <v>#N/A</v>
      </c>
      <c r="AT812" s="121" t="e">
        <f>IF('Cable Info'!P516="","",CONCATENATE('Cable Info'!P516," - ",'Cable Info'!Q516))</f>
        <v>#N/A</v>
      </c>
      <c r="AW812" s="121" t="e">
        <f t="shared" si="158"/>
        <v>#N/A</v>
      </c>
      <c r="AY812" s="121" t="str">
        <f>IF('Cable Info'!R516="","",CONCATENATE('Cable Info'!R516," - ",'Cable Info'!S516))</f>
        <v/>
      </c>
      <c r="BB812" s="121" t="str">
        <f t="shared" si="159"/>
        <v/>
      </c>
      <c r="BD812" s="121" t="str">
        <f>IF('Cable Info'!T516="","",CONCATENATE('Cable Info'!T516," - ",'Cable Info'!U516))</f>
        <v/>
      </c>
      <c r="BG812" s="121" t="str">
        <f t="shared" si="160"/>
        <v/>
      </c>
      <c r="BI812" s="121" t="str">
        <f>IF('Cable Info'!V516="","",CONCATENATE('Cable Info'!V516," - ",'Cable Info'!W516))</f>
        <v/>
      </c>
      <c r="BL812" s="121" t="str">
        <f t="shared" si="161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56"/>
        <v>#N/A</v>
      </c>
      <c r="AO813" s="121" t="e">
        <f>IF('Cable Info'!N517="","",CONCATENATE('Cable Info'!N517," - ",'Cable Info'!O517))</f>
        <v>#N/A</v>
      </c>
      <c r="AR813" s="121" t="e">
        <f t="shared" si="157"/>
        <v>#N/A</v>
      </c>
      <c r="AT813" s="121" t="e">
        <f>IF('Cable Info'!P517="","",CONCATENATE('Cable Info'!P517," - ",'Cable Info'!Q517))</f>
        <v>#N/A</v>
      </c>
      <c r="AW813" s="121" t="e">
        <f t="shared" si="158"/>
        <v>#N/A</v>
      </c>
      <c r="AY813" s="121" t="str">
        <f>IF('Cable Info'!R517="","",CONCATENATE('Cable Info'!R517," - ",'Cable Info'!S517))</f>
        <v/>
      </c>
      <c r="BB813" s="121" t="str">
        <f t="shared" si="159"/>
        <v/>
      </c>
      <c r="BD813" s="121" t="str">
        <f>IF('Cable Info'!T517="","",CONCATENATE('Cable Info'!T517," - ",'Cable Info'!U517))</f>
        <v/>
      </c>
      <c r="BG813" s="121" t="str">
        <f t="shared" si="160"/>
        <v/>
      </c>
      <c r="BI813" s="121" t="str">
        <f>IF('Cable Info'!V517="","",CONCATENATE('Cable Info'!V517," - ",'Cable Info'!W517))</f>
        <v/>
      </c>
      <c r="BL813" s="121" t="str">
        <f t="shared" si="161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56"/>
        <v>#N/A</v>
      </c>
      <c r="AO814" s="121" t="e">
        <f>IF('Cable Info'!N518="","",CONCATENATE('Cable Info'!N518," - ",'Cable Info'!O518))</f>
        <v>#N/A</v>
      </c>
      <c r="AR814" s="121" t="e">
        <f t="shared" si="157"/>
        <v>#N/A</v>
      </c>
      <c r="AT814" s="121" t="e">
        <f>IF('Cable Info'!P518="","",CONCATENATE('Cable Info'!P518," - ",'Cable Info'!Q518))</f>
        <v>#N/A</v>
      </c>
      <c r="AW814" s="121" t="e">
        <f t="shared" si="158"/>
        <v>#N/A</v>
      </c>
      <c r="AY814" s="121" t="str">
        <f>IF('Cable Info'!R518="","",CONCATENATE('Cable Info'!R518," - ",'Cable Info'!S518))</f>
        <v/>
      </c>
      <c r="BB814" s="121" t="str">
        <f t="shared" si="159"/>
        <v/>
      </c>
      <c r="BD814" s="121" t="str">
        <f>IF('Cable Info'!T518="","",CONCATENATE('Cable Info'!T518," - ",'Cable Info'!U518))</f>
        <v/>
      </c>
      <c r="BG814" s="121" t="str">
        <f t="shared" si="160"/>
        <v/>
      </c>
      <c r="BI814" s="121" t="str">
        <f>IF('Cable Info'!V518="","",CONCATENATE('Cable Info'!V518," - ",'Cable Info'!W518))</f>
        <v/>
      </c>
      <c r="BL814" s="121" t="str">
        <f t="shared" si="161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56"/>
        <v>#N/A</v>
      </c>
      <c r="AO815" s="121" t="e">
        <f>IF('Cable Info'!N519="","",CONCATENATE('Cable Info'!N519," - ",'Cable Info'!O519))</f>
        <v>#N/A</v>
      </c>
      <c r="AR815" s="121" t="e">
        <f t="shared" si="157"/>
        <v>#N/A</v>
      </c>
      <c r="AT815" s="121" t="e">
        <f>IF('Cable Info'!P519="","",CONCATENATE('Cable Info'!P519," - ",'Cable Info'!Q519))</f>
        <v>#N/A</v>
      </c>
      <c r="AW815" s="121" t="e">
        <f t="shared" si="158"/>
        <v>#N/A</v>
      </c>
      <c r="AY815" s="121" t="str">
        <f>IF('Cable Info'!R519="","",CONCATENATE('Cable Info'!R519," - ",'Cable Info'!S519))</f>
        <v/>
      </c>
      <c r="BB815" s="121" t="str">
        <f t="shared" si="159"/>
        <v/>
      </c>
      <c r="BD815" s="121" t="str">
        <f>IF('Cable Info'!T519="","",CONCATENATE('Cable Info'!T519," - ",'Cable Info'!U519))</f>
        <v/>
      </c>
      <c r="BG815" s="121" t="str">
        <f t="shared" si="160"/>
        <v/>
      </c>
      <c r="BI815" s="121" t="str">
        <f>IF('Cable Info'!V519="","",CONCATENATE('Cable Info'!V519," - ",'Cable Info'!W519))</f>
        <v/>
      </c>
      <c r="BL815" s="121" t="str">
        <f t="shared" si="161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56"/>
        <v>#N/A</v>
      </c>
      <c r="AO816" s="121" t="e">
        <f>IF('Cable Info'!N520="","",CONCATENATE('Cable Info'!N520," - ",'Cable Info'!O520))</f>
        <v>#N/A</v>
      </c>
      <c r="AR816" s="121" t="e">
        <f t="shared" si="157"/>
        <v>#N/A</v>
      </c>
      <c r="AT816" s="121" t="e">
        <f>IF('Cable Info'!P520="","",CONCATENATE('Cable Info'!P520," - ",'Cable Info'!Q520))</f>
        <v>#N/A</v>
      </c>
      <c r="AW816" s="121" t="e">
        <f t="shared" si="158"/>
        <v>#N/A</v>
      </c>
      <c r="AY816" s="121" t="str">
        <f>IF('Cable Info'!R520="","",CONCATENATE('Cable Info'!R520," - ",'Cable Info'!S520))</f>
        <v/>
      </c>
      <c r="BB816" s="121" t="str">
        <f t="shared" si="159"/>
        <v/>
      </c>
      <c r="BD816" s="121" t="str">
        <f>IF('Cable Info'!T520="","",CONCATENATE('Cable Info'!T520," - ",'Cable Info'!U520))</f>
        <v/>
      </c>
      <c r="BG816" s="121" t="str">
        <f t="shared" si="160"/>
        <v/>
      </c>
      <c r="BI816" s="121" t="str">
        <f>IF('Cable Info'!V520="","",CONCATENATE('Cable Info'!V520," - ",'Cable Info'!W520))</f>
        <v/>
      </c>
      <c r="BL816" s="121" t="str">
        <f t="shared" si="161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56"/>
        <v>#N/A</v>
      </c>
      <c r="AO817" s="121" t="e">
        <f>IF('Cable Info'!N521="","",CONCATENATE('Cable Info'!N521," - ",'Cable Info'!O521))</f>
        <v>#N/A</v>
      </c>
      <c r="AR817" s="121" t="e">
        <f t="shared" si="157"/>
        <v>#N/A</v>
      </c>
      <c r="AT817" s="121" t="e">
        <f>IF('Cable Info'!P521="","",CONCATENATE('Cable Info'!P521," - ",'Cable Info'!Q521))</f>
        <v>#N/A</v>
      </c>
      <c r="AW817" s="121" t="e">
        <f t="shared" si="158"/>
        <v>#N/A</v>
      </c>
      <c r="AY817" s="121" t="str">
        <f>IF('Cable Info'!R521="","",CONCATENATE('Cable Info'!R521," - ",'Cable Info'!S521))</f>
        <v/>
      </c>
      <c r="BB817" s="121" t="str">
        <f t="shared" si="159"/>
        <v/>
      </c>
      <c r="BD817" s="121" t="str">
        <f>IF('Cable Info'!T521="","",CONCATENATE('Cable Info'!T521," - ",'Cable Info'!U521))</f>
        <v/>
      </c>
      <c r="BG817" s="121" t="str">
        <f t="shared" si="160"/>
        <v/>
      </c>
      <c r="BI817" s="121" t="str">
        <f>IF('Cable Info'!V521="","",CONCATENATE('Cable Info'!V521," - ",'Cable Info'!W521))</f>
        <v/>
      </c>
      <c r="BL817" s="121" t="str">
        <f t="shared" si="161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56"/>
        <v>#N/A</v>
      </c>
      <c r="AO818" s="121" t="e">
        <f>IF('Cable Info'!N522="","",CONCATENATE('Cable Info'!N522," - ",'Cable Info'!O522))</f>
        <v>#N/A</v>
      </c>
      <c r="AR818" s="121" t="e">
        <f t="shared" si="157"/>
        <v>#N/A</v>
      </c>
      <c r="AT818" s="121" t="e">
        <f>IF('Cable Info'!P522="","",CONCATENATE('Cable Info'!P522," - ",'Cable Info'!Q522))</f>
        <v>#N/A</v>
      </c>
      <c r="AW818" s="121" t="e">
        <f t="shared" si="158"/>
        <v>#N/A</v>
      </c>
      <c r="AY818" s="121" t="str">
        <f>IF('Cable Info'!R522="","",CONCATENATE('Cable Info'!R522," - ",'Cable Info'!S522))</f>
        <v/>
      </c>
      <c r="BB818" s="121" t="str">
        <f t="shared" si="159"/>
        <v/>
      </c>
      <c r="BD818" s="121" t="str">
        <f>IF('Cable Info'!T522="","",CONCATENATE('Cable Info'!T522," - ",'Cable Info'!U522))</f>
        <v/>
      </c>
      <c r="BG818" s="121" t="str">
        <f t="shared" si="160"/>
        <v/>
      </c>
      <c r="BI818" s="121" t="str">
        <f>IF('Cable Info'!V522="","",CONCATENATE('Cable Info'!V522," - ",'Cable Info'!W522))</f>
        <v/>
      </c>
      <c r="BL818" s="121" t="str">
        <f t="shared" si="161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56"/>
        <v>#N/A</v>
      </c>
      <c r="AO819" s="121" t="e">
        <f>IF('Cable Info'!N523="","",CONCATENATE('Cable Info'!N523," - ",'Cable Info'!O523))</f>
        <v>#N/A</v>
      </c>
      <c r="AR819" s="121" t="e">
        <f t="shared" si="157"/>
        <v>#N/A</v>
      </c>
      <c r="AT819" s="121" t="e">
        <f>IF('Cable Info'!P523="","",CONCATENATE('Cable Info'!P523," - ",'Cable Info'!Q523))</f>
        <v>#N/A</v>
      </c>
      <c r="AW819" s="121" t="e">
        <f t="shared" si="158"/>
        <v>#N/A</v>
      </c>
      <c r="AY819" s="121" t="str">
        <f>IF('Cable Info'!R523="","",CONCATENATE('Cable Info'!R523," - ",'Cable Info'!S523))</f>
        <v/>
      </c>
      <c r="BB819" s="121" t="str">
        <f t="shared" si="159"/>
        <v/>
      </c>
      <c r="BD819" s="121" t="str">
        <f>IF('Cable Info'!T523="","",CONCATENATE('Cable Info'!T523," - ",'Cable Info'!U523))</f>
        <v/>
      </c>
      <c r="BG819" s="121" t="str">
        <f t="shared" si="160"/>
        <v/>
      </c>
      <c r="BI819" s="121" t="str">
        <f>IF('Cable Info'!V523="","",CONCATENATE('Cable Info'!V523," - ",'Cable Info'!W523))</f>
        <v/>
      </c>
      <c r="BL819" s="121" t="str">
        <f t="shared" si="161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56"/>
        <v>#N/A</v>
      </c>
      <c r="AO820" s="121" t="e">
        <f>IF('Cable Info'!N524="","",CONCATENATE('Cable Info'!N524," - ",'Cable Info'!O524))</f>
        <v>#N/A</v>
      </c>
      <c r="AR820" s="121" t="e">
        <f t="shared" si="157"/>
        <v>#N/A</v>
      </c>
      <c r="AT820" s="121" t="e">
        <f>IF('Cable Info'!P524="","",CONCATENATE('Cable Info'!P524," - ",'Cable Info'!Q524))</f>
        <v>#N/A</v>
      </c>
      <c r="AW820" s="121" t="e">
        <f t="shared" si="158"/>
        <v>#N/A</v>
      </c>
      <c r="AY820" s="121" t="str">
        <f>IF('Cable Info'!R524="","",CONCATENATE('Cable Info'!R524," - ",'Cable Info'!S524))</f>
        <v/>
      </c>
      <c r="BB820" s="121" t="str">
        <f t="shared" si="159"/>
        <v/>
      </c>
      <c r="BD820" s="121" t="str">
        <f>IF('Cable Info'!T524="","",CONCATENATE('Cable Info'!T524," - ",'Cable Info'!U524))</f>
        <v/>
      </c>
      <c r="BG820" s="121" t="str">
        <f t="shared" si="160"/>
        <v/>
      </c>
      <c r="BI820" s="121" t="str">
        <f>IF('Cable Info'!V524="","",CONCATENATE('Cable Info'!V524," - ",'Cable Info'!W524))</f>
        <v/>
      </c>
      <c r="BL820" s="121" t="str">
        <f t="shared" si="161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56"/>
        <v>#N/A</v>
      </c>
      <c r="AO821" s="121" t="e">
        <f>IF('Cable Info'!N525="","",CONCATENATE('Cable Info'!N525," - ",'Cable Info'!O525))</f>
        <v>#N/A</v>
      </c>
      <c r="AR821" s="121" t="e">
        <f t="shared" si="157"/>
        <v>#N/A</v>
      </c>
      <c r="AT821" s="121" t="e">
        <f>IF('Cable Info'!P525="","",CONCATENATE('Cable Info'!P525," - ",'Cable Info'!Q525))</f>
        <v>#N/A</v>
      </c>
      <c r="AW821" s="121" t="e">
        <f t="shared" si="158"/>
        <v>#N/A</v>
      </c>
      <c r="AY821" s="121" t="str">
        <f>IF('Cable Info'!R525="","",CONCATENATE('Cable Info'!R525," - ",'Cable Info'!S525))</f>
        <v/>
      </c>
      <c r="BB821" s="121" t="str">
        <f t="shared" si="159"/>
        <v/>
      </c>
      <c r="BD821" s="121" t="str">
        <f>IF('Cable Info'!T525="","",CONCATENATE('Cable Info'!T525," - ",'Cable Info'!U525))</f>
        <v/>
      </c>
      <c r="BG821" s="121" t="str">
        <f t="shared" si="160"/>
        <v/>
      </c>
      <c r="BI821" s="121" t="str">
        <f>IF('Cable Info'!V525="","",CONCATENATE('Cable Info'!V525," - ",'Cable Info'!W525))</f>
        <v/>
      </c>
      <c r="BL821" s="121" t="str">
        <f t="shared" si="161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56"/>
        <v>#N/A</v>
      </c>
      <c r="AO822" s="121" t="e">
        <f>IF('Cable Info'!N526="","",CONCATENATE('Cable Info'!N526," - ",'Cable Info'!O526))</f>
        <v>#N/A</v>
      </c>
      <c r="AR822" s="121" t="e">
        <f t="shared" si="157"/>
        <v>#N/A</v>
      </c>
      <c r="AT822" s="121" t="e">
        <f>IF('Cable Info'!P526="","",CONCATENATE('Cable Info'!P526," - ",'Cable Info'!Q526))</f>
        <v>#N/A</v>
      </c>
      <c r="AW822" s="121" t="e">
        <f t="shared" si="158"/>
        <v>#N/A</v>
      </c>
      <c r="AY822" s="121" t="str">
        <f>IF('Cable Info'!R526="","",CONCATENATE('Cable Info'!R526," - ",'Cable Info'!S526))</f>
        <v/>
      </c>
      <c r="BB822" s="121" t="str">
        <f t="shared" si="159"/>
        <v/>
      </c>
      <c r="BD822" s="121" t="str">
        <f>IF('Cable Info'!T526="","",CONCATENATE('Cable Info'!T526," - ",'Cable Info'!U526))</f>
        <v/>
      </c>
      <c r="BG822" s="121" t="str">
        <f t="shared" si="160"/>
        <v/>
      </c>
      <c r="BI822" s="121" t="str">
        <f>IF('Cable Info'!V526="","",CONCATENATE('Cable Info'!V526," - ",'Cable Info'!W526))</f>
        <v/>
      </c>
      <c r="BL822" s="121" t="str">
        <f t="shared" si="161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56"/>
        <v>#N/A</v>
      </c>
      <c r="AO823" s="121" t="e">
        <f>IF('Cable Info'!N527="","",CONCATENATE('Cable Info'!N527," - ",'Cable Info'!O527))</f>
        <v>#N/A</v>
      </c>
      <c r="AR823" s="121" t="e">
        <f t="shared" si="157"/>
        <v>#N/A</v>
      </c>
      <c r="AT823" s="121" t="e">
        <f>IF('Cable Info'!P527="","",CONCATENATE('Cable Info'!P527," - ",'Cable Info'!Q527))</f>
        <v>#N/A</v>
      </c>
      <c r="AW823" s="121" t="e">
        <f t="shared" si="158"/>
        <v>#N/A</v>
      </c>
      <c r="AY823" s="121" t="str">
        <f>IF('Cable Info'!R527="","",CONCATENATE('Cable Info'!R527," - ",'Cable Info'!S527))</f>
        <v/>
      </c>
      <c r="BB823" s="121" t="str">
        <f t="shared" si="159"/>
        <v/>
      </c>
      <c r="BD823" s="121" t="str">
        <f>IF('Cable Info'!T527="","",CONCATENATE('Cable Info'!T527," - ",'Cable Info'!U527))</f>
        <v/>
      </c>
      <c r="BG823" s="121" t="str">
        <f t="shared" si="160"/>
        <v/>
      </c>
      <c r="BI823" s="121" t="str">
        <f>IF('Cable Info'!V527="","",CONCATENATE('Cable Info'!V527," - ",'Cable Info'!W527))</f>
        <v/>
      </c>
      <c r="BL823" s="121" t="str">
        <f t="shared" si="161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56"/>
        <v>#N/A</v>
      </c>
      <c r="AO824" s="121" t="e">
        <f>IF('Cable Info'!N528="","",CONCATENATE('Cable Info'!N528," - ",'Cable Info'!O528))</f>
        <v>#N/A</v>
      </c>
      <c r="AR824" s="121" t="e">
        <f t="shared" si="157"/>
        <v>#N/A</v>
      </c>
      <c r="AT824" s="121" t="e">
        <f>IF('Cable Info'!P528="","",CONCATENATE('Cable Info'!P528," - ",'Cable Info'!Q528))</f>
        <v>#N/A</v>
      </c>
      <c r="AW824" s="121" t="e">
        <f t="shared" si="158"/>
        <v>#N/A</v>
      </c>
      <c r="AY824" s="121" t="str">
        <f>IF('Cable Info'!R528="","",CONCATENATE('Cable Info'!R528," - ",'Cable Info'!S528))</f>
        <v/>
      </c>
      <c r="BB824" s="121" t="str">
        <f t="shared" si="159"/>
        <v/>
      </c>
      <c r="BD824" s="121" t="str">
        <f>IF('Cable Info'!T528="","",CONCATENATE('Cable Info'!T528," - ",'Cable Info'!U528))</f>
        <v/>
      </c>
      <c r="BG824" s="121" t="str">
        <f t="shared" si="160"/>
        <v/>
      </c>
      <c r="BI824" s="121" t="str">
        <f>IF('Cable Info'!V528="","",CONCATENATE('Cable Info'!V528," - ",'Cable Info'!W528))</f>
        <v/>
      </c>
      <c r="BL824" s="121" t="str">
        <f t="shared" si="161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56"/>
        <v>#N/A</v>
      </c>
      <c r="AO825" s="121" t="e">
        <f>IF('Cable Info'!N529="","",CONCATENATE('Cable Info'!N529," - ",'Cable Info'!O529))</f>
        <v>#N/A</v>
      </c>
      <c r="AR825" s="121" t="e">
        <f t="shared" si="157"/>
        <v>#N/A</v>
      </c>
      <c r="AT825" s="121" t="e">
        <f>IF('Cable Info'!P529="","",CONCATENATE('Cable Info'!P529," - ",'Cable Info'!Q529))</f>
        <v>#N/A</v>
      </c>
      <c r="AW825" s="121" t="e">
        <f t="shared" si="158"/>
        <v>#N/A</v>
      </c>
      <c r="AY825" s="121" t="str">
        <f>IF('Cable Info'!R529="","",CONCATENATE('Cable Info'!R529," - ",'Cable Info'!S529))</f>
        <v/>
      </c>
      <c r="BB825" s="121" t="str">
        <f t="shared" si="159"/>
        <v/>
      </c>
      <c r="BD825" s="121" t="str">
        <f>IF('Cable Info'!T529="","",CONCATENATE('Cable Info'!T529," - ",'Cable Info'!U529))</f>
        <v/>
      </c>
      <c r="BG825" s="121" t="str">
        <f t="shared" si="160"/>
        <v/>
      </c>
      <c r="BI825" s="121" t="str">
        <f>IF('Cable Info'!V529="","",CONCATENATE('Cable Info'!V529," - ",'Cable Info'!W529))</f>
        <v/>
      </c>
      <c r="BL825" s="121" t="str">
        <f t="shared" si="161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56"/>
        <v>#N/A</v>
      </c>
      <c r="AO826" s="121" t="e">
        <f>IF('Cable Info'!N530="","",CONCATENATE('Cable Info'!N530," - ",'Cable Info'!O530))</f>
        <v>#N/A</v>
      </c>
      <c r="AR826" s="121" t="e">
        <f t="shared" si="157"/>
        <v>#N/A</v>
      </c>
      <c r="AT826" s="121" t="e">
        <f>IF('Cable Info'!P530="","",CONCATENATE('Cable Info'!P530," - ",'Cable Info'!Q530))</f>
        <v>#N/A</v>
      </c>
      <c r="AW826" s="121" t="e">
        <f t="shared" si="158"/>
        <v>#N/A</v>
      </c>
      <c r="AY826" s="121" t="str">
        <f>IF('Cable Info'!R530="","",CONCATENATE('Cable Info'!R530," - ",'Cable Info'!S530))</f>
        <v/>
      </c>
      <c r="BB826" s="121" t="str">
        <f t="shared" si="159"/>
        <v/>
      </c>
      <c r="BD826" s="121" t="str">
        <f>IF('Cable Info'!T530="","",CONCATENATE('Cable Info'!T530," - ",'Cable Info'!U530))</f>
        <v/>
      </c>
      <c r="BG826" s="121" t="str">
        <f t="shared" si="160"/>
        <v/>
      </c>
      <c r="BI826" s="121" t="str">
        <f>IF('Cable Info'!V530="","",CONCATENATE('Cable Info'!V530," - ",'Cable Info'!W530))</f>
        <v/>
      </c>
      <c r="BL826" s="121" t="str">
        <f t="shared" si="161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56"/>
        <v>#N/A</v>
      </c>
      <c r="AO827" s="121" t="e">
        <f>IF('Cable Info'!N531="","",CONCATENATE('Cable Info'!N531," - ",'Cable Info'!O531))</f>
        <v>#N/A</v>
      </c>
      <c r="AR827" s="121" t="e">
        <f t="shared" si="157"/>
        <v>#N/A</v>
      </c>
      <c r="AT827" s="121" t="e">
        <f>IF('Cable Info'!P531="","",CONCATENATE('Cable Info'!P531," - ",'Cable Info'!Q531))</f>
        <v>#N/A</v>
      </c>
      <c r="AW827" s="121" t="e">
        <f t="shared" si="158"/>
        <v>#N/A</v>
      </c>
      <c r="AY827" s="121" t="str">
        <f>IF('Cable Info'!R531="","",CONCATENATE('Cable Info'!R531," - ",'Cable Info'!S531))</f>
        <v/>
      </c>
      <c r="BB827" s="121" t="str">
        <f t="shared" si="159"/>
        <v/>
      </c>
      <c r="BD827" s="121" t="str">
        <f>IF('Cable Info'!T531="","",CONCATENATE('Cable Info'!T531," - ",'Cable Info'!U531))</f>
        <v/>
      </c>
      <c r="BG827" s="121" t="str">
        <f t="shared" si="160"/>
        <v/>
      </c>
      <c r="BI827" s="121" t="str">
        <f>IF('Cable Info'!V531="","",CONCATENATE('Cable Info'!V531," - ",'Cable Info'!W531))</f>
        <v/>
      </c>
      <c r="BL827" s="121" t="str">
        <f t="shared" si="161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56"/>
        <v>#N/A</v>
      </c>
      <c r="AO828" s="121" t="e">
        <f>IF('Cable Info'!N532="","",CONCATENATE('Cable Info'!N532," - ",'Cable Info'!O532))</f>
        <v>#N/A</v>
      </c>
      <c r="AR828" s="121" t="e">
        <f t="shared" si="157"/>
        <v>#N/A</v>
      </c>
      <c r="AT828" s="121" t="e">
        <f>IF('Cable Info'!P532="","",CONCATENATE('Cable Info'!P532," - ",'Cable Info'!Q532))</f>
        <v>#N/A</v>
      </c>
      <c r="AW828" s="121" t="e">
        <f t="shared" si="158"/>
        <v>#N/A</v>
      </c>
      <c r="AY828" s="121" t="str">
        <f>IF('Cable Info'!R532="","",CONCATENATE('Cable Info'!R532," - ",'Cable Info'!S532))</f>
        <v/>
      </c>
      <c r="BB828" s="121" t="str">
        <f t="shared" si="159"/>
        <v/>
      </c>
      <c r="BD828" s="121" t="str">
        <f>IF('Cable Info'!T532="","",CONCATENATE('Cable Info'!T532," - ",'Cable Info'!U532))</f>
        <v/>
      </c>
      <c r="BG828" s="121" t="str">
        <f t="shared" si="160"/>
        <v/>
      </c>
      <c r="BI828" s="121" t="str">
        <f>IF('Cable Info'!V532="","",CONCATENATE('Cable Info'!V532," - ",'Cable Info'!W532))</f>
        <v/>
      </c>
      <c r="BL828" s="121" t="str">
        <f t="shared" si="161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56"/>
        <v>#N/A</v>
      </c>
      <c r="AO829" s="121" t="e">
        <f>IF('Cable Info'!N533="","",CONCATENATE('Cable Info'!N533," - ",'Cable Info'!O533))</f>
        <v>#N/A</v>
      </c>
      <c r="AR829" s="121" t="e">
        <f t="shared" si="157"/>
        <v>#N/A</v>
      </c>
      <c r="AT829" s="121" t="e">
        <f>IF('Cable Info'!P533="","",CONCATENATE('Cable Info'!P533," - ",'Cable Info'!Q533))</f>
        <v>#N/A</v>
      </c>
      <c r="AW829" s="121" t="e">
        <f t="shared" si="158"/>
        <v>#N/A</v>
      </c>
      <c r="AY829" s="121" t="str">
        <f>IF('Cable Info'!R533="","",CONCATENATE('Cable Info'!R533," - ",'Cable Info'!S533))</f>
        <v/>
      </c>
      <c r="BB829" s="121" t="str">
        <f t="shared" si="159"/>
        <v/>
      </c>
      <c r="BD829" s="121" t="str">
        <f>IF('Cable Info'!T533="","",CONCATENATE('Cable Info'!T533," - ",'Cable Info'!U533))</f>
        <v/>
      </c>
      <c r="BG829" s="121" t="str">
        <f t="shared" si="160"/>
        <v/>
      </c>
      <c r="BI829" s="121" t="str">
        <f>IF('Cable Info'!V533="","",CONCATENATE('Cable Info'!V533," - ",'Cable Info'!W533))</f>
        <v/>
      </c>
      <c r="BL829" s="121" t="str">
        <f t="shared" si="161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56"/>
        <v>#N/A</v>
      </c>
      <c r="AO830" s="121" t="e">
        <f>IF('Cable Info'!N534="","",CONCATENATE('Cable Info'!N534," - ",'Cable Info'!O534))</f>
        <v>#N/A</v>
      </c>
      <c r="AR830" s="121" t="e">
        <f t="shared" si="157"/>
        <v>#N/A</v>
      </c>
      <c r="AT830" s="121" t="e">
        <f>IF('Cable Info'!P534="","",CONCATENATE('Cable Info'!P534," - ",'Cable Info'!Q534))</f>
        <v>#N/A</v>
      </c>
      <c r="AW830" s="121" t="e">
        <f t="shared" si="158"/>
        <v>#N/A</v>
      </c>
      <c r="AY830" s="121" t="str">
        <f>IF('Cable Info'!R534="","",CONCATENATE('Cable Info'!R534," - ",'Cable Info'!S534))</f>
        <v/>
      </c>
      <c r="BB830" s="121" t="str">
        <f t="shared" si="159"/>
        <v/>
      </c>
      <c r="BD830" s="121" t="str">
        <f>IF('Cable Info'!T534="","",CONCATENATE('Cable Info'!T534," - ",'Cable Info'!U534))</f>
        <v/>
      </c>
      <c r="BG830" s="121" t="str">
        <f t="shared" si="160"/>
        <v/>
      </c>
      <c r="BI830" s="121" t="str">
        <f>IF('Cable Info'!V534="","",CONCATENATE('Cable Info'!V534," - ",'Cable Info'!W534))</f>
        <v/>
      </c>
      <c r="BL830" s="121" t="str">
        <f t="shared" si="161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56"/>
        <v>#N/A</v>
      </c>
      <c r="AO831" s="121" t="e">
        <f>IF('Cable Info'!N535="","",CONCATENATE('Cable Info'!N535," - ",'Cable Info'!O535))</f>
        <v>#N/A</v>
      </c>
      <c r="AR831" s="121" t="e">
        <f t="shared" si="157"/>
        <v>#N/A</v>
      </c>
      <c r="AT831" s="121" t="e">
        <f>IF('Cable Info'!P535="","",CONCATENATE('Cable Info'!P535," - ",'Cable Info'!Q535))</f>
        <v>#N/A</v>
      </c>
      <c r="AW831" s="121" t="e">
        <f t="shared" si="158"/>
        <v>#N/A</v>
      </c>
      <c r="AY831" s="121" t="str">
        <f>IF('Cable Info'!R535="","",CONCATENATE('Cable Info'!R535," - ",'Cable Info'!S535))</f>
        <v/>
      </c>
      <c r="BB831" s="121" t="str">
        <f t="shared" si="159"/>
        <v/>
      </c>
      <c r="BD831" s="121" t="str">
        <f>IF('Cable Info'!T535="","",CONCATENATE('Cable Info'!T535," - ",'Cable Info'!U535))</f>
        <v/>
      </c>
      <c r="BG831" s="121" t="str">
        <f t="shared" si="160"/>
        <v/>
      </c>
      <c r="BI831" s="121" t="str">
        <f>IF('Cable Info'!V535="","",CONCATENATE('Cable Info'!V535," - ",'Cable Info'!W535))</f>
        <v/>
      </c>
      <c r="BL831" s="121" t="str">
        <f t="shared" si="161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56"/>
        <v>#N/A</v>
      </c>
      <c r="AO832" s="121" t="e">
        <f>IF('Cable Info'!N536="","",CONCATENATE('Cable Info'!N536," - ",'Cable Info'!O536))</f>
        <v>#N/A</v>
      </c>
      <c r="AR832" s="121" t="e">
        <f t="shared" si="157"/>
        <v>#N/A</v>
      </c>
      <c r="AT832" s="121" t="e">
        <f>IF('Cable Info'!P536="","",CONCATENATE('Cable Info'!P536," - ",'Cable Info'!Q536))</f>
        <v>#N/A</v>
      </c>
      <c r="AW832" s="121" t="e">
        <f t="shared" si="158"/>
        <v>#N/A</v>
      </c>
      <c r="AY832" s="121" t="str">
        <f>IF('Cable Info'!R536="","",CONCATENATE('Cable Info'!R536," - ",'Cable Info'!S536))</f>
        <v/>
      </c>
      <c r="BB832" s="121" t="str">
        <f t="shared" si="159"/>
        <v/>
      </c>
      <c r="BD832" s="121" t="str">
        <f>IF('Cable Info'!T536="","",CONCATENATE('Cable Info'!T536," - ",'Cable Info'!U536))</f>
        <v/>
      </c>
      <c r="BG832" s="121" t="str">
        <f t="shared" si="160"/>
        <v/>
      </c>
      <c r="BI832" s="121" t="str">
        <f>IF('Cable Info'!V536="","",CONCATENATE('Cable Info'!V536," - ",'Cable Info'!W536))</f>
        <v/>
      </c>
      <c r="BL832" s="121" t="str">
        <f t="shared" si="161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56"/>
        <v>#N/A</v>
      </c>
      <c r="AO833" s="121" t="e">
        <f>IF('Cable Info'!N537="","",CONCATENATE('Cable Info'!N537," - ",'Cable Info'!O537))</f>
        <v>#N/A</v>
      </c>
      <c r="AR833" s="121" t="e">
        <f t="shared" si="157"/>
        <v>#N/A</v>
      </c>
      <c r="AT833" s="121" t="e">
        <f>IF('Cable Info'!P537="","",CONCATENATE('Cable Info'!P537," - ",'Cable Info'!Q537))</f>
        <v>#N/A</v>
      </c>
      <c r="AW833" s="121" t="e">
        <f t="shared" si="158"/>
        <v>#N/A</v>
      </c>
      <c r="AY833" s="121" t="str">
        <f>IF('Cable Info'!R537="","",CONCATENATE('Cable Info'!R537," - ",'Cable Info'!S537))</f>
        <v/>
      </c>
      <c r="BB833" s="121" t="str">
        <f t="shared" si="159"/>
        <v/>
      </c>
      <c r="BD833" s="121" t="str">
        <f>IF('Cable Info'!T537="","",CONCATENATE('Cable Info'!T537," - ",'Cable Info'!U537))</f>
        <v/>
      </c>
      <c r="BG833" s="121" t="str">
        <f t="shared" si="160"/>
        <v/>
      </c>
      <c r="BI833" s="121" t="str">
        <f>IF('Cable Info'!V537="","",CONCATENATE('Cable Info'!V537," - ",'Cable Info'!W537))</f>
        <v/>
      </c>
      <c r="BL833" s="121" t="str">
        <f t="shared" si="161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56"/>
        <v>#N/A</v>
      </c>
      <c r="AO834" s="121" t="e">
        <f>IF('Cable Info'!N538="","",CONCATENATE('Cable Info'!N538," - ",'Cable Info'!O538))</f>
        <v>#N/A</v>
      </c>
      <c r="AR834" s="121" t="e">
        <f t="shared" si="157"/>
        <v>#N/A</v>
      </c>
      <c r="AT834" s="121" t="e">
        <f>IF('Cable Info'!P538="","",CONCATENATE('Cable Info'!P538," - ",'Cable Info'!Q538))</f>
        <v>#N/A</v>
      </c>
      <c r="AW834" s="121" t="e">
        <f t="shared" si="158"/>
        <v>#N/A</v>
      </c>
      <c r="AY834" s="121" t="str">
        <f>IF('Cable Info'!R538="","",CONCATENATE('Cable Info'!R538," - ",'Cable Info'!S538))</f>
        <v/>
      </c>
      <c r="BB834" s="121" t="str">
        <f t="shared" si="159"/>
        <v/>
      </c>
      <c r="BD834" s="121" t="str">
        <f>IF('Cable Info'!T538="","",CONCATENATE('Cable Info'!T538," - ",'Cable Info'!U538))</f>
        <v/>
      </c>
      <c r="BG834" s="121" t="str">
        <f t="shared" si="160"/>
        <v/>
      </c>
      <c r="BI834" s="121" t="str">
        <f>IF('Cable Info'!V538="","",CONCATENATE('Cable Info'!V538," - ",'Cable Info'!W538))</f>
        <v/>
      </c>
      <c r="BL834" s="121" t="str">
        <f t="shared" si="161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56"/>
        <v>#N/A</v>
      </c>
      <c r="AO835" s="121" t="e">
        <f>IF('Cable Info'!N539="","",CONCATENATE('Cable Info'!N539," - ",'Cable Info'!O539))</f>
        <v>#N/A</v>
      </c>
      <c r="AR835" s="121" t="e">
        <f t="shared" si="157"/>
        <v>#N/A</v>
      </c>
      <c r="AT835" s="121" t="e">
        <f>IF('Cable Info'!P539="","",CONCATENATE('Cable Info'!P539," - ",'Cable Info'!Q539))</f>
        <v>#N/A</v>
      </c>
      <c r="AW835" s="121" t="e">
        <f t="shared" si="158"/>
        <v>#N/A</v>
      </c>
      <c r="AY835" s="121" t="str">
        <f>IF('Cable Info'!R539="","",CONCATENATE('Cable Info'!R539," - ",'Cable Info'!S539))</f>
        <v/>
      </c>
      <c r="BB835" s="121" t="str">
        <f t="shared" si="159"/>
        <v/>
      </c>
      <c r="BD835" s="121" t="str">
        <f>IF('Cable Info'!T539="","",CONCATENATE('Cable Info'!T539," - ",'Cable Info'!U539))</f>
        <v/>
      </c>
      <c r="BG835" s="121" t="str">
        <f t="shared" si="160"/>
        <v/>
      </c>
      <c r="BI835" s="121" t="str">
        <f>IF('Cable Info'!V539="","",CONCATENATE('Cable Info'!V539," - ",'Cable Info'!W539))</f>
        <v/>
      </c>
      <c r="BL835" s="121" t="str">
        <f t="shared" si="161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56"/>
        <v>#N/A</v>
      </c>
      <c r="AO836" s="121" t="e">
        <f>IF('Cable Info'!N540="","",CONCATENATE('Cable Info'!N540," - ",'Cable Info'!O540))</f>
        <v>#N/A</v>
      </c>
      <c r="AR836" s="121" t="e">
        <f t="shared" si="157"/>
        <v>#N/A</v>
      </c>
      <c r="AT836" s="121" t="e">
        <f>IF('Cable Info'!P540="","",CONCATENATE('Cable Info'!P540," - ",'Cable Info'!Q540))</f>
        <v>#N/A</v>
      </c>
      <c r="AW836" s="121" t="e">
        <f t="shared" si="158"/>
        <v>#N/A</v>
      </c>
      <c r="AY836" s="121" t="str">
        <f>IF('Cable Info'!R540="","",CONCATENATE('Cable Info'!R540," - ",'Cable Info'!S540))</f>
        <v/>
      </c>
      <c r="BB836" s="121" t="str">
        <f t="shared" si="159"/>
        <v/>
      </c>
      <c r="BD836" s="121" t="str">
        <f>IF('Cable Info'!T540="","",CONCATENATE('Cable Info'!T540," - ",'Cable Info'!U540))</f>
        <v/>
      </c>
      <c r="BG836" s="121" t="str">
        <f t="shared" si="160"/>
        <v/>
      </c>
      <c r="BI836" s="121" t="str">
        <f>IF('Cable Info'!V540="","",CONCATENATE('Cable Info'!V540," - ",'Cable Info'!W540))</f>
        <v/>
      </c>
      <c r="BL836" s="121" t="str">
        <f t="shared" si="161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56"/>
        <v>#N/A</v>
      </c>
      <c r="AO837" s="121" t="e">
        <f>IF('Cable Info'!N541="","",CONCATENATE('Cable Info'!N541," - ",'Cable Info'!O541))</f>
        <v>#N/A</v>
      </c>
      <c r="AR837" s="121" t="e">
        <f t="shared" si="157"/>
        <v>#N/A</v>
      </c>
      <c r="AT837" s="121" t="e">
        <f>IF('Cable Info'!P541="","",CONCATENATE('Cable Info'!P541," - ",'Cable Info'!Q541))</f>
        <v>#N/A</v>
      </c>
      <c r="AW837" s="121" t="e">
        <f t="shared" si="158"/>
        <v>#N/A</v>
      </c>
      <c r="AY837" s="121" t="str">
        <f>IF('Cable Info'!R541="","",CONCATENATE('Cable Info'!R541," - ",'Cable Info'!S541))</f>
        <v/>
      </c>
      <c r="BB837" s="121" t="str">
        <f t="shared" si="159"/>
        <v/>
      </c>
      <c r="BD837" s="121" t="str">
        <f>IF('Cable Info'!T541="","",CONCATENATE('Cable Info'!T541," - ",'Cable Info'!U541))</f>
        <v/>
      </c>
      <c r="BG837" s="121" t="str">
        <f t="shared" si="160"/>
        <v/>
      </c>
      <c r="BI837" s="121" t="str">
        <f>IF('Cable Info'!V541="","",CONCATENATE('Cable Info'!V541," - ",'Cable Info'!W541))</f>
        <v/>
      </c>
      <c r="BL837" s="121" t="str">
        <f t="shared" si="161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56"/>
        <v>#N/A</v>
      </c>
      <c r="AO838" s="121" t="e">
        <f>IF('Cable Info'!N542="","",CONCATENATE('Cable Info'!N542," - ",'Cable Info'!O542))</f>
        <v>#N/A</v>
      </c>
      <c r="AR838" s="121" t="e">
        <f t="shared" si="157"/>
        <v>#N/A</v>
      </c>
      <c r="AT838" s="121" t="e">
        <f>IF('Cable Info'!P542="","",CONCATENATE('Cable Info'!P542," - ",'Cable Info'!Q542))</f>
        <v>#N/A</v>
      </c>
      <c r="AW838" s="121" t="e">
        <f t="shared" si="158"/>
        <v>#N/A</v>
      </c>
      <c r="AY838" s="121" t="str">
        <f>IF('Cable Info'!R542="","",CONCATENATE('Cable Info'!R542," - ",'Cable Info'!S542))</f>
        <v/>
      </c>
      <c r="BB838" s="121" t="str">
        <f t="shared" si="159"/>
        <v/>
      </c>
      <c r="BD838" s="121" t="str">
        <f>IF('Cable Info'!T542="","",CONCATENATE('Cable Info'!T542," - ",'Cable Info'!U542))</f>
        <v/>
      </c>
      <c r="BG838" s="121" t="str">
        <f t="shared" si="160"/>
        <v/>
      </c>
      <c r="BI838" s="121" t="str">
        <f>IF('Cable Info'!V542="","",CONCATENATE('Cable Info'!V542," - ",'Cable Info'!W542))</f>
        <v/>
      </c>
      <c r="BL838" s="121" t="str">
        <f t="shared" si="161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56"/>
        <v>#N/A</v>
      </c>
      <c r="AO839" s="121" t="e">
        <f>IF('Cable Info'!N543="","",CONCATENATE('Cable Info'!N543," - ",'Cable Info'!O543))</f>
        <v>#N/A</v>
      </c>
      <c r="AR839" s="121" t="e">
        <f t="shared" si="157"/>
        <v>#N/A</v>
      </c>
      <c r="AT839" s="121" t="e">
        <f>IF('Cable Info'!P543="","",CONCATENATE('Cable Info'!P543," - ",'Cable Info'!Q543))</f>
        <v>#N/A</v>
      </c>
      <c r="AW839" s="121" t="e">
        <f t="shared" si="158"/>
        <v>#N/A</v>
      </c>
      <c r="AY839" s="121" t="str">
        <f>IF('Cable Info'!R543="","",CONCATENATE('Cable Info'!R543," - ",'Cable Info'!S543))</f>
        <v/>
      </c>
      <c r="BB839" s="121" t="str">
        <f t="shared" si="159"/>
        <v/>
      </c>
      <c r="BD839" s="121" t="str">
        <f>IF('Cable Info'!T543="","",CONCATENATE('Cable Info'!T543," - ",'Cable Info'!U543))</f>
        <v/>
      </c>
      <c r="BG839" s="121" t="str">
        <f t="shared" si="160"/>
        <v/>
      </c>
      <c r="BI839" s="121" t="str">
        <f>IF('Cable Info'!V543="","",CONCATENATE('Cable Info'!V543," - ",'Cable Info'!W543))</f>
        <v/>
      </c>
      <c r="BL839" s="121" t="str">
        <f t="shared" si="161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56"/>
        <v>#N/A</v>
      </c>
      <c r="AO840" s="121" t="e">
        <f>IF('Cable Info'!N544="","",CONCATENATE('Cable Info'!N544," - ",'Cable Info'!O544))</f>
        <v>#N/A</v>
      </c>
      <c r="AR840" s="121" t="e">
        <f t="shared" si="157"/>
        <v>#N/A</v>
      </c>
      <c r="AT840" s="121" t="e">
        <f>IF('Cable Info'!P544="","",CONCATENATE('Cable Info'!P544," - ",'Cable Info'!Q544))</f>
        <v>#N/A</v>
      </c>
      <c r="AW840" s="121" t="e">
        <f t="shared" si="158"/>
        <v>#N/A</v>
      </c>
      <c r="AY840" s="121" t="str">
        <f>IF('Cable Info'!R544="","",CONCATENATE('Cable Info'!R544," - ",'Cable Info'!S544))</f>
        <v/>
      </c>
      <c r="BB840" s="121" t="str">
        <f t="shared" si="159"/>
        <v/>
      </c>
      <c r="BD840" s="121" t="str">
        <f>IF('Cable Info'!T544="","",CONCATENATE('Cable Info'!T544," - ",'Cable Info'!U544))</f>
        <v/>
      </c>
      <c r="BG840" s="121" t="str">
        <f t="shared" si="160"/>
        <v/>
      </c>
      <c r="BI840" s="121" t="str">
        <f>IF('Cable Info'!V544="","",CONCATENATE('Cable Info'!V544," - ",'Cable Info'!W544))</f>
        <v/>
      </c>
      <c r="BL840" s="121" t="str">
        <f t="shared" si="161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56"/>
        <v>#N/A</v>
      </c>
      <c r="AO841" s="121" t="e">
        <f>IF('Cable Info'!N545="","",CONCATENATE('Cable Info'!N545," - ",'Cable Info'!O545))</f>
        <v>#N/A</v>
      </c>
      <c r="AR841" s="121" t="e">
        <f t="shared" si="157"/>
        <v>#N/A</v>
      </c>
      <c r="AT841" s="121" t="e">
        <f>IF('Cable Info'!P545="","",CONCATENATE('Cable Info'!P545," - ",'Cable Info'!Q545))</f>
        <v>#N/A</v>
      </c>
      <c r="AW841" s="121" t="e">
        <f t="shared" si="158"/>
        <v>#N/A</v>
      </c>
      <c r="AY841" s="121" t="str">
        <f>IF('Cable Info'!R545="","",CONCATENATE('Cable Info'!R545," - ",'Cable Info'!S545))</f>
        <v/>
      </c>
      <c r="BB841" s="121" t="str">
        <f t="shared" si="159"/>
        <v/>
      </c>
      <c r="BD841" s="121" t="str">
        <f>IF('Cable Info'!T545="","",CONCATENATE('Cable Info'!T545," - ",'Cable Info'!U545))</f>
        <v/>
      </c>
      <c r="BG841" s="121" t="str">
        <f t="shared" si="160"/>
        <v/>
      </c>
      <c r="BI841" s="121" t="str">
        <f>IF('Cable Info'!V545="","",CONCATENATE('Cable Info'!V545," - ",'Cable Info'!W545))</f>
        <v/>
      </c>
      <c r="BL841" s="121" t="str">
        <f t="shared" si="161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56"/>
        <v>#N/A</v>
      </c>
      <c r="AO842" s="121" t="e">
        <f>IF('Cable Info'!N546="","",CONCATENATE('Cable Info'!N546," - ",'Cable Info'!O546))</f>
        <v>#N/A</v>
      </c>
      <c r="AR842" s="121" t="e">
        <f t="shared" si="157"/>
        <v>#N/A</v>
      </c>
      <c r="AT842" s="121" t="e">
        <f>IF('Cable Info'!P546="","",CONCATENATE('Cable Info'!P546," - ",'Cable Info'!Q546))</f>
        <v>#N/A</v>
      </c>
      <c r="AW842" s="121" t="e">
        <f t="shared" si="158"/>
        <v>#N/A</v>
      </c>
      <c r="AY842" s="121" t="str">
        <f>IF('Cable Info'!R546="","",CONCATENATE('Cable Info'!R546," - ",'Cable Info'!S546))</f>
        <v/>
      </c>
      <c r="BB842" s="121" t="str">
        <f t="shared" si="159"/>
        <v/>
      </c>
      <c r="BD842" s="121" t="str">
        <f>IF('Cable Info'!T546="","",CONCATENATE('Cable Info'!T546," - ",'Cable Info'!U546))</f>
        <v/>
      </c>
      <c r="BG842" s="121" t="str">
        <f t="shared" si="160"/>
        <v/>
      </c>
      <c r="BI842" s="121" t="str">
        <f>IF('Cable Info'!V546="","",CONCATENATE('Cable Info'!V546," - ",'Cable Info'!W546))</f>
        <v/>
      </c>
      <c r="BL842" s="121" t="str">
        <f t="shared" si="161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56"/>
        <v>#N/A</v>
      </c>
      <c r="AO843" s="121" t="e">
        <f>IF('Cable Info'!N547="","",CONCATENATE('Cable Info'!N547," - ",'Cable Info'!O547))</f>
        <v>#N/A</v>
      </c>
      <c r="AR843" s="121" t="e">
        <f t="shared" si="157"/>
        <v>#N/A</v>
      </c>
      <c r="AT843" s="121" t="e">
        <f>IF('Cable Info'!P547="","",CONCATENATE('Cable Info'!P547," - ",'Cable Info'!Q547))</f>
        <v>#N/A</v>
      </c>
      <c r="AW843" s="121" t="e">
        <f t="shared" si="158"/>
        <v>#N/A</v>
      </c>
      <c r="AY843" s="121" t="str">
        <f>IF('Cable Info'!R547="","",CONCATENATE('Cable Info'!R547," - ",'Cable Info'!S547))</f>
        <v/>
      </c>
      <c r="BB843" s="121" t="str">
        <f t="shared" si="159"/>
        <v/>
      </c>
      <c r="BD843" s="121" t="str">
        <f>IF('Cable Info'!T547="","",CONCATENATE('Cable Info'!T547," - ",'Cable Info'!U547))</f>
        <v/>
      </c>
      <c r="BG843" s="121" t="str">
        <f t="shared" si="160"/>
        <v/>
      </c>
      <c r="BI843" s="121" t="str">
        <f>IF('Cable Info'!V547="","",CONCATENATE('Cable Info'!V547," - ",'Cable Info'!W547))</f>
        <v/>
      </c>
      <c r="BL843" s="121" t="str">
        <f t="shared" si="161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56"/>
        <v>#N/A</v>
      </c>
      <c r="AO844" s="121" t="e">
        <f>IF('Cable Info'!N548="","",CONCATENATE('Cable Info'!N548," - ",'Cable Info'!O548))</f>
        <v>#N/A</v>
      </c>
      <c r="AR844" s="121" t="e">
        <f t="shared" si="157"/>
        <v>#N/A</v>
      </c>
      <c r="AT844" s="121" t="e">
        <f>IF('Cable Info'!P548="","",CONCATENATE('Cable Info'!P548," - ",'Cable Info'!Q548))</f>
        <v>#N/A</v>
      </c>
      <c r="AW844" s="121" t="e">
        <f t="shared" si="158"/>
        <v>#N/A</v>
      </c>
      <c r="AY844" s="121" t="str">
        <f>IF('Cable Info'!R548="","",CONCATENATE('Cable Info'!R548," - ",'Cable Info'!S548))</f>
        <v/>
      </c>
      <c r="BB844" s="121" t="str">
        <f t="shared" si="159"/>
        <v/>
      </c>
      <c r="BD844" s="121" t="str">
        <f>IF('Cable Info'!T548="","",CONCATENATE('Cable Info'!T548," - ",'Cable Info'!U548))</f>
        <v/>
      </c>
      <c r="BG844" s="121" t="str">
        <f t="shared" si="160"/>
        <v/>
      </c>
      <c r="BI844" s="121" t="str">
        <f>IF('Cable Info'!V548="","",CONCATENATE('Cable Info'!V548," - ",'Cable Info'!W548))</f>
        <v/>
      </c>
      <c r="BL844" s="121" t="str">
        <f t="shared" si="161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56"/>
        <v>#N/A</v>
      </c>
      <c r="AO845" s="121" t="e">
        <f>IF('Cable Info'!N549="","",CONCATENATE('Cable Info'!N549," - ",'Cable Info'!O549))</f>
        <v>#N/A</v>
      </c>
      <c r="AR845" s="121" t="e">
        <f t="shared" si="157"/>
        <v>#N/A</v>
      </c>
      <c r="AT845" s="121" t="e">
        <f>IF('Cable Info'!P549="","",CONCATENATE('Cable Info'!P549," - ",'Cable Info'!Q549))</f>
        <v>#N/A</v>
      </c>
      <c r="AW845" s="121" t="e">
        <f t="shared" si="158"/>
        <v>#N/A</v>
      </c>
      <c r="AY845" s="121" t="str">
        <f>IF('Cable Info'!R549="","",CONCATENATE('Cable Info'!R549," - ",'Cable Info'!S549))</f>
        <v/>
      </c>
      <c r="BB845" s="121" t="str">
        <f t="shared" si="159"/>
        <v/>
      </c>
      <c r="BD845" s="121" t="str">
        <f>IF('Cable Info'!T549="","",CONCATENATE('Cable Info'!T549," - ",'Cable Info'!U549))</f>
        <v/>
      </c>
      <c r="BG845" s="121" t="str">
        <f t="shared" si="160"/>
        <v/>
      </c>
      <c r="BI845" s="121" t="str">
        <f>IF('Cable Info'!V549="","",CONCATENATE('Cable Info'!V549," - ",'Cable Info'!W549))</f>
        <v/>
      </c>
      <c r="BL845" s="121" t="str">
        <f t="shared" si="161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56"/>
        <v>#N/A</v>
      </c>
      <c r="AO846" s="121" t="e">
        <f>IF('Cable Info'!N550="","",CONCATENATE('Cable Info'!N550," - ",'Cable Info'!O550))</f>
        <v>#N/A</v>
      </c>
      <c r="AR846" s="121" t="e">
        <f t="shared" si="157"/>
        <v>#N/A</v>
      </c>
      <c r="AT846" s="121" t="e">
        <f>IF('Cable Info'!P550="","",CONCATENATE('Cable Info'!P550," - ",'Cable Info'!Q550))</f>
        <v>#N/A</v>
      </c>
      <c r="AW846" s="121" t="e">
        <f t="shared" si="158"/>
        <v>#N/A</v>
      </c>
      <c r="AY846" s="121" t="str">
        <f>IF('Cable Info'!R550="","",CONCATENATE('Cable Info'!R550," - ",'Cable Info'!S550))</f>
        <v/>
      </c>
      <c r="BB846" s="121" t="str">
        <f t="shared" si="159"/>
        <v/>
      </c>
      <c r="BD846" s="121" t="str">
        <f>IF('Cable Info'!T550="","",CONCATENATE('Cable Info'!T550," - ",'Cable Info'!U550))</f>
        <v/>
      </c>
      <c r="BG846" s="121" t="str">
        <f t="shared" si="160"/>
        <v/>
      </c>
      <c r="BI846" s="121" t="str">
        <f>IF('Cable Info'!V550="","",CONCATENATE('Cable Info'!V550," - ",'Cable Info'!W550))</f>
        <v/>
      </c>
      <c r="BL846" s="121" t="str">
        <f t="shared" si="161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56"/>
        <v>#N/A</v>
      </c>
      <c r="AO847" s="121" t="e">
        <f>IF('Cable Info'!N551="","",CONCATENATE('Cable Info'!N551," - ",'Cable Info'!O551))</f>
        <v>#N/A</v>
      </c>
      <c r="AR847" s="121" t="e">
        <f t="shared" si="157"/>
        <v>#N/A</v>
      </c>
      <c r="AT847" s="121" t="e">
        <f>IF('Cable Info'!P551="","",CONCATENATE('Cable Info'!P551," - ",'Cable Info'!Q551))</f>
        <v>#N/A</v>
      </c>
      <c r="AW847" s="121" t="e">
        <f t="shared" si="158"/>
        <v>#N/A</v>
      </c>
      <c r="AY847" s="121" t="str">
        <f>IF('Cable Info'!R551="","",CONCATENATE('Cable Info'!R551," - ",'Cable Info'!S551))</f>
        <v/>
      </c>
      <c r="BB847" s="121" t="str">
        <f t="shared" si="159"/>
        <v/>
      </c>
      <c r="BD847" s="121" t="str">
        <f>IF('Cable Info'!T551="","",CONCATENATE('Cable Info'!T551," - ",'Cable Info'!U551))</f>
        <v/>
      </c>
      <c r="BG847" s="121" t="str">
        <f t="shared" si="160"/>
        <v/>
      </c>
      <c r="BI847" s="121" t="str">
        <f>IF('Cable Info'!V551="","",CONCATENATE('Cable Info'!V551," - ",'Cable Info'!W551))</f>
        <v/>
      </c>
      <c r="BL847" s="121" t="str">
        <f t="shared" si="161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56"/>
        <v>#N/A</v>
      </c>
      <c r="AO848" s="121" t="e">
        <f>IF('Cable Info'!N552="","",CONCATENATE('Cable Info'!N552," - ",'Cable Info'!O552))</f>
        <v>#N/A</v>
      </c>
      <c r="AR848" s="121" t="e">
        <f t="shared" si="157"/>
        <v>#N/A</v>
      </c>
      <c r="AT848" s="121" t="e">
        <f>IF('Cable Info'!P552="","",CONCATENATE('Cable Info'!P552," - ",'Cable Info'!Q552))</f>
        <v>#N/A</v>
      </c>
      <c r="AW848" s="121" t="e">
        <f t="shared" si="158"/>
        <v>#N/A</v>
      </c>
      <c r="AY848" s="121" t="str">
        <f>IF('Cable Info'!R552="","",CONCATENATE('Cable Info'!R552," - ",'Cable Info'!S552))</f>
        <v/>
      </c>
      <c r="BB848" s="121" t="str">
        <f t="shared" si="159"/>
        <v/>
      </c>
      <c r="BD848" s="121" t="str">
        <f>IF('Cable Info'!T552="","",CONCATENATE('Cable Info'!T552," - ",'Cable Info'!U552))</f>
        <v/>
      </c>
      <c r="BG848" s="121" t="str">
        <f t="shared" si="160"/>
        <v/>
      </c>
      <c r="BI848" s="121" t="str">
        <f>IF('Cable Info'!V552="","",CONCATENATE('Cable Info'!V552," - ",'Cable Info'!W552))</f>
        <v/>
      </c>
      <c r="BL848" s="121" t="str">
        <f t="shared" si="161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56"/>
        <v>#N/A</v>
      </c>
      <c r="AO849" s="121" t="e">
        <f>IF('Cable Info'!N553="","",CONCATENATE('Cable Info'!N553," - ",'Cable Info'!O553))</f>
        <v>#N/A</v>
      </c>
      <c r="AR849" s="121" t="e">
        <f t="shared" si="157"/>
        <v>#N/A</v>
      </c>
      <c r="AT849" s="121" t="e">
        <f>IF('Cable Info'!P553="","",CONCATENATE('Cable Info'!P553," - ",'Cable Info'!Q553))</f>
        <v>#N/A</v>
      </c>
      <c r="AW849" s="121" t="e">
        <f t="shared" si="158"/>
        <v>#N/A</v>
      </c>
      <c r="AY849" s="121" t="str">
        <f>IF('Cable Info'!R553="","",CONCATENATE('Cable Info'!R553," - ",'Cable Info'!S553))</f>
        <v/>
      </c>
      <c r="BB849" s="121" t="str">
        <f t="shared" si="159"/>
        <v/>
      </c>
      <c r="BD849" s="121" t="str">
        <f>IF('Cable Info'!T553="","",CONCATENATE('Cable Info'!T553," - ",'Cable Info'!U553))</f>
        <v/>
      </c>
      <c r="BG849" s="121" t="str">
        <f t="shared" si="160"/>
        <v/>
      </c>
      <c r="BI849" s="121" t="str">
        <f>IF('Cable Info'!V553="","",CONCATENATE('Cable Info'!V553," - ",'Cable Info'!W553))</f>
        <v/>
      </c>
      <c r="BL849" s="121" t="str">
        <f t="shared" si="161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56"/>
        <v>#N/A</v>
      </c>
      <c r="AO850" s="121" t="e">
        <f>IF('Cable Info'!N554="","",CONCATENATE('Cable Info'!N554," - ",'Cable Info'!O554))</f>
        <v>#N/A</v>
      </c>
      <c r="AR850" s="121" t="e">
        <f t="shared" si="157"/>
        <v>#N/A</v>
      </c>
      <c r="AT850" s="121" t="e">
        <f>IF('Cable Info'!P554="","",CONCATENATE('Cable Info'!P554," - ",'Cable Info'!Q554))</f>
        <v>#N/A</v>
      </c>
      <c r="AW850" s="121" t="e">
        <f t="shared" si="158"/>
        <v>#N/A</v>
      </c>
      <c r="AY850" s="121" t="str">
        <f>IF('Cable Info'!R554="","",CONCATENATE('Cable Info'!R554," - ",'Cable Info'!S554))</f>
        <v/>
      </c>
      <c r="BB850" s="121" t="str">
        <f t="shared" si="159"/>
        <v/>
      </c>
      <c r="BD850" s="121" t="str">
        <f>IF('Cable Info'!T554="","",CONCATENATE('Cable Info'!T554," - ",'Cable Info'!U554))</f>
        <v/>
      </c>
      <c r="BG850" s="121" t="str">
        <f t="shared" si="160"/>
        <v/>
      </c>
      <c r="BI850" s="121" t="str">
        <f>IF('Cable Info'!V554="","",CONCATENATE('Cable Info'!V554," - ",'Cable Info'!W554))</f>
        <v/>
      </c>
      <c r="BL850" s="121" t="str">
        <f t="shared" si="161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56"/>
        <v>#N/A</v>
      </c>
      <c r="AO851" s="121" t="e">
        <f>IF('Cable Info'!N555="","",CONCATENATE('Cable Info'!N555," - ",'Cable Info'!O555))</f>
        <v>#N/A</v>
      </c>
      <c r="AR851" s="121" t="e">
        <f t="shared" si="157"/>
        <v>#N/A</v>
      </c>
      <c r="AT851" s="121" t="e">
        <f>IF('Cable Info'!P555="","",CONCATENATE('Cable Info'!P555," - ",'Cable Info'!Q555))</f>
        <v>#N/A</v>
      </c>
      <c r="AW851" s="121" t="e">
        <f t="shared" si="158"/>
        <v>#N/A</v>
      </c>
      <c r="AY851" s="121" t="str">
        <f>IF('Cable Info'!R555="","",CONCATENATE('Cable Info'!R555," - ",'Cable Info'!S555))</f>
        <v/>
      </c>
      <c r="BB851" s="121" t="str">
        <f t="shared" si="159"/>
        <v/>
      </c>
      <c r="BD851" s="121" t="str">
        <f>IF('Cable Info'!T555="","",CONCATENATE('Cable Info'!T555," - ",'Cable Info'!U555))</f>
        <v/>
      </c>
      <c r="BG851" s="121" t="str">
        <f t="shared" si="160"/>
        <v/>
      </c>
      <c r="BI851" s="121" t="str">
        <f>IF('Cable Info'!V555="","",CONCATENATE('Cable Info'!V555," - ",'Cable Info'!W555))</f>
        <v/>
      </c>
      <c r="BL851" s="121" t="str">
        <f t="shared" si="161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56"/>
        <v>#N/A</v>
      </c>
      <c r="AO852" s="121" t="e">
        <f>IF('Cable Info'!N556="","",CONCATENATE('Cable Info'!N556," - ",'Cable Info'!O556))</f>
        <v>#N/A</v>
      </c>
      <c r="AR852" s="121" t="e">
        <f t="shared" si="157"/>
        <v>#N/A</v>
      </c>
      <c r="AT852" s="121" t="e">
        <f>IF('Cable Info'!P556="","",CONCATENATE('Cable Info'!P556," - ",'Cable Info'!Q556))</f>
        <v>#N/A</v>
      </c>
      <c r="AW852" s="121" t="e">
        <f t="shared" si="158"/>
        <v>#N/A</v>
      </c>
      <c r="AY852" s="121" t="str">
        <f>IF('Cable Info'!R556="","",CONCATENATE('Cable Info'!R556," - ",'Cable Info'!S556))</f>
        <v/>
      </c>
      <c r="BB852" s="121" t="str">
        <f t="shared" si="159"/>
        <v/>
      </c>
      <c r="BD852" s="121" t="str">
        <f>IF('Cable Info'!T556="","",CONCATENATE('Cable Info'!T556," - ",'Cable Info'!U556))</f>
        <v/>
      </c>
      <c r="BG852" s="121" t="str">
        <f t="shared" si="160"/>
        <v/>
      </c>
      <c r="BI852" s="121" t="str">
        <f>IF('Cable Info'!V556="","",CONCATENATE('Cable Info'!V556," - ",'Cable Info'!W556))</f>
        <v/>
      </c>
      <c r="BL852" s="121" t="str">
        <f t="shared" si="161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56"/>
        <v>#N/A</v>
      </c>
      <c r="AO853" s="121" t="e">
        <f>IF('Cable Info'!N557="","",CONCATENATE('Cable Info'!N557," - ",'Cable Info'!O557))</f>
        <v>#N/A</v>
      </c>
      <c r="AR853" s="121" t="e">
        <f t="shared" si="157"/>
        <v>#N/A</v>
      </c>
      <c r="AT853" s="121" t="e">
        <f>IF('Cable Info'!P557="","",CONCATENATE('Cable Info'!P557," - ",'Cable Info'!Q557))</f>
        <v>#N/A</v>
      </c>
      <c r="AW853" s="121" t="e">
        <f t="shared" si="158"/>
        <v>#N/A</v>
      </c>
      <c r="AY853" s="121" t="str">
        <f>IF('Cable Info'!R557="","",CONCATENATE('Cable Info'!R557," - ",'Cable Info'!S557))</f>
        <v/>
      </c>
      <c r="BB853" s="121" t="str">
        <f t="shared" si="159"/>
        <v/>
      </c>
      <c r="BD853" s="121" t="str">
        <f>IF('Cable Info'!T557="","",CONCATENATE('Cable Info'!T557," - ",'Cable Info'!U557))</f>
        <v/>
      </c>
      <c r="BG853" s="121" t="str">
        <f t="shared" si="160"/>
        <v/>
      </c>
      <c r="BI853" s="121" t="str">
        <f>IF('Cable Info'!V557="","",CONCATENATE('Cable Info'!V557," - ",'Cable Info'!W557))</f>
        <v/>
      </c>
      <c r="BL853" s="121" t="str">
        <f t="shared" si="161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56"/>
        <v>#N/A</v>
      </c>
      <c r="AO854" s="121" t="e">
        <f>IF('Cable Info'!N558="","",CONCATENATE('Cable Info'!N558," - ",'Cable Info'!O558))</f>
        <v>#N/A</v>
      </c>
      <c r="AR854" s="121" t="e">
        <f t="shared" si="157"/>
        <v>#N/A</v>
      </c>
      <c r="AT854" s="121" t="e">
        <f>IF('Cable Info'!P558="","",CONCATENATE('Cable Info'!P558," - ",'Cable Info'!Q558))</f>
        <v>#N/A</v>
      </c>
      <c r="AW854" s="121" t="e">
        <f t="shared" si="158"/>
        <v>#N/A</v>
      </c>
      <c r="AY854" s="121" t="str">
        <f>IF('Cable Info'!R558="","",CONCATENATE('Cable Info'!R558," - ",'Cable Info'!S558))</f>
        <v/>
      </c>
      <c r="BB854" s="121" t="str">
        <f t="shared" si="159"/>
        <v/>
      </c>
      <c r="BD854" s="121" t="str">
        <f>IF('Cable Info'!T558="","",CONCATENATE('Cable Info'!T558," - ",'Cable Info'!U558))</f>
        <v/>
      </c>
      <c r="BG854" s="121" t="str">
        <f t="shared" si="160"/>
        <v/>
      </c>
      <c r="BI854" s="121" t="str">
        <f>IF('Cable Info'!V558="","",CONCATENATE('Cable Info'!V558," - ",'Cable Info'!W558))</f>
        <v/>
      </c>
      <c r="BL854" s="121" t="str">
        <f t="shared" si="161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56"/>
        <v>#N/A</v>
      </c>
      <c r="AO855" s="121" t="e">
        <f>IF('Cable Info'!N559="","",CONCATENATE('Cable Info'!N559," - ",'Cable Info'!O559))</f>
        <v>#N/A</v>
      </c>
      <c r="AR855" s="121" t="e">
        <f t="shared" si="157"/>
        <v>#N/A</v>
      </c>
      <c r="AT855" s="121" t="e">
        <f>IF('Cable Info'!P559="","",CONCATENATE('Cable Info'!P559," - ",'Cable Info'!Q559))</f>
        <v>#N/A</v>
      </c>
      <c r="AW855" s="121" t="e">
        <f t="shared" si="158"/>
        <v>#N/A</v>
      </c>
      <c r="AY855" s="121" t="str">
        <f>IF('Cable Info'!R559="","",CONCATENATE('Cable Info'!R559," - ",'Cable Info'!S559))</f>
        <v/>
      </c>
      <c r="BB855" s="121" t="str">
        <f t="shared" si="159"/>
        <v/>
      </c>
      <c r="BD855" s="121" t="str">
        <f>IF('Cable Info'!T559="","",CONCATENATE('Cable Info'!T559," - ",'Cable Info'!U559))</f>
        <v/>
      </c>
      <c r="BG855" s="121" t="str">
        <f t="shared" si="160"/>
        <v/>
      </c>
      <c r="BI855" s="121" t="str">
        <f>IF('Cable Info'!V559="","",CONCATENATE('Cable Info'!V559," - ",'Cable Info'!W559))</f>
        <v/>
      </c>
      <c r="BL855" s="121" t="str">
        <f t="shared" si="161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56"/>
        <v>#N/A</v>
      </c>
      <c r="AO856" s="121" t="e">
        <f>IF('Cable Info'!N560="","",CONCATENATE('Cable Info'!N560," - ",'Cable Info'!O560))</f>
        <v>#N/A</v>
      </c>
      <c r="AR856" s="121" t="e">
        <f t="shared" si="157"/>
        <v>#N/A</v>
      </c>
      <c r="AT856" s="121" t="e">
        <f>IF('Cable Info'!P560="","",CONCATENATE('Cable Info'!P560," - ",'Cable Info'!Q560))</f>
        <v>#N/A</v>
      </c>
      <c r="AW856" s="121" t="e">
        <f t="shared" si="158"/>
        <v>#N/A</v>
      </c>
      <c r="AY856" s="121" t="str">
        <f>IF('Cable Info'!R560="","",CONCATENATE('Cable Info'!R560," - ",'Cable Info'!S560))</f>
        <v/>
      </c>
      <c r="BB856" s="121" t="str">
        <f t="shared" si="159"/>
        <v/>
      </c>
      <c r="BD856" s="121" t="str">
        <f>IF('Cable Info'!T560="","",CONCATENATE('Cable Info'!T560," - ",'Cable Info'!U560))</f>
        <v/>
      </c>
      <c r="BG856" s="121" t="str">
        <f t="shared" si="160"/>
        <v/>
      </c>
      <c r="BI856" s="121" t="str">
        <f>IF('Cable Info'!V560="","",CONCATENATE('Cable Info'!V560," - ",'Cable Info'!W560))</f>
        <v/>
      </c>
      <c r="BL856" s="121" t="str">
        <f t="shared" si="161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56"/>
        <v>#N/A</v>
      </c>
      <c r="AO857" s="121" t="e">
        <f>IF('Cable Info'!N561="","",CONCATENATE('Cable Info'!N561," - ",'Cable Info'!O561))</f>
        <v>#N/A</v>
      </c>
      <c r="AR857" s="121" t="e">
        <f t="shared" si="157"/>
        <v>#N/A</v>
      </c>
      <c r="AT857" s="121" t="e">
        <f>IF('Cable Info'!P561="","",CONCATENATE('Cable Info'!P561," - ",'Cable Info'!Q561))</f>
        <v>#N/A</v>
      </c>
      <c r="AW857" s="121" t="e">
        <f t="shared" si="158"/>
        <v>#N/A</v>
      </c>
      <c r="AY857" s="121" t="str">
        <f>IF('Cable Info'!R561="","",CONCATENATE('Cable Info'!R561," - ",'Cable Info'!S561))</f>
        <v/>
      </c>
      <c r="BB857" s="121" t="str">
        <f t="shared" si="159"/>
        <v/>
      </c>
      <c r="BD857" s="121" t="str">
        <f>IF('Cable Info'!T561="","",CONCATENATE('Cable Info'!T561," - ",'Cable Info'!U561))</f>
        <v/>
      </c>
      <c r="BG857" s="121" t="str">
        <f t="shared" si="160"/>
        <v/>
      </c>
      <c r="BI857" s="121" t="str">
        <f>IF('Cable Info'!V561="","",CONCATENATE('Cable Info'!V561," - ",'Cable Info'!W561))</f>
        <v/>
      </c>
      <c r="BL857" s="121" t="str">
        <f t="shared" si="161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56"/>
        <v>#N/A</v>
      </c>
      <c r="AO858" s="121" t="e">
        <f>IF('Cable Info'!N562="","",CONCATENATE('Cable Info'!N562," - ",'Cable Info'!O562))</f>
        <v>#N/A</v>
      </c>
      <c r="AR858" s="121" t="e">
        <f t="shared" si="157"/>
        <v>#N/A</v>
      </c>
      <c r="AT858" s="121" t="e">
        <f>IF('Cable Info'!P562="","",CONCATENATE('Cable Info'!P562," - ",'Cable Info'!Q562))</f>
        <v>#N/A</v>
      </c>
      <c r="AW858" s="121" t="e">
        <f t="shared" si="158"/>
        <v>#N/A</v>
      </c>
      <c r="AY858" s="121" t="str">
        <f>IF('Cable Info'!R562="","",CONCATENATE('Cable Info'!R562," - ",'Cable Info'!S562))</f>
        <v/>
      </c>
      <c r="BB858" s="121" t="str">
        <f t="shared" si="159"/>
        <v/>
      </c>
      <c r="BD858" s="121" t="str">
        <f>IF('Cable Info'!T562="","",CONCATENATE('Cable Info'!T562," - ",'Cable Info'!U562))</f>
        <v/>
      </c>
      <c r="BG858" s="121" t="str">
        <f t="shared" si="160"/>
        <v/>
      </c>
      <c r="BI858" s="121" t="str">
        <f>IF('Cable Info'!V562="","",CONCATENATE('Cable Info'!V562," - ",'Cable Info'!W562))</f>
        <v/>
      </c>
      <c r="BL858" s="121" t="str">
        <f t="shared" si="161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56"/>
        <v>#N/A</v>
      </c>
      <c r="AO859" s="121" t="e">
        <f>IF('Cable Info'!N563="","",CONCATENATE('Cable Info'!N563," - ",'Cable Info'!O563))</f>
        <v>#N/A</v>
      </c>
      <c r="AR859" s="121" t="e">
        <f t="shared" si="157"/>
        <v>#N/A</v>
      </c>
      <c r="AT859" s="121" t="e">
        <f>IF('Cable Info'!P563="","",CONCATENATE('Cable Info'!P563," - ",'Cable Info'!Q563))</f>
        <v>#N/A</v>
      </c>
      <c r="AW859" s="121" t="e">
        <f t="shared" si="158"/>
        <v>#N/A</v>
      </c>
      <c r="AY859" s="121" t="str">
        <f>IF('Cable Info'!R563="","",CONCATENATE('Cable Info'!R563," - ",'Cable Info'!S563))</f>
        <v/>
      </c>
      <c r="BB859" s="121" t="str">
        <f t="shared" si="159"/>
        <v/>
      </c>
      <c r="BD859" s="121" t="str">
        <f>IF('Cable Info'!T563="","",CONCATENATE('Cable Info'!T563," - ",'Cable Info'!U563))</f>
        <v/>
      </c>
      <c r="BG859" s="121" t="str">
        <f t="shared" si="160"/>
        <v/>
      </c>
      <c r="BI859" s="121" t="str">
        <f>IF('Cable Info'!V563="","",CONCATENATE('Cable Info'!V563," - ",'Cable Info'!W563))</f>
        <v/>
      </c>
      <c r="BL859" s="121" t="str">
        <f t="shared" si="161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56"/>
        <v>#N/A</v>
      </c>
      <c r="AO860" s="121" t="e">
        <f>IF('Cable Info'!N564="","",CONCATENATE('Cable Info'!N564," - ",'Cable Info'!O564))</f>
        <v>#N/A</v>
      </c>
      <c r="AR860" s="121" t="e">
        <f t="shared" si="157"/>
        <v>#N/A</v>
      </c>
      <c r="AT860" s="121" t="e">
        <f>IF('Cable Info'!P564="","",CONCATENATE('Cable Info'!P564," - ",'Cable Info'!Q564))</f>
        <v>#N/A</v>
      </c>
      <c r="AW860" s="121" t="e">
        <f t="shared" si="158"/>
        <v>#N/A</v>
      </c>
      <c r="AY860" s="121" t="str">
        <f>IF('Cable Info'!R564="","",CONCATENATE('Cable Info'!R564," - ",'Cable Info'!S564))</f>
        <v/>
      </c>
      <c r="BB860" s="121" t="str">
        <f t="shared" si="159"/>
        <v/>
      </c>
      <c r="BD860" s="121" t="str">
        <f>IF('Cable Info'!T564="","",CONCATENATE('Cable Info'!T564," - ",'Cable Info'!U564))</f>
        <v/>
      </c>
      <c r="BG860" s="121" t="str">
        <f t="shared" si="160"/>
        <v/>
      </c>
      <c r="BI860" s="121" t="str">
        <f>IF('Cable Info'!V564="","",CONCATENATE('Cable Info'!V564," - ",'Cable Info'!W564))</f>
        <v/>
      </c>
      <c r="BL860" s="121" t="str">
        <f t="shared" si="161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56"/>
        <v>#N/A</v>
      </c>
      <c r="AO861" s="121" t="e">
        <f>IF('Cable Info'!N565="","",CONCATENATE('Cable Info'!N565," - ",'Cable Info'!O565))</f>
        <v>#N/A</v>
      </c>
      <c r="AR861" s="121" t="e">
        <f t="shared" si="157"/>
        <v>#N/A</v>
      </c>
      <c r="AT861" s="121" t="e">
        <f>IF('Cable Info'!P565="","",CONCATENATE('Cable Info'!P565," - ",'Cable Info'!Q565))</f>
        <v>#N/A</v>
      </c>
      <c r="AW861" s="121" t="e">
        <f t="shared" si="158"/>
        <v>#N/A</v>
      </c>
      <c r="AY861" s="121" t="str">
        <f>IF('Cable Info'!R565="","",CONCATENATE('Cable Info'!R565," - ",'Cable Info'!S565))</f>
        <v/>
      </c>
      <c r="BB861" s="121" t="str">
        <f t="shared" si="159"/>
        <v/>
      </c>
      <c r="BD861" s="121" t="str">
        <f>IF('Cable Info'!T565="","",CONCATENATE('Cable Info'!T565," - ",'Cable Info'!U565))</f>
        <v/>
      </c>
      <c r="BG861" s="121" t="str">
        <f t="shared" si="160"/>
        <v/>
      </c>
      <c r="BI861" s="121" t="str">
        <f>IF('Cable Info'!V565="","",CONCATENATE('Cable Info'!V565," - ",'Cable Info'!W565))</f>
        <v/>
      </c>
      <c r="BL861" s="121" t="str">
        <f t="shared" si="161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56"/>
        <v>#N/A</v>
      </c>
      <c r="AO862" s="121" t="e">
        <f>IF('Cable Info'!N566="","",CONCATENATE('Cable Info'!N566," - ",'Cable Info'!O566))</f>
        <v>#N/A</v>
      </c>
      <c r="AR862" s="121" t="e">
        <f t="shared" si="157"/>
        <v>#N/A</v>
      </c>
      <c r="AT862" s="121" t="e">
        <f>IF('Cable Info'!P566="","",CONCATENATE('Cable Info'!P566," - ",'Cable Info'!Q566))</f>
        <v>#N/A</v>
      </c>
      <c r="AW862" s="121" t="e">
        <f t="shared" si="158"/>
        <v>#N/A</v>
      </c>
      <c r="AY862" s="121" t="str">
        <f>IF('Cable Info'!R566="","",CONCATENATE('Cable Info'!R566," - ",'Cable Info'!S566))</f>
        <v/>
      </c>
      <c r="BB862" s="121" t="str">
        <f t="shared" si="159"/>
        <v/>
      </c>
      <c r="BD862" s="121" t="str">
        <f>IF('Cable Info'!T566="","",CONCATENATE('Cable Info'!T566," - ",'Cable Info'!U566))</f>
        <v/>
      </c>
      <c r="BG862" s="121" t="str">
        <f t="shared" si="160"/>
        <v/>
      </c>
      <c r="BI862" s="121" t="str">
        <f>IF('Cable Info'!V566="","",CONCATENATE('Cable Info'!V566," - ",'Cable Info'!W566))</f>
        <v/>
      </c>
      <c r="BL862" s="121" t="str">
        <f t="shared" si="161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56"/>
        <v>#N/A</v>
      </c>
      <c r="AO863" s="121" t="e">
        <f>IF('Cable Info'!N567="","",CONCATENATE('Cable Info'!N567," - ",'Cable Info'!O567))</f>
        <v>#N/A</v>
      </c>
      <c r="AR863" s="121" t="e">
        <f t="shared" si="157"/>
        <v>#N/A</v>
      </c>
      <c r="AT863" s="121" t="e">
        <f>IF('Cable Info'!P567="","",CONCATENATE('Cable Info'!P567," - ",'Cable Info'!Q567))</f>
        <v>#N/A</v>
      </c>
      <c r="AW863" s="121" t="e">
        <f t="shared" si="158"/>
        <v>#N/A</v>
      </c>
      <c r="AY863" s="121" t="str">
        <f>IF('Cable Info'!R567="","",CONCATENATE('Cable Info'!R567," - ",'Cable Info'!S567))</f>
        <v/>
      </c>
      <c r="BB863" s="121" t="str">
        <f t="shared" si="159"/>
        <v/>
      </c>
      <c r="BD863" s="121" t="str">
        <f>IF('Cable Info'!T567="","",CONCATENATE('Cable Info'!T567," - ",'Cable Info'!U567))</f>
        <v/>
      </c>
      <c r="BG863" s="121" t="str">
        <f t="shared" si="160"/>
        <v/>
      </c>
      <c r="BI863" s="121" t="str">
        <f>IF('Cable Info'!V567="","",CONCATENATE('Cable Info'!V567," - ",'Cable Info'!W567))</f>
        <v/>
      </c>
      <c r="BL863" s="121" t="str">
        <f t="shared" si="161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56"/>
        <v>#N/A</v>
      </c>
      <c r="AO864" s="121" t="e">
        <f>IF('Cable Info'!N568="","",CONCATENATE('Cable Info'!N568," - ",'Cable Info'!O568))</f>
        <v>#N/A</v>
      </c>
      <c r="AR864" s="121" t="e">
        <f t="shared" si="157"/>
        <v>#N/A</v>
      </c>
      <c r="AT864" s="121" t="e">
        <f>IF('Cable Info'!P568="","",CONCATENATE('Cable Info'!P568," - ",'Cable Info'!Q568))</f>
        <v>#N/A</v>
      </c>
      <c r="AW864" s="121" t="e">
        <f t="shared" si="158"/>
        <v>#N/A</v>
      </c>
      <c r="AY864" s="121" t="str">
        <f>IF('Cable Info'!R568="","",CONCATENATE('Cable Info'!R568," - ",'Cable Info'!S568))</f>
        <v/>
      </c>
      <c r="BB864" s="121" t="str">
        <f t="shared" si="159"/>
        <v/>
      </c>
      <c r="BD864" s="121" t="str">
        <f>IF('Cable Info'!T568="","",CONCATENATE('Cable Info'!T568," - ",'Cable Info'!U568))</f>
        <v/>
      </c>
      <c r="BG864" s="121" t="str">
        <f t="shared" si="160"/>
        <v/>
      </c>
      <c r="BI864" s="121" t="str">
        <f>IF('Cable Info'!V568="","",CONCATENATE('Cable Info'!V568," - ",'Cable Info'!W568))</f>
        <v/>
      </c>
      <c r="BL864" s="121" t="str">
        <f t="shared" si="161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56"/>
        <v>#N/A</v>
      </c>
      <c r="AO865" s="121" t="e">
        <f>IF('Cable Info'!N569="","",CONCATENATE('Cable Info'!N569," - ",'Cable Info'!O569))</f>
        <v>#N/A</v>
      </c>
      <c r="AR865" s="121" t="e">
        <f t="shared" si="157"/>
        <v>#N/A</v>
      </c>
      <c r="AT865" s="121" t="e">
        <f>IF('Cable Info'!P569="","",CONCATENATE('Cable Info'!P569," - ",'Cable Info'!Q569))</f>
        <v>#N/A</v>
      </c>
      <c r="AW865" s="121" t="e">
        <f t="shared" si="158"/>
        <v>#N/A</v>
      </c>
      <c r="AY865" s="121" t="str">
        <f>IF('Cable Info'!R569="","",CONCATENATE('Cable Info'!R569," - ",'Cable Info'!S569))</f>
        <v/>
      </c>
      <c r="BB865" s="121" t="str">
        <f t="shared" si="159"/>
        <v/>
      </c>
      <c r="BD865" s="121" t="str">
        <f>IF('Cable Info'!T569="","",CONCATENATE('Cable Info'!T569," - ",'Cable Info'!U569))</f>
        <v/>
      </c>
      <c r="BG865" s="121" t="str">
        <f t="shared" si="160"/>
        <v/>
      </c>
      <c r="BI865" s="121" t="str">
        <f>IF('Cable Info'!V569="","",CONCATENATE('Cable Info'!V569," - ",'Cable Info'!W569))</f>
        <v/>
      </c>
      <c r="BL865" s="121" t="str">
        <f t="shared" si="161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56"/>
        <v>#N/A</v>
      </c>
      <c r="AO866" s="121" t="e">
        <f>IF('Cable Info'!N570="","",CONCATENATE('Cable Info'!N570," - ",'Cable Info'!O570))</f>
        <v>#N/A</v>
      </c>
      <c r="AR866" s="121" t="e">
        <f t="shared" si="157"/>
        <v>#N/A</v>
      </c>
      <c r="AT866" s="121" t="e">
        <f>IF('Cable Info'!P570="","",CONCATENATE('Cable Info'!P570," - ",'Cable Info'!Q570))</f>
        <v>#N/A</v>
      </c>
      <c r="AW866" s="121" t="e">
        <f t="shared" si="158"/>
        <v>#N/A</v>
      </c>
      <c r="AY866" s="121" t="str">
        <f>IF('Cable Info'!R570="","",CONCATENATE('Cable Info'!R570," - ",'Cable Info'!S570))</f>
        <v/>
      </c>
      <c r="BB866" s="121" t="str">
        <f t="shared" si="159"/>
        <v/>
      </c>
      <c r="BD866" s="121" t="str">
        <f>IF('Cable Info'!T570="","",CONCATENATE('Cable Info'!T570," - ",'Cable Info'!U570))</f>
        <v/>
      </c>
      <c r="BG866" s="121" t="str">
        <f t="shared" si="160"/>
        <v/>
      </c>
      <c r="BI866" s="121" t="str">
        <f>IF('Cable Info'!V570="","",CONCATENATE('Cable Info'!V570," - ",'Cable Info'!W570))</f>
        <v/>
      </c>
      <c r="BL866" s="121" t="str">
        <f t="shared" si="161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56"/>
        <v>#N/A</v>
      </c>
      <c r="AO867" s="121" t="e">
        <f>IF('Cable Info'!N571="","",CONCATENATE('Cable Info'!N571," - ",'Cable Info'!O571))</f>
        <v>#N/A</v>
      </c>
      <c r="AR867" s="121" t="e">
        <f t="shared" si="157"/>
        <v>#N/A</v>
      </c>
      <c r="AT867" s="121" t="e">
        <f>IF('Cable Info'!P571="","",CONCATENATE('Cable Info'!P571," - ",'Cable Info'!Q571))</f>
        <v>#N/A</v>
      </c>
      <c r="AW867" s="121" t="e">
        <f t="shared" si="158"/>
        <v>#N/A</v>
      </c>
      <c r="AY867" s="121" t="str">
        <f>IF('Cable Info'!R571="","",CONCATENATE('Cable Info'!R571," - ",'Cable Info'!S571))</f>
        <v/>
      </c>
      <c r="BB867" s="121" t="str">
        <f t="shared" si="159"/>
        <v/>
      </c>
      <c r="BD867" s="121" t="str">
        <f>IF('Cable Info'!T571="","",CONCATENATE('Cable Info'!T571," - ",'Cable Info'!U571))</f>
        <v/>
      </c>
      <c r="BG867" s="121" t="str">
        <f t="shared" si="160"/>
        <v/>
      </c>
      <c r="BI867" s="121" t="str">
        <f>IF('Cable Info'!V571="","",CONCATENATE('Cable Info'!V571," - ",'Cable Info'!W571))</f>
        <v/>
      </c>
      <c r="BL867" s="121" t="str">
        <f t="shared" si="161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56"/>
        <v>#N/A</v>
      </c>
      <c r="AO868" s="121" t="e">
        <f>IF('Cable Info'!N572="","",CONCATENATE('Cable Info'!N572," - ",'Cable Info'!O572))</f>
        <v>#N/A</v>
      </c>
      <c r="AR868" s="121" t="e">
        <f t="shared" si="157"/>
        <v>#N/A</v>
      </c>
      <c r="AT868" s="121" t="e">
        <f>IF('Cable Info'!P572="","",CONCATENATE('Cable Info'!P572," - ",'Cable Info'!Q572))</f>
        <v>#N/A</v>
      </c>
      <c r="AW868" s="121" t="e">
        <f t="shared" si="158"/>
        <v>#N/A</v>
      </c>
      <c r="AY868" s="121" t="str">
        <f>IF('Cable Info'!R572="","",CONCATENATE('Cable Info'!R572," - ",'Cable Info'!S572))</f>
        <v/>
      </c>
      <c r="BB868" s="121" t="str">
        <f t="shared" si="159"/>
        <v/>
      </c>
      <c r="BD868" s="121" t="str">
        <f>IF('Cable Info'!T572="","",CONCATENATE('Cable Info'!T572," - ",'Cable Info'!U572))</f>
        <v/>
      </c>
      <c r="BG868" s="121" t="str">
        <f t="shared" si="160"/>
        <v/>
      </c>
      <c r="BI868" s="121" t="str">
        <f>IF('Cable Info'!V572="","",CONCATENATE('Cable Info'!V572," - ",'Cable Info'!W572))</f>
        <v/>
      </c>
      <c r="BL868" s="121" t="str">
        <f t="shared" si="161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56"/>
        <v>#N/A</v>
      </c>
      <c r="AO869" s="121" t="e">
        <f>IF('Cable Info'!N573="","",CONCATENATE('Cable Info'!N573," - ",'Cable Info'!O573))</f>
        <v>#N/A</v>
      </c>
      <c r="AR869" s="121" t="e">
        <f t="shared" si="157"/>
        <v>#N/A</v>
      </c>
      <c r="AT869" s="121" t="e">
        <f>IF('Cable Info'!P573="","",CONCATENATE('Cable Info'!P573," - ",'Cable Info'!Q573))</f>
        <v>#N/A</v>
      </c>
      <c r="AW869" s="121" t="e">
        <f t="shared" si="158"/>
        <v>#N/A</v>
      </c>
      <c r="AY869" s="121" t="str">
        <f>IF('Cable Info'!R573="","",CONCATENATE('Cable Info'!R573," - ",'Cable Info'!S573))</f>
        <v/>
      </c>
      <c r="BB869" s="121" t="str">
        <f t="shared" si="159"/>
        <v/>
      </c>
      <c r="BD869" s="121" t="str">
        <f>IF('Cable Info'!T573="","",CONCATENATE('Cable Info'!T573," - ",'Cable Info'!U573))</f>
        <v/>
      </c>
      <c r="BG869" s="121" t="str">
        <f t="shared" si="160"/>
        <v/>
      </c>
      <c r="BI869" s="121" t="str">
        <f>IF('Cable Info'!V573="","",CONCATENATE('Cable Info'!V573," - ",'Cable Info'!W573))</f>
        <v/>
      </c>
      <c r="BL869" s="121" t="str">
        <f t="shared" si="161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56"/>
        <v>#N/A</v>
      </c>
      <c r="AO870" s="121" t="e">
        <f>IF('Cable Info'!N574="","",CONCATENATE('Cable Info'!N574," - ",'Cable Info'!O574))</f>
        <v>#N/A</v>
      </c>
      <c r="AR870" s="121" t="e">
        <f t="shared" si="157"/>
        <v>#N/A</v>
      </c>
      <c r="AT870" s="121" t="e">
        <f>IF('Cable Info'!P574="","",CONCATENATE('Cable Info'!P574," - ",'Cable Info'!Q574))</f>
        <v>#N/A</v>
      </c>
      <c r="AW870" s="121" t="e">
        <f t="shared" si="158"/>
        <v>#N/A</v>
      </c>
      <c r="AY870" s="121" t="str">
        <f>IF('Cable Info'!R574="","",CONCATENATE('Cable Info'!R574," - ",'Cable Info'!S574))</f>
        <v/>
      </c>
      <c r="BB870" s="121" t="str">
        <f t="shared" si="159"/>
        <v/>
      </c>
      <c r="BD870" s="121" t="str">
        <f>IF('Cable Info'!T574="","",CONCATENATE('Cable Info'!T574," - ",'Cable Info'!U574))</f>
        <v/>
      </c>
      <c r="BG870" s="121" t="str">
        <f t="shared" si="160"/>
        <v/>
      </c>
      <c r="BI870" s="121" t="str">
        <f>IF('Cable Info'!V574="","",CONCATENATE('Cable Info'!V574," - ",'Cable Info'!W574))</f>
        <v/>
      </c>
      <c r="BL870" s="121" t="str">
        <f t="shared" si="161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56"/>
        <v>#N/A</v>
      </c>
      <c r="AO871" s="121" t="e">
        <f>IF('Cable Info'!N575="","",CONCATENATE('Cable Info'!N575," - ",'Cable Info'!O575))</f>
        <v>#N/A</v>
      </c>
      <c r="AR871" s="121" t="e">
        <f t="shared" si="157"/>
        <v>#N/A</v>
      </c>
      <c r="AT871" s="121" t="e">
        <f>IF('Cable Info'!P575="","",CONCATENATE('Cable Info'!P575," - ",'Cable Info'!Q575))</f>
        <v>#N/A</v>
      </c>
      <c r="AW871" s="121" t="e">
        <f t="shared" si="158"/>
        <v>#N/A</v>
      </c>
      <c r="AY871" s="121" t="str">
        <f>IF('Cable Info'!R575="","",CONCATENATE('Cable Info'!R575," - ",'Cable Info'!S575))</f>
        <v/>
      </c>
      <c r="BB871" s="121" t="str">
        <f t="shared" si="159"/>
        <v/>
      </c>
      <c r="BD871" s="121" t="str">
        <f>IF('Cable Info'!T575="","",CONCATENATE('Cable Info'!T575," - ",'Cable Info'!U575))</f>
        <v/>
      </c>
      <c r="BG871" s="121" t="str">
        <f t="shared" si="160"/>
        <v/>
      </c>
      <c r="BI871" s="121" t="str">
        <f>IF('Cable Info'!V575="","",CONCATENATE('Cable Info'!V575," - ",'Cable Info'!W575))</f>
        <v/>
      </c>
      <c r="BL871" s="121" t="str">
        <f t="shared" si="161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56"/>
        <v>#N/A</v>
      </c>
      <c r="AO872" s="121" t="e">
        <f>IF('Cable Info'!N576="","",CONCATENATE('Cable Info'!N576," - ",'Cable Info'!O576))</f>
        <v>#N/A</v>
      </c>
      <c r="AR872" s="121" t="e">
        <f t="shared" si="157"/>
        <v>#N/A</v>
      </c>
      <c r="AT872" s="121" t="e">
        <f>IF('Cable Info'!P576="","",CONCATENATE('Cable Info'!P576," - ",'Cable Info'!Q576))</f>
        <v>#N/A</v>
      </c>
      <c r="AW872" s="121" t="e">
        <f t="shared" si="158"/>
        <v>#N/A</v>
      </c>
      <c r="AY872" s="121" t="str">
        <f>IF('Cable Info'!R576="","",CONCATENATE('Cable Info'!R576," - ",'Cable Info'!S576))</f>
        <v/>
      </c>
      <c r="BB872" s="121" t="str">
        <f t="shared" si="159"/>
        <v/>
      </c>
      <c r="BD872" s="121" t="str">
        <f>IF('Cable Info'!T576="","",CONCATENATE('Cable Info'!T576," - ",'Cable Info'!U576))</f>
        <v/>
      </c>
      <c r="BG872" s="121" t="str">
        <f t="shared" si="160"/>
        <v/>
      </c>
      <c r="BI872" s="121" t="str">
        <f>IF('Cable Info'!V576="","",CONCATENATE('Cable Info'!V576," - ",'Cable Info'!W576))</f>
        <v/>
      </c>
      <c r="BL872" s="121" t="str">
        <f t="shared" si="161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56"/>
        <v>#N/A</v>
      </c>
      <c r="AO873" s="121" t="e">
        <f>IF('Cable Info'!N577="","",CONCATENATE('Cable Info'!N577," - ",'Cable Info'!O577))</f>
        <v>#N/A</v>
      </c>
      <c r="AR873" s="121" t="e">
        <f t="shared" si="157"/>
        <v>#N/A</v>
      </c>
      <c r="AT873" s="121" t="e">
        <f>IF('Cable Info'!P577="","",CONCATENATE('Cable Info'!P577," - ",'Cable Info'!Q577))</f>
        <v>#N/A</v>
      </c>
      <c r="AW873" s="121" t="e">
        <f t="shared" si="158"/>
        <v>#N/A</v>
      </c>
      <c r="AY873" s="121" t="str">
        <f>IF('Cable Info'!R577="","",CONCATENATE('Cable Info'!R577," - ",'Cable Info'!S577))</f>
        <v/>
      </c>
      <c r="BB873" s="121" t="str">
        <f t="shared" si="159"/>
        <v/>
      </c>
      <c r="BD873" s="121" t="str">
        <f>IF('Cable Info'!T577="","",CONCATENATE('Cable Info'!T577," - ",'Cable Info'!U577))</f>
        <v/>
      </c>
      <c r="BG873" s="121" t="str">
        <f t="shared" si="160"/>
        <v/>
      </c>
      <c r="BI873" s="121" t="str">
        <f>IF('Cable Info'!V577="","",CONCATENATE('Cable Info'!V577," - ",'Cable Info'!W577))</f>
        <v/>
      </c>
      <c r="BL873" s="121" t="str">
        <f t="shared" si="161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56"/>
        <v>#N/A</v>
      </c>
      <c r="AO874" s="121" t="e">
        <f>IF('Cable Info'!N578="","",CONCATENATE('Cable Info'!N578," - ",'Cable Info'!O578))</f>
        <v>#N/A</v>
      </c>
      <c r="AR874" s="121" t="e">
        <f t="shared" si="157"/>
        <v>#N/A</v>
      </c>
      <c r="AT874" s="121" t="e">
        <f>IF('Cable Info'!P578="","",CONCATENATE('Cable Info'!P578," - ",'Cable Info'!Q578))</f>
        <v>#N/A</v>
      </c>
      <c r="AW874" s="121" t="e">
        <f t="shared" si="158"/>
        <v>#N/A</v>
      </c>
      <c r="AY874" s="121" t="str">
        <f>IF('Cable Info'!R578="","",CONCATENATE('Cable Info'!R578," - ",'Cable Info'!S578))</f>
        <v/>
      </c>
      <c r="BB874" s="121" t="str">
        <f t="shared" si="159"/>
        <v/>
      </c>
      <c r="BD874" s="121" t="str">
        <f>IF('Cable Info'!T578="","",CONCATENATE('Cable Info'!T578," - ",'Cable Info'!U578))</f>
        <v/>
      </c>
      <c r="BG874" s="121" t="str">
        <f t="shared" si="160"/>
        <v/>
      </c>
      <c r="BI874" s="121" t="str">
        <f>IF('Cable Info'!V578="","",CONCATENATE('Cable Info'!V578," - ",'Cable Info'!W578))</f>
        <v/>
      </c>
      <c r="BL874" s="121" t="str">
        <f t="shared" si="161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2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3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4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65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66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67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2"/>
        <v>#N/A</v>
      </c>
      <c r="AO876" s="121" t="e">
        <f>IF('Cable Info'!N580="","",CONCATENATE('Cable Info'!N580," - ",'Cable Info'!O580))</f>
        <v>#N/A</v>
      </c>
      <c r="AR876" s="121" t="e">
        <f t="shared" si="163"/>
        <v>#N/A</v>
      </c>
      <c r="AT876" s="121" t="e">
        <f>IF('Cable Info'!P580="","",CONCATENATE('Cable Info'!P580," - ",'Cable Info'!Q580))</f>
        <v>#N/A</v>
      </c>
      <c r="AW876" s="121" t="e">
        <f t="shared" si="164"/>
        <v>#N/A</v>
      </c>
      <c r="AY876" s="121" t="str">
        <f>IF('Cable Info'!R580="","",CONCATENATE('Cable Info'!R580," - ",'Cable Info'!S580))</f>
        <v/>
      </c>
      <c r="BB876" s="121" t="str">
        <f t="shared" si="165"/>
        <v/>
      </c>
      <c r="BD876" s="121" t="str">
        <f>IF('Cable Info'!T580="","",CONCATENATE('Cable Info'!T580," - ",'Cable Info'!U580))</f>
        <v/>
      </c>
      <c r="BG876" s="121" t="str">
        <f t="shared" si="166"/>
        <v/>
      </c>
      <c r="BI876" s="121" t="str">
        <f>IF('Cable Info'!V580="","",CONCATENATE('Cable Info'!V580," - ",'Cable Info'!W580))</f>
        <v/>
      </c>
      <c r="BL876" s="121" t="str">
        <f t="shared" si="167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2"/>
        <v>#N/A</v>
      </c>
      <c r="AO877" s="121" t="e">
        <f>IF('Cable Info'!N581="","",CONCATENATE('Cable Info'!N581," - ",'Cable Info'!O581))</f>
        <v>#N/A</v>
      </c>
      <c r="AR877" s="121" t="e">
        <f t="shared" si="163"/>
        <v>#N/A</v>
      </c>
      <c r="AT877" s="121" t="e">
        <f>IF('Cable Info'!P581="","",CONCATENATE('Cable Info'!P581," - ",'Cable Info'!Q581))</f>
        <v>#N/A</v>
      </c>
      <c r="AW877" s="121" t="e">
        <f t="shared" si="164"/>
        <v>#N/A</v>
      </c>
      <c r="AY877" s="121" t="str">
        <f>IF('Cable Info'!R581="","",CONCATENATE('Cable Info'!R581," - ",'Cable Info'!S581))</f>
        <v/>
      </c>
      <c r="BB877" s="121" t="str">
        <f t="shared" si="165"/>
        <v/>
      </c>
      <c r="BD877" s="121" t="str">
        <f>IF('Cable Info'!T581="","",CONCATENATE('Cable Info'!T581," - ",'Cable Info'!U581))</f>
        <v/>
      </c>
      <c r="BG877" s="121" t="str">
        <f t="shared" si="166"/>
        <v/>
      </c>
      <c r="BI877" s="121" t="str">
        <f>IF('Cable Info'!V581="","",CONCATENATE('Cable Info'!V581," - ",'Cable Info'!W581))</f>
        <v/>
      </c>
      <c r="BL877" s="121" t="str">
        <f t="shared" si="167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2"/>
        <v>#N/A</v>
      </c>
      <c r="AO878" s="121" t="e">
        <f>IF('Cable Info'!N582="","",CONCATENATE('Cable Info'!N582," - ",'Cable Info'!O582))</f>
        <v>#N/A</v>
      </c>
      <c r="AR878" s="121" t="e">
        <f t="shared" si="163"/>
        <v>#N/A</v>
      </c>
      <c r="AT878" s="121" t="e">
        <f>IF('Cable Info'!P582="","",CONCATENATE('Cable Info'!P582," - ",'Cable Info'!Q582))</f>
        <v>#N/A</v>
      </c>
      <c r="AW878" s="121" t="e">
        <f t="shared" si="164"/>
        <v>#N/A</v>
      </c>
      <c r="AY878" s="121" t="str">
        <f>IF('Cable Info'!R582="","",CONCATENATE('Cable Info'!R582," - ",'Cable Info'!S582))</f>
        <v/>
      </c>
      <c r="BB878" s="121" t="str">
        <f t="shared" si="165"/>
        <v/>
      </c>
      <c r="BD878" s="121" t="str">
        <f>IF('Cable Info'!T582="","",CONCATENATE('Cable Info'!T582," - ",'Cable Info'!U582))</f>
        <v/>
      </c>
      <c r="BG878" s="121" t="str">
        <f t="shared" si="166"/>
        <v/>
      </c>
      <c r="BI878" s="121" t="str">
        <f>IF('Cable Info'!V582="","",CONCATENATE('Cable Info'!V582," - ",'Cable Info'!W582))</f>
        <v/>
      </c>
      <c r="BL878" s="121" t="str">
        <f t="shared" si="167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2"/>
        <v>#N/A</v>
      </c>
      <c r="AO879" s="121" t="e">
        <f>IF('Cable Info'!N583="","",CONCATENATE('Cable Info'!N583," - ",'Cable Info'!O583))</f>
        <v>#N/A</v>
      </c>
      <c r="AR879" s="121" t="e">
        <f t="shared" si="163"/>
        <v>#N/A</v>
      </c>
      <c r="AT879" s="121" t="e">
        <f>IF('Cable Info'!P583="","",CONCATENATE('Cable Info'!P583," - ",'Cable Info'!Q583))</f>
        <v>#N/A</v>
      </c>
      <c r="AW879" s="121" t="e">
        <f t="shared" si="164"/>
        <v>#N/A</v>
      </c>
      <c r="AY879" s="121" t="str">
        <f>IF('Cable Info'!R583="","",CONCATENATE('Cable Info'!R583," - ",'Cable Info'!S583))</f>
        <v/>
      </c>
      <c r="BB879" s="121" t="str">
        <f t="shared" si="165"/>
        <v/>
      </c>
      <c r="BD879" s="121" t="str">
        <f>IF('Cable Info'!T583="","",CONCATENATE('Cable Info'!T583," - ",'Cable Info'!U583))</f>
        <v/>
      </c>
      <c r="BG879" s="121" t="str">
        <f t="shared" si="166"/>
        <v/>
      </c>
      <c r="BI879" s="121" t="str">
        <f>IF('Cable Info'!V583="","",CONCATENATE('Cable Info'!V583," - ",'Cable Info'!W583))</f>
        <v/>
      </c>
      <c r="BL879" s="121" t="str">
        <f t="shared" si="167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2"/>
        <v>#N/A</v>
      </c>
      <c r="AO880" s="121" t="e">
        <f>IF('Cable Info'!N584="","",CONCATENATE('Cable Info'!N584," - ",'Cable Info'!O584))</f>
        <v>#N/A</v>
      </c>
      <c r="AR880" s="121" t="e">
        <f t="shared" si="163"/>
        <v>#N/A</v>
      </c>
      <c r="AT880" s="121" t="e">
        <f>IF('Cable Info'!P584="","",CONCATENATE('Cable Info'!P584," - ",'Cable Info'!Q584))</f>
        <v>#N/A</v>
      </c>
      <c r="AW880" s="121" t="e">
        <f t="shared" si="164"/>
        <v>#N/A</v>
      </c>
      <c r="AY880" s="121" t="str">
        <f>IF('Cable Info'!R584="","",CONCATENATE('Cable Info'!R584," - ",'Cable Info'!S584))</f>
        <v/>
      </c>
      <c r="BB880" s="121" t="str">
        <f t="shared" si="165"/>
        <v/>
      </c>
      <c r="BD880" s="121" t="str">
        <f>IF('Cable Info'!T584="","",CONCATENATE('Cable Info'!T584," - ",'Cable Info'!U584))</f>
        <v/>
      </c>
      <c r="BG880" s="121" t="str">
        <f t="shared" si="166"/>
        <v/>
      </c>
      <c r="BI880" s="121" t="str">
        <f>IF('Cable Info'!V584="","",CONCATENATE('Cable Info'!V584," - ",'Cable Info'!W584))</f>
        <v/>
      </c>
      <c r="BL880" s="121" t="str">
        <f t="shared" si="167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2"/>
        <v>#N/A</v>
      </c>
      <c r="AO881" s="121" t="e">
        <f>IF('Cable Info'!N585="","",CONCATENATE('Cable Info'!N585," - ",'Cable Info'!O585))</f>
        <v>#N/A</v>
      </c>
      <c r="AR881" s="121" t="e">
        <f t="shared" si="163"/>
        <v>#N/A</v>
      </c>
      <c r="AT881" s="121" t="e">
        <f>IF('Cable Info'!P585="","",CONCATENATE('Cable Info'!P585," - ",'Cable Info'!Q585))</f>
        <v>#N/A</v>
      </c>
      <c r="AW881" s="121" t="e">
        <f t="shared" si="164"/>
        <v>#N/A</v>
      </c>
      <c r="AY881" s="121" t="str">
        <f>IF('Cable Info'!R585="","",CONCATENATE('Cable Info'!R585," - ",'Cable Info'!S585))</f>
        <v/>
      </c>
      <c r="BB881" s="121" t="str">
        <f t="shared" si="165"/>
        <v/>
      </c>
      <c r="BD881" s="121" t="str">
        <f>IF('Cable Info'!T585="","",CONCATENATE('Cable Info'!T585," - ",'Cable Info'!U585))</f>
        <v/>
      </c>
      <c r="BG881" s="121" t="str">
        <f t="shared" si="166"/>
        <v/>
      </c>
      <c r="BI881" s="121" t="str">
        <f>IF('Cable Info'!V585="","",CONCATENATE('Cable Info'!V585," - ",'Cable Info'!W585))</f>
        <v/>
      </c>
      <c r="BL881" s="121" t="str">
        <f t="shared" si="167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2"/>
        <v>#N/A</v>
      </c>
      <c r="AO882" s="121" t="e">
        <f>IF('Cable Info'!N586="","",CONCATENATE('Cable Info'!N586," - ",'Cable Info'!O586))</f>
        <v>#N/A</v>
      </c>
      <c r="AR882" s="121" t="e">
        <f t="shared" si="163"/>
        <v>#N/A</v>
      </c>
      <c r="AT882" s="121" t="e">
        <f>IF('Cable Info'!P586="","",CONCATENATE('Cable Info'!P586," - ",'Cable Info'!Q586))</f>
        <v>#N/A</v>
      </c>
      <c r="AW882" s="121" t="e">
        <f t="shared" si="164"/>
        <v>#N/A</v>
      </c>
      <c r="AY882" s="121" t="str">
        <f>IF('Cable Info'!R586="","",CONCATENATE('Cable Info'!R586," - ",'Cable Info'!S586))</f>
        <v/>
      </c>
      <c r="BB882" s="121" t="str">
        <f t="shared" si="165"/>
        <v/>
      </c>
      <c r="BD882" s="121" t="str">
        <f>IF('Cable Info'!T586="","",CONCATENATE('Cable Info'!T586," - ",'Cable Info'!U586))</f>
        <v/>
      </c>
      <c r="BG882" s="121" t="str">
        <f t="shared" si="166"/>
        <v/>
      </c>
      <c r="BI882" s="121" t="str">
        <f>IF('Cable Info'!V586="","",CONCATENATE('Cable Info'!V586," - ",'Cable Info'!W586))</f>
        <v/>
      </c>
      <c r="BL882" s="121" t="str">
        <f t="shared" si="167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2"/>
        <v>#N/A</v>
      </c>
      <c r="AO883" s="121" t="e">
        <f>IF('Cable Info'!N587="","",CONCATENATE('Cable Info'!N587," - ",'Cable Info'!O587))</f>
        <v>#N/A</v>
      </c>
      <c r="AR883" s="121" t="e">
        <f t="shared" si="163"/>
        <v>#N/A</v>
      </c>
      <c r="AT883" s="121" t="e">
        <f>IF('Cable Info'!P587="","",CONCATENATE('Cable Info'!P587," - ",'Cable Info'!Q587))</f>
        <v>#N/A</v>
      </c>
      <c r="AW883" s="121" t="e">
        <f t="shared" si="164"/>
        <v>#N/A</v>
      </c>
      <c r="AY883" s="121" t="str">
        <f>IF('Cable Info'!R587="","",CONCATENATE('Cable Info'!R587," - ",'Cable Info'!S587))</f>
        <v/>
      </c>
      <c r="BB883" s="121" t="str">
        <f t="shared" si="165"/>
        <v/>
      </c>
      <c r="BD883" s="121" t="str">
        <f>IF('Cable Info'!T587="","",CONCATENATE('Cable Info'!T587," - ",'Cable Info'!U587))</f>
        <v/>
      </c>
      <c r="BG883" s="121" t="str">
        <f t="shared" si="166"/>
        <v/>
      </c>
      <c r="BI883" s="121" t="str">
        <f>IF('Cable Info'!V587="","",CONCATENATE('Cable Info'!V587," - ",'Cable Info'!W587))</f>
        <v/>
      </c>
      <c r="BL883" s="121" t="str">
        <f t="shared" si="167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2"/>
        <v>#N/A</v>
      </c>
      <c r="AO884" s="121" t="e">
        <f>IF('Cable Info'!N588="","",CONCATENATE('Cable Info'!N588," - ",'Cable Info'!O588))</f>
        <v>#N/A</v>
      </c>
      <c r="AR884" s="121" t="e">
        <f t="shared" si="163"/>
        <v>#N/A</v>
      </c>
      <c r="AT884" s="121" t="e">
        <f>IF('Cable Info'!P588="","",CONCATENATE('Cable Info'!P588," - ",'Cable Info'!Q588))</f>
        <v>#N/A</v>
      </c>
      <c r="AW884" s="121" t="e">
        <f t="shared" si="164"/>
        <v>#N/A</v>
      </c>
      <c r="AY884" s="121" t="str">
        <f>IF('Cable Info'!R588="","",CONCATENATE('Cable Info'!R588," - ",'Cable Info'!S588))</f>
        <v/>
      </c>
      <c r="BB884" s="121" t="str">
        <f t="shared" si="165"/>
        <v/>
      </c>
      <c r="BD884" s="121" t="str">
        <f>IF('Cable Info'!T588="","",CONCATENATE('Cable Info'!T588," - ",'Cable Info'!U588))</f>
        <v/>
      </c>
      <c r="BG884" s="121" t="str">
        <f t="shared" si="166"/>
        <v/>
      </c>
      <c r="BI884" s="121" t="str">
        <f>IF('Cable Info'!V588="","",CONCATENATE('Cable Info'!V588," - ",'Cable Info'!W588))</f>
        <v/>
      </c>
      <c r="BL884" s="121" t="str">
        <f t="shared" si="167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2"/>
        <v>#N/A</v>
      </c>
      <c r="AO885" s="121" t="e">
        <f>IF('Cable Info'!N589="","",CONCATENATE('Cable Info'!N589," - ",'Cable Info'!O589))</f>
        <v>#N/A</v>
      </c>
      <c r="AR885" s="121" t="e">
        <f t="shared" si="163"/>
        <v>#N/A</v>
      </c>
      <c r="AT885" s="121" t="e">
        <f>IF('Cable Info'!P589="","",CONCATENATE('Cable Info'!P589," - ",'Cable Info'!Q589))</f>
        <v>#N/A</v>
      </c>
      <c r="AW885" s="121" t="e">
        <f t="shared" si="164"/>
        <v>#N/A</v>
      </c>
      <c r="AY885" s="121" t="str">
        <f>IF('Cable Info'!R589="","",CONCATENATE('Cable Info'!R589," - ",'Cable Info'!S589))</f>
        <v/>
      </c>
      <c r="BB885" s="121" t="str">
        <f t="shared" si="165"/>
        <v/>
      </c>
      <c r="BD885" s="121" t="str">
        <f>IF('Cable Info'!T589="","",CONCATENATE('Cable Info'!T589," - ",'Cable Info'!U589))</f>
        <v/>
      </c>
      <c r="BG885" s="121" t="str">
        <f t="shared" si="166"/>
        <v/>
      </c>
      <c r="BI885" s="121" t="str">
        <f>IF('Cable Info'!V589="","",CONCATENATE('Cable Info'!V589," - ",'Cable Info'!W589))</f>
        <v/>
      </c>
      <c r="BL885" s="121" t="str">
        <f t="shared" si="167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2"/>
        <v>#N/A</v>
      </c>
      <c r="AO886" s="121" t="e">
        <f>IF('Cable Info'!N590="","",CONCATENATE('Cable Info'!N590," - ",'Cable Info'!O590))</f>
        <v>#N/A</v>
      </c>
      <c r="AR886" s="121" t="e">
        <f t="shared" si="163"/>
        <v>#N/A</v>
      </c>
      <c r="AT886" s="121" t="e">
        <f>IF('Cable Info'!P590="","",CONCATENATE('Cable Info'!P590," - ",'Cable Info'!Q590))</f>
        <v>#N/A</v>
      </c>
      <c r="AW886" s="121" t="e">
        <f t="shared" si="164"/>
        <v>#N/A</v>
      </c>
      <c r="AY886" s="121" t="str">
        <f>IF('Cable Info'!R590="","",CONCATENATE('Cable Info'!R590," - ",'Cable Info'!S590))</f>
        <v/>
      </c>
      <c r="BB886" s="121" t="str">
        <f t="shared" si="165"/>
        <v/>
      </c>
      <c r="BD886" s="121" t="str">
        <f>IF('Cable Info'!T590="","",CONCATENATE('Cable Info'!T590," - ",'Cable Info'!U590))</f>
        <v/>
      </c>
      <c r="BG886" s="121" t="str">
        <f t="shared" si="166"/>
        <v/>
      </c>
      <c r="BI886" s="121" t="str">
        <f>IF('Cable Info'!V590="","",CONCATENATE('Cable Info'!V590," - ",'Cable Info'!W590))</f>
        <v/>
      </c>
      <c r="BL886" s="121" t="str">
        <f t="shared" si="167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2"/>
        <v>#N/A</v>
      </c>
      <c r="AO887" s="121" t="e">
        <f>IF('Cable Info'!N591="","",CONCATENATE('Cable Info'!N591," - ",'Cable Info'!O591))</f>
        <v>#N/A</v>
      </c>
      <c r="AR887" s="121" t="e">
        <f t="shared" si="163"/>
        <v>#N/A</v>
      </c>
      <c r="AT887" s="121" t="e">
        <f>IF('Cable Info'!P591="","",CONCATENATE('Cable Info'!P591," - ",'Cable Info'!Q591))</f>
        <v>#N/A</v>
      </c>
      <c r="AW887" s="121" t="e">
        <f t="shared" si="164"/>
        <v>#N/A</v>
      </c>
      <c r="AY887" s="121" t="str">
        <f>IF('Cable Info'!R591="","",CONCATENATE('Cable Info'!R591," - ",'Cable Info'!S591))</f>
        <v/>
      </c>
      <c r="BB887" s="121" t="str">
        <f t="shared" si="165"/>
        <v/>
      </c>
      <c r="BD887" s="121" t="str">
        <f>IF('Cable Info'!T591="","",CONCATENATE('Cable Info'!T591," - ",'Cable Info'!U591))</f>
        <v/>
      </c>
      <c r="BG887" s="121" t="str">
        <f t="shared" si="166"/>
        <v/>
      </c>
      <c r="BI887" s="121" t="str">
        <f>IF('Cable Info'!V591="","",CONCATENATE('Cable Info'!V591," - ",'Cable Info'!W591))</f>
        <v/>
      </c>
      <c r="BL887" s="121" t="str">
        <f t="shared" si="167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2"/>
        <v>#N/A</v>
      </c>
      <c r="AO888" s="121" t="e">
        <f>IF('Cable Info'!N592="","",CONCATENATE('Cable Info'!N592," - ",'Cable Info'!O592))</f>
        <v>#N/A</v>
      </c>
      <c r="AR888" s="121" t="e">
        <f t="shared" si="163"/>
        <v>#N/A</v>
      </c>
      <c r="AT888" s="121" t="e">
        <f>IF('Cable Info'!P592="","",CONCATENATE('Cable Info'!P592," - ",'Cable Info'!Q592))</f>
        <v>#N/A</v>
      </c>
      <c r="AW888" s="121" t="e">
        <f t="shared" si="164"/>
        <v>#N/A</v>
      </c>
      <c r="AY888" s="121" t="str">
        <f>IF('Cable Info'!R592="","",CONCATENATE('Cable Info'!R592," - ",'Cable Info'!S592))</f>
        <v/>
      </c>
      <c r="BB888" s="121" t="str">
        <f t="shared" si="165"/>
        <v/>
      </c>
      <c r="BD888" s="121" t="str">
        <f>IF('Cable Info'!T592="","",CONCATENATE('Cable Info'!T592," - ",'Cable Info'!U592))</f>
        <v/>
      </c>
      <c r="BG888" s="121" t="str">
        <f t="shared" si="166"/>
        <v/>
      </c>
      <c r="BI888" s="121" t="str">
        <f>IF('Cable Info'!V592="","",CONCATENATE('Cable Info'!V592," - ",'Cable Info'!W592))</f>
        <v/>
      </c>
      <c r="BL888" s="121" t="str">
        <f t="shared" si="167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2"/>
        <v>#N/A</v>
      </c>
      <c r="AO889" s="121" t="e">
        <f>IF('Cable Info'!N593="","",CONCATENATE('Cable Info'!N593," - ",'Cable Info'!O593))</f>
        <v>#N/A</v>
      </c>
      <c r="AR889" s="121" t="e">
        <f t="shared" si="163"/>
        <v>#N/A</v>
      </c>
      <c r="AT889" s="121" t="e">
        <f>IF('Cable Info'!P593="","",CONCATENATE('Cable Info'!P593," - ",'Cable Info'!Q593))</f>
        <v>#N/A</v>
      </c>
      <c r="AW889" s="121" t="e">
        <f t="shared" si="164"/>
        <v>#N/A</v>
      </c>
      <c r="AY889" s="121" t="str">
        <f>IF('Cable Info'!R593="","",CONCATENATE('Cable Info'!R593," - ",'Cable Info'!S593))</f>
        <v/>
      </c>
      <c r="BB889" s="121" t="str">
        <f t="shared" si="165"/>
        <v/>
      </c>
      <c r="BD889" s="121" t="str">
        <f>IF('Cable Info'!T593="","",CONCATENATE('Cable Info'!T593," - ",'Cable Info'!U593))</f>
        <v/>
      </c>
      <c r="BG889" s="121" t="str">
        <f t="shared" si="166"/>
        <v/>
      </c>
      <c r="BI889" s="121" t="str">
        <f>IF('Cable Info'!V593="","",CONCATENATE('Cable Info'!V593," - ",'Cable Info'!W593))</f>
        <v/>
      </c>
      <c r="BL889" s="121" t="str">
        <f t="shared" si="167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2"/>
        <v>#N/A</v>
      </c>
      <c r="AO890" s="121" t="e">
        <f>IF('Cable Info'!N594="","",CONCATENATE('Cable Info'!N594," - ",'Cable Info'!O594))</f>
        <v>#N/A</v>
      </c>
      <c r="AR890" s="121" t="e">
        <f t="shared" si="163"/>
        <v>#N/A</v>
      </c>
      <c r="AT890" s="121" t="e">
        <f>IF('Cable Info'!P594="","",CONCATENATE('Cable Info'!P594," - ",'Cable Info'!Q594))</f>
        <v>#N/A</v>
      </c>
      <c r="AW890" s="121" t="e">
        <f t="shared" si="164"/>
        <v>#N/A</v>
      </c>
      <c r="AY890" s="121" t="str">
        <f>IF('Cable Info'!R594="","",CONCATENATE('Cable Info'!R594," - ",'Cable Info'!S594))</f>
        <v/>
      </c>
      <c r="BB890" s="121" t="str">
        <f t="shared" si="165"/>
        <v/>
      </c>
      <c r="BD890" s="121" t="str">
        <f>IF('Cable Info'!T594="","",CONCATENATE('Cable Info'!T594," - ",'Cable Info'!U594))</f>
        <v/>
      </c>
      <c r="BG890" s="121" t="str">
        <f t="shared" si="166"/>
        <v/>
      </c>
      <c r="BI890" s="121" t="str">
        <f>IF('Cable Info'!V594="","",CONCATENATE('Cable Info'!V594," - ",'Cable Info'!W594))</f>
        <v/>
      </c>
      <c r="BL890" s="121" t="str">
        <f t="shared" si="167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2"/>
        <v>#N/A</v>
      </c>
      <c r="AO891" s="121" t="e">
        <f>IF('Cable Info'!N595="","",CONCATENATE('Cable Info'!N595," - ",'Cable Info'!O595))</f>
        <v>#N/A</v>
      </c>
      <c r="AR891" s="121" t="e">
        <f t="shared" si="163"/>
        <v>#N/A</v>
      </c>
      <c r="AT891" s="121" t="e">
        <f>IF('Cable Info'!P595="","",CONCATENATE('Cable Info'!P595," - ",'Cable Info'!Q595))</f>
        <v>#N/A</v>
      </c>
      <c r="AW891" s="121" t="e">
        <f t="shared" si="164"/>
        <v>#N/A</v>
      </c>
      <c r="AY891" s="121" t="str">
        <f>IF('Cable Info'!R595="","",CONCATENATE('Cable Info'!R595," - ",'Cable Info'!S595))</f>
        <v/>
      </c>
      <c r="BB891" s="121" t="str">
        <f t="shared" si="165"/>
        <v/>
      </c>
      <c r="BD891" s="121" t="str">
        <f>IF('Cable Info'!T595="","",CONCATENATE('Cable Info'!T595," - ",'Cable Info'!U595))</f>
        <v/>
      </c>
      <c r="BG891" s="121" t="str">
        <f t="shared" si="166"/>
        <v/>
      </c>
      <c r="BI891" s="121" t="str">
        <f>IF('Cable Info'!V595="","",CONCATENATE('Cable Info'!V595," - ",'Cable Info'!W595))</f>
        <v/>
      </c>
      <c r="BL891" s="121" t="str">
        <f t="shared" si="167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2"/>
        <v>#N/A</v>
      </c>
      <c r="AO892" s="121" t="e">
        <f>IF('Cable Info'!N596="","",CONCATENATE('Cable Info'!N596," - ",'Cable Info'!O596))</f>
        <v>#N/A</v>
      </c>
      <c r="AR892" s="121" t="e">
        <f t="shared" si="163"/>
        <v>#N/A</v>
      </c>
      <c r="AT892" s="121" t="e">
        <f>IF('Cable Info'!P596="","",CONCATENATE('Cable Info'!P596," - ",'Cable Info'!Q596))</f>
        <v>#N/A</v>
      </c>
      <c r="AW892" s="121" t="e">
        <f t="shared" si="164"/>
        <v>#N/A</v>
      </c>
      <c r="AY892" s="121" t="str">
        <f>IF('Cable Info'!R596="","",CONCATENATE('Cable Info'!R596," - ",'Cable Info'!S596))</f>
        <v/>
      </c>
      <c r="BB892" s="121" t="str">
        <f t="shared" si="165"/>
        <v/>
      </c>
      <c r="BD892" s="121" t="str">
        <f>IF('Cable Info'!T596="","",CONCATENATE('Cable Info'!T596," - ",'Cable Info'!U596))</f>
        <v/>
      </c>
      <c r="BG892" s="121" t="str">
        <f t="shared" si="166"/>
        <v/>
      </c>
      <c r="BI892" s="121" t="str">
        <f>IF('Cable Info'!V596="","",CONCATENATE('Cable Info'!V596," - ",'Cable Info'!W596))</f>
        <v/>
      </c>
      <c r="BL892" s="121" t="str">
        <f t="shared" si="167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2"/>
        <v>#N/A</v>
      </c>
      <c r="AO893" s="121" t="e">
        <f>IF('Cable Info'!N597="","",CONCATENATE('Cable Info'!N597," - ",'Cable Info'!O597))</f>
        <v>#N/A</v>
      </c>
      <c r="AR893" s="121" t="e">
        <f t="shared" si="163"/>
        <v>#N/A</v>
      </c>
      <c r="AT893" s="121" t="e">
        <f>IF('Cable Info'!P597="","",CONCATENATE('Cable Info'!P597," - ",'Cable Info'!Q597))</f>
        <v>#N/A</v>
      </c>
      <c r="AW893" s="121" t="e">
        <f t="shared" si="164"/>
        <v>#N/A</v>
      </c>
      <c r="AY893" s="121" t="str">
        <f>IF('Cable Info'!R597="","",CONCATENATE('Cable Info'!R597," - ",'Cable Info'!S597))</f>
        <v/>
      </c>
      <c r="BB893" s="121" t="str">
        <f t="shared" si="165"/>
        <v/>
      </c>
      <c r="BD893" s="121" t="str">
        <f>IF('Cable Info'!T597="","",CONCATENATE('Cable Info'!T597," - ",'Cable Info'!U597))</f>
        <v/>
      </c>
      <c r="BG893" s="121" t="str">
        <f t="shared" si="166"/>
        <v/>
      </c>
      <c r="BI893" s="121" t="str">
        <f>IF('Cable Info'!V597="","",CONCATENATE('Cable Info'!V597," - ",'Cable Info'!W597))</f>
        <v/>
      </c>
      <c r="BL893" s="121" t="str">
        <f t="shared" si="167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2"/>
        <v>#N/A</v>
      </c>
      <c r="AO894" s="121" t="e">
        <f>IF('Cable Info'!N598="","",CONCATENATE('Cable Info'!N598," - ",'Cable Info'!O598))</f>
        <v>#N/A</v>
      </c>
      <c r="AR894" s="121" t="e">
        <f t="shared" si="163"/>
        <v>#N/A</v>
      </c>
      <c r="AT894" s="121" t="e">
        <f>IF('Cable Info'!P598="","",CONCATENATE('Cable Info'!P598," - ",'Cable Info'!Q598))</f>
        <v>#N/A</v>
      </c>
      <c r="AW894" s="121" t="e">
        <f t="shared" si="164"/>
        <v>#N/A</v>
      </c>
      <c r="AY894" s="121" t="str">
        <f>IF('Cable Info'!R598="","",CONCATENATE('Cable Info'!R598," - ",'Cable Info'!S598))</f>
        <v/>
      </c>
      <c r="BB894" s="121" t="str">
        <f t="shared" si="165"/>
        <v/>
      </c>
      <c r="BD894" s="121" t="str">
        <f>IF('Cable Info'!T598="","",CONCATENATE('Cable Info'!T598," - ",'Cable Info'!U598))</f>
        <v/>
      </c>
      <c r="BG894" s="121" t="str">
        <f t="shared" si="166"/>
        <v/>
      </c>
      <c r="BI894" s="121" t="str">
        <f>IF('Cable Info'!V598="","",CONCATENATE('Cable Info'!V598," - ",'Cable Info'!W598))</f>
        <v/>
      </c>
      <c r="BL894" s="121" t="str">
        <f t="shared" si="167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2"/>
        <v>#N/A</v>
      </c>
      <c r="AO895" s="121" t="e">
        <f>IF('Cable Info'!N599="","",CONCATENATE('Cable Info'!N599," - ",'Cable Info'!O599))</f>
        <v>#N/A</v>
      </c>
      <c r="AR895" s="121" t="e">
        <f t="shared" si="163"/>
        <v>#N/A</v>
      </c>
      <c r="AT895" s="121" t="e">
        <f>IF('Cable Info'!P599="","",CONCATENATE('Cable Info'!P599," - ",'Cable Info'!Q599))</f>
        <v>#N/A</v>
      </c>
      <c r="AW895" s="121" t="e">
        <f t="shared" si="164"/>
        <v>#N/A</v>
      </c>
      <c r="AY895" s="121" t="str">
        <f>IF('Cable Info'!R599="","",CONCATENATE('Cable Info'!R599," - ",'Cable Info'!S599))</f>
        <v/>
      </c>
      <c r="BB895" s="121" t="str">
        <f t="shared" si="165"/>
        <v/>
      </c>
      <c r="BD895" s="121" t="str">
        <f>IF('Cable Info'!T599="","",CONCATENATE('Cable Info'!T599," - ",'Cable Info'!U599))</f>
        <v/>
      </c>
      <c r="BG895" s="121" t="str">
        <f t="shared" si="166"/>
        <v/>
      </c>
      <c r="BI895" s="121" t="str">
        <f>IF('Cable Info'!V599="","",CONCATENATE('Cable Info'!V599," - ",'Cable Info'!W599))</f>
        <v/>
      </c>
      <c r="BL895" s="121" t="str">
        <f t="shared" si="167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2"/>
        <v>#N/A</v>
      </c>
      <c r="AO896" s="121" t="e">
        <f>IF('Cable Info'!N600="","",CONCATENATE('Cable Info'!N600," - ",'Cable Info'!O600))</f>
        <v>#N/A</v>
      </c>
      <c r="AR896" s="121" t="e">
        <f t="shared" si="163"/>
        <v>#N/A</v>
      </c>
      <c r="AT896" s="121" t="e">
        <f>IF('Cable Info'!P600="","",CONCATENATE('Cable Info'!P600," - ",'Cable Info'!Q600))</f>
        <v>#N/A</v>
      </c>
      <c r="AW896" s="121" t="e">
        <f t="shared" si="164"/>
        <v>#N/A</v>
      </c>
      <c r="AY896" s="121" t="str">
        <f>IF('Cable Info'!R600="","",CONCATENATE('Cable Info'!R600," - ",'Cable Info'!S600))</f>
        <v/>
      </c>
      <c r="BB896" s="121" t="str">
        <f t="shared" si="165"/>
        <v/>
      </c>
      <c r="BD896" s="121" t="str">
        <f>IF('Cable Info'!T600="","",CONCATENATE('Cable Info'!T600," - ",'Cable Info'!U600))</f>
        <v/>
      </c>
      <c r="BG896" s="121" t="str">
        <f t="shared" si="166"/>
        <v/>
      </c>
      <c r="BI896" s="121" t="str">
        <f>IF('Cable Info'!V600="","",CONCATENATE('Cable Info'!V600," - ",'Cable Info'!W600))</f>
        <v/>
      </c>
      <c r="BL896" s="121" t="str">
        <f t="shared" si="167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2"/>
        <v>#N/A</v>
      </c>
      <c r="AO897" s="121" t="e">
        <f>IF('Cable Info'!N601="","",CONCATENATE('Cable Info'!N601," - ",'Cable Info'!O601))</f>
        <v>#N/A</v>
      </c>
      <c r="AR897" s="121" t="e">
        <f t="shared" si="163"/>
        <v>#N/A</v>
      </c>
      <c r="AT897" s="121" t="e">
        <f>IF('Cable Info'!P601="","",CONCATENATE('Cable Info'!P601," - ",'Cable Info'!Q601))</f>
        <v>#N/A</v>
      </c>
      <c r="AW897" s="121" t="e">
        <f t="shared" si="164"/>
        <v>#N/A</v>
      </c>
      <c r="AY897" s="121" t="str">
        <f>IF('Cable Info'!R601="","",CONCATENATE('Cable Info'!R601," - ",'Cable Info'!S601))</f>
        <v/>
      </c>
      <c r="BB897" s="121" t="str">
        <f t="shared" si="165"/>
        <v/>
      </c>
      <c r="BD897" s="121" t="str">
        <f>IF('Cable Info'!T601="","",CONCATENATE('Cable Info'!T601," - ",'Cable Info'!U601))</f>
        <v/>
      </c>
      <c r="BG897" s="121" t="str">
        <f t="shared" si="166"/>
        <v/>
      </c>
      <c r="BI897" s="121" t="str">
        <f>IF('Cable Info'!V601="","",CONCATENATE('Cable Info'!V601," - ",'Cable Info'!W601))</f>
        <v/>
      </c>
      <c r="BL897" s="121" t="str">
        <f t="shared" si="167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2"/>
        <v>#N/A</v>
      </c>
      <c r="AO898" s="121" t="e">
        <f>IF('Cable Info'!N602="","",CONCATENATE('Cable Info'!N602," - ",'Cable Info'!O602))</f>
        <v>#N/A</v>
      </c>
      <c r="AR898" s="121" t="e">
        <f t="shared" si="163"/>
        <v>#N/A</v>
      </c>
      <c r="AT898" s="121" t="e">
        <f>IF('Cable Info'!P602="","",CONCATENATE('Cable Info'!P602," - ",'Cable Info'!Q602))</f>
        <v>#N/A</v>
      </c>
      <c r="AW898" s="121" t="e">
        <f t="shared" si="164"/>
        <v>#N/A</v>
      </c>
      <c r="AY898" s="121" t="str">
        <f>IF('Cable Info'!R602="","",CONCATENATE('Cable Info'!R602," - ",'Cable Info'!S602))</f>
        <v/>
      </c>
      <c r="BB898" s="121" t="str">
        <f t="shared" si="165"/>
        <v/>
      </c>
      <c r="BD898" s="121" t="str">
        <f>IF('Cable Info'!T602="","",CONCATENATE('Cable Info'!T602," - ",'Cable Info'!U602))</f>
        <v/>
      </c>
      <c r="BG898" s="121" t="str">
        <f t="shared" si="166"/>
        <v/>
      </c>
      <c r="BI898" s="121" t="str">
        <f>IF('Cable Info'!V602="","",CONCATENATE('Cable Info'!V602," - ",'Cable Info'!W602))</f>
        <v/>
      </c>
      <c r="BL898" s="121" t="str">
        <f t="shared" si="167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2"/>
        <v>#N/A</v>
      </c>
      <c r="AO899" s="121" t="e">
        <f>IF('Cable Info'!N603="","",CONCATENATE('Cable Info'!N603," - ",'Cable Info'!O603))</f>
        <v>#N/A</v>
      </c>
      <c r="AR899" s="121" t="e">
        <f t="shared" si="163"/>
        <v>#N/A</v>
      </c>
      <c r="AT899" s="121" t="e">
        <f>IF('Cable Info'!P603="","",CONCATENATE('Cable Info'!P603," - ",'Cable Info'!Q603))</f>
        <v>#N/A</v>
      </c>
      <c r="AW899" s="121" t="e">
        <f t="shared" si="164"/>
        <v>#N/A</v>
      </c>
      <c r="AY899" s="121" t="str">
        <f>IF('Cable Info'!R603="","",CONCATENATE('Cable Info'!R603," - ",'Cable Info'!S603))</f>
        <v/>
      </c>
      <c r="BB899" s="121" t="str">
        <f t="shared" si="165"/>
        <v/>
      </c>
      <c r="BD899" s="121" t="str">
        <f>IF('Cable Info'!T603="","",CONCATENATE('Cable Info'!T603," - ",'Cable Info'!U603))</f>
        <v/>
      </c>
      <c r="BG899" s="121" t="str">
        <f t="shared" si="166"/>
        <v/>
      </c>
      <c r="BI899" s="121" t="str">
        <f>IF('Cable Info'!V603="","",CONCATENATE('Cable Info'!V603," - ",'Cable Info'!W603))</f>
        <v/>
      </c>
      <c r="BL899" s="121" t="str">
        <f t="shared" si="167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2"/>
        <v>#N/A</v>
      </c>
      <c r="AO900" s="121" t="e">
        <f>IF('Cable Info'!N604="","",CONCATENATE('Cable Info'!N604," - ",'Cable Info'!O604))</f>
        <v>#N/A</v>
      </c>
      <c r="AR900" s="121" t="e">
        <f t="shared" si="163"/>
        <v>#N/A</v>
      </c>
      <c r="AT900" s="121" t="e">
        <f>IF('Cable Info'!P604="","",CONCATENATE('Cable Info'!P604," - ",'Cable Info'!Q604))</f>
        <v>#N/A</v>
      </c>
      <c r="AW900" s="121" t="e">
        <f t="shared" si="164"/>
        <v>#N/A</v>
      </c>
      <c r="AY900" s="121" t="str">
        <f>IF('Cable Info'!R604="","",CONCATENATE('Cable Info'!R604," - ",'Cable Info'!S604))</f>
        <v/>
      </c>
      <c r="BB900" s="121" t="str">
        <f t="shared" si="165"/>
        <v/>
      </c>
      <c r="BD900" s="121" t="str">
        <f>IF('Cable Info'!T604="","",CONCATENATE('Cable Info'!T604," - ",'Cable Info'!U604))</f>
        <v/>
      </c>
      <c r="BG900" s="121" t="str">
        <f t="shared" si="166"/>
        <v/>
      </c>
      <c r="BI900" s="121" t="str">
        <f>IF('Cable Info'!V604="","",CONCATENATE('Cable Info'!V604," - ",'Cable Info'!W604))</f>
        <v/>
      </c>
      <c r="BL900" s="121" t="str">
        <f t="shared" si="167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2"/>
        <v>#N/A</v>
      </c>
      <c r="AO901" s="121" t="e">
        <f>IF('Cable Info'!N605="","",CONCATENATE('Cable Info'!N605," - ",'Cable Info'!O605))</f>
        <v>#N/A</v>
      </c>
      <c r="AR901" s="121" t="e">
        <f t="shared" si="163"/>
        <v>#N/A</v>
      </c>
      <c r="AT901" s="121" t="e">
        <f>IF('Cable Info'!P605="","",CONCATENATE('Cable Info'!P605," - ",'Cable Info'!Q605))</f>
        <v>#N/A</v>
      </c>
      <c r="AW901" s="121" t="e">
        <f t="shared" si="164"/>
        <v>#N/A</v>
      </c>
      <c r="AY901" s="121" t="str">
        <f>IF('Cable Info'!R605="","",CONCATENATE('Cable Info'!R605," - ",'Cable Info'!S605))</f>
        <v/>
      </c>
      <c r="BB901" s="121" t="str">
        <f t="shared" si="165"/>
        <v/>
      </c>
      <c r="BD901" s="121" t="str">
        <f>IF('Cable Info'!T605="","",CONCATENATE('Cable Info'!T605," - ",'Cable Info'!U605))</f>
        <v/>
      </c>
      <c r="BG901" s="121" t="str">
        <f t="shared" si="166"/>
        <v/>
      </c>
      <c r="BI901" s="121" t="str">
        <f>IF('Cable Info'!V605="","",CONCATENATE('Cable Info'!V605," - ",'Cable Info'!W605))</f>
        <v/>
      </c>
      <c r="BL901" s="121" t="str">
        <f t="shared" si="167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2"/>
        <v>#N/A</v>
      </c>
      <c r="AO902" s="121" t="e">
        <f>IF('Cable Info'!N606="","",CONCATENATE('Cable Info'!N606," - ",'Cable Info'!O606))</f>
        <v>#N/A</v>
      </c>
      <c r="AR902" s="121" t="e">
        <f t="shared" si="163"/>
        <v>#N/A</v>
      </c>
      <c r="AT902" s="121" t="e">
        <f>IF('Cable Info'!P606="","",CONCATENATE('Cable Info'!P606," - ",'Cable Info'!Q606))</f>
        <v>#N/A</v>
      </c>
      <c r="AW902" s="121" t="e">
        <f t="shared" si="164"/>
        <v>#N/A</v>
      </c>
      <c r="AY902" s="121" t="str">
        <f>IF('Cable Info'!R606="","",CONCATENATE('Cable Info'!R606," - ",'Cable Info'!S606))</f>
        <v/>
      </c>
      <c r="BB902" s="121" t="str">
        <f t="shared" si="165"/>
        <v/>
      </c>
      <c r="BD902" s="121" t="str">
        <f>IF('Cable Info'!T606="","",CONCATENATE('Cable Info'!T606," - ",'Cable Info'!U606))</f>
        <v/>
      </c>
      <c r="BG902" s="121" t="str">
        <f t="shared" si="166"/>
        <v/>
      </c>
      <c r="BI902" s="121" t="str">
        <f>IF('Cable Info'!V606="","",CONCATENATE('Cable Info'!V606," - ",'Cable Info'!W606))</f>
        <v/>
      </c>
      <c r="BL902" s="121" t="str">
        <f t="shared" si="167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2"/>
        <v>#N/A</v>
      </c>
      <c r="AO903" s="121" t="e">
        <f>IF('Cable Info'!N607="","",CONCATENATE('Cable Info'!N607," - ",'Cable Info'!O607))</f>
        <v>#N/A</v>
      </c>
      <c r="AR903" s="121" t="e">
        <f t="shared" si="163"/>
        <v>#N/A</v>
      </c>
      <c r="AT903" s="121" t="e">
        <f>IF('Cable Info'!P607="","",CONCATENATE('Cable Info'!P607," - ",'Cable Info'!Q607))</f>
        <v>#N/A</v>
      </c>
      <c r="AW903" s="121" t="e">
        <f t="shared" si="164"/>
        <v>#N/A</v>
      </c>
      <c r="AY903" s="121" t="str">
        <f>IF('Cable Info'!R607="","",CONCATENATE('Cable Info'!R607," - ",'Cable Info'!S607))</f>
        <v/>
      </c>
      <c r="BB903" s="121" t="str">
        <f t="shared" si="165"/>
        <v/>
      </c>
      <c r="BD903" s="121" t="str">
        <f>IF('Cable Info'!T607="","",CONCATENATE('Cable Info'!T607," - ",'Cable Info'!U607))</f>
        <v/>
      </c>
      <c r="BG903" s="121" t="str">
        <f t="shared" si="166"/>
        <v/>
      </c>
      <c r="BI903" s="121" t="str">
        <f>IF('Cable Info'!V607="","",CONCATENATE('Cable Info'!V607," - ",'Cable Info'!W607))</f>
        <v/>
      </c>
      <c r="BL903" s="121" t="str">
        <f t="shared" si="167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2"/>
        <v>#N/A</v>
      </c>
      <c r="AO904" s="121" t="e">
        <f>IF('Cable Info'!N608="","",CONCATENATE('Cable Info'!N608," - ",'Cable Info'!O608))</f>
        <v>#N/A</v>
      </c>
      <c r="AR904" s="121" t="e">
        <f t="shared" si="163"/>
        <v>#N/A</v>
      </c>
      <c r="AT904" s="121" t="e">
        <f>IF('Cable Info'!P608="","",CONCATENATE('Cable Info'!P608," - ",'Cable Info'!Q608))</f>
        <v>#N/A</v>
      </c>
      <c r="AW904" s="121" t="e">
        <f t="shared" si="164"/>
        <v>#N/A</v>
      </c>
      <c r="AY904" s="121" t="str">
        <f>IF('Cable Info'!R608="","",CONCATENATE('Cable Info'!R608," - ",'Cable Info'!S608))</f>
        <v/>
      </c>
      <c r="BB904" s="121" t="str">
        <f t="shared" si="165"/>
        <v/>
      </c>
      <c r="BD904" s="121" t="str">
        <f>IF('Cable Info'!T608="","",CONCATENATE('Cable Info'!T608," - ",'Cable Info'!U608))</f>
        <v/>
      </c>
      <c r="BG904" s="121" t="str">
        <f t="shared" si="166"/>
        <v/>
      </c>
      <c r="BI904" s="121" t="str">
        <f>IF('Cable Info'!V608="","",CONCATENATE('Cable Info'!V608," - ",'Cable Info'!W608))</f>
        <v/>
      </c>
      <c r="BL904" s="121" t="str">
        <f t="shared" si="167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2"/>
        <v>#N/A</v>
      </c>
      <c r="AO905" s="121" t="e">
        <f>IF('Cable Info'!N609="","",CONCATENATE('Cable Info'!N609," - ",'Cable Info'!O609))</f>
        <v>#N/A</v>
      </c>
      <c r="AR905" s="121" t="e">
        <f t="shared" si="163"/>
        <v>#N/A</v>
      </c>
      <c r="AT905" s="121" t="e">
        <f>IF('Cable Info'!P609="","",CONCATENATE('Cable Info'!P609," - ",'Cable Info'!Q609))</f>
        <v>#N/A</v>
      </c>
      <c r="AW905" s="121" t="e">
        <f t="shared" si="164"/>
        <v>#N/A</v>
      </c>
      <c r="AY905" s="121" t="str">
        <f>IF('Cable Info'!R609="","",CONCATENATE('Cable Info'!R609," - ",'Cable Info'!S609))</f>
        <v/>
      </c>
      <c r="BB905" s="121" t="str">
        <f t="shared" si="165"/>
        <v/>
      </c>
      <c r="BD905" s="121" t="str">
        <f>IF('Cable Info'!T609="","",CONCATENATE('Cable Info'!T609," - ",'Cable Info'!U609))</f>
        <v/>
      </c>
      <c r="BG905" s="121" t="str">
        <f t="shared" si="166"/>
        <v/>
      </c>
      <c r="BI905" s="121" t="str">
        <f>IF('Cable Info'!V609="","",CONCATENATE('Cable Info'!V609," - ",'Cable Info'!W609))</f>
        <v/>
      </c>
      <c r="BL905" s="121" t="str">
        <f t="shared" si="167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2"/>
        <v>#N/A</v>
      </c>
      <c r="AO906" s="121" t="e">
        <f>IF('Cable Info'!N610="","",CONCATENATE('Cable Info'!N610," - ",'Cable Info'!O610))</f>
        <v>#N/A</v>
      </c>
      <c r="AR906" s="121" t="e">
        <f t="shared" si="163"/>
        <v>#N/A</v>
      </c>
      <c r="AT906" s="121" t="e">
        <f>IF('Cable Info'!P610="","",CONCATENATE('Cable Info'!P610," - ",'Cable Info'!Q610))</f>
        <v>#N/A</v>
      </c>
      <c r="AW906" s="121" t="e">
        <f t="shared" si="164"/>
        <v>#N/A</v>
      </c>
      <c r="AY906" s="121" t="str">
        <f>IF('Cable Info'!R610="","",CONCATENATE('Cable Info'!R610," - ",'Cable Info'!S610))</f>
        <v/>
      </c>
      <c r="BB906" s="121" t="str">
        <f t="shared" si="165"/>
        <v/>
      </c>
      <c r="BD906" s="121" t="str">
        <f>IF('Cable Info'!T610="","",CONCATENATE('Cable Info'!T610," - ",'Cable Info'!U610))</f>
        <v/>
      </c>
      <c r="BG906" s="121" t="str">
        <f t="shared" si="166"/>
        <v/>
      </c>
      <c r="BI906" s="121" t="str">
        <f>IF('Cable Info'!V610="","",CONCATENATE('Cable Info'!V610," - ",'Cable Info'!W610))</f>
        <v/>
      </c>
      <c r="BL906" s="121" t="str">
        <f t="shared" si="167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2"/>
        <v>#N/A</v>
      </c>
      <c r="AO907" s="121" t="e">
        <f>IF('Cable Info'!N611="","",CONCATENATE('Cable Info'!N611," - ",'Cable Info'!O611))</f>
        <v>#N/A</v>
      </c>
      <c r="AR907" s="121" t="e">
        <f t="shared" si="163"/>
        <v>#N/A</v>
      </c>
      <c r="AT907" s="121" t="e">
        <f>IF('Cable Info'!P611="","",CONCATENATE('Cable Info'!P611," - ",'Cable Info'!Q611))</f>
        <v>#N/A</v>
      </c>
      <c r="AW907" s="121" t="e">
        <f t="shared" si="164"/>
        <v>#N/A</v>
      </c>
      <c r="AY907" s="121" t="str">
        <f>IF('Cable Info'!R611="","",CONCATENATE('Cable Info'!R611," - ",'Cable Info'!S611))</f>
        <v/>
      </c>
      <c r="BB907" s="121" t="str">
        <f t="shared" si="165"/>
        <v/>
      </c>
      <c r="BD907" s="121" t="str">
        <f>IF('Cable Info'!T611="","",CONCATENATE('Cable Info'!T611," - ",'Cable Info'!U611))</f>
        <v/>
      </c>
      <c r="BG907" s="121" t="str">
        <f t="shared" si="166"/>
        <v/>
      </c>
      <c r="BI907" s="121" t="str">
        <f>IF('Cable Info'!V611="","",CONCATENATE('Cable Info'!V611," - ",'Cable Info'!W611))</f>
        <v/>
      </c>
      <c r="BL907" s="121" t="str">
        <f t="shared" si="167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2"/>
        <v>#N/A</v>
      </c>
      <c r="AO908" s="121" t="e">
        <f>IF('Cable Info'!N612="","",CONCATENATE('Cable Info'!N612," - ",'Cable Info'!O612))</f>
        <v>#N/A</v>
      </c>
      <c r="AR908" s="121" t="e">
        <f t="shared" si="163"/>
        <v>#N/A</v>
      </c>
      <c r="AT908" s="121" t="e">
        <f>IF('Cable Info'!P612="","",CONCATENATE('Cable Info'!P612," - ",'Cable Info'!Q612))</f>
        <v>#N/A</v>
      </c>
      <c r="AW908" s="121" t="e">
        <f t="shared" si="164"/>
        <v>#N/A</v>
      </c>
      <c r="AY908" s="121" t="str">
        <f>IF('Cable Info'!R612="","",CONCATENATE('Cable Info'!R612," - ",'Cable Info'!S612))</f>
        <v/>
      </c>
      <c r="BB908" s="121" t="str">
        <f t="shared" si="165"/>
        <v/>
      </c>
      <c r="BD908" s="121" t="str">
        <f>IF('Cable Info'!T612="","",CONCATENATE('Cable Info'!T612," - ",'Cable Info'!U612))</f>
        <v/>
      </c>
      <c r="BG908" s="121" t="str">
        <f t="shared" si="166"/>
        <v/>
      </c>
      <c r="BI908" s="121" t="str">
        <f>IF('Cable Info'!V612="","",CONCATENATE('Cable Info'!V612," - ",'Cable Info'!W612))</f>
        <v/>
      </c>
      <c r="BL908" s="121" t="str">
        <f t="shared" si="167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2"/>
        <v>#N/A</v>
      </c>
      <c r="AO909" s="121" t="e">
        <f>IF('Cable Info'!N613="","",CONCATENATE('Cable Info'!N613," - ",'Cable Info'!O613))</f>
        <v>#N/A</v>
      </c>
      <c r="AR909" s="121" t="e">
        <f t="shared" si="163"/>
        <v>#N/A</v>
      </c>
      <c r="AT909" s="121" t="e">
        <f>IF('Cable Info'!P613="","",CONCATENATE('Cable Info'!P613," - ",'Cable Info'!Q613))</f>
        <v>#N/A</v>
      </c>
      <c r="AW909" s="121" t="e">
        <f t="shared" si="164"/>
        <v>#N/A</v>
      </c>
      <c r="AY909" s="121" t="str">
        <f>IF('Cable Info'!R613="","",CONCATENATE('Cable Info'!R613," - ",'Cable Info'!S613))</f>
        <v/>
      </c>
      <c r="BB909" s="121" t="str">
        <f t="shared" si="165"/>
        <v/>
      </c>
      <c r="BD909" s="121" t="str">
        <f>IF('Cable Info'!T613="","",CONCATENATE('Cable Info'!T613," - ",'Cable Info'!U613))</f>
        <v/>
      </c>
      <c r="BG909" s="121" t="str">
        <f t="shared" si="166"/>
        <v/>
      </c>
      <c r="BI909" s="121" t="str">
        <f>IF('Cable Info'!V613="","",CONCATENATE('Cable Info'!V613," - ",'Cable Info'!W613))</f>
        <v/>
      </c>
      <c r="BL909" s="121" t="str">
        <f t="shared" si="167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2"/>
        <v>#N/A</v>
      </c>
      <c r="AO910" s="121" t="e">
        <f>IF('Cable Info'!N614="","",CONCATENATE('Cable Info'!N614," - ",'Cable Info'!O614))</f>
        <v>#N/A</v>
      </c>
      <c r="AR910" s="121" t="e">
        <f t="shared" si="163"/>
        <v>#N/A</v>
      </c>
      <c r="AT910" s="121" t="e">
        <f>IF('Cable Info'!P614="","",CONCATENATE('Cable Info'!P614," - ",'Cable Info'!Q614))</f>
        <v>#N/A</v>
      </c>
      <c r="AW910" s="121" t="e">
        <f t="shared" si="164"/>
        <v>#N/A</v>
      </c>
      <c r="AY910" s="121" t="str">
        <f>IF('Cable Info'!R614="","",CONCATENATE('Cable Info'!R614," - ",'Cable Info'!S614))</f>
        <v/>
      </c>
      <c r="BB910" s="121" t="str">
        <f t="shared" si="165"/>
        <v/>
      </c>
      <c r="BD910" s="121" t="str">
        <f>IF('Cable Info'!T614="","",CONCATENATE('Cable Info'!T614," - ",'Cable Info'!U614))</f>
        <v/>
      </c>
      <c r="BG910" s="121" t="str">
        <f t="shared" si="166"/>
        <v/>
      </c>
      <c r="BI910" s="121" t="str">
        <f>IF('Cable Info'!V614="","",CONCATENATE('Cable Info'!V614," - ",'Cable Info'!W614))</f>
        <v/>
      </c>
      <c r="BL910" s="121" t="str">
        <f t="shared" si="167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2"/>
        <v>#N/A</v>
      </c>
      <c r="AO911" s="121" t="e">
        <f>IF('Cable Info'!N615="","",CONCATENATE('Cable Info'!N615," - ",'Cable Info'!O615))</f>
        <v>#N/A</v>
      </c>
      <c r="AR911" s="121" t="e">
        <f t="shared" si="163"/>
        <v>#N/A</v>
      </c>
      <c r="AT911" s="121" t="e">
        <f>IF('Cable Info'!P615="","",CONCATENATE('Cable Info'!P615," - ",'Cable Info'!Q615))</f>
        <v>#N/A</v>
      </c>
      <c r="AW911" s="121" t="e">
        <f t="shared" si="164"/>
        <v>#N/A</v>
      </c>
      <c r="AY911" s="121" t="str">
        <f>IF('Cable Info'!R615="","",CONCATENATE('Cable Info'!R615," - ",'Cable Info'!S615))</f>
        <v/>
      </c>
      <c r="BB911" s="121" t="str">
        <f t="shared" si="165"/>
        <v/>
      </c>
      <c r="BD911" s="121" t="str">
        <f>IF('Cable Info'!T615="","",CONCATENATE('Cable Info'!T615," - ",'Cable Info'!U615))</f>
        <v/>
      </c>
      <c r="BG911" s="121" t="str">
        <f t="shared" si="166"/>
        <v/>
      </c>
      <c r="BI911" s="121" t="str">
        <f>IF('Cable Info'!V615="","",CONCATENATE('Cable Info'!V615," - ",'Cable Info'!W615))</f>
        <v/>
      </c>
      <c r="BL911" s="121" t="str">
        <f t="shared" si="167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2"/>
        <v>#N/A</v>
      </c>
      <c r="AO912" s="121" t="e">
        <f>IF('Cable Info'!N616="","",CONCATENATE('Cable Info'!N616," - ",'Cable Info'!O616))</f>
        <v>#N/A</v>
      </c>
      <c r="AR912" s="121" t="e">
        <f t="shared" si="163"/>
        <v>#N/A</v>
      </c>
      <c r="AT912" s="121" t="e">
        <f>IF('Cable Info'!P616="","",CONCATENATE('Cable Info'!P616," - ",'Cable Info'!Q616))</f>
        <v>#N/A</v>
      </c>
      <c r="AW912" s="121" t="e">
        <f t="shared" si="164"/>
        <v>#N/A</v>
      </c>
      <c r="AY912" s="121" t="str">
        <f>IF('Cable Info'!R616="","",CONCATENATE('Cable Info'!R616," - ",'Cable Info'!S616))</f>
        <v/>
      </c>
      <c r="BB912" s="121" t="str">
        <f t="shared" si="165"/>
        <v/>
      </c>
      <c r="BD912" s="121" t="str">
        <f>IF('Cable Info'!T616="","",CONCATENATE('Cable Info'!T616," - ",'Cable Info'!U616))</f>
        <v/>
      </c>
      <c r="BG912" s="121" t="str">
        <f t="shared" si="166"/>
        <v/>
      </c>
      <c r="BI912" s="121" t="str">
        <f>IF('Cable Info'!V616="","",CONCATENATE('Cable Info'!V616," - ",'Cable Info'!W616))</f>
        <v/>
      </c>
      <c r="BL912" s="121" t="str">
        <f t="shared" si="167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2"/>
        <v>#N/A</v>
      </c>
      <c r="AO913" s="121" t="e">
        <f>IF('Cable Info'!N617="","",CONCATENATE('Cable Info'!N617," - ",'Cable Info'!O617))</f>
        <v>#N/A</v>
      </c>
      <c r="AR913" s="121" t="e">
        <f t="shared" si="163"/>
        <v>#N/A</v>
      </c>
      <c r="AT913" s="121" t="e">
        <f>IF('Cable Info'!P617="","",CONCATENATE('Cable Info'!P617," - ",'Cable Info'!Q617))</f>
        <v>#N/A</v>
      </c>
      <c r="AW913" s="121" t="e">
        <f t="shared" si="164"/>
        <v>#N/A</v>
      </c>
      <c r="AY913" s="121" t="str">
        <f>IF('Cable Info'!R617="","",CONCATENATE('Cable Info'!R617," - ",'Cable Info'!S617))</f>
        <v/>
      </c>
      <c r="BB913" s="121" t="str">
        <f t="shared" si="165"/>
        <v/>
      </c>
      <c r="BD913" s="121" t="str">
        <f>IF('Cable Info'!T617="","",CONCATENATE('Cable Info'!T617," - ",'Cable Info'!U617))</f>
        <v/>
      </c>
      <c r="BG913" s="121" t="str">
        <f t="shared" si="166"/>
        <v/>
      </c>
      <c r="BI913" s="121" t="str">
        <f>IF('Cable Info'!V617="","",CONCATENATE('Cable Info'!V617," - ",'Cable Info'!W617))</f>
        <v/>
      </c>
      <c r="BL913" s="121" t="str">
        <f t="shared" si="167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2"/>
        <v>#N/A</v>
      </c>
      <c r="AO914" s="121" t="e">
        <f>IF('Cable Info'!N618="","",CONCATENATE('Cable Info'!N618," - ",'Cable Info'!O618))</f>
        <v>#N/A</v>
      </c>
      <c r="AR914" s="121" t="e">
        <f t="shared" si="163"/>
        <v>#N/A</v>
      </c>
      <c r="AT914" s="121" t="e">
        <f>IF('Cable Info'!P618="","",CONCATENATE('Cable Info'!P618," - ",'Cable Info'!Q618))</f>
        <v>#N/A</v>
      </c>
      <c r="AW914" s="121" t="e">
        <f t="shared" si="164"/>
        <v>#N/A</v>
      </c>
      <c r="AY914" s="121" t="str">
        <f>IF('Cable Info'!R618="","",CONCATENATE('Cable Info'!R618," - ",'Cable Info'!S618))</f>
        <v/>
      </c>
      <c r="BB914" s="121" t="str">
        <f t="shared" si="165"/>
        <v/>
      </c>
      <c r="BD914" s="121" t="str">
        <f>IF('Cable Info'!T618="","",CONCATENATE('Cable Info'!T618," - ",'Cable Info'!U618))</f>
        <v/>
      </c>
      <c r="BG914" s="121" t="str">
        <f t="shared" si="166"/>
        <v/>
      </c>
      <c r="BI914" s="121" t="str">
        <f>IF('Cable Info'!V618="","",CONCATENATE('Cable Info'!V618," - ",'Cable Info'!W618))</f>
        <v/>
      </c>
      <c r="BL914" s="121" t="str">
        <f t="shared" si="167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2"/>
        <v>#N/A</v>
      </c>
      <c r="AO915" s="121" t="e">
        <f>IF('Cable Info'!N619="","",CONCATENATE('Cable Info'!N619," - ",'Cable Info'!O619))</f>
        <v>#N/A</v>
      </c>
      <c r="AR915" s="121" t="e">
        <f t="shared" si="163"/>
        <v>#N/A</v>
      </c>
      <c r="AT915" s="121" t="e">
        <f>IF('Cable Info'!P619="","",CONCATENATE('Cable Info'!P619," - ",'Cable Info'!Q619))</f>
        <v>#N/A</v>
      </c>
      <c r="AW915" s="121" t="e">
        <f t="shared" si="164"/>
        <v>#N/A</v>
      </c>
      <c r="AY915" s="121" t="str">
        <f>IF('Cable Info'!R619="","",CONCATENATE('Cable Info'!R619," - ",'Cable Info'!S619))</f>
        <v/>
      </c>
      <c r="BB915" s="121" t="str">
        <f t="shared" si="165"/>
        <v/>
      </c>
      <c r="BD915" s="121" t="str">
        <f>IF('Cable Info'!T619="","",CONCATENATE('Cable Info'!T619," - ",'Cable Info'!U619))</f>
        <v/>
      </c>
      <c r="BG915" s="121" t="str">
        <f t="shared" si="166"/>
        <v/>
      </c>
      <c r="BI915" s="121" t="str">
        <f>IF('Cable Info'!V619="","",CONCATENATE('Cable Info'!V619," - ",'Cable Info'!W619))</f>
        <v/>
      </c>
      <c r="BL915" s="121" t="str">
        <f t="shared" si="167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2"/>
        <v>#N/A</v>
      </c>
      <c r="AO916" s="121" t="e">
        <f>IF('Cable Info'!N620="","",CONCATENATE('Cable Info'!N620," - ",'Cable Info'!O620))</f>
        <v>#N/A</v>
      </c>
      <c r="AR916" s="121" t="e">
        <f t="shared" si="163"/>
        <v>#N/A</v>
      </c>
      <c r="AT916" s="121" t="e">
        <f>IF('Cable Info'!P620="","",CONCATENATE('Cable Info'!P620," - ",'Cable Info'!Q620))</f>
        <v>#N/A</v>
      </c>
      <c r="AW916" s="121" t="e">
        <f t="shared" si="164"/>
        <v>#N/A</v>
      </c>
      <c r="AY916" s="121" t="str">
        <f>IF('Cable Info'!R620="","",CONCATENATE('Cable Info'!R620," - ",'Cable Info'!S620))</f>
        <v/>
      </c>
      <c r="BB916" s="121" t="str">
        <f t="shared" si="165"/>
        <v/>
      </c>
      <c r="BD916" s="121" t="str">
        <f>IF('Cable Info'!T620="","",CONCATENATE('Cable Info'!T620," - ",'Cable Info'!U620))</f>
        <v/>
      </c>
      <c r="BG916" s="121" t="str">
        <f t="shared" si="166"/>
        <v/>
      </c>
      <c r="BI916" s="121" t="str">
        <f>IF('Cable Info'!V620="","",CONCATENATE('Cable Info'!V620," - ",'Cable Info'!W620))</f>
        <v/>
      </c>
      <c r="BL916" s="121" t="str">
        <f t="shared" si="167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2"/>
        <v>#N/A</v>
      </c>
      <c r="AO917" s="121" t="e">
        <f>IF('Cable Info'!N621="","",CONCATENATE('Cable Info'!N621," - ",'Cable Info'!O621))</f>
        <v>#N/A</v>
      </c>
      <c r="AR917" s="121" t="e">
        <f t="shared" si="163"/>
        <v>#N/A</v>
      </c>
      <c r="AT917" s="121" t="e">
        <f>IF('Cable Info'!P621="","",CONCATENATE('Cable Info'!P621," - ",'Cable Info'!Q621))</f>
        <v>#N/A</v>
      </c>
      <c r="AW917" s="121" t="e">
        <f t="shared" si="164"/>
        <v>#N/A</v>
      </c>
      <c r="AY917" s="121" t="str">
        <f>IF('Cable Info'!R621="","",CONCATENATE('Cable Info'!R621," - ",'Cable Info'!S621))</f>
        <v/>
      </c>
      <c r="BB917" s="121" t="str">
        <f t="shared" si="165"/>
        <v/>
      </c>
      <c r="BD917" s="121" t="str">
        <f>IF('Cable Info'!T621="","",CONCATENATE('Cable Info'!T621," - ",'Cable Info'!U621))</f>
        <v/>
      </c>
      <c r="BG917" s="121" t="str">
        <f t="shared" si="166"/>
        <v/>
      </c>
      <c r="BI917" s="121" t="str">
        <f>IF('Cable Info'!V621="","",CONCATENATE('Cable Info'!V621," - ",'Cable Info'!W621))</f>
        <v/>
      </c>
      <c r="BL917" s="121" t="str">
        <f t="shared" si="167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2"/>
        <v>#N/A</v>
      </c>
      <c r="AO918" s="121" t="e">
        <f>IF('Cable Info'!N622="","",CONCATENATE('Cable Info'!N622," - ",'Cable Info'!O622))</f>
        <v>#N/A</v>
      </c>
      <c r="AR918" s="121" t="e">
        <f t="shared" si="163"/>
        <v>#N/A</v>
      </c>
      <c r="AT918" s="121" t="e">
        <f>IF('Cable Info'!P622="","",CONCATENATE('Cable Info'!P622," - ",'Cable Info'!Q622))</f>
        <v>#N/A</v>
      </c>
      <c r="AW918" s="121" t="e">
        <f t="shared" si="164"/>
        <v>#N/A</v>
      </c>
      <c r="AY918" s="121" t="str">
        <f>IF('Cable Info'!R622="","",CONCATENATE('Cable Info'!R622," - ",'Cable Info'!S622))</f>
        <v/>
      </c>
      <c r="BB918" s="121" t="str">
        <f t="shared" si="165"/>
        <v/>
      </c>
      <c r="BD918" s="121" t="str">
        <f>IF('Cable Info'!T622="","",CONCATENATE('Cable Info'!T622," - ",'Cable Info'!U622))</f>
        <v/>
      </c>
      <c r="BG918" s="121" t="str">
        <f t="shared" si="166"/>
        <v/>
      </c>
      <c r="BI918" s="121" t="str">
        <f>IF('Cable Info'!V622="","",CONCATENATE('Cable Info'!V622," - ",'Cable Info'!W622))</f>
        <v/>
      </c>
      <c r="BL918" s="121" t="str">
        <f t="shared" si="167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2"/>
        <v>#N/A</v>
      </c>
      <c r="AO919" s="121" t="e">
        <f>IF('Cable Info'!N623="","",CONCATENATE('Cable Info'!N623," - ",'Cable Info'!O623))</f>
        <v>#N/A</v>
      </c>
      <c r="AR919" s="121" t="e">
        <f t="shared" si="163"/>
        <v>#N/A</v>
      </c>
      <c r="AT919" s="121" t="e">
        <f>IF('Cable Info'!P623="","",CONCATENATE('Cable Info'!P623," - ",'Cable Info'!Q623))</f>
        <v>#N/A</v>
      </c>
      <c r="AW919" s="121" t="e">
        <f t="shared" si="164"/>
        <v>#N/A</v>
      </c>
      <c r="AY919" s="121" t="str">
        <f>IF('Cable Info'!R623="","",CONCATENATE('Cable Info'!R623," - ",'Cable Info'!S623))</f>
        <v/>
      </c>
      <c r="BB919" s="121" t="str">
        <f t="shared" si="165"/>
        <v/>
      </c>
      <c r="BD919" s="121" t="str">
        <f>IF('Cable Info'!T623="","",CONCATENATE('Cable Info'!T623," - ",'Cable Info'!U623))</f>
        <v/>
      </c>
      <c r="BG919" s="121" t="str">
        <f t="shared" si="166"/>
        <v/>
      </c>
      <c r="BI919" s="121" t="str">
        <f>IF('Cable Info'!V623="","",CONCATENATE('Cable Info'!V623," - ",'Cable Info'!W623))</f>
        <v/>
      </c>
      <c r="BL919" s="121" t="str">
        <f t="shared" si="167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2"/>
        <v>#N/A</v>
      </c>
      <c r="AO920" s="121" t="e">
        <f>IF('Cable Info'!N624="","",CONCATENATE('Cable Info'!N624," - ",'Cable Info'!O624))</f>
        <v>#N/A</v>
      </c>
      <c r="AR920" s="121" t="e">
        <f t="shared" si="163"/>
        <v>#N/A</v>
      </c>
      <c r="AT920" s="121" t="e">
        <f>IF('Cable Info'!P624="","",CONCATENATE('Cable Info'!P624," - ",'Cable Info'!Q624))</f>
        <v>#N/A</v>
      </c>
      <c r="AW920" s="121" t="e">
        <f t="shared" si="164"/>
        <v>#N/A</v>
      </c>
      <c r="AY920" s="121" t="str">
        <f>IF('Cable Info'!R624="","",CONCATENATE('Cable Info'!R624," - ",'Cable Info'!S624))</f>
        <v/>
      </c>
      <c r="BB920" s="121" t="str">
        <f t="shared" si="165"/>
        <v/>
      </c>
      <c r="BD920" s="121" t="str">
        <f>IF('Cable Info'!T624="","",CONCATENATE('Cable Info'!T624," - ",'Cable Info'!U624))</f>
        <v/>
      </c>
      <c r="BG920" s="121" t="str">
        <f t="shared" si="166"/>
        <v/>
      </c>
      <c r="BI920" s="121" t="str">
        <f>IF('Cable Info'!V624="","",CONCATENATE('Cable Info'!V624," - ",'Cable Info'!W624))</f>
        <v/>
      </c>
      <c r="BL920" s="121" t="str">
        <f t="shared" si="167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2"/>
        <v>#N/A</v>
      </c>
      <c r="AO921" s="121" t="e">
        <f>IF('Cable Info'!N625="","",CONCATENATE('Cable Info'!N625," - ",'Cable Info'!O625))</f>
        <v>#N/A</v>
      </c>
      <c r="AR921" s="121" t="e">
        <f t="shared" si="163"/>
        <v>#N/A</v>
      </c>
      <c r="AT921" s="121" t="e">
        <f>IF('Cable Info'!P625="","",CONCATENATE('Cable Info'!P625," - ",'Cable Info'!Q625))</f>
        <v>#N/A</v>
      </c>
      <c r="AW921" s="121" t="e">
        <f t="shared" si="164"/>
        <v>#N/A</v>
      </c>
      <c r="AY921" s="121" t="str">
        <f>IF('Cable Info'!R625="","",CONCATENATE('Cable Info'!R625," - ",'Cable Info'!S625))</f>
        <v/>
      </c>
      <c r="BB921" s="121" t="str">
        <f t="shared" si="165"/>
        <v/>
      </c>
      <c r="BD921" s="121" t="str">
        <f>IF('Cable Info'!T625="","",CONCATENATE('Cable Info'!T625," - ",'Cable Info'!U625))</f>
        <v/>
      </c>
      <c r="BG921" s="121" t="str">
        <f t="shared" si="166"/>
        <v/>
      </c>
      <c r="BI921" s="121" t="str">
        <f>IF('Cable Info'!V625="","",CONCATENATE('Cable Info'!V625," - ",'Cable Info'!W625))</f>
        <v/>
      </c>
      <c r="BL921" s="121" t="str">
        <f t="shared" si="167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2"/>
        <v>#N/A</v>
      </c>
      <c r="AO922" s="121" t="e">
        <f>IF('Cable Info'!N626="","",CONCATENATE('Cable Info'!N626," - ",'Cable Info'!O626))</f>
        <v>#N/A</v>
      </c>
      <c r="AR922" s="121" t="e">
        <f t="shared" si="163"/>
        <v>#N/A</v>
      </c>
      <c r="AT922" s="121" t="e">
        <f>IF('Cable Info'!P626="","",CONCATENATE('Cable Info'!P626," - ",'Cable Info'!Q626))</f>
        <v>#N/A</v>
      </c>
      <c r="AW922" s="121" t="e">
        <f t="shared" si="164"/>
        <v>#N/A</v>
      </c>
      <c r="AY922" s="121" t="str">
        <f>IF('Cable Info'!R626="","",CONCATENATE('Cable Info'!R626," - ",'Cable Info'!S626))</f>
        <v/>
      </c>
      <c r="BB922" s="121" t="str">
        <f t="shared" si="165"/>
        <v/>
      </c>
      <c r="BD922" s="121" t="str">
        <f>IF('Cable Info'!T626="","",CONCATENATE('Cable Info'!T626," - ",'Cable Info'!U626))</f>
        <v/>
      </c>
      <c r="BG922" s="121" t="str">
        <f t="shared" si="166"/>
        <v/>
      </c>
      <c r="BI922" s="121" t="str">
        <f>IF('Cable Info'!V626="","",CONCATENATE('Cable Info'!V626," - ",'Cable Info'!W626))</f>
        <v/>
      </c>
      <c r="BL922" s="121" t="str">
        <f t="shared" si="167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2"/>
        <v>#N/A</v>
      </c>
      <c r="AO923" s="121" t="e">
        <f>IF('Cable Info'!N627="","",CONCATENATE('Cable Info'!N627," - ",'Cable Info'!O627))</f>
        <v>#N/A</v>
      </c>
      <c r="AR923" s="121" t="e">
        <f t="shared" si="163"/>
        <v>#N/A</v>
      </c>
      <c r="AT923" s="121" t="e">
        <f>IF('Cable Info'!P627="","",CONCATENATE('Cable Info'!P627," - ",'Cable Info'!Q627))</f>
        <v>#N/A</v>
      </c>
      <c r="AW923" s="121" t="e">
        <f t="shared" si="164"/>
        <v>#N/A</v>
      </c>
      <c r="AY923" s="121" t="str">
        <f>IF('Cable Info'!R627="","",CONCATENATE('Cable Info'!R627," - ",'Cable Info'!S627))</f>
        <v/>
      </c>
      <c r="BB923" s="121" t="str">
        <f t="shared" si="165"/>
        <v/>
      </c>
      <c r="BD923" s="121" t="str">
        <f>IF('Cable Info'!T627="","",CONCATENATE('Cable Info'!T627," - ",'Cable Info'!U627))</f>
        <v/>
      </c>
      <c r="BG923" s="121" t="str">
        <f t="shared" si="166"/>
        <v/>
      </c>
      <c r="BI923" s="121" t="str">
        <f>IF('Cable Info'!V627="","",CONCATENATE('Cable Info'!V627," - ",'Cable Info'!W627))</f>
        <v/>
      </c>
      <c r="BL923" s="121" t="str">
        <f t="shared" si="167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2"/>
        <v>#N/A</v>
      </c>
      <c r="AO924" s="121" t="e">
        <f>IF('Cable Info'!N628="","",CONCATENATE('Cable Info'!N628," - ",'Cable Info'!O628))</f>
        <v>#N/A</v>
      </c>
      <c r="AR924" s="121" t="e">
        <f t="shared" si="163"/>
        <v>#N/A</v>
      </c>
      <c r="AT924" s="121" t="e">
        <f>IF('Cable Info'!P628="","",CONCATENATE('Cable Info'!P628," - ",'Cable Info'!Q628))</f>
        <v>#N/A</v>
      </c>
      <c r="AW924" s="121" t="e">
        <f t="shared" si="164"/>
        <v>#N/A</v>
      </c>
      <c r="AY924" s="121" t="str">
        <f>IF('Cable Info'!R628="","",CONCATENATE('Cable Info'!R628," - ",'Cable Info'!S628))</f>
        <v/>
      </c>
      <c r="BB924" s="121" t="str">
        <f t="shared" si="165"/>
        <v/>
      </c>
      <c r="BD924" s="121" t="str">
        <f>IF('Cable Info'!T628="","",CONCATENATE('Cable Info'!T628," - ",'Cable Info'!U628))</f>
        <v/>
      </c>
      <c r="BG924" s="121" t="str">
        <f t="shared" si="166"/>
        <v/>
      </c>
      <c r="BI924" s="121" t="str">
        <f>IF('Cable Info'!V628="","",CONCATENATE('Cable Info'!V628," - ",'Cable Info'!W628))</f>
        <v/>
      </c>
      <c r="BL924" s="121" t="str">
        <f t="shared" si="167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2"/>
        <v>#N/A</v>
      </c>
      <c r="AO925" s="121" t="e">
        <f>IF('Cable Info'!N629="","",CONCATENATE('Cable Info'!N629," - ",'Cable Info'!O629))</f>
        <v>#N/A</v>
      </c>
      <c r="AR925" s="121" t="e">
        <f t="shared" si="163"/>
        <v>#N/A</v>
      </c>
      <c r="AT925" s="121" t="e">
        <f>IF('Cable Info'!P629="","",CONCATENATE('Cable Info'!P629," - ",'Cable Info'!Q629))</f>
        <v>#N/A</v>
      </c>
      <c r="AW925" s="121" t="e">
        <f t="shared" si="164"/>
        <v>#N/A</v>
      </c>
      <c r="AY925" s="121" t="str">
        <f>IF('Cable Info'!R629="","",CONCATENATE('Cable Info'!R629," - ",'Cable Info'!S629))</f>
        <v/>
      </c>
      <c r="BB925" s="121" t="str">
        <f t="shared" si="165"/>
        <v/>
      </c>
      <c r="BD925" s="121" t="str">
        <f>IF('Cable Info'!T629="","",CONCATENATE('Cable Info'!T629," - ",'Cable Info'!U629))</f>
        <v/>
      </c>
      <c r="BG925" s="121" t="str">
        <f t="shared" si="166"/>
        <v/>
      </c>
      <c r="BI925" s="121" t="str">
        <f>IF('Cable Info'!V629="","",CONCATENATE('Cable Info'!V629," - ",'Cable Info'!W629))</f>
        <v/>
      </c>
      <c r="BL925" s="121" t="str">
        <f t="shared" si="167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2"/>
        <v>#N/A</v>
      </c>
      <c r="AO926" s="121" t="e">
        <f>IF('Cable Info'!N630="","",CONCATENATE('Cable Info'!N630," - ",'Cable Info'!O630))</f>
        <v>#N/A</v>
      </c>
      <c r="AR926" s="121" t="e">
        <f t="shared" si="163"/>
        <v>#N/A</v>
      </c>
      <c r="AT926" s="121" t="e">
        <f>IF('Cable Info'!P630="","",CONCATENATE('Cable Info'!P630," - ",'Cable Info'!Q630))</f>
        <v>#N/A</v>
      </c>
      <c r="AW926" s="121" t="e">
        <f t="shared" si="164"/>
        <v>#N/A</v>
      </c>
      <c r="AY926" s="121" t="str">
        <f>IF('Cable Info'!R630="","",CONCATENATE('Cable Info'!R630," - ",'Cable Info'!S630))</f>
        <v/>
      </c>
      <c r="BB926" s="121" t="str">
        <f t="shared" si="165"/>
        <v/>
      </c>
      <c r="BD926" s="121" t="str">
        <f>IF('Cable Info'!T630="","",CONCATENATE('Cable Info'!T630," - ",'Cable Info'!U630))</f>
        <v/>
      </c>
      <c r="BG926" s="121" t="str">
        <f t="shared" si="166"/>
        <v/>
      </c>
      <c r="BI926" s="121" t="str">
        <f>IF('Cable Info'!V630="","",CONCATENATE('Cable Info'!V630," - ",'Cable Info'!W630))</f>
        <v/>
      </c>
      <c r="BL926" s="121" t="str">
        <f t="shared" si="167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2"/>
        <v>#N/A</v>
      </c>
      <c r="AO927" s="121" t="e">
        <f>IF('Cable Info'!N631="","",CONCATENATE('Cable Info'!N631," - ",'Cable Info'!O631))</f>
        <v>#N/A</v>
      </c>
      <c r="AR927" s="121" t="e">
        <f t="shared" si="163"/>
        <v>#N/A</v>
      </c>
      <c r="AT927" s="121" t="e">
        <f>IF('Cable Info'!P631="","",CONCATENATE('Cable Info'!P631," - ",'Cable Info'!Q631))</f>
        <v>#N/A</v>
      </c>
      <c r="AW927" s="121" t="e">
        <f t="shared" si="164"/>
        <v>#N/A</v>
      </c>
      <c r="AY927" s="121" t="str">
        <f>IF('Cable Info'!R631="","",CONCATENATE('Cable Info'!R631," - ",'Cable Info'!S631))</f>
        <v/>
      </c>
      <c r="BB927" s="121" t="str">
        <f t="shared" si="165"/>
        <v/>
      </c>
      <c r="BD927" s="121" t="str">
        <f>IF('Cable Info'!T631="","",CONCATENATE('Cable Info'!T631," - ",'Cable Info'!U631))</f>
        <v/>
      </c>
      <c r="BG927" s="121" t="str">
        <f t="shared" si="166"/>
        <v/>
      </c>
      <c r="BI927" s="121" t="str">
        <f>IF('Cable Info'!V631="","",CONCATENATE('Cable Info'!V631," - ",'Cable Info'!W631))</f>
        <v/>
      </c>
      <c r="BL927" s="121" t="str">
        <f t="shared" si="167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2"/>
        <v>#N/A</v>
      </c>
      <c r="AO928" s="121" t="e">
        <f>IF('Cable Info'!N632="","",CONCATENATE('Cable Info'!N632," - ",'Cable Info'!O632))</f>
        <v>#N/A</v>
      </c>
      <c r="AR928" s="121" t="e">
        <f t="shared" si="163"/>
        <v>#N/A</v>
      </c>
      <c r="AT928" s="121" t="e">
        <f>IF('Cable Info'!P632="","",CONCATENATE('Cable Info'!P632," - ",'Cable Info'!Q632))</f>
        <v>#N/A</v>
      </c>
      <c r="AW928" s="121" t="e">
        <f t="shared" si="164"/>
        <v>#N/A</v>
      </c>
      <c r="AY928" s="121" t="str">
        <f>IF('Cable Info'!R632="","",CONCATENATE('Cable Info'!R632," - ",'Cable Info'!S632))</f>
        <v/>
      </c>
      <c r="BB928" s="121" t="str">
        <f t="shared" si="165"/>
        <v/>
      </c>
      <c r="BD928" s="121" t="str">
        <f>IF('Cable Info'!T632="","",CONCATENATE('Cable Info'!T632," - ",'Cable Info'!U632))</f>
        <v/>
      </c>
      <c r="BG928" s="121" t="str">
        <f t="shared" si="166"/>
        <v/>
      </c>
      <c r="BI928" s="121" t="str">
        <f>IF('Cable Info'!V632="","",CONCATENATE('Cable Info'!V632," - ",'Cable Info'!W632))</f>
        <v/>
      </c>
      <c r="BL928" s="121" t="str">
        <f t="shared" si="167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2"/>
        <v>#N/A</v>
      </c>
      <c r="AO929" s="121" t="e">
        <f>IF('Cable Info'!N633="","",CONCATENATE('Cable Info'!N633," - ",'Cable Info'!O633))</f>
        <v>#N/A</v>
      </c>
      <c r="AR929" s="121" t="e">
        <f t="shared" si="163"/>
        <v>#N/A</v>
      </c>
      <c r="AT929" s="121" t="e">
        <f>IF('Cable Info'!P633="","",CONCATENATE('Cable Info'!P633," - ",'Cable Info'!Q633))</f>
        <v>#N/A</v>
      </c>
      <c r="AW929" s="121" t="e">
        <f t="shared" si="164"/>
        <v>#N/A</v>
      </c>
      <c r="AY929" s="121" t="str">
        <f>IF('Cable Info'!R633="","",CONCATENATE('Cable Info'!R633," - ",'Cable Info'!S633))</f>
        <v/>
      </c>
      <c r="BB929" s="121" t="str">
        <f t="shared" si="165"/>
        <v/>
      </c>
      <c r="BD929" s="121" t="str">
        <f>IF('Cable Info'!T633="","",CONCATENATE('Cable Info'!T633," - ",'Cable Info'!U633))</f>
        <v/>
      </c>
      <c r="BG929" s="121" t="str">
        <f t="shared" si="166"/>
        <v/>
      </c>
      <c r="BI929" s="121" t="str">
        <f>IF('Cable Info'!V633="","",CONCATENATE('Cable Info'!V633," - ",'Cable Info'!W633))</f>
        <v/>
      </c>
      <c r="BL929" s="121" t="str">
        <f t="shared" si="167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2"/>
        <v>#N/A</v>
      </c>
      <c r="AO930" s="121" t="e">
        <f>IF('Cable Info'!N634="","",CONCATENATE('Cable Info'!N634," - ",'Cable Info'!O634))</f>
        <v>#N/A</v>
      </c>
      <c r="AR930" s="121" t="e">
        <f t="shared" si="163"/>
        <v>#N/A</v>
      </c>
      <c r="AT930" s="121" t="e">
        <f>IF('Cable Info'!P634="","",CONCATENATE('Cable Info'!P634," - ",'Cable Info'!Q634))</f>
        <v>#N/A</v>
      </c>
      <c r="AW930" s="121" t="e">
        <f t="shared" si="164"/>
        <v>#N/A</v>
      </c>
      <c r="AY930" s="121" t="str">
        <f>IF('Cable Info'!R634="","",CONCATENATE('Cable Info'!R634," - ",'Cable Info'!S634))</f>
        <v/>
      </c>
      <c r="BB930" s="121" t="str">
        <f t="shared" si="165"/>
        <v/>
      </c>
      <c r="BD930" s="121" t="str">
        <f>IF('Cable Info'!T634="","",CONCATENATE('Cable Info'!T634," - ",'Cable Info'!U634))</f>
        <v/>
      </c>
      <c r="BG930" s="121" t="str">
        <f t="shared" si="166"/>
        <v/>
      </c>
      <c r="BI930" s="121" t="str">
        <f>IF('Cable Info'!V634="","",CONCATENATE('Cable Info'!V634," - ",'Cable Info'!W634))</f>
        <v/>
      </c>
      <c r="BL930" s="121" t="str">
        <f t="shared" si="167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2"/>
        <v>#N/A</v>
      </c>
      <c r="AO931" s="121" t="e">
        <f>IF('Cable Info'!N635="","",CONCATENATE('Cable Info'!N635," - ",'Cable Info'!O635))</f>
        <v>#N/A</v>
      </c>
      <c r="AR931" s="121" t="e">
        <f t="shared" si="163"/>
        <v>#N/A</v>
      </c>
      <c r="AT931" s="121" t="e">
        <f>IF('Cable Info'!P635="","",CONCATENATE('Cable Info'!P635," - ",'Cable Info'!Q635))</f>
        <v>#N/A</v>
      </c>
      <c r="AW931" s="121" t="e">
        <f t="shared" si="164"/>
        <v>#N/A</v>
      </c>
      <c r="AY931" s="121" t="str">
        <f>IF('Cable Info'!R635="","",CONCATENATE('Cable Info'!R635," - ",'Cable Info'!S635))</f>
        <v/>
      </c>
      <c r="BB931" s="121" t="str">
        <f t="shared" si="165"/>
        <v/>
      </c>
      <c r="BD931" s="121" t="str">
        <f>IF('Cable Info'!T635="","",CONCATENATE('Cable Info'!T635," - ",'Cable Info'!U635))</f>
        <v/>
      </c>
      <c r="BG931" s="121" t="str">
        <f t="shared" si="166"/>
        <v/>
      </c>
      <c r="BI931" s="121" t="str">
        <f>IF('Cable Info'!V635="","",CONCATENATE('Cable Info'!V635," - ",'Cable Info'!W635))</f>
        <v/>
      </c>
      <c r="BL931" s="121" t="str">
        <f t="shared" si="167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2"/>
        <v>#N/A</v>
      </c>
      <c r="AO932" s="121" t="e">
        <f>IF('Cable Info'!N636="","",CONCATENATE('Cable Info'!N636," - ",'Cable Info'!O636))</f>
        <v>#N/A</v>
      </c>
      <c r="AR932" s="121" t="e">
        <f t="shared" si="163"/>
        <v>#N/A</v>
      </c>
      <c r="AT932" s="121" t="e">
        <f>IF('Cable Info'!P636="","",CONCATENATE('Cable Info'!P636," - ",'Cable Info'!Q636))</f>
        <v>#N/A</v>
      </c>
      <c r="AW932" s="121" t="e">
        <f t="shared" si="164"/>
        <v>#N/A</v>
      </c>
      <c r="AY932" s="121" t="str">
        <f>IF('Cable Info'!R636="","",CONCATENATE('Cable Info'!R636," - ",'Cable Info'!S636))</f>
        <v/>
      </c>
      <c r="BB932" s="121" t="str">
        <f t="shared" si="165"/>
        <v/>
      </c>
      <c r="BD932" s="121" t="str">
        <f>IF('Cable Info'!T636="","",CONCATENATE('Cable Info'!T636," - ",'Cable Info'!U636))</f>
        <v/>
      </c>
      <c r="BG932" s="121" t="str">
        <f t="shared" si="166"/>
        <v/>
      </c>
      <c r="BI932" s="121" t="str">
        <f>IF('Cable Info'!V636="","",CONCATENATE('Cable Info'!V636," - ",'Cable Info'!W636))</f>
        <v/>
      </c>
      <c r="BL932" s="121" t="str">
        <f t="shared" si="167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2"/>
        <v>#N/A</v>
      </c>
      <c r="AO933" s="121" t="e">
        <f>IF('Cable Info'!N637="","",CONCATENATE('Cable Info'!N637," - ",'Cable Info'!O637))</f>
        <v>#N/A</v>
      </c>
      <c r="AR933" s="121" t="e">
        <f t="shared" si="163"/>
        <v>#N/A</v>
      </c>
      <c r="AT933" s="121" t="e">
        <f>IF('Cable Info'!P637="","",CONCATENATE('Cable Info'!P637," - ",'Cable Info'!Q637))</f>
        <v>#N/A</v>
      </c>
      <c r="AW933" s="121" t="e">
        <f t="shared" si="164"/>
        <v>#N/A</v>
      </c>
      <c r="AY933" s="121" t="str">
        <f>IF('Cable Info'!R637="","",CONCATENATE('Cable Info'!R637," - ",'Cable Info'!S637))</f>
        <v/>
      </c>
      <c r="BB933" s="121" t="str">
        <f t="shared" si="165"/>
        <v/>
      </c>
      <c r="BD933" s="121" t="str">
        <f>IF('Cable Info'!T637="","",CONCATENATE('Cable Info'!T637," - ",'Cable Info'!U637))</f>
        <v/>
      </c>
      <c r="BG933" s="121" t="str">
        <f t="shared" si="166"/>
        <v/>
      </c>
      <c r="BI933" s="121" t="str">
        <f>IF('Cable Info'!V637="","",CONCATENATE('Cable Info'!V637," - ",'Cable Info'!W637))</f>
        <v/>
      </c>
      <c r="BL933" s="121" t="str">
        <f t="shared" si="167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2"/>
        <v>#N/A</v>
      </c>
      <c r="AO934" s="121" t="e">
        <f>IF('Cable Info'!N638="","",CONCATENATE('Cable Info'!N638," - ",'Cable Info'!O638))</f>
        <v>#N/A</v>
      </c>
      <c r="AR934" s="121" t="e">
        <f t="shared" si="163"/>
        <v>#N/A</v>
      </c>
      <c r="AT934" s="121" t="e">
        <f>IF('Cable Info'!P638="","",CONCATENATE('Cable Info'!P638," - ",'Cable Info'!Q638))</f>
        <v>#N/A</v>
      </c>
      <c r="AW934" s="121" t="e">
        <f t="shared" si="164"/>
        <v>#N/A</v>
      </c>
      <c r="AY934" s="121" t="str">
        <f>IF('Cable Info'!R638="","",CONCATENATE('Cable Info'!R638," - ",'Cable Info'!S638))</f>
        <v/>
      </c>
      <c r="BB934" s="121" t="str">
        <f t="shared" si="165"/>
        <v/>
      </c>
      <c r="BD934" s="121" t="str">
        <f>IF('Cable Info'!T638="","",CONCATENATE('Cable Info'!T638," - ",'Cable Info'!U638))</f>
        <v/>
      </c>
      <c r="BG934" s="121" t="str">
        <f t="shared" si="166"/>
        <v/>
      </c>
      <c r="BI934" s="121" t="str">
        <f>IF('Cable Info'!V638="","",CONCATENATE('Cable Info'!V638," - ",'Cable Info'!W638))</f>
        <v/>
      </c>
      <c r="BL934" s="121" t="str">
        <f t="shared" si="167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2"/>
        <v>#N/A</v>
      </c>
      <c r="AO935" s="121" t="e">
        <f>IF('Cable Info'!N639="","",CONCATENATE('Cable Info'!N639," - ",'Cable Info'!O639))</f>
        <v>#N/A</v>
      </c>
      <c r="AR935" s="121" t="e">
        <f t="shared" si="163"/>
        <v>#N/A</v>
      </c>
      <c r="AT935" s="121" t="e">
        <f>IF('Cable Info'!P639="","",CONCATENATE('Cable Info'!P639," - ",'Cable Info'!Q639))</f>
        <v>#N/A</v>
      </c>
      <c r="AW935" s="121" t="e">
        <f t="shared" si="164"/>
        <v>#N/A</v>
      </c>
      <c r="AY935" s="121" t="str">
        <f>IF('Cable Info'!R639="","",CONCATENATE('Cable Info'!R639," - ",'Cable Info'!S639))</f>
        <v/>
      </c>
      <c r="BB935" s="121" t="str">
        <f t="shared" si="165"/>
        <v/>
      </c>
      <c r="BD935" s="121" t="str">
        <f>IF('Cable Info'!T639="","",CONCATENATE('Cable Info'!T639," - ",'Cable Info'!U639))</f>
        <v/>
      </c>
      <c r="BG935" s="121" t="str">
        <f t="shared" si="166"/>
        <v/>
      </c>
      <c r="BI935" s="121" t="str">
        <f>IF('Cable Info'!V639="","",CONCATENATE('Cable Info'!V639," - ",'Cable Info'!W639))</f>
        <v/>
      </c>
      <c r="BL935" s="121" t="str">
        <f t="shared" si="167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2"/>
        <v>#N/A</v>
      </c>
      <c r="AO936" s="121" t="e">
        <f>IF('Cable Info'!N640="","",CONCATENATE('Cable Info'!N640," - ",'Cable Info'!O640))</f>
        <v>#N/A</v>
      </c>
      <c r="AR936" s="121" t="e">
        <f t="shared" si="163"/>
        <v>#N/A</v>
      </c>
      <c r="AT936" s="121" t="e">
        <f>IF('Cable Info'!P640="","",CONCATENATE('Cable Info'!P640," - ",'Cable Info'!Q640))</f>
        <v>#N/A</v>
      </c>
      <c r="AW936" s="121" t="e">
        <f t="shared" si="164"/>
        <v>#N/A</v>
      </c>
      <c r="AY936" s="121" t="str">
        <f>IF('Cable Info'!R640="","",CONCATENATE('Cable Info'!R640," - ",'Cable Info'!S640))</f>
        <v/>
      </c>
      <c r="BB936" s="121" t="str">
        <f t="shared" si="165"/>
        <v/>
      </c>
      <c r="BD936" s="121" t="str">
        <f>IF('Cable Info'!T640="","",CONCATENATE('Cable Info'!T640," - ",'Cable Info'!U640))</f>
        <v/>
      </c>
      <c r="BG936" s="121" t="str">
        <f t="shared" si="166"/>
        <v/>
      </c>
      <c r="BI936" s="121" t="str">
        <f>IF('Cable Info'!V640="","",CONCATENATE('Cable Info'!V640," - ",'Cable Info'!W640))</f>
        <v/>
      </c>
      <c r="BL936" s="121" t="str">
        <f t="shared" si="167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2"/>
        <v>#N/A</v>
      </c>
      <c r="AO937" s="121" t="e">
        <f>IF('Cable Info'!N641="","",CONCATENATE('Cable Info'!N641," - ",'Cable Info'!O641))</f>
        <v>#N/A</v>
      </c>
      <c r="AR937" s="121" t="e">
        <f t="shared" si="163"/>
        <v>#N/A</v>
      </c>
      <c r="AT937" s="121" t="e">
        <f>IF('Cable Info'!P641="","",CONCATENATE('Cable Info'!P641," - ",'Cable Info'!Q641))</f>
        <v>#N/A</v>
      </c>
      <c r="AW937" s="121" t="e">
        <f t="shared" si="164"/>
        <v>#N/A</v>
      </c>
      <c r="AY937" s="121" t="str">
        <f>IF('Cable Info'!R641="","",CONCATENATE('Cable Info'!R641," - ",'Cable Info'!S641))</f>
        <v/>
      </c>
      <c r="BB937" s="121" t="str">
        <f t="shared" si="165"/>
        <v/>
      </c>
      <c r="BD937" s="121" t="str">
        <f>IF('Cable Info'!T641="","",CONCATENATE('Cable Info'!T641," - ",'Cable Info'!U641))</f>
        <v/>
      </c>
      <c r="BG937" s="121" t="str">
        <f t="shared" si="166"/>
        <v/>
      </c>
      <c r="BI937" s="121" t="str">
        <f>IF('Cable Info'!V641="","",CONCATENATE('Cable Info'!V641," - ",'Cable Info'!W641))</f>
        <v/>
      </c>
      <c r="BL937" s="121" t="str">
        <f t="shared" si="167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2"/>
        <v>#N/A</v>
      </c>
      <c r="AO938" s="121" t="e">
        <f>IF('Cable Info'!N642="","",CONCATENATE('Cable Info'!N642," - ",'Cable Info'!O642))</f>
        <v>#N/A</v>
      </c>
      <c r="AR938" s="121" t="e">
        <f t="shared" si="163"/>
        <v>#N/A</v>
      </c>
      <c r="AT938" s="121" t="e">
        <f>IF('Cable Info'!P642="","",CONCATENATE('Cable Info'!P642," - ",'Cable Info'!Q642))</f>
        <v>#N/A</v>
      </c>
      <c r="AW938" s="121" t="e">
        <f t="shared" si="164"/>
        <v>#N/A</v>
      </c>
      <c r="AY938" s="121" t="str">
        <f>IF('Cable Info'!R642="","",CONCATENATE('Cable Info'!R642," - ",'Cable Info'!S642))</f>
        <v/>
      </c>
      <c r="BB938" s="121" t="str">
        <f t="shared" si="165"/>
        <v/>
      </c>
      <c r="BD938" s="121" t="str">
        <f>IF('Cable Info'!T642="","",CONCATENATE('Cable Info'!T642," - ",'Cable Info'!U642))</f>
        <v/>
      </c>
      <c r="BG938" s="121" t="str">
        <f t="shared" si="166"/>
        <v/>
      </c>
      <c r="BI938" s="121" t="str">
        <f>IF('Cable Info'!V642="","",CONCATENATE('Cable Info'!V642," - ",'Cable Info'!W642))</f>
        <v/>
      </c>
      <c r="BL938" s="121" t="str">
        <f t="shared" si="167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68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69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0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1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2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3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68"/>
        <v>#N/A</v>
      </c>
      <c r="AO940" s="121" t="e">
        <f>IF('Cable Info'!N644="","",CONCATENATE('Cable Info'!N644," - ",'Cable Info'!O644))</f>
        <v>#N/A</v>
      </c>
      <c r="AR940" s="121" t="e">
        <f t="shared" si="169"/>
        <v>#N/A</v>
      </c>
      <c r="AT940" s="121" t="e">
        <f>IF('Cable Info'!P644="","",CONCATENATE('Cable Info'!P644," - ",'Cable Info'!Q644))</f>
        <v>#N/A</v>
      </c>
      <c r="AW940" s="121" t="e">
        <f t="shared" si="170"/>
        <v>#N/A</v>
      </c>
      <c r="AY940" s="121" t="str">
        <f>IF('Cable Info'!R644="","",CONCATENATE('Cable Info'!R644," - ",'Cable Info'!S644))</f>
        <v/>
      </c>
      <c r="BB940" s="121" t="str">
        <f t="shared" si="171"/>
        <v/>
      </c>
      <c r="BD940" s="121" t="str">
        <f>IF('Cable Info'!T644="","",CONCATENATE('Cable Info'!T644," - ",'Cable Info'!U644))</f>
        <v/>
      </c>
      <c r="BG940" s="121" t="str">
        <f t="shared" si="172"/>
        <v/>
      </c>
      <c r="BI940" s="121" t="str">
        <f>IF('Cable Info'!V644="","",CONCATENATE('Cable Info'!V644," - ",'Cable Info'!W644))</f>
        <v/>
      </c>
      <c r="BL940" s="121" t="str">
        <f t="shared" si="173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68"/>
        <v>#N/A</v>
      </c>
      <c r="AO941" s="121" t="e">
        <f>IF('Cable Info'!N645="","",CONCATENATE('Cable Info'!N645," - ",'Cable Info'!O645))</f>
        <v>#N/A</v>
      </c>
      <c r="AR941" s="121" t="e">
        <f t="shared" si="169"/>
        <v>#N/A</v>
      </c>
      <c r="AT941" s="121" t="e">
        <f>IF('Cable Info'!P645="","",CONCATENATE('Cable Info'!P645," - ",'Cable Info'!Q645))</f>
        <v>#N/A</v>
      </c>
      <c r="AW941" s="121" t="e">
        <f t="shared" si="170"/>
        <v>#N/A</v>
      </c>
      <c r="AY941" s="121" t="str">
        <f>IF('Cable Info'!R645="","",CONCATENATE('Cable Info'!R645," - ",'Cable Info'!S645))</f>
        <v/>
      </c>
      <c r="BB941" s="121" t="str">
        <f t="shared" si="171"/>
        <v/>
      </c>
      <c r="BD941" s="121" t="str">
        <f>IF('Cable Info'!T645="","",CONCATENATE('Cable Info'!T645," - ",'Cable Info'!U645))</f>
        <v/>
      </c>
      <c r="BG941" s="121" t="str">
        <f t="shared" si="172"/>
        <v/>
      </c>
      <c r="BI941" s="121" t="str">
        <f>IF('Cable Info'!V645="","",CONCATENATE('Cable Info'!V645," - ",'Cable Info'!W645))</f>
        <v/>
      </c>
      <c r="BL941" s="121" t="str">
        <f t="shared" si="173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68"/>
        <v>#N/A</v>
      </c>
      <c r="AO942" s="121" t="e">
        <f>IF('Cable Info'!N646="","",CONCATENATE('Cable Info'!N646," - ",'Cable Info'!O646))</f>
        <v>#N/A</v>
      </c>
      <c r="AR942" s="121" t="e">
        <f t="shared" si="169"/>
        <v>#N/A</v>
      </c>
      <c r="AT942" s="121" t="e">
        <f>IF('Cable Info'!P646="","",CONCATENATE('Cable Info'!P646," - ",'Cable Info'!Q646))</f>
        <v>#N/A</v>
      </c>
      <c r="AW942" s="121" t="e">
        <f t="shared" si="170"/>
        <v>#N/A</v>
      </c>
      <c r="AY942" s="121" t="str">
        <f>IF('Cable Info'!R646="","",CONCATENATE('Cable Info'!R646," - ",'Cable Info'!S646))</f>
        <v/>
      </c>
      <c r="BB942" s="121" t="str">
        <f t="shared" si="171"/>
        <v/>
      </c>
      <c r="BD942" s="121" t="str">
        <f>IF('Cable Info'!T646="","",CONCATENATE('Cable Info'!T646," - ",'Cable Info'!U646))</f>
        <v/>
      </c>
      <c r="BG942" s="121" t="str">
        <f t="shared" si="172"/>
        <v/>
      </c>
      <c r="BI942" s="121" t="str">
        <f>IF('Cable Info'!V646="","",CONCATENATE('Cable Info'!V646," - ",'Cable Info'!W646))</f>
        <v/>
      </c>
      <c r="BL942" s="121" t="str">
        <f t="shared" si="173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68"/>
        <v>#N/A</v>
      </c>
      <c r="AO943" s="121" t="e">
        <f>IF('Cable Info'!N647="","",CONCATENATE('Cable Info'!N647," - ",'Cable Info'!O647))</f>
        <v>#N/A</v>
      </c>
      <c r="AR943" s="121" t="e">
        <f t="shared" si="169"/>
        <v>#N/A</v>
      </c>
      <c r="AT943" s="121" t="e">
        <f>IF('Cable Info'!P647="","",CONCATENATE('Cable Info'!P647," - ",'Cable Info'!Q647))</f>
        <v>#N/A</v>
      </c>
      <c r="AW943" s="121" t="e">
        <f t="shared" si="170"/>
        <v>#N/A</v>
      </c>
      <c r="AY943" s="121" t="str">
        <f>IF('Cable Info'!R647="","",CONCATENATE('Cable Info'!R647," - ",'Cable Info'!S647))</f>
        <v/>
      </c>
      <c r="BB943" s="121" t="str">
        <f t="shared" si="171"/>
        <v/>
      </c>
      <c r="BD943" s="121" t="str">
        <f>IF('Cable Info'!T647="","",CONCATENATE('Cable Info'!T647," - ",'Cable Info'!U647))</f>
        <v/>
      </c>
      <c r="BG943" s="121" t="str">
        <f t="shared" si="172"/>
        <v/>
      </c>
      <c r="BI943" s="121" t="str">
        <f>IF('Cable Info'!V647="","",CONCATENATE('Cable Info'!V647," - ",'Cable Info'!W647))</f>
        <v/>
      </c>
      <c r="BL943" s="121" t="str">
        <f t="shared" si="173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68"/>
        <v>#N/A</v>
      </c>
      <c r="AO944" s="121" t="e">
        <f>IF('Cable Info'!N648="","",CONCATENATE('Cable Info'!N648," - ",'Cable Info'!O648))</f>
        <v>#N/A</v>
      </c>
      <c r="AR944" s="121" t="e">
        <f t="shared" si="169"/>
        <v>#N/A</v>
      </c>
      <c r="AT944" s="121" t="e">
        <f>IF('Cable Info'!P648="","",CONCATENATE('Cable Info'!P648," - ",'Cable Info'!Q648))</f>
        <v>#N/A</v>
      </c>
      <c r="AW944" s="121" t="e">
        <f t="shared" si="170"/>
        <v>#N/A</v>
      </c>
      <c r="AY944" s="121" t="str">
        <f>IF('Cable Info'!R648="","",CONCATENATE('Cable Info'!R648," - ",'Cable Info'!S648))</f>
        <v/>
      </c>
      <c r="BB944" s="121" t="str">
        <f t="shared" si="171"/>
        <v/>
      </c>
      <c r="BD944" s="121" t="str">
        <f>IF('Cable Info'!T648="","",CONCATENATE('Cable Info'!T648," - ",'Cable Info'!U648))</f>
        <v/>
      </c>
      <c r="BG944" s="121" t="str">
        <f t="shared" si="172"/>
        <v/>
      </c>
      <c r="BI944" s="121" t="str">
        <f>IF('Cable Info'!V648="","",CONCATENATE('Cable Info'!V648," - ",'Cable Info'!W648))</f>
        <v/>
      </c>
      <c r="BL944" s="121" t="str">
        <f t="shared" si="173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68"/>
        <v>#N/A</v>
      </c>
      <c r="AO945" s="121" t="e">
        <f>IF('Cable Info'!N649="","",CONCATENATE('Cable Info'!N649," - ",'Cable Info'!O649))</f>
        <v>#N/A</v>
      </c>
      <c r="AR945" s="121" t="e">
        <f t="shared" si="169"/>
        <v>#N/A</v>
      </c>
      <c r="AT945" s="121" t="e">
        <f>IF('Cable Info'!P649="","",CONCATENATE('Cable Info'!P649," - ",'Cable Info'!Q649))</f>
        <v>#N/A</v>
      </c>
      <c r="AW945" s="121" t="e">
        <f t="shared" si="170"/>
        <v>#N/A</v>
      </c>
      <c r="AY945" s="121" t="str">
        <f>IF('Cable Info'!R649="","",CONCATENATE('Cable Info'!R649," - ",'Cable Info'!S649))</f>
        <v/>
      </c>
      <c r="BB945" s="121" t="str">
        <f t="shared" si="171"/>
        <v/>
      </c>
      <c r="BD945" s="121" t="str">
        <f>IF('Cable Info'!T649="","",CONCATENATE('Cable Info'!T649," - ",'Cable Info'!U649))</f>
        <v/>
      </c>
      <c r="BG945" s="121" t="str">
        <f t="shared" si="172"/>
        <v/>
      </c>
      <c r="BI945" s="121" t="str">
        <f>IF('Cable Info'!V649="","",CONCATENATE('Cable Info'!V649," - ",'Cable Info'!W649))</f>
        <v/>
      </c>
      <c r="BL945" s="121" t="str">
        <f t="shared" si="173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68"/>
        <v>#N/A</v>
      </c>
      <c r="AO946" s="121" t="e">
        <f>IF('Cable Info'!N650="","",CONCATENATE('Cable Info'!N650," - ",'Cable Info'!O650))</f>
        <v>#N/A</v>
      </c>
      <c r="AR946" s="121" t="e">
        <f t="shared" si="169"/>
        <v>#N/A</v>
      </c>
      <c r="AT946" s="121" t="e">
        <f>IF('Cable Info'!P650="","",CONCATENATE('Cable Info'!P650," - ",'Cable Info'!Q650))</f>
        <v>#N/A</v>
      </c>
      <c r="AW946" s="121" t="e">
        <f t="shared" si="170"/>
        <v>#N/A</v>
      </c>
      <c r="AY946" s="121" t="str">
        <f>IF('Cable Info'!R650="","",CONCATENATE('Cable Info'!R650," - ",'Cable Info'!S650))</f>
        <v/>
      </c>
      <c r="BB946" s="121" t="str">
        <f t="shared" si="171"/>
        <v/>
      </c>
      <c r="BD946" s="121" t="str">
        <f>IF('Cable Info'!T650="","",CONCATENATE('Cable Info'!T650," - ",'Cable Info'!U650))</f>
        <v/>
      </c>
      <c r="BG946" s="121" t="str">
        <f t="shared" si="172"/>
        <v/>
      </c>
      <c r="BI946" s="121" t="str">
        <f>IF('Cable Info'!V650="","",CONCATENATE('Cable Info'!V650," - ",'Cable Info'!W650))</f>
        <v/>
      </c>
      <c r="BL946" s="121" t="str">
        <f t="shared" si="173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68"/>
        <v>#N/A</v>
      </c>
      <c r="AO947" s="121" t="e">
        <f>IF('Cable Info'!N651="","",CONCATENATE('Cable Info'!N651," - ",'Cable Info'!O651))</f>
        <v>#N/A</v>
      </c>
      <c r="AR947" s="121" t="e">
        <f t="shared" si="169"/>
        <v>#N/A</v>
      </c>
      <c r="AT947" s="121" t="e">
        <f>IF('Cable Info'!P651="","",CONCATENATE('Cable Info'!P651," - ",'Cable Info'!Q651))</f>
        <v>#N/A</v>
      </c>
      <c r="AW947" s="121" t="e">
        <f t="shared" si="170"/>
        <v>#N/A</v>
      </c>
      <c r="AY947" s="121" t="str">
        <f>IF('Cable Info'!R651="","",CONCATENATE('Cable Info'!R651," - ",'Cable Info'!S651))</f>
        <v/>
      </c>
      <c r="BB947" s="121" t="str">
        <f t="shared" si="171"/>
        <v/>
      </c>
      <c r="BD947" s="121" t="str">
        <f>IF('Cable Info'!T651="","",CONCATENATE('Cable Info'!T651," - ",'Cable Info'!U651))</f>
        <v/>
      </c>
      <c r="BG947" s="121" t="str">
        <f t="shared" si="172"/>
        <v/>
      </c>
      <c r="BI947" s="121" t="str">
        <f>IF('Cable Info'!V651="","",CONCATENATE('Cable Info'!V651," - ",'Cable Info'!W651))</f>
        <v/>
      </c>
      <c r="BL947" s="121" t="str">
        <f t="shared" si="173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68"/>
        <v>#N/A</v>
      </c>
      <c r="AO948" s="121" t="e">
        <f>IF('Cable Info'!N652="","",CONCATENATE('Cable Info'!N652," - ",'Cable Info'!O652))</f>
        <v>#N/A</v>
      </c>
      <c r="AR948" s="121" t="e">
        <f t="shared" si="169"/>
        <v>#N/A</v>
      </c>
      <c r="AT948" s="121" t="e">
        <f>IF('Cable Info'!P652="","",CONCATENATE('Cable Info'!P652," - ",'Cable Info'!Q652))</f>
        <v>#N/A</v>
      </c>
      <c r="AW948" s="121" t="e">
        <f t="shared" si="170"/>
        <v>#N/A</v>
      </c>
      <c r="AY948" s="121" t="str">
        <f>IF('Cable Info'!R652="","",CONCATENATE('Cable Info'!R652," - ",'Cable Info'!S652))</f>
        <v/>
      </c>
      <c r="BB948" s="121" t="str">
        <f t="shared" si="171"/>
        <v/>
      </c>
      <c r="BD948" s="121" t="str">
        <f>IF('Cable Info'!T652="","",CONCATENATE('Cable Info'!T652," - ",'Cable Info'!U652))</f>
        <v/>
      </c>
      <c r="BG948" s="121" t="str">
        <f t="shared" si="172"/>
        <v/>
      </c>
      <c r="BI948" s="121" t="str">
        <f>IF('Cable Info'!V652="","",CONCATENATE('Cable Info'!V652," - ",'Cable Info'!W652))</f>
        <v/>
      </c>
      <c r="BL948" s="121" t="str">
        <f t="shared" si="173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68"/>
        <v>#N/A</v>
      </c>
      <c r="AO949" s="121" t="e">
        <f>IF('Cable Info'!N653="","",CONCATENATE('Cable Info'!N653," - ",'Cable Info'!O653))</f>
        <v>#N/A</v>
      </c>
      <c r="AR949" s="121" t="e">
        <f t="shared" si="169"/>
        <v>#N/A</v>
      </c>
      <c r="AT949" s="121" t="e">
        <f>IF('Cable Info'!P653="","",CONCATENATE('Cable Info'!P653," - ",'Cable Info'!Q653))</f>
        <v>#N/A</v>
      </c>
      <c r="AW949" s="121" t="e">
        <f t="shared" si="170"/>
        <v>#N/A</v>
      </c>
      <c r="AY949" s="121" t="str">
        <f>IF('Cable Info'!R653="","",CONCATENATE('Cable Info'!R653," - ",'Cable Info'!S653))</f>
        <v/>
      </c>
      <c r="BB949" s="121" t="str">
        <f t="shared" si="171"/>
        <v/>
      </c>
      <c r="BD949" s="121" t="str">
        <f>IF('Cable Info'!T653="","",CONCATENATE('Cable Info'!T653," - ",'Cable Info'!U653))</f>
        <v/>
      </c>
      <c r="BG949" s="121" t="str">
        <f t="shared" si="172"/>
        <v/>
      </c>
      <c r="BI949" s="121" t="str">
        <f>IF('Cable Info'!V653="","",CONCATENATE('Cable Info'!V653," - ",'Cable Info'!W653))</f>
        <v/>
      </c>
      <c r="BL949" s="121" t="str">
        <f t="shared" si="173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68"/>
        <v>#N/A</v>
      </c>
      <c r="AO950" s="121" t="e">
        <f>IF('Cable Info'!N654="","",CONCATENATE('Cable Info'!N654," - ",'Cable Info'!O654))</f>
        <v>#N/A</v>
      </c>
      <c r="AR950" s="121" t="e">
        <f t="shared" si="169"/>
        <v>#N/A</v>
      </c>
      <c r="AT950" s="121" t="e">
        <f>IF('Cable Info'!P654="","",CONCATENATE('Cable Info'!P654," - ",'Cable Info'!Q654))</f>
        <v>#N/A</v>
      </c>
      <c r="AW950" s="121" t="e">
        <f t="shared" si="170"/>
        <v>#N/A</v>
      </c>
      <c r="AY950" s="121" t="str">
        <f>IF('Cable Info'!R654="","",CONCATENATE('Cable Info'!R654," - ",'Cable Info'!S654))</f>
        <v/>
      </c>
      <c r="BB950" s="121" t="str">
        <f t="shared" si="171"/>
        <v/>
      </c>
      <c r="BD950" s="121" t="str">
        <f>IF('Cable Info'!T654="","",CONCATENATE('Cable Info'!T654," - ",'Cable Info'!U654))</f>
        <v/>
      </c>
      <c r="BG950" s="121" t="str">
        <f t="shared" si="172"/>
        <v/>
      </c>
      <c r="BI950" s="121" t="str">
        <f>IF('Cable Info'!V654="","",CONCATENATE('Cable Info'!V654," - ",'Cable Info'!W654))</f>
        <v/>
      </c>
      <c r="BL950" s="121" t="str">
        <f t="shared" si="173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68"/>
        <v>#N/A</v>
      </c>
      <c r="AO951" s="121" t="e">
        <f>IF('Cable Info'!N655="","",CONCATENATE('Cable Info'!N655," - ",'Cable Info'!O655))</f>
        <v>#N/A</v>
      </c>
      <c r="AR951" s="121" t="e">
        <f t="shared" si="169"/>
        <v>#N/A</v>
      </c>
      <c r="AT951" s="121" t="e">
        <f>IF('Cable Info'!P655="","",CONCATENATE('Cable Info'!P655," - ",'Cable Info'!Q655))</f>
        <v>#N/A</v>
      </c>
      <c r="AW951" s="121" t="e">
        <f t="shared" si="170"/>
        <v>#N/A</v>
      </c>
      <c r="AY951" s="121" t="str">
        <f>IF('Cable Info'!R655="","",CONCATENATE('Cable Info'!R655," - ",'Cable Info'!S655))</f>
        <v/>
      </c>
      <c r="BB951" s="121" t="str">
        <f t="shared" si="171"/>
        <v/>
      </c>
      <c r="BD951" s="121" t="str">
        <f>IF('Cable Info'!T655="","",CONCATENATE('Cable Info'!T655," - ",'Cable Info'!U655))</f>
        <v/>
      </c>
      <c r="BG951" s="121" t="str">
        <f t="shared" si="172"/>
        <v/>
      </c>
      <c r="BI951" s="121" t="str">
        <f>IF('Cable Info'!V655="","",CONCATENATE('Cable Info'!V655," - ",'Cable Info'!W655))</f>
        <v/>
      </c>
      <c r="BL951" s="121" t="str">
        <f t="shared" si="173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68"/>
        <v>#N/A</v>
      </c>
      <c r="AO952" s="121" t="e">
        <f>IF('Cable Info'!N656="","",CONCATENATE('Cable Info'!N656," - ",'Cable Info'!O656))</f>
        <v>#N/A</v>
      </c>
      <c r="AR952" s="121" t="e">
        <f t="shared" si="169"/>
        <v>#N/A</v>
      </c>
      <c r="AT952" s="121" t="e">
        <f>IF('Cable Info'!P656="","",CONCATENATE('Cable Info'!P656," - ",'Cable Info'!Q656))</f>
        <v>#N/A</v>
      </c>
      <c r="AW952" s="121" t="e">
        <f t="shared" si="170"/>
        <v>#N/A</v>
      </c>
      <c r="AY952" s="121" t="str">
        <f>IF('Cable Info'!R656="","",CONCATENATE('Cable Info'!R656," - ",'Cable Info'!S656))</f>
        <v/>
      </c>
      <c r="BB952" s="121" t="str">
        <f t="shared" si="171"/>
        <v/>
      </c>
      <c r="BD952" s="121" t="str">
        <f>IF('Cable Info'!T656="","",CONCATENATE('Cable Info'!T656," - ",'Cable Info'!U656))</f>
        <v/>
      </c>
      <c r="BG952" s="121" t="str">
        <f t="shared" si="172"/>
        <v/>
      </c>
      <c r="BI952" s="121" t="str">
        <f>IF('Cable Info'!V656="","",CONCATENATE('Cable Info'!V656," - ",'Cable Info'!W656))</f>
        <v/>
      </c>
      <c r="BL952" s="121" t="str">
        <f t="shared" si="173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68"/>
        <v>#N/A</v>
      </c>
      <c r="AO953" s="121" t="e">
        <f>IF('Cable Info'!N657="","",CONCATENATE('Cable Info'!N657," - ",'Cable Info'!O657))</f>
        <v>#N/A</v>
      </c>
      <c r="AR953" s="121" t="e">
        <f t="shared" si="169"/>
        <v>#N/A</v>
      </c>
      <c r="AT953" s="121" t="e">
        <f>IF('Cable Info'!P657="","",CONCATENATE('Cable Info'!P657," - ",'Cable Info'!Q657))</f>
        <v>#N/A</v>
      </c>
      <c r="AW953" s="121" t="e">
        <f t="shared" si="170"/>
        <v>#N/A</v>
      </c>
      <c r="AY953" s="121" t="str">
        <f>IF('Cable Info'!R657="","",CONCATENATE('Cable Info'!R657," - ",'Cable Info'!S657))</f>
        <v/>
      </c>
      <c r="BB953" s="121" t="str">
        <f t="shared" si="171"/>
        <v/>
      </c>
      <c r="BD953" s="121" t="str">
        <f>IF('Cable Info'!T657="","",CONCATENATE('Cable Info'!T657," - ",'Cable Info'!U657))</f>
        <v/>
      </c>
      <c r="BG953" s="121" t="str">
        <f t="shared" si="172"/>
        <v/>
      </c>
      <c r="BI953" s="121" t="str">
        <f>IF('Cable Info'!V657="","",CONCATENATE('Cable Info'!V657," - ",'Cable Info'!W657))</f>
        <v/>
      </c>
      <c r="BL953" s="121" t="str">
        <f t="shared" si="173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68"/>
        <v>#N/A</v>
      </c>
      <c r="AO954" s="121" t="e">
        <f>IF('Cable Info'!N658="","",CONCATENATE('Cable Info'!N658," - ",'Cable Info'!O658))</f>
        <v>#N/A</v>
      </c>
      <c r="AR954" s="121" t="e">
        <f t="shared" si="169"/>
        <v>#N/A</v>
      </c>
      <c r="AT954" s="121" t="e">
        <f>IF('Cable Info'!P658="","",CONCATENATE('Cable Info'!P658," - ",'Cable Info'!Q658))</f>
        <v>#N/A</v>
      </c>
      <c r="AW954" s="121" t="e">
        <f t="shared" si="170"/>
        <v>#N/A</v>
      </c>
      <c r="AY954" s="121" t="str">
        <f>IF('Cable Info'!R658="","",CONCATENATE('Cable Info'!R658," - ",'Cable Info'!S658))</f>
        <v/>
      </c>
      <c r="BB954" s="121" t="str">
        <f t="shared" si="171"/>
        <v/>
      </c>
      <c r="BD954" s="121" t="str">
        <f>IF('Cable Info'!T658="","",CONCATENATE('Cable Info'!T658," - ",'Cable Info'!U658))</f>
        <v/>
      </c>
      <c r="BG954" s="121" t="str">
        <f t="shared" si="172"/>
        <v/>
      </c>
      <c r="BI954" s="121" t="str">
        <f>IF('Cable Info'!V658="","",CONCATENATE('Cable Info'!V658," - ",'Cable Info'!W658))</f>
        <v/>
      </c>
      <c r="BL954" s="121" t="str">
        <f t="shared" si="173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68"/>
        <v>#N/A</v>
      </c>
      <c r="AO955" s="121" t="e">
        <f>IF('Cable Info'!N659="","",CONCATENATE('Cable Info'!N659," - ",'Cable Info'!O659))</f>
        <v>#N/A</v>
      </c>
      <c r="AR955" s="121" t="e">
        <f t="shared" si="169"/>
        <v>#N/A</v>
      </c>
      <c r="AT955" s="121" t="e">
        <f>IF('Cable Info'!P659="","",CONCATENATE('Cable Info'!P659," - ",'Cable Info'!Q659))</f>
        <v>#N/A</v>
      </c>
      <c r="AW955" s="121" t="e">
        <f t="shared" si="170"/>
        <v>#N/A</v>
      </c>
      <c r="AY955" s="121" t="str">
        <f>IF('Cable Info'!R659="","",CONCATENATE('Cable Info'!R659," - ",'Cable Info'!S659))</f>
        <v/>
      </c>
      <c r="BB955" s="121" t="str">
        <f t="shared" si="171"/>
        <v/>
      </c>
      <c r="BD955" s="121" t="str">
        <f>IF('Cable Info'!T659="","",CONCATENATE('Cable Info'!T659," - ",'Cable Info'!U659))</f>
        <v/>
      </c>
      <c r="BG955" s="121" t="str">
        <f t="shared" si="172"/>
        <v/>
      </c>
      <c r="BI955" s="121" t="str">
        <f>IF('Cable Info'!V659="","",CONCATENATE('Cable Info'!V659," - ",'Cable Info'!W659))</f>
        <v/>
      </c>
      <c r="BL955" s="121" t="str">
        <f t="shared" si="173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68"/>
        <v>#N/A</v>
      </c>
      <c r="AO956" s="121" t="e">
        <f>IF('Cable Info'!N660="","",CONCATENATE('Cable Info'!N660," - ",'Cable Info'!O660))</f>
        <v>#N/A</v>
      </c>
      <c r="AR956" s="121" t="e">
        <f t="shared" si="169"/>
        <v>#N/A</v>
      </c>
      <c r="AT956" s="121" t="e">
        <f>IF('Cable Info'!P660="","",CONCATENATE('Cable Info'!P660," - ",'Cable Info'!Q660))</f>
        <v>#N/A</v>
      </c>
      <c r="AW956" s="121" t="e">
        <f t="shared" si="170"/>
        <v>#N/A</v>
      </c>
      <c r="AY956" s="121" t="str">
        <f>IF('Cable Info'!R660="","",CONCATENATE('Cable Info'!R660," - ",'Cable Info'!S660))</f>
        <v/>
      </c>
      <c r="BB956" s="121" t="str">
        <f t="shared" si="171"/>
        <v/>
      </c>
      <c r="BD956" s="121" t="str">
        <f>IF('Cable Info'!T660="","",CONCATENATE('Cable Info'!T660," - ",'Cable Info'!U660))</f>
        <v/>
      </c>
      <c r="BG956" s="121" t="str">
        <f t="shared" si="172"/>
        <v/>
      </c>
      <c r="BI956" s="121" t="str">
        <f>IF('Cable Info'!V660="","",CONCATENATE('Cable Info'!V660," - ",'Cable Info'!W660))</f>
        <v/>
      </c>
      <c r="BL956" s="121" t="str">
        <f t="shared" si="173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68"/>
        <v>#N/A</v>
      </c>
      <c r="AO957" s="121" t="e">
        <f>IF('Cable Info'!N661="","",CONCATENATE('Cable Info'!N661," - ",'Cable Info'!O661))</f>
        <v>#N/A</v>
      </c>
      <c r="AR957" s="121" t="e">
        <f t="shared" si="169"/>
        <v>#N/A</v>
      </c>
      <c r="AT957" s="121" t="e">
        <f>IF('Cable Info'!P661="","",CONCATENATE('Cable Info'!P661," - ",'Cable Info'!Q661))</f>
        <v>#N/A</v>
      </c>
      <c r="AW957" s="121" t="e">
        <f t="shared" si="170"/>
        <v>#N/A</v>
      </c>
      <c r="AY957" s="121" t="str">
        <f>IF('Cable Info'!R661="","",CONCATENATE('Cable Info'!R661," - ",'Cable Info'!S661))</f>
        <v/>
      </c>
      <c r="BB957" s="121" t="str">
        <f t="shared" si="171"/>
        <v/>
      </c>
      <c r="BD957" s="121" t="str">
        <f>IF('Cable Info'!T661="","",CONCATENATE('Cable Info'!T661," - ",'Cable Info'!U661))</f>
        <v/>
      </c>
      <c r="BG957" s="121" t="str">
        <f t="shared" si="172"/>
        <v/>
      </c>
      <c r="BI957" s="121" t="str">
        <f>IF('Cable Info'!V661="","",CONCATENATE('Cable Info'!V661," - ",'Cable Info'!W661))</f>
        <v/>
      </c>
      <c r="BL957" s="121" t="str">
        <f t="shared" si="173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68"/>
        <v>#N/A</v>
      </c>
      <c r="AO958" s="121" t="e">
        <f>IF('Cable Info'!N662="","",CONCATENATE('Cable Info'!N662," - ",'Cable Info'!O662))</f>
        <v>#N/A</v>
      </c>
      <c r="AR958" s="121" t="e">
        <f t="shared" si="169"/>
        <v>#N/A</v>
      </c>
      <c r="AT958" s="121" t="e">
        <f>IF('Cable Info'!P662="","",CONCATENATE('Cable Info'!P662," - ",'Cable Info'!Q662))</f>
        <v>#N/A</v>
      </c>
      <c r="AW958" s="121" t="e">
        <f t="shared" si="170"/>
        <v>#N/A</v>
      </c>
      <c r="AY958" s="121" t="str">
        <f>IF('Cable Info'!R662="","",CONCATENATE('Cable Info'!R662," - ",'Cable Info'!S662))</f>
        <v/>
      </c>
      <c r="BB958" s="121" t="str">
        <f t="shared" si="171"/>
        <v/>
      </c>
      <c r="BD958" s="121" t="str">
        <f>IF('Cable Info'!T662="","",CONCATENATE('Cable Info'!T662," - ",'Cable Info'!U662))</f>
        <v/>
      </c>
      <c r="BG958" s="121" t="str">
        <f t="shared" si="172"/>
        <v/>
      </c>
      <c r="BI958" s="121" t="str">
        <f>IF('Cable Info'!V662="","",CONCATENATE('Cable Info'!V662," - ",'Cable Info'!W662))</f>
        <v/>
      </c>
      <c r="BL958" s="121" t="str">
        <f t="shared" si="173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68"/>
        <v>#N/A</v>
      </c>
      <c r="AO959" s="121" t="e">
        <f>IF('Cable Info'!N663="","",CONCATENATE('Cable Info'!N663," - ",'Cable Info'!O663))</f>
        <v>#N/A</v>
      </c>
      <c r="AR959" s="121" t="e">
        <f t="shared" si="169"/>
        <v>#N/A</v>
      </c>
      <c r="AT959" s="121" t="e">
        <f>IF('Cable Info'!P663="","",CONCATENATE('Cable Info'!P663," - ",'Cable Info'!Q663))</f>
        <v>#N/A</v>
      </c>
      <c r="AW959" s="121" t="e">
        <f t="shared" si="170"/>
        <v>#N/A</v>
      </c>
      <c r="AY959" s="121" t="str">
        <f>IF('Cable Info'!R663="","",CONCATENATE('Cable Info'!R663," - ",'Cable Info'!S663))</f>
        <v/>
      </c>
      <c r="BB959" s="121" t="str">
        <f t="shared" si="171"/>
        <v/>
      </c>
      <c r="BD959" s="121" t="str">
        <f>IF('Cable Info'!T663="","",CONCATENATE('Cable Info'!T663," - ",'Cable Info'!U663))</f>
        <v/>
      </c>
      <c r="BG959" s="121" t="str">
        <f t="shared" si="172"/>
        <v/>
      </c>
      <c r="BI959" s="121" t="str">
        <f>IF('Cable Info'!V663="","",CONCATENATE('Cable Info'!V663," - ",'Cable Info'!W663))</f>
        <v/>
      </c>
      <c r="BL959" s="121" t="str">
        <f t="shared" si="173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68"/>
        <v>#N/A</v>
      </c>
      <c r="AO960" s="121" t="e">
        <f>IF('Cable Info'!N664="","",CONCATENATE('Cable Info'!N664," - ",'Cable Info'!O664))</f>
        <v>#N/A</v>
      </c>
      <c r="AR960" s="121" t="e">
        <f t="shared" si="169"/>
        <v>#N/A</v>
      </c>
      <c r="AT960" s="121" t="e">
        <f>IF('Cable Info'!P664="","",CONCATENATE('Cable Info'!P664," - ",'Cable Info'!Q664))</f>
        <v>#N/A</v>
      </c>
      <c r="AW960" s="121" t="e">
        <f t="shared" si="170"/>
        <v>#N/A</v>
      </c>
      <c r="AY960" s="121" t="str">
        <f>IF('Cable Info'!R664="","",CONCATENATE('Cable Info'!R664," - ",'Cable Info'!S664))</f>
        <v/>
      </c>
      <c r="BB960" s="121" t="str">
        <f t="shared" si="171"/>
        <v/>
      </c>
      <c r="BD960" s="121" t="str">
        <f>IF('Cable Info'!T664="","",CONCATENATE('Cable Info'!T664," - ",'Cable Info'!U664))</f>
        <v/>
      </c>
      <c r="BG960" s="121" t="str">
        <f t="shared" si="172"/>
        <v/>
      </c>
      <c r="BI960" s="121" t="str">
        <f>IF('Cable Info'!V664="","",CONCATENATE('Cable Info'!V664," - ",'Cable Info'!W664))</f>
        <v/>
      </c>
      <c r="BL960" s="121" t="str">
        <f t="shared" si="173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68"/>
        <v>#N/A</v>
      </c>
      <c r="AO961" s="121" t="e">
        <f>IF('Cable Info'!N665="","",CONCATENATE('Cable Info'!N665," - ",'Cable Info'!O665))</f>
        <v>#N/A</v>
      </c>
      <c r="AR961" s="121" t="e">
        <f t="shared" si="169"/>
        <v>#N/A</v>
      </c>
      <c r="AT961" s="121" t="e">
        <f>IF('Cable Info'!P665="","",CONCATENATE('Cable Info'!P665," - ",'Cable Info'!Q665))</f>
        <v>#N/A</v>
      </c>
      <c r="AW961" s="121" t="e">
        <f t="shared" si="170"/>
        <v>#N/A</v>
      </c>
      <c r="AY961" s="121" t="str">
        <f>IF('Cable Info'!R665="","",CONCATENATE('Cable Info'!R665," - ",'Cable Info'!S665))</f>
        <v/>
      </c>
      <c r="BB961" s="121" t="str">
        <f t="shared" si="171"/>
        <v/>
      </c>
      <c r="BD961" s="121" t="str">
        <f>IF('Cable Info'!T665="","",CONCATENATE('Cable Info'!T665," - ",'Cable Info'!U665))</f>
        <v/>
      </c>
      <c r="BG961" s="121" t="str">
        <f t="shared" si="172"/>
        <v/>
      </c>
      <c r="BI961" s="121" t="str">
        <f>IF('Cable Info'!V665="","",CONCATENATE('Cable Info'!V665," - ",'Cable Info'!W665))</f>
        <v/>
      </c>
      <c r="BL961" s="121" t="str">
        <f t="shared" si="173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68"/>
        <v>#N/A</v>
      </c>
      <c r="AO962" s="121" t="e">
        <f>IF('Cable Info'!N666="","",CONCATENATE('Cable Info'!N666," - ",'Cable Info'!O666))</f>
        <v>#N/A</v>
      </c>
      <c r="AR962" s="121" t="e">
        <f t="shared" si="169"/>
        <v>#N/A</v>
      </c>
      <c r="AT962" s="121" t="e">
        <f>IF('Cable Info'!P666="","",CONCATENATE('Cable Info'!P666," - ",'Cable Info'!Q666))</f>
        <v>#N/A</v>
      </c>
      <c r="AW962" s="121" t="e">
        <f t="shared" si="170"/>
        <v>#N/A</v>
      </c>
      <c r="AY962" s="121" t="str">
        <f>IF('Cable Info'!R666="","",CONCATENATE('Cable Info'!R666," - ",'Cable Info'!S666))</f>
        <v/>
      </c>
      <c r="BB962" s="121" t="str">
        <f t="shared" si="171"/>
        <v/>
      </c>
      <c r="BD962" s="121" t="str">
        <f>IF('Cable Info'!T666="","",CONCATENATE('Cable Info'!T666," - ",'Cable Info'!U666))</f>
        <v/>
      </c>
      <c r="BG962" s="121" t="str">
        <f t="shared" si="172"/>
        <v/>
      </c>
      <c r="BI962" s="121" t="str">
        <f>IF('Cable Info'!V666="","",CONCATENATE('Cable Info'!V666," - ",'Cable Info'!W666))</f>
        <v/>
      </c>
      <c r="BL962" s="121" t="str">
        <f t="shared" si="173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68"/>
        <v>#N/A</v>
      </c>
      <c r="AO963" s="121" t="e">
        <f>IF('Cable Info'!N667="","",CONCATENATE('Cable Info'!N667," - ",'Cable Info'!O667))</f>
        <v>#N/A</v>
      </c>
      <c r="AR963" s="121" t="e">
        <f t="shared" si="169"/>
        <v>#N/A</v>
      </c>
      <c r="AT963" s="121" t="e">
        <f>IF('Cable Info'!P667="","",CONCATENATE('Cable Info'!P667," - ",'Cable Info'!Q667))</f>
        <v>#N/A</v>
      </c>
      <c r="AW963" s="121" t="e">
        <f t="shared" si="170"/>
        <v>#N/A</v>
      </c>
      <c r="AY963" s="121" t="str">
        <f>IF('Cable Info'!R667="","",CONCATENATE('Cable Info'!R667," - ",'Cable Info'!S667))</f>
        <v/>
      </c>
      <c r="BB963" s="121" t="str">
        <f t="shared" si="171"/>
        <v/>
      </c>
      <c r="BD963" s="121" t="str">
        <f>IF('Cable Info'!T667="","",CONCATENATE('Cable Info'!T667," - ",'Cable Info'!U667))</f>
        <v/>
      </c>
      <c r="BG963" s="121" t="str">
        <f t="shared" si="172"/>
        <v/>
      </c>
      <c r="BI963" s="121" t="str">
        <f>IF('Cable Info'!V667="","",CONCATENATE('Cable Info'!V667," - ",'Cable Info'!W667))</f>
        <v/>
      </c>
      <c r="BL963" s="121" t="str">
        <f t="shared" si="173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68"/>
        <v>#N/A</v>
      </c>
      <c r="AO964" s="121" t="e">
        <f>IF('Cable Info'!N668="","",CONCATENATE('Cable Info'!N668," - ",'Cable Info'!O668))</f>
        <v>#N/A</v>
      </c>
      <c r="AR964" s="121" t="e">
        <f t="shared" si="169"/>
        <v>#N/A</v>
      </c>
      <c r="AT964" s="121" t="e">
        <f>IF('Cable Info'!P668="","",CONCATENATE('Cable Info'!P668," - ",'Cable Info'!Q668))</f>
        <v>#N/A</v>
      </c>
      <c r="AW964" s="121" t="e">
        <f t="shared" si="170"/>
        <v>#N/A</v>
      </c>
      <c r="AY964" s="121" t="str">
        <f>IF('Cable Info'!R668="","",CONCATENATE('Cable Info'!R668," - ",'Cable Info'!S668))</f>
        <v/>
      </c>
      <c r="BB964" s="121" t="str">
        <f t="shared" si="171"/>
        <v/>
      </c>
      <c r="BD964" s="121" t="str">
        <f>IF('Cable Info'!T668="","",CONCATENATE('Cable Info'!T668," - ",'Cable Info'!U668))</f>
        <v/>
      </c>
      <c r="BG964" s="121" t="str">
        <f t="shared" si="172"/>
        <v/>
      </c>
      <c r="BI964" s="121" t="str">
        <f>IF('Cable Info'!V668="","",CONCATENATE('Cable Info'!V668," - ",'Cable Info'!W668))</f>
        <v/>
      </c>
      <c r="BL964" s="121" t="str">
        <f t="shared" si="173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68"/>
        <v>#N/A</v>
      </c>
      <c r="AO965" s="121" t="e">
        <f>IF('Cable Info'!N669="","",CONCATENATE('Cable Info'!N669," - ",'Cable Info'!O669))</f>
        <v>#N/A</v>
      </c>
      <c r="AR965" s="121" t="e">
        <f t="shared" si="169"/>
        <v>#N/A</v>
      </c>
      <c r="AT965" s="121" t="e">
        <f>IF('Cable Info'!P669="","",CONCATENATE('Cable Info'!P669," - ",'Cable Info'!Q669))</f>
        <v>#N/A</v>
      </c>
      <c r="AW965" s="121" t="e">
        <f t="shared" si="170"/>
        <v>#N/A</v>
      </c>
      <c r="AY965" s="121" t="str">
        <f>IF('Cable Info'!R669="","",CONCATENATE('Cable Info'!R669," - ",'Cable Info'!S669))</f>
        <v/>
      </c>
      <c r="BB965" s="121" t="str">
        <f t="shared" si="171"/>
        <v/>
      </c>
      <c r="BD965" s="121" t="str">
        <f>IF('Cable Info'!T669="","",CONCATENATE('Cable Info'!T669," - ",'Cable Info'!U669))</f>
        <v/>
      </c>
      <c r="BG965" s="121" t="str">
        <f t="shared" si="172"/>
        <v/>
      </c>
      <c r="BI965" s="121" t="str">
        <f>IF('Cable Info'!V669="","",CONCATENATE('Cable Info'!V669," - ",'Cable Info'!W669))</f>
        <v/>
      </c>
      <c r="BL965" s="121" t="str">
        <f t="shared" si="173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68"/>
        <v>#N/A</v>
      </c>
      <c r="AO966" s="121" t="e">
        <f>IF('Cable Info'!N670="","",CONCATENATE('Cable Info'!N670," - ",'Cable Info'!O670))</f>
        <v>#N/A</v>
      </c>
      <c r="AR966" s="121" t="e">
        <f t="shared" si="169"/>
        <v>#N/A</v>
      </c>
      <c r="AT966" s="121" t="e">
        <f>IF('Cable Info'!P670="","",CONCATENATE('Cable Info'!P670," - ",'Cable Info'!Q670))</f>
        <v>#N/A</v>
      </c>
      <c r="AW966" s="121" t="e">
        <f t="shared" si="170"/>
        <v>#N/A</v>
      </c>
      <c r="AY966" s="121" t="str">
        <f>IF('Cable Info'!R670="","",CONCATENATE('Cable Info'!R670," - ",'Cable Info'!S670))</f>
        <v/>
      </c>
      <c r="BB966" s="121" t="str">
        <f t="shared" si="171"/>
        <v/>
      </c>
      <c r="BD966" s="121" t="str">
        <f>IF('Cable Info'!T670="","",CONCATENATE('Cable Info'!T670," - ",'Cable Info'!U670))</f>
        <v/>
      </c>
      <c r="BG966" s="121" t="str">
        <f t="shared" si="172"/>
        <v/>
      </c>
      <c r="BI966" s="121" t="str">
        <f>IF('Cable Info'!V670="","",CONCATENATE('Cable Info'!V670," - ",'Cable Info'!W670))</f>
        <v/>
      </c>
      <c r="BL966" s="121" t="str">
        <f t="shared" si="173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68"/>
        <v>#N/A</v>
      </c>
      <c r="AO967" s="121" t="e">
        <f>IF('Cable Info'!N671="","",CONCATENATE('Cable Info'!N671," - ",'Cable Info'!O671))</f>
        <v>#N/A</v>
      </c>
      <c r="AR967" s="121" t="e">
        <f t="shared" si="169"/>
        <v>#N/A</v>
      </c>
      <c r="AT967" s="121" t="e">
        <f>IF('Cable Info'!P671="","",CONCATENATE('Cable Info'!P671," - ",'Cable Info'!Q671))</f>
        <v>#N/A</v>
      </c>
      <c r="AW967" s="121" t="e">
        <f t="shared" si="170"/>
        <v>#N/A</v>
      </c>
      <c r="AY967" s="121" t="str">
        <f>IF('Cable Info'!R671="","",CONCATENATE('Cable Info'!R671," - ",'Cable Info'!S671))</f>
        <v/>
      </c>
      <c r="BB967" s="121" t="str">
        <f t="shared" si="171"/>
        <v/>
      </c>
      <c r="BD967" s="121" t="str">
        <f>IF('Cable Info'!T671="","",CONCATENATE('Cable Info'!T671," - ",'Cable Info'!U671))</f>
        <v/>
      </c>
      <c r="BG967" s="121" t="str">
        <f t="shared" si="172"/>
        <v/>
      </c>
      <c r="BI967" s="121" t="str">
        <f>IF('Cable Info'!V671="","",CONCATENATE('Cable Info'!V671," - ",'Cable Info'!W671))</f>
        <v/>
      </c>
      <c r="BL967" s="121" t="str">
        <f t="shared" si="173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68"/>
        <v>#N/A</v>
      </c>
      <c r="AO968" s="121" t="e">
        <f>IF('Cable Info'!N672="","",CONCATENATE('Cable Info'!N672," - ",'Cable Info'!O672))</f>
        <v>#N/A</v>
      </c>
      <c r="AR968" s="121" t="e">
        <f t="shared" si="169"/>
        <v>#N/A</v>
      </c>
      <c r="AT968" s="121" t="e">
        <f>IF('Cable Info'!P672="","",CONCATENATE('Cable Info'!P672," - ",'Cable Info'!Q672))</f>
        <v>#N/A</v>
      </c>
      <c r="AW968" s="121" t="e">
        <f t="shared" si="170"/>
        <v>#N/A</v>
      </c>
      <c r="AY968" s="121" t="str">
        <f>IF('Cable Info'!R672="","",CONCATENATE('Cable Info'!R672," - ",'Cable Info'!S672))</f>
        <v/>
      </c>
      <c r="BB968" s="121" t="str">
        <f t="shared" si="171"/>
        <v/>
      </c>
      <c r="BD968" s="121" t="str">
        <f>IF('Cable Info'!T672="","",CONCATENATE('Cable Info'!T672," - ",'Cable Info'!U672))</f>
        <v/>
      </c>
      <c r="BG968" s="121" t="str">
        <f t="shared" si="172"/>
        <v/>
      </c>
      <c r="BI968" s="121" t="str">
        <f>IF('Cable Info'!V672="","",CONCATENATE('Cable Info'!V672," - ",'Cable Info'!W672))</f>
        <v/>
      </c>
      <c r="BL968" s="121" t="str">
        <f t="shared" si="173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68"/>
        <v>#N/A</v>
      </c>
      <c r="AO969" s="121" t="e">
        <f>IF('Cable Info'!N673="","",CONCATENATE('Cable Info'!N673," - ",'Cable Info'!O673))</f>
        <v>#N/A</v>
      </c>
      <c r="AR969" s="121" t="e">
        <f t="shared" si="169"/>
        <v>#N/A</v>
      </c>
      <c r="AT969" s="121" t="e">
        <f>IF('Cable Info'!P673="","",CONCATENATE('Cable Info'!P673," - ",'Cable Info'!Q673))</f>
        <v>#N/A</v>
      </c>
      <c r="AW969" s="121" t="e">
        <f t="shared" si="170"/>
        <v>#N/A</v>
      </c>
      <c r="AY969" s="121" t="str">
        <f>IF('Cable Info'!R673="","",CONCATENATE('Cable Info'!R673," - ",'Cable Info'!S673))</f>
        <v/>
      </c>
      <c r="BB969" s="121" t="str">
        <f t="shared" si="171"/>
        <v/>
      </c>
      <c r="BD969" s="121" t="str">
        <f>IF('Cable Info'!T673="","",CONCATENATE('Cable Info'!T673," - ",'Cable Info'!U673))</f>
        <v/>
      </c>
      <c r="BG969" s="121" t="str">
        <f t="shared" si="172"/>
        <v/>
      </c>
      <c r="BI969" s="121" t="str">
        <f>IF('Cable Info'!V673="","",CONCATENATE('Cable Info'!V673," - ",'Cable Info'!W673))</f>
        <v/>
      </c>
      <c r="BL969" s="121" t="str">
        <f t="shared" si="173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68"/>
        <v>#N/A</v>
      </c>
      <c r="AO970" s="121" t="e">
        <f>IF('Cable Info'!N674="","",CONCATENATE('Cable Info'!N674," - ",'Cable Info'!O674))</f>
        <v>#N/A</v>
      </c>
      <c r="AR970" s="121" t="e">
        <f t="shared" si="169"/>
        <v>#N/A</v>
      </c>
      <c r="AT970" s="121" t="e">
        <f>IF('Cable Info'!P674="","",CONCATENATE('Cable Info'!P674," - ",'Cable Info'!Q674))</f>
        <v>#N/A</v>
      </c>
      <c r="AW970" s="121" t="e">
        <f t="shared" si="170"/>
        <v>#N/A</v>
      </c>
      <c r="AY970" s="121" t="str">
        <f>IF('Cable Info'!R674="","",CONCATENATE('Cable Info'!R674," - ",'Cable Info'!S674))</f>
        <v/>
      </c>
      <c r="BB970" s="121" t="str">
        <f t="shared" si="171"/>
        <v/>
      </c>
      <c r="BD970" s="121" t="str">
        <f>IF('Cable Info'!T674="","",CONCATENATE('Cable Info'!T674," - ",'Cable Info'!U674))</f>
        <v/>
      </c>
      <c r="BG970" s="121" t="str">
        <f t="shared" si="172"/>
        <v/>
      </c>
      <c r="BI970" s="121" t="str">
        <f>IF('Cable Info'!V674="","",CONCATENATE('Cable Info'!V674," - ",'Cable Info'!W674))</f>
        <v/>
      </c>
      <c r="BL970" s="121" t="str">
        <f t="shared" si="173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68"/>
        <v>#N/A</v>
      </c>
      <c r="AO971" s="121" t="e">
        <f>IF('Cable Info'!N675="","",CONCATENATE('Cable Info'!N675," - ",'Cable Info'!O675))</f>
        <v>#N/A</v>
      </c>
      <c r="AR971" s="121" t="e">
        <f t="shared" si="169"/>
        <v>#N/A</v>
      </c>
      <c r="AT971" s="121" t="e">
        <f>IF('Cable Info'!P675="","",CONCATENATE('Cable Info'!P675," - ",'Cable Info'!Q675))</f>
        <v>#N/A</v>
      </c>
      <c r="AW971" s="121" t="e">
        <f t="shared" si="170"/>
        <v>#N/A</v>
      </c>
      <c r="AY971" s="121" t="str">
        <f>IF('Cable Info'!R675="","",CONCATENATE('Cable Info'!R675," - ",'Cable Info'!S675))</f>
        <v/>
      </c>
      <c r="BB971" s="121" t="str">
        <f t="shared" si="171"/>
        <v/>
      </c>
      <c r="BD971" s="121" t="str">
        <f>IF('Cable Info'!T675="","",CONCATENATE('Cable Info'!T675," - ",'Cable Info'!U675))</f>
        <v/>
      </c>
      <c r="BG971" s="121" t="str">
        <f t="shared" si="172"/>
        <v/>
      </c>
      <c r="BI971" s="121" t="str">
        <f>IF('Cable Info'!V675="","",CONCATENATE('Cable Info'!V675," - ",'Cable Info'!W675))</f>
        <v/>
      </c>
      <c r="BL971" s="121" t="str">
        <f t="shared" si="173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68"/>
        <v>#N/A</v>
      </c>
      <c r="AO972" s="121" t="e">
        <f>IF('Cable Info'!N676="","",CONCATENATE('Cable Info'!N676," - ",'Cable Info'!O676))</f>
        <v>#N/A</v>
      </c>
      <c r="AR972" s="121" t="e">
        <f t="shared" si="169"/>
        <v>#N/A</v>
      </c>
      <c r="AT972" s="121" t="e">
        <f>IF('Cable Info'!P676="","",CONCATENATE('Cable Info'!P676," - ",'Cable Info'!Q676))</f>
        <v>#N/A</v>
      </c>
      <c r="AW972" s="121" t="e">
        <f t="shared" si="170"/>
        <v>#N/A</v>
      </c>
      <c r="AY972" s="121" t="str">
        <f>IF('Cable Info'!R676="","",CONCATENATE('Cable Info'!R676," - ",'Cable Info'!S676))</f>
        <v/>
      </c>
      <c r="BB972" s="121" t="str">
        <f t="shared" si="171"/>
        <v/>
      </c>
      <c r="BD972" s="121" t="str">
        <f>IF('Cable Info'!T676="","",CONCATENATE('Cable Info'!T676," - ",'Cable Info'!U676))</f>
        <v/>
      </c>
      <c r="BG972" s="121" t="str">
        <f t="shared" si="172"/>
        <v/>
      </c>
      <c r="BI972" s="121" t="str">
        <f>IF('Cable Info'!V676="","",CONCATENATE('Cable Info'!V676," - ",'Cable Info'!W676))</f>
        <v/>
      </c>
      <c r="BL972" s="121" t="str">
        <f t="shared" si="173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68"/>
        <v>#N/A</v>
      </c>
      <c r="AO973" s="121" t="e">
        <f>IF('Cable Info'!N677="","",CONCATENATE('Cable Info'!N677," - ",'Cable Info'!O677))</f>
        <v>#N/A</v>
      </c>
      <c r="AR973" s="121" t="e">
        <f t="shared" si="169"/>
        <v>#N/A</v>
      </c>
      <c r="AT973" s="121" t="e">
        <f>IF('Cable Info'!P677="","",CONCATENATE('Cable Info'!P677," - ",'Cable Info'!Q677))</f>
        <v>#N/A</v>
      </c>
      <c r="AW973" s="121" t="e">
        <f t="shared" si="170"/>
        <v>#N/A</v>
      </c>
      <c r="AY973" s="121" t="str">
        <f>IF('Cable Info'!R677="","",CONCATENATE('Cable Info'!R677," - ",'Cable Info'!S677))</f>
        <v/>
      </c>
      <c r="BB973" s="121" t="str">
        <f t="shared" si="171"/>
        <v/>
      </c>
      <c r="BD973" s="121" t="str">
        <f>IF('Cable Info'!T677="","",CONCATENATE('Cable Info'!T677," - ",'Cable Info'!U677))</f>
        <v/>
      </c>
      <c r="BG973" s="121" t="str">
        <f t="shared" si="172"/>
        <v/>
      </c>
      <c r="BI973" s="121" t="str">
        <f>IF('Cable Info'!V677="","",CONCATENATE('Cable Info'!V677," - ",'Cable Info'!W677))</f>
        <v/>
      </c>
      <c r="BL973" s="121" t="str">
        <f t="shared" si="173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68"/>
        <v>#N/A</v>
      </c>
      <c r="AO974" s="121" t="e">
        <f>IF('Cable Info'!N678="","",CONCATENATE('Cable Info'!N678," - ",'Cable Info'!O678))</f>
        <v>#N/A</v>
      </c>
      <c r="AR974" s="121" t="e">
        <f t="shared" si="169"/>
        <v>#N/A</v>
      </c>
      <c r="AT974" s="121" t="e">
        <f>IF('Cable Info'!P678="","",CONCATENATE('Cable Info'!P678," - ",'Cable Info'!Q678))</f>
        <v>#N/A</v>
      </c>
      <c r="AW974" s="121" t="e">
        <f t="shared" si="170"/>
        <v>#N/A</v>
      </c>
      <c r="AY974" s="121" t="str">
        <f>IF('Cable Info'!R678="","",CONCATENATE('Cable Info'!R678," - ",'Cable Info'!S678))</f>
        <v/>
      </c>
      <c r="BB974" s="121" t="str">
        <f t="shared" si="171"/>
        <v/>
      </c>
      <c r="BD974" s="121" t="str">
        <f>IF('Cable Info'!T678="","",CONCATENATE('Cable Info'!T678," - ",'Cable Info'!U678))</f>
        <v/>
      </c>
      <c r="BG974" s="121" t="str">
        <f t="shared" si="172"/>
        <v/>
      </c>
      <c r="BI974" s="121" t="str">
        <f>IF('Cable Info'!V678="","",CONCATENATE('Cable Info'!V678," - ",'Cable Info'!W678))</f>
        <v/>
      </c>
      <c r="BL974" s="121" t="str">
        <f t="shared" si="173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68"/>
        <v>#N/A</v>
      </c>
      <c r="AO975" s="121" t="e">
        <f>IF('Cable Info'!N679="","",CONCATENATE('Cable Info'!N679," - ",'Cable Info'!O679))</f>
        <v>#N/A</v>
      </c>
      <c r="AR975" s="121" t="e">
        <f t="shared" si="169"/>
        <v>#N/A</v>
      </c>
      <c r="AT975" s="121" t="e">
        <f>IF('Cable Info'!P679="","",CONCATENATE('Cable Info'!P679," - ",'Cable Info'!Q679))</f>
        <v>#N/A</v>
      </c>
      <c r="AW975" s="121" t="e">
        <f t="shared" si="170"/>
        <v>#N/A</v>
      </c>
      <c r="AY975" s="121" t="str">
        <f>IF('Cable Info'!R679="","",CONCATENATE('Cable Info'!R679," - ",'Cable Info'!S679))</f>
        <v/>
      </c>
      <c r="BB975" s="121" t="str">
        <f t="shared" si="171"/>
        <v/>
      </c>
      <c r="BD975" s="121" t="str">
        <f>IF('Cable Info'!T679="","",CONCATENATE('Cable Info'!T679," - ",'Cable Info'!U679))</f>
        <v/>
      </c>
      <c r="BG975" s="121" t="str">
        <f t="shared" si="172"/>
        <v/>
      </c>
      <c r="BI975" s="121" t="str">
        <f>IF('Cable Info'!V679="","",CONCATENATE('Cable Info'!V679," - ",'Cable Info'!W679))</f>
        <v/>
      </c>
      <c r="BL975" s="121" t="str">
        <f t="shared" si="173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68"/>
        <v>#N/A</v>
      </c>
      <c r="AO976" s="121" t="e">
        <f>IF('Cable Info'!N680="","",CONCATENATE('Cable Info'!N680," - ",'Cable Info'!O680))</f>
        <v>#N/A</v>
      </c>
      <c r="AR976" s="121" t="e">
        <f t="shared" si="169"/>
        <v>#N/A</v>
      </c>
      <c r="AT976" s="121" t="e">
        <f>IF('Cable Info'!P680="","",CONCATENATE('Cable Info'!P680," - ",'Cable Info'!Q680))</f>
        <v>#N/A</v>
      </c>
      <c r="AW976" s="121" t="e">
        <f t="shared" si="170"/>
        <v>#N/A</v>
      </c>
      <c r="AY976" s="121" t="str">
        <f>IF('Cable Info'!R680="","",CONCATENATE('Cable Info'!R680," - ",'Cable Info'!S680))</f>
        <v/>
      </c>
      <c r="BB976" s="121" t="str">
        <f t="shared" si="171"/>
        <v/>
      </c>
      <c r="BD976" s="121" t="str">
        <f>IF('Cable Info'!T680="","",CONCATENATE('Cable Info'!T680," - ",'Cable Info'!U680))</f>
        <v/>
      </c>
      <c r="BG976" s="121" t="str">
        <f t="shared" si="172"/>
        <v/>
      </c>
      <c r="BI976" s="121" t="str">
        <f>IF('Cable Info'!V680="","",CONCATENATE('Cable Info'!V680," - ",'Cable Info'!W680))</f>
        <v/>
      </c>
      <c r="BL976" s="121" t="str">
        <f t="shared" si="173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68"/>
        <v>#N/A</v>
      </c>
      <c r="AO977" s="121" t="e">
        <f>IF('Cable Info'!N681="","",CONCATENATE('Cable Info'!N681," - ",'Cable Info'!O681))</f>
        <v>#N/A</v>
      </c>
      <c r="AR977" s="121" t="e">
        <f t="shared" si="169"/>
        <v>#N/A</v>
      </c>
      <c r="AT977" s="121" t="e">
        <f>IF('Cable Info'!P681="","",CONCATENATE('Cable Info'!P681," - ",'Cable Info'!Q681))</f>
        <v>#N/A</v>
      </c>
      <c r="AW977" s="121" t="e">
        <f t="shared" si="170"/>
        <v>#N/A</v>
      </c>
      <c r="AY977" s="121" t="str">
        <f>IF('Cable Info'!R681="","",CONCATENATE('Cable Info'!R681," - ",'Cable Info'!S681))</f>
        <v/>
      </c>
      <c r="BB977" s="121" t="str">
        <f t="shared" si="171"/>
        <v/>
      </c>
      <c r="BD977" s="121" t="str">
        <f>IF('Cable Info'!T681="","",CONCATENATE('Cable Info'!T681," - ",'Cable Info'!U681))</f>
        <v/>
      </c>
      <c r="BG977" s="121" t="str">
        <f t="shared" si="172"/>
        <v/>
      </c>
      <c r="BI977" s="121" t="str">
        <f>IF('Cable Info'!V681="","",CONCATENATE('Cable Info'!V681," - ",'Cable Info'!W681))</f>
        <v/>
      </c>
      <c r="BL977" s="121" t="str">
        <f t="shared" si="173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68"/>
        <v>#N/A</v>
      </c>
      <c r="AO978" s="121" t="e">
        <f>IF('Cable Info'!N682="","",CONCATENATE('Cable Info'!N682," - ",'Cable Info'!O682))</f>
        <v>#N/A</v>
      </c>
      <c r="AR978" s="121" t="e">
        <f t="shared" si="169"/>
        <v>#N/A</v>
      </c>
      <c r="AT978" s="121" t="e">
        <f>IF('Cable Info'!P682="","",CONCATENATE('Cable Info'!P682," - ",'Cable Info'!Q682))</f>
        <v>#N/A</v>
      </c>
      <c r="AW978" s="121" t="e">
        <f t="shared" si="170"/>
        <v>#N/A</v>
      </c>
      <c r="AY978" s="121" t="str">
        <f>IF('Cable Info'!R682="","",CONCATENATE('Cable Info'!R682," - ",'Cable Info'!S682))</f>
        <v/>
      </c>
      <c r="BB978" s="121" t="str">
        <f t="shared" si="171"/>
        <v/>
      </c>
      <c r="BD978" s="121" t="str">
        <f>IF('Cable Info'!T682="","",CONCATENATE('Cable Info'!T682," - ",'Cable Info'!U682))</f>
        <v/>
      </c>
      <c r="BG978" s="121" t="str">
        <f t="shared" si="172"/>
        <v/>
      </c>
      <c r="BI978" s="121" t="str">
        <f>IF('Cable Info'!V682="","",CONCATENATE('Cable Info'!V682," - ",'Cable Info'!W682))</f>
        <v/>
      </c>
      <c r="BL978" s="121" t="str">
        <f t="shared" si="173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68"/>
        <v>#N/A</v>
      </c>
      <c r="AO979" s="121" t="e">
        <f>IF('Cable Info'!N683="","",CONCATENATE('Cable Info'!N683," - ",'Cable Info'!O683))</f>
        <v>#N/A</v>
      </c>
      <c r="AR979" s="121" t="e">
        <f t="shared" si="169"/>
        <v>#N/A</v>
      </c>
      <c r="AT979" s="121" t="e">
        <f>IF('Cable Info'!P683="","",CONCATENATE('Cable Info'!P683," - ",'Cable Info'!Q683))</f>
        <v>#N/A</v>
      </c>
      <c r="AW979" s="121" t="e">
        <f t="shared" si="170"/>
        <v>#N/A</v>
      </c>
      <c r="AY979" s="121" t="str">
        <f>IF('Cable Info'!R683="","",CONCATENATE('Cable Info'!R683," - ",'Cable Info'!S683))</f>
        <v/>
      </c>
      <c r="BB979" s="121" t="str">
        <f t="shared" si="171"/>
        <v/>
      </c>
      <c r="BD979" s="121" t="str">
        <f>IF('Cable Info'!T683="","",CONCATENATE('Cable Info'!T683," - ",'Cable Info'!U683))</f>
        <v/>
      </c>
      <c r="BG979" s="121" t="str">
        <f t="shared" si="172"/>
        <v/>
      </c>
      <c r="BI979" s="121" t="str">
        <f>IF('Cable Info'!V683="","",CONCATENATE('Cable Info'!V683," - ",'Cable Info'!W683))</f>
        <v/>
      </c>
      <c r="BL979" s="121" t="str">
        <f t="shared" si="173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68"/>
        <v>#N/A</v>
      </c>
      <c r="AO980" s="121" t="e">
        <f>IF('Cable Info'!N684="","",CONCATENATE('Cable Info'!N684," - ",'Cable Info'!O684))</f>
        <v>#N/A</v>
      </c>
      <c r="AR980" s="121" t="e">
        <f t="shared" si="169"/>
        <v>#N/A</v>
      </c>
      <c r="AT980" s="121" t="e">
        <f>IF('Cable Info'!P684="","",CONCATENATE('Cable Info'!P684," - ",'Cable Info'!Q684))</f>
        <v>#N/A</v>
      </c>
      <c r="AW980" s="121" t="e">
        <f t="shared" si="170"/>
        <v>#N/A</v>
      </c>
      <c r="AY980" s="121" t="str">
        <f>IF('Cable Info'!R684="","",CONCATENATE('Cable Info'!R684," - ",'Cable Info'!S684))</f>
        <v/>
      </c>
      <c r="BB980" s="121" t="str">
        <f t="shared" si="171"/>
        <v/>
      </c>
      <c r="BD980" s="121" t="str">
        <f>IF('Cable Info'!T684="","",CONCATENATE('Cable Info'!T684," - ",'Cable Info'!U684))</f>
        <v/>
      </c>
      <c r="BG980" s="121" t="str">
        <f t="shared" si="172"/>
        <v/>
      </c>
      <c r="BI980" s="121" t="str">
        <f>IF('Cable Info'!V684="","",CONCATENATE('Cable Info'!V684," - ",'Cable Info'!W684))</f>
        <v/>
      </c>
      <c r="BL980" s="121" t="str">
        <f t="shared" si="173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68"/>
        <v>#N/A</v>
      </c>
      <c r="AO981" s="121" t="e">
        <f>IF('Cable Info'!N685="","",CONCATENATE('Cable Info'!N685," - ",'Cable Info'!O685))</f>
        <v>#N/A</v>
      </c>
      <c r="AR981" s="121" t="e">
        <f t="shared" si="169"/>
        <v>#N/A</v>
      </c>
      <c r="AT981" s="121" t="e">
        <f>IF('Cable Info'!P685="","",CONCATENATE('Cable Info'!P685," - ",'Cable Info'!Q685))</f>
        <v>#N/A</v>
      </c>
      <c r="AW981" s="121" t="e">
        <f t="shared" si="170"/>
        <v>#N/A</v>
      </c>
      <c r="AY981" s="121" t="str">
        <f>IF('Cable Info'!R685="","",CONCATENATE('Cable Info'!R685," - ",'Cable Info'!S685))</f>
        <v/>
      </c>
      <c r="BB981" s="121" t="str">
        <f t="shared" si="171"/>
        <v/>
      </c>
      <c r="BD981" s="121" t="str">
        <f>IF('Cable Info'!T685="","",CONCATENATE('Cable Info'!T685," - ",'Cable Info'!U685))</f>
        <v/>
      </c>
      <c r="BG981" s="121" t="str">
        <f t="shared" si="172"/>
        <v/>
      </c>
      <c r="BI981" s="121" t="str">
        <f>IF('Cable Info'!V685="","",CONCATENATE('Cable Info'!V685," - ",'Cable Info'!W685))</f>
        <v/>
      </c>
      <c r="BL981" s="121" t="str">
        <f t="shared" si="173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68"/>
        <v>#N/A</v>
      </c>
      <c r="AO982" s="121" t="e">
        <f>IF('Cable Info'!N686="","",CONCATENATE('Cable Info'!N686," - ",'Cable Info'!O686))</f>
        <v>#N/A</v>
      </c>
      <c r="AR982" s="121" t="e">
        <f t="shared" si="169"/>
        <v>#N/A</v>
      </c>
      <c r="AT982" s="121" t="e">
        <f>IF('Cable Info'!P686="","",CONCATENATE('Cable Info'!P686," - ",'Cable Info'!Q686))</f>
        <v>#N/A</v>
      </c>
      <c r="AW982" s="121" t="e">
        <f t="shared" si="170"/>
        <v>#N/A</v>
      </c>
      <c r="AY982" s="121" t="str">
        <f>IF('Cable Info'!R686="","",CONCATENATE('Cable Info'!R686," - ",'Cable Info'!S686))</f>
        <v/>
      </c>
      <c r="BB982" s="121" t="str">
        <f t="shared" si="171"/>
        <v/>
      </c>
      <c r="BD982" s="121" t="str">
        <f>IF('Cable Info'!T686="","",CONCATENATE('Cable Info'!T686," - ",'Cable Info'!U686))</f>
        <v/>
      </c>
      <c r="BG982" s="121" t="str">
        <f t="shared" si="172"/>
        <v/>
      </c>
      <c r="BI982" s="121" t="str">
        <f>IF('Cable Info'!V686="","",CONCATENATE('Cable Info'!V686," - ",'Cable Info'!W686))</f>
        <v/>
      </c>
      <c r="BL982" s="121" t="str">
        <f t="shared" si="173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68"/>
        <v>#N/A</v>
      </c>
      <c r="AO983" s="121" t="e">
        <f>IF('Cable Info'!N687="","",CONCATENATE('Cable Info'!N687," - ",'Cable Info'!O687))</f>
        <v>#N/A</v>
      </c>
      <c r="AR983" s="121" t="e">
        <f t="shared" si="169"/>
        <v>#N/A</v>
      </c>
      <c r="AT983" s="121" t="e">
        <f>IF('Cable Info'!P687="","",CONCATENATE('Cable Info'!P687," - ",'Cable Info'!Q687))</f>
        <v>#N/A</v>
      </c>
      <c r="AW983" s="121" t="e">
        <f t="shared" si="170"/>
        <v>#N/A</v>
      </c>
      <c r="AY983" s="121" t="str">
        <f>IF('Cable Info'!R687="","",CONCATENATE('Cable Info'!R687," - ",'Cable Info'!S687))</f>
        <v/>
      </c>
      <c r="BB983" s="121" t="str">
        <f t="shared" si="171"/>
        <v/>
      </c>
      <c r="BD983" s="121" t="str">
        <f>IF('Cable Info'!T687="","",CONCATENATE('Cable Info'!T687," - ",'Cable Info'!U687))</f>
        <v/>
      </c>
      <c r="BG983" s="121" t="str">
        <f t="shared" si="172"/>
        <v/>
      </c>
      <c r="BI983" s="121" t="str">
        <f>IF('Cable Info'!V687="","",CONCATENATE('Cable Info'!V687," - ",'Cable Info'!W687))</f>
        <v/>
      </c>
      <c r="BL983" s="121" t="str">
        <f t="shared" si="173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68"/>
        <v>#N/A</v>
      </c>
      <c r="AO984" s="121" t="e">
        <f>IF('Cable Info'!N688="","",CONCATENATE('Cable Info'!N688," - ",'Cable Info'!O688))</f>
        <v>#N/A</v>
      </c>
      <c r="AR984" s="121" t="e">
        <f t="shared" si="169"/>
        <v>#N/A</v>
      </c>
      <c r="AT984" s="121" t="e">
        <f>IF('Cable Info'!P688="","",CONCATENATE('Cable Info'!P688," - ",'Cable Info'!Q688))</f>
        <v>#N/A</v>
      </c>
      <c r="AW984" s="121" t="e">
        <f t="shared" si="170"/>
        <v>#N/A</v>
      </c>
      <c r="AY984" s="121" t="str">
        <f>IF('Cable Info'!R688="","",CONCATENATE('Cable Info'!R688," - ",'Cable Info'!S688))</f>
        <v/>
      </c>
      <c r="BB984" s="121" t="str">
        <f t="shared" si="171"/>
        <v/>
      </c>
      <c r="BD984" s="121" t="str">
        <f>IF('Cable Info'!T688="","",CONCATENATE('Cable Info'!T688," - ",'Cable Info'!U688))</f>
        <v/>
      </c>
      <c r="BG984" s="121" t="str">
        <f t="shared" si="172"/>
        <v/>
      </c>
      <c r="BI984" s="121" t="str">
        <f>IF('Cable Info'!V688="","",CONCATENATE('Cable Info'!V688," - ",'Cable Info'!W688))</f>
        <v/>
      </c>
      <c r="BL984" s="121" t="str">
        <f t="shared" si="173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68"/>
        <v>#N/A</v>
      </c>
      <c r="AO985" s="121" t="e">
        <f>IF('Cable Info'!N689="","",CONCATENATE('Cable Info'!N689," - ",'Cable Info'!O689))</f>
        <v>#N/A</v>
      </c>
      <c r="AR985" s="121" t="e">
        <f t="shared" si="169"/>
        <v>#N/A</v>
      </c>
      <c r="AT985" s="121" t="e">
        <f>IF('Cable Info'!P689="","",CONCATENATE('Cable Info'!P689," - ",'Cable Info'!Q689))</f>
        <v>#N/A</v>
      </c>
      <c r="AW985" s="121" t="e">
        <f t="shared" si="170"/>
        <v>#N/A</v>
      </c>
      <c r="AY985" s="121" t="str">
        <f>IF('Cable Info'!R689="","",CONCATENATE('Cable Info'!R689," - ",'Cable Info'!S689))</f>
        <v/>
      </c>
      <c r="BB985" s="121" t="str">
        <f t="shared" si="171"/>
        <v/>
      </c>
      <c r="BD985" s="121" t="str">
        <f>IF('Cable Info'!T689="","",CONCATENATE('Cable Info'!T689," - ",'Cable Info'!U689))</f>
        <v/>
      </c>
      <c r="BG985" s="121" t="str">
        <f t="shared" si="172"/>
        <v/>
      </c>
      <c r="BI985" s="121" t="str">
        <f>IF('Cable Info'!V689="","",CONCATENATE('Cable Info'!V689," - ",'Cable Info'!W689))</f>
        <v/>
      </c>
      <c r="BL985" s="121" t="str">
        <f t="shared" si="173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68"/>
        <v>#N/A</v>
      </c>
      <c r="AO986" s="121" t="e">
        <f>IF('Cable Info'!N690="","",CONCATENATE('Cable Info'!N690," - ",'Cable Info'!O690))</f>
        <v>#N/A</v>
      </c>
      <c r="AR986" s="121" t="e">
        <f t="shared" si="169"/>
        <v>#N/A</v>
      </c>
      <c r="AT986" s="121" t="e">
        <f>IF('Cable Info'!P690="","",CONCATENATE('Cable Info'!P690," - ",'Cable Info'!Q690))</f>
        <v>#N/A</v>
      </c>
      <c r="AW986" s="121" t="e">
        <f t="shared" si="170"/>
        <v>#N/A</v>
      </c>
      <c r="AY986" s="121" t="str">
        <f>IF('Cable Info'!R690="","",CONCATENATE('Cable Info'!R690," - ",'Cable Info'!S690))</f>
        <v/>
      </c>
      <c r="BB986" s="121" t="str">
        <f t="shared" si="171"/>
        <v/>
      </c>
      <c r="BD986" s="121" t="str">
        <f>IF('Cable Info'!T690="","",CONCATENATE('Cable Info'!T690," - ",'Cable Info'!U690))</f>
        <v/>
      </c>
      <c r="BG986" s="121" t="str">
        <f t="shared" si="172"/>
        <v/>
      </c>
      <c r="BI986" s="121" t="str">
        <f>IF('Cable Info'!V690="","",CONCATENATE('Cable Info'!V690," - ",'Cable Info'!W690))</f>
        <v/>
      </c>
      <c r="BL986" s="121" t="str">
        <f t="shared" si="173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68"/>
        <v>#N/A</v>
      </c>
      <c r="AO987" s="121" t="e">
        <f>IF('Cable Info'!N691="","",CONCATENATE('Cable Info'!N691," - ",'Cable Info'!O691))</f>
        <v>#N/A</v>
      </c>
      <c r="AR987" s="121" t="e">
        <f t="shared" si="169"/>
        <v>#N/A</v>
      </c>
      <c r="AT987" s="121" t="e">
        <f>IF('Cable Info'!P691="","",CONCATENATE('Cable Info'!P691," - ",'Cable Info'!Q691))</f>
        <v>#N/A</v>
      </c>
      <c r="AW987" s="121" t="e">
        <f t="shared" si="170"/>
        <v>#N/A</v>
      </c>
      <c r="AY987" s="121" t="str">
        <f>IF('Cable Info'!R691="","",CONCATENATE('Cable Info'!R691," - ",'Cable Info'!S691))</f>
        <v/>
      </c>
      <c r="BB987" s="121" t="str">
        <f t="shared" si="171"/>
        <v/>
      </c>
      <c r="BD987" s="121" t="str">
        <f>IF('Cable Info'!T691="","",CONCATENATE('Cable Info'!T691," - ",'Cable Info'!U691))</f>
        <v/>
      </c>
      <c r="BG987" s="121" t="str">
        <f t="shared" si="172"/>
        <v/>
      </c>
      <c r="BI987" s="121" t="str">
        <f>IF('Cable Info'!V691="","",CONCATENATE('Cable Info'!V691," - ",'Cable Info'!W691))</f>
        <v/>
      </c>
      <c r="BL987" s="121" t="str">
        <f t="shared" si="173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68"/>
        <v>#N/A</v>
      </c>
      <c r="AO988" s="121" t="e">
        <f>IF('Cable Info'!N692="","",CONCATENATE('Cable Info'!N692," - ",'Cable Info'!O692))</f>
        <v>#N/A</v>
      </c>
      <c r="AR988" s="121" t="e">
        <f t="shared" si="169"/>
        <v>#N/A</v>
      </c>
      <c r="AT988" s="121" t="e">
        <f>IF('Cable Info'!P692="","",CONCATENATE('Cable Info'!P692," - ",'Cable Info'!Q692))</f>
        <v>#N/A</v>
      </c>
      <c r="AW988" s="121" t="e">
        <f t="shared" si="170"/>
        <v>#N/A</v>
      </c>
      <c r="AY988" s="121" t="str">
        <f>IF('Cable Info'!R692="","",CONCATENATE('Cable Info'!R692," - ",'Cable Info'!S692))</f>
        <v/>
      </c>
      <c r="BB988" s="121" t="str">
        <f t="shared" si="171"/>
        <v/>
      </c>
      <c r="BD988" s="121" t="str">
        <f>IF('Cable Info'!T692="","",CONCATENATE('Cable Info'!T692," - ",'Cable Info'!U692))</f>
        <v/>
      </c>
      <c r="BG988" s="121" t="str">
        <f t="shared" si="172"/>
        <v/>
      </c>
      <c r="BI988" s="121" t="str">
        <f>IF('Cable Info'!V692="","",CONCATENATE('Cable Info'!V692," - ",'Cable Info'!W692))</f>
        <v/>
      </c>
      <c r="BL988" s="121" t="str">
        <f t="shared" si="173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68"/>
        <v>#N/A</v>
      </c>
      <c r="AO989" s="121" t="e">
        <f>IF('Cable Info'!N693="","",CONCATENATE('Cable Info'!N693," - ",'Cable Info'!O693))</f>
        <v>#N/A</v>
      </c>
      <c r="AR989" s="121" t="e">
        <f t="shared" si="169"/>
        <v>#N/A</v>
      </c>
      <c r="AT989" s="121" t="e">
        <f>IF('Cable Info'!P693="","",CONCATENATE('Cable Info'!P693," - ",'Cable Info'!Q693))</f>
        <v>#N/A</v>
      </c>
      <c r="AW989" s="121" t="e">
        <f t="shared" si="170"/>
        <v>#N/A</v>
      </c>
      <c r="AY989" s="121" t="str">
        <f>IF('Cable Info'!R693="","",CONCATENATE('Cable Info'!R693," - ",'Cable Info'!S693))</f>
        <v/>
      </c>
      <c r="BB989" s="121" t="str">
        <f t="shared" si="171"/>
        <v/>
      </c>
      <c r="BD989" s="121" t="str">
        <f>IF('Cable Info'!T693="","",CONCATENATE('Cable Info'!T693," - ",'Cable Info'!U693))</f>
        <v/>
      </c>
      <c r="BG989" s="121" t="str">
        <f t="shared" si="172"/>
        <v/>
      </c>
      <c r="BI989" s="121" t="str">
        <f>IF('Cable Info'!V693="","",CONCATENATE('Cable Info'!V693," - ",'Cable Info'!W693))</f>
        <v/>
      </c>
      <c r="BL989" s="121" t="str">
        <f t="shared" si="173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68"/>
        <v>#N/A</v>
      </c>
      <c r="AO990" s="121" t="e">
        <f>IF('Cable Info'!N694="","",CONCATENATE('Cable Info'!N694," - ",'Cable Info'!O694))</f>
        <v>#N/A</v>
      </c>
      <c r="AR990" s="121" t="e">
        <f t="shared" si="169"/>
        <v>#N/A</v>
      </c>
      <c r="AT990" s="121" t="e">
        <f>IF('Cable Info'!P694="","",CONCATENATE('Cable Info'!P694," - ",'Cable Info'!Q694))</f>
        <v>#N/A</v>
      </c>
      <c r="AW990" s="121" t="e">
        <f t="shared" si="170"/>
        <v>#N/A</v>
      </c>
      <c r="AY990" s="121" t="str">
        <f>IF('Cable Info'!R694="","",CONCATENATE('Cable Info'!R694," - ",'Cable Info'!S694))</f>
        <v/>
      </c>
      <c r="BB990" s="121" t="str">
        <f t="shared" si="171"/>
        <v/>
      </c>
      <c r="BD990" s="121" t="str">
        <f>IF('Cable Info'!T694="","",CONCATENATE('Cable Info'!T694," - ",'Cable Info'!U694))</f>
        <v/>
      </c>
      <c r="BG990" s="121" t="str">
        <f t="shared" si="172"/>
        <v/>
      </c>
      <c r="BI990" s="121" t="str">
        <f>IF('Cable Info'!V694="","",CONCATENATE('Cable Info'!V694," - ",'Cable Info'!W694))</f>
        <v/>
      </c>
      <c r="BL990" s="121" t="str">
        <f t="shared" si="173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68"/>
        <v>#N/A</v>
      </c>
      <c r="AO991" s="121" t="e">
        <f>IF('Cable Info'!N695="","",CONCATENATE('Cable Info'!N695," - ",'Cable Info'!O695))</f>
        <v>#N/A</v>
      </c>
      <c r="AR991" s="121" t="e">
        <f t="shared" si="169"/>
        <v>#N/A</v>
      </c>
      <c r="AT991" s="121" t="e">
        <f>IF('Cable Info'!P695="","",CONCATENATE('Cable Info'!P695," - ",'Cable Info'!Q695))</f>
        <v>#N/A</v>
      </c>
      <c r="AW991" s="121" t="e">
        <f t="shared" si="170"/>
        <v>#N/A</v>
      </c>
      <c r="AY991" s="121" t="str">
        <f>IF('Cable Info'!R695="","",CONCATENATE('Cable Info'!R695," - ",'Cable Info'!S695))</f>
        <v/>
      </c>
      <c r="BB991" s="121" t="str">
        <f t="shared" si="171"/>
        <v/>
      </c>
      <c r="BD991" s="121" t="str">
        <f>IF('Cable Info'!T695="","",CONCATENATE('Cable Info'!T695," - ",'Cable Info'!U695))</f>
        <v/>
      </c>
      <c r="BG991" s="121" t="str">
        <f t="shared" si="172"/>
        <v/>
      </c>
      <c r="BI991" s="121" t="str">
        <f>IF('Cable Info'!V695="","",CONCATENATE('Cable Info'!V695," - ",'Cable Info'!W695))</f>
        <v/>
      </c>
      <c r="BL991" s="121" t="str">
        <f t="shared" si="173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68"/>
        <v>#N/A</v>
      </c>
      <c r="AO992" s="121" t="e">
        <f>IF('Cable Info'!N696="","",CONCATENATE('Cable Info'!N696," - ",'Cable Info'!O696))</f>
        <v>#N/A</v>
      </c>
      <c r="AR992" s="121" t="e">
        <f t="shared" si="169"/>
        <v>#N/A</v>
      </c>
      <c r="AT992" s="121" t="e">
        <f>IF('Cable Info'!P696="","",CONCATENATE('Cable Info'!P696," - ",'Cable Info'!Q696))</f>
        <v>#N/A</v>
      </c>
      <c r="AW992" s="121" t="e">
        <f t="shared" si="170"/>
        <v>#N/A</v>
      </c>
      <c r="AY992" s="121" t="str">
        <f>IF('Cable Info'!R696="","",CONCATENATE('Cable Info'!R696," - ",'Cable Info'!S696))</f>
        <v/>
      </c>
      <c r="BB992" s="121" t="str">
        <f t="shared" si="171"/>
        <v/>
      </c>
      <c r="BD992" s="121" t="str">
        <f>IF('Cable Info'!T696="","",CONCATENATE('Cable Info'!T696," - ",'Cable Info'!U696))</f>
        <v/>
      </c>
      <c r="BG992" s="121" t="str">
        <f t="shared" si="172"/>
        <v/>
      </c>
      <c r="BI992" s="121" t="str">
        <f>IF('Cable Info'!V696="","",CONCATENATE('Cable Info'!V696," - ",'Cable Info'!W696))</f>
        <v/>
      </c>
      <c r="BL992" s="121" t="str">
        <f t="shared" si="173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68"/>
        <v>#N/A</v>
      </c>
      <c r="AO993" s="121" t="e">
        <f>IF('Cable Info'!N697="","",CONCATENATE('Cable Info'!N697," - ",'Cable Info'!O697))</f>
        <v>#N/A</v>
      </c>
      <c r="AR993" s="121" t="e">
        <f t="shared" si="169"/>
        <v>#N/A</v>
      </c>
      <c r="AT993" s="121" t="e">
        <f>IF('Cable Info'!P697="","",CONCATENATE('Cable Info'!P697," - ",'Cable Info'!Q697))</f>
        <v>#N/A</v>
      </c>
      <c r="AW993" s="121" t="e">
        <f t="shared" si="170"/>
        <v>#N/A</v>
      </c>
      <c r="AY993" s="121" t="str">
        <f>IF('Cable Info'!R697="","",CONCATENATE('Cable Info'!R697," - ",'Cable Info'!S697))</f>
        <v/>
      </c>
      <c r="BB993" s="121" t="str">
        <f t="shared" si="171"/>
        <v/>
      </c>
      <c r="BD993" s="121" t="str">
        <f>IF('Cable Info'!T697="","",CONCATENATE('Cable Info'!T697," - ",'Cable Info'!U697))</f>
        <v/>
      </c>
      <c r="BG993" s="121" t="str">
        <f t="shared" si="172"/>
        <v/>
      </c>
      <c r="BI993" s="121" t="str">
        <f>IF('Cable Info'!V697="","",CONCATENATE('Cable Info'!V697," - ",'Cable Info'!W697))</f>
        <v/>
      </c>
      <c r="BL993" s="121" t="str">
        <f t="shared" si="173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68"/>
        <v>#N/A</v>
      </c>
      <c r="AO994" s="121" t="e">
        <f>IF('Cable Info'!N698="","",CONCATENATE('Cable Info'!N698," - ",'Cable Info'!O698))</f>
        <v>#N/A</v>
      </c>
      <c r="AR994" s="121" t="e">
        <f t="shared" si="169"/>
        <v>#N/A</v>
      </c>
      <c r="AT994" s="121" t="e">
        <f>IF('Cable Info'!P698="","",CONCATENATE('Cable Info'!P698," - ",'Cable Info'!Q698))</f>
        <v>#N/A</v>
      </c>
      <c r="AW994" s="121" t="e">
        <f t="shared" si="170"/>
        <v>#N/A</v>
      </c>
      <c r="AY994" s="121" t="str">
        <f>IF('Cable Info'!R698="","",CONCATENATE('Cable Info'!R698," - ",'Cable Info'!S698))</f>
        <v/>
      </c>
      <c r="BB994" s="121" t="str">
        <f t="shared" si="171"/>
        <v/>
      </c>
      <c r="BD994" s="121" t="str">
        <f>IF('Cable Info'!T698="","",CONCATENATE('Cable Info'!T698," - ",'Cable Info'!U698))</f>
        <v/>
      </c>
      <c r="BG994" s="121" t="str">
        <f t="shared" si="172"/>
        <v/>
      </c>
      <c r="BI994" s="121" t="str">
        <f>IF('Cable Info'!V698="","",CONCATENATE('Cable Info'!V698," - ",'Cable Info'!W698))</f>
        <v/>
      </c>
      <c r="BL994" s="121" t="str">
        <f t="shared" si="173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68"/>
        <v>#N/A</v>
      </c>
      <c r="AO995" s="121" t="e">
        <f>IF('Cable Info'!N699="","",CONCATENATE('Cable Info'!N699," - ",'Cable Info'!O699))</f>
        <v>#N/A</v>
      </c>
      <c r="AR995" s="121" t="e">
        <f t="shared" si="169"/>
        <v>#N/A</v>
      </c>
      <c r="AT995" s="121" t="e">
        <f>IF('Cable Info'!P699="","",CONCATENATE('Cable Info'!P699," - ",'Cable Info'!Q699))</f>
        <v>#N/A</v>
      </c>
      <c r="AW995" s="121" t="e">
        <f t="shared" si="170"/>
        <v>#N/A</v>
      </c>
      <c r="AY995" s="121" t="str">
        <f>IF('Cable Info'!R699="","",CONCATENATE('Cable Info'!R699," - ",'Cable Info'!S699))</f>
        <v/>
      </c>
      <c r="BB995" s="121" t="str">
        <f t="shared" si="171"/>
        <v/>
      </c>
      <c r="BD995" s="121" t="str">
        <f>IF('Cable Info'!T699="","",CONCATENATE('Cable Info'!T699," - ",'Cable Info'!U699))</f>
        <v/>
      </c>
      <c r="BG995" s="121" t="str">
        <f t="shared" si="172"/>
        <v/>
      </c>
      <c r="BI995" s="121" t="str">
        <f>IF('Cable Info'!V699="","",CONCATENATE('Cable Info'!V699," - ",'Cable Info'!W699))</f>
        <v/>
      </c>
      <c r="BL995" s="121" t="str">
        <f t="shared" si="173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68"/>
        <v>#N/A</v>
      </c>
      <c r="AO996" s="121" t="e">
        <f>IF('Cable Info'!N700="","",CONCATENATE('Cable Info'!N700," - ",'Cable Info'!O700))</f>
        <v>#N/A</v>
      </c>
      <c r="AR996" s="121" t="e">
        <f t="shared" si="169"/>
        <v>#N/A</v>
      </c>
      <c r="AT996" s="121" t="e">
        <f>IF('Cable Info'!P700="","",CONCATENATE('Cable Info'!P700," - ",'Cable Info'!Q700))</f>
        <v>#N/A</v>
      </c>
      <c r="AW996" s="121" t="e">
        <f t="shared" si="170"/>
        <v>#N/A</v>
      </c>
      <c r="AY996" s="121" t="str">
        <f>IF('Cable Info'!R700="","",CONCATENATE('Cable Info'!R700," - ",'Cable Info'!S700))</f>
        <v/>
      </c>
      <c r="BB996" s="121" t="str">
        <f t="shared" si="171"/>
        <v/>
      </c>
      <c r="BD996" s="121" t="str">
        <f>IF('Cable Info'!T700="","",CONCATENATE('Cable Info'!T700," - ",'Cable Info'!U700))</f>
        <v/>
      </c>
      <c r="BG996" s="121" t="str">
        <f t="shared" si="172"/>
        <v/>
      </c>
      <c r="BI996" s="121" t="str">
        <f>IF('Cable Info'!V700="","",CONCATENATE('Cable Info'!V700," - ",'Cable Info'!W700))</f>
        <v/>
      </c>
      <c r="BL996" s="121" t="str">
        <f t="shared" si="173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68"/>
        <v>#N/A</v>
      </c>
      <c r="AO997" s="121" t="e">
        <f>IF('Cable Info'!N701="","",CONCATENATE('Cable Info'!N701," - ",'Cable Info'!O701))</f>
        <v>#N/A</v>
      </c>
      <c r="AR997" s="121" t="e">
        <f t="shared" si="169"/>
        <v>#N/A</v>
      </c>
      <c r="AT997" s="121" t="e">
        <f>IF('Cable Info'!P701="","",CONCATENATE('Cable Info'!P701," - ",'Cable Info'!Q701))</f>
        <v>#N/A</v>
      </c>
      <c r="AW997" s="121" t="e">
        <f t="shared" si="170"/>
        <v>#N/A</v>
      </c>
      <c r="AY997" s="121" t="str">
        <f>IF('Cable Info'!R701="","",CONCATENATE('Cable Info'!R701," - ",'Cable Info'!S701))</f>
        <v/>
      </c>
      <c r="BB997" s="121" t="str">
        <f t="shared" si="171"/>
        <v/>
      </c>
      <c r="BD997" s="121" t="str">
        <f>IF('Cable Info'!T701="","",CONCATENATE('Cable Info'!T701," - ",'Cable Info'!U701))</f>
        <v/>
      </c>
      <c r="BG997" s="121" t="str">
        <f t="shared" si="172"/>
        <v/>
      </c>
      <c r="BI997" s="121" t="str">
        <f>IF('Cable Info'!V701="","",CONCATENATE('Cable Info'!V701," - ",'Cable Info'!W701))</f>
        <v/>
      </c>
      <c r="BL997" s="121" t="str">
        <f t="shared" si="173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68"/>
        <v>#N/A</v>
      </c>
      <c r="AO998" s="121" t="e">
        <f>IF('Cable Info'!N702="","",CONCATENATE('Cable Info'!N702," - ",'Cable Info'!O702))</f>
        <v>#N/A</v>
      </c>
      <c r="AR998" s="121" t="e">
        <f t="shared" si="169"/>
        <v>#N/A</v>
      </c>
      <c r="AT998" s="121" t="e">
        <f>IF('Cable Info'!P702="","",CONCATENATE('Cable Info'!P702," - ",'Cable Info'!Q702))</f>
        <v>#N/A</v>
      </c>
      <c r="AW998" s="121" t="e">
        <f t="shared" si="170"/>
        <v>#N/A</v>
      </c>
      <c r="AY998" s="121" t="str">
        <f>IF('Cable Info'!R702="","",CONCATENATE('Cable Info'!R702," - ",'Cable Info'!S702))</f>
        <v/>
      </c>
      <c r="BB998" s="121" t="str">
        <f t="shared" si="171"/>
        <v/>
      </c>
      <c r="BD998" s="121" t="str">
        <f>IF('Cable Info'!T702="","",CONCATENATE('Cable Info'!T702," - ",'Cable Info'!U702))</f>
        <v/>
      </c>
      <c r="BG998" s="121" t="str">
        <f t="shared" si="172"/>
        <v/>
      </c>
      <c r="BI998" s="121" t="str">
        <f>IF('Cable Info'!V702="","",CONCATENATE('Cable Info'!V702," - ",'Cable Info'!W702))</f>
        <v/>
      </c>
      <c r="BL998" s="121" t="str">
        <f t="shared" si="173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68"/>
        <v>#N/A</v>
      </c>
      <c r="AO999" s="121" t="e">
        <f>IF('Cable Info'!N703="","",CONCATENATE('Cable Info'!N703," - ",'Cable Info'!O703))</f>
        <v>#N/A</v>
      </c>
      <c r="AR999" s="121" t="e">
        <f t="shared" si="169"/>
        <v>#N/A</v>
      </c>
      <c r="AT999" s="121" t="e">
        <f>IF('Cable Info'!P703="","",CONCATENATE('Cable Info'!P703," - ",'Cable Info'!Q703))</f>
        <v>#N/A</v>
      </c>
      <c r="AW999" s="121" t="e">
        <f t="shared" si="170"/>
        <v>#N/A</v>
      </c>
      <c r="AY999" s="121" t="str">
        <f>IF('Cable Info'!R703="","",CONCATENATE('Cable Info'!R703," - ",'Cable Info'!S703))</f>
        <v/>
      </c>
      <c r="BB999" s="121" t="str">
        <f t="shared" si="171"/>
        <v/>
      </c>
      <c r="BD999" s="121" t="str">
        <f>IF('Cable Info'!T703="","",CONCATENATE('Cable Info'!T703," - ",'Cable Info'!U703))</f>
        <v/>
      </c>
      <c r="BG999" s="121" t="str">
        <f t="shared" si="172"/>
        <v/>
      </c>
      <c r="BI999" s="121" t="str">
        <f>IF('Cable Info'!V703="","",CONCATENATE('Cable Info'!V703," - ",'Cable Info'!W703))</f>
        <v/>
      </c>
      <c r="BL999" s="121" t="str">
        <f t="shared" si="173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68"/>
        <v>#N/A</v>
      </c>
      <c r="AO1000" s="121" t="e">
        <f>IF('Cable Info'!N704="","",CONCATENATE('Cable Info'!N704," - ",'Cable Info'!O704))</f>
        <v>#N/A</v>
      </c>
      <c r="AR1000" s="121" t="e">
        <f t="shared" si="169"/>
        <v>#N/A</v>
      </c>
      <c r="AT1000" s="121" t="e">
        <f>IF('Cable Info'!P704="","",CONCATENATE('Cable Info'!P704," - ",'Cable Info'!Q704))</f>
        <v>#N/A</v>
      </c>
      <c r="AW1000" s="121" t="e">
        <f t="shared" si="170"/>
        <v>#N/A</v>
      </c>
      <c r="AY1000" s="121" t="str">
        <f>IF('Cable Info'!R704="","",CONCATENATE('Cable Info'!R704," - ",'Cable Info'!S704))</f>
        <v/>
      </c>
      <c r="BB1000" s="121" t="str">
        <f t="shared" si="171"/>
        <v/>
      </c>
      <c r="BD1000" s="121" t="str">
        <f>IF('Cable Info'!T704="","",CONCATENATE('Cable Info'!T704," - ",'Cable Info'!U704))</f>
        <v/>
      </c>
      <c r="BG1000" s="121" t="str">
        <f t="shared" si="172"/>
        <v/>
      </c>
      <c r="BI1000" s="121" t="str">
        <f>IF('Cable Info'!V704="","",CONCATENATE('Cable Info'!V704," - ",'Cable Info'!W704))</f>
        <v/>
      </c>
      <c r="BL1000" s="121" t="str">
        <f t="shared" si="173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68"/>
        <v>#N/A</v>
      </c>
      <c r="AO1001" s="121" t="e">
        <f>IF('Cable Info'!N705="","",CONCATENATE('Cable Info'!N705," - ",'Cable Info'!O705))</f>
        <v>#N/A</v>
      </c>
      <c r="AR1001" s="121" t="e">
        <f t="shared" si="169"/>
        <v>#N/A</v>
      </c>
      <c r="AT1001" s="121" t="e">
        <f>IF('Cable Info'!P705="","",CONCATENATE('Cable Info'!P705," - ",'Cable Info'!Q705))</f>
        <v>#N/A</v>
      </c>
      <c r="AW1001" s="121" t="e">
        <f t="shared" si="170"/>
        <v>#N/A</v>
      </c>
      <c r="AY1001" s="121" t="str">
        <f>IF('Cable Info'!R705="","",CONCATENATE('Cable Info'!R705," - ",'Cable Info'!S705))</f>
        <v/>
      </c>
      <c r="BB1001" s="121" t="str">
        <f t="shared" si="171"/>
        <v/>
      </c>
      <c r="BD1001" s="121" t="str">
        <f>IF('Cable Info'!T705="","",CONCATENATE('Cable Info'!T705," - ",'Cable Info'!U705))</f>
        <v/>
      </c>
      <c r="BG1001" s="121" t="str">
        <f t="shared" si="172"/>
        <v/>
      </c>
      <c r="BI1001" s="121" t="str">
        <f>IF('Cable Info'!V705="","",CONCATENATE('Cable Info'!V705," - ",'Cable Info'!W705))</f>
        <v/>
      </c>
      <c r="BL1001" s="121" t="str">
        <f t="shared" si="173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68"/>
        <v>#N/A</v>
      </c>
      <c r="AO1002" s="121" t="e">
        <f>IF('Cable Info'!N706="","",CONCATENATE('Cable Info'!N706," - ",'Cable Info'!O706))</f>
        <v>#N/A</v>
      </c>
      <c r="AR1002" s="121" t="e">
        <f t="shared" si="169"/>
        <v>#N/A</v>
      </c>
      <c r="AT1002" s="121" t="e">
        <f>IF('Cable Info'!P706="","",CONCATENATE('Cable Info'!P706," - ",'Cable Info'!Q706))</f>
        <v>#N/A</v>
      </c>
      <c r="AW1002" s="121" t="e">
        <f t="shared" si="170"/>
        <v>#N/A</v>
      </c>
      <c r="AY1002" s="121" t="str">
        <f>IF('Cable Info'!R706="","",CONCATENATE('Cable Info'!R706," - ",'Cable Info'!S706))</f>
        <v/>
      </c>
      <c r="BB1002" s="121" t="str">
        <f t="shared" si="171"/>
        <v/>
      </c>
      <c r="BD1002" s="121" t="str">
        <f>IF('Cable Info'!T706="","",CONCATENATE('Cable Info'!T706," - ",'Cable Info'!U706))</f>
        <v/>
      </c>
      <c r="BG1002" s="121" t="str">
        <f t="shared" si="172"/>
        <v/>
      </c>
      <c r="BI1002" s="121" t="str">
        <f>IF('Cable Info'!V706="","",CONCATENATE('Cable Info'!V706," - ",'Cable Info'!W706))</f>
        <v/>
      </c>
      <c r="BL1002" s="121" t="str">
        <f t="shared" si="173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4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75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76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77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78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79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4"/>
        <v>#N/A</v>
      </c>
      <c r="AO1004" s="121" t="e">
        <f>IF('Cable Info'!N708="","",CONCATENATE('Cable Info'!N708," - ",'Cable Info'!O708))</f>
        <v>#N/A</v>
      </c>
      <c r="AR1004" s="121" t="e">
        <f t="shared" si="175"/>
        <v>#N/A</v>
      </c>
      <c r="AT1004" s="121" t="e">
        <f>IF('Cable Info'!P708="","",CONCATENATE('Cable Info'!P708," - ",'Cable Info'!Q708))</f>
        <v>#N/A</v>
      </c>
      <c r="AW1004" s="121" t="e">
        <f t="shared" si="176"/>
        <v>#N/A</v>
      </c>
      <c r="AY1004" s="121" t="str">
        <f>IF('Cable Info'!R708="","",CONCATENATE('Cable Info'!R708," - ",'Cable Info'!S708))</f>
        <v/>
      </c>
      <c r="BB1004" s="121" t="str">
        <f t="shared" si="177"/>
        <v/>
      </c>
      <c r="BD1004" s="121" t="str">
        <f>IF('Cable Info'!T708="","",CONCATENATE('Cable Info'!T708," - ",'Cable Info'!U708))</f>
        <v/>
      </c>
      <c r="BG1004" s="121" t="str">
        <f t="shared" si="178"/>
        <v/>
      </c>
      <c r="BI1004" s="121" t="str">
        <f>IF('Cable Info'!V708="","",CONCATENATE('Cable Info'!V708," - ",'Cable Info'!W708))</f>
        <v/>
      </c>
      <c r="BL1004" s="121" t="str">
        <f t="shared" si="179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4"/>
        <v>#N/A</v>
      </c>
      <c r="AO1005" s="121" t="e">
        <f>IF('Cable Info'!N709="","",CONCATENATE('Cable Info'!N709," - ",'Cable Info'!O709))</f>
        <v>#N/A</v>
      </c>
      <c r="AR1005" s="121" t="e">
        <f t="shared" si="175"/>
        <v>#N/A</v>
      </c>
      <c r="AT1005" s="121" t="e">
        <f>IF('Cable Info'!P709="","",CONCATENATE('Cable Info'!P709," - ",'Cable Info'!Q709))</f>
        <v>#N/A</v>
      </c>
      <c r="AW1005" s="121" t="e">
        <f t="shared" si="176"/>
        <v>#N/A</v>
      </c>
      <c r="AY1005" s="121" t="str">
        <f>IF('Cable Info'!R709="","",CONCATENATE('Cable Info'!R709," - ",'Cable Info'!S709))</f>
        <v/>
      </c>
      <c r="BB1005" s="121" t="str">
        <f t="shared" si="177"/>
        <v/>
      </c>
      <c r="BD1005" s="121" t="str">
        <f>IF('Cable Info'!T709="","",CONCATENATE('Cable Info'!T709," - ",'Cable Info'!U709))</f>
        <v/>
      </c>
      <c r="BG1005" s="121" t="str">
        <f t="shared" si="178"/>
        <v/>
      </c>
      <c r="BI1005" s="121" t="str">
        <f>IF('Cable Info'!V709="","",CONCATENATE('Cable Info'!V709," - ",'Cable Info'!W709))</f>
        <v/>
      </c>
      <c r="BL1005" s="121" t="str">
        <f t="shared" si="179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4"/>
        <v>#N/A</v>
      </c>
      <c r="AO1006" s="121" t="e">
        <f>IF('Cable Info'!N710="","",CONCATENATE('Cable Info'!N710," - ",'Cable Info'!O710))</f>
        <v>#N/A</v>
      </c>
      <c r="AR1006" s="121" t="e">
        <f t="shared" si="175"/>
        <v>#N/A</v>
      </c>
      <c r="AT1006" s="121" t="e">
        <f>IF('Cable Info'!P710="","",CONCATENATE('Cable Info'!P710," - ",'Cable Info'!Q710))</f>
        <v>#N/A</v>
      </c>
      <c r="AW1006" s="121" t="e">
        <f t="shared" si="176"/>
        <v>#N/A</v>
      </c>
      <c r="AY1006" s="121" t="str">
        <f>IF('Cable Info'!R710="","",CONCATENATE('Cable Info'!R710," - ",'Cable Info'!S710))</f>
        <v/>
      </c>
      <c r="BB1006" s="121" t="str">
        <f t="shared" si="177"/>
        <v/>
      </c>
      <c r="BD1006" s="121" t="str">
        <f>IF('Cable Info'!T710="","",CONCATENATE('Cable Info'!T710," - ",'Cable Info'!U710))</f>
        <v/>
      </c>
      <c r="BG1006" s="121" t="str">
        <f t="shared" si="178"/>
        <v/>
      </c>
      <c r="BI1006" s="121" t="str">
        <f>IF('Cable Info'!V710="","",CONCATENATE('Cable Info'!V710," - ",'Cable Info'!W710))</f>
        <v/>
      </c>
      <c r="BL1006" s="121" t="str">
        <f t="shared" si="179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4"/>
        <v>#N/A</v>
      </c>
      <c r="AO1007" s="121" t="e">
        <f>IF('Cable Info'!N711="","",CONCATENATE('Cable Info'!N711," - ",'Cable Info'!O711))</f>
        <v>#N/A</v>
      </c>
      <c r="AR1007" s="121" t="e">
        <f t="shared" si="175"/>
        <v>#N/A</v>
      </c>
      <c r="AT1007" s="121" t="e">
        <f>IF('Cable Info'!P711="","",CONCATENATE('Cable Info'!P711," - ",'Cable Info'!Q711))</f>
        <v>#N/A</v>
      </c>
      <c r="AW1007" s="121" t="e">
        <f t="shared" si="176"/>
        <v>#N/A</v>
      </c>
      <c r="AY1007" s="121" t="str">
        <f>IF('Cable Info'!R711="","",CONCATENATE('Cable Info'!R711," - ",'Cable Info'!S711))</f>
        <v/>
      </c>
      <c r="BB1007" s="121" t="str">
        <f t="shared" si="177"/>
        <v/>
      </c>
      <c r="BD1007" s="121" t="str">
        <f>IF('Cable Info'!T711="","",CONCATENATE('Cable Info'!T711," - ",'Cable Info'!U711))</f>
        <v/>
      </c>
      <c r="BG1007" s="121" t="str">
        <f t="shared" si="178"/>
        <v/>
      </c>
      <c r="BI1007" s="121" t="str">
        <f>IF('Cable Info'!V711="","",CONCATENATE('Cable Info'!V711," - ",'Cable Info'!W711))</f>
        <v/>
      </c>
      <c r="BL1007" s="121" t="str">
        <f t="shared" si="179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4"/>
        <v>#N/A</v>
      </c>
      <c r="AO1008" s="121" t="e">
        <f>IF('Cable Info'!N712="","",CONCATENATE('Cable Info'!N712," - ",'Cable Info'!O712))</f>
        <v>#N/A</v>
      </c>
      <c r="AR1008" s="121" t="e">
        <f t="shared" si="175"/>
        <v>#N/A</v>
      </c>
      <c r="AT1008" s="121" t="e">
        <f>IF('Cable Info'!P712="","",CONCATENATE('Cable Info'!P712," - ",'Cable Info'!Q712))</f>
        <v>#N/A</v>
      </c>
      <c r="AW1008" s="121" t="e">
        <f t="shared" si="176"/>
        <v>#N/A</v>
      </c>
      <c r="AY1008" s="121" t="str">
        <f>IF('Cable Info'!R712="","",CONCATENATE('Cable Info'!R712," - ",'Cable Info'!S712))</f>
        <v/>
      </c>
      <c r="BB1008" s="121" t="str">
        <f t="shared" si="177"/>
        <v/>
      </c>
      <c r="BD1008" s="121" t="str">
        <f>IF('Cable Info'!T712="","",CONCATENATE('Cable Info'!T712," - ",'Cable Info'!U712))</f>
        <v/>
      </c>
      <c r="BG1008" s="121" t="str">
        <f t="shared" si="178"/>
        <v/>
      </c>
      <c r="BI1008" s="121" t="str">
        <f>IF('Cable Info'!V712="","",CONCATENATE('Cable Info'!V712," - ",'Cable Info'!W712))</f>
        <v/>
      </c>
      <c r="BL1008" s="121" t="str">
        <f t="shared" si="179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4"/>
        <v>#N/A</v>
      </c>
      <c r="AO1009" s="121" t="e">
        <f>IF('Cable Info'!N713="","",CONCATENATE('Cable Info'!N713," - ",'Cable Info'!O713))</f>
        <v>#N/A</v>
      </c>
      <c r="AR1009" s="121" t="e">
        <f t="shared" si="175"/>
        <v>#N/A</v>
      </c>
      <c r="AT1009" s="121" t="e">
        <f>IF('Cable Info'!P713="","",CONCATENATE('Cable Info'!P713," - ",'Cable Info'!Q713))</f>
        <v>#N/A</v>
      </c>
      <c r="AW1009" s="121" t="e">
        <f t="shared" si="176"/>
        <v>#N/A</v>
      </c>
      <c r="AY1009" s="121" t="str">
        <f>IF('Cable Info'!R713="","",CONCATENATE('Cable Info'!R713," - ",'Cable Info'!S713))</f>
        <v/>
      </c>
      <c r="BB1009" s="121" t="str">
        <f t="shared" si="177"/>
        <v/>
      </c>
      <c r="BD1009" s="121" t="str">
        <f>IF('Cable Info'!T713="","",CONCATENATE('Cable Info'!T713," - ",'Cable Info'!U713))</f>
        <v/>
      </c>
      <c r="BG1009" s="121" t="str">
        <f t="shared" si="178"/>
        <v/>
      </c>
      <c r="BI1009" s="121" t="str">
        <f>IF('Cable Info'!V713="","",CONCATENATE('Cable Info'!V713," - ",'Cable Info'!W713))</f>
        <v/>
      </c>
      <c r="BL1009" s="121" t="str">
        <f t="shared" si="179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4"/>
        <v>#N/A</v>
      </c>
      <c r="AO1010" s="121" t="e">
        <f>IF('Cable Info'!N714="","",CONCATENATE('Cable Info'!N714," - ",'Cable Info'!O714))</f>
        <v>#N/A</v>
      </c>
      <c r="AR1010" s="121" t="e">
        <f t="shared" si="175"/>
        <v>#N/A</v>
      </c>
      <c r="AT1010" s="121" t="e">
        <f>IF('Cable Info'!P714="","",CONCATENATE('Cable Info'!P714," - ",'Cable Info'!Q714))</f>
        <v>#N/A</v>
      </c>
      <c r="AW1010" s="121" t="e">
        <f t="shared" si="176"/>
        <v>#N/A</v>
      </c>
      <c r="AY1010" s="121" t="str">
        <f>IF('Cable Info'!R714="","",CONCATENATE('Cable Info'!R714," - ",'Cable Info'!S714))</f>
        <v/>
      </c>
      <c r="BB1010" s="121" t="str">
        <f t="shared" si="177"/>
        <v/>
      </c>
      <c r="BD1010" s="121" t="str">
        <f>IF('Cable Info'!T714="","",CONCATENATE('Cable Info'!T714," - ",'Cable Info'!U714))</f>
        <v/>
      </c>
      <c r="BG1010" s="121" t="str">
        <f t="shared" si="178"/>
        <v/>
      </c>
      <c r="BI1010" s="121" t="str">
        <f>IF('Cable Info'!V714="","",CONCATENATE('Cable Info'!V714," - ",'Cable Info'!W714))</f>
        <v/>
      </c>
      <c r="BL1010" s="121" t="str">
        <f t="shared" si="179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4"/>
        <v>#N/A</v>
      </c>
      <c r="AO1011" s="121" t="e">
        <f>IF('Cable Info'!N715="","",CONCATENATE('Cable Info'!N715," - ",'Cable Info'!O715))</f>
        <v>#N/A</v>
      </c>
      <c r="AR1011" s="121" t="e">
        <f t="shared" si="175"/>
        <v>#N/A</v>
      </c>
      <c r="AT1011" s="121" t="e">
        <f>IF('Cable Info'!P715="","",CONCATENATE('Cable Info'!P715," - ",'Cable Info'!Q715))</f>
        <v>#N/A</v>
      </c>
      <c r="AW1011" s="121" t="e">
        <f t="shared" si="176"/>
        <v>#N/A</v>
      </c>
      <c r="AY1011" s="121" t="str">
        <f>IF('Cable Info'!R715="","",CONCATENATE('Cable Info'!R715," - ",'Cable Info'!S715))</f>
        <v/>
      </c>
      <c r="BB1011" s="121" t="str">
        <f t="shared" si="177"/>
        <v/>
      </c>
      <c r="BD1011" s="121" t="str">
        <f>IF('Cable Info'!T715="","",CONCATENATE('Cable Info'!T715," - ",'Cable Info'!U715))</f>
        <v/>
      </c>
      <c r="BG1011" s="121" t="str">
        <f t="shared" si="178"/>
        <v/>
      </c>
      <c r="BI1011" s="121" t="str">
        <f>IF('Cable Info'!V715="","",CONCATENATE('Cable Info'!V715," - ",'Cable Info'!W715))</f>
        <v/>
      </c>
      <c r="BL1011" s="121" t="str">
        <f t="shared" si="179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4"/>
        <v>#N/A</v>
      </c>
      <c r="AO1012" s="121" t="e">
        <f>IF('Cable Info'!N716="","",CONCATENATE('Cable Info'!N716," - ",'Cable Info'!O716))</f>
        <v>#N/A</v>
      </c>
      <c r="AR1012" s="121" t="e">
        <f t="shared" si="175"/>
        <v>#N/A</v>
      </c>
      <c r="AT1012" s="121" t="e">
        <f>IF('Cable Info'!P716="","",CONCATENATE('Cable Info'!P716," - ",'Cable Info'!Q716))</f>
        <v>#N/A</v>
      </c>
      <c r="AW1012" s="121" t="e">
        <f t="shared" si="176"/>
        <v>#N/A</v>
      </c>
      <c r="AY1012" s="121" t="str">
        <f>IF('Cable Info'!R716="","",CONCATENATE('Cable Info'!R716," - ",'Cable Info'!S716))</f>
        <v/>
      </c>
      <c r="BB1012" s="121" t="str">
        <f t="shared" si="177"/>
        <v/>
      </c>
      <c r="BD1012" s="121" t="str">
        <f>IF('Cable Info'!T716="","",CONCATENATE('Cable Info'!T716," - ",'Cable Info'!U716))</f>
        <v/>
      </c>
      <c r="BG1012" s="121" t="str">
        <f t="shared" si="178"/>
        <v/>
      </c>
      <c r="BI1012" s="121" t="str">
        <f>IF('Cable Info'!V716="","",CONCATENATE('Cable Info'!V716," - ",'Cable Info'!W716))</f>
        <v/>
      </c>
      <c r="BL1012" s="121" t="str">
        <f t="shared" si="179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4"/>
        <v>#N/A</v>
      </c>
      <c r="AO1013" s="121" t="e">
        <f>IF('Cable Info'!N717="","",CONCATENATE('Cable Info'!N717," - ",'Cable Info'!O717))</f>
        <v>#N/A</v>
      </c>
      <c r="AR1013" s="121" t="e">
        <f t="shared" si="175"/>
        <v>#N/A</v>
      </c>
      <c r="AT1013" s="121" t="e">
        <f>IF('Cable Info'!P717="","",CONCATENATE('Cable Info'!P717," - ",'Cable Info'!Q717))</f>
        <v>#N/A</v>
      </c>
      <c r="AW1013" s="121" t="e">
        <f t="shared" si="176"/>
        <v>#N/A</v>
      </c>
      <c r="AY1013" s="121" t="str">
        <f>IF('Cable Info'!R717="","",CONCATENATE('Cable Info'!R717," - ",'Cable Info'!S717))</f>
        <v/>
      </c>
      <c r="BB1013" s="121" t="str">
        <f t="shared" si="177"/>
        <v/>
      </c>
      <c r="BD1013" s="121" t="str">
        <f>IF('Cable Info'!T717="","",CONCATENATE('Cable Info'!T717," - ",'Cable Info'!U717))</f>
        <v/>
      </c>
      <c r="BG1013" s="121" t="str">
        <f t="shared" si="178"/>
        <v/>
      </c>
      <c r="BI1013" s="121" t="str">
        <f>IF('Cable Info'!V717="","",CONCATENATE('Cable Info'!V717," - ",'Cable Info'!W717))</f>
        <v/>
      </c>
      <c r="BL1013" s="121" t="str">
        <f t="shared" si="179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4"/>
        <v>#N/A</v>
      </c>
      <c r="AO1014" s="121" t="e">
        <f>IF('Cable Info'!N718="","",CONCATENATE('Cable Info'!N718," - ",'Cable Info'!O718))</f>
        <v>#N/A</v>
      </c>
      <c r="AR1014" s="121" t="e">
        <f t="shared" si="175"/>
        <v>#N/A</v>
      </c>
      <c r="AT1014" s="121" t="e">
        <f>IF('Cable Info'!P718="","",CONCATENATE('Cable Info'!P718," - ",'Cable Info'!Q718))</f>
        <v>#N/A</v>
      </c>
      <c r="AW1014" s="121" t="e">
        <f t="shared" si="176"/>
        <v>#N/A</v>
      </c>
      <c r="AY1014" s="121" t="str">
        <f>IF('Cable Info'!R718="","",CONCATENATE('Cable Info'!R718," - ",'Cable Info'!S718))</f>
        <v/>
      </c>
      <c r="BB1014" s="121" t="str">
        <f t="shared" si="177"/>
        <v/>
      </c>
      <c r="BD1014" s="121" t="str">
        <f>IF('Cable Info'!T718="","",CONCATENATE('Cable Info'!T718," - ",'Cable Info'!U718))</f>
        <v/>
      </c>
      <c r="BG1014" s="121" t="str">
        <f t="shared" si="178"/>
        <v/>
      </c>
      <c r="BI1014" s="121" t="str">
        <f>IF('Cable Info'!V718="","",CONCATENATE('Cable Info'!V718," - ",'Cable Info'!W718))</f>
        <v/>
      </c>
      <c r="BL1014" s="121" t="str">
        <f t="shared" si="179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4"/>
        <v>#N/A</v>
      </c>
      <c r="AO1015" s="121" t="e">
        <f>IF('Cable Info'!N719="","",CONCATENATE('Cable Info'!N719," - ",'Cable Info'!O719))</f>
        <v>#N/A</v>
      </c>
      <c r="AR1015" s="121" t="e">
        <f t="shared" si="175"/>
        <v>#N/A</v>
      </c>
      <c r="AT1015" s="121" t="e">
        <f>IF('Cable Info'!P719="","",CONCATENATE('Cable Info'!P719," - ",'Cable Info'!Q719))</f>
        <v>#N/A</v>
      </c>
      <c r="AW1015" s="121" t="e">
        <f t="shared" si="176"/>
        <v>#N/A</v>
      </c>
      <c r="AY1015" s="121" t="str">
        <f>IF('Cable Info'!R719="","",CONCATENATE('Cable Info'!R719," - ",'Cable Info'!S719))</f>
        <v/>
      </c>
      <c r="BB1015" s="121" t="str">
        <f t="shared" si="177"/>
        <v/>
      </c>
      <c r="BD1015" s="121" t="str">
        <f>IF('Cable Info'!T719="","",CONCATENATE('Cable Info'!T719," - ",'Cable Info'!U719))</f>
        <v/>
      </c>
      <c r="BG1015" s="121" t="str">
        <f t="shared" si="178"/>
        <v/>
      </c>
      <c r="BI1015" s="121" t="str">
        <f>IF('Cable Info'!V719="","",CONCATENATE('Cable Info'!V719," - ",'Cable Info'!W719))</f>
        <v/>
      </c>
      <c r="BL1015" s="121" t="str">
        <f t="shared" si="179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4"/>
        <v>#N/A</v>
      </c>
      <c r="AO1016" s="121" t="e">
        <f>IF('Cable Info'!N720="","",CONCATENATE('Cable Info'!N720," - ",'Cable Info'!O720))</f>
        <v>#N/A</v>
      </c>
      <c r="AR1016" s="121" t="e">
        <f t="shared" si="175"/>
        <v>#N/A</v>
      </c>
      <c r="AT1016" s="121" t="e">
        <f>IF('Cable Info'!P720="","",CONCATENATE('Cable Info'!P720," - ",'Cable Info'!Q720))</f>
        <v>#N/A</v>
      </c>
      <c r="AW1016" s="121" t="e">
        <f t="shared" si="176"/>
        <v>#N/A</v>
      </c>
      <c r="AY1016" s="121" t="str">
        <f>IF('Cable Info'!R720="","",CONCATENATE('Cable Info'!R720," - ",'Cable Info'!S720))</f>
        <v/>
      </c>
      <c r="BB1016" s="121" t="str">
        <f t="shared" si="177"/>
        <v/>
      </c>
      <c r="BD1016" s="121" t="str">
        <f>IF('Cable Info'!T720="","",CONCATENATE('Cable Info'!T720," - ",'Cable Info'!U720))</f>
        <v/>
      </c>
      <c r="BG1016" s="121" t="str">
        <f t="shared" si="178"/>
        <v/>
      </c>
      <c r="BI1016" s="121" t="str">
        <f>IF('Cable Info'!V720="","",CONCATENATE('Cable Info'!V720," - ",'Cable Info'!W720))</f>
        <v/>
      </c>
      <c r="BL1016" s="121" t="str">
        <f t="shared" si="179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4"/>
        <v>#N/A</v>
      </c>
      <c r="AO1017" s="121" t="e">
        <f>IF('Cable Info'!N721="","",CONCATENATE('Cable Info'!N721," - ",'Cable Info'!O721))</f>
        <v>#N/A</v>
      </c>
      <c r="AR1017" s="121" t="e">
        <f t="shared" si="175"/>
        <v>#N/A</v>
      </c>
      <c r="AT1017" s="121" t="e">
        <f>IF('Cable Info'!P721="","",CONCATENATE('Cable Info'!P721," - ",'Cable Info'!Q721))</f>
        <v>#N/A</v>
      </c>
      <c r="AW1017" s="121" t="e">
        <f t="shared" si="176"/>
        <v>#N/A</v>
      </c>
      <c r="AY1017" s="121" t="str">
        <f>IF('Cable Info'!R721="","",CONCATENATE('Cable Info'!R721," - ",'Cable Info'!S721))</f>
        <v/>
      </c>
      <c r="BB1017" s="121" t="str">
        <f t="shared" si="177"/>
        <v/>
      </c>
      <c r="BD1017" s="121" t="str">
        <f>IF('Cable Info'!T721="","",CONCATENATE('Cable Info'!T721," - ",'Cable Info'!U721))</f>
        <v/>
      </c>
      <c r="BG1017" s="121" t="str">
        <f t="shared" si="178"/>
        <v/>
      </c>
      <c r="BI1017" s="121" t="str">
        <f>IF('Cable Info'!V721="","",CONCATENATE('Cable Info'!V721," - ",'Cable Info'!W721))</f>
        <v/>
      </c>
      <c r="BL1017" s="121" t="str">
        <f t="shared" si="179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4"/>
        <v>#N/A</v>
      </c>
      <c r="AO1018" s="121" t="e">
        <f>IF('Cable Info'!N722="","",CONCATENATE('Cable Info'!N722," - ",'Cable Info'!O722))</f>
        <v>#N/A</v>
      </c>
      <c r="AR1018" s="121" t="e">
        <f t="shared" si="175"/>
        <v>#N/A</v>
      </c>
      <c r="AT1018" s="121" t="e">
        <f>IF('Cable Info'!P722="","",CONCATENATE('Cable Info'!P722," - ",'Cable Info'!Q722))</f>
        <v>#N/A</v>
      </c>
      <c r="AW1018" s="121" t="e">
        <f t="shared" si="176"/>
        <v>#N/A</v>
      </c>
      <c r="AY1018" s="121" t="str">
        <f>IF('Cable Info'!R722="","",CONCATENATE('Cable Info'!R722," - ",'Cable Info'!S722))</f>
        <v/>
      </c>
      <c r="BB1018" s="121" t="str">
        <f t="shared" si="177"/>
        <v/>
      </c>
      <c r="BD1018" s="121" t="str">
        <f>IF('Cable Info'!T722="","",CONCATENATE('Cable Info'!T722," - ",'Cable Info'!U722))</f>
        <v/>
      </c>
      <c r="BG1018" s="121" t="str">
        <f t="shared" si="178"/>
        <v/>
      </c>
      <c r="BI1018" s="121" t="str">
        <f>IF('Cable Info'!V722="","",CONCATENATE('Cable Info'!V722," - ",'Cable Info'!W722))</f>
        <v/>
      </c>
      <c r="BL1018" s="121" t="str">
        <f t="shared" si="179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4"/>
        <v>#N/A</v>
      </c>
      <c r="AO1019" s="121" t="e">
        <f>IF('Cable Info'!N723="","",CONCATENATE('Cable Info'!N723," - ",'Cable Info'!O723))</f>
        <v>#N/A</v>
      </c>
      <c r="AR1019" s="121" t="e">
        <f t="shared" si="175"/>
        <v>#N/A</v>
      </c>
      <c r="AT1019" s="121" t="e">
        <f>IF('Cable Info'!P723="","",CONCATENATE('Cable Info'!P723," - ",'Cable Info'!Q723))</f>
        <v>#N/A</v>
      </c>
      <c r="AW1019" s="121" t="e">
        <f t="shared" si="176"/>
        <v>#N/A</v>
      </c>
      <c r="AY1019" s="121" t="str">
        <f>IF('Cable Info'!R723="","",CONCATENATE('Cable Info'!R723," - ",'Cable Info'!S723))</f>
        <v/>
      </c>
      <c r="BB1019" s="121" t="str">
        <f t="shared" si="177"/>
        <v/>
      </c>
      <c r="BD1019" s="121" t="str">
        <f>IF('Cable Info'!T723="","",CONCATENATE('Cable Info'!T723," - ",'Cable Info'!U723))</f>
        <v/>
      </c>
      <c r="BG1019" s="121" t="str">
        <f t="shared" si="178"/>
        <v/>
      </c>
      <c r="BI1019" s="121" t="str">
        <f>IF('Cable Info'!V723="","",CONCATENATE('Cable Info'!V723," - ",'Cable Info'!W723))</f>
        <v/>
      </c>
      <c r="BL1019" s="121" t="str">
        <f t="shared" si="179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4"/>
        <v>#N/A</v>
      </c>
      <c r="AO1020" s="121" t="e">
        <f>IF('Cable Info'!N724="","",CONCATENATE('Cable Info'!N724," - ",'Cable Info'!O724))</f>
        <v>#N/A</v>
      </c>
      <c r="AR1020" s="121" t="e">
        <f t="shared" si="175"/>
        <v>#N/A</v>
      </c>
      <c r="AT1020" s="121" t="e">
        <f>IF('Cable Info'!P724="","",CONCATENATE('Cable Info'!P724," - ",'Cable Info'!Q724))</f>
        <v>#N/A</v>
      </c>
      <c r="AW1020" s="121" t="e">
        <f t="shared" si="176"/>
        <v>#N/A</v>
      </c>
      <c r="AY1020" s="121" t="str">
        <f>IF('Cable Info'!R724="","",CONCATENATE('Cable Info'!R724," - ",'Cable Info'!S724))</f>
        <v/>
      </c>
      <c r="BB1020" s="121" t="str">
        <f t="shared" si="177"/>
        <v/>
      </c>
      <c r="BD1020" s="121" t="str">
        <f>IF('Cable Info'!T724="","",CONCATENATE('Cable Info'!T724," - ",'Cable Info'!U724))</f>
        <v/>
      </c>
      <c r="BG1020" s="121" t="str">
        <f t="shared" si="178"/>
        <v/>
      </c>
      <c r="BI1020" s="121" t="str">
        <f>IF('Cable Info'!V724="","",CONCATENATE('Cable Info'!V724," - ",'Cable Info'!W724))</f>
        <v/>
      </c>
      <c r="BL1020" s="121" t="str">
        <f t="shared" si="179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4"/>
        <v>#N/A</v>
      </c>
      <c r="AO1021" s="121" t="e">
        <f>IF('Cable Info'!N725="","",CONCATENATE('Cable Info'!N725," - ",'Cable Info'!O725))</f>
        <v>#N/A</v>
      </c>
      <c r="AR1021" s="121" t="e">
        <f t="shared" si="175"/>
        <v>#N/A</v>
      </c>
      <c r="AT1021" s="121" t="e">
        <f>IF('Cable Info'!P725="","",CONCATENATE('Cable Info'!P725," - ",'Cable Info'!Q725))</f>
        <v>#N/A</v>
      </c>
      <c r="AW1021" s="121" t="e">
        <f t="shared" si="176"/>
        <v>#N/A</v>
      </c>
      <c r="AY1021" s="121" t="str">
        <f>IF('Cable Info'!R725="","",CONCATENATE('Cable Info'!R725," - ",'Cable Info'!S725))</f>
        <v/>
      </c>
      <c r="BB1021" s="121" t="str">
        <f t="shared" si="177"/>
        <v/>
      </c>
      <c r="BD1021" s="121" t="str">
        <f>IF('Cable Info'!T725="","",CONCATENATE('Cable Info'!T725," - ",'Cable Info'!U725))</f>
        <v/>
      </c>
      <c r="BG1021" s="121" t="str">
        <f t="shared" si="178"/>
        <v/>
      </c>
      <c r="BI1021" s="121" t="str">
        <f>IF('Cable Info'!V725="","",CONCATENATE('Cable Info'!V725," - ",'Cable Info'!W725))</f>
        <v/>
      </c>
      <c r="BL1021" s="121" t="str">
        <f t="shared" si="179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4"/>
        <v>#N/A</v>
      </c>
      <c r="AO1022" s="121" t="e">
        <f>IF('Cable Info'!N726="","",CONCATENATE('Cable Info'!N726," - ",'Cable Info'!O726))</f>
        <v>#N/A</v>
      </c>
      <c r="AR1022" s="121" t="e">
        <f t="shared" si="175"/>
        <v>#N/A</v>
      </c>
      <c r="AT1022" s="121" t="e">
        <f>IF('Cable Info'!P726="","",CONCATENATE('Cable Info'!P726," - ",'Cable Info'!Q726))</f>
        <v>#N/A</v>
      </c>
      <c r="AW1022" s="121" t="e">
        <f t="shared" si="176"/>
        <v>#N/A</v>
      </c>
      <c r="AY1022" s="121" t="str">
        <f>IF('Cable Info'!R726="","",CONCATENATE('Cable Info'!R726," - ",'Cable Info'!S726))</f>
        <v/>
      </c>
      <c r="BB1022" s="121" t="str">
        <f t="shared" si="177"/>
        <v/>
      </c>
      <c r="BD1022" s="121" t="str">
        <f>IF('Cable Info'!T726="","",CONCATENATE('Cable Info'!T726," - ",'Cable Info'!U726))</f>
        <v/>
      </c>
      <c r="BG1022" s="121" t="str">
        <f t="shared" si="178"/>
        <v/>
      </c>
      <c r="BI1022" s="121" t="str">
        <f>IF('Cable Info'!V726="","",CONCATENATE('Cable Info'!V726," - ",'Cable Info'!W726))</f>
        <v/>
      </c>
      <c r="BL1022" s="121" t="str">
        <f t="shared" si="179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4"/>
        <v>#N/A</v>
      </c>
      <c r="AO1023" s="121" t="e">
        <f>IF('Cable Info'!N727="","",CONCATENATE('Cable Info'!N727," - ",'Cable Info'!O727))</f>
        <v>#N/A</v>
      </c>
      <c r="AR1023" s="121" t="e">
        <f t="shared" si="175"/>
        <v>#N/A</v>
      </c>
      <c r="AT1023" s="121" t="e">
        <f>IF('Cable Info'!P727="","",CONCATENATE('Cable Info'!P727," - ",'Cable Info'!Q727))</f>
        <v>#N/A</v>
      </c>
      <c r="AW1023" s="121" t="e">
        <f t="shared" si="176"/>
        <v>#N/A</v>
      </c>
      <c r="AY1023" s="121" t="str">
        <f>IF('Cable Info'!R727="","",CONCATENATE('Cable Info'!R727," - ",'Cable Info'!S727))</f>
        <v/>
      </c>
      <c r="BB1023" s="121" t="str">
        <f t="shared" si="177"/>
        <v/>
      </c>
      <c r="BD1023" s="121" t="str">
        <f>IF('Cable Info'!T727="","",CONCATENATE('Cable Info'!T727," - ",'Cable Info'!U727))</f>
        <v/>
      </c>
      <c r="BG1023" s="121" t="str">
        <f t="shared" si="178"/>
        <v/>
      </c>
      <c r="BI1023" s="121" t="str">
        <f>IF('Cable Info'!V727="","",CONCATENATE('Cable Info'!V727," - ",'Cable Info'!W727))</f>
        <v/>
      </c>
      <c r="BL1023" s="121" t="str">
        <f t="shared" si="179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4"/>
        <v>#N/A</v>
      </c>
      <c r="AO1024" s="121" t="e">
        <f>IF('Cable Info'!N728="","",CONCATENATE('Cable Info'!N728," - ",'Cable Info'!O728))</f>
        <v>#N/A</v>
      </c>
      <c r="AR1024" s="121" t="e">
        <f t="shared" si="175"/>
        <v>#N/A</v>
      </c>
      <c r="AT1024" s="121" t="e">
        <f>IF('Cable Info'!P728="","",CONCATENATE('Cable Info'!P728," - ",'Cable Info'!Q728))</f>
        <v>#N/A</v>
      </c>
      <c r="AW1024" s="121" t="e">
        <f t="shared" si="176"/>
        <v>#N/A</v>
      </c>
      <c r="AY1024" s="121" t="str">
        <f>IF('Cable Info'!R728="","",CONCATENATE('Cable Info'!R728," - ",'Cable Info'!S728))</f>
        <v/>
      </c>
      <c r="BB1024" s="121" t="str">
        <f t="shared" si="177"/>
        <v/>
      </c>
      <c r="BD1024" s="121" t="str">
        <f>IF('Cable Info'!T728="","",CONCATENATE('Cable Info'!T728," - ",'Cable Info'!U728))</f>
        <v/>
      </c>
      <c r="BG1024" s="121" t="str">
        <f t="shared" si="178"/>
        <v/>
      </c>
      <c r="BI1024" s="121" t="str">
        <f>IF('Cable Info'!V728="","",CONCATENATE('Cable Info'!V728," - ",'Cable Info'!W728))</f>
        <v/>
      </c>
      <c r="BL1024" s="121" t="str">
        <f t="shared" si="179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4"/>
        <v>#N/A</v>
      </c>
      <c r="AO1025" s="121" t="e">
        <f>IF('Cable Info'!N729="","",CONCATENATE('Cable Info'!N729," - ",'Cable Info'!O729))</f>
        <v>#N/A</v>
      </c>
      <c r="AR1025" s="121" t="e">
        <f t="shared" si="175"/>
        <v>#N/A</v>
      </c>
      <c r="AT1025" s="121" t="e">
        <f>IF('Cable Info'!P729="","",CONCATENATE('Cable Info'!P729," - ",'Cable Info'!Q729))</f>
        <v>#N/A</v>
      </c>
      <c r="AW1025" s="121" t="e">
        <f t="shared" si="176"/>
        <v>#N/A</v>
      </c>
      <c r="AY1025" s="121" t="str">
        <f>IF('Cable Info'!R729="","",CONCATENATE('Cable Info'!R729," - ",'Cable Info'!S729))</f>
        <v/>
      </c>
      <c r="BB1025" s="121" t="str">
        <f t="shared" si="177"/>
        <v/>
      </c>
      <c r="BD1025" s="121" t="str">
        <f>IF('Cable Info'!T729="","",CONCATENATE('Cable Info'!T729," - ",'Cable Info'!U729))</f>
        <v/>
      </c>
      <c r="BG1025" s="121" t="str">
        <f t="shared" si="178"/>
        <v/>
      </c>
      <c r="BI1025" s="121" t="str">
        <f>IF('Cable Info'!V729="","",CONCATENATE('Cable Info'!V729," - ",'Cable Info'!W729))</f>
        <v/>
      </c>
      <c r="BL1025" s="121" t="str">
        <f t="shared" si="179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4"/>
        <v>#N/A</v>
      </c>
      <c r="AO1026" s="121" t="e">
        <f>IF('Cable Info'!N730="","",CONCATENATE('Cable Info'!N730," - ",'Cable Info'!O730))</f>
        <v>#N/A</v>
      </c>
      <c r="AR1026" s="121" t="e">
        <f t="shared" si="175"/>
        <v>#N/A</v>
      </c>
      <c r="AT1026" s="121" t="e">
        <f>IF('Cable Info'!P730="","",CONCATENATE('Cable Info'!P730," - ",'Cable Info'!Q730))</f>
        <v>#N/A</v>
      </c>
      <c r="AW1026" s="121" t="e">
        <f t="shared" si="176"/>
        <v>#N/A</v>
      </c>
      <c r="AY1026" s="121" t="str">
        <f>IF('Cable Info'!R730="","",CONCATENATE('Cable Info'!R730," - ",'Cable Info'!S730))</f>
        <v/>
      </c>
      <c r="BB1026" s="121" t="str">
        <f t="shared" si="177"/>
        <v/>
      </c>
      <c r="BD1026" s="121" t="str">
        <f>IF('Cable Info'!T730="","",CONCATENATE('Cable Info'!T730," - ",'Cable Info'!U730))</f>
        <v/>
      </c>
      <c r="BG1026" s="121" t="str">
        <f t="shared" si="178"/>
        <v/>
      </c>
      <c r="BI1026" s="121" t="str">
        <f>IF('Cable Info'!V730="","",CONCATENATE('Cable Info'!V730," - ",'Cable Info'!W730))</f>
        <v/>
      </c>
      <c r="BL1026" s="121" t="str">
        <f t="shared" si="179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4"/>
        <v>#N/A</v>
      </c>
      <c r="AO1027" s="121" t="e">
        <f>IF('Cable Info'!N731="","",CONCATENATE('Cable Info'!N731," - ",'Cable Info'!O731))</f>
        <v>#N/A</v>
      </c>
      <c r="AR1027" s="121" t="e">
        <f t="shared" si="175"/>
        <v>#N/A</v>
      </c>
      <c r="AT1027" s="121" t="e">
        <f>IF('Cable Info'!P731="","",CONCATENATE('Cable Info'!P731," - ",'Cable Info'!Q731))</f>
        <v>#N/A</v>
      </c>
      <c r="AW1027" s="121" t="e">
        <f t="shared" si="176"/>
        <v>#N/A</v>
      </c>
      <c r="AY1027" s="121" t="str">
        <f>IF('Cable Info'!R731="","",CONCATENATE('Cable Info'!R731," - ",'Cable Info'!S731))</f>
        <v/>
      </c>
      <c r="BB1027" s="121" t="str">
        <f t="shared" si="177"/>
        <v/>
      </c>
      <c r="BD1027" s="121" t="str">
        <f>IF('Cable Info'!T731="","",CONCATENATE('Cable Info'!T731," - ",'Cable Info'!U731))</f>
        <v/>
      </c>
      <c r="BG1027" s="121" t="str">
        <f t="shared" si="178"/>
        <v/>
      </c>
      <c r="BI1027" s="121" t="str">
        <f>IF('Cable Info'!V731="","",CONCATENATE('Cable Info'!V731," - ",'Cable Info'!W731))</f>
        <v/>
      </c>
      <c r="BL1027" s="121" t="str">
        <f t="shared" si="179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4"/>
        <v>#N/A</v>
      </c>
      <c r="AO1028" s="121" t="e">
        <f>IF('Cable Info'!N732="","",CONCATENATE('Cable Info'!N732," - ",'Cable Info'!O732))</f>
        <v>#N/A</v>
      </c>
      <c r="AR1028" s="121" t="e">
        <f t="shared" si="175"/>
        <v>#N/A</v>
      </c>
      <c r="AT1028" s="121" t="e">
        <f>IF('Cable Info'!P732="","",CONCATENATE('Cable Info'!P732," - ",'Cable Info'!Q732))</f>
        <v>#N/A</v>
      </c>
      <c r="AW1028" s="121" t="e">
        <f t="shared" si="176"/>
        <v>#N/A</v>
      </c>
      <c r="AY1028" s="121" t="str">
        <f>IF('Cable Info'!R732="","",CONCATENATE('Cable Info'!R732," - ",'Cable Info'!S732))</f>
        <v/>
      </c>
      <c r="BB1028" s="121" t="str">
        <f t="shared" si="177"/>
        <v/>
      </c>
      <c r="BD1028" s="121" t="str">
        <f>IF('Cable Info'!T732="","",CONCATENATE('Cable Info'!T732," - ",'Cable Info'!U732))</f>
        <v/>
      </c>
      <c r="BG1028" s="121" t="str">
        <f t="shared" si="178"/>
        <v/>
      </c>
      <c r="BI1028" s="121" t="str">
        <f>IF('Cable Info'!V732="","",CONCATENATE('Cable Info'!V732," - ",'Cable Info'!W732))</f>
        <v/>
      </c>
      <c r="BL1028" s="121" t="str">
        <f t="shared" si="179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4"/>
        <v>#N/A</v>
      </c>
      <c r="AO1029" s="121" t="e">
        <f>IF('Cable Info'!N733="","",CONCATENATE('Cable Info'!N733," - ",'Cable Info'!O733))</f>
        <v>#N/A</v>
      </c>
      <c r="AR1029" s="121" t="e">
        <f t="shared" si="175"/>
        <v>#N/A</v>
      </c>
      <c r="AT1029" s="121" t="e">
        <f>IF('Cable Info'!P733="","",CONCATENATE('Cable Info'!P733," - ",'Cable Info'!Q733))</f>
        <v>#N/A</v>
      </c>
      <c r="AW1029" s="121" t="e">
        <f t="shared" si="176"/>
        <v>#N/A</v>
      </c>
      <c r="AY1029" s="121" t="str">
        <f>IF('Cable Info'!R733="","",CONCATENATE('Cable Info'!R733," - ",'Cable Info'!S733))</f>
        <v/>
      </c>
      <c r="BB1029" s="121" t="str">
        <f t="shared" si="177"/>
        <v/>
      </c>
      <c r="BD1029" s="121" t="str">
        <f>IF('Cable Info'!T733="","",CONCATENATE('Cable Info'!T733," - ",'Cable Info'!U733))</f>
        <v/>
      </c>
      <c r="BG1029" s="121" t="str">
        <f t="shared" si="178"/>
        <v/>
      </c>
      <c r="BI1029" s="121" t="str">
        <f>IF('Cable Info'!V733="","",CONCATENATE('Cable Info'!V733," - ",'Cable Info'!W733))</f>
        <v/>
      </c>
      <c r="BL1029" s="121" t="str">
        <f t="shared" si="179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4"/>
        <v>#N/A</v>
      </c>
      <c r="AO1030" s="121" t="e">
        <f>IF('Cable Info'!N734="","",CONCATENATE('Cable Info'!N734," - ",'Cable Info'!O734))</f>
        <v>#N/A</v>
      </c>
      <c r="AR1030" s="121" t="e">
        <f t="shared" si="175"/>
        <v>#N/A</v>
      </c>
      <c r="AT1030" s="121" t="e">
        <f>IF('Cable Info'!P734="","",CONCATENATE('Cable Info'!P734," - ",'Cable Info'!Q734))</f>
        <v>#N/A</v>
      </c>
      <c r="AW1030" s="121" t="e">
        <f t="shared" si="176"/>
        <v>#N/A</v>
      </c>
      <c r="AY1030" s="121" t="str">
        <f>IF('Cable Info'!R734="","",CONCATENATE('Cable Info'!R734," - ",'Cable Info'!S734))</f>
        <v/>
      </c>
      <c r="BB1030" s="121" t="str">
        <f t="shared" si="177"/>
        <v/>
      </c>
      <c r="BD1030" s="121" t="str">
        <f>IF('Cable Info'!T734="","",CONCATENATE('Cable Info'!T734," - ",'Cable Info'!U734))</f>
        <v/>
      </c>
      <c r="BG1030" s="121" t="str">
        <f t="shared" si="178"/>
        <v/>
      </c>
      <c r="BI1030" s="121" t="str">
        <f>IF('Cable Info'!V734="","",CONCATENATE('Cable Info'!V734," - ",'Cable Info'!W734))</f>
        <v/>
      </c>
      <c r="BL1030" s="121" t="str">
        <f t="shared" si="179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4"/>
        <v>#N/A</v>
      </c>
      <c r="AO1031" s="121" t="e">
        <f>IF('Cable Info'!N735="","",CONCATENATE('Cable Info'!N735," - ",'Cable Info'!O735))</f>
        <v>#N/A</v>
      </c>
      <c r="AR1031" s="121" t="e">
        <f t="shared" si="175"/>
        <v>#N/A</v>
      </c>
      <c r="AT1031" s="121" t="e">
        <f>IF('Cable Info'!P735="","",CONCATENATE('Cable Info'!P735," - ",'Cable Info'!Q735))</f>
        <v>#N/A</v>
      </c>
      <c r="AW1031" s="121" t="e">
        <f t="shared" si="176"/>
        <v>#N/A</v>
      </c>
      <c r="AY1031" s="121" t="str">
        <f>IF('Cable Info'!R735="","",CONCATENATE('Cable Info'!R735," - ",'Cable Info'!S735))</f>
        <v/>
      </c>
      <c r="BB1031" s="121" t="str">
        <f t="shared" si="177"/>
        <v/>
      </c>
      <c r="BD1031" s="121" t="str">
        <f>IF('Cable Info'!T735="","",CONCATENATE('Cable Info'!T735," - ",'Cable Info'!U735))</f>
        <v/>
      </c>
      <c r="BG1031" s="121" t="str">
        <f t="shared" si="178"/>
        <v/>
      </c>
      <c r="BI1031" s="121" t="str">
        <f>IF('Cable Info'!V735="","",CONCATENATE('Cable Info'!V735," - ",'Cable Info'!W735))</f>
        <v/>
      </c>
      <c r="BL1031" s="121" t="str">
        <f t="shared" si="179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4"/>
        <v>#N/A</v>
      </c>
      <c r="AO1032" s="121" t="e">
        <f>IF('Cable Info'!N736="","",CONCATENATE('Cable Info'!N736," - ",'Cable Info'!O736))</f>
        <v>#N/A</v>
      </c>
      <c r="AR1032" s="121" t="e">
        <f t="shared" si="175"/>
        <v>#N/A</v>
      </c>
      <c r="AT1032" s="121" t="e">
        <f>IF('Cable Info'!P736="","",CONCATENATE('Cable Info'!P736," - ",'Cable Info'!Q736))</f>
        <v>#N/A</v>
      </c>
      <c r="AW1032" s="121" t="e">
        <f t="shared" si="176"/>
        <v>#N/A</v>
      </c>
      <c r="AY1032" s="121" t="str">
        <f>IF('Cable Info'!R736="","",CONCATENATE('Cable Info'!R736," - ",'Cable Info'!S736))</f>
        <v/>
      </c>
      <c r="BB1032" s="121" t="str">
        <f t="shared" si="177"/>
        <v/>
      </c>
      <c r="BD1032" s="121" t="str">
        <f>IF('Cable Info'!T736="","",CONCATENATE('Cable Info'!T736," - ",'Cable Info'!U736))</f>
        <v/>
      </c>
      <c r="BG1032" s="121" t="str">
        <f t="shared" si="178"/>
        <v/>
      </c>
      <c r="BI1032" s="121" t="str">
        <f>IF('Cable Info'!V736="","",CONCATENATE('Cable Info'!V736," - ",'Cable Info'!W736))</f>
        <v/>
      </c>
      <c r="BL1032" s="121" t="str">
        <f t="shared" si="179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4"/>
        <v>#N/A</v>
      </c>
      <c r="AO1033" s="121" t="e">
        <f>IF('Cable Info'!N737="","",CONCATENATE('Cable Info'!N737," - ",'Cable Info'!O737))</f>
        <v>#N/A</v>
      </c>
      <c r="AR1033" s="121" t="e">
        <f t="shared" si="175"/>
        <v>#N/A</v>
      </c>
      <c r="AT1033" s="121" t="e">
        <f>IF('Cable Info'!P737="","",CONCATENATE('Cable Info'!P737," - ",'Cable Info'!Q737))</f>
        <v>#N/A</v>
      </c>
      <c r="AW1033" s="121" t="e">
        <f t="shared" si="176"/>
        <v>#N/A</v>
      </c>
      <c r="AY1033" s="121" t="str">
        <f>IF('Cable Info'!R737="","",CONCATENATE('Cable Info'!R737," - ",'Cable Info'!S737))</f>
        <v/>
      </c>
      <c r="BB1033" s="121" t="str">
        <f t="shared" si="177"/>
        <v/>
      </c>
      <c r="BD1033" s="121" t="str">
        <f>IF('Cable Info'!T737="","",CONCATENATE('Cable Info'!T737," - ",'Cable Info'!U737))</f>
        <v/>
      </c>
      <c r="BG1033" s="121" t="str">
        <f t="shared" si="178"/>
        <v/>
      </c>
      <c r="BI1033" s="121" t="str">
        <f>IF('Cable Info'!V737="","",CONCATENATE('Cable Info'!V737," - ",'Cable Info'!W737))</f>
        <v/>
      </c>
      <c r="BL1033" s="121" t="str">
        <f t="shared" si="179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4"/>
        <v>#N/A</v>
      </c>
      <c r="AO1034" s="121" t="e">
        <f>IF('Cable Info'!N738="","",CONCATENATE('Cable Info'!N738," - ",'Cable Info'!O738))</f>
        <v>#N/A</v>
      </c>
      <c r="AR1034" s="121" t="e">
        <f t="shared" si="175"/>
        <v>#N/A</v>
      </c>
      <c r="AT1034" s="121" t="e">
        <f>IF('Cable Info'!P738="","",CONCATENATE('Cable Info'!P738," - ",'Cable Info'!Q738))</f>
        <v>#N/A</v>
      </c>
      <c r="AW1034" s="121" t="e">
        <f t="shared" si="176"/>
        <v>#N/A</v>
      </c>
      <c r="AY1034" s="121" t="str">
        <f>IF('Cable Info'!R738="","",CONCATENATE('Cable Info'!R738," - ",'Cable Info'!S738))</f>
        <v/>
      </c>
      <c r="BB1034" s="121" t="str">
        <f t="shared" si="177"/>
        <v/>
      </c>
      <c r="BD1034" s="121" t="str">
        <f>IF('Cable Info'!T738="","",CONCATENATE('Cable Info'!T738," - ",'Cable Info'!U738))</f>
        <v/>
      </c>
      <c r="BG1034" s="121" t="str">
        <f t="shared" si="178"/>
        <v/>
      </c>
      <c r="BI1034" s="121" t="str">
        <f>IF('Cable Info'!V738="","",CONCATENATE('Cable Info'!V738," - ",'Cable Info'!W738))</f>
        <v/>
      </c>
      <c r="BL1034" s="121" t="str">
        <f t="shared" si="179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4"/>
        <v>#N/A</v>
      </c>
      <c r="AO1035" s="121" t="e">
        <f>IF('Cable Info'!N739="","",CONCATENATE('Cable Info'!N739," - ",'Cable Info'!O739))</f>
        <v>#N/A</v>
      </c>
      <c r="AR1035" s="121" t="e">
        <f t="shared" si="175"/>
        <v>#N/A</v>
      </c>
      <c r="AT1035" s="121" t="e">
        <f>IF('Cable Info'!P739="","",CONCATENATE('Cable Info'!P739," - ",'Cable Info'!Q739))</f>
        <v>#N/A</v>
      </c>
      <c r="AW1035" s="121" t="e">
        <f t="shared" si="176"/>
        <v>#N/A</v>
      </c>
      <c r="AY1035" s="121" t="str">
        <f>IF('Cable Info'!R739="","",CONCATENATE('Cable Info'!R739," - ",'Cable Info'!S739))</f>
        <v/>
      </c>
      <c r="BB1035" s="121" t="str">
        <f t="shared" si="177"/>
        <v/>
      </c>
      <c r="BD1035" s="121" t="str">
        <f>IF('Cable Info'!T739="","",CONCATENATE('Cable Info'!T739," - ",'Cable Info'!U739))</f>
        <v/>
      </c>
      <c r="BG1035" s="121" t="str">
        <f t="shared" si="178"/>
        <v/>
      </c>
      <c r="BI1035" s="121" t="str">
        <f>IF('Cable Info'!V739="","",CONCATENATE('Cable Info'!V739," - ",'Cable Info'!W739))</f>
        <v/>
      </c>
      <c r="BL1035" s="121" t="str">
        <f t="shared" si="179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4"/>
        <v>#N/A</v>
      </c>
      <c r="AO1036" s="121" t="e">
        <f>IF('Cable Info'!N740="","",CONCATENATE('Cable Info'!N740," - ",'Cable Info'!O740))</f>
        <v>#N/A</v>
      </c>
      <c r="AR1036" s="121" t="e">
        <f t="shared" si="175"/>
        <v>#N/A</v>
      </c>
      <c r="AT1036" s="121" t="e">
        <f>IF('Cable Info'!P740="","",CONCATENATE('Cable Info'!P740," - ",'Cable Info'!Q740))</f>
        <v>#N/A</v>
      </c>
      <c r="AW1036" s="121" t="e">
        <f t="shared" si="176"/>
        <v>#N/A</v>
      </c>
      <c r="AY1036" s="121" t="str">
        <f>IF('Cable Info'!R740="","",CONCATENATE('Cable Info'!R740," - ",'Cable Info'!S740))</f>
        <v/>
      </c>
      <c r="BB1036" s="121" t="str">
        <f t="shared" si="177"/>
        <v/>
      </c>
      <c r="BD1036" s="121" t="str">
        <f>IF('Cable Info'!T740="","",CONCATENATE('Cable Info'!T740," - ",'Cable Info'!U740))</f>
        <v/>
      </c>
      <c r="BG1036" s="121" t="str">
        <f t="shared" si="178"/>
        <v/>
      </c>
      <c r="BI1036" s="121" t="str">
        <f>IF('Cable Info'!V740="","",CONCATENATE('Cable Info'!V740," - ",'Cable Info'!W740))</f>
        <v/>
      </c>
      <c r="BL1036" s="121" t="str">
        <f t="shared" si="179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4"/>
        <v>#N/A</v>
      </c>
      <c r="AO1037" s="121" t="e">
        <f>IF('Cable Info'!N741="","",CONCATENATE('Cable Info'!N741," - ",'Cable Info'!O741))</f>
        <v>#N/A</v>
      </c>
      <c r="AR1037" s="121" t="e">
        <f t="shared" si="175"/>
        <v>#N/A</v>
      </c>
      <c r="AT1037" s="121" t="e">
        <f>IF('Cable Info'!P741="","",CONCATENATE('Cable Info'!P741," - ",'Cable Info'!Q741))</f>
        <v>#N/A</v>
      </c>
      <c r="AW1037" s="121" t="e">
        <f t="shared" si="176"/>
        <v>#N/A</v>
      </c>
      <c r="AY1037" s="121" t="str">
        <f>IF('Cable Info'!R741="","",CONCATENATE('Cable Info'!R741," - ",'Cable Info'!S741))</f>
        <v/>
      </c>
      <c r="BB1037" s="121" t="str">
        <f t="shared" si="177"/>
        <v/>
      </c>
      <c r="BD1037" s="121" t="str">
        <f>IF('Cable Info'!T741="","",CONCATENATE('Cable Info'!T741," - ",'Cable Info'!U741))</f>
        <v/>
      </c>
      <c r="BG1037" s="121" t="str">
        <f t="shared" si="178"/>
        <v/>
      </c>
      <c r="BI1037" s="121" t="str">
        <f>IF('Cable Info'!V741="","",CONCATENATE('Cable Info'!V741," - ",'Cable Info'!W741))</f>
        <v/>
      </c>
      <c r="BL1037" s="121" t="str">
        <f t="shared" si="179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4"/>
        <v>#N/A</v>
      </c>
      <c r="AO1038" s="121" t="e">
        <f>IF('Cable Info'!N742="","",CONCATENATE('Cable Info'!N742," - ",'Cable Info'!O742))</f>
        <v>#N/A</v>
      </c>
      <c r="AR1038" s="121" t="e">
        <f t="shared" si="175"/>
        <v>#N/A</v>
      </c>
      <c r="AT1038" s="121" t="e">
        <f>IF('Cable Info'!P742="","",CONCATENATE('Cable Info'!P742," - ",'Cable Info'!Q742))</f>
        <v>#N/A</v>
      </c>
      <c r="AW1038" s="121" t="e">
        <f t="shared" si="176"/>
        <v>#N/A</v>
      </c>
      <c r="AY1038" s="121" t="str">
        <f>IF('Cable Info'!R742="","",CONCATENATE('Cable Info'!R742," - ",'Cable Info'!S742))</f>
        <v/>
      </c>
      <c r="BB1038" s="121" t="str">
        <f t="shared" si="177"/>
        <v/>
      </c>
      <c r="BD1038" s="121" t="str">
        <f>IF('Cable Info'!T742="","",CONCATENATE('Cable Info'!T742," - ",'Cable Info'!U742))</f>
        <v/>
      </c>
      <c r="BG1038" s="121" t="str">
        <f t="shared" si="178"/>
        <v/>
      </c>
      <c r="BI1038" s="121" t="str">
        <f>IF('Cable Info'!V742="","",CONCATENATE('Cable Info'!V742," - ",'Cable Info'!W742))</f>
        <v/>
      </c>
      <c r="BL1038" s="121" t="str">
        <f t="shared" si="179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4"/>
        <v>#N/A</v>
      </c>
      <c r="AO1039" s="121" t="e">
        <f>IF('Cable Info'!N743="","",CONCATENATE('Cable Info'!N743," - ",'Cable Info'!O743))</f>
        <v>#N/A</v>
      </c>
      <c r="AR1039" s="121" t="e">
        <f t="shared" si="175"/>
        <v>#N/A</v>
      </c>
      <c r="AT1039" s="121" t="e">
        <f>IF('Cable Info'!P743="","",CONCATENATE('Cable Info'!P743," - ",'Cable Info'!Q743))</f>
        <v>#N/A</v>
      </c>
      <c r="AW1039" s="121" t="e">
        <f t="shared" si="176"/>
        <v>#N/A</v>
      </c>
      <c r="AY1039" s="121" t="str">
        <f>IF('Cable Info'!R743="","",CONCATENATE('Cable Info'!R743," - ",'Cable Info'!S743))</f>
        <v/>
      </c>
      <c r="BB1039" s="121" t="str">
        <f t="shared" si="177"/>
        <v/>
      </c>
      <c r="BD1039" s="121" t="str">
        <f>IF('Cable Info'!T743="","",CONCATENATE('Cable Info'!T743," - ",'Cable Info'!U743))</f>
        <v/>
      </c>
      <c r="BG1039" s="121" t="str">
        <f t="shared" si="178"/>
        <v/>
      </c>
      <c r="BI1039" s="121" t="str">
        <f>IF('Cable Info'!V743="","",CONCATENATE('Cable Info'!V743," - ",'Cable Info'!W743))</f>
        <v/>
      </c>
      <c r="BL1039" s="121" t="str">
        <f t="shared" si="179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4"/>
        <v>#N/A</v>
      </c>
      <c r="AO1040" s="121" t="e">
        <f>IF('Cable Info'!N744="","",CONCATENATE('Cable Info'!N744," - ",'Cable Info'!O744))</f>
        <v>#N/A</v>
      </c>
      <c r="AR1040" s="121" t="e">
        <f t="shared" si="175"/>
        <v>#N/A</v>
      </c>
      <c r="AT1040" s="121" t="e">
        <f>IF('Cable Info'!P744="","",CONCATENATE('Cable Info'!P744," - ",'Cable Info'!Q744))</f>
        <v>#N/A</v>
      </c>
      <c r="AW1040" s="121" t="e">
        <f t="shared" si="176"/>
        <v>#N/A</v>
      </c>
      <c r="AY1040" s="121" t="str">
        <f>IF('Cable Info'!R744="","",CONCATENATE('Cable Info'!R744," - ",'Cable Info'!S744))</f>
        <v/>
      </c>
      <c r="BB1040" s="121" t="str">
        <f t="shared" si="177"/>
        <v/>
      </c>
      <c r="BD1040" s="121" t="str">
        <f>IF('Cable Info'!T744="","",CONCATENATE('Cable Info'!T744," - ",'Cable Info'!U744))</f>
        <v/>
      </c>
      <c r="BG1040" s="121" t="str">
        <f t="shared" si="178"/>
        <v/>
      </c>
      <c r="BI1040" s="121" t="str">
        <f>IF('Cable Info'!V744="","",CONCATENATE('Cable Info'!V744," - ",'Cable Info'!W744))</f>
        <v/>
      </c>
      <c r="BL1040" s="121" t="str">
        <f t="shared" si="179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4"/>
        <v>#N/A</v>
      </c>
      <c r="AO1041" s="121" t="e">
        <f>IF('Cable Info'!N745="","",CONCATENATE('Cable Info'!N745," - ",'Cable Info'!O745))</f>
        <v>#N/A</v>
      </c>
      <c r="AR1041" s="121" t="e">
        <f t="shared" si="175"/>
        <v>#N/A</v>
      </c>
      <c r="AT1041" s="121" t="e">
        <f>IF('Cable Info'!P745="","",CONCATENATE('Cable Info'!P745," - ",'Cable Info'!Q745))</f>
        <v>#N/A</v>
      </c>
      <c r="AW1041" s="121" t="e">
        <f t="shared" si="176"/>
        <v>#N/A</v>
      </c>
      <c r="AY1041" s="121" t="str">
        <f>IF('Cable Info'!R745="","",CONCATENATE('Cable Info'!R745," - ",'Cable Info'!S745))</f>
        <v/>
      </c>
      <c r="BB1041" s="121" t="str">
        <f t="shared" si="177"/>
        <v/>
      </c>
      <c r="BD1041" s="121" t="str">
        <f>IF('Cable Info'!T745="","",CONCATENATE('Cable Info'!T745," - ",'Cable Info'!U745))</f>
        <v/>
      </c>
      <c r="BG1041" s="121" t="str">
        <f t="shared" si="178"/>
        <v/>
      </c>
      <c r="BI1041" s="121" t="str">
        <f>IF('Cable Info'!V745="","",CONCATENATE('Cable Info'!V745," - ",'Cable Info'!W745))</f>
        <v/>
      </c>
      <c r="BL1041" s="121" t="str">
        <f t="shared" si="179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4"/>
        <v>#N/A</v>
      </c>
      <c r="AO1042" s="121" t="e">
        <f>IF('Cable Info'!N746="","",CONCATENATE('Cable Info'!N746," - ",'Cable Info'!O746))</f>
        <v>#N/A</v>
      </c>
      <c r="AR1042" s="121" t="e">
        <f t="shared" si="175"/>
        <v>#N/A</v>
      </c>
      <c r="AT1042" s="121" t="e">
        <f>IF('Cable Info'!P746="","",CONCATENATE('Cable Info'!P746," - ",'Cable Info'!Q746))</f>
        <v>#N/A</v>
      </c>
      <c r="AW1042" s="121" t="e">
        <f t="shared" si="176"/>
        <v>#N/A</v>
      </c>
      <c r="AY1042" s="121" t="str">
        <f>IF('Cable Info'!R746="","",CONCATENATE('Cable Info'!R746," - ",'Cable Info'!S746))</f>
        <v/>
      </c>
      <c r="BB1042" s="121" t="str">
        <f t="shared" si="177"/>
        <v/>
      </c>
      <c r="BD1042" s="121" t="str">
        <f>IF('Cable Info'!T746="","",CONCATENATE('Cable Info'!T746," - ",'Cable Info'!U746))</f>
        <v/>
      </c>
      <c r="BG1042" s="121" t="str">
        <f t="shared" si="178"/>
        <v/>
      </c>
      <c r="BI1042" s="121" t="str">
        <f>IF('Cable Info'!V746="","",CONCATENATE('Cable Info'!V746," - ",'Cable Info'!W746))</f>
        <v/>
      </c>
      <c r="BL1042" s="121" t="str">
        <f t="shared" si="179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4"/>
        <v>#N/A</v>
      </c>
      <c r="AO1043" s="121" t="e">
        <f>IF('Cable Info'!N747="","",CONCATENATE('Cable Info'!N747," - ",'Cable Info'!O747))</f>
        <v>#N/A</v>
      </c>
      <c r="AR1043" s="121" t="e">
        <f t="shared" si="175"/>
        <v>#N/A</v>
      </c>
      <c r="AT1043" s="121" t="e">
        <f>IF('Cable Info'!P747="","",CONCATENATE('Cable Info'!P747," - ",'Cable Info'!Q747))</f>
        <v>#N/A</v>
      </c>
      <c r="AW1043" s="121" t="e">
        <f t="shared" si="176"/>
        <v>#N/A</v>
      </c>
      <c r="AY1043" s="121" t="str">
        <f>IF('Cable Info'!R747="","",CONCATENATE('Cable Info'!R747," - ",'Cable Info'!S747))</f>
        <v/>
      </c>
      <c r="BB1043" s="121" t="str">
        <f t="shared" si="177"/>
        <v/>
      </c>
      <c r="BD1043" s="121" t="str">
        <f>IF('Cable Info'!T747="","",CONCATENATE('Cable Info'!T747," - ",'Cable Info'!U747))</f>
        <v/>
      </c>
      <c r="BG1043" s="121" t="str">
        <f t="shared" si="178"/>
        <v/>
      </c>
      <c r="BI1043" s="121" t="str">
        <f>IF('Cable Info'!V747="","",CONCATENATE('Cable Info'!V747," - ",'Cable Info'!W747))</f>
        <v/>
      </c>
      <c r="BL1043" s="121" t="str">
        <f t="shared" si="179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4"/>
        <v>#N/A</v>
      </c>
      <c r="AO1044" s="121" t="e">
        <f>IF('Cable Info'!N748="","",CONCATENATE('Cable Info'!N748," - ",'Cable Info'!O748))</f>
        <v>#N/A</v>
      </c>
      <c r="AR1044" s="121" t="e">
        <f t="shared" si="175"/>
        <v>#N/A</v>
      </c>
      <c r="AT1044" s="121" t="e">
        <f>IF('Cable Info'!P748="","",CONCATENATE('Cable Info'!P748," - ",'Cable Info'!Q748))</f>
        <v>#N/A</v>
      </c>
      <c r="AW1044" s="121" t="e">
        <f t="shared" si="176"/>
        <v>#N/A</v>
      </c>
      <c r="AY1044" s="121" t="str">
        <f>IF('Cable Info'!R748="","",CONCATENATE('Cable Info'!R748," - ",'Cable Info'!S748))</f>
        <v/>
      </c>
      <c r="BB1044" s="121" t="str">
        <f t="shared" si="177"/>
        <v/>
      </c>
      <c r="BD1044" s="121" t="str">
        <f>IF('Cable Info'!T748="","",CONCATENATE('Cable Info'!T748," - ",'Cable Info'!U748))</f>
        <v/>
      </c>
      <c r="BG1044" s="121" t="str">
        <f t="shared" si="178"/>
        <v/>
      </c>
      <c r="BI1044" s="121" t="str">
        <f>IF('Cable Info'!V748="","",CONCATENATE('Cable Info'!V748," - ",'Cable Info'!W748))</f>
        <v/>
      </c>
      <c r="BL1044" s="121" t="str">
        <f t="shared" si="179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4"/>
        <v>#N/A</v>
      </c>
      <c r="AO1045" s="121" t="e">
        <f>IF('Cable Info'!N749="","",CONCATENATE('Cable Info'!N749," - ",'Cable Info'!O749))</f>
        <v>#N/A</v>
      </c>
      <c r="AR1045" s="121" t="e">
        <f t="shared" si="175"/>
        <v>#N/A</v>
      </c>
      <c r="AT1045" s="121" t="e">
        <f>IF('Cable Info'!P749="","",CONCATENATE('Cable Info'!P749," - ",'Cable Info'!Q749))</f>
        <v>#N/A</v>
      </c>
      <c r="AW1045" s="121" t="e">
        <f t="shared" si="176"/>
        <v>#N/A</v>
      </c>
      <c r="AY1045" s="121" t="str">
        <f>IF('Cable Info'!R749="","",CONCATENATE('Cable Info'!R749," - ",'Cable Info'!S749))</f>
        <v/>
      </c>
      <c r="BB1045" s="121" t="str">
        <f t="shared" si="177"/>
        <v/>
      </c>
      <c r="BD1045" s="121" t="str">
        <f>IF('Cable Info'!T749="","",CONCATENATE('Cable Info'!T749," - ",'Cable Info'!U749))</f>
        <v/>
      </c>
      <c r="BG1045" s="121" t="str">
        <f t="shared" si="178"/>
        <v/>
      </c>
      <c r="BI1045" s="121" t="str">
        <f>IF('Cable Info'!V749="","",CONCATENATE('Cable Info'!V749," - ",'Cable Info'!W749))</f>
        <v/>
      </c>
      <c r="BL1045" s="121" t="str">
        <f t="shared" si="179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4"/>
        <v>#N/A</v>
      </c>
      <c r="AO1046" s="121" t="e">
        <f>IF('Cable Info'!N750="","",CONCATENATE('Cable Info'!N750," - ",'Cable Info'!O750))</f>
        <v>#N/A</v>
      </c>
      <c r="AR1046" s="121" t="e">
        <f t="shared" si="175"/>
        <v>#N/A</v>
      </c>
      <c r="AT1046" s="121" t="e">
        <f>IF('Cable Info'!P750="","",CONCATENATE('Cable Info'!P750," - ",'Cable Info'!Q750))</f>
        <v>#N/A</v>
      </c>
      <c r="AW1046" s="121" t="e">
        <f t="shared" si="176"/>
        <v>#N/A</v>
      </c>
      <c r="AY1046" s="121" t="str">
        <f>IF('Cable Info'!R750="","",CONCATENATE('Cable Info'!R750," - ",'Cable Info'!S750))</f>
        <v/>
      </c>
      <c r="BB1046" s="121" t="str">
        <f t="shared" si="177"/>
        <v/>
      </c>
      <c r="BD1046" s="121" t="str">
        <f>IF('Cable Info'!T750="","",CONCATENATE('Cable Info'!T750," - ",'Cable Info'!U750))</f>
        <v/>
      </c>
      <c r="BG1046" s="121" t="str">
        <f t="shared" si="178"/>
        <v/>
      </c>
      <c r="BI1046" s="121" t="str">
        <f>IF('Cable Info'!V750="","",CONCATENATE('Cable Info'!V750," - ",'Cable Info'!W750))</f>
        <v/>
      </c>
      <c r="BL1046" s="121" t="str">
        <f t="shared" si="179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4"/>
        <v>#N/A</v>
      </c>
      <c r="AO1047" s="121" t="e">
        <f>IF('Cable Info'!N751="","",CONCATENATE('Cable Info'!N751," - ",'Cable Info'!O751))</f>
        <v>#N/A</v>
      </c>
      <c r="AR1047" s="121" t="e">
        <f t="shared" si="175"/>
        <v>#N/A</v>
      </c>
      <c r="AT1047" s="121" t="e">
        <f>IF('Cable Info'!P751="","",CONCATENATE('Cable Info'!P751," - ",'Cable Info'!Q751))</f>
        <v>#N/A</v>
      </c>
      <c r="AW1047" s="121" t="e">
        <f t="shared" si="176"/>
        <v>#N/A</v>
      </c>
      <c r="AY1047" s="121" t="str">
        <f>IF('Cable Info'!R751="","",CONCATENATE('Cable Info'!R751," - ",'Cable Info'!S751))</f>
        <v/>
      </c>
      <c r="BB1047" s="121" t="str">
        <f t="shared" si="177"/>
        <v/>
      </c>
      <c r="BD1047" s="121" t="str">
        <f>IF('Cable Info'!T751="","",CONCATENATE('Cable Info'!T751," - ",'Cable Info'!U751))</f>
        <v/>
      </c>
      <c r="BG1047" s="121" t="str">
        <f t="shared" si="178"/>
        <v/>
      </c>
      <c r="BI1047" s="121" t="str">
        <f>IF('Cable Info'!V751="","",CONCATENATE('Cable Info'!V751," - ",'Cable Info'!W751))</f>
        <v/>
      </c>
      <c r="BL1047" s="121" t="str">
        <f t="shared" si="179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4"/>
        <v>#N/A</v>
      </c>
      <c r="AO1048" s="121" t="e">
        <f>IF('Cable Info'!N752="","",CONCATENATE('Cable Info'!N752," - ",'Cable Info'!O752))</f>
        <v>#N/A</v>
      </c>
      <c r="AR1048" s="121" t="e">
        <f t="shared" si="175"/>
        <v>#N/A</v>
      </c>
      <c r="AT1048" s="121" t="e">
        <f>IF('Cable Info'!P752="","",CONCATENATE('Cable Info'!P752," - ",'Cable Info'!Q752))</f>
        <v>#N/A</v>
      </c>
      <c r="AW1048" s="121" t="e">
        <f t="shared" si="176"/>
        <v>#N/A</v>
      </c>
      <c r="AY1048" s="121" t="str">
        <f>IF('Cable Info'!R752="","",CONCATENATE('Cable Info'!R752," - ",'Cable Info'!S752))</f>
        <v/>
      </c>
      <c r="BB1048" s="121" t="str">
        <f t="shared" si="177"/>
        <v/>
      </c>
      <c r="BD1048" s="121" t="str">
        <f>IF('Cable Info'!T752="","",CONCATENATE('Cable Info'!T752," - ",'Cable Info'!U752))</f>
        <v/>
      </c>
      <c r="BG1048" s="121" t="str">
        <f t="shared" si="178"/>
        <v/>
      </c>
      <c r="BI1048" s="121" t="str">
        <f>IF('Cable Info'!V752="","",CONCATENATE('Cable Info'!V752," - ",'Cable Info'!W752))</f>
        <v/>
      </c>
      <c r="BL1048" s="121" t="str">
        <f t="shared" si="179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4"/>
        <v>#N/A</v>
      </c>
      <c r="AO1049" s="121" t="e">
        <f>IF('Cable Info'!N753="","",CONCATENATE('Cable Info'!N753," - ",'Cable Info'!O753))</f>
        <v>#N/A</v>
      </c>
      <c r="AR1049" s="121" t="e">
        <f t="shared" si="175"/>
        <v>#N/A</v>
      </c>
      <c r="AT1049" s="121" t="e">
        <f>IF('Cable Info'!P753="","",CONCATENATE('Cable Info'!P753," - ",'Cable Info'!Q753))</f>
        <v>#N/A</v>
      </c>
      <c r="AW1049" s="121" t="e">
        <f t="shared" si="176"/>
        <v>#N/A</v>
      </c>
      <c r="AY1049" s="121" t="str">
        <f>IF('Cable Info'!R753="","",CONCATENATE('Cable Info'!R753," - ",'Cable Info'!S753))</f>
        <v/>
      </c>
      <c r="BB1049" s="121" t="str">
        <f t="shared" si="177"/>
        <v/>
      </c>
      <c r="BD1049" s="121" t="str">
        <f>IF('Cable Info'!T753="","",CONCATENATE('Cable Info'!T753," - ",'Cable Info'!U753))</f>
        <v/>
      </c>
      <c r="BG1049" s="121" t="str">
        <f t="shared" si="178"/>
        <v/>
      </c>
      <c r="BI1049" s="121" t="str">
        <f>IF('Cable Info'!V753="","",CONCATENATE('Cable Info'!V753," - ",'Cable Info'!W753))</f>
        <v/>
      </c>
      <c r="BL1049" s="121" t="str">
        <f t="shared" si="179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4"/>
        <v>#N/A</v>
      </c>
      <c r="AO1050" s="121" t="e">
        <f>IF('Cable Info'!N754="","",CONCATENATE('Cable Info'!N754," - ",'Cable Info'!O754))</f>
        <v>#N/A</v>
      </c>
      <c r="AR1050" s="121" t="e">
        <f t="shared" si="175"/>
        <v>#N/A</v>
      </c>
      <c r="AT1050" s="121" t="e">
        <f>IF('Cable Info'!P754="","",CONCATENATE('Cable Info'!P754," - ",'Cable Info'!Q754))</f>
        <v>#N/A</v>
      </c>
      <c r="AW1050" s="121" t="e">
        <f t="shared" si="176"/>
        <v>#N/A</v>
      </c>
      <c r="AY1050" s="121" t="str">
        <f>IF('Cable Info'!R754="","",CONCATENATE('Cable Info'!R754," - ",'Cable Info'!S754))</f>
        <v/>
      </c>
      <c r="BB1050" s="121" t="str">
        <f t="shared" si="177"/>
        <v/>
      </c>
      <c r="BD1050" s="121" t="str">
        <f>IF('Cable Info'!T754="","",CONCATENATE('Cable Info'!T754," - ",'Cable Info'!U754))</f>
        <v/>
      </c>
      <c r="BG1050" s="121" t="str">
        <f t="shared" si="178"/>
        <v/>
      </c>
      <c r="BI1050" s="121" t="str">
        <f>IF('Cable Info'!V754="","",CONCATENATE('Cable Info'!V754," - ",'Cable Info'!W754))</f>
        <v/>
      </c>
      <c r="BL1050" s="121" t="str">
        <f t="shared" si="179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4"/>
        <v>#N/A</v>
      </c>
      <c r="AO1051" s="121" t="e">
        <f>IF('Cable Info'!N755="","",CONCATENATE('Cable Info'!N755," - ",'Cable Info'!O755))</f>
        <v>#N/A</v>
      </c>
      <c r="AR1051" s="121" t="e">
        <f t="shared" si="175"/>
        <v>#N/A</v>
      </c>
      <c r="AT1051" s="121" t="e">
        <f>IF('Cable Info'!P755="","",CONCATENATE('Cable Info'!P755," - ",'Cable Info'!Q755))</f>
        <v>#N/A</v>
      </c>
      <c r="AW1051" s="121" t="e">
        <f t="shared" si="176"/>
        <v>#N/A</v>
      </c>
      <c r="AY1051" s="121" t="str">
        <f>IF('Cable Info'!R755="","",CONCATENATE('Cable Info'!R755," - ",'Cable Info'!S755))</f>
        <v/>
      </c>
      <c r="BB1051" s="121" t="str">
        <f t="shared" si="177"/>
        <v/>
      </c>
      <c r="BD1051" s="121" t="str">
        <f>IF('Cable Info'!T755="","",CONCATENATE('Cable Info'!T755," - ",'Cable Info'!U755))</f>
        <v/>
      </c>
      <c r="BG1051" s="121" t="str">
        <f t="shared" si="178"/>
        <v/>
      </c>
      <c r="BI1051" s="121" t="str">
        <f>IF('Cable Info'!V755="","",CONCATENATE('Cable Info'!V755," - ",'Cable Info'!W755))</f>
        <v/>
      </c>
      <c r="BL1051" s="121" t="str">
        <f t="shared" si="179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4"/>
        <v>#N/A</v>
      </c>
      <c r="AO1052" s="121" t="e">
        <f>IF('Cable Info'!N756="","",CONCATENATE('Cable Info'!N756," - ",'Cable Info'!O756))</f>
        <v>#N/A</v>
      </c>
      <c r="AR1052" s="121" t="e">
        <f t="shared" si="175"/>
        <v>#N/A</v>
      </c>
      <c r="AT1052" s="121" t="e">
        <f>IF('Cable Info'!P756="","",CONCATENATE('Cable Info'!P756," - ",'Cable Info'!Q756))</f>
        <v>#N/A</v>
      </c>
      <c r="AW1052" s="121" t="e">
        <f t="shared" si="176"/>
        <v>#N/A</v>
      </c>
      <c r="AY1052" s="121" t="str">
        <f>IF('Cable Info'!R756="","",CONCATENATE('Cable Info'!R756," - ",'Cable Info'!S756))</f>
        <v/>
      </c>
      <c r="BB1052" s="121" t="str">
        <f t="shared" si="177"/>
        <v/>
      </c>
      <c r="BD1052" s="121" t="str">
        <f>IF('Cable Info'!T756="","",CONCATENATE('Cable Info'!T756," - ",'Cable Info'!U756))</f>
        <v/>
      </c>
      <c r="BG1052" s="121" t="str">
        <f t="shared" si="178"/>
        <v/>
      </c>
      <c r="BI1052" s="121" t="str">
        <f>IF('Cable Info'!V756="","",CONCATENATE('Cable Info'!V756," - ",'Cable Info'!W756))</f>
        <v/>
      </c>
      <c r="BL1052" s="121" t="str">
        <f t="shared" si="179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4"/>
        <v>#N/A</v>
      </c>
      <c r="AO1053" s="121" t="e">
        <f>IF('Cable Info'!N757="","",CONCATENATE('Cable Info'!N757," - ",'Cable Info'!O757))</f>
        <v>#N/A</v>
      </c>
      <c r="AR1053" s="121" t="e">
        <f t="shared" si="175"/>
        <v>#N/A</v>
      </c>
      <c r="AT1053" s="121" t="e">
        <f>IF('Cable Info'!P757="","",CONCATENATE('Cable Info'!P757," - ",'Cable Info'!Q757))</f>
        <v>#N/A</v>
      </c>
      <c r="AW1053" s="121" t="e">
        <f t="shared" si="176"/>
        <v>#N/A</v>
      </c>
      <c r="AY1053" s="121" t="str">
        <f>IF('Cable Info'!R757="","",CONCATENATE('Cable Info'!R757," - ",'Cable Info'!S757))</f>
        <v/>
      </c>
      <c r="BB1053" s="121" t="str">
        <f t="shared" si="177"/>
        <v/>
      </c>
      <c r="BD1053" s="121" t="str">
        <f>IF('Cable Info'!T757="","",CONCATENATE('Cable Info'!T757," - ",'Cable Info'!U757))</f>
        <v/>
      </c>
      <c r="BG1053" s="121" t="str">
        <f t="shared" si="178"/>
        <v/>
      </c>
      <c r="BI1053" s="121" t="str">
        <f>IF('Cable Info'!V757="","",CONCATENATE('Cable Info'!V757," - ",'Cable Info'!W757))</f>
        <v/>
      </c>
      <c r="BL1053" s="121" t="str">
        <f t="shared" si="179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4"/>
        <v>#N/A</v>
      </c>
      <c r="AO1054" s="121" t="e">
        <f>IF('Cable Info'!N758="","",CONCATENATE('Cable Info'!N758," - ",'Cable Info'!O758))</f>
        <v>#N/A</v>
      </c>
      <c r="AR1054" s="121" t="e">
        <f t="shared" si="175"/>
        <v>#N/A</v>
      </c>
      <c r="AT1054" s="121" t="e">
        <f>IF('Cable Info'!P758="","",CONCATENATE('Cable Info'!P758," - ",'Cable Info'!Q758))</f>
        <v>#N/A</v>
      </c>
      <c r="AW1054" s="121" t="e">
        <f t="shared" si="176"/>
        <v>#N/A</v>
      </c>
      <c r="AY1054" s="121" t="str">
        <f>IF('Cable Info'!R758="","",CONCATENATE('Cable Info'!R758," - ",'Cable Info'!S758))</f>
        <v/>
      </c>
      <c r="BB1054" s="121" t="str">
        <f t="shared" si="177"/>
        <v/>
      </c>
      <c r="BD1054" s="121" t="str">
        <f>IF('Cable Info'!T758="","",CONCATENATE('Cable Info'!T758," - ",'Cable Info'!U758))</f>
        <v/>
      </c>
      <c r="BG1054" s="121" t="str">
        <f t="shared" si="178"/>
        <v/>
      </c>
      <c r="BI1054" s="121" t="str">
        <f>IF('Cable Info'!V758="","",CONCATENATE('Cable Info'!V758," - ",'Cable Info'!W758))</f>
        <v/>
      </c>
      <c r="BL1054" s="121" t="str">
        <f t="shared" si="179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4"/>
        <v>#N/A</v>
      </c>
      <c r="AO1055" s="121" t="e">
        <f>IF('Cable Info'!N759="","",CONCATENATE('Cable Info'!N759," - ",'Cable Info'!O759))</f>
        <v>#N/A</v>
      </c>
      <c r="AR1055" s="121" t="e">
        <f t="shared" si="175"/>
        <v>#N/A</v>
      </c>
      <c r="AT1055" s="121" t="e">
        <f>IF('Cable Info'!P759="","",CONCATENATE('Cable Info'!P759," - ",'Cable Info'!Q759))</f>
        <v>#N/A</v>
      </c>
      <c r="AW1055" s="121" t="e">
        <f t="shared" si="176"/>
        <v>#N/A</v>
      </c>
      <c r="AY1055" s="121" t="str">
        <f>IF('Cable Info'!R759="","",CONCATENATE('Cable Info'!R759," - ",'Cable Info'!S759))</f>
        <v/>
      </c>
      <c r="BB1055" s="121" t="str">
        <f t="shared" si="177"/>
        <v/>
      </c>
      <c r="BD1055" s="121" t="str">
        <f>IF('Cable Info'!T759="","",CONCATENATE('Cable Info'!T759," - ",'Cable Info'!U759))</f>
        <v/>
      </c>
      <c r="BG1055" s="121" t="str">
        <f t="shared" si="178"/>
        <v/>
      </c>
      <c r="BI1055" s="121" t="str">
        <f>IF('Cable Info'!V759="","",CONCATENATE('Cable Info'!V759," - ",'Cable Info'!W759))</f>
        <v/>
      </c>
      <c r="BL1055" s="121" t="str">
        <f t="shared" si="179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4"/>
        <v>#N/A</v>
      </c>
      <c r="AO1056" s="121" t="e">
        <f>IF('Cable Info'!N760="","",CONCATENATE('Cable Info'!N760," - ",'Cable Info'!O760))</f>
        <v>#N/A</v>
      </c>
      <c r="AR1056" s="121" t="e">
        <f t="shared" si="175"/>
        <v>#N/A</v>
      </c>
      <c r="AT1056" s="121" t="e">
        <f>IF('Cable Info'!P760="","",CONCATENATE('Cable Info'!P760," - ",'Cable Info'!Q760))</f>
        <v>#N/A</v>
      </c>
      <c r="AW1056" s="121" t="e">
        <f t="shared" si="176"/>
        <v>#N/A</v>
      </c>
      <c r="AY1056" s="121" t="str">
        <f>IF('Cable Info'!R760="","",CONCATENATE('Cable Info'!R760," - ",'Cable Info'!S760))</f>
        <v/>
      </c>
      <c r="BB1056" s="121" t="str">
        <f t="shared" si="177"/>
        <v/>
      </c>
      <c r="BD1056" s="121" t="str">
        <f>IF('Cable Info'!T760="","",CONCATENATE('Cable Info'!T760," - ",'Cable Info'!U760))</f>
        <v/>
      </c>
      <c r="BG1056" s="121" t="str">
        <f t="shared" si="178"/>
        <v/>
      </c>
      <c r="BI1056" s="121" t="str">
        <f>IF('Cable Info'!V760="","",CONCATENATE('Cable Info'!V760," - ",'Cable Info'!W760))</f>
        <v/>
      </c>
      <c r="BL1056" s="121" t="str">
        <f t="shared" si="179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4"/>
        <v>#N/A</v>
      </c>
      <c r="AO1057" s="121" t="e">
        <f>IF('Cable Info'!N761="","",CONCATENATE('Cable Info'!N761," - ",'Cable Info'!O761))</f>
        <v>#N/A</v>
      </c>
      <c r="AR1057" s="121" t="e">
        <f t="shared" si="175"/>
        <v>#N/A</v>
      </c>
      <c r="AT1057" s="121" t="e">
        <f>IF('Cable Info'!P761="","",CONCATENATE('Cable Info'!P761," - ",'Cable Info'!Q761))</f>
        <v>#N/A</v>
      </c>
      <c r="AW1057" s="121" t="e">
        <f t="shared" si="176"/>
        <v>#N/A</v>
      </c>
      <c r="AY1057" s="121" t="str">
        <f>IF('Cable Info'!R761="","",CONCATENATE('Cable Info'!R761," - ",'Cable Info'!S761))</f>
        <v/>
      </c>
      <c r="BB1057" s="121" t="str">
        <f t="shared" si="177"/>
        <v/>
      </c>
      <c r="BD1057" s="121" t="str">
        <f>IF('Cable Info'!T761="","",CONCATENATE('Cable Info'!T761," - ",'Cable Info'!U761))</f>
        <v/>
      </c>
      <c r="BG1057" s="121" t="str">
        <f t="shared" si="178"/>
        <v/>
      </c>
      <c r="BI1057" s="121" t="str">
        <f>IF('Cable Info'!V761="","",CONCATENATE('Cable Info'!V761," - ",'Cable Info'!W761))</f>
        <v/>
      </c>
      <c r="BL1057" s="121" t="str">
        <f t="shared" si="179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4"/>
        <v>#N/A</v>
      </c>
      <c r="AO1058" s="121" t="e">
        <f>IF('Cable Info'!N762="","",CONCATENATE('Cable Info'!N762," - ",'Cable Info'!O762))</f>
        <v>#N/A</v>
      </c>
      <c r="AR1058" s="121" t="e">
        <f t="shared" si="175"/>
        <v>#N/A</v>
      </c>
      <c r="AT1058" s="121" t="e">
        <f>IF('Cable Info'!P762="","",CONCATENATE('Cable Info'!P762," - ",'Cable Info'!Q762))</f>
        <v>#N/A</v>
      </c>
      <c r="AW1058" s="121" t="e">
        <f t="shared" si="176"/>
        <v>#N/A</v>
      </c>
      <c r="AY1058" s="121" t="str">
        <f>IF('Cable Info'!R762="","",CONCATENATE('Cable Info'!R762," - ",'Cable Info'!S762))</f>
        <v/>
      </c>
      <c r="BB1058" s="121" t="str">
        <f t="shared" si="177"/>
        <v/>
      </c>
      <c r="BD1058" s="121" t="str">
        <f>IF('Cable Info'!T762="","",CONCATENATE('Cable Info'!T762," - ",'Cable Info'!U762))</f>
        <v/>
      </c>
      <c r="BG1058" s="121" t="str">
        <f t="shared" si="178"/>
        <v/>
      </c>
      <c r="BI1058" s="121" t="str">
        <f>IF('Cable Info'!V762="","",CONCATENATE('Cable Info'!V762," - ",'Cable Info'!W762))</f>
        <v/>
      </c>
      <c r="BL1058" s="121" t="str">
        <f t="shared" si="179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4"/>
        <v>#N/A</v>
      </c>
      <c r="AO1059" s="121" t="e">
        <f>IF('Cable Info'!N763="","",CONCATENATE('Cable Info'!N763," - ",'Cable Info'!O763))</f>
        <v>#N/A</v>
      </c>
      <c r="AR1059" s="121" t="e">
        <f t="shared" si="175"/>
        <v>#N/A</v>
      </c>
      <c r="AT1059" s="121" t="e">
        <f>IF('Cable Info'!P763="","",CONCATENATE('Cable Info'!P763," - ",'Cable Info'!Q763))</f>
        <v>#N/A</v>
      </c>
      <c r="AW1059" s="121" t="e">
        <f t="shared" si="176"/>
        <v>#N/A</v>
      </c>
      <c r="AY1059" s="121" t="str">
        <f>IF('Cable Info'!R763="","",CONCATENATE('Cable Info'!R763," - ",'Cable Info'!S763))</f>
        <v/>
      </c>
      <c r="BB1059" s="121" t="str">
        <f t="shared" si="177"/>
        <v/>
      </c>
      <c r="BD1059" s="121" t="str">
        <f>IF('Cable Info'!T763="","",CONCATENATE('Cable Info'!T763," - ",'Cable Info'!U763))</f>
        <v/>
      </c>
      <c r="BG1059" s="121" t="str">
        <f t="shared" si="178"/>
        <v/>
      </c>
      <c r="BI1059" s="121" t="str">
        <f>IF('Cable Info'!V763="","",CONCATENATE('Cable Info'!V763," - ",'Cable Info'!W763))</f>
        <v/>
      </c>
      <c r="BL1059" s="121" t="str">
        <f t="shared" si="179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4"/>
        <v>#N/A</v>
      </c>
      <c r="AO1060" s="121" t="e">
        <f>IF('Cable Info'!N764="","",CONCATENATE('Cable Info'!N764," - ",'Cable Info'!O764))</f>
        <v>#N/A</v>
      </c>
      <c r="AR1060" s="121" t="e">
        <f t="shared" si="175"/>
        <v>#N/A</v>
      </c>
      <c r="AT1060" s="121" t="e">
        <f>IF('Cable Info'!P764="","",CONCATENATE('Cable Info'!P764," - ",'Cable Info'!Q764))</f>
        <v>#N/A</v>
      </c>
      <c r="AW1060" s="121" t="e">
        <f t="shared" si="176"/>
        <v>#N/A</v>
      </c>
      <c r="AY1060" s="121" t="str">
        <f>IF('Cable Info'!R764="","",CONCATENATE('Cable Info'!R764," - ",'Cable Info'!S764))</f>
        <v/>
      </c>
      <c r="BB1060" s="121" t="str">
        <f t="shared" si="177"/>
        <v/>
      </c>
      <c r="BD1060" s="121" t="str">
        <f>IF('Cable Info'!T764="","",CONCATENATE('Cable Info'!T764," - ",'Cable Info'!U764))</f>
        <v/>
      </c>
      <c r="BG1060" s="121" t="str">
        <f t="shared" si="178"/>
        <v/>
      </c>
      <c r="BI1060" s="121" t="str">
        <f>IF('Cable Info'!V764="","",CONCATENATE('Cable Info'!V764," - ",'Cable Info'!W764))</f>
        <v/>
      </c>
      <c r="BL1060" s="121" t="str">
        <f t="shared" si="179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4"/>
        <v>#N/A</v>
      </c>
      <c r="AO1061" s="121" t="e">
        <f>IF('Cable Info'!N765="","",CONCATENATE('Cable Info'!N765," - ",'Cable Info'!O765))</f>
        <v>#N/A</v>
      </c>
      <c r="AR1061" s="121" t="e">
        <f t="shared" si="175"/>
        <v>#N/A</v>
      </c>
      <c r="AT1061" s="121" t="e">
        <f>IF('Cable Info'!P765="","",CONCATENATE('Cable Info'!P765," - ",'Cable Info'!Q765))</f>
        <v>#N/A</v>
      </c>
      <c r="AW1061" s="121" t="e">
        <f t="shared" si="176"/>
        <v>#N/A</v>
      </c>
      <c r="AY1061" s="121" t="str">
        <f>IF('Cable Info'!R765="","",CONCATENATE('Cable Info'!R765," - ",'Cable Info'!S765))</f>
        <v/>
      </c>
      <c r="BB1061" s="121" t="str">
        <f t="shared" si="177"/>
        <v/>
      </c>
      <c r="BD1061" s="121" t="str">
        <f>IF('Cable Info'!T765="","",CONCATENATE('Cable Info'!T765," - ",'Cable Info'!U765))</f>
        <v/>
      </c>
      <c r="BG1061" s="121" t="str">
        <f t="shared" si="178"/>
        <v/>
      </c>
      <c r="BI1061" s="121" t="str">
        <f>IF('Cable Info'!V765="","",CONCATENATE('Cable Info'!V765," - ",'Cable Info'!W765))</f>
        <v/>
      </c>
      <c r="BL1061" s="121" t="str">
        <f t="shared" si="179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4"/>
        <v>#N/A</v>
      </c>
      <c r="AO1062" s="121" t="e">
        <f>IF('Cable Info'!N766="","",CONCATENATE('Cable Info'!N766," - ",'Cable Info'!O766))</f>
        <v>#N/A</v>
      </c>
      <c r="AR1062" s="121" t="e">
        <f t="shared" si="175"/>
        <v>#N/A</v>
      </c>
      <c r="AT1062" s="121" t="e">
        <f>IF('Cable Info'!P766="","",CONCATENATE('Cable Info'!P766," - ",'Cable Info'!Q766))</f>
        <v>#N/A</v>
      </c>
      <c r="AW1062" s="121" t="e">
        <f t="shared" si="176"/>
        <v>#N/A</v>
      </c>
      <c r="AY1062" s="121" t="str">
        <f>IF('Cable Info'!R766="","",CONCATENATE('Cable Info'!R766," - ",'Cable Info'!S766))</f>
        <v/>
      </c>
      <c r="BB1062" s="121" t="str">
        <f t="shared" si="177"/>
        <v/>
      </c>
      <c r="BD1062" s="121" t="str">
        <f>IF('Cable Info'!T766="","",CONCATENATE('Cable Info'!T766," - ",'Cable Info'!U766))</f>
        <v/>
      </c>
      <c r="BG1062" s="121" t="str">
        <f t="shared" si="178"/>
        <v/>
      </c>
      <c r="BI1062" s="121" t="str">
        <f>IF('Cable Info'!V766="","",CONCATENATE('Cable Info'!V766," - ",'Cable Info'!W766))</f>
        <v/>
      </c>
      <c r="BL1062" s="121" t="str">
        <f t="shared" si="179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4"/>
        <v>#N/A</v>
      </c>
      <c r="AO1063" s="121" t="e">
        <f>IF('Cable Info'!N767="","",CONCATENATE('Cable Info'!N767," - ",'Cable Info'!O767))</f>
        <v>#N/A</v>
      </c>
      <c r="AR1063" s="121" t="e">
        <f t="shared" si="175"/>
        <v>#N/A</v>
      </c>
      <c r="AT1063" s="121" t="e">
        <f>IF('Cable Info'!P767="","",CONCATENATE('Cable Info'!P767," - ",'Cable Info'!Q767))</f>
        <v>#N/A</v>
      </c>
      <c r="AW1063" s="121" t="e">
        <f t="shared" si="176"/>
        <v>#N/A</v>
      </c>
      <c r="AY1063" s="121" t="str">
        <f>IF('Cable Info'!R767="","",CONCATENATE('Cable Info'!R767," - ",'Cable Info'!S767))</f>
        <v/>
      </c>
      <c r="BB1063" s="121" t="str">
        <f t="shared" si="177"/>
        <v/>
      </c>
      <c r="BD1063" s="121" t="str">
        <f>IF('Cable Info'!T767="","",CONCATENATE('Cable Info'!T767," - ",'Cable Info'!U767))</f>
        <v/>
      </c>
      <c r="BG1063" s="121" t="str">
        <f t="shared" si="178"/>
        <v/>
      </c>
      <c r="BI1063" s="121" t="str">
        <f>IF('Cable Info'!V767="","",CONCATENATE('Cable Info'!V767," - ",'Cable Info'!W767))</f>
        <v/>
      </c>
      <c r="BL1063" s="121" t="str">
        <f t="shared" si="179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4"/>
        <v>#N/A</v>
      </c>
      <c r="AO1064" s="121" t="e">
        <f>IF('Cable Info'!N768="","",CONCATENATE('Cable Info'!N768," - ",'Cable Info'!O768))</f>
        <v>#N/A</v>
      </c>
      <c r="AR1064" s="121" t="e">
        <f t="shared" si="175"/>
        <v>#N/A</v>
      </c>
      <c r="AT1064" s="121" t="e">
        <f>IF('Cable Info'!P768="","",CONCATENATE('Cable Info'!P768," - ",'Cable Info'!Q768))</f>
        <v>#N/A</v>
      </c>
      <c r="AW1064" s="121" t="e">
        <f t="shared" si="176"/>
        <v>#N/A</v>
      </c>
      <c r="AY1064" s="121" t="str">
        <f>IF('Cable Info'!R768="","",CONCATENATE('Cable Info'!R768," - ",'Cable Info'!S768))</f>
        <v/>
      </c>
      <c r="BB1064" s="121" t="str">
        <f t="shared" si="177"/>
        <v/>
      </c>
      <c r="BD1064" s="121" t="str">
        <f>IF('Cable Info'!T768="","",CONCATENATE('Cable Info'!T768," - ",'Cable Info'!U768))</f>
        <v/>
      </c>
      <c r="BG1064" s="121" t="str">
        <f t="shared" si="178"/>
        <v/>
      </c>
      <c r="BI1064" s="121" t="str">
        <f>IF('Cable Info'!V768="","",CONCATENATE('Cable Info'!V768," - ",'Cable Info'!W768))</f>
        <v/>
      </c>
      <c r="BL1064" s="121" t="str">
        <f t="shared" si="179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4"/>
        <v>#N/A</v>
      </c>
      <c r="AO1065" s="121" t="e">
        <f>IF('Cable Info'!N769="","",CONCATENATE('Cable Info'!N769," - ",'Cable Info'!O769))</f>
        <v>#N/A</v>
      </c>
      <c r="AR1065" s="121" t="e">
        <f t="shared" si="175"/>
        <v>#N/A</v>
      </c>
      <c r="AT1065" s="121" t="e">
        <f>IF('Cable Info'!P769="","",CONCATENATE('Cable Info'!P769," - ",'Cable Info'!Q769))</f>
        <v>#N/A</v>
      </c>
      <c r="AW1065" s="121" t="e">
        <f t="shared" si="176"/>
        <v>#N/A</v>
      </c>
      <c r="AY1065" s="121" t="str">
        <f>IF('Cable Info'!R769="","",CONCATENATE('Cable Info'!R769," - ",'Cable Info'!S769))</f>
        <v/>
      </c>
      <c r="BB1065" s="121" t="str">
        <f t="shared" si="177"/>
        <v/>
      </c>
      <c r="BD1065" s="121" t="str">
        <f>IF('Cable Info'!T769="","",CONCATENATE('Cable Info'!T769," - ",'Cable Info'!U769))</f>
        <v/>
      </c>
      <c r="BG1065" s="121" t="str">
        <f t="shared" si="178"/>
        <v/>
      </c>
      <c r="BI1065" s="121" t="str">
        <f>IF('Cable Info'!V769="","",CONCATENATE('Cable Info'!V769," - ",'Cable Info'!W769))</f>
        <v/>
      </c>
      <c r="BL1065" s="121" t="str">
        <f t="shared" si="179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4"/>
        <v>#N/A</v>
      </c>
      <c r="AO1066" s="121" t="e">
        <f>IF('Cable Info'!N770="","",CONCATENATE('Cable Info'!N770," - ",'Cable Info'!O770))</f>
        <v>#N/A</v>
      </c>
      <c r="AR1066" s="121" t="e">
        <f t="shared" si="175"/>
        <v>#N/A</v>
      </c>
      <c r="AT1066" s="121" t="e">
        <f>IF('Cable Info'!P770="","",CONCATENATE('Cable Info'!P770," - ",'Cable Info'!Q770))</f>
        <v>#N/A</v>
      </c>
      <c r="AW1066" s="121" t="e">
        <f t="shared" si="176"/>
        <v>#N/A</v>
      </c>
      <c r="AY1066" s="121" t="str">
        <f>IF('Cable Info'!R770="","",CONCATENATE('Cable Info'!R770," - ",'Cable Info'!S770))</f>
        <v/>
      </c>
      <c r="BB1066" s="121" t="str">
        <f t="shared" si="177"/>
        <v/>
      </c>
      <c r="BD1066" s="121" t="str">
        <f>IF('Cable Info'!T770="","",CONCATENATE('Cable Info'!T770," - ",'Cable Info'!U770))</f>
        <v/>
      </c>
      <c r="BG1066" s="121" t="str">
        <f t="shared" si="178"/>
        <v/>
      </c>
      <c r="BI1066" s="121" t="str">
        <f>IF('Cable Info'!V770="","",CONCATENATE('Cable Info'!V770," - ",'Cable Info'!W770))</f>
        <v/>
      </c>
      <c r="BL1066" s="121" t="str">
        <f t="shared" si="179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0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1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2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3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4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85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0"/>
        <v>#N/A</v>
      </c>
      <c r="AO1068" s="121" t="e">
        <f>IF('Cable Info'!N772="","",CONCATENATE('Cable Info'!N772," - ",'Cable Info'!O772))</f>
        <v>#N/A</v>
      </c>
      <c r="AR1068" s="121" t="e">
        <f t="shared" si="181"/>
        <v>#N/A</v>
      </c>
      <c r="AT1068" s="121" t="e">
        <f>IF('Cable Info'!P772="","",CONCATENATE('Cable Info'!P772," - ",'Cable Info'!Q772))</f>
        <v>#N/A</v>
      </c>
      <c r="AW1068" s="121" t="e">
        <f t="shared" si="182"/>
        <v>#N/A</v>
      </c>
      <c r="AY1068" s="121" t="str">
        <f>IF('Cable Info'!R772="","",CONCATENATE('Cable Info'!R772," - ",'Cable Info'!S772))</f>
        <v/>
      </c>
      <c r="BB1068" s="121" t="str">
        <f t="shared" si="183"/>
        <v/>
      </c>
      <c r="BD1068" s="121" t="str">
        <f>IF('Cable Info'!T772="","",CONCATENATE('Cable Info'!T772," - ",'Cable Info'!U772))</f>
        <v/>
      </c>
      <c r="BG1068" s="121" t="str">
        <f t="shared" si="184"/>
        <v/>
      </c>
      <c r="BI1068" s="121" t="str">
        <f>IF('Cable Info'!V772="","",CONCATENATE('Cable Info'!V772," - ",'Cable Info'!W772))</f>
        <v/>
      </c>
      <c r="BL1068" s="121" t="str">
        <f t="shared" si="185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0"/>
        <v>#N/A</v>
      </c>
      <c r="AO1069" s="121" t="e">
        <f>IF('Cable Info'!N773="","",CONCATENATE('Cable Info'!N773," - ",'Cable Info'!O773))</f>
        <v>#N/A</v>
      </c>
      <c r="AR1069" s="121" t="e">
        <f t="shared" si="181"/>
        <v>#N/A</v>
      </c>
      <c r="AT1069" s="121" t="e">
        <f>IF('Cable Info'!P773="","",CONCATENATE('Cable Info'!P773," - ",'Cable Info'!Q773))</f>
        <v>#N/A</v>
      </c>
      <c r="AW1069" s="121" t="e">
        <f t="shared" si="182"/>
        <v>#N/A</v>
      </c>
      <c r="AY1069" s="121" t="str">
        <f>IF('Cable Info'!R773="","",CONCATENATE('Cable Info'!R773," - ",'Cable Info'!S773))</f>
        <v/>
      </c>
      <c r="BB1069" s="121" t="str">
        <f t="shared" si="183"/>
        <v/>
      </c>
      <c r="BD1069" s="121" t="str">
        <f>IF('Cable Info'!T773="","",CONCATENATE('Cable Info'!T773," - ",'Cable Info'!U773))</f>
        <v/>
      </c>
      <c r="BG1069" s="121" t="str">
        <f t="shared" si="184"/>
        <v/>
      </c>
      <c r="BI1069" s="121" t="str">
        <f>IF('Cable Info'!V773="","",CONCATENATE('Cable Info'!V773," - ",'Cable Info'!W773))</f>
        <v/>
      </c>
      <c r="BL1069" s="121" t="str">
        <f t="shared" si="185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0"/>
        <v>#N/A</v>
      </c>
      <c r="AO1070" s="121" t="e">
        <f>IF('Cable Info'!N774="","",CONCATENATE('Cable Info'!N774," - ",'Cable Info'!O774))</f>
        <v>#N/A</v>
      </c>
      <c r="AR1070" s="121" t="e">
        <f t="shared" si="181"/>
        <v>#N/A</v>
      </c>
      <c r="AT1070" s="121" t="e">
        <f>IF('Cable Info'!P774="","",CONCATENATE('Cable Info'!P774," - ",'Cable Info'!Q774))</f>
        <v>#N/A</v>
      </c>
      <c r="AW1070" s="121" t="e">
        <f t="shared" si="182"/>
        <v>#N/A</v>
      </c>
      <c r="AY1070" s="121" t="str">
        <f>IF('Cable Info'!R774="","",CONCATENATE('Cable Info'!R774," - ",'Cable Info'!S774))</f>
        <v/>
      </c>
      <c r="BB1070" s="121" t="str">
        <f t="shared" si="183"/>
        <v/>
      </c>
      <c r="BD1070" s="121" t="str">
        <f>IF('Cable Info'!T774="","",CONCATENATE('Cable Info'!T774," - ",'Cable Info'!U774))</f>
        <v/>
      </c>
      <c r="BG1070" s="121" t="str">
        <f t="shared" si="184"/>
        <v/>
      </c>
      <c r="BI1070" s="121" t="str">
        <f>IF('Cable Info'!V774="","",CONCATENATE('Cable Info'!V774," - ",'Cable Info'!W774))</f>
        <v/>
      </c>
      <c r="BL1070" s="121" t="str">
        <f t="shared" si="185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0"/>
        <v>#N/A</v>
      </c>
      <c r="AO1071" s="121" t="e">
        <f>IF('Cable Info'!N775="","",CONCATENATE('Cable Info'!N775," - ",'Cable Info'!O775))</f>
        <v>#N/A</v>
      </c>
      <c r="AR1071" s="121" t="e">
        <f t="shared" si="181"/>
        <v>#N/A</v>
      </c>
      <c r="AT1071" s="121" t="e">
        <f>IF('Cable Info'!P775="","",CONCATENATE('Cable Info'!P775," - ",'Cable Info'!Q775))</f>
        <v>#N/A</v>
      </c>
      <c r="AW1071" s="121" t="e">
        <f t="shared" si="182"/>
        <v>#N/A</v>
      </c>
      <c r="AY1071" s="121" t="str">
        <f>IF('Cable Info'!R775="","",CONCATENATE('Cable Info'!R775," - ",'Cable Info'!S775))</f>
        <v/>
      </c>
      <c r="BB1071" s="121" t="str">
        <f t="shared" si="183"/>
        <v/>
      </c>
      <c r="BD1071" s="121" t="str">
        <f>IF('Cable Info'!T775="","",CONCATENATE('Cable Info'!T775," - ",'Cable Info'!U775))</f>
        <v/>
      </c>
      <c r="BG1071" s="121" t="str">
        <f t="shared" si="184"/>
        <v/>
      </c>
      <c r="BI1071" s="121" t="str">
        <f>IF('Cable Info'!V775="","",CONCATENATE('Cable Info'!V775," - ",'Cable Info'!W775))</f>
        <v/>
      </c>
      <c r="BL1071" s="121" t="str">
        <f t="shared" si="185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0"/>
        <v>#N/A</v>
      </c>
      <c r="AO1072" s="121" t="e">
        <f>IF('Cable Info'!N776="","",CONCATENATE('Cable Info'!N776," - ",'Cable Info'!O776))</f>
        <v>#N/A</v>
      </c>
      <c r="AR1072" s="121" t="e">
        <f t="shared" si="181"/>
        <v>#N/A</v>
      </c>
      <c r="AT1072" s="121" t="e">
        <f>IF('Cable Info'!P776="","",CONCATENATE('Cable Info'!P776," - ",'Cable Info'!Q776))</f>
        <v>#N/A</v>
      </c>
      <c r="AW1072" s="121" t="e">
        <f t="shared" si="182"/>
        <v>#N/A</v>
      </c>
      <c r="AY1072" s="121" t="str">
        <f>IF('Cable Info'!R776="","",CONCATENATE('Cable Info'!R776," - ",'Cable Info'!S776))</f>
        <v/>
      </c>
      <c r="BB1072" s="121" t="str">
        <f t="shared" si="183"/>
        <v/>
      </c>
      <c r="BD1072" s="121" t="str">
        <f>IF('Cable Info'!T776="","",CONCATENATE('Cable Info'!T776," - ",'Cable Info'!U776))</f>
        <v/>
      </c>
      <c r="BG1072" s="121" t="str">
        <f t="shared" si="184"/>
        <v/>
      </c>
      <c r="BI1072" s="121" t="str">
        <f>IF('Cable Info'!V776="","",CONCATENATE('Cable Info'!V776," - ",'Cable Info'!W776))</f>
        <v/>
      </c>
      <c r="BL1072" s="121" t="str">
        <f t="shared" si="185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0"/>
        <v>#N/A</v>
      </c>
      <c r="AO1073" s="121" t="e">
        <f>IF('Cable Info'!N777="","",CONCATENATE('Cable Info'!N777," - ",'Cable Info'!O777))</f>
        <v>#N/A</v>
      </c>
      <c r="AR1073" s="121" t="e">
        <f t="shared" si="181"/>
        <v>#N/A</v>
      </c>
      <c r="AT1073" s="121" t="e">
        <f>IF('Cable Info'!P777="","",CONCATENATE('Cable Info'!P777," - ",'Cable Info'!Q777))</f>
        <v>#N/A</v>
      </c>
      <c r="AW1073" s="121" t="e">
        <f t="shared" si="182"/>
        <v>#N/A</v>
      </c>
      <c r="AY1073" s="121" t="str">
        <f>IF('Cable Info'!R777="","",CONCATENATE('Cable Info'!R777," - ",'Cable Info'!S777))</f>
        <v/>
      </c>
      <c r="BB1073" s="121" t="str">
        <f t="shared" si="183"/>
        <v/>
      </c>
      <c r="BD1073" s="121" t="str">
        <f>IF('Cable Info'!T777="","",CONCATENATE('Cable Info'!T777," - ",'Cable Info'!U777))</f>
        <v/>
      </c>
      <c r="BG1073" s="121" t="str">
        <f t="shared" si="184"/>
        <v/>
      </c>
      <c r="BI1073" s="121" t="str">
        <f>IF('Cable Info'!V777="","",CONCATENATE('Cable Info'!V777," - ",'Cable Info'!W777))</f>
        <v/>
      </c>
      <c r="BL1073" s="121" t="str">
        <f t="shared" si="185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0"/>
        <v>#N/A</v>
      </c>
      <c r="AO1074" s="121" t="e">
        <f>IF('Cable Info'!N778="","",CONCATENATE('Cable Info'!N778," - ",'Cable Info'!O778))</f>
        <v>#N/A</v>
      </c>
      <c r="AR1074" s="121" t="e">
        <f t="shared" si="181"/>
        <v>#N/A</v>
      </c>
      <c r="AT1074" s="121" t="e">
        <f>IF('Cable Info'!P778="","",CONCATENATE('Cable Info'!P778," - ",'Cable Info'!Q778))</f>
        <v>#N/A</v>
      </c>
      <c r="AW1074" s="121" t="e">
        <f t="shared" si="182"/>
        <v>#N/A</v>
      </c>
      <c r="AY1074" s="121" t="str">
        <f>IF('Cable Info'!R778="","",CONCATENATE('Cable Info'!R778," - ",'Cable Info'!S778))</f>
        <v/>
      </c>
      <c r="BB1074" s="121" t="str">
        <f t="shared" si="183"/>
        <v/>
      </c>
      <c r="BD1074" s="121" t="str">
        <f>IF('Cable Info'!T778="","",CONCATENATE('Cable Info'!T778," - ",'Cable Info'!U778))</f>
        <v/>
      </c>
      <c r="BG1074" s="121" t="str">
        <f t="shared" si="184"/>
        <v/>
      </c>
      <c r="BI1074" s="121" t="str">
        <f>IF('Cable Info'!V778="","",CONCATENATE('Cable Info'!V778," - ",'Cable Info'!W778))</f>
        <v/>
      </c>
      <c r="BL1074" s="121" t="str">
        <f t="shared" si="185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0"/>
        <v>#N/A</v>
      </c>
      <c r="AO1075" s="121" t="e">
        <f>IF('Cable Info'!N779="","",CONCATENATE('Cable Info'!N779," - ",'Cable Info'!O779))</f>
        <v>#N/A</v>
      </c>
      <c r="AR1075" s="121" t="e">
        <f t="shared" si="181"/>
        <v>#N/A</v>
      </c>
      <c r="AT1075" s="121" t="e">
        <f>IF('Cable Info'!P779="","",CONCATENATE('Cable Info'!P779," - ",'Cable Info'!Q779))</f>
        <v>#N/A</v>
      </c>
      <c r="AW1075" s="121" t="e">
        <f t="shared" si="182"/>
        <v>#N/A</v>
      </c>
      <c r="AY1075" s="121" t="str">
        <f>IF('Cable Info'!R779="","",CONCATENATE('Cable Info'!R779," - ",'Cable Info'!S779))</f>
        <v/>
      </c>
      <c r="BB1075" s="121" t="str">
        <f t="shared" si="183"/>
        <v/>
      </c>
      <c r="BD1075" s="121" t="str">
        <f>IF('Cable Info'!T779="","",CONCATENATE('Cable Info'!T779," - ",'Cable Info'!U779))</f>
        <v/>
      </c>
      <c r="BG1075" s="121" t="str">
        <f t="shared" si="184"/>
        <v/>
      </c>
      <c r="BI1075" s="121" t="str">
        <f>IF('Cable Info'!V779="","",CONCATENATE('Cable Info'!V779," - ",'Cable Info'!W779))</f>
        <v/>
      </c>
      <c r="BL1075" s="121" t="str">
        <f t="shared" si="185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0"/>
        <v>#N/A</v>
      </c>
      <c r="AO1076" s="121" t="e">
        <f>IF('Cable Info'!N780="","",CONCATENATE('Cable Info'!N780," - ",'Cable Info'!O780))</f>
        <v>#N/A</v>
      </c>
      <c r="AR1076" s="121" t="e">
        <f t="shared" si="181"/>
        <v>#N/A</v>
      </c>
      <c r="AT1076" s="121" t="e">
        <f>IF('Cable Info'!P780="","",CONCATENATE('Cable Info'!P780," - ",'Cable Info'!Q780))</f>
        <v>#N/A</v>
      </c>
      <c r="AW1076" s="121" t="e">
        <f t="shared" si="182"/>
        <v>#N/A</v>
      </c>
      <c r="AY1076" s="121" t="str">
        <f>IF('Cable Info'!R780="","",CONCATENATE('Cable Info'!R780," - ",'Cable Info'!S780))</f>
        <v/>
      </c>
      <c r="BB1076" s="121" t="str">
        <f t="shared" si="183"/>
        <v/>
      </c>
      <c r="BD1076" s="121" t="str">
        <f>IF('Cable Info'!T780="","",CONCATENATE('Cable Info'!T780," - ",'Cable Info'!U780))</f>
        <v/>
      </c>
      <c r="BG1076" s="121" t="str">
        <f t="shared" si="184"/>
        <v/>
      </c>
      <c r="BI1076" s="121" t="str">
        <f>IF('Cable Info'!V780="","",CONCATENATE('Cable Info'!V780," - ",'Cable Info'!W780))</f>
        <v/>
      </c>
      <c r="BL1076" s="121" t="str">
        <f t="shared" si="185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0"/>
        <v>#N/A</v>
      </c>
      <c r="AO1077" s="121" t="e">
        <f>IF('Cable Info'!N781="","",CONCATENATE('Cable Info'!N781," - ",'Cable Info'!O781))</f>
        <v>#N/A</v>
      </c>
      <c r="AR1077" s="121" t="e">
        <f t="shared" si="181"/>
        <v>#N/A</v>
      </c>
      <c r="AT1077" s="121" t="e">
        <f>IF('Cable Info'!P781="","",CONCATENATE('Cable Info'!P781," - ",'Cable Info'!Q781))</f>
        <v>#N/A</v>
      </c>
      <c r="AW1077" s="121" t="e">
        <f t="shared" si="182"/>
        <v>#N/A</v>
      </c>
      <c r="AY1077" s="121" t="str">
        <f>IF('Cable Info'!R781="","",CONCATENATE('Cable Info'!R781," - ",'Cable Info'!S781))</f>
        <v/>
      </c>
      <c r="BB1077" s="121" t="str">
        <f t="shared" si="183"/>
        <v/>
      </c>
      <c r="BD1077" s="121" t="str">
        <f>IF('Cable Info'!T781="","",CONCATENATE('Cable Info'!T781," - ",'Cable Info'!U781))</f>
        <v/>
      </c>
      <c r="BG1077" s="121" t="str">
        <f t="shared" si="184"/>
        <v/>
      </c>
      <c r="BI1077" s="121" t="str">
        <f>IF('Cable Info'!V781="","",CONCATENATE('Cable Info'!V781," - ",'Cable Info'!W781))</f>
        <v/>
      </c>
      <c r="BL1077" s="121" t="str">
        <f t="shared" si="185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0"/>
        <v>#N/A</v>
      </c>
      <c r="AO1078" s="121" t="e">
        <f>IF('Cable Info'!N782="","",CONCATENATE('Cable Info'!N782," - ",'Cable Info'!O782))</f>
        <v>#N/A</v>
      </c>
      <c r="AR1078" s="121" t="e">
        <f t="shared" si="181"/>
        <v>#N/A</v>
      </c>
      <c r="AT1078" s="121" t="e">
        <f>IF('Cable Info'!P782="","",CONCATENATE('Cable Info'!P782," - ",'Cable Info'!Q782))</f>
        <v>#N/A</v>
      </c>
      <c r="AW1078" s="121" t="e">
        <f t="shared" si="182"/>
        <v>#N/A</v>
      </c>
      <c r="AY1078" s="121" t="str">
        <f>IF('Cable Info'!R782="","",CONCATENATE('Cable Info'!R782," - ",'Cable Info'!S782))</f>
        <v/>
      </c>
      <c r="BB1078" s="121" t="str">
        <f t="shared" si="183"/>
        <v/>
      </c>
      <c r="BD1078" s="121" t="str">
        <f>IF('Cable Info'!T782="","",CONCATENATE('Cable Info'!T782," - ",'Cable Info'!U782))</f>
        <v/>
      </c>
      <c r="BG1078" s="121" t="str">
        <f t="shared" si="184"/>
        <v/>
      </c>
      <c r="BI1078" s="121" t="str">
        <f>IF('Cable Info'!V782="","",CONCATENATE('Cable Info'!V782," - ",'Cable Info'!W782))</f>
        <v/>
      </c>
      <c r="BL1078" s="121" t="str">
        <f t="shared" si="185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0"/>
        <v>#N/A</v>
      </c>
      <c r="AO1079" s="121" t="e">
        <f>IF('Cable Info'!N783="","",CONCATENATE('Cable Info'!N783," - ",'Cable Info'!O783))</f>
        <v>#N/A</v>
      </c>
      <c r="AR1079" s="121" t="e">
        <f t="shared" si="181"/>
        <v>#N/A</v>
      </c>
      <c r="AT1079" s="121" t="e">
        <f>IF('Cable Info'!P783="","",CONCATENATE('Cable Info'!P783," - ",'Cable Info'!Q783))</f>
        <v>#N/A</v>
      </c>
      <c r="AW1079" s="121" t="e">
        <f t="shared" si="182"/>
        <v>#N/A</v>
      </c>
      <c r="AY1079" s="121" t="str">
        <f>IF('Cable Info'!R783="","",CONCATENATE('Cable Info'!R783," - ",'Cable Info'!S783))</f>
        <v/>
      </c>
      <c r="BB1079" s="121" t="str">
        <f t="shared" si="183"/>
        <v/>
      </c>
      <c r="BD1079" s="121" t="str">
        <f>IF('Cable Info'!T783="","",CONCATENATE('Cable Info'!T783," - ",'Cable Info'!U783))</f>
        <v/>
      </c>
      <c r="BG1079" s="121" t="str">
        <f t="shared" si="184"/>
        <v/>
      </c>
      <c r="BI1079" s="121" t="str">
        <f>IF('Cable Info'!V783="","",CONCATENATE('Cable Info'!V783," - ",'Cable Info'!W783))</f>
        <v/>
      </c>
      <c r="BL1079" s="121" t="str">
        <f t="shared" si="185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0"/>
        <v>#N/A</v>
      </c>
      <c r="AO1080" s="121" t="e">
        <f>IF('Cable Info'!N784="","",CONCATENATE('Cable Info'!N784," - ",'Cable Info'!O784))</f>
        <v>#N/A</v>
      </c>
      <c r="AR1080" s="121" t="e">
        <f t="shared" si="181"/>
        <v>#N/A</v>
      </c>
      <c r="AT1080" s="121" t="e">
        <f>IF('Cable Info'!P784="","",CONCATENATE('Cable Info'!P784," - ",'Cable Info'!Q784))</f>
        <v>#N/A</v>
      </c>
      <c r="AW1080" s="121" t="e">
        <f t="shared" si="182"/>
        <v>#N/A</v>
      </c>
      <c r="AY1080" s="121" t="str">
        <f>IF('Cable Info'!R784="","",CONCATENATE('Cable Info'!R784," - ",'Cable Info'!S784))</f>
        <v/>
      </c>
      <c r="BB1080" s="121" t="str">
        <f t="shared" si="183"/>
        <v/>
      </c>
      <c r="BD1080" s="121" t="str">
        <f>IF('Cable Info'!T784="","",CONCATENATE('Cable Info'!T784," - ",'Cable Info'!U784))</f>
        <v/>
      </c>
      <c r="BG1080" s="121" t="str">
        <f t="shared" si="184"/>
        <v/>
      </c>
      <c r="BI1080" s="121" t="str">
        <f>IF('Cable Info'!V784="","",CONCATENATE('Cable Info'!V784," - ",'Cable Info'!W784))</f>
        <v/>
      </c>
      <c r="BL1080" s="121" t="str">
        <f t="shared" si="185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0"/>
        <v>#N/A</v>
      </c>
      <c r="AO1081" s="121" t="e">
        <f>IF('Cable Info'!N785="","",CONCATENATE('Cable Info'!N785," - ",'Cable Info'!O785))</f>
        <v>#N/A</v>
      </c>
      <c r="AR1081" s="121" t="e">
        <f t="shared" si="181"/>
        <v>#N/A</v>
      </c>
      <c r="AT1081" s="121" t="e">
        <f>IF('Cable Info'!P785="","",CONCATENATE('Cable Info'!P785," - ",'Cable Info'!Q785))</f>
        <v>#N/A</v>
      </c>
      <c r="AW1081" s="121" t="e">
        <f t="shared" si="182"/>
        <v>#N/A</v>
      </c>
      <c r="AY1081" s="121" t="str">
        <f>IF('Cable Info'!R785="","",CONCATENATE('Cable Info'!R785," - ",'Cable Info'!S785))</f>
        <v/>
      </c>
      <c r="BB1081" s="121" t="str">
        <f t="shared" si="183"/>
        <v/>
      </c>
      <c r="BD1081" s="121" t="str">
        <f>IF('Cable Info'!T785="","",CONCATENATE('Cable Info'!T785," - ",'Cable Info'!U785))</f>
        <v/>
      </c>
      <c r="BG1081" s="121" t="str">
        <f t="shared" si="184"/>
        <v/>
      </c>
      <c r="BI1081" s="121" t="str">
        <f>IF('Cable Info'!V785="","",CONCATENATE('Cable Info'!V785," - ",'Cable Info'!W785))</f>
        <v/>
      </c>
      <c r="BL1081" s="121" t="str">
        <f t="shared" si="185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0"/>
        <v>#N/A</v>
      </c>
      <c r="AO1082" s="121" t="e">
        <f>IF('Cable Info'!N786="","",CONCATENATE('Cable Info'!N786," - ",'Cable Info'!O786))</f>
        <v>#N/A</v>
      </c>
      <c r="AR1082" s="121" t="e">
        <f t="shared" si="181"/>
        <v>#N/A</v>
      </c>
      <c r="AT1082" s="121" t="e">
        <f>IF('Cable Info'!P786="","",CONCATENATE('Cable Info'!P786," - ",'Cable Info'!Q786))</f>
        <v>#N/A</v>
      </c>
      <c r="AW1082" s="121" t="e">
        <f t="shared" si="182"/>
        <v>#N/A</v>
      </c>
      <c r="AY1082" s="121" t="str">
        <f>IF('Cable Info'!R786="","",CONCATENATE('Cable Info'!R786," - ",'Cable Info'!S786))</f>
        <v/>
      </c>
      <c r="BB1082" s="121" t="str">
        <f t="shared" si="183"/>
        <v/>
      </c>
      <c r="BD1082" s="121" t="str">
        <f>IF('Cable Info'!T786="","",CONCATENATE('Cable Info'!T786," - ",'Cable Info'!U786))</f>
        <v/>
      </c>
      <c r="BG1082" s="121" t="str">
        <f t="shared" si="184"/>
        <v/>
      </c>
      <c r="BI1082" s="121" t="str">
        <f>IF('Cable Info'!V786="","",CONCATENATE('Cable Info'!V786," - ",'Cable Info'!W786))</f>
        <v/>
      </c>
      <c r="BL1082" s="121" t="str">
        <f t="shared" si="185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0"/>
        <v>#N/A</v>
      </c>
      <c r="AO1083" s="121" t="e">
        <f>IF('Cable Info'!N787="","",CONCATENATE('Cable Info'!N787," - ",'Cable Info'!O787))</f>
        <v>#N/A</v>
      </c>
      <c r="AR1083" s="121" t="e">
        <f t="shared" si="181"/>
        <v>#N/A</v>
      </c>
      <c r="AT1083" s="121" t="e">
        <f>IF('Cable Info'!P787="","",CONCATENATE('Cable Info'!P787," - ",'Cable Info'!Q787))</f>
        <v>#N/A</v>
      </c>
      <c r="AW1083" s="121" t="e">
        <f t="shared" si="182"/>
        <v>#N/A</v>
      </c>
      <c r="AY1083" s="121" t="str">
        <f>IF('Cable Info'!R787="","",CONCATENATE('Cable Info'!R787," - ",'Cable Info'!S787))</f>
        <v/>
      </c>
      <c r="BB1083" s="121" t="str">
        <f t="shared" si="183"/>
        <v/>
      </c>
      <c r="BD1083" s="121" t="str">
        <f>IF('Cable Info'!T787="","",CONCATENATE('Cable Info'!T787," - ",'Cable Info'!U787))</f>
        <v/>
      </c>
      <c r="BG1083" s="121" t="str">
        <f t="shared" si="184"/>
        <v/>
      </c>
      <c r="BI1083" s="121" t="str">
        <f>IF('Cable Info'!V787="","",CONCATENATE('Cable Info'!V787," - ",'Cable Info'!W787))</f>
        <v/>
      </c>
      <c r="BL1083" s="121" t="str">
        <f t="shared" si="185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0"/>
        <v>#N/A</v>
      </c>
      <c r="AO1084" s="121" t="e">
        <f>IF('Cable Info'!N788="","",CONCATENATE('Cable Info'!N788," - ",'Cable Info'!O788))</f>
        <v>#N/A</v>
      </c>
      <c r="AR1084" s="121" t="e">
        <f t="shared" si="181"/>
        <v>#N/A</v>
      </c>
      <c r="AT1084" s="121" t="e">
        <f>IF('Cable Info'!P788="","",CONCATENATE('Cable Info'!P788," - ",'Cable Info'!Q788))</f>
        <v>#N/A</v>
      </c>
      <c r="AW1084" s="121" t="e">
        <f t="shared" si="182"/>
        <v>#N/A</v>
      </c>
      <c r="AY1084" s="121" t="str">
        <f>IF('Cable Info'!R788="","",CONCATENATE('Cable Info'!R788," - ",'Cable Info'!S788))</f>
        <v/>
      </c>
      <c r="BB1084" s="121" t="str">
        <f t="shared" si="183"/>
        <v/>
      </c>
      <c r="BD1084" s="121" t="str">
        <f>IF('Cable Info'!T788="","",CONCATENATE('Cable Info'!T788," - ",'Cable Info'!U788))</f>
        <v/>
      </c>
      <c r="BG1084" s="121" t="str">
        <f t="shared" si="184"/>
        <v/>
      </c>
      <c r="BI1084" s="121" t="str">
        <f>IF('Cable Info'!V788="","",CONCATENATE('Cable Info'!V788," - ",'Cable Info'!W788))</f>
        <v/>
      </c>
      <c r="BL1084" s="121" t="str">
        <f t="shared" si="185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0"/>
        <v>#N/A</v>
      </c>
      <c r="AO1085" s="121" t="e">
        <f>IF('Cable Info'!N789="","",CONCATENATE('Cable Info'!N789," - ",'Cable Info'!O789))</f>
        <v>#N/A</v>
      </c>
      <c r="AR1085" s="121" t="e">
        <f t="shared" si="181"/>
        <v>#N/A</v>
      </c>
      <c r="AT1085" s="121" t="e">
        <f>IF('Cable Info'!P789="","",CONCATENATE('Cable Info'!P789," - ",'Cable Info'!Q789))</f>
        <v>#N/A</v>
      </c>
      <c r="AW1085" s="121" t="e">
        <f t="shared" si="182"/>
        <v>#N/A</v>
      </c>
      <c r="AY1085" s="121" t="str">
        <f>IF('Cable Info'!R789="","",CONCATENATE('Cable Info'!R789," - ",'Cable Info'!S789))</f>
        <v/>
      </c>
      <c r="BB1085" s="121" t="str">
        <f t="shared" si="183"/>
        <v/>
      </c>
      <c r="BD1085" s="121" t="str">
        <f>IF('Cable Info'!T789="","",CONCATENATE('Cable Info'!T789," - ",'Cable Info'!U789))</f>
        <v/>
      </c>
      <c r="BG1085" s="121" t="str">
        <f t="shared" si="184"/>
        <v/>
      </c>
      <c r="BI1085" s="121" t="str">
        <f>IF('Cable Info'!V789="","",CONCATENATE('Cable Info'!V789," - ",'Cable Info'!W789))</f>
        <v/>
      </c>
      <c r="BL1085" s="121" t="str">
        <f t="shared" si="185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0"/>
        <v>#N/A</v>
      </c>
      <c r="AO1086" s="121" t="e">
        <f>IF('Cable Info'!N790="","",CONCATENATE('Cable Info'!N790," - ",'Cable Info'!O790))</f>
        <v>#N/A</v>
      </c>
      <c r="AR1086" s="121" t="e">
        <f t="shared" si="181"/>
        <v>#N/A</v>
      </c>
      <c r="AT1086" s="121" t="e">
        <f>IF('Cable Info'!P790="","",CONCATENATE('Cable Info'!P790," - ",'Cable Info'!Q790))</f>
        <v>#N/A</v>
      </c>
      <c r="AW1086" s="121" t="e">
        <f t="shared" si="182"/>
        <v>#N/A</v>
      </c>
      <c r="AY1086" s="121" t="str">
        <f>IF('Cable Info'!R790="","",CONCATENATE('Cable Info'!R790," - ",'Cable Info'!S790))</f>
        <v/>
      </c>
      <c r="BB1086" s="121" t="str">
        <f t="shared" si="183"/>
        <v/>
      </c>
      <c r="BD1086" s="121" t="str">
        <f>IF('Cable Info'!T790="","",CONCATENATE('Cable Info'!T790," - ",'Cable Info'!U790))</f>
        <v/>
      </c>
      <c r="BG1086" s="121" t="str">
        <f t="shared" si="184"/>
        <v/>
      </c>
      <c r="BI1086" s="121" t="str">
        <f>IF('Cable Info'!V790="","",CONCATENATE('Cable Info'!V790," - ",'Cable Info'!W790))</f>
        <v/>
      </c>
      <c r="BL1086" s="121" t="str">
        <f t="shared" si="185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0"/>
        <v>#N/A</v>
      </c>
      <c r="AO1087" s="121" t="e">
        <f>IF('Cable Info'!N791="","",CONCATENATE('Cable Info'!N791," - ",'Cable Info'!O791))</f>
        <v>#N/A</v>
      </c>
      <c r="AR1087" s="121" t="e">
        <f t="shared" si="181"/>
        <v>#N/A</v>
      </c>
      <c r="AT1087" s="121" t="e">
        <f>IF('Cable Info'!P791="","",CONCATENATE('Cable Info'!P791," - ",'Cable Info'!Q791))</f>
        <v>#N/A</v>
      </c>
      <c r="AW1087" s="121" t="e">
        <f t="shared" si="182"/>
        <v>#N/A</v>
      </c>
      <c r="AY1087" s="121" t="str">
        <f>IF('Cable Info'!R791="","",CONCATENATE('Cable Info'!R791," - ",'Cable Info'!S791))</f>
        <v/>
      </c>
      <c r="BB1087" s="121" t="str">
        <f t="shared" si="183"/>
        <v/>
      </c>
      <c r="BD1087" s="121" t="str">
        <f>IF('Cable Info'!T791="","",CONCATENATE('Cable Info'!T791," - ",'Cable Info'!U791))</f>
        <v/>
      </c>
      <c r="BG1087" s="121" t="str">
        <f t="shared" si="184"/>
        <v/>
      </c>
      <c r="BI1087" s="121" t="str">
        <f>IF('Cable Info'!V791="","",CONCATENATE('Cable Info'!V791," - ",'Cable Info'!W791))</f>
        <v/>
      </c>
      <c r="BL1087" s="121" t="str">
        <f t="shared" si="185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0"/>
        <v>#N/A</v>
      </c>
      <c r="AO1088" s="121" t="e">
        <f>IF('Cable Info'!N792="","",CONCATENATE('Cable Info'!N792," - ",'Cable Info'!O792))</f>
        <v>#N/A</v>
      </c>
      <c r="AR1088" s="121" t="e">
        <f t="shared" si="181"/>
        <v>#N/A</v>
      </c>
      <c r="AT1088" s="121" t="e">
        <f>IF('Cable Info'!P792="","",CONCATENATE('Cable Info'!P792," - ",'Cable Info'!Q792))</f>
        <v>#N/A</v>
      </c>
      <c r="AW1088" s="121" t="e">
        <f t="shared" si="182"/>
        <v>#N/A</v>
      </c>
      <c r="AY1088" s="121" t="str">
        <f>IF('Cable Info'!R792="","",CONCATENATE('Cable Info'!R792," - ",'Cable Info'!S792))</f>
        <v/>
      </c>
      <c r="BB1088" s="121" t="str">
        <f t="shared" si="183"/>
        <v/>
      </c>
      <c r="BD1088" s="121" t="str">
        <f>IF('Cable Info'!T792="","",CONCATENATE('Cable Info'!T792," - ",'Cable Info'!U792))</f>
        <v/>
      </c>
      <c r="BG1088" s="121" t="str">
        <f t="shared" si="184"/>
        <v/>
      </c>
      <c r="BI1088" s="121" t="str">
        <f>IF('Cable Info'!V792="","",CONCATENATE('Cable Info'!V792," - ",'Cable Info'!W792))</f>
        <v/>
      </c>
      <c r="BL1088" s="121" t="str">
        <f t="shared" si="185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0"/>
        <v>#N/A</v>
      </c>
      <c r="AO1089" s="121" t="e">
        <f>IF('Cable Info'!N793="","",CONCATENATE('Cable Info'!N793," - ",'Cable Info'!O793))</f>
        <v>#N/A</v>
      </c>
      <c r="AR1089" s="121" t="e">
        <f t="shared" si="181"/>
        <v>#N/A</v>
      </c>
      <c r="AT1089" s="121" t="e">
        <f>IF('Cable Info'!P793="","",CONCATENATE('Cable Info'!P793," - ",'Cable Info'!Q793))</f>
        <v>#N/A</v>
      </c>
      <c r="AW1089" s="121" t="e">
        <f t="shared" si="182"/>
        <v>#N/A</v>
      </c>
      <c r="AY1089" s="121" t="str">
        <f>IF('Cable Info'!R793="","",CONCATENATE('Cable Info'!R793," - ",'Cable Info'!S793))</f>
        <v/>
      </c>
      <c r="BB1089" s="121" t="str">
        <f t="shared" si="183"/>
        <v/>
      </c>
      <c r="BD1089" s="121" t="str">
        <f>IF('Cable Info'!T793="","",CONCATENATE('Cable Info'!T793," - ",'Cable Info'!U793))</f>
        <v/>
      </c>
      <c r="BG1089" s="121" t="str">
        <f t="shared" si="184"/>
        <v/>
      </c>
      <c r="BI1089" s="121" t="str">
        <f>IF('Cable Info'!V793="","",CONCATENATE('Cable Info'!V793," - ",'Cable Info'!W793))</f>
        <v/>
      </c>
      <c r="BL1089" s="121" t="str">
        <f t="shared" si="185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0"/>
        <v>#N/A</v>
      </c>
      <c r="AO1090" s="121" t="e">
        <f>IF('Cable Info'!N794="","",CONCATENATE('Cable Info'!N794," - ",'Cable Info'!O794))</f>
        <v>#N/A</v>
      </c>
      <c r="AR1090" s="121" t="e">
        <f t="shared" si="181"/>
        <v>#N/A</v>
      </c>
      <c r="AT1090" s="121" t="e">
        <f>IF('Cable Info'!P794="","",CONCATENATE('Cable Info'!P794," - ",'Cable Info'!Q794))</f>
        <v>#N/A</v>
      </c>
      <c r="AW1090" s="121" t="e">
        <f t="shared" si="182"/>
        <v>#N/A</v>
      </c>
      <c r="AY1090" s="121" t="str">
        <f>IF('Cable Info'!R794="","",CONCATENATE('Cable Info'!R794," - ",'Cable Info'!S794))</f>
        <v/>
      </c>
      <c r="BB1090" s="121" t="str">
        <f t="shared" si="183"/>
        <v/>
      </c>
      <c r="BD1090" s="121" t="str">
        <f>IF('Cable Info'!T794="","",CONCATENATE('Cable Info'!T794," - ",'Cable Info'!U794))</f>
        <v/>
      </c>
      <c r="BG1090" s="121" t="str">
        <f t="shared" si="184"/>
        <v/>
      </c>
      <c r="BI1090" s="121" t="str">
        <f>IF('Cable Info'!V794="","",CONCATENATE('Cable Info'!V794," - ",'Cable Info'!W794))</f>
        <v/>
      </c>
      <c r="BL1090" s="121" t="str">
        <f t="shared" si="185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0"/>
        <v>#N/A</v>
      </c>
      <c r="AO1091" s="121" t="e">
        <f>IF('Cable Info'!N795="","",CONCATENATE('Cable Info'!N795," - ",'Cable Info'!O795))</f>
        <v>#N/A</v>
      </c>
      <c r="AR1091" s="121" t="e">
        <f t="shared" si="181"/>
        <v>#N/A</v>
      </c>
      <c r="AT1091" s="121" t="e">
        <f>IF('Cable Info'!P795="","",CONCATENATE('Cable Info'!P795," - ",'Cable Info'!Q795))</f>
        <v>#N/A</v>
      </c>
      <c r="AW1091" s="121" t="e">
        <f t="shared" si="182"/>
        <v>#N/A</v>
      </c>
      <c r="AY1091" s="121" t="str">
        <f>IF('Cable Info'!R795="","",CONCATENATE('Cable Info'!R795," - ",'Cable Info'!S795))</f>
        <v/>
      </c>
      <c r="BB1091" s="121" t="str">
        <f t="shared" si="183"/>
        <v/>
      </c>
      <c r="BD1091" s="121" t="str">
        <f>IF('Cable Info'!T795="","",CONCATENATE('Cable Info'!T795," - ",'Cable Info'!U795))</f>
        <v/>
      </c>
      <c r="BG1091" s="121" t="str">
        <f t="shared" si="184"/>
        <v/>
      </c>
      <c r="BI1091" s="121" t="str">
        <f>IF('Cable Info'!V795="","",CONCATENATE('Cable Info'!V795," - ",'Cable Info'!W795))</f>
        <v/>
      </c>
      <c r="BL1091" s="121" t="str">
        <f t="shared" si="185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0"/>
        <v>#N/A</v>
      </c>
      <c r="AO1092" s="121" t="e">
        <f>IF('Cable Info'!N796="","",CONCATENATE('Cable Info'!N796," - ",'Cable Info'!O796))</f>
        <v>#N/A</v>
      </c>
      <c r="AR1092" s="121" t="e">
        <f t="shared" si="181"/>
        <v>#N/A</v>
      </c>
      <c r="AT1092" s="121" t="e">
        <f>IF('Cable Info'!P796="","",CONCATENATE('Cable Info'!P796," - ",'Cable Info'!Q796))</f>
        <v>#N/A</v>
      </c>
      <c r="AW1092" s="121" t="e">
        <f t="shared" si="182"/>
        <v>#N/A</v>
      </c>
      <c r="AY1092" s="121" t="str">
        <f>IF('Cable Info'!R796="","",CONCATENATE('Cable Info'!R796," - ",'Cable Info'!S796))</f>
        <v/>
      </c>
      <c r="BB1092" s="121" t="str">
        <f t="shared" si="183"/>
        <v/>
      </c>
      <c r="BD1092" s="121" t="str">
        <f>IF('Cable Info'!T796="","",CONCATENATE('Cable Info'!T796," - ",'Cable Info'!U796))</f>
        <v/>
      </c>
      <c r="BG1092" s="121" t="str">
        <f t="shared" si="184"/>
        <v/>
      </c>
      <c r="BI1092" s="121" t="str">
        <f>IF('Cable Info'!V796="","",CONCATENATE('Cable Info'!V796," - ",'Cable Info'!W796))</f>
        <v/>
      </c>
      <c r="BL1092" s="121" t="str">
        <f t="shared" si="185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0"/>
        <v>#N/A</v>
      </c>
      <c r="AO1093" s="121" t="e">
        <f>IF('Cable Info'!N797="","",CONCATENATE('Cable Info'!N797," - ",'Cable Info'!O797))</f>
        <v>#N/A</v>
      </c>
      <c r="AR1093" s="121" t="e">
        <f t="shared" si="181"/>
        <v>#N/A</v>
      </c>
      <c r="AT1093" s="121" t="e">
        <f>IF('Cable Info'!P797="","",CONCATENATE('Cable Info'!P797," - ",'Cable Info'!Q797))</f>
        <v>#N/A</v>
      </c>
      <c r="AW1093" s="121" t="e">
        <f t="shared" si="182"/>
        <v>#N/A</v>
      </c>
      <c r="AY1093" s="121" t="str">
        <f>IF('Cable Info'!R797="","",CONCATENATE('Cable Info'!R797," - ",'Cable Info'!S797))</f>
        <v/>
      </c>
      <c r="BB1093" s="121" t="str">
        <f t="shared" si="183"/>
        <v/>
      </c>
      <c r="BD1093" s="121" t="str">
        <f>IF('Cable Info'!T797="","",CONCATENATE('Cable Info'!T797," - ",'Cable Info'!U797))</f>
        <v/>
      </c>
      <c r="BG1093" s="121" t="str">
        <f t="shared" si="184"/>
        <v/>
      </c>
      <c r="BI1093" s="121" t="str">
        <f>IF('Cable Info'!V797="","",CONCATENATE('Cable Info'!V797," - ",'Cable Info'!W797))</f>
        <v/>
      </c>
      <c r="BL1093" s="121" t="str">
        <f t="shared" si="185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0"/>
        <v>#N/A</v>
      </c>
      <c r="AO1094" s="121" t="e">
        <f>IF('Cable Info'!N798="","",CONCATENATE('Cable Info'!N798," - ",'Cable Info'!O798))</f>
        <v>#N/A</v>
      </c>
      <c r="AR1094" s="121" t="e">
        <f t="shared" si="181"/>
        <v>#N/A</v>
      </c>
      <c r="AT1094" s="121" t="e">
        <f>IF('Cable Info'!P798="","",CONCATENATE('Cable Info'!P798," - ",'Cable Info'!Q798))</f>
        <v>#N/A</v>
      </c>
      <c r="AW1094" s="121" t="e">
        <f t="shared" si="182"/>
        <v>#N/A</v>
      </c>
      <c r="AY1094" s="121" t="str">
        <f>IF('Cable Info'!R798="","",CONCATENATE('Cable Info'!R798," - ",'Cable Info'!S798))</f>
        <v/>
      </c>
      <c r="BB1094" s="121" t="str">
        <f t="shared" si="183"/>
        <v/>
      </c>
      <c r="BD1094" s="121" t="str">
        <f>IF('Cable Info'!T798="","",CONCATENATE('Cable Info'!T798," - ",'Cable Info'!U798))</f>
        <v/>
      </c>
      <c r="BG1094" s="121" t="str">
        <f t="shared" si="184"/>
        <v/>
      </c>
      <c r="BI1094" s="121" t="str">
        <f>IF('Cable Info'!V798="","",CONCATENATE('Cable Info'!V798," - ",'Cable Info'!W798))</f>
        <v/>
      </c>
      <c r="BL1094" s="121" t="str">
        <f t="shared" si="185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0"/>
        <v>#N/A</v>
      </c>
      <c r="AO1095" s="121" t="e">
        <f>IF('Cable Info'!N799="","",CONCATENATE('Cable Info'!N799," - ",'Cable Info'!O799))</f>
        <v>#N/A</v>
      </c>
      <c r="AR1095" s="121" t="e">
        <f t="shared" si="181"/>
        <v>#N/A</v>
      </c>
      <c r="AT1095" s="121" t="e">
        <f>IF('Cable Info'!P799="","",CONCATENATE('Cable Info'!P799," - ",'Cable Info'!Q799))</f>
        <v>#N/A</v>
      </c>
      <c r="AW1095" s="121" t="e">
        <f t="shared" si="182"/>
        <v>#N/A</v>
      </c>
      <c r="AY1095" s="121" t="str">
        <f>IF('Cable Info'!R799="","",CONCATENATE('Cable Info'!R799," - ",'Cable Info'!S799))</f>
        <v/>
      </c>
      <c r="BB1095" s="121" t="str">
        <f t="shared" si="183"/>
        <v/>
      </c>
      <c r="BD1095" s="121" t="str">
        <f>IF('Cable Info'!T799="","",CONCATENATE('Cable Info'!T799," - ",'Cable Info'!U799))</f>
        <v/>
      </c>
      <c r="BG1095" s="121" t="str">
        <f t="shared" si="184"/>
        <v/>
      </c>
      <c r="BI1095" s="121" t="str">
        <f>IF('Cable Info'!V799="","",CONCATENATE('Cable Info'!V799," - ",'Cable Info'!W799))</f>
        <v/>
      </c>
      <c r="BL1095" s="121" t="str">
        <f t="shared" si="185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0"/>
        <v>#N/A</v>
      </c>
      <c r="AO1096" s="121" t="e">
        <f>IF('Cable Info'!N800="","",CONCATENATE('Cable Info'!N800," - ",'Cable Info'!O800))</f>
        <v>#N/A</v>
      </c>
      <c r="AR1096" s="121" t="e">
        <f t="shared" si="181"/>
        <v>#N/A</v>
      </c>
      <c r="AT1096" s="121" t="e">
        <f>IF('Cable Info'!P800="","",CONCATENATE('Cable Info'!P800," - ",'Cable Info'!Q800))</f>
        <v>#N/A</v>
      </c>
      <c r="AW1096" s="121" t="e">
        <f t="shared" si="182"/>
        <v>#N/A</v>
      </c>
      <c r="AY1096" s="121" t="str">
        <f>IF('Cable Info'!R800="","",CONCATENATE('Cable Info'!R800," - ",'Cable Info'!S800))</f>
        <v/>
      </c>
      <c r="BB1096" s="121" t="str">
        <f t="shared" si="183"/>
        <v/>
      </c>
      <c r="BD1096" s="121" t="str">
        <f>IF('Cable Info'!T800="","",CONCATENATE('Cable Info'!T800," - ",'Cable Info'!U800))</f>
        <v/>
      </c>
      <c r="BG1096" s="121" t="str">
        <f t="shared" si="184"/>
        <v/>
      </c>
      <c r="BI1096" s="121" t="str">
        <f>IF('Cable Info'!V800="","",CONCATENATE('Cable Info'!V800," - ",'Cable Info'!W800))</f>
        <v/>
      </c>
      <c r="BL1096" s="121" t="str">
        <f t="shared" si="185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0"/>
        <v>#N/A</v>
      </c>
      <c r="AO1097" s="121" t="e">
        <f>IF('Cable Info'!N801="","",CONCATENATE('Cable Info'!N801," - ",'Cable Info'!O801))</f>
        <v>#N/A</v>
      </c>
      <c r="AR1097" s="121" t="e">
        <f t="shared" si="181"/>
        <v>#N/A</v>
      </c>
      <c r="AT1097" s="121" t="e">
        <f>IF('Cable Info'!P801="","",CONCATENATE('Cable Info'!P801," - ",'Cable Info'!Q801))</f>
        <v>#N/A</v>
      </c>
      <c r="AW1097" s="121" t="e">
        <f t="shared" si="182"/>
        <v>#N/A</v>
      </c>
      <c r="AY1097" s="121" t="str">
        <f>IF('Cable Info'!R801="","",CONCATENATE('Cable Info'!R801," - ",'Cable Info'!S801))</f>
        <v/>
      </c>
      <c r="BB1097" s="121" t="str">
        <f t="shared" si="183"/>
        <v/>
      </c>
      <c r="BD1097" s="121" t="str">
        <f>IF('Cable Info'!T801="","",CONCATENATE('Cable Info'!T801," - ",'Cable Info'!U801))</f>
        <v/>
      </c>
      <c r="BG1097" s="121" t="str">
        <f t="shared" si="184"/>
        <v/>
      </c>
      <c r="BI1097" s="121" t="str">
        <f>IF('Cable Info'!V801="","",CONCATENATE('Cable Info'!V801," - ",'Cable Info'!W801))</f>
        <v/>
      </c>
      <c r="BL1097" s="121" t="str">
        <f t="shared" si="185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0"/>
        <v>#N/A</v>
      </c>
      <c r="AO1098" s="121" t="e">
        <f>IF('Cable Info'!N802="","",CONCATENATE('Cable Info'!N802," - ",'Cable Info'!O802))</f>
        <v>#N/A</v>
      </c>
      <c r="AR1098" s="121" t="e">
        <f t="shared" si="181"/>
        <v>#N/A</v>
      </c>
      <c r="AT1098" s="121" t="e">
        <f>IF('Cable Info'!P802="","",CONCATENATE('Cable Info'!P802," - ",'Cable Info'!Q802))</f>
        <v>#N/A</v>
      </c>
      <c r="AW1098" s="121" t="e">
        <f t="shared" si="182"/>
        <v>#N/A</v>
      </c>
      <c r="AY1098" s="121" t="str">
        <f>IF('Cable Info'!R802="","",CONCATENATE('Cable Info'!R802," - ",'Cable Info'!S802))</f>
        <v/>
      </c>
      <c r="BB1098" s="121" t="str">
        <f t="shared" si="183"/>
        <v/>
      </c>
      <c r="BD1098" s="121" t="str">
        <f>IF('Cable Info'!T802="","",CONCATENATE('Cable Info'!T802," - ",'Cable Info'!U802))</f>
        <v/>
      </c>
      <c r="BG1098" s="121" t="str">
        <f t="shared" si="184"/>
        <v/>
      </c>
      <c r="BI1098" s="121" t="str">
        <f>IF('Cable Info'!V802="","",CONCATENATE('Cable Info'!V802," - ",'Cable Info'!W802))</f>
        <v/>
      </c>
      <c r="BL1098" s="121" t="str">
        <f t="shared" si="185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0"/>
        <v>#N/A</v>
      </c>
      <c r="AO1099" s="121" t="e">
        <f>IF('Cable Info'!N803="","",CONCATENATE('Cable Info'!N803," - ",'Cable Info'!O803))</f>
        <v>#N/A</v>
      </c>
      <c r="AR1099" s="121" t="e">
        <f t="shared" si="181"/>
        <v>#N/A</v>
      </c>
      <c r="AT1099" s="121" t="e">
        <f>IF('Cable Info'!P803="","",CONCATENATE('Cable Info'!P803," - ",'Cable Info'!Q803))</f>
        <v>#N/A</v>
      </c>
      <c r="AW1099" s="121" t="e">
        <f t="shared" si="182"/>
        <v>#N/A</v>
      </c>
      <c r="AY1099" s="121" t="str">
        <f>IF('Cable Info'!R803="","",CONCATENATE('Cable Info'!R803," - ",'Cable Info'!S803))</f>
        <v/>
      </c>
      <c r="BB1099" s="121" t="str">
        <f t="shared" si="183"/>
        <v/>
      </c>
      <c r="BD1099" s="121" t="str">
        <f>IF('Cable Info'!T803="","",CONCATENATE('Cable Info'!T803," - ",'Cable Info'!U803))</f>
        <v/>
      </c>
      <c r="BG1099" s="121" t="str">
        <f t="shared" si="184"/>
        <v/>
      </c>
      <c r="BI1099" s="121" t="str">
        <f>IF('Cable Info'!V803="","",CONCATENATE('Cable Info'!V803," - ",'Cable Info'!W803))</f>
        <v/>
      </c>
      <c r="BL1099" s="121" t="str">
        <f t="shared" si="185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0"/>
        <v>#N/A</v>
      </c>
      <c r="AO1100" s="121" t="e">
        <f>IF('Cable Info'!N804="","",CONCATENATE('Cable Info'!N804," - ",'Cable Info'!O804))</f>
        <v>#N/A</v>
      </c>
      <c r="AR1100" s="121" t="e">
        <f t="shared" si="181"/>
        <v>#N/A</v>
      </c>
      <c r="AT1100" s="121" t="e">
        <f>IF('Cable Info'!P804="","",CONCATENATE('Cable Info'!P804," - ",'Cable Info'!Q804))</f>
        <v>#N/A</v>
      </c>
      <c r="AW1100" s="121" t="e">
        <f t="shared" si="182"/>
        <v>#N/A</v>
      </c>
      <c r="AY1100" s="121" t="str">
        <f>IF('Cable Info'!R804="","",CONCATENATE('Cable Info'!R804," - ",'Cable Info'!S804))</f>
        <v/>
      </c>
      <c r="BB1100" s="121" t="str">
        <f t="shared" si="183"/>
        <v/>
      </c>
      <c r="BD1100" s="121" t="str">
        <f>IF('Cable Info'!T804="","",CONCATENATE('Cable Info'!T804," - ",'Cable Info'!U804))</f>
        <v/>
      </c>
      <c r="BG1100" s="121" t="str">
        <f t="shared" si="184"/>
        <v/>
      </c>
      <c r="BI1100" s="121" t="str">
        <f>IF('Cable Info'!V804="","",CONCATENATE('Cable Info'!V804," - ",'Cable Info'!W804))</f>
        <v/>
      </c>
      <c r="BL1100" s="121" t="str">
        <f t="shared" si="185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0"/>
        <v>#N/A</v>
      </c>
      <c r="AO1101" s="121" t="e">
        <f>IF('Cable Info'!N805="","",CONCATENATE('Cable Info'!N805," - ",'Cable Info'!O805))</f>
        <v>#N/A</v>
      </c>
      <c r="AR1101" s="121" t="e">
        <f t="shared" si="181"/>
        <v>#N/A</v>
      </c>
      <c r="AT1101" s="121" t="e">
        <f>IF('Cable Info'!P805="","",CONCATENATE('Cable Info'!P805," - ",'Cable Info'!Q805))</f>
        <v>#N/A</v>
      </c>
      <c r="AW1101" s="121" t="e">
        <f t="shared" si="182"/>
        <v>#N/A</v>
      </c>
      <c r="AY1101" s="121" t="str">
        <f>IF('Cable Info'!R805="","",CONCATENATE('Cable Info'!R805," - ",'Cable Info'!S805))</f>
        <v/>
      </c>
      <c r="BB1101" s="121" t="str">
        <f t="shared" si="183"/>
        <v/>
      </c>
      <c r="BD1101" s="121" t="str">
        <f>IF('Cable Info'!T805="","",CONCATENATE('Cable Info'!T805," - ",'Cable Info'!U805))</f>
        <v/>
      </c>
      <c r="BG1101" s="121" t="str">
        <f t="shared" si="184"/>
        <v/>
      </c>
      <c r="BI1101" s="121" t="str">
        <f>IF('Cable Info'!V805="","",CONCATENATE('Cable Info'!V805," - ",'Cable Info'!W805))</f>
        <v/>
      </c>
      <c r="BL1101" s="121" t="str">
        <f t="shared" si="185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0"/>
        <v>#N/A</v>
      </c>
      <c r="AO1102" s="121" t="e">
        <f>IF('Cable Info'!N806="","",CONCATENATE('Cable Info'!N806," - ",'Cable Info'!O806))</f>
        <v>#N/A</v>
      </c>
      <c r="AR1102" s="121" t="e">
        <f t="shared" si="181"/>
        <v>#N/A</v>
      </c>
      <c r="AT1102" s="121" t="e">
        <f>IF('Cable Info'!P806="","",CONCATENATE('Cable Info'!P806," - ",'Cable Info'!Q806))</f>
        <v>#N/A</v>
      </c>
      <c r="AW1102" s="121" t="e">
        <f t="shared" si="182"/>
        <v>#N/A</v>
      </c>
      <c r="AY1102" s="121" t="str">
        <f>IF('Cable Info'!R806="","",CONCATENATE('Cable Info'!R806," - ",'Cable Info'!S806))</f>
        <v/>
      </c>
      <c r="BB1102" s="121" t="str">
        <f t="shared" si="183"/>
        <v/>
      </c>
      <c r="BD1102" s="121" t="str">
        <f>IF('Cable Info'!T806="","",CONCATENATE('Cable Info'!T806," - ",'Cable Info'!U806))</f>
        <v/>
      </c>
      <c r="BG1102" s="121" t="str">
        <f t="shared" si="184"/>
        <v/>
      </c>
      <c r="BI1102" s="121" t="str">
        <f>IF('Cable Info'!V806="","",CONCATENATE('Cable Info'!V806," - ",'Cable Info'!W806))</f>
        <v/>
      </c>
      <c r="BL1102" s="121" t="str">
        <f t="shared" si="185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0"/>
        <v>#N/A</v>
      </c>
      <c r="AO1103" s="121" t="e">
        <f>IF('Cable Info'!N807="","",CONCATENATE('Cable Info'!N807," - ",'Cable Info'!O807))</f>
        <v>#N/A</v>
      </c>
      <c r="AR1103" s="121" t="e">
        <f t="shared" si="181"/>
        <v>#N/A</v>
      </c>
      <c r="AT1103" s="121" t="e">
        <f>IF('Cable Info'!P807="","",CONCATENATE('Cable Info'!P807," - ",'Cable Info'!Q807))</f>
        <v>#N/A</v>
      </c>
      <c r="AW1103" s="121" t="e">
        <f t="shared" si="182"/>
        <v>#N/A</v>
      </c>
      <c r="AY1103" s="121" t="str">
        <f>IF('Cable Info'!R807="","",CONCATENATE('Cable Info'!R807," - ",'Cable Info'!S807))</f>
        <v/>
      </c>
      <c r="BB1103" s="121" t="str">
        <f t="shared" si="183"/>
        <v/>
      </c>
      <c r="BD1103" s="121" t="str">
        <f>IF('Cable Info'!T807="","",CONCATENATE('Cable Info'!T807," - ",'Cable Info'!U807))</f>
        <v/>
      </c>
      <c r="BG1103" s="121" t="str">
        <f t="shared" si="184"/>
        <v/>
      </c>
      <c r="BI1103" s="121" t="str">
        <f>IF('Cable Info'!V807="","",CONCATENATE('Cable Info'!V807," - ",'Cable Info'!W807))</f>
        <v/>
      </c>
      <c r="BL1103" s="121" t="str">
        <f t="shared" si="185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0"/>
        <v>#N/A</v>
      </c>
      <c r="AO1104" s="121" t="e">
        <f>IF('Cable Info'!N808="","",CONCATENATE('Cable Info'!N808," - ",'Cable Info'!O808))</f>
        <v>#N/A</v>
      </c>
      <c r="AR1104" s="121" t="e">
        <f t="shared" si="181"/>
        <v>#N/A</v>
      </c>
      <c r="AT1104" s="121" t="e">
        <f>IF('Cable Info'!P808="","",CONCATENATE('Cable Info'!P808," - ",'Cable Info'!Q808))</f>
        <v>#N/A</v>
      </c>
      <c r="AW1104" s="121" t="e">
        <f t="shared" si="182"/>
        <v>#N/A</v>
      </c>
      <c r="AY1104" s="121" t="str">
        <f>IF('Cable Info'!R808="","",CONCATENATE('Cable Info'!R808," - ",'Cable Info'!S808))</f>
        <v/>
      </c>
      <c r="BB1104" s="121" t="str">
        <f t="shared" si="183"/>
        <v/>
      </c>
      <c r="BD1104" s="121" t="str">
        <f>IF('Cable Info'!T808="","",CONCATENATE('Cable Info'!T808," - ",'Cable Info'!U808))</f>
        <v/>
      </c>
      <c r="BG1104" s="121" t="str">
        <f t="shared" si="184"/>
        <v/>
      </c>
      <c r="BI1104" s="121" t="str">
        <f>IF('Cable Info'!V808="","",CONCATENATE('Cable Info'!V808," - ",'Cable Info'!W808))</f>
        <v/>
      </c>
      <c r="BL1104" s="121" t="str">
        <f t="shared" si="185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0"/>
        <v>#N/A</v>
      </c>
      <c r="AO1105" s="121" t="e">
        <f>IF('Cable Info'!N809="","",CONCATENATE('Cable Info'!N809," - ",'Cable Info'!O809))</f>
        <v>#N/A</v>
      </c>
      <c r="AR1105" s="121" t="e">
        <f t="shared" si="181"/>
        <v>#N/A</v>
      </c>
      <c r="AT1105" s="121" t="e">
        <f>IF('Cable Info'!P809="","",CONCATENATE('Cable Info'!P809," - ",'Cable Info'!Q809))</f>
        <v>#N/A</v>
      </c>
      <c r="AW1105" s="121" t="e">
        <f t="shared" si="182"/>
        <v>#N/A</v>
      </c>
      <c r="AY1105" s="121" t="str">
        <f>IF('Cable Info'!R809="","",CONCATENATE('Cable Info'!R809," - ",'Cable Info'!S809))</f>
        <v/>
      </c>
      <c r="BB1105" s="121" t="str">
        <f t="shared" si="183"/>
        <v/>
      </c>
      <c r="BD1105" s="121" t="str">
        <f>IF('Cable Info'!T809="","",CONCATENATE('Cable Info'!T809," - ",'Cable Info'!U809))</f>
        <v/>
      </c>
      <c r="BG1105" s="121" t="str">
        <f t="shared" si="184"/>
        <v/>
      </c>
      <c r="BI1105" s="121" t="str">
        <f>IF('Cable Info'!V809="","",CONCATENATE('Cable Info'!V809," - ",'Cable Info'!W809))</f>
        <v/>
      </c>
      <c r="BL1105" s="121" t="str">
        <f t="shared" si="185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0"/>
        <v>#N/A</v>
      </c>
      <c r="AO1106" s="121" t="e">
        <f>IF('Cable Info'!N810="","",CONCATENATE('Cable Info'!N810," - ",'Cable Info'!O810))</f>
        <v>#N/A</v>
      </c>
      <c r="AR1106" s="121" t="e">
        <f t="shared" si="181"/>
        <v>#N/A</v>
      </c>
      <c r="AT1106" s="121" t="e">
        <f>IF('Cable Info'!P810="","",CONCATENATE('Cable Info'!P810," - ",'Cable Info'!Q810))</f>
        <v>#N/A</v>
      </c>
      <c r="AW1106" s="121" t="e">
        <f t="shared" si="182"/>
        <v>#N/A</v>
      </c>
      <c r="AY1106" s="121" t="str">
        <f>IF('Cable Info'!R810="","",CONCATENATE('Cable Info'!R810," - ",'Cable Info'!S810))</f>
        <v/>
      </c>
      <c r="BB1106" s="121" t="str">
        <f t="shared" si="183"/>
        <v/>
      </c>
      <c r="BD1106" s="121" t="str">
        <f>IF('Cable Info'!T810="","",CONCATENATE('Cable Info'!T810," - ",'Cable Info'!U810))</f>
        <v/>
      </c>
      <c r="BG1106" s="121" t="str">
        <f t="shared" si="184"/>
        <v/>
      </c>
      <c r="BI1106" s="121" t="str">
        <f>IF('Cable Info'!V810="","",CONCATENATE('Cable Info'!V810," - ",'Cable Info'!W810))</f>
        <v/>
      </c>
      <c r="BL1106" s="121" t="str">
        <f t="shared" si="185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0"/>
        <v>#N/A</v>
      </c>
      <c r="AO1107" s="121" t="e">
        <f>IF('Cable Info'!N811="","",CONCATENATE('Cable Info'!N811," - ",'Cable Info'!O811))</f>
        <v>#N/A</v>
      </c>
      <c r="AR1107" s="121" t="e">
        <f t="shared" si="181"/>
        <v>#N/A</v>
      </c>
      <c r="AT1107" s="121" t="e">
        <f>IF('Cable Info'!P811="","",CONCATENATE('Cable Info'!P811," - ",'Cable Info'!Q811))</f>
        <v>#N/A</v>
      </c>
      <c r="AW1107" s="121" t="e">
        <f t="shared" si="182"/>
        <v>#N/A</v>
      </c>
      <c r="AY1107" s="121" t="str">
        <f>IF('Cable Info'!R811="","",CONCATENATE('Cable Info'!R811," - ",'Cable Info'!S811))</f>
        <v/>
      </c>
      <c r="BB1107" s="121" t="str">
        <f t="shared" si="183"/>
        <v/>
      </c>
      <c r="BD1107" s="121" t="str">
        <f>IF('Cable Info'!T811="","",CONCATENATE('Cable Info'!T811," - ",'Cable Info'!U811))</f>
        <v/>
      </c>
      <c r="BG1107" s="121" t="str">
        <f t="shared" si="184"/>
        <v/>
      </c>
      <c r="BI1107" s="121" t="str">
        <f>IF('Cable Info'!V811="","",CONCATENATE('Cable Info'!V811," - ",'Cable Info'!W811))</f>
        <v/>
      </c>
      <c r="BL1107" s="121" t="str">
        <f t="shared" si="185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0"/>
        <v>#N/A</v>
      </c>
      <c r="AO1108" s="121" t="e">
        <f>IF('Cable Info'!N812="","",CONCATENATE('Cable Info'!N812," - ",'Cable Info'!O812))</f>
        <v>#N/A</v>
      </c>
      <c r="AR1108" s="121" t="e">
        <f t="shared" si="181"/>
        <v>#N/A</v>
      </c>
      <c r="AT1108" s="121" t="e">
        <f>IF('Cable Info'!P812="","",CONCATENATE('Cable Info'!P812," - ",'Cable Info'!Q812))</f>
        <v>#N/A</v>
      </c>
      <c r="AW1108" s="121" t="e">
        <f t="shared" si="182"/>
        <v>#N/A</v>
      </c>
      <c r="AY1108" s="121" t="str">
        <f>IF('Cable Info'!R812="","",CONCATENATE('Cable Info'!R812," - ",'Cable Info'!S812))</f>
        <v/>
      </c>
      <c r="BB1108" s="121" t="str">
        <f t="shared" si="183"/>
        <v/>
      </c>
      <c r="BD1108" s="121" t="str">
        <f>IF('Cable Info'!T812="","",CONCATENATE('Cable Info'!T812," - ",'Cable Info'!U812))</f>
        <v/>
      </c>
      <c r="BG1108" s="121" t="str">
        <f t="shared" si="184"/>
        <v/>
      </c>
      <c r="BI1108" s="121" t="str">
        <f>IF('Cable Info'!V812="","",CONCATENATE('Cable Info'!V812," - ",'Cable Info'!W812))</f>
        <v/>
      </c>
      <c r="BL1108" s="121" t="str">
        <f t="shared" si="185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0"/>
        <v>#N/A</v>
      </c>
      <c r="AO1109" s="121" t="e">
        <f>IF('Cable Info'!N813="","",CONCATENATE('Cable Info'!N813," - ",'Cable Info'!O813))</f>
        <v>#N/A</v>
      </c>
      <c r="AR1109" s="121" t="e">
        <f t="shared" si="181"/>
        <v>#N/A</v>
      </c>
      <c r="AT1109" s="121" t="e">
        <f>IF('Cable Info'!P813="","",CONCATENATE('Cable Info'!P813," - ",'Cable Info'!Q813))</f>
        <v>#N/A</v>
      </c>
      <c r="AW1109" s="121" t="e">
        <f t="shared" si="182"/>
        <v>#N/A</v>
      </c>
      <c r="AY1109" s="121" t="str">
        <f>IF('Cable Info'!R813="","",CONCATENATE('Cable Info'!R813," - ",'Cable Info'!S813))</f>
        <v/>
      </c>
      <c r="BB1109" s="121" t="str">
        <f t="shared" si="183"/>
        <v/>
      </c>
      <c r="BD1109" s="121" t="str">
        <f>IF('Cable Info'!T813="","",CONCATENATE('Cable Info'!T813," - ",'Cable Info'!U813))</f>
        <v/>
      </c>
      <c r="BG1109" s="121" t="str">
        <f t="shared" si="184"/>
        <v/>
      </c>
      <c r="BI1109" s="121" t="str">
        <f>IF('Cable Info'!V813="","",CONCATENATE('Cable Info'!V813," - ",'Cable Info'!W813))</f>
        <v/>
      </c>
      <c r="BL1109" s="121" t="str">
        <f t="shared" si="185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0"/>
        <v>#N/A</v>
      </c>
      <c r="AO1110" s="121" t="e">
        <f>IF('Cable Info'!N814="","",CONCATENATE('Cable Info'!N814," - ",'Cable Info'!O814))</f>
        <v>#N/A</v>
      </c>
      <c r="AR1110" s="121" t="e">
        <f t="shared" si="181"/>
        <v>#N/A</v>
      </c>
      <c r="AT1110" s="121" t="e">
        <f>IF('Cable Info'!P814="","",CONCATENATE('Cable Info'!P814," - ",'Cable Info'!Q814))</f>
        <v>#N/A</v>
      </c>
      <c r="AW1110" s="121" t="e">
        <f t="shared" si="182"/>
        <v>#N/A</v>
      </c>
      <c r="AY1110" s="121" t="str">
        <f>IF('Cable Info'!R814="","",CONCATENATE('Cable Info'!R814," - ",'Cable Info'!S814))</f>
        <v/>
      </c>
      <c r="BB1110" s="121" t="str">
        <f t="shared" si="183"/>
        <v/>
      </c>
      <c r="BD1110" s="121" t="str">
        <f>IF('Cable Info'!T814="","",CONCATENATE('Cable Info'!T814," - ",'Cable Info'!U814))</f>
        <v/>
      </c>
      <c r="BG1110" s="121" t="str">
        <f t="shared" si="184"/>
        <v/>
      </c>
      <c r="BI1110" s="121" t="str">
        <f>IF('Cable Info'!V814="","",CONCATENATE('Cable Info'!V814," - ",'Cable Info'!W814))</f>
        <v/>
      </c>
      <c r="BL1110" s="121" t="str">
        <f t="shared" si="185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0"/>
        <v>#N/A</v>
      </c>
      <c r="AO1111" s="121" t="e">
        <f>IF('Cable Info'!N815="","",CONCATENATE('Cable Info'!N815," - ",'Cable Info'!O815))</f>
        <v>#N/A</v>
      </c>
      <c r="AR1111" s="121" t="e">
        <f t="shared" si="181"/>
        <v>#N/A</v>
      </c>
      <c r="AT1111" s="121" t="e">
        <f>IF('Cable Info'!P815="","",CONCATENATE('Cable Info'!P815," - ",'Cable Info'!Q815))</f>
        <v>#N/A</v>
      </c>
      <c r="AW1111" s="121" t="e">
        <f t="shared" si="182"/>
        <v>#N/A</v>
      </c>
      <c r="AY1111" s="121" t="str">
        <f>IF('Cable Info'!R815="","",CONCATENATE('Cable Info'!R815," - ",'Cable Info'!S815))</f>
        <v/>
      </c>
      <c r="BB1111" s="121" t="str">
        <f t="shared" si="183"/>
        <v/>
      </c>
      <c r="BD1111" s="121" t="str">
        <f>IF('Cable Info'!T815="","",CONCATENATE('Cable Info'!T815," - ",'Cable Info'!U815))</f>
        <v/>
      </c>
      <c r="BG1111" s="121" t="str">
        <f t="shared" si="184"/>
        <v/>
      </c>
      <c r="BI1111" s="121" t="str">
        <f>IF('Cable Info'!V815="","",CONCATENATE('Cable Info'!V815," - ",'Cable Info'!W815))</f>
        <v/>
      </c>
      <c r="BL1111" s="121" t="str">
        <f t="shared" si="185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0"/>
        <v>#N/A</v>
      </c>
      <c r="AO1112" s="121" t="e">
        <f>IF('Cable Info'!N816="","",CONCATENATE('Cable Info'!N816," - ",'Cable Info'!O816))</f>
        <v>#N/A</v>
      </c>
      <c r="AR1112" s="121" t="e">
        <f t="shared" si="181"/>
        <v>#N/A</v>
      </c>
      <c r="AT1112" s="121" t="e">
        <f>IF('Cable Info'!P816="","",CONCATENATE('Cable Info'!P816," - ",'Cable Info'!Q816))</f>
        <v>#N/A</v>
      </c>
      <c r="AW1112" s="121" t="e">
        <f t="shared" si="182"/>
        <v>#N/A</v>
      </c>
      <c r="AY1112" s="121" t="str">
        <f>IF('Cable Info'!R816="","",CONCATENATE('Cable Info'!R816," - ",'Cable Info'!S816))</f>
        <v/>
      </c>
      <c r="BB1112" s="121" t="str">
        <f t="shared" si="183"/>
        <v/>
      </c>
      <c r="BD1112" s="121" t="str">
        <f>IF('Cable Info'!T816="","",CONCATENATE('Cable Info'!T816," - ",'Cable Info'!U816))</f>
        <v/>
      </c>
      <c r="BG1112" s="121" t="str">
        <f t="shared" si="184"/>
        <v/>
      </c>
      <c r="BI1112" s="121" t="str">
        <f>IF('Cable Info'!V816="","",CONCATENATE('Cable Info'!V816," - ",'Cable Info'!W816))</f>
        <v/>
      </c>
      <c r="BL1112" s="121" t="str">
        <f t="shared" si="185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0"/>
        <v>#N/A</v>
      </c>
      <c r="AO1113" s="121" t="e">
        <f>IF('Cable Info'!N817="","",CONCATENATE('Cable Info'!N817," - ",'Cable Info'!O817))</f>
        <v>#N/A</v>
      </c>
      <c r="AR1113" s="121" t="e">
        <f t="shared" si="181"/>
        <v>#N/A</v>
      </c>
      <c r="AT1113" s="121" t="e">
        <f>IF('Cable Info'!P817="","",CONCATENATE('Cable Info'!P817," - ",'Cable Info'!Q817))</f>
        <v>#N/A</v>
      </c>
      <c r="AW1113" s="121" t="e">
        <f t="shared" si="182"/>
        <v>#N/A</v>
      </c>
      <c r="AY1113" s="121" t="str">
        <f>IF('Cable Info'!R817="","",CONCATENATE('Cable Info'!R817," - ",'Cable Info'!S817))</f>
        <v/>
      </c>
      <c r="BB1113" s="121" t="str">
        <f t="shared" si="183"/>
        <v/>
      </c>
      <c r="BD1113" s="121" t="str">
        <f>IF('Cable Info'!T817="","",CONCATENATE('Cable Info'!T817," - ",'Cable Info'!U817))</f>
        <v/>
      </c>
      <c r="BG1113" s="121" t="str">
        <f t="shared" si="184"/>
        <v/>
      </c>
      <c r="BI1113" s="121" t="str">
        <f>IF('Cable Info'!V817="","",CONCATENATE('Cable Info'!V817," - ",'Cable Info'!W817))</f>
        <v/>
      </c>
      <c r="BL1113" s="121" t="str">
        <f t="shared" si="185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0"/>
        <v>#N/A</v>
      </c>
      <c r="AO1114" s="121" t="e">
        <f>IF('Cable Info'!N818="","",CONCATENATE('Cable Info'!N818," - ",'Cable Info'!O818))</f>
        <v>#N/A</v>
      </c>
      <c r="AR1114" s="121" t="e">
        <f t="shared" si="181"/>
        <v>#N/A</v>
      </c>
      <c r="AT1114" s="121" t="e">
        <f>IF('Cable Info'!P818="","",CONCATENATE('Cable Info'!P818," - ",'Cable Info'!Q818))</f>
        <v>#N/A</v>
      </c>
      <c r="AW1114" s="121" t="e">
        <f t="shared" si="182"/>
        <v>#N/A</v>
      </c>
      <c r="AY1114" s="121" t="str">
        <f>IF('Cable Info'!R818="","",CONCATENATE('Cable Info'!R818," - ",'Cable Info'!S818))</f>
        <v/>
      </c>
      <c r="BB1114" s="121" t="str">
        <f t="shared" si="183"/>
        <v/>
      </c>
      <c r="BD1114" s="121" t="str">
        <f>IF('Cable Info'!T818="","",CONCATENATE('Cable Info'!T818," - ",'Cable Info'!U818))</f>
        <v/>
      </c>
      <c r="BG1114" s="121" t="str">
        <f t="shared" si="184"/>
        <v/>
      </c>
      <c r="BI1114" s="121" t="str">
        <f>IF('Cable Info'!V818="","",CONCATENATE('Cable Info'!V818," - ",'Cable Info'!W818))</f>
        <v/>
      </c>
      <c r="BL1114" s="121" t="str">
        <f t="shared" si="185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0"/>
        <v>#N/A</v>
      </c>
      <c r="AO1115" s="121" t="e">
        <f>IF('Cable Info'!N819="","",CONCATENATE('Cable Info'!N819," - ",'Cable Info'!O819))</f>
        <v>#N/A</v>
      </c>
      <c r="AR1115" s="121" t="e">
        <f t="shared" si="181"/>
        <v>#N/A</v>
      </c>
      <c r="AT1115" s="121" t="e">
        <f>IF('Cable Info'!P819="","",CONCATENATE('Cable Info'!P819," - ",'Cable Info'!Q819))</f>
        <v>#N/A</v>
      </c>
      <c r="AW1115" s="121" t="e">
        <f t="shared" si="182"/>
        <v>#N/A</v>
      </c>
      <c r="AY1115" s="121" t="str">
        <f>IF('Cable Info'!R819="","",CONCATENATE('Cable Info'!R819," - ",'Cable Info'!S819))</f>
        <v/>
      </c>
      <c r="BB1115" s="121" t="str">
        <f t="shared" si="183"/>
        <v/>
      </c>
      <c r="BD1115" s="121" t="str">
        <f>IF('Cable Info'!T819="","",CONCATENATE('Cable Info'!T819," - ",'Cable Info'!U819))</f>
        <v/>
      </c>
      <c r="BG1115" s="121" t="str">
        <f t="shared" si="184"/>
        <v/>
      </c>
      <c r="BI1115" s="121" t="str">
        <f>IF('Cable Info'!V819="","",CONCATENATE('Cable Info'!V819," - ",'Cable Info'!W819))</f>
        <v/>
      </c>
      <c r="BL1115" s="121" t="str">
        <f t="shared" si="185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0"/>
        <v>#N/A</v>
      </c>
      <c r="AO1116" s="121" t="e">
        <f>IF('Cable Info'!N820="","",CONCATENATE('Cable Info'!N820," - ",'Cable Info'!O820))</f>
        <v>#N/A</v>
      </c>
      <c r="AR1116" s="121" t="e">
        <f t="shared" si="181"/>
        <v>#N/A</v>
      </c>
      <c r="AT1116" s="121" t="e">
        <f>IF('Cable Info'!P820="","",CONCATENATE('Cable Info'!P820," - ",'Cable Info'!Q820))</f>
        <v>#N/A</v>
      </c>
      <c r="AW1116" s="121" t="e">
        <f t="shared" si="182"/>
        <v>#N/A</v>
      </c>
      <c r="AY1116" s="121" t="str">
        <f>IF('Cable Info'!R820="","",CONCATENATE('Cable Info'!R820," - ",'Cable Info'!S820))</f>
        <v/>
      </c>
      <c r="BB1116" s="121" t="str">
        <f t="shared" si="183"/>
        <v/>
      </c>
      <c r="BD1116" s="121" t="str">
        <f>IF('Cable Info'!T820="","",CONCATENATE('Cable Info'!T820," - ",'Cable Info'!U820))</f>
        <v/>
      </c>
      <c r="BG1116" s="121" t="str">
        <f t="shared" si="184"/>
        <v/>
      </c>
      <c r="BI1116" s="121" t="str">
        <f>IF('Cable Info'!V820="","",CONCATENATE('Cable Info'!V820," - ",'Cable Info'!W820))</f>
        <v/>
      </c>
      <c r="BL1116" s="121" t="str">
        <f t="shared" si="185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0"/>
        <v>#N/A</v>
      </c>
      <c r="AO1117" s="121" t="e">
        <f>IF('Cable Info'!N821="","",CONCATENATE('Cable Info'!N821," - ",'Cable Info'!O821))</f>
        <v>#N/A</v>
      </c>
      <c r="AR1117" s="121" t="e">
        <f t="shared" si="181"/>
        <v>#N/A</v>
      </c>
      <c r="AT1117" s="121" t="e">
        <f>IF('Cable Info'!P821="","",CONCATENATE('Cable Info'!P821," - ",'Cable Info'!Q821))</f>
        <v>#N/A</v>
      </c>
      <c r="AW1117" s="121" t="e">
        <f t="shared" si="182"/>
        <v>#N/A</v>
      </c>
      <c r="AY1117" s="121" t="str">
        <f>IF('Cable Info'!R821="","",CONCATENATE('Cable Info'!R821," - ",'Cable Info'!S821))</f>
        <v/>
      </c>
      <c r="BB1117" s="121" t="str">
        <f t="shared" si="183"/>
        <v/>
      </c>
      <c r="BD1117" s="121" t="str">
        <f>IF('Cable Info'!T821="","",CONCATENATE('Cable Info'!T821," - ",'Cable Info'!U821))</f>
        <v/>
      </c>
      <c r="BG1117" s="121" t="str">
        <f t="shared" si="184"/>
        <v/>
      </c>
      <c r="BI1117" s="121" t="str">
        <f>IF('Cable Info'!V821="","",CONCATENATE('Cable Info'!V821," - ",'Cable Info'!W821))</f>
        <v/>
      </c>
      <c r="BL1117" s="121" t="str">
        <f t="shared" si="185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0"/>
        <v>#N/A</v>
      </c>
      <c r="AO1118" s="121" t="e">
        <f>IF('Cable Info'!N822="","",CONCATENATE('Cable Info'!N822," - ",'Cable Info'!O822))</f>
        <v>#N/A</v>
      </c>
      <c r="AR1118" s="121" t="e">
        <f t="shared" si="181"/>
        <v>#N/A</v>
      </c>
      <c r="AT1118" s="121" t="e">
        <f>IF('Cable Info'!P822="","",CONCATENATE('Cable Info'!P822," - ",'Cable Info'!Q822))</f>
        <v>#N/A</v>
      </c>
      <c r="AW1118" s="121" t="e">
        <f t="shared" si="182"/>
        <v>#N/A</v>
      </c>
      <c r="AY1118" s="121" t="str">
        <f>IF('Cable Info'!R822="","",CONCATENATE('Cable Info'!R822," - ",'Cable Info'!S822))</f>
        <v/>
      </c>
      <c r="BB1118" s="121" t="str">
        <f t="shared" si="183"/>
        <v/>
      </c>
      <c r="BD1118" s="121" t="str">
        <f>IF('Cable Info'!T822="","",CONCATENATE('Cable Info'!T822," - ",'Cable Info'!U822))</f>
        <v/>
      </c>
      <c r="BG1118" s="121" t="str">
        <f t="shared" si="184"/>
        <v/>
      </c>
      <c r="BI1118" s="121" t="str">
        <f>IF('Cable Info'!V822="","",CONCATENATE('Cable Info'!V822," - ",'Cable Info'!W822))</f>
        <v/>
      </c>
      <c r="BL1118" s="121" t="str">
        <f t="shared" si="185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0"/>
        <v>#N/A</v>
      </c>
      <c r="AO1119" s="121" t="e">
        <f>IF('Cable Info'!N823="","",CONCATENATE('Cable Info'!N823," - ",'Cable Info'!O823))</f>
        <v>#N/A</v>
      </c>
      <c r="AR1119" s="121" t="e">
        <f t="shared" si="181"/>
        <v>#N/A</v>
      </c>
      <c r="AT1119" s="121" t="e">
        <f>IF('Cable Info'!P823="","",CONCATENATE('Cable Info'!P823," - ",'Cable Info'!Q823))</f>
        <v>#N/A</v>
      </c>
      <c r="AW1119" s="121" t="e">
        <f t="shared" si="182"/>
        <v>#N/A</v>
      </c>
      <c r="AY1119" s="121" t="str">
        <f>IF('Cable Info'!R823="","",CONCATENATE('Cable Info'!R823," - ",'Cable Info'!S823))</f>
        <v/>
      </c>
      <c r="BB1119" s="121" t="str">
        <f t="shared" si="183"/>
        <v/>
      </c>
      <c r="BD1119" s="121" t="str">
        <f>IF('Cable Info'!T823="","",CONCATENATE('Cable Info'!T823," - ",'Cable Info'!U823))</f>
        <v/>
      </c>
      <c r="BG1119" s="121" t="str">
        <f t="shared" si="184"/>
        <v/>
      </c>
      <c r="BI1119" s="121" t="str">
        <f>IF('Cable Info'!V823="","",CONCATENATE('Cable Info'!V823," - ",'Cable Info'!W823))</f>
        <v/>
      </c>
      <c r="BL1119" s="121" t="str">
        <f t="shared" si="185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0"/>
        <v>#N/A</v>
      </c>
      <c r="AO1120" s="121" t="e">
        <f>IF('Cable Info'!N824="","",CONCATENATE('Cable Info'!N824," - ",'Cable Info'!O824))</f>
        <v>#N/A</v>
      </c>
      <c r="AR1120" s="121" t="e">
        <f t="shared" si="181"/>
        <v>#N/A</v>
      </c>
      <c r="AT1120" s="121" t="e">
        <f>IF('Cable Info'!P824="","",CONCATENATE('Cable Info'!P824," - ",'Cable Info'!Q824))</f>
        <v>#N/A</v>
      </c>
      <c r="AW1120" s="121" t="e">
        <f t="shared" si="182"/>
        <v>#N/A</v>
      </c>
      <c r="AY1120" s="121" t="str">
        <f>IF('Cable Info'!R824="","",CONCATENATE('Cable Info'!R824," - ",'Cable Info'!S824))</f>
        <v/>
      </c>
      <c r="BB1120" s="121" t="str">
        <f t="shared" si="183"/>
        <v/>
      </c>
      <c r="BD1120" s="121" t="str">
        <f>IF('Cable Info'!T824="","",CONCATENATE('Cable Info'!T824," - ",'Cable Info'!U824))</f>
        <v/>
      </c>
      <c r="BG1120" s="121" t="str">
        <f t="shared" si="184"/>
        <v/>
      </c>
      <c r="BI1120" s="121" t="str">
        <f>IF('Cable Info'!V824="","",CONCATENATE('Cable Info'!V824," - ",'Cable Info'!W824))</f>
        <v/>
      </c>
      <c r="BL1120" s="121" t="str">
        <f t="shared" si="185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0"/>
        <v>#N/A</v>
      </c>
      <c r="AO1121" s="121" t="e">
        <f>IF('Cable Info'!N825="","",CONCATENATE('Cable Info'!N825," - ",'Cable Info'!O825))</f>
        <v>#N/A</v>
      </c>
      <c r="AR1121" s="121" t="e">
        <f t="shared" si="181"/>
        <v>#N/A</v>
      </c>
      <c r="AT1121" s="121" t="e">
        <f>IF('Cable Info'!P825="","",CONCATENATE('Cable Info'!P825," - ",'Cable Info'!Q825))</f>
        <v>#N/A</v>
      </c>
      <c r="AW1121" s="121" t="e">
        <f t="shared" si="182"/>
        <v>#N/A</v>
      </c>
      <c r="AY1121" s="121" t="str">
        <f>IF('Cable Info'!R825="","",CONCATENATE('Cable Info'!R825," - ",'Cable Info'!S825))</f>
        <v/>
      </c>
      <c r="BB1121" s="121" t="str">
        <f t="shared" si="183"/>
        <v/>
      </c>
      <c r="BD1121" s="121" t="str">
        <f>IF('Cable Info'!T825="","",CONCATENATE('Cable Info'!T825," - ",'Cable Info'!U825))</f>
        <v/>
      </c>
      <c r="BG1121" s="121" t="str">
        <f t="shared" si="184"/>
        <v/>
      </c>
      <c r="BI1121" s="121" t="str">
        <f>IF('Cable Info'!V825="","",CONCATENATE('Cable Info'!V825," - ",'Cable Info'!W825))</f>
        <v/>
      </c>
      <c r="BL1121" s="121" t="str">
        <f t="shared" si="185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0"/>
        <v>#N/A</v>
      </c>
      <c r="AO1122" s="121" t="e">
        <f>IF('Cable Info'!N826="","",CONCATENATE('Cable Info'!N826," - ",'Cable Info'!O826))</f>
        <v>#N/A</v>
      </c>
      <c r="AR1122" s="121" t="e">
        <f t="shared" si="181"/>
        <v>#N/A</v>
      </c>
      <c r="AT1122" s="121" t="e">
        <f>IF('Cable Info'!P826="","",CONCATENATE('Cable Info'!P826," - ",'Cable Info'!Q826))</f>
        <v>#N/A</v>
      </c>
      <c r="AW1122" s="121" t="e">
        <f t="shared" si="182"/>
        <v>#N/A</v>
      </c>
      <c r="AY1122" s="121" t="str">
        <f>IF('Cable Info'!R826="","",CONCATENATE('Cable Info'!R826," - ",'Cable Info'!S826))</f>
        <v/>
      </c>
      <c r="BB1122" s="121" t="str">
        <f t="shared" si="183"/>
        <v/>
      </c>
      <c r="BD1122" s="121" t="str">
        <f>IF('Cable Info'!T826="","",CONCATENATE('Cable Info'!T826," - ",'Cable Info'!U826))</f>
        <v/>
      </c>
      <c r="BG1122" s="121" t="str">
        <f t="shared" si="184"/>
        <v/>
      </c>
      <c r="BI1122" s="121" t="str">
        <f>IF('Cable Info'!V826="","",CONCATENATE('Cable Info'!V826," - ",'Cable Info'!W826))</f>
        <v/>
      </c>
      <c r="BL1122" s="121" t="str">
        <f t="shared" si="185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0"/>
        <v>#N/A</v>
      </c>
      <c r="AO1123" s="121" t="e">
        <f>IF('Cable Info'!N827="","",CONCATENATE('Cable Info'!N827," - ",'Cable Info'!O827))</f>
        <v>#N/A</v>
      </c>
      <c r="AR1123" s="121" t="e">
        <f t="shared" si="181"/>
        <v>#N/A</v>
      </c>
      <c r="AT1123" s="121" t="e">
        <f>IF('Cable Info'!P827="","",CONCATENATE('Cable Info'!P827," - ",'Cable Info'!Q827))</f>
        <v>#N/A</v>
      </c>
      <c r="AW1123" s="121" t="e">
        <f t="shared" si="182"/>
        <v>#N/A</v>
      </c>
      <c r="AY1123" s="121" t="str">
        <f>IF('Cable Info'!R827="","",CONCATENATE('Cable Info'!R827," - ",'Cable Info'!S827))</f>
        <v/>
      </c>
      <c r="BB1123" s="121" t="str">
        <f t="shared" si="183"/>
        <v/>
      </c>
      <c r="BD1123" s="121" t="str">
        <f>IF('Cable Info'!T827="","",CONCATENATE('Cable Info'!T827," - ",'Cable Info'!U827))</f>
        <v/>
      </c>
      <c r="BG1123" s="121" t="str">
        <f t="shared" si="184"/>
        <v/>
      </c>
      <c r="BI1123" s="121" t="str">
        <f>IF('Cable Info'!V827="","",CONCATENATE('Cable Info'!V827," - ",'Cable Info'!W827))</f>
        <v/>
      </c>
      <c r="BL1123" s="121" t="str">
        <f t="shared" si="185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0"/>
        <v>#N/A</v>
      </c>
      <c r="AO1124" s="121" t="e">
        <f>IF('Cable Info'!N828="","",CONCATENATE('Cable Info'!N828," - ",'Cable Info'!O828))</f>
        <v>#N/A</v>
      </c>
      <c r="AR1124" s="121" t="e">
        <f t="shared" si="181"/>
        <v>#N/A</v>
      </c>
      <c r="AT1124" s="121" t="e">
        <f>IF('Cable Info'!P828="","",CONCATENATE('Cable Info'!P828," - ",'Cable Info'!Q828))</f>
        <v>#N/A</v>
      </c>
      <c r="AW1124" s="121" t="e">
        <f t="shared" si="182"/>
        <v>#N/A</v>
      </c>
      <c r="AY1124" s="121" t="str">
        <f>IF('Cable Info'!R828="","",CONCATENATE('Cable Info'!R828," - ",'Cable Info'!S828))</f>
        <v/>
      </c>
      <c r="BB1124" s="121" t="str">
        <f t="shared" si="183"/>
        <v/>
      </c>
      <c r="BD1124" s="121" t="str">
        <f>IF('Cable Info'!T828="","",CONCATENATE('Cable Info'!T828," - ",'Cable Info'!U828))</f>
        <v/>
      </c>
      <c r="BG1124" s="121" t="str">
        <f t="shared" si="184"/>
        <v/>
      </c>
      <c r="BI1124" s="121" t="str">
        <f>IF('Cable Info'!V828="","",CONCATENATE('Cable Info'!V828," - ",'Cable Info'!W828))</f>
        <v/>
      </c>
      <c r="BL1124" s="121" t="str">
        <f t="shared" si="185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0"/>
        <v>#N/A</v>
      </c>
      <c r="AO1125" s="121" t="e">
        <f>IF('Cable Info'!N829="","",CONCATENATE('Cable Info'!N829," - ",'Cable Info'!O829))</f>
        <v>#N/A</v>
      </c>
      <c r="AR1125" s="121" t="e">
        <f t="shared" si="181"/>
        <v>#N/A</v>
      </c>
      <c r="AT1125" s="121" t="e">
        <f>IF('Cable Info'!P829="","",CONCATENATE('Cable Info'!P829," - ",'Cable Info'!Q829))</f>
        <v>#N/A</v>
      </c>
      <c r="AW1125" s="121" t="e">
        <f t="shared" si="182"/>
        <v>#N/A</v>
      </c>
      <c r="AY1125" s="121" t="str">
        <f>IF('Cable Info'!R829="","",CONCATENATE('Cable Info'!R829," - ",'Cable Info'!S829))</f>
        <v/>
      </c>
      <c r="BB1125" s="121" t="str">
        <f t="shared" si="183"/>
        <v/>
      </c>
      <c r="BD1125" s="121" t="str">
        <f>IF('Cable Info'!T829="","",CONCATENATE('Cable Info'!T829," - ",'Cable Info'!U829))</f>
        <v/>
      </c>
      <c r="BG1125" s="121" t="str">
        <f t="shared" si="184"/>
        <v/>
      </c>
      <c r="BI1125" s="121" t="str">
        <f>IF('Cable Info'!V829="","",CONCATENATE('Cable Info'!V829," - ",'Cable Info'!W829))</f>
        <v/>
      </c>
      <c r="BL1125" s="121" t="str">
        <f t="shared" si="185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0"/>
        <v>#N/A</v>
      </c>
      <c r="AO1126" s="121" t="e">
        <f>IF('Cable Info'!N830="","",CONCATENATE('Cable Info'!N830," - ",'Cable Info'!O830))</f>
        <v>#N/A</v>
      </c>
      <c r="AR1126" s="121" t="e">
        <f t="shared" si="181"/>
        <v>#N/A</v>
      </c>
      <c r="AT1126" s="121" t="e">
        <f>IF('Cable Info'!P830="","",CONCATENATE('Cable Info'!P830," - ",'Cable Info'!Q830))</f>
        <v>#N/A</v>
      </c>
      <c r="AW1126" s="121" t="e">
        <f t="shared" si="182"/>
        <v>#N/A</v>
      </c>
      <c r="AY1126" s="121" t="str">
        <f>IF('Cable Info'!R830="","",CONCATENATE('Cable Info'!R830," - ",'Cable Info'!S830))</f>
        <v/>
      </c>
      <c r="BB1126" s="121" t="str">
        <f t="shared" si="183"/>
        <v/>
      </c>
      <c r="BD1126" s="121" t="str">
        <f>IF('Cable Info'!T830="","",CONCATENATE('Cable Info'!T830," - ",'Cable Info'!U830))</f>
        <v/>
      </c>
      <c r="BG1126" s="121" t="str">
        <f t="shared" si="184"/>
        <v/>
      </c>
      <c r="BI1126" s="121" t="str">
        <f>IF('Cable Info'!V830="","",CONCATENATE('Cable Info'!V830," - ",'Cable Info'!W830))</f>
        <v/>
      </c>
      <c r="BL1126" s="121" t="str">
        <f t="shared" si="185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0"/>
        <v>#N/A</v>
      </c>
      <c r="AO1127" s="121" t="e">
        <f>IF('Cable Info'!N831="","",CONCATENATE('Cable Info'!N831," - ",'Cable Info'!O831))</f>
        <v>#N/A</v>
      </c>
      <c r="AR1127" s="121" t="e">
        <f t="shared" si="181"/>
        <v>#N/A</v>
      </c>
      <c r="AT1127" s="121" t="e">
        <f>IF('Cable Info'!P831="","",CONCATENATE('Cable Info'!P831," - ",'Cable Info'!Q831))</f>
        <v>#N/A</v>
      </c>
      <c r="AW1127" s="121" t="e">
        <f t="shared" si="182"/>
        <v>#N/A</v>
      </c>
      <c r="AY1127" s="121" t="str">
        <f>IF('Cable Info'!R831="","",CONCATENATE('Cable Info'!R831," - ",'Cable Info'!S831))</f>
        <v/>
      </c>
      <c r="BB1127" s="121" t="str">
        <f t="shared" si="183"/>
        <v/>
      </c>
      <c r="BD1127" s="121" t="str">
        <f>IF('Cable Info'!T831="","",CONCATENATE('Cable Info'!T831," - ",'Cable Info'!U831))</f>
        <v/>
      </c>
      <c r="BG1127" s="121" t="str">
        <f t="shared" si="184"/>
        <v/>
      </c>
      <c r="BI1127" s="121" t="str">
        <f>IF('Cable Info'!V831="","",CONCATENATE('Cable Info'!V831," - ",'Cable Info'!W831))</f>
        <v/>
      </c>
      <c r="BL1127" s="121" t="str">
        <f t="shared" si="185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0"/>
        <v>#N/A</v>
      </c>
      <c r="AO1128" s="121" t="e">
        <f>IF('Cable Info'!N832="","",CONCATENATE('Cable Info'!N832," - ",'Cable Info'!O832))</f>
        <v>#N/A</v>
      </c>
      <c r="AR1128" s="121" t="e">
        <f t="shared" si="181"/>
        <v>#N/A</v>
      </c>
      <c r="AT1128" s="121" t="e">
        <f>IF('Cable Info'!P832="","",CONCATENATE('Cable Info'!P832," - ",'Cable Info'!Q832))</f>
        <v>#N/A</v>
      </c>
      <c r="AW1128" s="121" t="e">
        <f t="shared" si="182"/>
        <v>#N/A</v>
      </c>
      <c r="AY1128" s="121" t="str">
        <f>IF('Cable Info'!R832="","",CONCATENATE('Cable Info'!R832," - ",'Cable Info'!S832))</f>
        <v/>
      </c>
      <c r="BB1128" s="121" t="str">
        <f t="shared" si="183"/>
        <v/>
      </c>
      <c r="BD1128" s="121" t="str">
        <f>IF('Cable Info'!T832="","",CONCATENATE('Cable Info'!T832," - ",'Cable Info'!U832))</f>
        <v/>
      </c>
      <c r="BG1128" s="121" t="str">
        <f t="shared" si="184"/>
        <v/>
      </c>
      <c r="BI1128" s="121" t="str">
        <f>IF('Cable Info'!V832="","",CONCATENATE('Cable Info'!V832," - ",'Cable Info'!W832))</f>
        <v/>
      </c>
      <c r="BL1128" s="121" t="str">
        <f t="shared" si="185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0"/>
        <v>#N/A</v>
      </c>
      <c r="AO1129" s="121" t="e">
        <f>IF('Cable Info'!N833="","",CONCATENATE('Cable Info'!N833," - ",'Cable Info'!O833))</f>
        <v>#N/A</v>
      </c>
      <c r="AR1129" s="121" t="e">
        <f t="shared" si="181"/>
        <v>#N/A</v>
      </c>
      <c r="AT1129" s="121" t="e">
        <f>IF('Cable Info'!P833="","",CONCATENATE('Cable Info'!P833," - ",'Cable Info'!Q833))</f>
        <v>#N/A</v>
      </c>
      <c r="AW1129" s="121" t="e">
        <f t="shared" si="182"/>
        <v>#N/A</v>
      </c>
      <c r="AY1129" s="121" t="str">
        <f>IF('Cable Info'!R833="","",CONCATENATE('Cable Info'!R833," - ",'Cable Info'!S833))</f>
        <v/>
      </c>
      <c r="BB1129" s="121" t="str">
        <f t="shared" si="183"/>
        <v/>
      </c>
      <c r="BD1129" s="121" t="str">
        <f>IF('Cable Info'!T833="","",CONCATENATE('Cable Info'!T833," - ",'Cable Info'!U833))</f>
        <v/>
      </c>
      <c r="BG1129" s="121" t="str">
        <f t="shared" si="184"/>
        <v/>
      </c>
      <c r="BI1129" s="121" t="str">
        <f>IF('Cable Info'!V833="","",CONCATENATE('Cable Info'!V833," - ",'Cable Info'!W833))</f>
        <v/>
      </c>
      <c r="BL1129" s="121" t="str">
        <f t="shared" si="185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0"/>
        <v>#N/A</v>
      </c>
      <c r="AO1130" s="121" t="e">
        <f>IF('Cable Info'!N834="","",CONCATENATE('Cable Info'!N834," - ",'Cable Info'!O834))</f>
        <v>#N/A</v>
      </c>
      <c r="AR1130" s="121" t="e">
        <f t="shared" si="181"/>
        <v>#N/A</v>
      </c>
      <c r="AT1130" s="121" t="e">
        <f>IF('Cable Info'!P834="","",CONCATENATE('Cable Info'!P834," - ",'Cable Info'!Q834))</f>
        <v>#N/A</v>
      </c>
      <c r="AW1130" s="121" t="e">
        <f t="shared" si="182"/>
        <v>#N/A</v>
      </c>
      <c r="AY1130" s="121" t="str">
        <f>IF('Cable Info'!R834="","",CONCATENATE('Cable Info'!R834," - ",'Cable Info'!S834))</f>
        <v/>
      </c>
      <c r="BB1130" s="121" t="str">
        <f t="shared" si="183"/>
        <v/>
      </c>
      <c r="BD1130" s="121" t="str">
        <f>IF('Cable Info'!T834="","",CONCATENATE('Cable Info'!T834," - ",'Cable Info'!U834))</f>
        <v/>
      </c>
      <c r="BG1130" s="121" t="str">
        <f t="shared" si="184"/>
        <v/>
      </c>
      <c r="BI1130" s="121" t="str">
        <f>IF('Cable Info'!V834="","",CONCATENATE('Cable Info'!V834," - ",'Cable Info'!W834))</f>
        <v/>
      </c>
      <c r="BL1130" s="121" t="str">
        <f t="shared" si="185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86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87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88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89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0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1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86"/>
        <v>#N/A</v>
      </c>
      <c r="AO1132" s="121" t="e">
        <f>IF('Cable Info'!N836="","",CONCATENATE('Cable Info'!N836," - ",'Cable Info'!O836))</f>
        <v>#N/A</v>
      </c>
      <c r="AR1132" s="121" t="e">
        <f t="shared" si="187"/>
        <v>#N/A</v>
      </c>
      <c r="AT1132" s="121" t="e">
        <f>IF('Cable Info'!P836="","",CONCATENATE('Cable Info'!P836," - ",'Cable Info'!Q836))</f>
        <v>#N/A</v>
      </c>
      <c r="AW1132" s="121" t="e">
        <f t="shared" si="188"/>
        <v>#N/A</v>
      </c>
      <c r="AY1132" s="121" t="str">
        <f>IF('Cable Info'!R836="","",CONCATENATE('Cable Info'!R836," - ",'Cable Info'!S836))</f>
        <v/>
      </c>
      <c r="BB1132" s="121" t="str">
        <f t="shared" si="189"/>
        <v/>
      </c>
      <c r="BD1132" s="121" t="str">
        <f>IF('Cable Info'!T836="","",CONCATENATE('Cable Info'!T836," - ",'Cable Info'!U836))</f>
        <v/>
      </c>
      <c r="BG1132" s="121" t="str">
        <f t="shared" si="190"/>
        <v/>
      </c>
      <c r="BI1132" s="121" t="str">
        <f>IF('Cable Info'!V836="","",CONCATENATE('Cable Info'!V836," - ",'Cable Info'!W836))</f>
        <v/>
      </c>
      <c r="BL1132" s="121" t="str">
        <f t="shared" si="191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86"/>
        <v>#N/A</v>
      </c>
      <c r="AO1133" s="121" t="e">
        <f>IF('Cable Info'!N837="","",CONCATENATE('Cable Info'!N837," - ",'Cable Info'!O837))</f>
        <v>#N/A</v>
      </c>
      <c r="AR1133" s="121" t="e">
        <f t="shared" si="187"/>
        <v>#N/A</v>
      </c>
      <c r="AT1133" s="121" t="e">
        <f>IF('Cable Info'!P837="","",CONCATENATE('Cable Info'!P837," - ",'Cable Info'!Q837))</f>
        <v>#N/A</v>
      </c>
      <c r="AW1133" s="121" t="e">
        <f t="shared" si="188"/>
        <v>#N/A</v>
      </c>
      <c r="AY1133" s="121" t="str">
        <f>IF('Cable Info'!R837="","",CONCATENATE('Cable Info'!R837," - ",'Cable Info'!S837))</f>
        <v/>
      </c>
      <c r="BB1133" s="121" t="str">
        <f t="shared" si="189"/>
        <v/>
      </c>
      <c r="BD1133" s="121" t="str">
        <f>IF('Cable Info'!T837="","",CONCATENATE('Cable Info'!T837," - ",'Cable Info'!U837))</f>
        <v/>
      </c>
      <c r="BG1133" s="121" t="str">
        <f t="shared" si="190"/>
        <v/>
      </c>
      <c r="BI1133" s="121" t="str">
        <f>IF('Cable Info'!V837="","",CONCATENATE('Cable Info'!V837," - ",'Cable Info'!W837))</f>
        <v/>
      </c>
      <c r="BL1133" s="121" t="str">
        <f t="shared" si="191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86"/>
        <v>#N/A</v>
      </c>
      <c r="AO1134" s="121" t="e">
        <f>IF('Cable Info'!N838="","",CONCATENATE('Cable Info'!N838," - ",'Cable Info'!O838))</f>
        <v>#N/A</v>
      </c>
      <c r="AR1134" s="121" t="e">
        <f t="shared" si="187"/>
        <v>#N/A</v>
      </c>
      <c r="AT1134" s="121" t="e">
        <f>IF('Cable Info'!P838="","",CONCATENATE('Cable Info'!P838," - ",'Cable Info'!Q838))</f>
        <v>#N/A</v>
      </c>
      <c r="AW1134" s="121" t="e">
        <f t="shared" si="188"/>
        <v>#N/A</v>
      </c>
      <c r="AY1134" s="121" t="str">
        <f>IF('Cable Info'!R838="","",CONCATENATE('Cable Info'!R838," - ",'Cable Info'!S838))</f>
        <v/>
      </c>
      <c r="BB1134" s="121" t="str">
        <f t="shared" si="189"/>
        <v/>
      </c>
      <c r="BD1134" s="121" t="str">
        <f>IF('Cable Info'!T838="","",CONCATENATE('Cable Info'!T838," - ",'Cable Info'!U838))</f>
        <v/>
      </c>
      <c r="BG1134" s="121" t="str">
        <f t="shared" si="190"/>
        <v/>
      </c>
      <c r="BI1134" s="121" t="str">
        <f>IF('Cable Info'!V838="","",CONCATENATE('Cable Info'!V838," - ",'Cable Info'!W838))</f>
        <v/>
      </c>
      <c r="BL1134" s="121" t="str">
        <f t="shared" si="191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86"/>
        <v>#N/A</v>
      </c>
      <c r="AO1135" s="121" t="e">
        <f>IF('Cable Info'!N839="","",CONCATENATE('Cable Info'!N839," - ",'Cable Info'!O839))</f>
        <v>#N/A</v>
      </c>
      <c r="AR1135" s="121" t="e">
        <f t="shared" si="187"/>
        <v>#N/A</v>
      </c>
      <c r="AT1135" s="121" t="e">
        <f>IF('Cable Info'!P839="","",CONCATENATE('Cable Info'!P839," - ",'Cable Info'!Q839))</f>
        <v>#N/A</v>
      </c>
      <c r="AW1135" s="121" t="e">
        <f t="shared" si="188"/>
        <v>#N/A</v>
      </c>
      <c r="AY1135" s="121" t="str">
        <f>IF('Cable Info'!R839="","",CONCATENATE('Cable Info'!R839," - ",'Cable Info'!S839))</f>
        <v/>
      </c>
      <c r="BB1135" s="121" t="str">
        <f t="shared" si="189"/>
        <v/>
      </c>
      <c r="BD1135" s="121" t="str">
        <f>IF('Cable Info'!T839="","",CONCATENATE('Cable Info'!T839," - ",'Cable Info'!U839))</f>
        <v/>
      </c>
      <c r="BG1135" s="121" t="str">
        <f t="shared" si="190"/>
        <v/>
      </c>
      <c r="BI1135" s="121" t="str">
        <f>IF('Cable Info'!V839="","",CONCATENATE('Cable Info'!V839," - ",'Cable Info'!W839))</f>
        <v/>
      </c>
      <c r="BL1135" s="121" t="str">
        <f t="shared" si="191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86"/>
        <v>#N/A</v>
      </c>
      <c r="AO1136" s="121" t="e">
        <f>IF('Cable Info'!N840="","",CONCATENATE('Cable Info'!N840," - ",'Cable Info'!O840))</f>
        <v>#N/A</v>
      </c>
      <c r="AR1136" s="121" t="e">
        <f t="shared" si="187"/>
        <v>#N/A</v>
      </c>
      <c r="AT1136" s="121" t="e">
        <f>IF('Cable Info'!P840="","",CONCATENATE('Cable Info'!P840," - ",'Cable Info'!Q840))</f>
        <v>#N/A</v>
      </c>
      <c r="AW1136" s="121" t="e">
        <f t="shared" si="188"/>
        <v>#N/A</v>
      </c>
      <c r="AY1136" s="121" t="str">
        <f>IF('Cable Info'!R840="","",CONCATENATE('Cable Info'!R840," - ",'Cable Info'!S840))</f>
        <v/>
      </c>
      <c r="BB1136" s="121" t="str">
        <f t="shared" si="189"/>
        <v/>
      </c>
      <c r="BD1136" s="121" t="str">
        <f>IF('Cable Info'!T840="","",CONCATENATE('Cable Info'!T840," - ",'Cable Info'!U840))</f>
        <v/>
      </c>
      <c r="BG1136" s="121" t="str">
        <f t="shared" si="190"/>
        <v/>
      </c>
      <c r="BI1136" s="121" t="str">
        <f>IF('Cable Info'!V840="","",CONCATENATE('Cable Info'!V840," - ",'Cable Info'!W840))</f>
        <v/>
      </c>
      <c r="BL1136" s="121" t="str">
        <f t="shared" si="191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86"/>
        <v>#N/A</v>
      </c>
      <c r="AO1137" s="121" t="e">
        <f>IF('Cable Info'!N841="","",CONCATENATE('Cable Info'!N841," - ",'Cable Info'!O841))</f>
        <v>#N/A</v>
      </c>
      <c r="AR1137" s="121" t="e">
        <f t="shared" si="187"/>
        <v>#N/A</v>
      </c>
      <c r="AT1137" s="121" t="e">
        <f>IF('Cable Info'!P841="","",CONCATENATE('Cable Info'!P841," - ",'Cable Info'!Q841))</f>
        <v>#N/A</v>
      </c>
      <c r="AW1137" s="121" t="e">
        <f t="shared" si="188"/>
        <v>#N/A</v>
      </c>
      <c r="AY1137" s="121" t="str">
        <f>IF('Cable Info'!R841="","",CONCATENATE('Cable Info'!R841," - ",'Cable Info'!S841))</f>
        <v/>
      </c>
      <c r="BB1137" s="121" t="str">
        <f t="shared" si="189"/>
        <v/>
      </c>
      <c r="BD1137" s="121" t="str">
        <f>IF('Cable Info'!T841="","",CONCATENATE('Cable Info'!T841," - ",'Cable Info'!U841))</f>
        <v/>
      </c>
      <c r="BG1137" s="121" t="str">
        <f t="shared" si="190"/>
        <v/>
      </c>
      <c r="BI1137" s="121" t="str">
        <f>IF('Cable Info'!V841="","",CONCATENATE('Cable Info'!V841," - ",'Cable Info'!W841))</f>
        <v/>
      </c>
      <c r="BL1137" s="121" t="str">
        <f t="shared" si="191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86"/>
        <v>#N/A</v>
      </c>
      <c r="AO1138" s="121" t="e">
        <f>IF('Cable Info'!N842="","",CONCATENATE('Cable Info'!N842," - ",'Cable Info'!O842))</f>
        <v>#N/A</v>
      </c>
      <c r="AR1138" s="121" t="e">
        <f t="shared" si="187"/>
        <v>#N/A</v>
      </c>
      <c r="AT1138" s="121" t="e">
        <f>IF('Cable Info'!P842="","",CONCATENATE('Cable Info'!P842," - ",'Cable Info'!Q842))</f>
        <v>#N/A</v>
      </c>
      <c r="AW1138" s="121" t="e">
        <f t="shared" si="188"/>
        <v>#N/A</v>
      </c>
      <c r="AY1138" s="121" t="str">
        <f>IF('Cable Info'!R842="","",CONCATENATE('Cable Info'!R842," - ",'Cable Info'!S842))</f>
        <v/>
      </c>
      <c r="BB1138" s="121" t="str">
        <f t="shared" si="189"/>
        <v/>
      </c>
      <c r="BD1138" s="121" t="str">
        <f>IF('Cable Info'!T842="","",CONCATENATE('Cable Info'!T842," - ",'Cable Info'!U842))</f>
        <v/>
      </c>
      <c r="BG1138" s="121" t="str">
        <f t="shared" si="190"/>
        <v/>
      </c>
      <c r="BI1138" s="121" t="str">
        <f>IF('Cable Info'!V842="","",CONCATENATE('Cable Info'!V842," - ",'Cable Info'!W842))</f>
        <v/>
      </c>
      <c r="BL1138" s="121" t="str">
        <f t="shared" si="191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86"/>
        <v>#N/A</v>
      </c>
      <c r="AO1139" s="121" t="e">
        <f>IF('Cable Info'!N843="","",CONCATENATE('Cable Info'!N843," - ",'Cable Info'!O843))</f>
        <v>#N/A</v>
      </c>
      <c r="AR1139" s="121" t="e">
        <f t="shared" si="187"/>
        <v>#N/A</v>
      </c>
      <c r="AT1139" s="121" t="e">
        <f>IF('Cable Info'!P843="","",CONCATENATE('Cable Info'!P843," - ",'Cable Info'!Q843))</f>
        <v>#N/A</v>
      </c>
      <c r="AW1139" s="121" t="e">
        <f t="shared" si="188"/>
        <v>#N/A</v>
      </c>
      <c r="AY1139" s="121" t="str">
        <f>IF('Cable Info'!R843="","",CONCATENATE('Cable Info'!R843," - ",'Cable Info'!S843))</f>
        <v/>
      </c>
      <c r="BB1139" s="121" t="str">
        <f t="shared" si="189"/>
        <v/>
      </c>
      <c r="BD1139" s="121" t="str">
        <f>IF('Cable Info'!T843="","",CONCATENATE('Cable Info'!T843," - ",'Cable Info'!U843))</f>
        <v/>
      </c>
      <c r="BG1139" s="121" t="str">
        <f t="shared" si="190"/>
        <v/>
      </c>
      <c r="BI1139" s="121" t="str">
        <f>IF('Cable Info'!V843="","",CONCATENATE('Cable Info'!V843," - ",'Cable Info'!W843))</f>
        <v/>
      </c>
      <c r="BL1139" s="121" t="str">
        <f t="shared" si="191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86"/>
        <v>#N/A</v>
      </c>
      <c r="AO1140" s="121" t="e">
        <f>IF('Cable Info'!N844="","",CONCATENATE('Cable Info'!N844," - ",'Cable Info'!O844))</f>
        <v>#N/A</v>
      </c>
      <c r="AR1140" s="121" t="e">
        <f t="shared" si="187"/>
        <v>#N/A</v>
      </c>
      <c r="AT1140" s="121" t="e">
        <f>IF('Cable Info'!P844="","",CONCATENATE('Cable Info'!P844," - ",'Cable Info'!Q844))</f>
        <v>#N/A</v>
      </c>
      <c r="AW1140" s="121" t="e">
        <f t="shared" si="188"/>
        <v>#N/A</v>
      </c>
      <c r="AY1140" s="121" t="str">
        <f>IF('Cable Info'!R844="","",CONCATENATE('Cable Info'!R844," - ",'Cable Info'!S844))</f>
        <v/>
      </c>
      <c r="BB1140" s="121" t="str">
        <f t="shared" si="189"/>
        <v/>
      </c>
      <c r="BD1140" s="121" t="str">
        <f>IF('Cable Info'!T844="","",CONCATENATE('Cable Info'!T844," - ",'Cable Info'!U844))</f>
        <v/>
      </c>
      <c r="BG1140" s="121" t="str">
        <f t="shared" si="190"/>
        <v/>
      </c>
      <c r="BI1140" s="121" t="str">
        <f>IF('Cable Info'!V844="","",CONCATENATE('Cable Info'!V844," - ",'Cable Info'!W844))</f>
        <v/>
      </c>
      <c r="BL1140" s="121" t="str">
        <f t="shared" si="191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86"/>
        <v>#N/A</v>
      </c>
      <c r="AO1141" s="121" t="e">
        <f>IF('Cable Info'!N845="","",CONCATENATE('Cable Info'!N845," - ",'Cable Info'!O845))</f>
        <v>#N/A</v>
      </c>
      <c r="AR1141" s="121" t="e">
        <f t="shared" si="187"/>
        <v>#N/A</v>
      </c>
      <c r="AT1141" s="121" t="e">
        <f>IF('Cable Info'!P845="","",CONCATENATE('Cable Info'!P845," - ",'Cable Info'!Q845))</f>
        <v>#N/A</v>
      </c>
      <c r="AW1141" s="121" t="e">
        <f t="shared" si="188"/>
        <v>#N/A</v>
      </c>
      <c r="AY1141" s="121" t="str">
        <f>IF('Cable Info'!R845="","",CONCATENATE('Cable Info'!R845," - ",'Cable Info'!S845))</f>
        <v/>
      </c>
      <c r="BB1141" s="121" t="str">
        <f t="shared" si="189"/>
        <v/>
      </c>
      <c r="BD1141" s="121" t="str">
        <f>IF('Cable Info'!T845="","",CONCATENATE('Cable Info'!T845," - ",'Cable Info'!U845))</f>
        <v/>
      </c>
      <c r="BG1141" s="121" t="str">
        <f t="shared" si="190"/>
        <v/>
      </c>
      <c r="BI1141" s="121" t="str">
        <f>IF('Cable Info'!V845="","",CONCATENATE('Cable Info'!V845," - ",'Cable Info'!W845))</f>
        <v/>
      </c>
      <c r="BL1141" s="121" t="str">
        <f t="shared" si="191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86"/>
        <v>#N/A</v>
      </c>
      <c r="AO1142" s="121" t="e">
        <f>IF('Cable Info'!N846="","",CONCATENATE('Cable Info'!N846," - ",'Cable Info'!O846))</f>
        <v>#N/A</v>
      </c>
      <c r="AR1142" s="121" t="e">
        <f t="shared" si="187"/>
        <v>#N/A</v>
      </c>
      <c r="AT1142" s="121" t="e">
        <f>IF('Cable Info'!P846="","",CONCATENATE('Cable Info'!P846," - ",'Cable Info'!Q846))</f>
        <v>#N/A</v>
      </c>
      <c r="AW1142" s="121" t="e">
        <f t="shared" si="188"/>
        <v>#N/A</v>
      </c>
      <c r="AY1142" s="121" t="str">
        <f>IF('Cable Info'!R846="","",CONCATENATE('Cable Info'!R846," - ",'Cable Info'!S846))</f>
        <v/>
      </c>
      <c r="BB1142" s="121" t="str">
        <f t="shared" si="189"/>
        <v/>
      </c>
      <c r="BD1142" s="121" t="str">
        <f>IF('Cable Info'!T846="","",CONCATENATE('Cable Info'!T846," - ",'Cable Info'!U846))</f>
        <v/>
      </c>
      <c r="BG1142" s="121" t="str">
        <f t="shared" si="190"/>
        <v/>
      </c>
      <c r="BI1142" s="121" t="str">
        <f>IF('Cable Info'!V846="","",CONCATENATE('Cable Info'!V846," - ",'Cable Info'!W846))</f>
        <v/>
      </c>
      <c r="BL1142" s="121" t="str">
        <f t="shared" si="191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86"/>
        <v>#N/A</v>
      </c>
      <c r="AO1143" s="121" t="e">
        <f>IF('Cable Info'!N847="","",CONCATENATE('Cable Info'!N847," - ",'Cable Info'!O847))</f>
        <v>#N/A</v>
      </c>
      <c r="AR1143" s="121" t="e">
        <f t="shared" si="187"/>
        <v>#N/A</v>
      </c>
      <c r="AT1143" s="121" t="e">
        <f>IF('Cable Info'!P847="","",CONCATENATE('Cable Info'!P847," - ",'Cable Info'!Q847))</f>
        <v>#N/A</v>
      </c>
      <c r="AW1143" s="121" t="e">
        <f t="shared" si="188"/>
        <v>#N/A</v>
      </c>
      <c r="AY1143" s="121" t="str">
        <f>IF('Cable Info'!R847="","",CONCATENATE('Cable Info'!R847," - ",'Cable Info'!S847))</f>
        <v/>
      </c>
      <c r="BB1143" s="121" t="str">
        <f t="shared" si="189"/>
        <v/>
      </c>
      <c r="BD1143" s="121" t="str">
        <f>IF('Cable Info'!T847="","",CONCATENATE('Cable Info'!T847," - ",'Cable Info'!U847))</f>
        <v/>
      </c>
      <c r="BG1143" s="121" t="str">
        <f t="shared" si="190"/>
        <v/>
      </c>
      <c r="BI1143" s="121" t="str">
        <f>IF('Cable Info'!V847="","",CONCATENATE('Cable Info'!V847," - ",'Cable Info'!W847))</f>
        <v/>
      </c>
      <c r="BL1143" s="121" t="str">
        <f t="shared" si="191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86"/>
        <v>#N/A</v>
      </c>
      <c r="AO1144" s="121" t="e">
        <f>IF('Cable Info'!N848="","",CONCATENATE('Cable Info'!N848," - ",'Cable Info'!O848))</f>
        <v>#N/A</v>
      </c>
      <c r="AR1144" s="121" t="e">
        <f t="shared" si="187"/>
        <v>#N/A</v>
      </c>
      <c r="AT1144" s="121" t="e">
        <f>IF('Cable Info'!P848="","",CONCATENATE('Cable Info'!P848," - ",'Cable Info'!Q848))</f>
        <v>#N/A</v>
      </c>
      <c r="AW1144" s="121" t="e">
        <f t="shared" si="188"/>
        <v>#N/A</v>
      </c>
      <c r="AY1144" s="121" t="str">
        <f>IF('Cable Info'!R848="","",CONCATENATE('Cable Info'!R848," - ",'Cable Info'!S848))</f>
        <v/>
      </c>
      <c r="BB1144" s="121" t="str">
        <f t="shared" si="189"/>
        <v/>
      </c>
      <c r="BD1144" s="121" t="str">
        <f>IF('Cable Info'!T848="","",CONCATENATE('Cable Info'!T848," - ",'Cable Info'!U848))</f>
        <v/>
      </c>
      <c r="BG1144" s="121" t="str">
        <f t="shared" si="190"/>
        <v/>
      </c>
      <c r="BI1144" s="121" t="str">
        <f>IF('Cable Info'!V848="","",CONCATENATE('Cable Info'!V848," - ",'Cable Info'!W848))</f>
        <v/>
      </c>
      <c r="BL1144" s="121" t="str">
        <f t="shared" si="191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86"/>
        <v>#N/A</v>
      </c>
      <c r="AO1145" s="121" t="e">
        <f>IF('Cable Info'!N849="","",CONCATENATE('Cable Info'!N849," - ",'Cable Info'!O849))</f>
        <v>#N/A</v>
      </c>
      <c r="AR1145" s="121" t="e">
        <f t="shared" si="187"/>
        <v>#N/A</v>
      </c>
      <c r="AT1145" s="121" t="e">
        <f>IF('Cable Info'!P849="","",CONCATENATE('Cable Info'!P849," - ",'Cable Info'!Q849))</f>
        <v>#N/A</v>
      </c>
      <c r="AW1145" s="121" t="e">
        <f t="shared" si="188"/>
        <v>#N/A</v>
      </c>
      <c r="AY1145" s="121" t="str">
        <f>IF('Cable Info'!R849="","",CONCATENATE('Cable Info'!R849," - ",'Cable Info'!S849))</f>
        <v/>
      </c>
      <c r="BB1145" s="121" t="str">
        <f t="shared" si="189"/>
        <v/>
      </c>
      <c r="BD1145" s="121" t="str">
        <f>IF('Cable Info'!T849="","",CONCATENATE('Cable Info'!T849," - ",'Cable Info'!U849))</f>
        <v/>
      </c>
      <c r="BG1145" s="121" t="str">
        <f t="shared" si="190"/>
        <v/>
      </c>
      <c r="BI1145" s="121" t="str">
        <f>IF('Cable Info'!V849="","",CONCATENATE('Cable Info'!V849," - ",'Cable Info'!W849))</f>
        <v/>
      </c>
      <c r="BL1145" s="121" t="str">
        <f t="shared" si="191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86"/>
        <v>#N/A</v>
      </c>
      <c r="AO1146" s="121" t="e">
        <f>IF('Cable Info'!N850="","",CONCATENATE('Cable Info'!N850," - ",'Cable Info'!O850))</f>
        <v>#N/A</v>
      </c>
      <c r="AR1146" s="121" t="e">
        <f t="shared" si="187"/>
        <v>#N/A</v>
      </c>
      <c r="AT1146" s="121" t="e">
        <f>IF('Cable Info'!P850="","",CONCATENATE('Cable Info'!P850," - ",'Cable Info'!Q850))</f>
        <v>#N/A</v>
      </c>
      <c r="AW1146" s="121" t="e">
        <f t="shared" si="188"/>
        <v>#N/A</v>
      </c>
      <c r="AY1146" s="121" t="str">
        <f>IF('Cable Info'!R850="","",CONCATENATE('Cable Info'!R850," - ",'Cable Info'!S850))</f>
        <v/>
      </c>
      <c r="BB1146" s="121" t="str">
        <f t="shared" si="189"/>
        <v/>
      </c>
      <c r="BD1146" s="121" t="str">
        <f>IF('Cable Info'!T850="","",CONCATENATE('Cable Info'!T850," - ",'Cable Info'!U850))</f>
        <v/>
      </c>
      <c r="BG1146" s="121" t="str">
        <f t="shared" si="190"/>
        <v/>
      </c>
      <c r="BI1146" s="121" t="str">
        <f>IF('Cable Info'!V850="","",CONCATENATE('Cable Info'!V850," - ",'Cable Info'!W850))</f>
        <v/>
      </c>
      <c r="BL1146" s="121" t="str">
        <f t="shared" si="191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86"/>
        <v>#N/A</v>
      </c>
      <c r="AO1147" s="121" t="e">
        <f>IF('Cable Info'!N851="","",CONCATENATE('Cable Info'!N851," - ",'Cable Info'!O851))</f>
        <v>#N/A</v>
      </c>
      <c r="AR1147" s="121" t="e">
        <f t="shared" si="187"/>
        <v>#N/A</v>
      </c>
      <c r="AT1147" s="121" t="e">
        <f>IF('Cable Info'!P851="","",CONCATENATE('Cable Info'!P851," - ",'Cable Info'!Q851))</f>
        <v>#N/A</v>
      </c>
      <c r="AW1147" s="121" t="e">
        <f t="shared" si="188"/>
        <v>#N/A</v>
      </c>
      <c r="AY1147" s="121" t="str">
        <f>IF('Cable Info'!R851="","",CONCATENATE('Cable Info'!R851," - ",'Cable Info'!S851))</f>
        <v/>
      </c>
      <c r="BB1147" s="121" t="str">
        <f t="shared" si="189"/>
        <v/>
      </c>
      <c r="BD1147" s="121" t="str">
        <f>IF('Cable Info'!T851="","",CONCATENATE('Cable Info'!T851," - ",'Cable Info'!U851))</f>
        <v/>
      </c>
      <c r="BG1147" s="121" t="str">
        <f t="shared" si="190"/>
        <v/>
      </c>
      <c r="BI1147" s="121" t="str">
        <f>IF('Cable Info'!V851="","",CONCATENATE('Cable Info'!V851," - ",'Cable Info'!W851))</f>
        <v/>
      </c>
      <c r="BL1147" s="121" t="str">
        <f t="shared" si="191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86"/>
        <v>#N/A</v>
      </c>
      <c r="AO1148" s="121" t="e">
        <f>IF('Cable Info'!N852="","",CONCATENATE('Cable Info'!N852," - ",'Cable Info'!O852))</f>
        <v>#N/A</v>
      </c>
      <c r="AR1148" s="121" t="e">
        <f t="shared" si="187"/>
        <v>#N/A</v>
      </c>
      <c r="AT1148" s="121" t="e">
        <f>IF('Cable Info'!P852="","",CONCATENATE('Cable Info'!P852," - ",'Cable Info'!Q852))</f>
        <v>#N/A</v>
      </c>
      <c r="AW1148" s="121" t="e">
        <f t="shared" si="188"/>
        <v>#N/A</v>
      </c>
      <c r="AY1148" s="121" t="str">
        <f>IF('Cable Info'!R852="","",CONCATENATE('Cable Info'!R852," - ",'Cable Info'!S852))</f>
        <v/>
      </c>
      <c r="BB1148" s="121" t="str">
        <f t="shared" si="189"/>
        <v/>
      </c>
      <c r="BD1148" s="121" t="str">
        <f>IF('Cable Info'!T852="","",CONCATENATE('Cable Info'!T852," - ",'Cable Info'!U852))</f>
        <v/>
      </c>
      <c r="BG1148" s="121" t="str">
        <f t="shared" si="190"/>
        <v/>
      </c>
      <c r="BI1148" s="121" t="str">
        <f>IF('Cable Info'!V852="","",CONCATENATE('Cable Info'!V852," - ",'Cable Info'!W852))</f>
        <v/>
      </c>
      <c r="BL1148" s="121" t="str">
        <f t="shared" si="191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86"/>
        <v>#N/A</v>
      </c>
      <c r="AO1149" s="121" t="e">
        <f>IF('Cable Info'!N853="","",CONCATENATE('Cable Info'!N853," - ",'Cable Info'!O853))</f>
        <v>#N/A</v>
      </c>
      <c r="AR1149" s="121" t="e">
        <f t="shared" si="187"/>
        <v>#N/A</v>
      </c>
      <c r="AT1149" s="121" t="e">
        <f>IF('Cable Info'!P853="","",CONCATENATE('Cable Info'!P853," - ",'Cable Info'!Q853))</f>
        <v>#N/A</v>
      </c>
      <c r="AW1149" s="121" t="e">
        <f t="shared" si="188"/>
        <v>#N/A</v>
      </c>
      <c r="AY1149" s="121" t="str">
        <f>IF('Cable Info'!R853="","",CONCATENATE('Cable Info'!R853," - ",'Cable Info'!S853))</f>
        <v/>
      </c>
      <c r="BB1149" s="121" t="str">
        <f t="shared" si="189"/>
        <v/>
      </c>
      <c r="BD1149" s="121" t="str">
        <f>IF('Cable Info'!T853="","",CONCATENATE('Cable Info'!T853," - ",'Cable Info'!U853))</f>
        <v/>
      </c>
      <c r="BG1149" s="121" t="str">
        <f t="shared" si="190"/>
        <v/>
      </c>
      <c r="BI1149" s="121" t="str">
        <f>IF('Cable Info'!V853="","",CONCATENATE('Cable Info'!V853," - ",'Cable Info'!W853))</f>
        <v/>
      </c>
      <c r="BL1149" s="121" t="str">
        <f t="shared" si="191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86"/>
        <v>#N/A</v>
      </c>
      <c r="AO1150" s="121" t="e">
        <f>IF('Cable Info'!N854="","",CONCATENATE('Cable Info'!N854," - ",'Cable Info'!O854))</f>
        <v>#N/A</v>
      </c>
      <c r="AR1150" s="121" t="e">
        <f t="shared" si="187"/>
        <v>#N/A</v>
      </c>
      <c r="AT1150" s="121" t="e">
        <f>IF('Cable Info'!P854="","",CONCATENATE('Cable Info'!P854," - ",'Cable Info'!Q854))</f>
        <v>#N/A</v>
      </c>
      <c r="AW1150" s="121" t="e">
        <f t="shared" si="188"/>
        <v>#N/A</v>
      </c>
      <c r="AY1150" s="121" t="str">
        <f>IF('Cable Info'!R854="","",CONCATENATE('Cable Info'!R854," - ",'Cable Info'!S854))</f>
        <v/>
      </c>
      <c r="BB1150" s="121" t="str">
        <f t="shared" si="189"/>
        <v/>
      </c>
      <c r="BD1150" s="121" t="str">
        <f>IF('Cable Info'!T854="","",CONCATENATE('Cable Info'!T854," - ",'Cable Info'!U854))</f>
        <v/>
      </c>
      <c r="BG1150" s="121" t="str">
        <f t="shared" si="190"/>
        <v/>
      </c>
      <c r="BI1150" s="121" t="str">
        <f>IF('Cable Info'!V854="","",CONCATENATE('Cable Info'!V854," - ",'Cable Info'!W854))</f>
        <v/>
      </c>
      <c r="BL1150" s="121" t="str">
        <f t="shared" si="191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86"/>
        <v>#N/A</v>
      </c>
      <c r="AO1151" s="121" t="e">
        <f>IF('Cable Info'!N855="","",CONCATENATE('Cable Info'!N855," - ",'Cable Info'!O855))</f>
        <v>#N/A</v>
      </c>
      <c r="AR1151" s="121" t="e">
        <f t="shared" si="187"/>
        <v>#N/A</v>
      </c>
      <c r="AT1151" s="121" t="e">
        <f>IF('Cable Info'!P855="","",CONCATENATE('Cable Info'!P855," - ",'Cable Info'!Q855))</f>
        <v>#N/A</v>
      </c>
      <c r="AW1151" s="121" t="e">
        <f t="shared" si="188"/>
        <v>#N/A</v>
      </c>
      <c r="AY1151" s="121" t="str">
        <f>IF('Cable Info'!R855="","",CONCATENATE('Cable Info'!R855," - ",'Cable Info'!S855))</f>
        <v/>
      </c>
      <c r="BB1151" s="121" t="str">
        <f t="shared" si="189"/>
        <v/>
      </c>
      <c r="BD1151" s="121" t="str">
        <f>IF('Cable Info'!T855="","",CONCATENATE('Cable Info'!T855," - ",'Cable Info'!U855))</f>
        <v/>
      </c>
      <c r="BG1151" s="121" t="str">
        <f t="shared" si="190"/>
        <v/>
      </c>
      <c r="BI1151" s="121" t="str">
        <f>IF('Cable Info'!V855="","",CONCATENATE('Cable Info'!V855," - ",'Cable Info'!W855))</f>
        <v/>
      </c>
      <c r="BL1151" s="121" t="str">
        <f t="shared" si="191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86"/>
        <v>#N/A</v>
      </c>
      <c r="AO1152" s="121" t="e">
        <f>IF('Cable Info'!N856="","",CONCATENATE('Cable Info'!N856," - ",'Cable Info'!O856))</f>
        <v>#N/A</v>
      </c>
      <c r="AR1152" s="121" t="e">
        <f t="shared" si="187"/>
        <v>#N/A</v>
      </c>
      <c r="AT1152" s="121" t="e">
        <f>IF('Cable Info'!P856="","",CONCATENATE('Cable Info'!P856," - ",'Cable Info'!Q856))</f>
        <v>#N/A</v>
      </c>
      <c r="AW1152" s="121" t="e">
        <f t="shared" si="188"/>
        <v>#N/A</v>
      </c>
      <c r="AY1152" s="121" t="str">
        <f>IF('Cable Info'!R856="","",CONCATENATE('Cable Info'!R856," - ",'Cable Info'!S856))</f>
        <v/>
      </c>
      <c r="BB1152" s="121" t="str">
        <f t="shared" si="189"/>
        <v/>
      </c>
      <c r="BD1152" s="121" t="str">
        <f>IF('Cable Info'!T856="","",CONCATENATE('Cable Info'!T856," - ",'Cable Info'!U856))</f>
        <v/>
      </c>
      <c r="BG1152" s="121" t="str">
        <f t="shared" si="190"/>
        <v/>
      </c>
      <c r="BI1152" s="121" t="str">
        <f>IF('Cable Info'!V856="","",CONCATENATE('Cable Info'!V856," - ",'Cable Info'!W856))</f>
        <v/>
      </c>
      <c r="BL1152" s="121" t="str">
        <f t="shared" si="191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86"/>
        <v>#N/A</v>
      </c>
      <c r="AO1153" s="121" t="e">
        <f>IF('Cable Info'!N857="","",CONCATENATE('Cable Info'!N857," - ",'Cable Info'!O857))</f>
        <v>#N/A</v>
      </c>
      <c r="AR1153" s="121" t="e">
        <f t="shared" si="187"/>
        <v>#N/A</v>
      </c>
      <c r="AT1153" s="121" t="e">
        <f>IF('Cable Info'!P857="","",CONCATENATE('Cable Info'!P857," - ",'Cable Info'!Q857))</f>
        <v>#N/A</v>
      </c>
      <c r="AW1153" s="121" t="e">
        <f t="shared" si="188"/>
        <v>#N/A</v>
      </c>
      <c r="AY1153" s="121" t="str">
        <f>IF('Cable Info'!R857="","",CONCATENATE('Cable Info'!R857," - ",'Cable Info'!S857))</f>
        <v/>
      </c>
      <c r="BB1153" s="121" t="str">
        <f t="shared" si="189"/>
        <v/>
      </c>
      <c r="BD1153" s="121" t="str">
        <f>IF('Cable Info'!T857="","",CONCATENATE('Cable Info'!T857," - ",'Cable Info'!U857))</f>
        <v/>
      </c>
      <c r="BG1153" s="121" t="str">
        <f t="shared" si="190"/>
        <v/>
      </c>
      <c r="BI1153" s="121" t="str">
        <f>IF('Cable Info'!V857="","",CONCATENATE('Cable Info'!V857," - ",'Cable Info'!W857))</f>
        <v/>
      </c>
      <c r="BL1153" s="121" t="str">
        <f t="shared" si="191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86"/>
        <v>#N/A</v>
      </c>
      <c r="AO1154" s="121" t="e">
        <f>IF('Cable Info'!N858="","",CONCATENATE('Cable Info'!N858," - ",'Cable Info'!O858))</f>
        <v>#N/A</v>
      </c>
      <c r="AR1154" s="121" t="e">
        <f t="shared" si="187"/>
        <v>#N/A</v>
      </c>
      <c r="AT1154" s="121" t="e">
        <f>IF('Cable Info'!P858="","",CONCATENATE('Cable Info'!P858," - ",'Cable Info'!Q858))</f>
        <v>#N/A</v>
      </c>
      <c r="AW1154" s="121" t="e">
        <f t="shared" si="188"/>
        <v>#N/A</v>
      </c>
      <c r="AY1154" s="121" t="str">
        <f>IF('Cable Info'!R858="","",CONCATENATE('Cable Info'!R858," - ",'Cable Info'!S858))</f>
        <v/>
      </c>
      <c r="BB1154" s="121" t="str">
        <f t="shared" si="189"/>
        <v/>
      </c>
      <c r="BD1154" s="121" t="str">
        <f>IF('Cable Info'!T858="","",CONCATENATE('Cable Info'!T858," - ",'Cable Info'!U858))</f>
        <v/>
      </c>
      <c r="BG1154" s="121" t="str">
        <f t="shared" si="190"/>
        <v/>
      </c>
      <c r="BI1154" s="121" t="str">
        <f>IF('Cable Info'!V858="","",CONCATENATE('Cable Info'!V858," - ",'Cable Info'!W858))</f>
        <v/>
      </c>
      <c r="BL1154" s="121" t="str">
        <f t="shared" si="191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86"/>
        <v>#N/A</v>
      </c>
      <c r="AO1155" s="121" t="e">
        <f>IF('Cable Info'!N859="","",CONCATENATE('Cable Info'!N859," - ",'Cable Info'!O859))</f>
        <v>#N/A</v>
      </c>
      <c r="AR1155" s="121" t="e">
        <f t="shared" si="187"/>
        <v>#N/A</v>
      </c>
      <c r="AT1155" s="121" t="e">
        <f>IF('Cable Info'!P859="","",CONCATENATE('Cable Info'!P859," - ",'Cable Info'!Q859))</f>
        <v>#N/A</v>
      </c>
      <c r="AW1155" s="121" t="e">
        <f t="shared" si="188"/>
        <v>#N/A</v>
      </c>
      <c r="AY1155" s="121" t="str">
        <f>IF('Cable Info'!R859="","",CONCATENATE('Cable Info'!R859," - ",'Cable Info'!S859))</f>
        <v/>
      </c>
      <c r="BB1155" s="121" t="str">
        <f t="shared" si="189"/>
        <v/>
      </c>
      <c r="BD1155" s="121" t="str">
        <f>IF('Cable Info'!T859="","",CONCATENATE('Cable Info'!T859," - ",'Cable Info'!U859))</f>
        <v/>
      </c>
      <c r="BG1155" s="121" t="str">
        <f t="shared" si="190"/>
        <v/>
      </c>
      <c r="BI1155" s="121" t="str">
        <f>IF('Cable Info'!V859="","",CONCATENATE('Cable Info'!V859," - ",'Cable Info'!W859))</f>
        <v/>
      </c>
      <c r="BL1155" s="121" t="str">
        <f t="shared" si="191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86"/>
        <v>#N/A</v>
      </c>
      <c r="AO1156" s="121" t="e">
        <f>IF('Cable Info'!N860="","",CONCATENATE('Cable Info'!N860," - ",'Cable Info'!O860))</f>
        <v>#N/A</v>
      </c>
      <c r="AR1156" s="121" t="e">
        <f t="shared" si="187"/>
        <v>#N/A</v>
      </c>
      <c r="AT1156" s="121" t="e">
        <f>IF('Cable Info'!P860="","",CONCATENATE('Cable Info'!P860," - ",'Cable Info'!Q860))</f>
        <v>#N/A</v>
      </c>
      <c r="AW1156" s="121" t="e">
        <f t="shared" si="188"/>
        <v>#N/A</v>
      </c>
      <c r="AY1156" s="121" t="str">
        <f>IF('Cable Info'!R860="","",CONCATENATE('Cable Info'!R860," - ",'Cable Info'!S860))</f>
        <v/>
      </c>
      <c r="BB1156" s="121" t="str">
        <f t="shared" si="189"/>
        <v/>
      </c>
      <c r="BD1156" s="121" t="str">
        <f>IF('Cable Info'!T860="","",CONCATENATE('Cable Info'!T860," - ",'Cable Info'!U860))</f>
        <v/>
      </c>
      <c r="BG1156" s="121" t="str">
        <f t="shared" si="190"/>
        <v/>
      </c>
      <c r="BI1156" s="121" t="str">
        <f>IF('Cable Info'!V860="","",CONCATENATE('Cable Info'!V860," - ",'Cable Info'!W860))</f>
        <v/>
      </c>
      <c r="BL1156" s="121" t="str">
        <f t="shared" si="191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86"/>
        <v>#N/A</v>
      </c>
      <c r="AO1157" s="121" t="e">
        <f>IF('Cable Info'!N861="","",CONCATENATE('Cable Info'!N861," - ",'Cable Info'!O861))</f>
        <v>#N/A</v>
      </c>
      <c r="AR1157" s="121" t="e">
        <f t="shared" si="187"/>
        <v>#N/A</v>
      </c>
      <c r="AT1157" s="121" t="e">
        <f>IF('Cable Info'!P861="","",CONCATENATE('Cable Info'!P861," - ",'Cable Info'!Q861))</f>
        <v>#N/A</v>
      </c>
      <c r="AW1157" s="121" t="e">
        <f t="shared" si="188"/>
        <v>#N/A</v>
      </c>
      <c r="AY1157" s="121" t="str">
        <f>IF('Cable Info'!R861="","",CONCATENATE('Cable Info'!R861," - ",'Cable Info'!S861))</f>
        <v/>
      </c>
      <c r="BB1157" s="121" t="str">
        <f t="shared" si="189"/>
        <v/>
      </c>
      <c r="BD1157" s="121" t="str">
        <f>IF('Cable Info'!T861="","",CONCATENATE('Cable Info'!T861," - ",'Cable Info'!U861))</f>
        <v/>
      </c>
      <c r="BG1157" s="121" t="str">
        <f t="shared" si="190"/>
        <v/>
      </c>
      <c r="BI1157" s="121" t="str">
        <f>IF('Cable Info'!V861="","",CONCATENATE('Cable Info'!V861," - ",'Cable Info'!W861))</f>
        <v/>
      </c>
      <c r="BL1157" s="121" t="str">
        <f t="shared" si="191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86"/>
        <v>#N/A</v>
      </c>
      <c r="AO1158" s="121" t="e">
        <f>IF('Cable Info'!N862="","",CONCATENATE('Cable Info'!N862," - ",'Cable Info'!O862))</f>
        <v>#N/A</v>
      </c>
      <c r="AR1158" s="121" t="e">
        <f t="shared" si="187"/>
        <v>#N/A</v>
      </c>
      <c r="AT1158" s="121" t="e">
        <f>IF('Cable Info'!P862="","",CONCATENATE('Cable Info'!P862," - ",'Cable Info'!Q862))</f>
        <v>#N/A</v>
      </c>
      <c r="AW1158" s="121" t="e">
        <f t="shared" si="188"/>
        <v>#N/A</v>
      </c>
      <c r="AY1158" s="121" t="str">
        <f>IF('Cable Info'!R862="","",CONCATENATE('Cable Info'!R862," - ",'Cable Info'!S862))</f>
        <v/>
      </c>
      <c r="BB1158" s="121" t="str">
        <f t="shared" si="189"/>
        <v/>
      </c>
      <c r="BD1158" s="121" t="str">
        <f>IF('Cable Info'!T862="","",CONCATENATE('Cable Info'!T862," - ",'Cable Info'!U862))</f>
        <v/>
      </c>
      <c r="BG1158" s="121" t="str">
        <f t="shared" si="190"/>
        <v/>
      </c>
      <c r="BI1158" s="121" t="str">
        <f>IF('Cable Info'!V862="","",CONCATENATE('Cable Info'!V862," - ",'Cable Info'!W862))</f>
        <v/>
      </c>
      <c r="BL1158" s="121" t="str">
        <f t="shared" si="191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86"/>
        <v>#N/A</v>
      </c>
      <c r="AO1159" s="121" t="e">
        <f>IF('Cable Info'!N863="","",CONCATENATE('Cable Info'!N863," - ",'Cable Info'!O863))</f>
        <v>#N/A</v>
      </c>
      <c r="AR1159" s="121" t="e">
        <f t="shared" si="187"/>
        <v>#N/A</v>
      </c>
      <c r="AT1159" s="121" t="e">
        <f>IF('Cable Info'!P863="","",CONCATENATE('Cable Info'!P863," - ",'Cable Info'!Q863))</f>
        <v>#N/A</v>
      </c>
      <c r="AW1159" s="121" t="e">
        <f t="shared" si="188"/>
        <v>#N/A</v>
      </c>
      <c r="AY1159" s="121" t="str">
        <f>IF('Cable Info'!R863="","",CONCATENATE('Cable Info'!R863," - ",'Cable Info'!S863))</f>
        <v/>
      </c>
      <c r="BB1159" s="121" t="str">
        <f t="shared" si="189"/>
        <v/>
      </c>
      <c r="BD1159" s="121" t="str">
        <f>IF('Cable Info'!T863="","",CONCATENATE('Cable Info'!T863," - ",'Cable Info'!U863))</f>
        <v/>
      </c>
      <c r="BG1159" s="121" t="str">
        <f t="shared" si="190"/>
        <v/>
      </c>
      <c r="BI1159" s="121" t="str">
        <f>IF('Cable Info'!V863="","",CONCATENATE('Cable Info'!V863," - ",'Cable Info'!W863))</f>
        <v/>
      </c>
      <c r="BL1159" s="121" t="str">
        <f t="shared" si="191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86"/>
        <v>#N/A</v>
      </c>
      <c r="AO1160" s="121" t="e">
        <f>IF('Cable Info'!N864="","",CONCATENATE('Cable Info'!N864," - ",'Cable Info'!O864))</f>
        <v>#N/A</v>
      </c>
      <c r="AR1160" s="121" t="e">
        <f t="shared" si="187"/>
        <v>#N/A</v>
      </c>
      <c r="AT1160" s="121" t="e">
        <f>IF('Cable Info'!P864="","",CONCATENATE('Cable Info'!P864," - ",'Cable Info'!Q864))</f>
        <v>#N/A</v>
      </c>
      <c r="AW1160" s="121" t="e">
        <f t="shared" si="188"/>
        <v>#N/A</v>
      </c>
      <c r="AY1160" s="121" t="str">
        <f>IF('Cable Info'!R864="","",CONCATENATE('Cable Info'!R864," - ",'Cable Info'!S864))</f>
        <v/>
      </c>
      <c r="BB1160" s="121" t="str">
        <f t="shared" si="189"/>
        <v/>
      </c>
      <c r="BD1160" s="121" t="str">
        <f>IF('Cable Info'!T864="","",CONCATENATE('Cable Info'!T864," - ",'Cable Info'!U864))</f>
        <v/>
      </c>
      <c r="BG1160" s="121" t="str">
        <f t="shared" si="190"/>
        <v/>
      </c>
      <c r="BI1160" s="121" t="str">
        <f>IF('Cable Info'!V864="","",CONCATENATE('Cable Info'!V864," - ",'Cable Info'!W864))</f>
        <v/>
      </c>
      <c r="BL1160" s="121" t="str">
        <f t="shared" si="191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86"/>
        <v>#N/A</v>
      </c>
      <c r="AO1161" s="121" t="e">
        <f>IF('Cable Info'!N865="","",CONCATENATE('Cable Info'!N865," - ",'Cable Info'!O865))</f>
        <v>#N/A</v>
      </c>
      <c r="AR1161" s="121" t="e">
        <f t="shared" si="187"/>
        <v>#N/A</v>
      </c>
      <c r="AT1161" s="121" t="e">
        <f>IF('Cable Info'!P865="","",CONCATENATE('Cable Info'!P865," - ",'Cable Info'!Q865))</f>
        <v>#N/A</v>
      </c>
      <c r="AW1161" s="121" t="e">
        <f t="shared" si="188"/>
        <v>#N/A</v>
      </c>
      <c r="AY1161" s="121" t="str">
        <f>IF('Cable Info'!R865="","",CONCATENATE('Cable Info'!R865," - ",'Cable Info'!S865))</f>
        <v/>
      </c>
      <c r="BB1161" s="121" t="str">
        <f t="shared" si="189"/>
        <v/>
      </c>
      <c r="BD1161" s="121" t="str">
        <f>IF('Cable Info'!T865="","",CONCATENATE('Cable Info'!T865," - ",'Cable Info'!U865))</f>
        <v/>
      </c>
      <c r="BG1161" s="121" t="str">
        <f t="shared" si="190"/>
        <v/>
      </c>
      <c r="BI1161" s="121" t="str">
        <f>IF('Cable Info'!V865="","",CONCATENATE('Cable Info'!V865," - ",'Cable Info'!W865))</f>
        <v/>
      </c>
      <c r="BL1161" s="121" t="str">
        <f t="shared" si="191"/>
        <v/>
      </c>
    </row>
  </sheetData>
  <sheetProtection algorithmName="SHA-512" hashValue="UX7pNJ+TdA5lHNKXt0HPcsOWC4NyR09u0osIt3wVXVhCIV0S6czVvUUFZLMRtEw+XwhXN2ADEH5W5rHbhMIFjw==" saltValue="QBgFdmzc1FeN3lUgg9ZSUw==" spinCount="100000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48" priority="22">
      <formula>$Z$9&gt;0</formula>
    </cfRule>
  </conditionalFormatting>
  <conditionalFormatting sqref="E11:G380">
    <cfRule type="expression" dxfId="47" priority="19">
      <formula>$Y11=1</formula>
    </cfRule>
  </conditionalFormatting>
  <conditionalFormatting sqref="I11:K380">
    <cfRule type="expression" dxfId="46" priority="18">
      <formula>$Z11=1</formula>
    </cfRule>
  </conditionalFormatting>
  <conditionalFormatting sqref="E11:K380">
    <cfRule type="expression" dxfId="45" priority="17">
      <formula>$AB11=1</formula>
    </cfRule>
  </conditionalFormatting>
  <conditionalFormatting sqref="B11:P380 R11:W380">
    <cfRule type="expression" dxfId="44" priority="16">
      <formula>$X11=12</formula>
    </cfRule>
  </conditionalFormatting>
  <conditionalFormatting sqref="B11:P380 R11:W380">
    <cfRule type="expression" dxfId="43" priority="13">
      <formula>$X11=1</formula>
    </cfRule>
    <cfRule type="expression" dxfId="42" priority="14">
      <formula>$X11=2</formula>
    </cfRule>
    <cfRule type="expression" dxfId="41" priority="15">
      <formula>$X11=11</formula>
    </cfRule>
  </conditionalFormatting>
  <conditionalFormatting sqref="B11:P380 R11:X380">
    <cfRule type="expression" dxfId="40" priority="12">
      <formula>$X11=9</formula>
    </cfRule>
  </conditionalFormatting>
  <conditionalFormatting sqref="G5:I5">
    <cfRule type="expression" dxfId="39" priority="10">
      <formula>$AB$9&gt;0</formula>
    </cfRule>
  </conditionalFormatting>
  <conditionalFormatting sqref="D6:G6">
    <cfRule type="expression" dxfId="38" priority="9">
      <formula>$Y$9&gt;0</formula>
    </cfRule>
  </conditionalFormatting>
  <conditionalFormatting sqref="E10:G10">
    <cfRule type="expression" dxfId="37" priority="8">
      <formula>$Y10=1</formula>
    </cfRule>
  </conditionalFormatting>
  <conditionalFormatting sqref="I10:K10">
    <cfRule type="expression" dxfId="36" priority="7">
      <formula>$Z10=1</formula>
    </cfRule>
  </conditionalFormatting>
  <conditionalFormatting sqref="E10:K10">
    <cfRule type="expression" dxfId="35" priority="6">
      <formula>$AB10=1</formula>
    </cfRule>
  </conditionalFormatting>
  <conditionalFormatting sqref="B10:P10 R10:W10">
    <cfRule type="expression" dxfId="34" priority="5">
      <formula>$X10=12</formula>
    </cfRule>
  </conditionalFormatting>
  <conditionalFormatting sqref="B10:P10 R10:W10">
    <cfRule type="expression" dxfId="33" priority="2">
      <formula>$X10=1</formula>
    </cfRule>
    <cfRule type="expression" dxfId="32" priority="3">
      <formula>$X10=2</formula>
    </cfRule>
    <cfRule type="expression" dxfId="31" priority="4">
      <formula>$X10=11</formula>
    </cfRule>
  </conditionalFormatting>
  <conditionalFormatting sqref="B10:P10 R10:X10">
    <cfRule type="expression" dxfId="30" priority="1">
      <formula>$X10=9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Cherry H. Stovall</cp:lastModifiedBy>
  <cp:lastPrinted>2013-11-22T22:56:05Z</cp:lastPrinted>
  <dcterms:created xsi:type="dcterms:W3CDTF">1998-05-29T15:48:38Z</dcterms:created>
  <dcterms:modified xsi:type="dcterms:W3CDTF">2017-02-07T22:44:43Z</dcterms:modified>
</cp:coreProperties>
</file>