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5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J1005" i="3"/>
  <c r="AM1005" i="3" s="1"/>
  <c r="BI1004" i="3"/>
  <c r="BL1004" i="3" s="1"/>
  <c r="BG1004" i="3"/>
  <c r="BD1004" i="3"/>
  <c r="AY1004" i="3"/>
  <c r="BB1004" i="3" s="1"/>
  <c r="AT1004" i="3"/>
  <c r="AW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AJ802" i="3"/>
  <c r="AM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AB10" i="3" s="1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AO1005" i="3" s="1"/>
  <c r="AR1005" i="3" s="1"/>
  <c r="L865" i="2"/>
  <c r="M865" i="2" s="1"/>
  <c r="W864" i="2"/>
  <c r="V864" i="2"/>
  <c r="U864" i="2"/>
  <c r="T864" i="2"/>
  <c r="S864" i="2"/>
  <c r="R864" i="2"/>
  <c r="Q864" i="2"/>
  <c r="P864" i="2"/>
  <c r="N864" i="2"/>
  <c r="L864" i="2"/>
  <c r="M864" i="2" s="1"/>
  <c r="W863" i="2"/>
  <c r="V863" i="2"/>
  <c r="U863" i="2"/>
  <c r="T863" i="2"/>
  <c r="S863" i="2"/>
  <c r="R863" i="2"/>
  <c r="Q863" i="2"/>
  <c r="P863" i="2"/>
  <c r="N863" i="2"/>
  <c r="AO1003" i="3" s="1"/>
  <c r="AR1003" i="3" s="1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AO1002" i="3" s="1"/>
  <c r="AR1002" i="3" s="1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L860" i="2"/>
  <c r="AJ1000" i="3" s="1"/>
  <c r="AM1000" i="3" s="1"/>
  <c r="W859" i="2"/>
  <c r="V859" i="2"/>
  <c r="U859" i="2"/>
  <c r="T859" i="2"/>
  <c r="S859" i="2"/>
  <c r="R859" i="2"/>
  <c r="Q859" i="2"/>
  <c r="P859" i="2"/>
  <c r="N859" i="2"/>
  <c r="AO999" i="3" s="1"/>
  <c r="AR999" i="3" s="1"/>
  <c r="L859" i="2"/>
  <c r="AJ999" i="3" s="1"/>
  <c r="AM999" i="3" s="1"/>
  <c r="W858" i="2"/>
  <c r="V858" i="2"/>
  <c r="U858" i="2"/>
  <c r="T858" i="2"/>
  <c r="S858" i="2"/>
  <c r="R858" i="2"/>
  <c r="Q858" i="2"/>
  <c r="P858" i="2"/>
  <c r="O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AO997" i="3" s="1"/>
  <c r="AR997" i="3" s="1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AO995" i="3" s="1"/>
  <c r="AR995" i="3" s="1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L852" i="2"/>
  <c r="AJ992" i="3" s="1"/>
  <c r="AM992" i="3" s="1"/>
  <c r="W851" i="2"/>
  <c r="V851" i="2"/>
  <c r="U851" i="2"/>
  <c r="T851" i="2"/>
  <c r="S851" i="2"/>
  <c r="R851" i="2"/>
  <c r="Q851" i="2"/>
  <c r="P851" i="2"/>
  <c r="N851" i="2"/>
  <c r="AO991" i="3" s="1"/>
  <c r="AR991" i="3" s="1"/>
  <c r="L851" i="2"/>
  <c r="AJ991" i="3" s="1"/>
  <c r="AM991" i="3" s="1"/>
  <c r="W850" i="2"/>
  <c r="V850" i="2"/>
  <c r="U850" i="2"/>
  <c r="T850" i="2"/>
  <c r="S850" i="2"/>
  <c r="R850" i="2"/>
  <c r="Q850" i="2"/>
  <c r="P850" i="2"/>
  <c r="O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AO989" i="3" s="1"/>
  <c r="AR989" i="3" s="1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O845" i="2"/>
  <c r="N845" i="2"/>
  <c r="AO985" i="3" s="1"/>
  <c r="AR985" i="3" s="1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AO983" i="3" s="1"/>
  <c r="AR983" i="3" s="1"/>
  <c r="L843" i="2"/>
  <c r="AJ983" i="3" s="1"/>
  <c r="AM983" i="3" s="1"/>
  <c r="W842" i="2"/>
  <c r="V842" i="2"/>
  <c r="U842" i="2"/>
  <c r="T842" i="2"/>
  <c r="S842" i="2"/>
  <c r="R842" i="2"/>
  <c r="Q842" i="2"/>
  <c r="P842" i="2"/>
  <c r="O842" i="2"/>
  <c r="N842" i="2"/>
  <c r="AO982" i="3" s="1"/>
  <c r="AR982" i="3" s="1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AO979" i="3" s="1"/>
  <c r="AR979" i="3" s="1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AO978" i="3" s="1"/>
  <c r="AR978" i="3" s="1"/>
  <c r="L838" i="2"/>
  <c r="AJ978" i="3" s="1"/>
  <c r="AM978" i="3" s="1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L836" i="2"/>
  <c r="AJ976" i="3" s="1"/>
  <c r="AM976" i="3" s="1"/>
  <c r="W835" i="2"/>
  <c r="V835" i="2"/>
  <c r="U835" i="2"/>
  <c r="T835" i="2"/>
  <c r="S835" i="2"/>
  <c r="R835" i="2"/>
  <c r="Q835" i="2"/>
  <c r="P835" i="2"/>
  <c r="N835" i="2"/>
  <c r="AO975" i="3" s="1"/>
  <c r="AR975" i="3" s="1"/>
  <c r="L835" i="2"/>
  <c r="AJ975" i="3" s="1"/>
  <c r="AM975" i="3" s="1"/>
  <c r="W834" i="2"/>
  <c r="V834" i="2"/>
  <c r="U834" i="2"/>
  <c r="T834" i="2"/>
  <c r="S834" i="2"/>
  <c r="R834" i="2"/>
  <c r="Q834" i="2"/>
  <c r="P834" i="2"/>
  <c r="O834" i="2"/>
  <c r="N834" i="2"/>
  <c r="AO974" i="3" s="1"/>
  <c r="AR974" i="3" s="1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L833" i="2"/>
  <c r="AJ973" i="3" s="1"/>
  <c r="AM973" i="3" s="1"/>
  <c r="W832" i="2"/>
  <c r="V832" i="2"/>
  <c r="U832" i="2"/>
  <c r="T832" i="2"/>
  <c r="S832" i="2"/>
  <c r="R832" i="2"/>
  <c r="Q832" i="2"/>
  <c r="P832" i="2"/>
  <c r="N832" i="2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AO971" i="3" s="1"/>
  <c r="AR971" i="3" s="1"/>
  <c r="L831" i="2"/>
  <c r="AJ971" i="3" s="1"/>
  <c r="AM971" i="3" s="1"/>
  <c r="W830" i="2"/>
  <c r="V830" i="2"/>
  <c r="U830" i="2"/>
  <c r="T830" i="2"/>
  <c r="S830" i="2"/>
  <c r="R830" i="2"/>
  <c r="Q830" i="2"/>
  <c r="P830" i="2"/>
  <c r="O830" i="2"/>
  <c r="N830" i="2"/>
  <c r="AO970" i="3" s="1"/>
  <c r="AR970" i="3" s="1"/>
  <c r="L830" i="2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L829" i="2"/>
  <c r="W828" i="2"/>
  <c r="V828" i="2"/>
  <c r="U828" i="2"/>
  <c r="T828" i="2"/>
  <c r="S828" i="2"/>
  <c r="R828" i="2"/>
  <c r="Q828" i="2"/>
  <c r="P828" i="2"/>
  <c r="N828" i="2"/>
  <c r="L828" i="2"/>
  <c r="W827" i="2"/>
  <c r="V827" i="2"/>
  <c r="U827" i="2"/>
  <c r="T827" i="2"/>
  <c r="S827" i="2"/>
  <c r="R827" i="2"/>
  <c r="Q827" i="2"/>
  <c r="P827" i="2"/>
  <c r="N827" i="2"/>
  <c r="AO967" i="3" s="1"/>
  <c r="AR967" i="3" s="1"/>
  <c r="L827" i="2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L826" i="2"/>
  <c r="W825" i="2"/>
  <c r="V825" i="2"/>
  <c r="U825" i="2"/>
  <c r="T825" i="2"/>
  <c r="S825" i="2"/>
  <c r="R825" i="2"/>
  <c r="Q825" i="2"/>
  <c r="P825" i="2"/>
  <c r="O825" i="2"/>
  <c r="N825" i="2"/>
  <c r="AO965" i="3" s="1"/>
  <c r="AR965" i="3" s="1"/>
  <c r="L825" i="2"/>
  <c r="W824" i="2"/>
  <c r="V824" i="2"/>
  <c r="U824" i="2"/>
  <c r="T824" i="2"/>
  <c r="S824" i="2"/>
  <c r="R824" i="2"/>
  <c r="Q824" i="2"/>
  <c r="P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AO963" i="3" s="1"/>
  <c r="AR963" i="3" s="1"/>
  <c r="L823" i="2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W821" i="2"/>
  <c r="V821" i="2"/>
  <c r="U821" i="2"/>
  <c r="T821" i="2"/>
  <c r="S821" i="2"/>
  <c r="R821" i="2"/>
  <c r="Q821" i="2"/>
  <c r="P821" i="2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AO959" i="3" s="1"/>
  <c r="AR959" i="3" s="1"/>
  <c r="L819" i="2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L817" i="2"/>
  <c r="W816" i="2"/>
  <c r="V816" i="2"/>
  <c r="U816" i="2"/>
  <c r="T816" i="2"/>
  <c r="S816" i="2"/>
  <c r="R816" i="2"/>
  <c r="Q816" i="2"/>
  <c r="P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AO955" i="3" s="1"/>
  <c r="AR955" i="3" s="1"/>
  <c r="L815" i="2"/>
  <c r="W814" i="2"/>
  <c r="V814" i="2"/>
  <c r="U814" i="2"/>
  <c r="T814" i="2"/>
  <c r="S814" i="2"/>
  <c r="R814" i="2"/>
  <c r="Q814" i="2"/>
  <c r="P814" i="2"/>
  <c r="O814" i="2"/>
  <c r="N814" i="2"/>
  <c r="AO954" i="3" s="1"/>
  <c r="AR954" i="3" s="1"/>
  <c r="L814" i="2"/>
  <c r="W813" i="2"/>
  <c r="V813" i="2"/>
  <c r="U813" i="2"/>
  <c r="T813" i="2"/>
  <c r="S813" i="2"/>
  <c r="R813" i="2"/>
  <c r="Q813" i="2"/>
  <c r="P813" i="2"/>
  <c r="N813" i="2"/>
  <c r="L813" i="2"/>
  <c r="W812" i="2"/>
  <c r="V812" i="2"/>
  <c r="U812" i="2"/>
  <c r="T812" i="2"/>
  <c r="S812" i="2"/>
  <c r="R812" i="2"/>
  <c r="Q812" i="2"/>
  <c r="P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L811" i="2"/>
  <c r="W810" i="2"/>
  <c r="V810" i="2"/>
  <c r="U810" i="2"/>
  <c r="T810" i="2"/>
  <c r="S810" i="2"/>
  <c r="R810" i="2"/>
  <c r="Q810" i="2"/>
  <c r="P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AO949" i="3" s="1"/>
  <c r="AR949" i="3" s="1"/>
  <c r="L809" i="2"/>
  <c r="W808" i="2"/>
  <c r="V808" i="2"/>
  <c r="U808" i="2"/>
  <c r="T808" i="2"/>
  <c r="S808" i="2"/>
  <c r="R808" i="2"/>
  <c r="Q808" i="2"/>
  <c r="P808" i="2"/>
  <c r="N808" i="2"/>
  <c r="L808" i="2"/>
  <c r="W807" i="2"/>
  <c r="V807" i="2"/>
  <c r="U807" i="2"/>
  <c r="T807" i="2"/>
  <c r="S807" i="2"/>
  <c r="R807" i="2"/>
  <c r="Q807" i="2"/>
  <c r="P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AO946" i="3" s="1"/>
  <c r="AR946" i="3" s="1"/>
  <c r="L806" i="2"/>
  <c r="W805" i="2"/>
  <c r="V805" i="2"/>
  <c r="U805" i="2"/>
  <c r="T805" i="2"/>
  <c r="S805" i="2"/>
  <c r="R805" i="2"/>
  <c r="Q805" i="2"/>
  <c r="P805" i="2"/>
  <c r="N805" i="2"/>
  <c r="AO945" i="3" s="1"/>
  <c r="AR945" i="3" s="1"/>
  <c r="L805" i="2"/>
  <c r="W804" i="2"/>
  <c r="V804" i="2"/>
  <c r="U804" i="2"/>
  <c r="T804" i="2"/>
  <c r="S804" i="2"/>
  <c r="R804" i="2"/>
  <c r="Q804" i="2"/>
  <c r="P804" i="2"/>
  <c r="O804" i="2"/>
  <c r="N804" i="2"/>
  <c r="AO944" i="3" s="1"/>
  <c r="AR944" i="3" s="1"/>
  <c r="L804" i="2"/>
  <c r="W803" i="2"/>
  <c r="V803" i="2"/>
  <c r="U803" i="2"/>
  <c r="T803" i="2"/>
  <c r="S803" i="2"/>
  <c r="R803" i="2"/>
  <c r="Q803" i="2"/>
  <c r="P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AO942" i="3" s="1"/>
  <c r="AR942" i="3" s="1"/>
  <c r="L802" i="2"/>
  <c r="W801" i="2"/>
  <c r="V801" i="2"/>
  <c r="U801" i="2"/>
  <c r="T801" i="2"/>
  <c r="S801" i="2"/>
  <c r="R801" i="2"/>
  <c r="Q801" i="2"/>
  <c r="P801" i="2"/>
  <c r="N801" i="2"/>
  <c r="AO941" i="3" s="1"/>
  <c r="AR941" i="3" s="1"/>
  <c r="L801" i="2"/>
  <c r="W800" i="2"/>
  <c r="V800" i="2"/>
  <c r="U800" i="2"/>
  <c r="T800" i="2"/>
  <c r="S800" i="2"/>
  <c r="R800" i="2"/>
  <c r="Q800" i="2"/>
  <c r="P800" i="2"/>
  <c r="O800" i="2"/>
  <c r="N800" i="2"/>
  <c r="AO940" i="3" s="1"/>
  <c r="AR940" i="3" s="1"/>
  <c r="L800" i="2"/>
  <c r="W799" i="2"/>
  <c r="V799" i="2"/>
  <c r="U799" i="2"/>
  <c r="T799" i="2"/>
  <c r="S799" i="2"/>
  <c r="R799" i="2"/>
  <c r="Q799" i="2"/>
  <c r="P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AO938" i="3" s="1"/>
  <c r="AR938" i="3" s="1"/>
  <c r="L798" i="2"/>
  <c r="W797" i="2"/>
  <c r="V797" i="2"/>
  <c r="U797" i="2"/>
  <c r="T797" i="2"/>
  <c r="S797" i="2"/>
  <c r="R797" i="2"/>
  <c r="Q797" i="2"/>
  <c r="P797" i="2"/>
  <c r="N797" i="2"/>
  <c r="AO937" i="3" s="1"/>
  <c r="AR937" i="3" s="1"/>
  <c r="L797" i="2"/>
  <c r="W796" i="2"/>
  <c r="V796" i="2"/>
  <c r="U796" i="2"/>
  <c r="T796" i="2"/>
  <c r="S796" i="2"/>
  <c r="R796" i="2"/>
  <c r="Q796" i="2"/>
  <c r="P796" i="2"/>
  <c r="O796" i="2"/>
  <c r="N796" i="2"/>
  <c r="AO936" i="3" s="1"/>
  <c r="AR936" i="3" s="1"/>
  <c r="L796" i="2"/>
  <c r="W795" i="2"/>
  <c r="V795" i="2"/>
  <c r="U795" i="2"/>
  <c r="T795" i="2"/>
  <c r="S795" i="2"/>
  <c r="R795" i="2"/>
  <c r="Q795" i="2"/>
  <c r="P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AO934" i="3" s="1"/>
  <c r="AR934" i="3" s="1"/>
  <c r="L794" i="2"/>
  <c r="W793" i="2"/>
  <c r="V793" i="2"/>
  <c r="U793" i="2"/>
  <c r="T793" i="2"/>
  <c r="S793" i="2"/>
  <c r="R793" i="2"/>
  <c r="Q793" i="2"/>
  <c r="P793" i="2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O792" i="2"/>
  <c r="N792" i="2"/>
  <c r="AO932" i="3" s="1"/>
  <c r="AR932" i="3" s="1"/>
  <c r="L792" i="2"/>
  <c r="W791" i="2"/>
  <c r="V791" i="2"/>
  <c r="U791" i="2"/>
  <c r="T791" i="2"/>
  <c r="S791" i="2"/>
  <c r="R791" i="2"/>
  <c r="Q791" i="2"/>
  <c r="P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AO930" i="3" s="1"/>
  <c r="AR930" i="3" s="1"/>
  <c r="L790" i="2"/>
  <c r="W789" i="2"/>
  <c r="V789" i="2"/>
  <c r="U789" i="2"/>
  <c r="T789" i="2"/>
  <c r="S789" i="2"/>
  <c r="R789" i="2"/>
  <c r="Q789" i="2"/>
  <c r="P789" i="2"/>
  <c r="N789" i="2"/>
  <c r="AO929" i="3" s="1"/>
  <c r="AR929" i="3" s="1"/>
  <c r="L789" i="2"/>
  <c r="W788" i="2"/>
  <c r="V788" i="2"/>
  <c r="U788" i="2"/>
  <c r="T788" i="2"/>
  <c r="S788" i="2"/>
  <c r="R788" i="2"/>
  <c r="Q788" i="2"/>
  <c r="P788" i="2"/>
  <c r="O788" i="2"/>
  <c r="N788" i="2"/>
  <c r="AO928" i="3" s="1"/>
  <c r="AR928" i="3" s="1"/>
  <c r="L788" i="2"/>
  <c r="W787" i="2"/>
  <c r="V787" i="2"/>
  <c r="U787" i="2"/>
  <c r="T787" i="2"/>
  <c r="S787" i="2"/>
  <c r="R787" i="2"/>
  <c r="Q787" i="2"/>
  <c r="P787" i="2"/>
  <c r="N787" i="2"/>
  <c r="L787" i="2"/>
  <c r="W786" i="2"/>
  <c r="V786" i="2"/>
  <c r="U786" i="2"/>
  <c r="T786" i="2"/>
  <c r="S786" i="2"/>
  <c r="R786" i="2"/>
  <c r="Q786" i="2"/>
  <c r="P786" i="2"/>
  <c r="O786" i="2"/>
  <c r="N786" i="2"/>
  <c r="AO926" i="3" s="1"/>
  <c r="AR926" i="3" s="1"/>
  <c r="L786" i="2"/>
  <c r="W785" i="2"/>
  <c r="V785" i="2"/>
  <c r="U785" i="2"/>
  <c r="T785" i="2"/>
  <c r="S785" i="2"/>
  <c r="R785" i="2"/>
  <c r="Q785" i="2"/>
  <c r="P785" i="2"/>
  <c r="N785" i="2"/>
  <c r="AO925" i="3" s="1"/>
  <c r="AR925" i="3" s="1"/>
  <c r="L785" i="2"/>
  <c r="W784" i="2"/>
  <c r="V784" i="2"/>
  <c r="U784" i="2"/>
  <c r="T784" i="2"/>
  <c r="S784" i="2"/>
  <c r="R784" i="2"/>
  <c r="Q784" i="2"/>
  <c r="P784" i="2"/>
  <c r="O784" i="2"/>
  <c r="N784" i="2"/>
  <c r="AO924" i="3" s="1"/>
  <c r="AR924" i="3" s="1"/>
  <c r="L784" i="2"/>
  <c r="W783" i="2"/>
  <c r="V783" i="2"/>
  <c r="U783" i="2"/>
  <c r="T783" i="2"/>
  <c r="S783" i="2"/>
  <c r="R783" i="2"/>
  <c r="Q783" i="2"/>
  <c r="P783" i="2"/>
  <c r="N783" i="2"/>
  <c r="L783" i="2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L782" i="2"/>
  <c r="M782" i="2" s="1"/>
  <c r="W781" i="2"/>
  <c r="V781" i="2"/>
  <c r="U781" i="2"/>
  <c r="T781" i="2"/>
  <c r="S781" i="2"/>
  <c r="R781" i="2"/>
  <c r="Q781" i="2"/>
  <c r="P781" i="2"/>
  <c r="N781" i="2"/>
  <c r="AO921" i="3" s="1"/>
  <c r="AR921" i="3" s="1"/>
  <c r="L781" i="2"/>
  <c r="W780" i="2"/>
  <c r="V780" i="2"/>
  <c r="U780" i="2"/>
  <c r="T780" i="2"/>
  <c r="S780" i="2"/>
  <c r="R780" i="2"/>
  <c r="Q780" i="2"/>
  <c r="P780" i="2"/>
  <c r="O780" i="2"/>
  <c r="N780" i="2"/>
  <c r="AO920" i="3" s="1"/>
  <c r="AR920" i="3" s="1"/>
  <c r="L780" i="2"/>
  <c r="W779" i="2"/>
  <c r="V779" i="2"/>
  <c r="U779" i="2"/>
  <c r="T779" i="2"/>
  <c r="S779" i="2"/>
  <c r="R779" i="2"/>
  <c r="Q779" i="2"/>
  <c r="P779" i="2"/>
  <c r="N779" i="2"/>
  <c r="L779" i="2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L778" i="2"/>
  <c r="W777" i="2"/>
  <c r="V777" i="2"/>
  <c r="U777" i="2"/>
  <c r="T777" i="2"/>
  <c r="S777" i="2"/>
  <c r="R777" i="2"/>
  <c r="Q777" i="2"/>
  <c r="P777" i="2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O776" i="2"/>
  <c r="N776" i="2"/>
  <c r="AO916" i="3" s="1"/>
  <c r="AR916" i="3" s="1"/>
  <c r="L776" i="2"/>
  <c r="W775" i="2"/>
  <c r="V775" i="2"/>
  <c r="U775" i="2"/>
  <c r="T775" i="2"/>
  <c r="S775" i="2"/>
  <c r="R775" i="2"/>
  <c r="Q775" i="2"/>
  <c r="P775" i="2"/>
  <c r="N775" i="2"/>
  <c r="L775" i="2"/>
  <c r="W774" i="2"/>
  <c r="V774" i="2"/>
  <c r="U774" i="2"/>
  <c r="T774" i="2"/>
  <c r="S774" i="2"/>
  <c r="R774" i="2"/>
  <c r="Q774" i="2"/>
  <c r="P774" i="2"/>
  <c r="O774" i="2"/>
  <c r="N774" i="2"/>
  <c r="AO914" i="3" s="1"/>
  <c r="AR914" i="3" s="1"/>
  <c r="L774" i="2"/>
  <c r="W773" i="2"/>
  <c r="V773" i="2"/>
  <c r="U773" i="2"/>
  <c r="T773" i="2"/>
  <c r="S773" i="2"/>
  <c r="R773" i="2"/>
  <c r="Q773" i="2"/>
  <c r="P773" i="2"/>
  <c r="N773" i="2"/>
  <c r="AO913" i="3" s="1"/>
  <c r="AR913" i="3" s="1"/>
  <c r="L773" i="2"/>
  <c r="W772" i="2"/>
  <c r="V772" i="2"/>
  <c r="U772" i="2"/>
  <c r="T772" i="2"/>
  <c r="S772" i="2"/>
  <c r="R772" i="2"/>
  <c r="Q772" i="2"/>
  <c r="P772" i="2"/>
  <c r="O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N771" i="2"/>
  <c r="L771" i="2"/>
  <c r="W770" i="2"/>
  <c r="V770" i="2"/>
  <c r="U770" i="2"/>
  <c r="T770" i="2"/>
  <c r="S770" i="2"/>
  <c r="R770" i="2"/>
  <c r="Q770" i="2"/>
  <c r="P770" i="2"/>
  <c r="O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AO909" i="3" s="1"/>
  <c r="AR909" i="3" s="1"/>
  <c r="L769" i="2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O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AO905" i="3" s="1"/>
  <c r="AR905" i="3" s="1"/>
  <c r="L765" i="2"/>
  <c r="W764" i="2"/>
  <c r="V764" i="2"/>
  <c r="U764" i="2"/>
  <c r="T764" i="2"/>
  <c r="S764" i="2"/>
  <c r="R764" i="2"/>
  <c r="Q764" i="2"/>
  <c r="P764" i="2"/>
  <c r="O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L763" i="2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AO901" i="3" s="1"/>
  <c r="AR901" i="3" s="1"/>
  <c r="L761" i="2"/>
  <c r="W760" i="2"/>
  <c r="V760" i="2"/>
  <c r="U760" i="2"/>
  <c r="T760" i="2"/>
  <c r="S760" i="2"/>
  <c r="R760" i="2"/>
  <c r="Q760" i="2"/>
  <c r="P760" i="2"/>
  <c r="O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O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AO897" i="3" s="1"/>
  <c r="AR897" i="3" s="1"/>
  <c r="L757" i="2"/>
  <c r="W756" i="2"/>
  <c r="V756" i="2"/>
  <c r="U756" i="2"/>
  <c r="T756" i="2"/>
  <c r="S756" i="2"/>
  <c r="R756" i="2"/>
  <c r="Q756" i="2"/>
  <c r="P756" i="2"/>
  <c r="O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L755" i="2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AO893" i="3" s="1"/>
  <c r="AR893" i="3" s="1"/>
  <c r="L753" i="2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O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AO889" i="3" s="1"/>
  <c r="AR889" i="3" s="1"/>
  <c r="L749" i="2"/>
  <c r="W748" i="2"/>
  <c r="V748" i="2"/>
  <c r="U748" i="2"/>
  <c r="T748" i="2"/>
  <c r="S748" i="2"/>
  <c r="R748" i="2"/>
  <c r="Q748" i="2"/>
  <c r="P748" i="2"/>
  <c r="O748" i="2"/>
  <c r="N748" i="2"/>
  <c r="AO888" i="3" s="1"/>
  <c r="AR888" i="3" s="1"/>
  <c r="L748" i="2"/>
  <c r="M748" i="2" s="1"/>
  <c r="W747" i="2"/>
  <c r="V747" i="2"/>
  <c r="U747" i="2"/>
  <c r="T747" i="2"/>
  <c r="S747" i="2"/>
  <c r="R747" i="2"/>
  <c r="Q747" i="2"/>
  <c r="P747" i="2"/>
  <c r="N747" i="2"/>
  <c r="L747" i="2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AO885" i="3" s="1"/>
  <c r="AR885" i="3" s="1"/>
  <c r="L745" i="2"/>
  <c r="W744" i="2"/>
  <c r="V744" i="2"/>
  <c r="U744" i="2"/>
  <c r="T744" i="2"/>
  <c r="S744" i="2"/>
  <c r="R744" i="2"/>
  <c r="Q744" i="2"/>
  <c r="P744" i="2"/>
  <c r="O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AO881" i="3" s="1"/>
  <c r="AR881" i="3" s="1"/>
  <c r="L741" i="2"/>
  <c r="W740" i="2"/>
  <c r="V740" i="2"/>
  <c r="U740" i="2"/>
  <c r="T740" i="2"/>
  <c r="S740" i="2"/>
  <c r="R740" i="2"/>
  <c r="Q740" i="2"/>
  <c r="P740" i="2"/>
  <c r="O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L739" i="2"/>
  <c r="W738" i="2"/>
  <c r="V738" i="2"/>
  <c r="U738" i="2"/>
  <c r="T738" i="2"/>
  <c r="S738" i="2"/>
  <c r="R738" i="2"/>
  <c r="Q738" i="2"/>
  <c r="P738" i="2"/>
  <c r="O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AO877" i="3" s="1"/>
  <c r="AR877" i="3" s="1"/>
  <c r="L737" i="2"/>
  <c r="W736" i="2"/>
  <c r="V736" i="2"/>
  <c r="U736" i="2"/>
  <c r="T736" i="2"/>
  <c r="S736" i="2"/>
  <c r="R736" i="2"/>
  <c r="Q736" i="2"/>
  <c r="P736" i="2"/>
  <c r="O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O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AO873" i="3" s="1"/>
  <c r="AR873" i="3" s="1"/>
  <c r="L733" i="2"/>
  <c r="W732" i="2"/>
  <c r="V732" i="2"/>
  <c r="U732" i="2"/>
  <c r="T732" i="2"/>
  <c r="S732" i="2"/>
  <c r="R732" i="2"/>
  <c r="Q732" i="2"/>
  <c r="P732" i="2"/>
  <c r="O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L731" i="2"/>
  <c r="W730" i="2"/>
  <c r="V730" i="2"/>
  <c r="U730" i="2"/>
  <c r="T730" i="2"/>
  <c r="S730" i="2"/>
  <c r="R730" i="2"/>
  <c r="Q730" i="2"/>
  <c r="P730" i="2"/>
  <c r="O730" i="2"/>
  <c r="N730" i="2"/>
  <c r="AO870" i="3" s="1"/>
  <c r="AR870" i="3" s="1"/>
  <c r="L730" i="2"/>
  <c r="W729" i="2"/>
  <c r="V729" i="2"/>
  <c r="U729" i="2"/>
  <c r="T729" i="2"/>
  <c r="S729" i="2"/>
  <c r="R729" i="2"/>
  <c r="Q729" i="2"/>
  <c r="P729" i="2"/>
  <c r="N729" i="2"/>
  <c r="AO869" i="3" s="1"/>
  <c r="AR869" i="3" s="1"/>
  <c r="L729" i="2"/>
  <c r="W728" i="2"/>
  <c r="V728" i="2"/>
  <c r="U728" i="2"/>
  <c r="T728" i="2"/>
  <c r="S728" i="2"/>
  <c r="R728" i="2"/>
  <c r="Q728" i="2"/>
  <c r="P728" i="2"/>
  <c r="O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N727" i="2"/>
  <c r="L727" i="2"/>
  <c r="W726" i="2"/>
  <c r="V726" i="2"/>
  <c r="U726" i="2"/>
  <c r="T726" i="2"/>
  <c r="S726" i="2"/>
  <c r="R726" i="2"/>
  <c r="Q726" i="2"/>
  <c r="P726" i="2"/>
  <c r="O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AO865" i="3" s="1"/>
  <c r="AR865" i="3" s="1"/>
  <c r="L725" i="2"/>
  <c r="W724" i="2"/>
  <c r="V724" i="2"/>
  <c r="U724" i="2"/>
  <c r="T724" i="2"/>
  <c r="S724" i="2"/>
  <c r="R724" i="2"/>
  <c r="Q724" i="2"/>
  <c r="P724" i="2"/>
  <c r="O724" i="2"/>
  <c r="N724" i="2"/>
  <c r="AO864" i="3" s="1"/>
  <c r="AR864" i="3" s="1"/>
  <c r="L724" i="2"/>
  <c r="M724" i="2" s="1"/>
  <c r="W723" i="2"/>
  <c r="V723" i="2"/>
  <c r="U723" i="2"/>
  <c r="T723" i="2"/>
  <c r="S723" i="2"/>
  <c r="R723" i="2"/>
  <c r="Q723" i="2"/>
  <c r="P723" i="2"/>
  <c r="N723" i="2"/>
  <c r="L723" i="2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AO861" i="3" s="1"/>
  <c r="AR861" i="3" s="1"/>
  <c r="L721" i="2"/>
  <c r="W720" i="2"/>
  <c r="V720" i="2"/>
  <c r="U720" i="2"/>
  <c r="T720" i="2"/>
  <c r="S720" i="2"/>
  <c r="R720" i="2"/>
  <c r="Q720" i="2"/>
  <c r="P720" i="2"/>
  <c r="O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AO857" i="3" s="1"/>
  <c r="AR857" i="3" s="1"/>
  <c r="L717" i="2"/>
  <c r="W716" i="2"/>
  <c r="V716" i="2"/>
  <c r="U716" i="2"/>
  <c r="T716" i="2"/>
  <c r="S716" i="2"/>
  <c r="R716" i="2"/>
  <c r="Q716" i="2"/>
  <c r="P716" i="2"/>
  <c r="O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L715" i="2"/>
  <c r="W714" i="2"/>
  <c r="V714" i="2"/>
  <c r="U714" i="2"/>
  <c r="T714" i="2"/>
  <c r="S714" i="2"/>
  <c r="R714" i="2"/>
  <c r="Q714" i="2"/>
  <c r="P714" i="2"/>
  <c r="O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AO853" i="3" s="1"/>
  <c r="AR853" i="3" s="1"/>
  <c r="L713" i="2"/>
  <c r="W712" i="2"/>
  <c r="V712" i="2"/>
  <c r="U712" i="2"/>
  <c r="T712" i="2"/>
  <c r="S712" i="2"/>
  <c r="R712" i="2"/>
  <c r="Q712" i="2"/>
  <c r="P712" i="2"/>
  <c r="O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O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AO849" i="3" s="1"/>
  <c r="AR849" i="3" s="1"/>
  <c r="L709" i="2"/>
  <c r="W708" i="2"/>
  <c r="V708" i="2"/>
  <c r="U708" i="2"/>
  <c r="T708" i="2"/>
  <c r="S708" i="2"/>
  <c r="R708" i="2"/>
  <c r="Q708" i="2"/>
  <c r="P708" i="2"/>
  <c r="O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L707" i="2"/>
  <c r="W706" i="2"/>
  <c r="V706" i="2"/>
  <c r="U706" i="2"/>
  <c r="T706" i="2"/>
  <c r="S706" i="2"/>
  <c r="R706" i="2"/>
  <c r="Q706" i="2"/>
  <c r="P706" i="2"/>
  <c r="O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AO845" i="3" s="1"/>
  <c r="AR845" i="3" s="1"/>
  <c r="L705" i="2"/>
  <c r="W704" i="2"/>
  <c r="V704" i="2"/>
  <c r="U704" i="2"/>
  <c r="T704" i="2"/>
  <c r="S704" i="2"/>
  <c r="R704" i="2"/>
  <c r="Q704" i="2"/>
  <c r="P704" i="2"/>
  <c r="O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N703" i="2"/>
  <c r="L703" i="2"/>
  <c r="W702" i="2"/>
  <c r="V702" i="2"/>
  <c r="U702" i="2"/>
  <c r="T702" i="2"/>
  <c r="S702" i="2"/>
  <c r="R702" i="2"/>
  <c r="Q702" i="2"/>
  <c r="P702" i="2"/>
  <c r="O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AO841" i="3" s="1"/>
  <c r="AR841" i="3" s="1"/>
  <c r="L701" i="2"/>
  <c r="W700" i="2"/>
  <c r="V700" i="2"/>
  <c r="U700" i="2"/>
  <c r="T700" i="2"/>
  <c r="S700" i="2"/>
  <c r="R700" i="2"/>
  <c r="Q700" i="2"/>
  <c r="P700" i="2"/>
  <c r="O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AO838" i="3" s="1"/>
  <c r="AR838" i="3" s="1"/>
  <c r="L698" i="2"/>
  <c r="W697" i="2"/>
  <c r="V697" i="2"/>
  <c r="U697" i="2"/>
  <c r="T697" i="2"/>
  <c r="S697" i="2"/>
  <c r="R697" i="2"/>
  <c r="Q697" i="2"/>
  <c r="P697" i="2"/>
  <c r="N697" i="2"/>
  <c r="AO837" i="3" s="1"/>
  <c r="AR837" i="3" s="1"/>
  <c r="L697" i="2"/>
  <c r="W696" i="2"/>
  <c r="V696" i="2"/>
  <c r="U696" i="2"/>
  <c r="T696" i="2"/>
  <c r="S696" i="2"/>
  <c r="R696" i="2"/>
  <c r="Q696" i="2"/>
  <c r="P696" i="2"/>
  <c r="O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O694" i="2"/>
  <c r="N694" i="2"/>
  <c r="AO834" i="3" s="1"/>
  <c r="AR834" i="3" s="1"/>
  <c r="L694" i="2"/>
  <c r="W693" i="2"/>
  <c r="V693" i="2"/>
  <c r="U693" i="2"/>
  <c r="T693" i="2"/>
  <c r="S693" i="2"/>
  <c r="R693" i="2"/>
  <c r="Q693" i="2"/>
  <c r="P693" i="2"/>
  <c r="N693" i="2"/>
  <c r="AO833" i="3" s="1"/>
  <c r="AR833" i="3" s="1"/>
  <c r="L693" i="2"/>
  <c r="W692" i="2"/>
  <c r="V692" i="2"/>
  <c r="U692" i="2"/>
  <c r="T692" i="2"/>
  <c r="S692" i="2"/>
  <c r="R692" i="2"/>
  <c r="Q692" i="2"/>
  <c r="P692" i="2"/>
  <c r="O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L691" i="2"/>
  <c r="W690" i="2"/>
  <c r="V690" i="2"/>
  <c r="U690" i="2"/>
  <c r="T690" i="2"/>
  <c r="S690" i="2"/>
  <c r="R690" i="2"/>
  <c r="Q690" i="2"/>
  <c r="P690" i="2"/>
  <c r="O690" i="2"/>
  <c r="N690" i="2"/>
  <c r="AO830" i="3" s="1"/>
  <c r="AR830" i="3" s="1"/>
  <c r="L690" i="2"/>
  <c r="W689" i="2"/>
  <c r="V689" i="2"/>
  <c r="U689" i="2"/>
  <c r="T689" i="2"/>
  <c r="S689" i="2"/>
  <c r="R689" i="2"/>
  <c r="Q689" i="2"/>
  <c r="P689" i="2"/>
  <c r="N689" i="2"/>
  <c r="AO829" i="3" s="1"/>
  <c r="AR829" i="3" s="1"/>
  <c r="L689" i="2"/>
  <c r="W688" i="2"/>
  <c r="V688" i="2"/>
  <c r="U688" i="2"/>
  <c r="T688" i="2"/>
  <c r="S688" i="2"/>
  <c r="R688" i="2"/>
  <c r="Q688" i="2"/>
  <c r="P688" i="2"/>
  <c r="O688" i="2"/>
  <c r="N688" i="2"/>
  <c r="AO828" i="3" s="1"/>
  <c r="AR828" i="3" s="1"/>
  <c r="L688" i="2"/>
  <c r="W687" i="2"/>
  <c r="V687" i="2"/>
  <c r="U687" i="2"/>
  <c r="T687" i="2"/>
  <c r="S687" i="2"/>
  <c r="R687" i="2"/>
  <c r="Q687" i="2"/>
  <c r="P687" i="2"/>
  <c r="N687" i="2"/>
  <c r="L687" i="2"/>
  <c r="W686" i="2"/>
  <c r="V686" i="2"/>
  <c r="U686" i="2"/>
  <c r="T686" i="2"/>
  <c r="S686" i="2"/>
  <c r="R686" i="2"/>
  <c r="Q686" i="2"/>
  <c r="P686" i="2"/>
  <c r="O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AO825" i="3" s="1"/>
  <c r="AR825" i="3" s="1"/>
  <c r="L685" i="2"/>
  <c r="W684" i="2"/>
  <c r="V684" i="2"/>
  <c r="U684" i="2"/>
  <c r="T684" i="2"/>
  <c r="S684" i="2"/>
  <c r="R684" i="2"/>
  <c r="Q684" i="2"/>
  <c r="P684" i="2"/>
  <c r="O684" i="2"/>
  <c r="N684" i="2"/>
  <c r="AO824" i="3" s="1"/>
  <c r="AR824" i="3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O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AO821" i="3" s="1"/>
  <c r="AR821" i="3" s="1"/>
  <c r="L681" i="2"/>
  <c r="W680" i="2"/>
  <c r="V680" i="2"/>
  <c r="U680" i="2"/>
  <c r="T680" i="2"/>
  <c r="S680" i="2"/>
  <c r="R680" i="2"/>
  <c r="Q680" i="2"/>
  <c r="P680" i="2"/>
  <c r="O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N679" i="2"/>
  <c r="L679" i="2"/>
  <c r="W678" i="2"/>
  <c r="V678" i="2"/>
  <c r="U678" i="2"/>
  <c r="T678" i="2"/>
  <c r="S678" i="2"/>
  <c r="R678" i="2"/>
  <c r="Q678" i="2"/>
  <c r="P678" i="2"/>
  <c r="O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AO817" i="3" s="1"/>
  <c r="AR817" i="3" s="1"/>
  <c r="L677" i="2"/>
  <c r="W676" i="2"/>
  <c r="V676" i="2"/>
  <c r="U676" i="2"/>
  <c r="T676" i="2"/>
  <c r="S676" i="2"/>
  <c r="R676" i="2"/>
  <c r="Q676" i="2"/>
  <c r="P676" i="2"/>
  <c r="O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L675" i="2"/>
  <c r="W674" i="2"/>
  <c r="V674" i="2"/>
  <c r="U674" i="2"/>
  <c r="T674" i="2"/>
  <c r="S674" i="2"/>
  <c r="R674" i="2"/>
  <c r="Q674" i="2"/>
  <c r="P674" i="2"/>
  <c r="O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AO813" i="3" s="1"/>
  <c r="AR813" i="3" s="1"/>
  <c r="L673" i="2"/>
  <c r="W672" i="2"/>
  <c r="V672" i="2"/>
  <c r="U672" i="2"/>
  <c r="T672" i="2"/>
  <c r="S672" i="2"/>
  <c r="R672" i="2"/>
  <c r="Q672" i="2"/>
  <c r="P672" i="2"/>
  <c r="O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O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O668" i="2"/>
  <c r="N668" i="2"/>
  <c r="AO808" i="3" s="1"/>
  <c r="AR808" i="3" s="1"/>
  <c r="L668" i="2"/>
  <c r="W667" i="2"/>
  <c r="V667" i="2"/>
  <c r="U667" i="2"/>
  <c r="T667" i="2"/>
  <c r="S667" i="2"/>
  <c r="R667" i="2"/>
  <c r="Q667" i="2"/>
  <c r="P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AO805" i="3" s="1"/>
  <c r="AR805" i="3" s="1"/>
  <c r="L665" i="2"/>
  <c r="W664" i="2"/>
  <c r="V664" i="2"/>
  <c r="U664" i="2"/>
  <c r="T664" i="2"/>
  <c r="S664" i="2"/>
  <c r="R664" i="2"/>
  <c r="Q664" i="2"/>
  <c r="P664" i="2"/>
  <c r="O664" i="2"/>
  <c r="N664" i="2"/>
  <c r="AO804" i="3" s="1"/>
  <c r="AR804" i="3" s="1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AO802" i="3" s="1"/>
  <c r="AR802" i="3" s="1"/>
  <c r="L662" i="2"/>
  <c r="M662" i="2" s="1"/>
  <c r="W661" i="2"/>
  <c r="V661" i="2"/>
  <c r="U661" i="2"/>
  <c r="T661" i="2"/>
  <c r="S661" i="2"/>
  <c r="R661" i="2"/>
  <c r="Q661" i="2"/>
  <c r="P661" i="2"/>
  <c r="N661" i="2"/>
  <c r="AO801" i="3" s="1"/>
  <c r="AR801" i="3" s="1"/>
  <c r="L661" i="2"/>
  <c r="W660" i="2"/>
  <c r="V660" i="2"/>
  <c r="U660" i="2"/>
  <c r="T660" i="2"/>
  <c r="S660" i="2"/>
  <c r="R660" i="2"/>
  <c r="Q660" i="2"/>
  <c r="P660" i="2"/>
  <c r="O660" i="2"/>
  <c r="N660" i="2"/>
  <c r="AO800" i="3" s="1"/>
  <c r="AR800" i="3" s="1"/>
  <c r="L660" i="2"/>
  <c r="W659" i="2"/>
  <c r="V659" i="2"/>
  <c r="U659" i="2"/>
  <c r="T659" i="2"/>
  <c r="S659" i="2"/>
  <c r="R659" i="2"/>
  <c r="Q659" i="2"/>
  <c r="P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AO798" i="3" s="1"/>
  <c r="AR798" i="3" s="1"/>
  <c r="L658" i="2"/>
  <c r="W657" i="2"/>
  <c r="V657" i="2"/>
  <c r="U657" i="2"/>
  <c r="T657" i="2"/>
  <c r="S657" i="2"/>
  <c r="R657" i="2"/>
  <c r="Q657" i="2"/>
  <c r="P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O656" i="2"/>
  <c r="N656" i="2"/>
  <c r="AO796" i="3" s="1"/>
  <c r="AR796" i="3" s="1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O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AO790" i="3" s="1"/>
  <c r="AR790" i="3" s="1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AO789" i="3" s="1"/>
  <c r="AR789" i="3" s="1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AO788" i="3" s="1"/>
  <c r="AR788" i="3" s="1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AO787" i="3" s="1"/>
  <c r="AR787" i="3" s="1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AO786" i="3" s="1"/>
  <c r="AR786" i="3" s="1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AO783" i="3" s="1"/>
  <c r="AR783" i="3" s="1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N642" i="2"/>
  <c r="AO782" i="3" s="1"/>
  <c r="AR782" i="3" s="1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N641" i="2"/>
  <c r="AO781" i="3" s="1"/>
  <c r="AR781" i="3" s="1"/>
  <c r="L641" i="2"/>
  <c r="AJ781" i="3" s="1"/>
  <c r="AM781" i="3" s="1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O639" i="2"/>
  <c r="N639" i="2"/>
  <c r="AO779" i="3" s="1"/>
  <c r="AR779" i="3" s="1"/>
  <c r="L639" i="2"/>
  <c r="W638" i="2"/>
  <c r="V638" i="2"/>
  <c r="U638" i="2"/>
  <c r="T638" i="2"/>
  <c r="S638" i="2"/>
  <c r="R638" i="2"/>
  <c r="Q638" i="2"/>
  <c r="P638" i="2"/>
  <c r="N638" i="2"/>
  <c r="L638" i="2"/>
  <c r="W637" i="2"/>
  <c r="V637" i="2"/>
  <c r="U637" i="2"/>
  <c r="T637" i="2"/>
  <c r="S637" i="2"/>
  <c r="R637" i="2"/>
  <c r="Q637" i="2"/>
  <c r="P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O635" i="2"/>
  <c r="N635" i="2"/>
  <c r="AO775" i="3" s="1"/>
  <c r="AR775" i="3" s="1"/>
  <c r="L635" i="2"/>
  <c r="W634" i="2"/>
  <c r="V634" i="2"/>
  <c r="U634" i="2"/>
  <c r="T634" i="2"/>
  <c r="S634" i="2"/>
  <c r="R634" i="2"/>
  <c r="Q634" i="2"/>
  <c r="P634" i="2"/>
  <c r="N634" i="2"/>
  <c r="L634" i="2"/>
  <c r="W633" i="2"/>
  <c r="V633" i="2"/>
  <c r="U633" i="2"/>
  <c r="T633" i="2"/>
  <c r="S633" i="2"/>
  <c r="R633" i="2"/>
  <c r="Q633" i="2"/>
  <c r="P633" i="2"/>
  <c r="N633" i="2"/>
  <c r="AO773" i="3" s="1"/>
  <c r="AR773" i="3" s="1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O631" i="2"/>
  <c r="N631" i="2"/>
  <c r="AO771" i="3" s="1"/>
  <c r="AR771" i="3" s="1"/>
  <c r="L631" i="2"/>
  <c r="W630" i="2"/>
  <c r="V630" i="2"/>
  <c r="U630" i="2"/>
  <c r="T630" i="2"/>
  <c r="S630" i="2"/>
  <c r="R630" i="2"/>
  <c r="Q630" i="2"/>
  <c r="P630" i="2"/>
  <c r="N630" i="2"/>
  <c r="L630" i="2"/>
  <c r="W629" i="2"/>
  <c r="V629" i="2"/>
  <c r="U629" i="2"/>
  <c r="T629" i="2"/>
  <c r="S629" i="2"/>
  <c r="R629" i="2"/>
  <c r="Q629" i="2"/>
  <c r="P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O627" i="2"/>
  <c r="N627" i="2"/>
  <c r="AO767" i="3" s="1"/>
  <c r="AR767" i="3" s="1"/>
  <c r="L627" i="2"/>
  <c r="W626" i="2"/>
  <c r="V626" i="2"/>
  <c r="U626" i="2"/>
  <c r="T626" i="2"/>
  <c r="S626" i="2"/>
  <c r="R626" i="2"/>
  <c r="Q626" i="2"/>
  <c r="P626" i="2"/>
  <c r="N626" i="2"/>
  <c r="L626" i="2"/>
  <c r="W625" i="2"/>
  <c r="V625" i="2"/>
  <c r="U625" i="2"/>
  <c r="T625" i="2"/>
  <c r="S625" i="2"/>
  <c r="R625" i="2"/>
  <c r="Q625" i="2"/>
  <c r="P625" i="2"/>
  <c r="N625" i="2"/>
  <c r="AO765" i="3" s="1"/>
  <c r="AR765" i="3" s="1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O623" i="2"/>
  <c r="N623" i="2"/>
  <c r="AO763" i="3" s="1"/>
  <c r="AR763" i="3" s="1"/>
  <c r="L623" i="2"/>
  <c r="W622" i="2"/>
  <c r="V622" i="2"/>
  <c r="U622" i="2"/>
  <c r="T622" i="2"/>
  <c r="S622" i="2"/>
  <c r="R622" i="2"/>
  <c r="Q622" i="2"/>
  <c r="P622" i="2"/>
  <c r="N622" i="2"/>
  <c r="L622" i="2"/>
  <c r="W621" i="2"/>
  <c r="V621" i="2"/>
  <c r="U621" i="2"/>
  <c r="T621" i="2"/>
  <c r="S621" i="2"/>
  <c r="R621" i="2"/>
  <c r="Q621" i="2"/>
  <c r="P621" i="2"/>
  <c r="N621" i="2"/>
  <c r="AO761" i="3" s="1"/>
  <c r="AR761" i="3" s="1"/>
  <c r="L621" i="2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O619" i="2"/>
  <c r="N619" i="2"/>
  <c r="AO759" i="3" s="1"/>
  <c r="AR759" i="3" s="1"/>
  <c r="L619" i="2"/>
  <c r="W618" i="2"/>
  <c r="V618" i="2"/>
  <c r="U618" i="2"/>
  <c r="T618" i="2"/>
  <c r="S618" i="2"/>
  <c r="R618" i="2"/>
  <c r="Q618" i="2"/>
  <c r="P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AO757" i="3" s="1"/>
  <c r="AR757" i="3" s="1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O615" i="2"/>
  <c r="N615" i="2"/>
  <c r="AO755" i="3" s="1"/>
  <c r="AR755" i="3" s="1"/>
  <c r="L615" i="2"/>
  <c r="W614" i="2"/>
  <c r="V614" i="2"/>
  <c r="U614" i="2"/>
  <c r="T614" i="2"/>
  <c r="S614" i="2"/>
  <c r="R614" i="2"/>
  <c r="Q614" i="2"/>
  <c r="P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O611" i="2"/>
  <c r="N611" i="2"/>
  <c r="AO751" i="3" s="1"/>
  <c r="AR751" i="3" s="1"/>
  <c r="L611" i="2"/>
  <c r="W610" i="2"/>
  <c r="V610" i="2"/>
  <c r="U610" i="2"/>
  <c r="T610" i="2"/>
  <c r="S610" i="2"/>
  <c r="R610" i="2"/>
  <c r="Q610" i="2"/>
  <c r="P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AO749" i="3" s="1"/>
  <c r="AR749" i="3" s="1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O607" i="2"/>
  <c r="N607" i="2"/>
  <c r="AO747" i="3" s="1"/>
  <c r="AR747" i="3" s="1"/>
  <c r="L607" i="2"/>
  <c r="W606" i="2"/>
  <c r="V606" i="2"/>
  <c r="U606" i="2"/>
  <c r="T606" i="2"/>
  <c r="S606" i="2"/>
  <c r="R606" i="2"/>
  <c r="Q606" i="2"/>
  <c r="P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O603" i="2"/>
  <c r="N603" i="2"/>
  <c r="AO743" i="3" s="1"/>
  <c r="AR743" i="3" s="1"/>
  <c r="L603" i="2"/>
  <c r="W602" i="2"/>
  <c r="V602" i="2"/>
  <c r="U602" i="2"/>
  <c r="T602" i="2"/>
  <c r="S602" i="2"/>
  <c r="R602" i="2"/>
  <c r="Q602" i="2"/>
  <c r="P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AO741" i="3" s="1"/>
  <c r="AR741" i="3" s="1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O599" i="2"/>
  <c r="N599" i="2"/>
  <c r="AO739" i="3" s="1"/>
  <c r="AR739" i="3" s="1"/>
  <c r="L599" i="2"/>
  <c r="W598" i="2"/>
  <c r="V598" i="2"/>
  <c r="U598" i="2"/>
  <c r="T598" i="2"/>
  <c r="S598" i="2"/>
  <c r="R598" i="2"/>
  <c r="Q598" i="2"/>
  <c r="P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O595" i="2"/>
  <c r="N595" i="2"/>
  <c r="AO735" i="3" s="1"/>
  <c r="AR735" i="3" s="1"/>
  <c r="L595" i="2"/>
  <c r="W594" i="2"/>
  <c r="V594" i="2"/>
  <c r="U594" i="2"/>
  <c r="T594" i="2"/>
  <c r="S594" i="2"/>
  <c r="R594" i="2"/>
  <c r="Q594" i="2"/>
  <c r="P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AO733" i="3" s="1"/>
  <c r="AR733" i="3" s="1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O591" i="2"/>
  <c r="N591" i="2"/>
  <c r="AO731" i="3" s="1"/>
  <c r="AR731" i="3" s="1"/>
  <c r="L591" i="2"/>
  <c r="W590" i="2"/>
  <c r="V590" i="2"/>
  <c r="U590" i="2"/>
  <c r="T590" i="2"/>
  <c r="S590" i="2"/>
  <c r="R590" i="2"/>
  <c r="Q590" i="2"/>
  <c r="P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O587" i="2"/>
  <c r="N587" i="2"/>
  <c r="AO727" i="3" s="1"/>
  <c r="AR727" i="3" s="1"/>
  <c r="L587" i="2"/>
  <c r="W586" i="2"/>
  <c r="V586" i="2"/>
  <c r="U586" i="2"/>
  <c r="T586" i="2"/>
  <c r="S586" i="2"/>
  <c r="R586" i="2"/>
  <c r="Q586" i="2"/>
  <c r="P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AO725" i="3" s="1"/>
  <c r="AR725" i="3" s="1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O583" i="2"/>
  <c r="N583" i="2"/>
  <c r="AO723" i="3" s="1"/>
  <c r="AR723" i="3" s="1"/>
  <c r="L583" i="2"/>
  <c r="W582" i="2"/>
  <c r="V582" i="2"/>
  <c r="U582" i="2"/>
  <c r="T582" i="2"/>
  <c r="S582" i="2"/>
  <c r="R582" i="2"/>
  <c r="Q582" i="2"/>
  <c r="P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O579" i="2"/>
  <c r="N579" i="2"/>
  <c r="AO719" i="3" s="1"/>
  <c r="AR719" i="3" s="1"/>
  <c r="L579" i="2"/>
  <c r="W578" i="2"/>
  <c r="V578" i="2"/>
  <c r="U578" i="2"/>
  <c r="T578" i="2"/>
  <c r="S578" i="2"/>
  <c r="R578" i="2"/>
  <c r="Q578" i="2"/>
  <c r="P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AO717" i="3" s="1"/>
  <c r="AR717" i="3" s="1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O575" i="2"/>
  <c r="N575" i="2"/>
  <c r="AO715" i="3" s="1"/>
  <c r="AR715" i="3" s="1"/>
  <c r="L575" i="2"/>
  <c r="W574" i="2"/>
  <c r="V574" i="2"/>
  <c r="U574" i="2"/>
  <c r="T574" i="2"/>
  <c r="S574" i="2"/>
  <c r="R574" i="2"/>
  <c r="Q574" i="2"/>
  <c r="P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O571" i="2"/>
  <c r="N571" i="2"/>
  <c r="AO711" i="3" s="1"/>
  <c r="AR711" i="3" s="1"/>
  <c r="L571" i="2"/>
  <c r="W570" i="2"/>
  <c r="V570" i="2"/>
  <c r="U570" i="2"/>
  <c r="T570" i="2"/>
  <c r="S570" i="2"/>
  <c r="R570" i="2"/>
  <c r="Q570" i="2"/>
  <c r="P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AO709" i="3" s="1"/>
  <c r="AR709" i="3" s="1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O567" i="2"/>
  <c r="N567" i="2"/>
  <c r="AO707" i="3" s="1"/>
  <c r="AR707" i="3" s="1"/>
  <c r="L567" i="2"/>
  <c r="W566" i="2"/>
  <c r="V566" i="2"/>
  <c r="U566" i="2"/>
  <c r="T566" i="2"/>
  <c r="S566" i="2"/>
  <c r="R566" i="2"/>
  <c r="Q566" i="2"/>
  <c r="P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O563" i="2"/>
  <c r="N563" i="2"/>
  <c r="AO703" i="3" s="1"/>
  <c r="AR703" i="3" s="1"/>
  <c r="L563" i="2"/>
  <c r="W562" i="2"/>
  <c r="V562" i="2"/>
  <c r="U562" i="2"/>
  <c r="T562" i="2"/>
  <c r="S562" i="2"/>
  <c r="R562" i="2"/>
  <c r="Q562" i="2"/>
  <c r="P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AO701" i="3" s="1"/>
  <c r="AR701" i="3" s="1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O559" i="2"/>
  <c r="N559" i="2"/>
  <c r="AO699" i="3" s="1"/>
  <c r="AR699" i="3" s="1"/>
  <c r="L559" i="2"/>
  <c r="W558" i="2"/>
  <c r="V558" i="2"/>
  <c r="U558" i="2"/>
  <c r="T558" i="2"/>
  <c r="S558" i="2"/>
  <c r="R558" i="2"/>
  <c r="Q558" i="2"/>
  <c r="P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AO697" i="3" s="1"/>
  <c r="AR697" i="3" s="1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O555" i="2"/>
  <c r="N555" i="2"/>
  <c r="AO695" i="3" s="1"/>
  <c r="AR695" i="3" s="1"/>
  <c r="L555" i="2"/>
  <c r="W554" i="2"/>
  <c r="V554" i="2"/>
  <c r="U554" i="2"/>
  <c r="T554" i="2"/>
  <c r="S554" i="2"/>
  <c r="R554" i="2"/>
  <c r="Q554" i="2"/>
  <c r="P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AO693" i="3" s="1"/>
  <c r="AR693" i="3" s="1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O551" i="2"/>
  <c r="N551" i="2"/>
  <c r="AO691" i="3" s="1"/>
  <c r="AR691" i="3" s="1"/>
  <c r="L551" i="2"/>
  <c r="W550" i="2"/>
  <c r="V550" i="2"/>
  <c r="U550" i="2"/>
  <c r="T550" i="2"/>
  <c r="S550" i="2"/>
  <c r="R550" i="2"/>
  <c r="Q550" i="2"/>
  <c r="P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O547" i="2"/>
  <c r="N547" i="2"/>
  <c r="AO687" i="3" s="1"/>
  <c r="AR687" i="3" s="1"/>
  <c r="L547" i="2"/>
  <c r="W546" i="2"/>
  <c r="V546" i="2"/>
  <c r="U546" i="2"/>
  <c r="T546" i="2"/>
  <c r="S546" i="2"/>
  <c r="R546" i="2"/>
  <c r="Q546" i="2"/>
  <c r="P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AO685" i="3" s="1"/>
  <c r="AR685" i="3" s="1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O543" i="2"/>
  <c r="N543" i="2"/>
  <c r="AO683" i="3" s="1"/>
  <c r="AR683" i="3" s="1"/>
  <c r="L543" i="2"/>
  <c r="W542" i="2"/>
  <c r="V542" i="2"/>
  <c r="U542" i="2"/>
  <c r="T542" i="2"/>
  <c r="S542" i="2"/>
  <c r="R542" i="2"/>
  <c r="Q542" i="2"/>
  <c r="P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AO681" i="3" s="1"/>
  <c r="AR681" i="3" s="1"/>
  <c r="L541" i="2"/>
  <c r="W540" i="2"/>
  <c r="V540" i="2"/>
  <c r="U540" i="2"/>
  <c r="T540" i="2"/>
  <c r="S540" i="2"/>
  <c r="R540" i="2"/>
  <c r="Q540" i="2"/>
  <c r="P540" i="2"/>
  <c r="N540" i="2"/>
  <c r="L540" i="2"/>
  <c r="W539" i="2"/>
  <c r="V539" i="2"/>
  <c r="U539" i="2"/>
  <c r="T539" i="2"/>
  <c r="S539" i="2"/>
  <c r="R539" i="2"/>
  <c r="Q539" i="2"/>
  <c r="P539" i="2"/>
  <c r="O539" i="2"/>
  <c r="N539" i="2"/>
  <c r="AO679" i="3" s="1"/>
  <c r="AR679" i="3" s="1"/>
  <c r="L539" i="2"/>
  <c r="W538" i="2"/>
  <c r="V538" i="2"/>
  <c r="U538" i="2"/>
  <c r="T538" i="2"/>
  <c r="S538" i="2"/>
  <c r="R538" i="2"/>
  <c r="Q538" i="2"/>
  <c r="P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AO677" i="3" s="1"/>
  <c r="AR677" i="3" s="1"/>
  <c r="L537" i="2"/>
  <c r="W536" i="2"/>
  <c r="V536" i="2"/>
  <c r="U536" i="2"/>
  <c r="T536" i="2"/>
  <c r="S536" i="2"/>
  <c r="R536" i="2"/>
  <c r="Q536" i="2"/>
  <c r="P536" i="2"/>
  <c r="N536" i="2"/>
  <c r="L536" i="2"/>
  <c r="W535" i="2"/>
  <c r="V535" i="2"/>
  <c r="U535" i="2"/>
  <c r="T535" i="2"/>
  <c r="S535" i="2"/>
  <c r="R535" i="2"/>
  <c r="Q535" i="2"/>
  <c r="P535" i="2"/>
  <c r="O535" i="2"/>
  <c r="N535" i="2"/>
  <c r="AO675" i="3" s="1"/>
  <c r="AR675" i="3" s="1"/>
  <c r="L535" i="2"/>
  <c r="W534" i="2"/>
  <c r="V534" i="2"/>
  <c r="U534" i="2"/>
  <c r="T534" i="2"/>
  <c r="S534" i="2"/>
  <c r="R534" i="2"/>
  <c r="Q534" i="2"/>
  <c r="P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L532" i="2"/>
  <c r="W531" i="2"/>
  <c r="V531" i="2"/>
  <c r="U531" i="2"/>
  <c r="T531" i="2"/>
  <c r="S531" i="2"/>
  <c r="R531" i="2"/>
  <c r="Q531" i="2"/>
  <c r="P531" i="2"/>
  <c r="O531" i="2"/>
  <c r="N531" i="2"/>
  <c r="AO671" i="3" s="1"/>
  <c r="AR671" i="3" s="1"/>
  <c r="L531" i="2"/>
  <c r="W530" i="2"/>
  <c r="V530" i="2"/>
  <c r="U530" i="2"/>
  <c r="T530" i="2"/>
  <c r="S530" i="2"/>
  <c r="R530" i="2"/>
  <c r="Q530" i="2"/>
  <c r="P530" i="2"/>
  <c r="N530" i="2"/>
  <c r="L530" i="2"/>
  <c r="W529" i="2"/>
  <c r="V529" i="2"/>
  <c r="U529" i="2"/>
  <c r="T529" i="2"/>
  <c r="S529" i="2"/>
  <c r="R529" i="2"/>
  <c r="Q529" i="2"/>
  <c r="P529" i="2"/>
  <c r="O529" i="2"/>
  <c r="N529" i="2"/>
  <c r="AO669" i="3" s="1"/>
  <c r="AR669" i="3" s="1"/>
  <c r="L529" i="2"/>
  <c r="W528" i="2"/>
  <c r="V528" i="2"/>
  <c r="U528" i="2"/>
  <c r="T528" i="2"/>
  <c r="S528" i="2"/>
  <c r="R528" i="2"/>
  <c r="Q528" i="2"/>
  <c r="P528" i="2"/>
  <c r="N528" i="2"/>
  <c r="L528" i="2"/>
  <c r="W527" i="2"/>
  <c r="V527" i="2"/>
  <c r="U527" i="2"/>
  <c r="T527" i="2"/>
  <c r="S527" i="2"/>
  <c r="R527" i="2"/>
  <c r="Q527" i="2"/>
  <c r="P527" i="2"/>
  <c r="O527" i="2"/>
  <c r="N527" i="2"/>
  <c r="AO667" i="3" s="1"/>
  <c r="AR667" i="3" s="1"/>
  <c r="L527" i="2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AO665" i="3" s="1"/>
  <c r="AR665" i="3" s="1"/>
  <c r="L525" i="2"/>
  <c r="W524" i="2"/>
  <c r="V524" i="2"/>
  <c r="U524" i="2"/>
  <c r="T524" i="2"/>
  <c r="S524" i="2"/>
  <c r="R524" i="2"/>
  <c r="Q524" i="2"/>
  <c r="P524" i="2"/>
  <c r="N524" i="2"/>
  <c r="L524" i="2"/>
  <c r="W523" i="2"/>
  <c r="V523" i="2"/>
  <c r="U523" i="2"/>
  <c r="T523" i="2"/>
  <c r="S523" i="2"/>
  <c r="R523" i="2"/>
  <c r="Q523" i="2"/>
  <c r="P523" i="2"/>
  <c r="O523" i="2"/>
  <c r="N523" i="2"/>
  <c r="AO663" i="3" s="1"/>
  <c r="AR663" i="3" s="1"/>
  <c r="L523" i="2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AO661" i="3" s="1"/>
  <c r="AR661" i="3" s="1"/>
  <c r="L521" i="2"/>
  <c r="W520" i="2"/>
  <c r="V520" i="2"/>
  <c r="U520" i="2"/>
  <c r="T520" i="2"/>
  <c r="S520" i="2"/>
  <c r="R520" i="2"/>
  <c r="Q520" i="2"/>
  <c r="P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AO659" i="3" s="1"/>
  <c r="AR659" i="3" s="1"/>
  <c r="L519" i="2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O517" i="2"/>
  <c r="N517" i="2"/>
  <c r="AO657" i="3" s="1"/>
  <c r="AR657" i="3" s="1"/>
  <c r="L517" i="2"/>
  <c r="W516" i="2"/>
  <c r="V516" i="2"/>
  <c r="U516" i="2"/>
  <c r="T516" i="2"/>
  <c r="S516" i="2"/>
  <c r="R516" i="2"/>
  <c r="Q516" i="2"/>
  <c r="P516" i="2"/>
  <c r="N516" i="2"/>
  <c r="L516" i="2"/>
  <c r="W515" i="2"/>
  <c r="V515" i="2"/>
  <c r="U515" i="2"/>
  <c r="T515" i="2"/>
  <c r="S515" i="2"/>
  <c r="R515" i="2"/>
  <c r="Q515" i="2"/>
  <c r="P515" i="2"/>
  <c r="O515" i="2"/>
  <c r="N515" i="2"/>
  <c r="AO655" i="3" s="1"/>
  <c r="AR655" i="3" s="1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AO653" i="3" s="1"/>
  <c r="AR653" i="3" s="1"/>
  <c r="L513" i="2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O511" i="2"/>
  <c r="N511" i="2"/>
  <c r="AO651" i="3" s="1"/>
  <c r="AR651" i="3" s="1"/>
  <c r="L511" i="2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AO649" i="3" s="1"/>
  <c r="AR649" i="3" s="1"/>
  <c r="L509" i="2"/>
  <c r="W508" i="2"/>
  <c r="V508" i="2"/>
  <c r="U508" i="2"/>
  <c r="T508" i="2"/>
  <c r="S508" i="2"/>
  <c r="R508" i="2"/>
  <c r="Q508" i="2"/>
  <c r="P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AO647" i="3" s="1"/>
  <c r="AR647" i="3" s="1"/>
  <c r="L507" i="2"/>
  <c r="W506" i="2"/>
  <c r="V506" i="2"/>
  <c r="U506" i="2"/>
  <c r="T506" i="2"/>
  <c r="S506" i="2"/>
  <c r="R506" i="2"/>
  <c r="Q506" i="2"/>
  <c r="P506" i="2"/>
  <c r="O506" i="2"/>
  <c r="N506" i="2"/>
  <c r="AO646" i="3" s="1"/>
  <c r="AR646" i="3" s="1"/>
  <c r="L506" i="2"/>
  <c r="W505" i="2"/>
  <c r="V505" i="2"/>
  <c r="U505" i="2"/>
  <c r="T505" i="2"/>
  <c r="S505" i="2"/>
  <c r="R505" i="2"/>
  <c r="Q505" i="2"/>
  <c r="P505" i="2"/>
  <c r="N505" i="2"/>
  <c r="AO645" i="3" s="1"/>
  <c r="AR645" i="3" s="1"/>
  <c r="L505" i="2"/>
  <c r="W504" i="2"/>
  <c r="V504" i="2"/>
  <c r="U504" i="2"/>
  <c r="T504" i="2"/>
  <c r="S504" i="2"/>
  <c r="R504" i="2"/>
  <c r="Q504" i="2"/>
  <c r="P504" i="2"/>
  <c r="N504" i="2"/>
  <c r="L504" i="2"/>
  <c r="W503" i="2"/>
  <c r="V503" i="2"/>
  <c r="U503" i="2"/>
  <c r="T503" i="2"/>
  <c r="S503" i="2"/>
  <c r="R503" i="2"/>
  <c r="Q503" i="2"/>
  <c r="P503" i="2"/>
  <c r="O503" i="2"/>
  <c r="N503" i="2"/>
  <c r="AO643" i="3" s="1"/>
  <c r="AR643" i="3" s="1"/>
  <c r="L503" i="2"/>
  <c r="W502" i="2"/>
  <c r="V502" i="2"/>
  <c r="U502" i="2"/>
  <c r="T502" i="2"/>
  <c r="S502" i="2"/>
  <c r="R502" i="2"/>
  <c r="Q502" i="2"/>
  <c r="P502" i="2"/>
  <c r="N502" i="2"/>
  <c r="AO642" i="3" s="1"/>
  <c r="AR642" i="3" s="1"/>
  <c r="L502" i="2"/>
  <c r="W501" i="2"/>
  <c r="V501" i="2"/>
  <c r="U501" i="2"/>
  <c r="T501" i="2"/>
  <c r="S501" i="2"/>
  <c r="R501" i="2"/>
  <c r="Q501" i="2"/>
  <c r="P501" i="2"/>
  <c r="N501" i="2"/>
  <c r="AO641" i="3" s="1"/>
  <c r="AR641" i="3" s="1"/>
  <c r="L501" i="2"/>
  <c r="W500" i="2"/>
  <c r="V500" i="2"/>
  <c r="U500" i="2"/>
  <c r="T500" i="2"/>
  <c r="S500" i="2"/>
  <c r="R500" i="2"/>
  <c r="Q500" i="2"/>
  <c r="P500" i="2"/>
  <c r="N500" i="2"/>
  <c r="L500" i="2"/>
  <c r="W499" i="2"/>
  <c r="V499" i="2"/>
  <c r="U499" i="2"/>
  <c r="T499" i="2"/>
  <c r="S499" i="2"/>
  <c r="R499" i="2"/>
  <c r="Q499" i="2"/>
  <c r="P499" i="2"/>
  <c r="O499" i="2"/>
  <c r="N499" i="2"/>
  <c r="AO639" i="3" s="1"/>
  <c r="AR639" i="3" s="1"/>
  <c r="L499" i="2"/>
  <c r="W498" i="2"/>
  <c r="V498" i="2"/>
  <c r="U498" i="2"/>
  <c r="T498" i="2"/>
  <c r="S498" i="2"/>
  <c r="R498" i="2"/>
  <c r="Q498" i="2"/>
  <c r="P498" i="2"/>
  <c r="N498" i="2"/>
  <c r="AO638" i="3" s="1"/>
  <c r="AR638" i="3" s="1"/>
  <c r="L498" i="2"/>
  <c r="W497" i="2"/>
  <c r="V497" i="2"/>
  <c r="U497" i="2"/>
  <c r="T497" i="2"/>
  <c r="S497" i="2"/>
  <c r="R497" i="2"/>
  <c r="Q497" i="2"/>
  <c r="P497" i="2"/>
  <c r="O497" i="2"/>
  <c r="N497" i="2"/>
  <c r="AO637" i="3" s="1"/>
  <c r="AR637" i="3" s="1"/>
  <c r="L497" i="2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O495" i="2"/>
  <c r="N495" i="2"/>
  <c r="AO635" i="3" s="1"/>
  <c r="AR635" i="3" s="1"/>
  <c r="L495" i="2"/>
  <c r="W494" i="2"/>
  <c r="V494" i="2"/>
  <c r="U494" i="2"/>
  <c r="T494" i="2"/>
  <c r="S494" i="2"/>
  <c r="R494" i="2"/>
  <c r="Q494" i="2"/>
  <c r="P494" i="2"/>
  <c r="N494" i="2"/>
  <c r="AO634" i="3" s="1"/>
  <c r="AR634" i="3" s="1"/>
  <c r="L494" i="2"/>
  <c r="W493" i="2"/>
  <c r="V493" i="2"/>
  <c r="U493" i="2"/>
  <c r="T493" i="2"/>
  <c r="S493" i="2"/>
  <c r="R493" i="2"/>
  <c r="Q493" i="2"/>
  <c r="P493" i="2"/>
  <c r="O493" i="2"/>
  <c r="N493" i="2"/>
  <c r="AO633" i="3" s="1"/>
  <c r="AR633" i="3" s="1"/>
  <c r="L493" i="2"/>
  <c r="W492" i="2"/>
  <c r="V492" i="2"/>
  <c r="U492" i="2"/>
  <c r="T492" i="2"/>
  <c r="S492" i="2"/>
  <c r="R492" i="2"/>
  <c r="Q492" i="2"/>
  <c r="P492" i="2"/>
  <c r="N492" i="2"/>
  <c r="L492" i="2"/>
  <c r="W491" i="2"/>
  <c r="V491" i="2"/>
  <c r="U491" i="2"/>
  <c r="T491" i="2"/>
  <c r="S491" i="2"/>
  <c r="R491" i="2"/>
  <c r="Q491" i="2"/>
  <c r="P491" i="2"/>
  <c r="O491" i="2"/>
  <c r="N491" i="2"/>
  <c r="AO631" i="3" s="1"/>
  <c r="AR631" i="3" s="1"/>
  <c r="L491" i="2"/>
  <c r="W490" i="2"/>
  <c r="V490" i="2"/>
  <c r="U490" i="2"/>
  <c r="T490" i="2"/>
  <c r="S490" i="2"/>
  <c r="R490" i="2"/>
  <c r="Q490" i="2"/>
  <c r="P490" i="2"/>
  <c r="O490" i="2"/>
  <c r="N490" i="2"/>
  <c r="AO630" i="3" s="1"/>
  <c r="AR630" i="3" s="1"/>
  <c r="L490" i="2"/>
  <c r="W489" i="2"/>
  <c r="V489" i="2"/>
  <c r="U489" i="2"/>
  <c r="T489" i="2"/>
  <c r="S489" i="2"/>
  <c r="R489" i="2"/>
  <c r="Q489" i="2"/>
  <c r="P489" i="2"/>
  <c r="N489" i="2"/>
  <c r="AO629" i="3" s="1"/>
  <c r="AR629" i="3" s="1"/>
  <c r="L489" i="2"/>
  <c r="W488" i="2"/>
  <c r="V488" i="2"/>
  <c r="U488" i="2"/>
  <c r="T488" i="2"/>
  <c r="S488" i="2"/>
  <c r="R488" i="2"/>
  <c r="Q488" i="2"/>
  <c r="P488" i="2"/>
  <c r="N488" i="2"/>
  <c r="L488" i="2"/>
  <c r="W487" i="2"/>
  <c r="V487" i="2"/>
  <c r="U487" i="2"/>
  <c r="T487" i="2"/>
  <c r="S487" i="2"/>
  <c r="R487" i="2"/>
  <c r="Q487" i="2"/>
  <c r="P487" i="2"/>
  <c r="O487" i="2"/>
  <c r="N487" i="2"/>
  <c r="AO627" i="3" s="1"/>
  <c r="AR627" i="3" s="1"/>
  <c r="L487" i="2"/>
  <c r="W486" i="2"/>
  <c r="V486" i="2"/>
  <c r="U486" i="2"/>
  <c r="T486" i="2"/>
  <c r="S486" i="2"/>
  <c r="R486" i="2"/>
  <c r="Q486" i="2"/>
  <c r="P486" i="2"/>
  <c r="N486" i="2"/>
  <c r="AO626" i="3" s="1"/>
  <c r="AR626" i="3" s="1"/>
  <c r="L486" i="2"/>
  <c r="W485" i="2"/>
  <c r="V485" i="2"/>
  <c r="U485" i="2"/>
  <c r="T485" i="2"/>
  <c r="S485" i="2"/>
  <c r="R485" i="2"/>
  <c r="Q485" i="2"/>
  <c r="P485" i="2"/>
  <c r="N485" i="2"/>
  <c r="AO625" i="3" s="1"/>
  <c r="AR625" i="3" s="1"/>
  <c r="L485" i="2"/>
  <c r="W484" i="2"/>
  <c r="V484" i="2"/>
  <c r="U484" i="2"/>
  <c r="T484" i="2"/>
  <c r="S484" i="2"/>
  <c r="R484" i="2"/>
  <c r="Q484" i="2"/>
  <c r="P484" i="2"/>
  <c r="N484" i="2"/>
  <c r="L484" i="2"/>
  <c r="W483" i="2"/>
  <c r="V483" i="2"/>
  <c r="U483" i="2"/>
  <c r="T483" i="2"/>
  <c r="S483" i="2"/>
  <c r="R483" i="2"/>
  <c r="Q483" i="2"/>
  <c r="P483" i="2"/>
  <c r="O483" i="2"/>
  <c r="N483" i="2"/>
  <c r="AO623" i="3" s="1"/>
  <c r="AR623" i="3" s="1"/>
  <c r="L483" i="2"/>
  <c r="W482" i="2"/>
  <c r="V482" i="2"/>
  <c r="U482" i="2"/>
  <c r="T482" i="2"/>
  <c r="S482" i="2"/>
  <c r="R482" i="2"/>
  <c r="Q482" i="2"/>
  <c r="P482" i="2"/>
  <c r="N482" i="2"/>
  <c r="AO622" i="3" s="1"/>
  <c r="AR622" i="3" s="1"/>
  <c r="L482" i="2"/>
  <c r="W481" i="2"/>
  <c r="V481" i="2"/>
  <c r="U481" i="2"/>
  <c r="T481" i="2"/>
  <c r="S481" i="2"/>
  <c r="R481" i="2"/>
  <c r="Q481" i="2"/>
  <c r="P481" i="2"/>
  <c r="O481" i="2"/>
  <c r="N481" i="2"/>
  <c r="AO621" i="3" s="1"/>
  <c r="AR621" i="3" s="1"/>
  <c r="L481" i="2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O479" i="2"/>
  <c r="N479" i="2"/>
  <c r="AO619" i="3" s="1"/>
  <c r="AR619" i="3" s="1"/>
  <c r="L479" i="2"/>
  <c r="W478" i="2"/>
  <c r="V478" i="2"/>
  <c r="U478" i="2"/>
  <c r="T478" i="2"/>
  <c r="S478" i="2"/>
  <c r="R478" i="2"/>
  <c r="Q478" i="2"/>
  <c r="P478" i="2"/>
  <c r="N478" i="2"/>
  <c r="AO618" i="3" s="1"/>
  <c r="AR618" i="3" s="1"/>
  <c r="L478" i="2"/>
  <c r="W477" i="2"/>
  <c r="V477" i="2"/>
  <c r="U477" i="2"/>
  <c r="T477" i="2"/>
  <c r="S477" i="2"/>
  <c r="R477" i="2"/>
  <c r="Q477" i="2"/>
  <c r="P477" i="2"/>
  <c r="O477" i="2"/>
  <c r="N477" i="2"/>
  <c r="AO617" i="3" s="1"/>
  <c r="AR617" i="3" s="1"/>
  <c r="L477" i="2"/>
  <c r="W476" i="2"/>
  <c r="V476" i="2"/>
  <c r="U476" i="2"/>
  <c r="T476" i="2"/>
  <c r="S476" i="2"/>
  <c r="R476" i="2"/>
  <c r="Q476" i="2"/>
  <c r="P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AO615" i="3" s="1"/>
  <c r="AR615" i="3" s="1"/>
  <c r="L475" i="2"/>
  <c r="W474" i="2"/>
  <c r="V474" i="2"/>
  <c r="U474" i="2"/>
  <c r="T474" i="2"/>
  <c r="S474" i="2"/>
  <c r="R474" i="2"/>
  <c r="Q474" i="2"/>
  <c r="P474" i="2"/>
  <c r="O474" i="2"/>
  <c r="N474" i="2"/>
  <c r="AO614" i="3" s="1"/>
  <c r="AR614" i="3" s="1"/>
  <c r="L474" i="2"/>
  <c r="W473" i="2"/>
  <c r="V473" i="2"/>
  <c r="U473" i="2"/>
  <c r="T473" i="2"/>
  <c r="S473" i="2"/>
  <c r="R473" i="2"/>
  <c r="Q473" i="2"/>
  <c r="P473" i="2"/>
  <c r="N473" i="2"/>
  <c r="AO613" i="3" s="1"/>
  <c r="AR613" i="3" s="1"/>
  <c r="L473" i="2"/>
  <c r="W472" i="2"/>
  <c r="V472" i="2"/>
  <c r="U472" i="2"/>
  <c r="T472" i="2"/>
  <c r="S472" i="2"/>
  <c r="R472" i="2"/>
  <c r="Q472" i="2"/>
  <c r="P472" i="2"/>
  <c r="N472" i="2"/>
  <c r="L472" i="2"/>
  <c r="W471" i="2"/>
  <c r="V471" i="2"/>
  <c r="U471" i="2"/>
  <c r="T471" i="2"/>
  <c r="S471" i="2"/>
  <c r="R471" i="2"/>
  <c r="Q471" i="2"/>
  <c r="P471" i="2"/>
  <c r="O471" i="2"/>
  <c r="N471" i="2"/>
  <c r="AO611" i="3" s="1"/>
  <c r="AR611" i="3" s="1"/>
  <c r="L471" i="2"/>
  <c r="W470" i="2"/>
  <c r="V470" i="2"/>
  <c r="U470" i="2"/>
  <c r="T470" i="2"/>
  <c r="S470" i="2"/>
  <c r="R470" i="2"/>
  <c r="Q470" i="2"/>
  <c r="P470" i="2"/>
  <c r="N470" i="2"/>
  <c r="AO610" i="3" s="1"/>
  <c r="AR610" i="3" s="1"/>
  <c r="L470" i="2"/>
  <c r="W469" i="2"/>
  <c r="V469" i="2"/>
  <c r="U469" i="2"/>
  <c r="T469" i="2"/>
  <c r="S469" i="2"/>
  <c r="R469" i="2"/>
  <c r="Q469" i="2"/>
  <c r="P469" i="2"/>
  <c r="N469" i="2"/>
  <c r="AO609" i="3" s="1"/>
  <c r="AR609" i="3" s="1"/>
  <c r="L469" i="2"/>
  <c r="W468" i="2"/>
  <c r="V468" i="2"/>
  <c r="U468" i="2"/>
  <c r="T468" i="2"/>
  <c r="S468" i="2"/>
  <c r="R468" i="2"/>
  <c r="Q468" i="2"/>
  <c r="P468" i="2"/>
  <c r="N468" i="2"/>
  <c r="L468" i="2"/>
  <c r="W467" i="2"/>
  <c r="V467" i="2"/>
  <c r="U467" i="2"/>
  <c r="T467" i="2"/>
  <c r="S467" i="2"/>
  <c r="R467" i="2"/>
  <c r="Q467" i="2"/>
  <c r="P467" i="2"/>
  <c r="N467" i="2"/>
  <c r="AO607" i="3" s="1"/>
  <c r="AR607" i="3" s="1"/>
  <c r="L467" i="2"/>
  <c r="W466" i="2"/>
  <c r="V466" i="2"/>
  <c r="U466" i="2"/>
  <c r="T466" i="2"/>
  <c r="S466" i="2"/>
  <c r="R466" i="2"/>
  <c r="Q466" i="2"/>
  <c r="P466" i="2"/>
  <c r="N466" i="2"/>
  <c r="AO606" i="3" s="1"/>
  <c r="AR606" i="3" s="1"/>
  <c r="L466" i="2"/>
  <c r="W465" i="2"/>
  <c r="V465" i="2"/>
  <c r="U465" i="2"/>
  <c r="T465" i="2"/>
  <c r="S465" i="2"/>
  <c r="R465" i="2"/>
  <c r="Q465" i="2"/>
  <c r="P465" i="2"/>
  <c r="O465" i="2"/>
  <c r="N465" i="2"/>
  <c r="AO605" i="3" s="1"/>
  <c r="AR605" i="3" s="1"/>
  <c r="L465" i="2"/>
  <c r="W464" i="2"/>
  <c r="V464" i="2"/>
  <c r="U464" i="2"/>
  <c r="T464" i="2"/>
  <c r="S464" i="2"/>
  <c r="R464" i="2"/>
  <c r="Q464" i="2"/>
  <c r="P464" i="2"/>
  <c r="O464" i="2"/>
  <c r="N464" i="2"/>
  <c r="AO604" i="3" s="1"/>
  <c r="AR604" i="3" s="1"/>
  <c r="L464" i="2"/>
  <c r="W463" i="2"/>
  <c r="V463" i="2"/>
  <c r="U463" i="2"/>
  <c r="T463" i="2"/>
  <c r="S463" i="2"/>
  <c r="R463" i="2"/>
  <c r="Q463" i="2"/>
  <c r="P463" i="2"/>
  <c r="N463" i="2"/>
  <c r="AO603" i="3" s="1"/>
  <c r="AR603" i="3" s="1"/>
  <c r="L463" i="2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O461" i="2"/>
  <c r="N461" i="2"/>
  <c r="AO601" i="3" s="1"/>
  <c r="AR601" i="3" s="1"/>
  <c r="L461" i="2"/>
  <c r="W460" i="2"/>
  <c r="V460" i="2"/>
  <c r="U460" i="2"/>
  <c r="T460" i="2"/>
  <c r="S460" i="2"/>
  <c r="R460" i="2"/>
  <c r="Q460" i="2"/>
  <c r="P460" i="2"/>
  <c r="O460" i="2"/>
  <c r="N460" i="2"/>
  <c r="AO600" i="3" s="1"/>
  <c r="AR600" i="3" s="1"/>
  <c r="L460" i="2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O457" i="2"/>
  <c r="N457" i="2"/>
  <c r="AO597" i="3" s="1"/>
  <c r="AR597" i="3" s="1"/>
  <c r="L457" i="2"/>
  <c r="W456" i="2"/>
  <c r="V456" i="2"/>
  <c r="U456" i="2"/>
  <c r="T456" i="2"/>
  <c r="S456" i="2"/>
  <c r="R456" i="2"/>
  <c r="Q456" i="2"/>
  <c r="P456" i="2"/>
  <c r="O456" i="2"/>
  <c r="N456" i="2"/>
  <c r="AO596" i="3" s="1"/>
  <c r="AR596" i="3" s="1"/>
  <c r="L456" i="2"/>
  <c r="W455" i="2"/>
  <c r="V455" i="2"/>
  <c r="U455" i="2"/>
  <c r="T455" i="2"/>
  <c r="S455" i="2"/>
  <c r="R455" i="2"/>
  <c r="Q455" i="2"/>
  <c r="P455" i="2"/>
  <c r="N455" i="2"/>
  <c r="AO595" i="3" s="1"/>
  <c r="AR595" i="3" s="1"/>
  <c r="L455" i="2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O453" i="2"/>
  <c r="N453" i="2"/>
  <c r="AO593" i="3" s="1"/>
  <c r="AR593" i="3" s="1"/>
  <c r="L453" i="2"/>
  <c r="W452" i="2"/>
  <c r="V452" i="2"/>
  <c r="U452" i="2"/>
  <c r="T452" i="2"/>
  <c r="S452" i="2"/>
  <c r="R452" i="2"/>
  <c r="Q452" i="2"/>
  <c r="P452" i="2"/>
  <c r="O452" i="2"/>
  <c r="N452" i="2"/>
  <c r="AO592" i="3" s="1"/>
  <c r="AR592" i="3" s="1"/>
  <c r="L452" i="2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O449" i="2"/>
  <c r="N449" i="2"/>
  <c r="AO589" i="3" s="1"/>
  <c r="AR589" i="3" s="1"/>
  <c r="L449" i="2"/>
  <c r="W448" i="2"/>
  <c r="V448" i="2"/>
  <c r="U448" i="2"/>
  <c r="T448" i="2"/>
  <c r="S448" i="2"/>
  <c r="R448" i="2"/>
  <c r="Q448" i="2"/>
  <c r="P448" i="2"/>
  <c r="O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O445" i="2"/>
  <c r="N445" i="2"/>
  <c r="AO585" i="3" s="1"/>
  <c r="AR585" i="3" s="1"/>
  <c r="L445" i="2"/>
  <c r="W444" i="2"/>
  <c r="V444" i="2"/>
  <c r="U444" i="2"/>
  <c r="T444" i="2"/>
  <c r="S444" i="2"/>
  <c r="R444" i="2"/>
  <c r="Q444" i="2"/>
  <c r="P444" i="2"/>
  <c r="O444" i="2"/>
  <c r="N444" i="2"/>
  <c r="AO584" i="3" s="1"/>
  <c r="AR584" i="3" s="1"/>
  <c r="L444" i="2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O441" i="2"/>
  <c r="N441" i="2"/>
  <c r="AO581" i="3" s="1"/>
  <c r="AR581" i="3" s="1"/>
  <c r="L441" i="2"/>
  <c r="W440" i="2"/>
  <c r="V440" i="2"/>
  <c r="U440" i="2"/>
  <c r="T440" i="2"/>
  <c r="S440" i="2"/>
  <c r="R440" i="2"/>
  <c r="Q440" i="2"/>
  <c r="P440" i="2"/>
  <c r="O440" i="2"/>
  <c r="N440" i="2"/>
  <c r="AO580" i="3" s="1"/>
  <c r="AR580" i="3" s="1"/>
  <c r="L440" i="2"/>
  <c r="W439" i="2"/>
  <c r="V439" i="2"/>
  <c r="U439" i="2"/>
  <c r="T439" i="2"/>
  <c r="S439" i="2"/>
  <c r="R439" i="2"/>
  <c r="Q439" i="2"/>
  <c r="P439" i="2"/>
  <c r="N439" i="2"/>
  <c r="AO579" i="3" s="1"/>
  <c r="AR579" i="3" s="1"/>
  <c r="L439" i="2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L437" i="2"/>
  <c r="W436" i="2"/>
  <c r="V436" i="2"/>
  <c r="U436" i="2"/>
  <c r="T436" i="2"/>
  <c r="S436" i="2"/>
  <c r="R436" i="2"/>
  <c r="Q436" i="2"/>
  <c r="P436" i="2"/>
  <c r="O436" i="2"/>
  <c r="N436" i="2"/>
  <c r="AO576" i="3" s="1"/>
  <c r="AR576" i="3" s="1"/>
  <c r="L436" i="2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AO573" i="3" s="1"/>
  <c r="AR573" i="3" s="1"/>
  <c r="L433" i="2"/>
  <c r="W432" i="2"/>
  <c r="V432" i="2"/>
  <c r="U432" i="2"/>
  <c r="T432" i="2"/>
  <c r="S432" i="2"/>
  <c r="R432" i="2"/>
  <c r="Q432" i="2"/>
  <c r="P432" i="2"/>
  <c r="O432" i="2"/>
  <c r="N432" i="2"/>
  <c r="AO572" i="3" s="1"/>
  <c r="AR572" i="3" s="1"/>
  <c r="L432" i="2"/>
  <c r="W431" i="2"/>
  <c r="V431" i="2"/>
  <c r="U431" i="2"/>
  <c r="T431" i="2"/>
  <c r="S431" i="2"/>
  <c r="R431" i="2"/>
  <c r="Q431" i="2"/>
  <c r="P431" i="2"/>
  <c r="N431" i="2"/>
  <c r="AO571" i="3" s="1"/>
  <c r="AR571" i="3" s="1"/>
  <c r="L431" i="2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N429" i="2"/>
  <c r="AO569" i="3" s="1"/>
  <c r="AR569" i="3" s="1"/>
  <c r="L429" i="2"/>
  <c r="W428" i="2"/>
  <c r="V428" i="2"/>
  <c r="U428" i="2"/>
  <c r="T428" i="2"/>
  <c r="S428" i="2"/>
  <c r="R428" i="2"/>
  <c r="Q428" i="2"/>
  <c r="P428" i="2"/>
  <c r="O428" i="2"/>
  <c r="N428" i="2"/>
  <c r="AO568" i="3" s="1"/>
  <c r="AR568" i="3" s="1"/>
  <c r="L428" i="2"/>
  <c r="W427" i="2"/>
  <c r="V427" i="2"/>
  <c r="U427" i="2"/>
  <c r="T427" i="2"/>
  <c r="S427" i="2"/>
  <c r="R427" i="2"/>
  <c r="Q427" i="2"/>
  <c r="P427" i="2"/>
  <c r="N427" i="2"/>
  <c r="AO567" i="3" s="1"/>
  <c r="AR567" i="3" s="1"/>
  <c r="L427" i="2"/>
  <c r="W426" i="2"/>
  <c r="V426" i="2"/>
  <c r="U426" i="2"/>
  <c r="T426" i="2"/>
  <c r="S426" i="2"/>
  <c r="R426" i="2"/>
  <c r="Q426" i="2"/>
  <c r="P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N425" i="2"/>
  <c r="AO565" i="3" s="1"/>
  <c r="AR565" i="3" s="1"/>
  <c r="L425" i="2"/>
  <c r="W424" i="2"/>
  <c r="V424" i="2"/>
  <c r="U424" i="2"/>
  <c r="T424" i="2"/>
  <c r="S424" i="2"/>
  <c r="R424" i="2"/>
  <c r="Q424" i="2"/>
  <c r="P424" i="2"/>
  <c r="O424" i="2"/>
  <c r="N424" i="2"/>
  <c r="AO564" i="3" s="1"/>
  <c r="AR564" i="3" s="1"/>
  <c r="L424" i="2"/>
  <c r="W423" i="2"/>
  <c r="V423" i="2"/>
  <c r="U423" i="2"/>
  <c r="T423" i="2"/>
  <c r="S423" i="2"/>
  <c r="R423" i="2"/>
  <c r="Q423" i="2"/>
  <c r="P423" i="2"/>
  <c r="N423" i="2"/>
  <c r="AO563" i="3" s="1"/>
  <c r="AR563" i="3" s="1"/>
  <c r="L423" i="2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N421" i="2"/>
  <c r="AO561" i="3" s="1"/>
  <c r="AR561" i="3" s="1"/>
  <c r="L421" i="2"/>
  <c r="W420" i="2"/>
  <c r="V420" i="2"/>
  <c r="U420" i="2"/>
  <c r="T420" i="2"/>
  <c r="S420" i="2"/>
  <c r="R420" i="2"/>
  <c r="Q420" i="2"/>
  <c r="P420" i="2"/>
  <c r="O420" i="2"/>
  <c r="N420" i="2"/>
  <c r="AO560" i="3" s="1"/>
  <c r="AR560" i="3" s="1"/>
  <c r="L420" i="2"/>
  <c r="W419" i="2"/>
  <c r="V419" i="2"/>
  <c r="U419" i="2"/>
  <c r="T419" i="2"/>
  <c r="S419" i="2"/>
  <c r="R419" i="2"/>
  <c r="Q419" i="2"/>
  <c r="P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N417" i="2"/>
  <c r="AO557" i="3" s="1"/>
  <c r="AR557" i="3" s="1"/>
  <c r="L417" i="2"/>
  <c r="W416" i="2"/>
  <c r="V416" i="2"/>
  <c r="U416" i="2"/>
  <c r="T416" i="2"/>
  <c r="S416" i="2"/>
  <c r="R416" i="2"/>
  <c r="Q416" i="2"/>
  <c r="P416" i="2"/>
  <c r="O416" i="2"/>
  <c r="N416" i="2"/>
  <c r="AO556" i="3" s="1"/>
  <c r="AR556" i="3" s="1"/>
  <c r="L416" i="2"/>
  <c r="W415" i="2"/>
  <c r="V415" i="2"/>
  <c r="U415" i="2"/>
  <c r="T415" i="2"/>
  <c r="S415" i="2"/>
  <c r="R415" i="2"/>
  <c r="Q415" i="2"/>
  <c r="P415" i="2"/>
  <c r="N415" i="2"/>
  <c r="AO555" i="3" s="1"/>
  <c r="AR555" i="3" s="1"/>
  <c r="L415" i="2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N413" i="2"/>
  <c r="AO553" i="3" s="1"/>
  <c r="AR553" i="3" s="1"/>
  <c r="L413" i="2"/>
  <c r="W412" i="2"/>
  <c r="V412" i="2"/>
  <c r="U412" i="2"/>
  <c r="T412" i="2"/>
  <c r="S412" i="2"/>
  <c r="R412" i="2"/>
  <c r="Q412" i="2"/>
  <c r="P412" i="2"/>
  <c r="O412" i="2"/>
  <c r="N412" i="2"/>
  <c r="AO552" i="3" s="1"/>
  <c r="AR552" i="3" s="1"/>
  <c r="L412" i="2"/>
  <c r="W411" i="2"/>
  <c r="V411" i="2"/>
  <c r="U411" i="2"/>
  <c r="T411" i="2"/>
  <c r="S411" i="2"/>
  <c r="R411" i="2"/>
  <c r="Q411" i="2"/>
  <c r="P411" i="2"/>
  <c r="N411" i="2"/>
  <c r="AO551" i="3" s="1"/>
  <c r="AR551" i="3" s="1"/>
  <c r="L411" i="2"/>
  <c r="W410" i="2"/>
  <c r="V410" i="2"/>
  <c r="U410" i="2"/>
  <c r="T410" i="2"/>
  <c r="S410" i="2"/>
  <c r="R410" i="2"/>
  <c r="Q410" i="2"/>
  <c r="P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N409" i="2"/>
  <c r="AO549" i="3" s="1"/>
  <c r="AR549" i="3" s="1"/>
  <c r="L409" i="2"/>
  <c r="W408" i="2"/>
  <c r="V408" i="2"/>
  <c r="U408" i="2"/>
  <c r="T408" i="2"/>
  <c r="S408" i="2"/>
  <c r="R408" i="2"/>
  <c r="Q408" i="2"/>
  <c r="P408" i="2"/>
  <c r="O408" i="2"/>
  <c r="N408" i="2"/>
  <c r="AO548" i="3" s="1"/>
  <c r="AR548" i="3" s="1"/>
  <c r="L408" i="2"/>
  <c r="W407" i="2"/>
  <c r="V407" i="2"/>
  <c r="U407" i="2"/>
  <c r="T407" i="2"/>
  <c r="S407" i="2"/>
  <c r="R407" i="2"/>
  <c r="Q407" i="2"/>
  <c r="P407" i="2"/>
  <c r="N407" i="2"/>
  <c r="AO547" i="3" s="1"/>
  <c r="AR547" i="3" s="1"/>
  <c r="L407" i="2"/>
  <c r="W406" i="2"/>
  <c r="V406" i="2"/>
  <c r="U406" i="2"/>
  <c r="T406" i="2"/>
  <c r="S406" i="2"/>
  <c r="R406" i="2"/>
  <c r="Q406" i="2"/>
  <c r="P406" i="2"/>
  <c r="N406" i="2"/>
  <c r="AO546" i="3" s="1"/>
  <c r="AR546" i="3" s="1"/>
  <c r="L406" i="2"/>
  <c r="W405" i="2"/>
  <c r="V405" i="2"/>
  <c r="U405" i="2"/>
  <c r="T405" i="2"/>
  <c r="S405" i="2"/>
  <c r="R405" i="2"/>
  <c r="Q405" i="2"/>
  <c r="P405" i="2"/>
  <c r="N405" i="2"/>
  <c r="AO545" i="3" s="1"/>
  <c r="AR545" i="3" s="1"/>
  <c r="L405" i="2"/>
  <c r="W404" i="2"/>
  <c r="V404" i="2"/>
  <c r="U404" i="2"/>
  <c r="T404" i="2"/>
  <c r="S404" i="2"/>
  <c r="R404" i="2"/>
  <c r="Q404" i="2"/>
  <c r="P404" i="2"/>
  <c r="O404" i="2"/>
  <c r="N404" i="2"/>
  <c r="AO544" i="3" s="1"/>
  <c r="AR544" i="3" s="1"/>
  <c r="L404" i="2"/>
  <c r="W403" i="2"/>
  <c r="V403" i="2"/>
  <c r="U403" i="2"/>
  <c r="T403" i="2"/>
  <c r="S403" i="2"/>
  <c r="R403" i="2"/>
  <c r="Q403" i="2"/>
  <c r="P403" i="2"/>
  <c r="N403" i="2"/>
  <c r="AO543" i="3" s="1"/>
  <c r="AR543" i="3" s="1"/>
  <c r="L403" i="2"/>
  <c r="W402" i="2"/>
  <c r="V402" i="2"/>
  <c r="U402" i="2"/>
  <c r="T402" i="2"/>
  <c r="S402" i="2"/>
  <c r="R402" i="2"/>
  <c r="Q402" i="2"/>
  <c r="P402" i="2"/>
  <c r="N402" i="2"/>
  <c r="AO542" i="3" s="1"/>
  <c r="AR542" i="3" s="1"/>
  <c r="L402" i="2"/>
  <c r="W401" i="2"/>
  <c r="V401" i="2"/>
  <c r="U401" i="2"/>
  <c r="T401" i="2"/>
  <c r="S401" i="2"/>
  <c r="R401" i="2"/>
  <c r="Q401" i="2"/>
  <c r="P401" i="2"/>
  <c r="N401" i="2"/>
  <c r="AO541" i="3" s="1"/>
  <c r="AR541" i="3" s="1"/>
  <c r="L401" i="2"/>
  <c r="W400" i="2"/>
  <c r="V400" i="2"/>
  <c r="U400" i="2"/>
  <c r="T400" i="2"/>
  <c r="S400" i="2"/>
  <c r="R400" i="2"/>
  <c r="Q400" i="2"/>
  <c r="P400" i="2"/>
  <c r="O400" i="2"/>
  <c r="N400" i="2"/>
  <c r="AO540" i="3" s="1"/>
  <c r="AR540" i="3" s="1"/>
  <c r="L400" i="2"/>
  <c r="W399" i="2"/>
  <c r="V399" i="2"/>
  <c r="U399" i="2"/>
  <c r="T399" i="2"/>
  <c r="S399" i="2"/>
  <c r="R399" i="2"/>
  <c r="Q399" i="2"/>
  <c r="P399" i="2"/>
  <c r="N399" i="2"/>
  <c r="AO539" i="3" s="1"/>
  <c r="AR539" i="3" s="1"/>
  <c r="L399" i="2"/>
  <c r="W398" i="2"/>
  <c r="V398" i="2"/>
  <c r="U398" i="2"/>
  <c r="T398" i="2"/>
  <c r="S398" i="2"/>
  <c r="R398" i="2"/>
  <c r="Q398" i="2"/>
  <c r="P398" i="2"/>
  <c r="N398" i="2"/>
  <c r="AO538" i="3" s="1"/>
  <c r="AR538" i="3" s="1"/>
  <c r="L398" i="2"/>
  <c r="W397" i="2"/>
  <c r="V397" i="2"/>
  <c r="U397" i="2"/>
  <c r="T397" i="2"/>
  <c r="S397" i="2"/>
  <c r="R397" i="2"/>
  <c r="Q397" i="2"/>
  <c r="P397" i="2"/>
  <c r="N397" i="2"/>
  <c r="AO537" i="3" s="1"/>
  <c r="AR537" i="3" s="1"/>
  <c r="L397" i="2"/>
  <c r="W396" i="2"/>
  <c r="V396" i="2"/>
  <c r="U396" i="2"/>
  <c r="T396" i="2"/>
  <c r="S396" i="2"/>
  <c r="R396" i="2"/>
  <c r="Q396" i="2"/>
  <c r="P396" i="2"/>
  <c r="O396" i="2"/>
  <c r="N396" i="2"/>
  <c r="AO536" i="3" s="1"/>
  <c r="AR536" i="3" s="1"/>
  <c r="L396" i="2"/>
  <c r="W395" i="2"/>
  <c r="V395" i="2"/>
  <c r="U395" i="2"/>
  <c r="T395" i="2"/>
  <c r="S395" i="2"/>
  <c r="R395" i="2"/>
  <c r="Q395" i="2"/>
  <c r="P395" i="2"/>
  <c r="N395" i="2"/>
  <c r="AO535" i="3" s="1"/>
  <c r="AR535" i="3" s="1"/>
  <c r="L395" i="2"/>
  <c r="W394" i="2"/>
  <c r="V394" i="2"/>
  <c r="U394" i="2"/>
  <c r="T394" i="2"/>
  <c r="S394" i="2"/>
  <c r="R394" i="2"/>
  <c r="Q394" i="2"/>
  <c r="P394" i="2"/>
  <c r="N394" i="2"/>
  <c r="AO534" i="3" s="1"/>
  <c r="AR534" i="3" s="1"/>
  <c r="L394" i="2"/>
  <c r="W393" i="2"/>
  <c r="V393" i="2"/>
  <c r="U393" i="2"/>
  <c r="T393" i="2"/>
  <c r="S393" i="2"/>
  <c r="R393" i="2"/>
  <c r="Q393" i="2"/>
  <c r="P393" i="2"/>
  <c r="N393" i="2"/>
  <c r="AO533" i="3" s="1"/>
  <c r="AR533" i="3" s="1"/>
  <c r="L393" i="2"/>
  <c r="W392" i="2"/>
  <c r="V392" i="2"/>
  <c r="U392" i="2"/>
  <c r="T392" i="2"/>
  <c r="S392" i="2"/>
  <c r="R392" i="2"/>
  <c r="Q392" i="2"/>
  <c r="P392" i="2"/>
  <c r="O392" i="2"/>
  <c r="N392" i="2"/>
  <c r="AO532" i="3" s="1"/>
  <c r="AR532" i="3" s="1"/>
  <c r="L392" i="2"/>
  <c r="W391" i="2"/>
  <c r="V391" i="2"/>
  <c r="U391" i="2"/>
  <c r="T391" i="2"/>
  <c r="S391" i="2"/>
  <c r="R391" i="2"/>
  <c r="Q391" i="2"/>
  <c r="P391" i="2"/>
  <c r="N391" i="2"/>
  <c r="AO531" i="3" s="1"/>
  <c r="AR531" i="3" s="1"/>
  <c r="L391" i="2"/>
  <c r="W390" i="2"/>
  <c r="V390" i="2"/>
  <c r="U390" i="2"/>
  <c r="T390" i="2"/>
  <c r="S390" i="2"/>
  <c r="R390" i="2"/>
  <c r="Q390" i="2"/>
  <c r="P390" i="2"/>
  <c r="N390" i="2"/>
  <c r="AO530" i="3" s="1"/>
  <c r="AR530" i="3" s="1"/>
  <c r="L390" i="2"/>
  <c r="W389" i="2"/>
  <c r="V389" i="2"/>
  <c r="U389" i="2"/>
  <c r="T389" i="2"/>
  <c r="S389" i="2"/>
  <c r="R389" i="2"/>
  <c r="Q389" i="2"/>
  <c r="P389" i="2"/>
  <c r="N389" i="2"/>
  <c r="AO529" i="3" s="1"/>
  <c r="AR529" i="3" s="1"/>
  <c r="L389" i="2"/>
  <c r="W388" i="2"/>
  <c r="V388" i="2"/>
  <c r="U388" i="2"/>
  <c r="T388" i="2"/>
  <c r="S388" i="2"/>
  <c r="R388" i="2"/>
  <c r="Q388" i="2"/>
  <c r="P388" i="2"/>
  <c r="O388" i="2"/>
  <c r="N388" i="2"/>
  <c r="AO528" i="3" s="1"/>
  <c r="AR528" i="3" s="1"/>
  <c r="L388" i="2"/>
  <c r="W387" i="2"/>
  <c r="V387" i="2"/>
  <c r="U387" i="2"/>
  <c r="T387" i="2"/>
  <c r="S387" i="2"/>
  <c r="R387" i="2"/>
  <c r="Q387" i="2"/>
  <c r="P387" i="2"/>
  <c r="N387" i="2"/>
  <c r="AO527" i="3" s="1"/>
  <c r="AR527" i="3" s="1"/>
  <c r="L387" i="2"/>
  <c r="W386" i="2"/>
  <c r="V386" i="2"/>
  <c r="U386" i="2"/>
  <c r="T386" i="2"/>
  <c r="S386" i="2"/>
  <c r="R386" i="2"/>
  <c r="Q386" i="2"/>
  <c r="P386" i="2"/>
  <c r="N386" i="2"/>
  <c r="AO526" i="3" s="1"/>
  <c r="AR526" i="3" s="1"/>
  <c r="L386" i="2"/>
  <c r="W385" i="2"/>
  <c r="V385" i="2"/>
  <c r="U385" i="2"/>
  <c r="T385" i="2"/>
  <c r="S385" i="2"/>
  <c r="R385" i="2"/>
  <c r="Q385" i="2"/>
  <c r="P385" i="2"/>
  <c r="N385" i="2"/>
  <c r="AO525" i="3" s="1"/>
  <c r="AR525" i="3" s="1"/>
  <c r="L385" i="2"/>
  <c r="W384" i="2"/>
  <c r="V384" i="2"/>
  <c r="U384" i="2"/>
  <c r="T384" i="2"/>
  <c r="S384" i="2"/>
  <c r="R384" i="2"/>
  <c r="Q384" i="2"/>
  <c r="P384" i="2"/>
  <c r="O384" i="2"/>
  <c r="N384" i="2"/>
  <c r="AO524" i="3" s="1"/>
  <c r="AR524" i="3" s="1"/>
  <c r="L384" i="2"/>
  <c r="W383" i="2"/>
  <c r="V383" i="2"/>
  <c r="U383" i="2"/>
  <c r="T383" i="2"/>
  <c r="S383" i="2"/>
  <c r="R383" i="2"/>
  <c r="Q383" i="2"/>
  <c r="P383" i="2"/>
  <c r="N383" i="2"/>
  <c r="AO523" i="3" s="1"/>
  <c r="AR523" i="3" s="1"/>
  <c r="L383" i="2"/>
  <c r="W382" i="2"/>
  <c r="V382" i="2"/>
  <c r="U382" i="2"/>
  <c r="T382" i="2"/>
  <c r="S382" i="2"/>
  <c r="R382" i="2"/>
  <c r="Q382" i="2"/>
  <c r="P382" i="2"/>
  <c r="N382" i="2"/>
  <c r="AO522" i="3" s="1"/>
  <c r="AR522" i="3" s="1"/>
  <c r="L382" i="2"/>
  <c r="W381" i="2"/>
  <c r="V381" i="2"/>
  <c r="U381" i="2"/>
  <c r="T381" i="2"/>
  <c r="S381" i="2"/>
  <c r="R381" i="2"/>
  <c r="Q381" i="2"/>
  <c r="P381" i="2"/>
  <c r="N381" i="2"/>
  <c r="AO521" i="3" s="1"/>
  <c r="AR521" i="3" s="1"/>
  <c r="L381" i="2"/>
  <c r="W380" i="2"/>
  <c r="V380" i="2"/>
  <c r="U380" i="2"/>
  <c r="T380" i="2"/>
  <c r="S380" i="2"/>
  <c r="R380" i="2"/>
  <c r="Q380" i="2"/>
  <c r="P380" i="2"/>
  <c r="O380" i="2"/>
  <c r="N380" i="2"/>
  <c r="AO520" i="3" s="1"/>
  <c r="AR520" i="3" s="1"/>
  <c r="L380" i="2"/>
  <c r="W379" i="2"/>
  <c r="V379" i="2"/>
  <c r="U379" i="2"/>
  <c r="T379" i="2"/>
  <c r="S379" i="2"/>
  <c r="R379" i="2"/>
  <c r="Q379" i="2"/>
  <c r="P379" i="2"/>
  <c r="N379" i="2"/>
  <c r="AO519" i="3" s="1"/>
  <c r="AR519" i="3" s="1"/>
  <c r="L379" i="2"/>
  <c r="W378" i="2"/>
  <c r="V378" i="2"/>
  <c r="U378" i="2"/>
  <c r="T378" i="2"/>
  <c r="S378" i="2"/>
  <c r="R378" i="2"/>
  <c r="Q378" i="2"/>
  <c r="P378" i="2"/>
  <c r="N378" i="2"/>
  <c r="AO518" i="3" s="1"/>
  <c r="AR518" i="3" s="1"/>
  <c r="L378" i="2"/>
  <c r="W377" i="2"/>
  <c r="V377" i="2"/>
  <c r="U377" i="2"/>
  <c r="T377" i="2"/>
  <c r="S377" i="2"/>
  <c r="R377" i="2"/>
  <c r="Q377" i="2"/>
  <c r="P377" i="2"/>
  <c r="N377" i="2"/>
  <c r="AO517" i="3" s="1"/>
  <c r="AR517" i="3" s="1"/>
  <c r="L377" i="2"/>
  <c r="W376" i="2"/>
  <c r="V376" i="2"/>
  <c r="U376" i="2"/>
  <c r="T376" i="2"/>
  <c r="S376" i="2"/>
  <c r="R376" i="2"/>
  <c r="Q376" i="2"/>
  <c r="P376" i="2"/>
  <c r="O376" i="2"/>
  <c r="N376" i="2"/>
  <c r="AO516" i="3" s="1"/>
  <c r="AR516" i="3" s="1"/>
  <c r="L376" i="2"/>
  <c r="W375" i="2"/>
  <c r="V375" i="2"/>
  <c r="U375" i="2"/>
  <c r="T375" i="2"/>
  <c r="S375" i="2"/>
  <c r="R375" i="2"/>
  <c r="Q375" i="2"/>
  <c r="P375" i="2"/>
  <c r="N375" i="2"/>
  <c r="AO515" i="3" s="1"/>
  <c r="AR515" i="3" s="1"/>
  <c r="L375" i="2"/>
  <c r="W374" i="2"/>
  <c r="V374" i="2"/>
  <c r="U374" i="2"/>
  <c r="T374" i="2"/>
  <c r="S374" i="2"/>
  <c r="R374" i="2"/>
  <c r="Q374" i="2"/>
  <c r="P374" i="2"/>
  <c r="N374" i="2"/>
  <c r="AO514" i="3" s="1"/>
  <c r="AR514" i="3" s="1"/>
  <c r="L374" i="2"/>
  <c r="W373" i="2"/>
  <c r="V373" i="2"/>
  <c r="U373" i="2"/>
  <c r="T373" i="2"/>
  <c r="S373" i="2"/>
  <c r="R373" i="2"/>
  <c r="Q373" i="2"/>
  <c r="P373" i="2"/>
  <c r="N373" i="2"/>
  <c r="AO513" i="3" s="1"/>
  <c r="AR513" i="3" s="1"/>
  <c r="L373" i="2"/>
  <c r="W372" i="2"/>
  <c r="V372" i="2"/>
  <c r="U372" i="2"/>
  <c r="T372" i="2"/>
  <c r="S372" i="2"/>
  <c r="R372" i="2"/>
  <c r="Q372" i="2"/>
  <c r="P372" i="2"/>
  <c r="O372" i="2"/>
  <c r="N372" i="2"/>
  <c r="AO512" i="3" s="1"/>
  <c r="AR512" i="3" s="1"/>
  <c r="L372" i="2"/>
  <c r="W371" i="2"/>
  <c r="V371" i="2"/>
  <c r="U371" i="2"/>
  <c r="T371" i="2"/>
  <c r="S371" i="2"/>
  <c r="R371" i="2"/>
  <c r="Q371" i="2"/>
  <c r="P371" i="2"/>
  <c r="N371" i="2"/>
  <c r="AO511" i="3" s="1"/>
  <c r="AR511" i="3" s="1"/>
  <c r="L371" i="2"/>
  <c r="W370" i="2"/>
  <c r="V370" i="2"/>
  <c r="U370" i="2"/>
  <c r="T370" i="2"/>
  <c r="S370" i="2"/>
  <c r="R370" i="2"/>
  <c r="Q370" i="2"/>
  <c r="P370" i="2"/>
  <c r="N370" i="2"/>
  <c r="AO510" i="3" s="1"/>
  <c r="AR510" i="3" s="1"/>
  <c r="L370" i="2"/>
  <c r="W369" i="2"/>
  <c r="V369" i="2"/>
  <c r="U369" i="2"/>
  <c r="T369" i="2"/>
  <c r="S369" i="2"/>
  <c r="R369" i="2"/>
  <c r="Q369" i="2"/>
  <c r="P369" i="2"/>
  <c r="N369" i="2"/>
  <c r="AO509" i="3" s="1"/>
  <c r="AR509" i="3" s="1"/>
  <c r="L369" i="2"/>
  <c r="W368" i="2"/>
  <c r="V368" i="2"/>
  <c r="U368" i="2"/>
  <c r="T368" i="2"/>
  <c r="S368" i="2"/>
  <c r="R368" i="2"/>
  <c r="Q368" i="2"/>
  <c r="P368" i="2"/>
  <c r="O368" i="2"/>
  <c r="N368" i="2"/>
  <c r="AO508" i="3" s="1"/>
  <c r="AR508" i="3" s="1"/>
  <c r="L368" i="2"/>
  <c r="W367" i="2"/>
  <c r="V367" i="2"/>
  <c r="U367" i="2"/>
  <c r="T367" i="2"/>
  <c r="S367" i="2"/>
  <c r="R367" i="2"/>
  <c r="Q367" i="2"/>
  <c r="P367" i="2"/>
  <c r="N367" i="2"/>
  <c r="AO507" i="3" s="1"/>
  <c r="AR507" i="3" s="1"/>
  <c r="L367" i="2"/>
  <c r="W366" i="2"/>
  <c r="V366" i="2"/>
  <c r="U366" i="2"/>
  <c r="T366" i="2"/>
  <c r="S366" i="2"/>
  <c r="R366" i="2"/>
  <c r="Q366" i="2"/>
  <c r="P366" i="2"/>
  <c r="N366" i="2"/>
  <c r="AO506" i="3" s="1"/>
  <c r="AR506" i="3" s="1"/>
  <c r="L366" i="2"/>
  <c r="W365" i="2"/>
  <c r="V365" i="2"/>
  <c r="U365" i="2"/>
  <c r="T365" i="2"/>
  <c r="S365" i="2"/>
  <c r="R365" i="2"/>
  <c r="Q365" i="2"/>
  <c r="P365" i="2"/>
  <c r="N365" i="2"/>
  <c r="AO505" i="3" s="1"/>
  <c r="AR505" i="3" s="1"/>
  <c r="L365" i="2"/>
  <c r="W364" i="2"/>
  <c r="V364" i="2"/>
  <c r="U364" i="2"/>
  <c r="T364" i="2"/>
  <c r="S364" i="2"/>
  <c r="R364" i="2"/>
  <c r="Q364" i="2"/>
  <c r="P364" i="2"/>
  <c r="O364" i="2"/>
  <c r="N364" i="2"/>
  <c r="AO504" i="3" s="1"/>
  <c r="AR504" i="3" s="1"/>
  <c r="L364" i="2"/>
  <c r="W363" i="2"/>
  <c r="V363" i="2"/>
  <c r="U363" i="2"/>
  <c r="T363" i="2"/>
  <c r="S363" i="2"/>
  <c r="R363" i="2"/>
  <c r="Q363" i="2"/>
  <c r="P363" i="2"/>
  <c r="N363" i="2"/>
  <c r="AO503" i="3" s="1"/>
  <c r="AR503" i="3" s="1"/>
  <c r="L363" i="2"/>
  <c r="W362" i="2"/>
  <c r="V362" i="2"/>
  <c r="U362" i="2"/>
  <c r="T362" i="2"/>
  <c r="S362" i="2"/>
  <c r="R362" i="2"/>
  <c r="Q362" i="2"/>
  <c r="P362" i="2"/>
  <c r="N362" i="2"/>
  <c r="AO502" i="3" s="1"/>
  <c r="AR502" i="3" s="1"/>
  <c r="L362" i="2"/>
  <c r="W361" i="2"/>
  <c r="V361" i="2"/>
  <c r="U361" i="2"/>
  <c r="T361" i="2"/>
  <c r="S361" i="2"/>
  <c r="R361" i="2"/>
  <c r="Q361" i="2"/>
  <c r="P361" i="2"/>
  <c r="N361" i="2"/>
  <c r="AO501" i="3" s="1"/>
  <c r="AR501" i="3" s="1"/>
  <c r="L361" i="2"/>
  <c r="W360" i="2"/>
  <c r="V360" i="2"/>
  <c r="U360" i="2"/>
  <c r="T360" i="2"/>
  <c r="S360" i="2"/>
  <c r="R360" i="2"/>
  <c r="Q360" i="2"/>
  <c r="P360" i="2"/>
  <c r="O360" i="2"/>
  <c r="N360" i="2"/>
  <c r="AO500" i="3" s="1"/>
  <c r="AR500" i="3" s="1"/>
  <c r="L360" i="2"/>
  <c r="M360" i="2" s="1"/>
  <c r="W359" i="2"/>
  <c r="V359" i="2"/>
  <c r="U359" i="2"/>
  <c r="T359" i="2"/>
  <c r="S359" i="2"/>
  <c r="R359" i="2"/>
  <c r="Q359" i="2"/>
  <c r="P359" i="2"/>
  <c r="N359" i="2"/>
  <c r="AO499" i="3" s="1"/>
  <c r="AR499" i="3" s="1"/>
  <c r="L359" i="2"/>
  <c r="W358" i="2"/>
  <c r="V358" i="2"/>
  <c r="U358" i="2"/>
  <c r="T358" i="2"/>
  <c r="S358" i="2"/>
  <c r="R358" i="2"/>
  <c r="Q358" i="2"/>
  <c r="P358" i="2"/>
  <c r="N358" i="2"/>
  <c r="AO498" i="3" s="1"/>
  <c r="AR498" i="3" s="1"/>
  <c r="L358" i="2"/>
  <c r="W357" i="2"/>
  <c r="V357" i="2"/>
  <c r="U357" i="2"/>
  <c r="T357" i="2"/>
  <c r="S357" i="2"/>
  <c r="R357" i="2"/>
  <c r="Q357" i="2"/>
  <c r="P357" i="2"/>
  <c r="N357" i="2"/>
  <c r="AO497" i="3" s="1"/>
  <c r="AR497" i="3" s="1"/>
  <c r="L357" i="2"/>
  <c r="W356" i="2"/>
  <c r="V356" i="2"/>
  <c r="U356" i="2"/>
  <c r="T356" i="2"/>
  <c r="S356" i="2"/>
  <c r="R356" i="2"/>
  <c r="Q356" i="2"/>
  <c r="P356" i="2"/>
  <c r="O356" i="2"/>
  <c r="N356" i="2"/>
  <c r="AO496" i="3" s="1"/>
  <c r="AR496" i="3" s="1"/>
  <c r="L356" i="2"/>
  <c r="W355" i="2"/>
  <c r="V355" i="2"/>
  <c r="U355" i="2"/>
  <c r="T355" i="2"/>
  <c r="S355" i="2"/>
  <c r="R355" i="2"/>
  <c r="Q355" i="2"/>
  <c r="P355" i="2"/>
  <c r="N355" i="2"/>
  <c r="AO495" i="3" s="1"/>
  <c r="AR495" i="3" s="1"/>
  <c r="L355" i="2"/>
  <c r="W354" i="2"/>
  <c r="V354" i="2"/>
  <c r="U354" i="2"/>
  <c r="T354" i="2"/>
  <c r="S354" i="2"/>
  <c r="R354" i="2"/>
  <c r="Q354" i="2"/>
  <c r="P354" i="2"/>
  <c r="N354" i="2"/>
  <c r="AO494" i="3" s="1"/>
  <c r="AR494" i="3" s="1"/>
  <c r="L354" i="2"/>
  <c r="W353" i="2"/>
  <c r="V353" i="2"/>
  <c r="U353" i="2"/>
  <c r="T353" i="2"/>
  <c r="S353" i="2"/>
  <c r="R353" i="2"/>
  <c r="Q353" i="2"/>
  <c r="P353" i="2"/>
  <c r="N353" i="2"/>
  <c r="AO493" i="3" s="1"/>
  <c r="AR493" i="3" s="1"/>
  <c r="L353" i="2"/>
  <c r="W352" i="2"/>
  <c r="V352" i="2"/>
  <c r="U352" i="2"/>
  <c r="T352" i="2"/>
  <c r="S352" i="2"/>
  <c r="R352" i="2"/>
  <c r="Q352" i="2"/>
  <c r="P352" i="2"/>
  <c r="O352" i="2"/>
  <c r="N352" i="2"/>
  <c r="AO492" i="3" s="1"/>
  <c r="AR492" i="3" s="1"/>
  <c r="L352" i="2"/>
  <c r="W351" i="2"/>
  <c r="V351" i="2"/>
  <c r="U351" i="2"/>
  <c r="T351" i="2"/>
  <c r="S351" i="2"/>
  <c r="R351" i="2"/>
  <c r="Q351" i="2"/>
  <c r="P351" i="2"/>
  <c r="N351" i="2"/>
  <c r="AO491" i="3" s="1"/>
  <c r="AR491" i="3" s="1"/>
  <c r="L351" i="2"/>
  <c r="W350" i="2"/>
  <c r="V350" i="2"/>
  <c r="U350" i="2"/>
  <c r="T350" i="2"/>
  <c r="S350" i="2"/>
  <c r="R350" i="2"/>
  <c r="Q350" i="2"/>
  <c r="P350" i="2"/>
  <c r="N350" i="2"/>
  <c r="AO490" i="3" s="1"/>
  <c r="AR490" i="3" s="1"/>
  <c r="L350" i="2"/>
  <c r="W349" i="2"/>
  <c r="V349" i="2"/>
  <c r="U349" i="2"/>
  <c r="T349" i="2"/>
  <c r="S349" i="2"/>
  <c r="R349" i="2"/>
  <c r="Q349" i="2"/>
  <c r="P349" i="2"/>
  <c r="N349" i="2"/>
  <c r="AO489" i="3" s="1"/>
  <c r="AR489" i="3" s="1"/>
  <c r="L349" i="2"/>
  <c r="W348" i="2"/>
  <c r="V348" i="2"/>
  <c r="U348" i="2"/>
  <c r="T348" i="2"/>
  <c r="S348" i="2"/>
  <c r="R348" i="2"/>
  <c r="Q348" i="2"/>
  <c r="P348" i="2"/>
  <c r="O348" i="2"/>
  <c r="N348" i="2"/>
  <c r="AO488" i="3" s="1"/>
  <c r="AR488" i="3" s="1"/>
  <c r="L348" i="2"/>
  <c r="W347" i="2"/>
  <c r="V347" i="2"/>
  <c r="U347" i="2"/>
  <c r="T347" i="2"/>
  <c r="S347" i="2"/>
  <c r="R347" i="2"/>
  <c r="Q347" i="2"/>
  <c r="P347" i="2"/>
  <c r="N347" i="2"/>
  <c r="AO487" i="3" s="1"/>
  <c r="AR487" i="3" s="1"/>
  <c r="L347" i="2"/>
  <c r="W346" i="2"/>
  <c r="V346" i="2"/>
  <c r="U346" i="2"/>
  <c r="T346" i="2"/>
  <c r="S346" i="2"/>
  <c r="R346" i="2"/>
  <c r="Q346" i="2"/>
  <c r="P346" i="2"/>
  <c r="N346" i="2"/>
  <c r="AO486" i="3" s="1"/>
  <c r="AR486" i="3" s="1"/>
  <c r="L346" i="2"/>
  <c r="W345" i="2"/>
  <c r="V345" i="2"/>
  <c r="U345" i="2"/>
  <c r="T345" i="2"/>
  <c r="S345" i="2"/>
  <c r="R345" i="2"/>
  <c r="Q345" i="2"/>
  <c r="P345" i="2"/>
  <c r="N345" i="2"/>
  <c r="AO485" i="3" s="1"/>
  <c r="AR485" i="3" s="1"/>
  <c r="L345" i="2"/>
  <c r="W344" i="2"/>
  <c r="V344" i="2"/>
  <c r="U344" i="2"/>
  <c r="T344" i="2"/>
  <c r="S344" i="2"/>
  <c r="R344" i="2"/>
  <c r="Q344" i="2"/>
  <c r="P344" i="2"/>
  <c r="O344" i="2"/>
  <c r="N344" i="2"/>
  <c r="AO484" i="3" s="1"/>
  <c r="AR484" i="3" s="1"/>
  <c r="L344" i="2"/>
  <c r="W343" i="2"/>
  <c r="V343" i="2"/>
  <c r="U343" i="2"/>
  <c r="T343" i="2"/>
  <c r="S343" i="2"/>
  <c r="R343" i="2"/>
  <c r="Q343" i="2"/>
  <c r="P343" i="2"/>
  <c r="N343" i="2"/>
  <c r="AO483" i="3" s="1"/>
  <c r="AR483" i="3" s="1"/>
  <c r="L343" i="2"/>
  <c r="W342" i="2"/>
  <c r="V342" i="2"/>
  <c r="U342" i="2"/>
  <c r="T342" i="2"/>
  <c r="S342" i="2"/>
  <c r="R342" i="2"/>
  <c r="Q342" i="2"/>
  <c r="P342" i="2"/>
  <c r="N342" i="2"/>
  <c r="AO482" i="3" s="1"/>
  <c r="AR482" i="3" s="1"/>
  <c r="L342" i="2"/>
  <c r="W341" i="2"/>
  <c r="V341" i="2"/>
  <c r="U341" i="2"/>
  <c r="T341" i="2"/>
  <c r="S341" i="2"/>
  <c r="R341" i="2"/>
  <c r="Q341" i="2"/>
  <c r="P341" i="2"/>
  <c r="N341" i="2"/>
  <c r="AO481" i="3" s="1"/>
  <c r="AR481" i="3" s="1"/>
  <c r="L341" i="2"/>
  <c r="W340" i="2"/>
  <c r="V340" i="2"/>
  <c r="U340" i="2"/>
  <c r="T340" i="2"/>
  <c r="S340" i="2"/>
  <c r="R340" i="2"/>
  <c r="Q340" i="2"/>
  <c r="P340" i="2"/>
  <c r="O340" i="2"/>
  <c r="N340" i="2"/>
  <c r="AO480" i="3" s="1"/>
  <c r="AR480" i="3" s="1"/>
  <c r="L340" i="2"/>
  <c r="W339" i="2"/>
  <c r="V339" i="2"/>
  <c r="U339" i="2"/>
  <c r="T339" i="2"/>
  <c r="S339" i="2"/>
  <c r="R339" i="2"/>
  <c r="Q339" i="2"/>
  <c r="P339" i="2"/>
  <c r="N339" i="2"/>
  <c r="AO479" i="3" s="1"/>
  <c r="AR479" i="3" s="1"/>
  <c r="L339" i="2"/>
  <c r="W338" i="2"/>
  <c r="V338" i="2"/>
  <c r="U338" i="2"/>
  <c r="T338" i="2"/>
  <c r="S338" i="2"/>
  <c r="R338" i="2"/>
  <c r="Q338" i="2"/>
  <c r="P338" i="2"/>
  <c r="N338" i="2"/>
  <c r="AO478" i="3" s="1"/>
  <c r="AR478" i="3" s="1"/>
  <c r="L338" i="2"/>
  <c r="W337" i="2"/>
  <c r="V337" i="2"/>
  <c r="U337" i="2"/>
  <c r="T337" i="2"/>
  <c r="S337" i="2"/>
  <c r="R337" i="2"/>
  <c r="Q337" i="2"/>
  <c r="P337" i="2"/>
  <c r="N337" i="2"/>
  <c r="AO477" i="3" s="1"/>
  <c r="AR477" i="3" s="1"/>
  <c r="L337" i="2"/>
  <c r="W336" i="2"/>
  <c r="V336" i="2"/>
  <c r="U336" i="2"/>
  <c r="T336" i="2"/>
  <c r="S336" i="2"/>
  <c r="R336" i="2"/>
  <c r="Q336" i="2"/>
  <c r="P336" i="2"/>
  <c r="O336" i="2"/>
  <c r="N336" i="2"/>
  <c r="AO476" i="3" s="1"/>
  <c r="AR476" i="3" s="1"/>
  <c r="L336" i="2"/>
  <c r="W335" i="2"/>
  <c r="V335" i="2"/>
  <c r="U335" i="2"/>
  <c r="T335" i="2"/>
  <c r="S335" i="2"/>
  <c r="R335" i="2"/>
  <c r="Q335" i="2"/>
  <c r="P335" i="2"/>
  <c r="N335" i="2"/>
  <c r="AO475" i="3" s="1"/>
  <c r="AR475" i="3" s="1"/>
  <c r="L335" i="2"/>
  <c r="W334" i="2"/>
  <c r="V334" i="2"/>
  <c r="U334" i="2"/>
  <c r="T334" i="2"/>
  <c r="S334" i="2"/>
  <c r="R334" i="2"/>
  <c r="Q334" i="2"/>
  <c r="P334" i="2"/>
  <c r="N334" i="2"/>
  <c r="AO474" i="3" s="1"/>
  <c r="AR474" i="3" s="1"/>
  <c r="L334" i="2"/>
  <c r="W333" i="2"/>
  <c r="V333" i="2"/>
  <c r="U333" i="2"/>
  <c r="T333" i="2"/>
  <c r="S333" i="2"/>
  <c r="R333" i="2"/>
  <c r="Q333" i="2"/>
  <c r="P333" i="2"/>
  <c r="N333" i="2"/>
  <c r="AO473" i="3" s="1"/>
  <c r="AR473" i="3" s="1"/>
  <c r="L333" i="2"/>
  <c r="W332" i="2"/>
  <c r="V332" i="2"/>
  <c r="U332" i="2"/>
  <c r="T332" i="2"/>
  <c r="S332" i="2"/>
  <c r="R332" i="2"/>
  <c r="Q332" i="2"/>
  <c r="P332" i="2"/>
  <c r="O332" i="2"/>
  <c r="N332" i="2"/>
  <c r="AO472" i="3" s="1"/>
  <c r="AR472" i="3" s="1"/>
  <c r="L332" i="2"/>
  <c r="W331" i="2"/>
  <c r="V331" i="2"/>
  <c r="U331" i="2"/>
  <c r="T331" i="2"/>
  <c r="S331" i="2"/>
  <c r="R331" i="2"/>
  <c r="Q331" i="2"/>
  <c r="P331" i="2"/>
  <c r="N331" i="2"/>
  <c r="AO471" i="3" s="1"/>
  <c r="AR471" i="3" s="1"/>
  <c r="L331" i="2"/>
  <c r="W330" i="2"/>
  <c r="V330" i="2"/>
  <c r="U330" i="2"/>
  <c r="T330" i="2"/>
  <c r="S330" i="2"/>
  <c r="R330" i="2"/>
  <c r="Q330" i="2"/>
  <c r="P330" i="2"/>
  <c r="N330" i="2"/>
  <c r="AO470" i="3" s="1"/>
  <c r="AR470" i="3" s="1"/>
  <c r="L330" i="2"/>
  <c r="W329" i="2"/>
  <c r="V329" i="2"/>
  <c r="U329" i="2"/>
  <c r="T329" i="2"/>
  <c r="S329" i="2"/>
  <c r="R329" i="2"/>
  <c r="Q329" i="2"/>
  <c r="P329" i="2"/>
  <c r="N329" i="2"/>
  <c r="AO469" i="3" s="1"/>
  <c r="AR469" i="3" s="1"/>
  <c r="L329" i="2"/>
  <c r="W328" i="2"/>
  <c r="V328" i="2"/>
  <c r="U328" i="2"/>
  <c r="T328" i="2"/>
  <c r="S328" i="2"/>
  <c r="R328" i="2"/>
  <c r="Q328" i="2"/>
  <c r="P328" i="2"/>
  <c r="O328" i="2"/>
  <c r="N328" i="2"/>
  <c r="AO468" i="3" s="1"/>
  <c r="AR468" i="3" s="1"/>
  <c r="L328" i="2"/>
  <c r="W327" i="2"/>
  <c r="V327" i="2"/>
  <c r="U327" i="2"/>
  <c r="T327" i="2"/>
  <c r="S327" i="2"/>
  <c r="R327" i="2"/>
  <c r="Q327" i="2"/>
  <c r="P327" i="2"/>
  <c r="N327" i="2"/>
  <c r="AO467" i="3" s="1"/>
  <c r="AR467" i="3" s="1"/>
  <c r="L327" i="2"/>
  <c r="W326" i="2"/>
  <c r="V326" i="2"/>
  <c r="U326" i="2"/>
  <c r="T326" i="2"/>
  <c r="S326" i="2"/>
  <c r="R326" i="2"/>
  <c r="Q326" i="2"/>
  <c r="P326" i="2"/>
  <c r="N326" i="2"/>
  <c r="AO466" i="3" s="1"/>
  <c r="AR466" i="3" s="1"/>
  <c r="L326" i="2"/>
  <c r="W325" i="2"/>
  <c r="V325" i="2"/>
  <c r="U325" i="2"/>
  <c r="T325" i="2"/>
  <c r="S325" i="2"/>
  <c r="R325" i="2"/>
  <c r="Q325" i="2"/>
  <c r="P325" i="2"/>
  <c r="N325" i="2"/>
  <c r="AO465" i="3" s="1"/>
  <c r="AR465" i="3" s="1"/>
  <c r="L325" i="2"/>
  <c r="W324" i="2"/>
  <c r="V324" i="2"/>
  <c r="U324" i="2"/>
  <c r="T324" i="2"/>
  <c r="S324" i="2"/>
  <c r="R324" i="2"/>
  <c r="Q324" i="2"/>
  <c r="P324" i="2"/>
  <c r="O324" i="2"/>
  <c r="N324" i="2"/>
  <c r="AO464" i="3" s="1"/>
  <c r="AR464" i="3" s="1"/>
  <c r="L324" i="2"/>
  <c r="W323" i="2"/>
  <c r="V323" i="2"/>
  <c r="U323" i="2"/>
  <c r="T323" i="2"/>
  <c r="S323" i="2"/>
  <c r="R323" i="2"/>
  <c r="Q323" i="2"/>
  <c r="P323" i="2"/>
  <c r="N323" i="2"/>
  <c r="AO463" i="3" s="1"/>
  <c r="AR463" i="3" s="1"/>
  <c r="L323" i="2"/>
  <c r="W322" i="2"/>
  <c r="V322" i="2"/>
  <c r="U322" i="2"/>
  <c r="T322" i="2"/>
  <c r="S322" i="2"/>
  <c r="R322" i="2"/>
  <c r="Q322" i="2"/>
  <c r="P322" i="2"/>
  <c r="N322" i="2"/>
  <c r="AO462" i="3" s="1"/>
  <c r="AR462" i="3" s="1"/>
  <c r="L322" i="2"/>
  <c r="W321" i="2"/>
  <c r="V321" i="2"/>
  <c r="U321" i="2"/>
  <c r="T321" i="2"/>
  <c r="S321" i="2"/>
  <c r="R321" i="2"/>
  <c r="Q321" i="2"/>
  <c r="P321" i="2"/>
  <c r="N321" i="2"/>
  <c r="AO461" i="3" s="1"/>
  <c r="AR461" i="3" s="1"/>
  <c r="L321" i="2"/>
  <c r="W320" i="2"/>
  <c r="V320" i="2"/>
  <c r="U320" i="2"/>
  <c r="T320" i="2"/>
  <c r="S320" i="2"/>
  <c r="R320" i="2"/>
  <c r="Q320" i="2"/>
  <c r="P320" i="2"/>
  <c r="O320" i="2"/>
  <c r="N320" i="2"/>
  <c r="AO460" i="3" s="1"/>
  <c r="AR460" i="3" s="1"/>
  <c r="L320" i="2"/>
  <c r="W319" i="2"/>
  <c r="V319" i="2"/>
  <c r="U319" i="2"/>
  <c r="T319" i="2"/>
  <c r="S319" i="2"/>
  <c r="R319" i="2"/>
  <c r="Q319" i="2"/>
  <c r="P319" i="2"/>
  <c r="N319" i="2"/>
  <c r="AO459" i="3" s="1"/>
  <c r="AR459" i="3" s="1"/>
  <c r="L319" i="2"/>
  <c r="W318" i="2"/>
  <c r="V318" i="2"/>
  <c r="U318" i="2"/>
  <c r="T318" i="2"/>
  <c r="S318" i="2"/>
  <c r="R318" i="2"/>
  <c r="Q318" i="2"/>
  <c r="P318" i="2"/>
  <c r="N318" i="2"/>
  <c r="AO458" i="3" s="1"/>
  <c r="AR458" i="3" s="1"/>
  <c r="L318" i="2"/>
  <c r="W317" i="2"/>
  <c r="V317" i="2"/>
  <c r="U317" i="2"/>
  <c r="T317" i="2"/>
  <c r="S317" i="2"/>
  <c r="R317" i="2"/>
  <c r="Q317" i="2"/>
  <c r="P317" i="2"/>
  <c r="N317" i="2"/>
  <c r="AO457" i="3" s="1"/>
  <c r="AR457" i="3" s="1"/>
  <c r="L317" i="2"/>
  <c r="W316" i="2"/>
  <c r="V316" i="2"/>
  <c r="U316" i="2"/>
  <c r="T316" i="2"/>
  <c r="S316" i="2"/>
  <c r="R316" i="2"/>
  <c r="Q316" i="2"/>
  <c r="P316" i="2"/>
  <c r="O316" i="2"/>
  <c r="N316" i="2"/>
  <c r="AO456" i="3" s="1"/>
  <c r="AR456" i="3" s="1"/>
  <c r="L316" i="2"/>
  <c r="W315" i="2"/>
  <c r="V315" i="2"/>
  <c r="U315" i="2"/>
  <c r="T315" i="2"/>
  <c r="S315" i="2"/>
  <c r="R315" i="2"/>
  <c r="Q315" i="2"/>
  <c r="P315" i="2"/>
  <c r="N315" i="2"/>
  <c r="AO455" i="3" s="1"/>
  <c r="AR455" i="3" s="1"/>
  <c r="L315" i="2"/>
  <c r="W314" i="2"/>
  <c r="V314" i="2"/>
  <c r="U314" i="2"/>
  <c r="T314" i="2"/>
  <c r="S314" i="2"/>
  <c r="R314" i="2"/>
  <c r="Q314" i="2"/>
  <c r="P314" i="2"/>
  <c r="N314" i="2"/>
  <c r="AO454" i="3" s="1"/>
  <c r="AR454" i="3" s="1"/>
  <c r="L314" i="2"/>
  <c r="W313" i="2"/>
  <c r="V313" i="2"/>
  <c r="U313" i="2"/>
  <c r="T313" i="2"/>
  <c r="S313" i="2"/>
  <c r="R313" i="2"/>
  <c r="Q313" i="2"/>
  <c r="P313" i="2"/>
  <c r="N313" i="2"/>
  <c r="AO453" i="3" s="1"/>
  <c r="AR453" i="3" s="1"/>
  <c r="L313" i="2"/>
  <c r="W312" i="2"/>
  <c r="V312" i="2"/>
  <c r="U312" i="2"/>
  <c r="T312" i="2"/>
  <c r="S312" i="2"/>
  <c r="R312" i="2"/>
  <c r="Q312" i="2"/>
  <c r="P312" i="2"/>
  <c r="O312" i="2"/>
  <c r="N312" i="2"/>
  <c r="AO452" i="3" s="1"/>
  <c r="AR452" i="3" s="1"/>
  <c r="L312" i="2"/>
  <c r="W311" i="2"/>
  <c r="V311" i="2"/>
  <c r="U311" i="2"/>
  <c r="T311" i="2"/>
  <c r="S311" i="2"/>
  <c r="R311" i="2"/>
  <c r="Q311" i="2"/>
  <c r="P311" i="2"/>
  <c r="N311" i="2"/>
  <c r="AO451" i="3" s="1"/>
  <c r="AR451" i="3" s="1"/>
  <c r="L311" i="2"/>
  <c r="W310" i="2"/>
  <c r="V310" i="2"/>
  <c r="U310" i="2"/>
  <c r="T310" i="2"/>
  <c r="S310" i="2"/>
  <c r="R310" i="2"/>
  <c r="Q310" i="2"/>
  <c r="P310" i="2"/>
  <c r="N310" i="2"/>
  <c r="AO450" i="3" s="1"/>
  <c r="AR450" i="3" s="1"/>
  <c r="L310" i="2"/>
  <c r="W309" i="2"/>
  <c r="V309" i="2"/>
  <c r="U309" i="2"/>
  <c r="T309" i="2"/>
  <c r="S309" i="2"/>
  <c r="R309" i="2"/>
  <c r="Q309" i="2"/>
  <c r="P309" i="2"/>
  <c r="N309" i="2"/>
  <c r="AO449" i="3" s="1"/>
  <c r="AR449" i="3" s="1"/>
  <c r="L309" i="2"/>
  <c r="W308" i="2"/>
  <c r="V308" i="2"/>
  <c r="U308" i="2"/>
  <c r="T308" i="2"/>
  <c r="S308" i="2"/>
  <c r="R308" i="2"/>
  <c r="Q308" i="2"/>
  <c r="P308" i="2"/>
  <c r="O308" i="2"/>
  <c r="N308" i="2"/>
  <c r="AO448" i="3" s="1"/>
  <c r="AR448" i="3" s="1"/>
  <c r="L308" i="2"/>
  <c r="W307" i="2"/>
  <c r="V307" i="2"/>
  <c r="U307" i="2"/>
  <c r="T307" i="2"/>
  <c r="S307" i="2"/>
  <c r="R307" i="2"/>
  <c r="Q307" i="2"/>
  <c r="P307" i="2"/>
  <c r="N307" i="2"/>
  <c r="AO447" i="3" s="1"/>
  <c r="AR447" i="3" s="1"/>
  <c r="L307" i="2"/>
  <c r="W306" i="2"/>
  <c r="V306" i="2"/>
  <c r="U306" i="2"/>
  <c r="T306" i="2"/>
  <c r="S306" i="2"/>
  <c r="R306" i="2"/>
  <c r="Q306" i="2"/>
  <c r="P306" i="2"/>
  <c r="N306" i="2"/>
  <c r="AO446" i="3" s="1"/>
  <c r="AR446" i="3" s="1"/>
  <c r="L306" i="2"/>
  <c r="AJ446" i="3" s="1"/>
  <c r="AM446" i="3" s="1"/>
  <c r="W305" i="2"/>
  <c r="V305" i="2"/>
  <c r="U305" i="2"/>
  <c r="T305" i="2"/>
  <c r="S305" i="2"/>
  <c r="R305" i="2"/>
  <c r="Q305" i="2"/>
  <c r="P305" i="2"/>
  <c r="N305" i="2"/>
  <c r="AO445" i="3" s="1"/>
  <c r="AR445" i="3" s="1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AO444" i="3" s="1"/>
  <c r="AR444" i="3" s="1"/>
  <c r="L304" i="2"/>
  <c r="AJ444" i="3" s="1"/>
  <c r="AM444" i="3" s="1"/>
  <c r="W303" i="2"/>
  <c r="V303" i="2"/>
  <c r="U303" i="2"/>
  <c r="T303" i="2"/>
  <c r="S303" i="2"/>
  <c r="R303" i="2"/>
  <c r="Q303" i="2"/>
  <c r="P303" i="2"/>
  <c r="N303" i="2"/>
  <c r="AO443" i="3" s="1"/>
  <c r="AR443" i="3" s="1"/>
  <c r="L303" i="2"/>
  <c r="AJ443" i="3" s="1"/>
  <c r="AM443" i="3" s="1"/>
  <c r="W302" i="2"/>
  <c r="V302" i="2"/>
  <c r="U302" i="2"/>
  <c r="T302" i="2"/>
  <c r="S302" i="2"/>
  <c r="R302" i="2"/>
  <c r="Q302" i="2"/>
  <c r="P302" i="2"/>
  <c r="N302" i="2"/>
  <c r="AO442" i="3" s="1"/>
  <c r="AR442" i="3" s="1"/>
  <c r="L302" i="2"/>
  <c r="AJ442" i="3" s="1"/>
  <c r="AM442" i="3" s="1"/>
  <c r="W301" i="2"/>
  <c r="V301" i="2"/>
  <c r="U301" i="2"/>
  <c r="T301" i="2"/>
  <c r="S301" i="2"/>
  <c r="R301" i="2"/>
  <c r="Q301" i="2"/>
  <c r="P301" i="2"/>
  <c r="N301" i="2"/>
  <c r="AO441" i="3" s="1"/>
  <c r="AR441" i="3" s="1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AO440" i="3" s="1"/>
  <c r="AR440" i="3" s="1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AO439" i="3" s="1"/>
  <c r="AR439" i="3" s="1"/>
  <c r="L299" i="2"/>
  <c r="AJ439" i="3" s="1"/>
  <c r="AM439" i="3" s="1"/>
  <c r="W298" i="2"/>
  <c r="V298" i="2"/>
  <c r="U298" i="2"/>
  <c r="T298" i="2"/>
  <c r="S298" i="2"/>
  <c r="R298" i="2"/>
  <c r="Q298" i="2"/>
  <c r="P298" i="2"/>
  <c r="N298" i="2"/>
  <c r="AO438" i="3" s="1"/>
  <c r="AR438" i="3" s="1"/>
  <c r="L298" i="2"/>
  <c r="AJ438" i="3" s="1"/>
  <c r="AM438" i="3" s="1"/>
  <c r="W297" i="2"/>
  <c r="V297" i="2"/>
  <c r="U297" i="2"/>
  <c r="T297" i="2"/>
  <c r="S297" i="2"/>
  <c r="R297" i="2"/>
  <c r="Q297" i="2"/>
  <c r="P297" i="2"/>
  <c r="N297" i="2"/>
  <c r="AO437" i="3" s="1"/>
  <c r="AR437" i="3" s="1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AO436" i="3" s="1"/>
  <c r="AR436" i="3" s="1"/>
  <c r="L296" i="2"/>
  <c r="M296" i="2" s="1"/>
  <c r="W295" i="2"/>
  <c r="V295" i="2"/>
  <c r="U295" i="2"/>
  <c r="T295" i="2"/>
  <c r="S295" i="2"/>
  <c r="R295" i="2"/>
  <c r="Q295" i="2"/>
  <c r="P295" i="2"/>
  <c r="N295" i="2"/>
  <c r="AO435" i="3" s="1"/>
  <c r="AR435" i="3" s="1"/>
  <c r="L295" i="2"/>
  <c r="AJ435" i="3" s="1"/>
  <c r="AM435" i="3" s="1"/>
  <c r="W294" i="2"/>
  <c r="V294" i="2"/>
  <c r="U294" i="2"/>
  <c r="T294" i="2"/>
  <c r="S294" i="2"/>
  <c r="R294" i="2"/>
  <c r="Q294" i="2"/>
  <c r="P294" i="2"/>
  <c r="N294" i="2"/>
  <c r="AO434" i="3" s="1"/>
  <c r="AR434" i="3" s="1"/>
  <c r="L294" i="2"/>
  <c r="AJ434" i="3" s="1"/>
  <c r="AM434" i="3" s="1"/>
  <c r="W293" i="2"/>
  <c r="V293" i="2"/>
  <c r="U293" i="2"/>
  <c r="T293" i="2"/>
  <c r="S293" i="2"/>
  <c r="R293" i="2"/>
  <c r="Q293" i="2"/>
  <c r="P293" i="2"/>
  <c r="N293" i="2"/>
  <c r="AO433" i="3" s="1"/>
  <c r="AR433" i="3" s="1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AO432" i="3" s="1"/>
  <c r="AR432" i="3" s="1"/>
  <c r="L292" i="2"/>
  <c r="AJ432" i="3" s="1"/>
  <c r="AM432" i="3" s="1"/>
  <c r="W291" i="2"/>
  <c r="V291" i="2"/>
  <c r="U291" i="2"/>
  <c r="T291" i="2"/>
  <c r="S291" i="2"/>
  <c r="R291" i="2"/>
  <c r="Q291" i="2"/>
  <c r="P291" i="2"/>
  <c r="N291" i="2"/>
  <c r="AO431" i="3" s="1"/>
  <c r="AR431" i="3" s="1"/>
  <c r="L291" i="2"/>
  <c r="AJ431" i="3" s="1"/>
  <c r="AM431" i="3" s="1"/>
  <c r="W290" i="2"/>
  <c r="V290" i="2"/>
  <c r="U290" i="2"/>
  <c r="T290" i="2"/>
  <c r="S290" i="2"/>
  <c r="R290" i="2"/>
  <c r="Q290" i="2"/>
  <c r="P290" i="2"/>
  <c r="N290" i="2"/>
  <c r="AO430" i="3" s="1"/>
  <c r="AR430" i="3" s="1"/>
  <c r="L290" i="2"/>
  <c r="AJ430" i="3" s="1"/>
  <c r="AM430" i="3" s="1"/>
  <c r="W289" i="2"/>
  <c r="V289" i="2"/>
  <c r="U289" i="2"/>
  <c r="T289" i="2"/>
  <c r="S289" i="2"/>
  <c r="R289" i="2"/>
  <c r="Q289" i="2"/>
  <c r="P289" i="2"/>
  <c r="N289" i="2"/>
  <c r="AO429" i="3" s="1"/>
  <c r="AR429" i="3" s="1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AO428" i="3" s="1"/>
  <c r="AR428" i="3" s="1"/>
  <c r="L288" i="2"/>
  <c r="AJ428" i="3" s="1"/>
  <c r="AM428" i="3" s="1"/>
  <c r="W287" i="2"/>
  <c r="V287" i="2"/>
  <c r="U287" i="2"/>
  <c r="T287" i="2"/>
  <c r="S287" i="2"/>
  <c r="R287" i="2"/>
  <c r="Q287" i="2"/>
  <c r="P287" i="2"/>
  <c r="N287" i="2"/>
  <c r="AO427" i="3" s="1"/>
  <c r="AR427" i="3" s="1"/>
  <c r="L287" i="2"/>
  <c r="AJ427" i="3" s="1"/>
  <c r="AM427" i="3" s="1"/>
  <c r="W286" i="2"/>
  <c r="V286" i="2"/>
  <c r="U286" i="2"/>
  <c r="T286" i="2"/>
  <c r="S286" i="2"/>
  <c r="R286" i="2"/>
  <c r="Q286" i="2"/>
  <c r="P286" i="2"/>
  <c r="N286" i="2"/>
  <c r="AO426" i="3" s="1"/>
  <c r="AR426" i="3" s="1"/>
  <c r="L286" i="2"/>
  <c r="AJ426" i="3" s="1"/>
  <c r="AM426" i="3" s="1"/>
  <c r="W285" i="2"/>
  <c r="V285" i="2"/>
  <c r="U285" i="2"/>
  <c r="T285" i="2"/>
  <c r="S285" i="2"/>
  <c r="R285" i="2"/>
  <c r="Q285" i="2"/>
  <c r="P285" i="2"/>
  <c r="N285" i="2"/>
  <c r="AO425" i="3" s="1"/>
  <c r="AR425" i="3" s="1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AO424" i="3" s="1"/>
  <c r="AR424" i="3" s="1"/>
  <c r="L284" i="2"/>
  <c r="AJ424" i="3" s="1"/>
  <c r="AM424" i="3" s="1"/>
  <c r="W283" i="2"/>
  <c r="V283" i="2"/>
  <c r="U283" i="2"/>
  <c r="T283" i="2"/>
  <c r="S283" i="2"/>
  <c r="R283" i="2"/>
  <c r="Q283" i="2"/>
  <c r="P283" i="2"/>
  <c r="N283" i="2"/>
  <c r="AO423" i="3" s="1"/>
  <c r="AR423" i="3" s="1"/>
  <c r="L283" i="2"/>
  <c r="AJ423" i="3" s="1"/>
  <c r="AM423" i="3" s="1"/>
  <c r="W282" i="2"/>
  <c r="V282" i="2"/>
  <c r="U282" i="2"/>
  <c r="T282" i="2"/>
  <c r="S282" i="2"/>
  <c r="R282" i="2"/>
  <c r="Q282" i="2"/>
  <c r="P282" i="2"/>
  <c r="N282" i="2"/>
  <c r="AO422" i="3" s="1"/>
  <c r="AR422" i="3" s="1"/>
  <c r="L282" i="2"/>
  <c r="AJ422" i="3" s="1"/>
  <c r="AM422" i="3" s="1"/>
  <c r="W281" i="2"/>
  <c r="V281" i="2"/>
  <c r="U281" i="2"/>
  <c r="T281" i="2"/>
  <c r="S281" i="2"/>
  <c r="R281" i="2"/>
  <c r="Q281" i="2"/>
  <c r="P281" i="2"/>
  <c r="N281" i="2"/>
  <c r="AO421" i="3" s="1"/>
  <c r="AR421" i="3" s="1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AO420" i="3" s="1"/>
  <c r="AR420" i="3" s="1"/>
  <c r="L280" i="2"/>
  <c r="AJ420" i="3" s="1"/>
  <c r="AM420" i="3" s="1"/>
  <c r="W279" i="2"/>
  <c r="V279" i="2"/>
  <c r="U279" i="2"/>
  <c r="T279" i="2"/>
  <c r="S279" i="2"/>
  <c r="R279" i="2"/>
  <c r="Q279" i="2"/>
  <c r="P279" i="2"/>
  <c r="N279" i="2"/>
  <c r="AO419" i="3" s="1"/>
  <c r="AR419" i="3" s="1"/>
  <c r="L279" i="2"/>
  <c r="AJ419" i="3" s="1"/>
  <c r="AM419" i="3" s="1"/>
  <c r="W278" i="2"/>
  <c r="V278" i="2"/>
  <c r="U278" i="2"/>
  <c r="T278" i="2"/>
  <c r="S278" i="2"/>
  <c r="R278" i="2"/>
  <c r="Q278" i="2"/>
  <c r="P278" i="2"/>
  <c r="N278" i="2"/>
  <c r="AO418" i="3" s="1"/>
  <c r="AR418" i="3" s="1"/>
  <c r="L278" i="2"/>
  <c r="AJ418" i="3" s="1"/>
  <c r="AM418" i="3" s="1"/>
  <c r="W277" i="2"/>
  <c r="V277" i="2"/>
  <c r="U277" i="2"/>
  <c r="T277" i="2"/>
  <c r="S277" i="2"/>
  <c r="R277" i="2"/>
  <c r="Q277" i="2"/>
  <c r="P277" i="2"/>
  <c r="N277" i="2"/>
  <c r="AO417" i="3" s="1"/>
  <c r="AR417" i="3" s="1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AO416" i="3" s="1"/>
  <c r="AR416" i="3" s="1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AO415" i="3" s="1"/>
  <c r="AR415" i="3" s="1"/>
  <c r="L275" i="2"/>
  <c r="AJ415" i="3" s="1"/>
  <c r="AM415" i="3" s="1"/>
  <c r="W274" i="2"/>
  <c r="V274" i="2"/>
  <c r="U274" i="2"/>
  <c r="T274" i="2"/>
  <c r="S274" i="2"/>
  <c r="R274" i="2"/>
  <c r="Q274" i="2"/>
  <c r="P274" i="2"/>
  <c r="N274" i="2"/>
  <c r="AO414" i="3" s="1"/>
  <c r="AR414" i="3" s="1"/>
  <c r="L274" i="2"/>
  <c r="AJ414" i="3" s="1"/>
  <c r="AM414" i="3" s="1"/>
  <c r="W273" i="2"/>
  <c r="V273" i="2"/>
  <c r="U273" i="2"/>
  <c r="T273" i="2"/>
  <c r="S273" i="2"/>
  <c r="R273" i="2"/>
  <c r="Q273" i="2"/>
  <c r="P273" i="2"/>
  <c r="N273" i="2"/>
  <c r="AO413" i="3" s="1"/>
  <c r="AR413" i="3" s="1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AO412" i="3" s="1"/>
  <c r="AR412" i="3" s="1"/>
  <c r="L272" i="2"/>
  <c r="AJ412" i="3" s="1"/>
  <c r="AM412" i="3" s="1"/>
  <c r="W271" i="2"/>
  <c r="V271" i="2"/>
  <c r="U271" i="2"/>
  <c r="T271" i="2"/>
  <c r="S271" i="2"/>
  <c r="R271" i="2"/>
  <c r="Q271" i="2"/>
  <c r="P271" i="2"/>
  <c r="N271" i="2"/>
  <c r="AO411" i="3" s="1"/>
  <c r="AR411" i="3" s="1"/>
  <c r="L271" i="2"/>
  <c r="AJ411" i="3" s="1"/>
  <c r="AM411" i="3" s="1"/>
  <c r="W270" i="2"/>
  <c r="V270" i="2"/>
  <c r="U270" i="2"/>
  <c r="T270" i="2"/>
  <c r="S270" i="2"/>
  <c r="R270" i="2"/>
  <c r="Q270" i="2"/>
  <c r="P270" i="2"/>
  <c r="N270" i="2"/>
  <c r="AO410" i="3" s="1"/>
  <c r="AR410" i="3" s="1"/>
  <c r="L270" i="2"/>
  <c r="AJ410" i="3" s="1"/>
  <c r="AM410" i="3" s="1"/>
  <c r="W269" i="2"/>
  <c r="V269" i="2"/>
  <c r="U269" i="2"/>
  <c r="T269" i="2"/>
  <c r="S269" i="2"/>
  <c r="R269" i="2"/>
  <c r="Q269" i="2"/>
  <c r="P269" i="2"/>
  <c r="N269" i="2"/>
  <c r="AO409" i="3" s="1"/>
  <c r="AR409" i="3" s="1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AO408" i="3" s="1"/>
  <c r="AR408" i="3" s="1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AO407" i="3" s="1"/>
  <c r="AR407" i="3" s="1"/>
  <c r="L267" i="2"/>
  <c r="AJ407" i="3" s="1"/>
  <c r="AM407" i="3" s="1"/>
  <c r="W266" i="2"/>
  <c r="V266" i="2"/>
  <c r="U266" i="2"/>
  <c r="T266" i="2"/>
  <c r="S266" i="2"/>
  <c r="R266" i="2"/>
  <c r="Q266" i="2"/>
  <c r="P266" i="2"/>
  <c r="N266" i="2"/>
  <c r="AO406" i="3" s="1"/>
  <c r="AR406" i="3" s="1"/>
  <c r="L266" i="2"/>
  <c r="AJ406" i="3" s="1"/>
  <c r="AM406" i="3" s="1"/>
  <c r="W265" i="2"/>
  <c r="V265" i="2"/>
  <c r="U265" i="2"/>
  <c r="T265" i="2"/>
  <c r="S265" i="2"/>
  <c r="R265" i="2"/>
  <c r="Q265" i="2"/>
  <c r="P265" i="2"/>
  <c r="N265" i="2"/>
  <c r="AO405" i="3" s="1"/>
  <c r="AR405" i="3" s="1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AO404" i="3" s="1"/>
  <c r="AR404" i="3" s="1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AO403" i="3" s="1"/>
  <c r="AR403" i="3" s="1"/>
  <c r="L263" i="2"/>
  <c r="AJ403" i="3" s="1"/>
  <c r="AM403" i="3" s="1"/>
  <c r="W262" i="2"/>
  <c r="V262" i="2"/>
  <c r="U262" i="2"/>
  <c r="T262" i="2"/>
  <c r="S262" i="2"/>
  <c r="R262" i="2"/>
  <c r="Q262" i="2"/>
  <c r="P262" i="2"/>
  <c r="N262" i="2"/>
  <c r="AO402" i="3" s="1"/>
  <c r="AR402" i="3" s="1"/>
  <c r="L262" i="2"/>
  <c r="AJ402" i="3" s="1"/>
  <c r="AM402" i="3" s="1"/>
  <c r="W261" i="2"/>
  <c r="V261" i="2"/>
  <c r="U261" i="2"/>
  <c r="T261" i="2"/>
  <c r="S261" i="2"/>
  <c r="R261" i="2"/>
  <c r="Q261" i="2"/>
  <c r="P261" i="2"/>
  <c r="N261" i="2"/>
  <c r="AO401" i="3" s="1"/>
  <c r="AR401" i="3" s="1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AO400" i="3" s="1"/>
  <c r="AR400" i="3" s="1"/>
  <c r="L260" i="2"/>
  <c r="AJ400" i="3" s="1"/>
  <c r="AM400" i="3" s="1"/>
  <c r="W259" i="2"/>
  <c r="V259" i="2"/>
  <c r="U259" i="2"/>
  <c r="T259" i="2"/>
  <c r="S259" i="2"/>
  <c r="R259" i="2"/>
  <c r="Q259" i="2"/>
  <c r="P259" i="2"/>
  <c r="N259" i="2"/>
  <c r="AO399" i="3" s="1"/>
  <c r="AR399" i="3" s="1"/>
  <c r="L259" i="2"/>
  <c r="AJ399" i="3" s="1"/>
  <c r="AM399" i="3" s="1"/>
  <c r="W258" i="2"/>
  <c r="V258" i="2"/>
  <c r="U258" i="2"/>
  <c r="T258" i="2"/>
  <c r="S258" i="2"/>
  <c r="R258" i="2"/>
  <c r="Q258" i="2"/>
  <c r="P258" i="2"/>
  <c r="N258" i="2"/>
  <c r="AO398" i="3" s="1"/>
  <c r="AR398" i="3" s="1"/>
  <c r="L258" i="2"/>
  <c r="AJ398" i="3" s="1"/>
  <c r="AM398" i="3" s="1"/>
  <c r="W257" i="2"/>
  <c r="V257" i="2"/>
  <c r="U257" i="2"/>
  <c r="T257" i="2"/>
  <c r="S257" i="2"/>
  <c r="R257" i="2"/>
  <c r="Q257" i="2"/>
  <c r="P257" i="2"/>
  <c r="N257" i="2"/>
  <c r="AO397" i="3" s="1"/>
  <c r="AR397" i="3" s="1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AO396" i="3" s="1"/>
  <c r="AR396" i="3" s="1"/>
  <c r="L256" i="2"/>
  <c r="AJ396" i="3" s="1"/>
  <c r="AM396" i="3" s="1"/>
  <c r="W255" i="2"/>
  <c r="V255" i="2"/>
  <c r="U255" i="2"/>
  <c r="T255" i="2"/>
  <c r="S255" i="2"/>
  <c r="R255" i="2"/>
  <c r="Q255" i="2"/>
  <c r="P255" i="2"/>
  <c r="N255" i="2"/>
  <c r="AO395" i="3" s="1"/>
  <c r="AR395" i="3" s="1"/>
  <c r="L255" i="2"/>
  <c r="AJ395" i="3" s="1"/>
  <c r="AM395" i="3" s="1"/>
  <c r="W254" i="2"/>
  <c r="V254" i="2"/>
  <c r="U254" i="2"/>
  <c r="T254" i="2"/>
  <c r="S254" i="2"/>
  <c r="R254" i="2"/>
  <c r="Q254" i="2"/>
  <c r="P254" i="2"/>
  <c r="N254" i="2"/>
  <c r="AO394" i="3" s="1"/>
  <c r="AR394" i="3" s="1"/>
  <c r="L254" i="2"/>
  <c r="AJ394" i="3" s="1"/>
  <c r="AM394" i="3" s="1"/>
  <c r="W253" i="2"/>
  <c r="V253" i="2"/>
  <c r="U253" i="2"/>
  <c r="T253" i="2"/>
  <c r="S253" i="2"/>
  <c r="R253" i="2"/>
  <c r="Q253" i="2"/>
  <c r="P253" i="2"/>
  <c r="N253" i="2"/>
  <c r="AO393" i="3" s="1"/>
  <c r="AR393" i="3" s="1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AO392" i="3" s="1"/>
  <c r="AR392" i="3" s="1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AO391" i="3" s="1"/>
  <c r="AR391" i="3" s="1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AO390" i="3" s="1"/>
  <c r="AR390" i="3" s="1"/>
  <c r="L250" i="2"/>
  <c r="AJ390" i="3" s="1"/>
  <c r="AM390" i="3" s="1"/>
  <c r="W249" i="2"/>
  <c r="V249" i="2"/>
  <c r="U249" i="2"/>
  <c r="T249" i="2"/>
  <c r="S249" i="2"/>
  <c r="R249" i="2"/>
  <c r="Q249" i="2"/>
  <c r="P249" i="2"/>
  <c r="N249" i="2"/>
  <c r="AO389" i="3" s="1"/>
  <c r="AR389" i="3" s="1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AO388" i="3" s="1"/>
  <c r="AR388" i="3" s="1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AO387" i="3" s="1"/>
  <c r="AR387" i="3" s="1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AO386" i="3" s="1"/>
  <c r="AR386" i="3" s="1"/>
  <c r="L246" i="2"/>
  <c r="AJ386" i="3" s="1"/>
  <c r="AM386" i="3" s="1"/>
  <c r="W245" i="2"/>
  <c r="V245" i="2"/>
  <c r="U245" i="2"/>
  <c r="T245" i="2"/>
  <c r="S245" i="2"/>
  <c r="R245" i="2"/>
  <c r="Q245" i="2"/>
  <c r="P245" i="2"/>
  <c r="N245" i="2"/>
  <c r="AO385" i="3" s="1"/>
  <c r="AR385" i="3" s="1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AO384" i="3" s="1"/>
  <c r="AR384" i="3" s="1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AO383" i="3" s="1"/>
  <c r="AR383" i="3" s="1"/>
  <c r="L243" i="2"/>
  <c r="AJ383" i="3" s="1"/>
  <c r="AM383" i="3" s="1"/>
  <c r="W242" i="2"/>
  <c r="V242" i="2"/>
  <c r="U242" i="2"/>
  <c r="T242" i="2"/>
  <c r="S242" i="2"/>
  <c r="R242" i="2"/>
  <c r="Q242" i="2"/>
  <c r="P242" i="2"/>
  <c r="N242" i="2"/>
  <c r="AO382" i="3" s="1"/>
  <c r="AR382" i="3" s="1"/>
  <c r="L242" i="2"/>
  <c r="AJ382" i="3" s="1"/>
  <c r="AM382" i="3" s="1"/>
  <c r="W241" i="2"/>
  <c r="V241" i="2"/>
  <c r="U241" i="2"/>
  <c r="T241" i="2"/>
  <c r="S241" i="2"/>
  <c r="R241" i="2"/>
  <c r="Q241" i="2"/>
  <c r="P241" i="2"/>
  <c r="N241" i="2"/>
  <c r="AO381" i="3" s="1"/>
  <c r="AR381" i="3" s="1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AO380" i="3" s="1"/>
  <c r="AR380" i="3" s="1"/>
  <c r="L240" i="2"/>
  <c r="AJ380" i="3" s="1"/>
  <c r="AM380" i="3" s="1"/>
  <c r="W239" i="2"/>
  <c r="V239" i="2"/>
  <c r="U239" i="2"/>
  <c r="T239" i="2"/>
  <c r="S239" i="2"/>
  <c r="R239" i="2"/>
  <c r="Q239" i="2"/>
  <c r="P239" i="2"/>
  <c r="N239" i="2"/>
  <c r="AO379" i="3" s="1"/>
  <c r="AR379" i="3" s="1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AO378" i="3" s="1"/>
  <c r="AR378" i="3" s="1"/>
  <c r="L238" i="2"/>
  <c r="AJ378" i="3" s="1"/>
  <c r="AM378" i="3" s="1"/>
  <c r="W237" i="2"/>
  <c r="V237" i="2"/>
  <c r="U237" i="2"/>
  <c r="T237" i="2"/>
  <c r="S237" i="2"/>
  <c r="R237" i="2"/>
  <c r="Q237" i="2"/>
  <c r="P237" i="2"/>
  <c r="N237" i="2"/>
  <c r="AO377" i="3" s="1"/>
  <c r="AR377" i="3" s="1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AO376" i="3" s="1"/>
  <c r="AR376" i="3" s="1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AO375" i="3" s="1"/>
  <c r="AR375" i="3" s="1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AO374" i="3" s="1"/>
  <c r="AR374" i="3" s="1"/>
  <c r="L234" i="2"/>
  <c r="AJ374" i="3" s="1"/>
  <c r="AM374" i="3" s="1"/>
  <c r="W233" i="2"/>
  <c r="V233" i="2"/>
  <c r="U233" i="2"/>
  <c r="T233" i="2"/>
  <c r="S233" i="2"/>
  <c r="R233" i="2"/>
  <c r="Q233" i="2"/>
  <c r="P233" i="2"/>
  <c r="N233" i="2"/>
  <c r="AO373" i="3" s="1"/>
  <c r="AR373" i="3" s="1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AO372" i="3" s="1"/>
  <c r="AR372" i="3" s="1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AO371" i="3" s="1"/>
  <c r="AR371" i="3" s="1"/>
  <c r="L231" i="2"/>
  <c r="AJ371" i="3" s="1"/>
  <c r="AM371" i="3" s="1"/>
  <c r="W230" i="2"/>
  <c r="V230" i="2"/>
  <c r="U230" i="2"/>
  <c r="T230" i="2"/>
  <c r="S230" i="2"/>
  <c r="R230" i="2"/>
  <c r="Q230" i="2"/>
  <c r="P230" i="2"/>
  <c r="N230" i="2"/>
  <c r="AO370" i="3" s="1"/>
  <c r="AR370" i="3" s="1"/>
  <c r="L230" i="2"/>
  <c r="AJ370" i="3" s="1"/>
  <c r="AM370" i="3" s="1"/>
  <c r="W229" i="2"/>
  <c r="V229" i="2"/>
  <c r="U229" i="2"/>
  <c r="T229" i="2"/>
  <c r="S229" i="2"/>
  <c r="R229" i="2"/>
  <c r="Q229" i="2"/>
  <c r="P229" i="2"/>
  <c r="N229" i="2"/>
  <c r="AO369" i="3" s="1"/>
  <c r="AR369" i="3" s="1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AO368" i="3" s="1"/>
  <c r="AR368" i="3" s="1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AO367" i="3" s="1"/>
  <c r="AR367" i="3" s="1"/>
  <c r="L227" i="2"/>
  <c r="AJ367" i="3" s="1"/>
  <c r="AM367" i="3" s="1"/>
  <c r="W226" i="2"/>
  <c r="V226" i="2"/>
  <c r="U226" i="2"/>
  <c r="T226" i="2"/>
  <c r="S226" i="2"/>
  <c r="R226" i="2"/>
  <c r="Q226" i="2"/>
  <c r="P226" i="2"/>
  <c r="N226" i="2"/>
  <c r="AO366" i="3" s="1"/>
  <c r="AR366" i="3" s="1"/>
  <c r="L226" i="2"/>
  <c r="AJ366" i="3" s="1"/>
  <c r="AM366" i="3" s="1"/>
  <c r="W225" i="2"/>
  <c r="V225" i="2"/>
  <c r="U225" i="2"/>
  <c r="T225" i="2"/>
  <c r="S225" i="2"/>
  <c r="R225" i="2"/>
  <c r="Q225" i="2"/>
  <c r="P225" i="2"/>
  <c r="N225" i="2"/>
  <c r="AO365" i="3" s="1"/>
  <c r="AR365" i="3" s="1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AO364" i="3" s="1"/>
  <c r="AR364" i="3" s="1"/>
  <c r="L224" i="2"/>
  <c r="AJ364" i="3" s="1"/>
  <c r="AM364" i="3" s="1"/>
  <c r="W223" i="2"/>
  <c r="V223" i="2"/>
  <c r="U223" i="2"/>
  <c r="T223" i="2"/>
  <c r="S223" i="2"/>
  <c r="R223" i="2"/>
  <c r="Q223" i="2"/>
  <c r="P223" i="2"/>
  <c r="N223" i="2"/>
  <c r="AO363" i="3" s="1"/>
  <c r="AR363" i="3" s="1"/>
  <c r="L223" i="2"/>
  <c r="AJ363" i="3" s="1"/>
  <c r="AM363" i="3" s="1"/>
  <c r="W222" i="2"/>
  <c r="V222" i="2"/>
  <c r="U222" i="2"/>
  <c r="T222" i="2"/>
  <c r="S222" i="2"/>
  <c r="R222" i="2"/>
  <c r="Q222" i="2"/>
  <c r="P222" i="2"/>
  <c r="N222" i="2"/>
  <c r="AO362" i="3" s="1"/>
  <c r="AR362" i="3" s="1"/>
  <c r="L222" i="2"/>
  <c r="AJ362" i="3" s="1"/>
  <c r="AM362" i="3" s="1"/>
  <c r="W221" i="2"/>
  <c r="V221" i="2"/>
  <c r="U221" i="2"/>
  <c r="T221" i="2"/>
  <c r="S221" i="2"/>
  <c r="R221" i="2"/>
  <c r="Q221" i="2"/>
  <c r="P221" i="2"/>
  <c r="N221" i="2"/>
  <c r="AO361" i="3" s="1"/>
  <c r="AR361" i="3" s="1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AO360" i="3" s="1"/>
  <c r="AR360" i="3" s="1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AO359" i="3" s="1"/>
  <c r="AR359" i="3" s="1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AO358" i="3" s="1"/>
  <c r="AR358" i="3" s="1"/>
  <c r="L218" i="2"/>
  <c r="AJ358" i="3" s="1"/>
  <c r="AM358" i="3" s="1"/>
  <c r="W217" i="2"/>
  <c r="V217" i="2"/>
  <c r="U217" i="2"/>
  <c r="T217" i="2"/>
  <c r="S217" i="2"/>
  <c r="R217" i="2"/>
  <c r="Q217" i="2"/>
  <c r="P217" i="2"/>
  <c r="N217" i="2"/>
  <c r="AO357" i="3" s="1"/>
  <c r="AR357" i="3" s="1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AO356" i="3" s="1"/>
  <c r="AR356" i="3" s="1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AO355" i="3" s="1"/>
  <c r="AR355" i="3" s="1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AO354" i="3" s="1"/>
  <c r="AR354" i="3" s="1"/>
  <c r="L214" i="2"/>
  <c r="AJ354" i="3" s="1"/>
  <c r="AM354" i="3" s="1"/>
  <c r="W213" i="2"/>
  <c r="V213" i="2"/>
  <c r="U213" i="2"/>
  <c r="T213" i="2"/>
  <c r="S213" i="2"/>
  <c r="R213" i="2"/>
  <c r="Q213" i="2"/>
  <c r="P213" i="2"/>
  <c r="N213" i="2"/>
  <c r="AO353" i="3" s="1"/>
  <c r="AR353" i="3" s="1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AO352" i="3" s="1"/>
  <c r="AR352" i="3" s="1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AO351" i="3" s="1"/>
  <c r="AR351" i="3" s="1"/>
  <c r="L211" i="2"/>
  <c r="AJ351" i="3" s="1"/>
  <c r="AM351" i="3" s="1"/>
  <c r="W210" i="2"/>
  <c r="V210" i="2"/>
  <c r="U210" i="2"/>
  <c r="T210" i="2"/>
  <c r="S210" i="2"/>
  <c r="R210" i="2"/>
  <c r="Q210" i="2"/>
  <c r="P210" i="2"/>
  <c r="N210" i="2"/>
  <c r="AO350" i="3" s="1"/>
  <c r="AR350" i="3" s="1"/>
  <c r="L210" i="2"/>
  <c r="AJ350" i="3" s="1"/>
  <c r="AM350" i="3" s="1"/>
  <c r="W209" i="2"/>
  <c r="V209" i="2"/>
  <c r="U209" i="2"/>
  <c r="T209" i="2"/>
  <c r="S209" i="2"/>
  <c r="R209" i="2"/>
  <c r="Q209" i="2"/>
  <c r="P209" i="2"/>
  <c r="N209" i="2"/>
  <c r="AO349" i="3" s="1"/>
  <c r="AR349" i="3" s="1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AO348" i="3" s="1"/>
  <c r="AR348" i="3" s="1"/>
  <c r="L208" i="2"/>
  <c r="AJ348" i="3" s="1"/>
  <c r="AM348" i="3" s="1"/>
  <c r="W207" i="2"/>
  <c r="V207" i="2"/>
  <c r="U207" i="2"/>
  <c r="T207" i="2"/>
  <c r="S207" i="2"/>
  <c r="R207" i="2"/>
  <c r="Q207" i="2"/>
  <c r="P207" i="2"/>
  <c r="N207" i="2"/>
  <c r="AO347" i="3" s="1"/>
  <c r="AR347" i="3" s="1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AO346" i="3" s="1"/>
  <c r="AR346" i="3" s="1"/>
  <c r="L206" i="2"/>
  <c r="AJ346" i="3" s="1"/>
  <c r="AM346" i="3" s="1"/>
  <c r="W205" i="2"/>
  <c r="V205" i="2"/>
  <c r="U205" i="2"/>
  <c r="T205" i="2"/>
  <c r="S205" i="2"/>
  <c r="R205" i="2"/>
  <c r="Q205" i="2"/>
  <c r="P205" i="2"/>
  <c r="N205" i="2"/>
  <c r="AO345" i="3" s="1"/>
  <c r="AR345" i="3" s="1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AO344" i="3" s="1"/>
  <c r="AR344" i="3" s="1"/>
  <c r="L204" i="2"/>
  <c r="AJ344" i="3" s="1"/>
  <c r="AM344" i="3" s="1"/>
  <c r="W203" i="2"/>
  <c r="V203" i="2"/>
  <c r="U203" i="2"/>
  <c r="T203" i="2"/>
  <c r="S203" i="2"/>
  <c r="R203" i="2"/>
  <c r="Q203" i="2"/>
  <c r="P203" i="2"/>
  <c r="N203" i="2"/>
  <c r="AO343" i="3" s="1"/>
  <c r="AR343" i="3" s="1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AO342" i="3" s="1"/>
  <c r="AR342" i="3" s="1"/>
  <c r="L202" i="2"/>
  <c r="AJ342" i="3" s="1"/>
  <c r="AM342" i="3" s="1"/>
  <c r="W201" i="2"/>
  <c r="V201" i="2"/>
  <c r="U201" i="2"/>
  <c r="T201" i="2"/>
  <c r="S201" i="2"/>
  <c r="R201" i="2"/>
  <c r="Q201" i="2"/>
  <c r="P201" i="2"/>
  <c r="N201" i="2"/>
  <c r="AO341" i="3" s="1"/>
  <c r="AR341" i="3" s="1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AO340" i="3" s="1"/>
  <c r="AR340" i="3" s="1"/>
  <c r="L200" i="2"/>
  <c r="AJ340" i="3" s="1"/>
  <c r="AM340" i="3" s="1"/>
  <c r="W199" i="2"/>
  <c r="V199" i="2"/>
  <c r="U199" i="2"/>
  <c r="T199" i="2"/>
  <c r="S199" i="2"/>
  <c r="R199" i="2"/>
  <c r="Q199" i="2"/>
  <c r="P199" i="2"/>
  <c r="N199" i="2"/>
  <c r="AO339" i="3" s="1"/>
  <c r="AR339" i="3" s="1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AO338" i="3" s="1"/>
  <c r="AR338" i="3" s="1"/>
  <c r="L198" i="2"/>
  <c r="AJ338" i="3" s="1"/>
  <c r="AM338" i="3" s="1"/>
  <c r="W197" i="2"/>
  <c r="V197" i="2"/>
  <c r="U197" i="2"/>
  <c r="T197" i="2"/>
  <c r="S197" i="2"/>
  <c r="R197" i="2"/>
  <c r="Q197" i="2"/>
  <c r="P197" i="2"/>
  <c r="N197" i="2"/>
  <c r="AO337" i="3" s="1"/>
  <c r="AR337" i="3" s="1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AO336" i="3" s="1"/>
  <c r="AR336" i="3" s="1"/>
  <c r="L196" i="2"/>
  <c r="AJ336" i="3" s="1"/>
  <c r="AM336" i="3" s="1"/>
  <c r="W195" i="2"/>
  <c r="V195" i="2"/>
  <c r="U195" i="2"/>
  <c r="T195" i="2"/>
  <c r="S195" i="2"/>
  <c r="R195" i="2"/>
  <c r="Q195" i="2"/>
  <c r="P195" i="2"/>
  <c r="N195" i="2"/>
  <c r="AO335" i="3" s="1"/>
  <c r="AR335" i="3" s="1"/>
  <c r="L195" i="2"/>
  <c r="AJ335" i="3" s="1"/>
  <c r="AM335" i="3" s="1"/>
  <c r="W194" i="2"/>
  <c r="V194" i="2"/>
  <c r="U194" i="2"/>
  <c r="T194" i="2"/>
  <c r="S194" i="2"/>
  <c r="R194" i="2"/>
  <c r="Q194" i="2"/>
  <c r="P194" i="2"/>
  <c r="N194" i="2"/>
  <c r="AO334" i="3" s="1"/>
  <c r="AR334" i="3" s="1"/>
  <c r="L194" i="2"/>
  <c r="AJ334" i="3" s="1"/>
  <c r="AM334" i="3" s="1"/>
  <c r="W193" i="2"/>
  <c r="V193" i="2"/>
  <c r="U193" i="2"/>
  <c r="T193" i="2"/>
  <c r="S193" i="2"/>
  <c r="R193" i="2"/>
  <c r="Q193" i="2"/>
  <c r="P193" i="2"/>
  <c r="N193" i="2"/>
  <c r="AO333" i="3" s="1"/>
  <c r="AR333" i="3" s="1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AO332" i="3" s="1"/>
  <c r="AR332" i="3" s="1"/>
  <c r="L192" i="2"/>
  <c r="AJ332" i="3" s="1"/>
  <c r="AM332" i="3" s="1"/>
  <c r="W191" i="2"/>
  <c r="V191" i="2"/>
  <c r="U191" i="2"/>
  <c r="T191" i="2"/>
  <c r="S191" i="2"/>
  <c r="R191" i="2"/>
  <c r="Q191" i="2"/>
  <c r="P191" i="2"/>
  <c r="N191" i="2"/>
  <c r="AO331" i="3" s="1"/>
  <c r="AR331" i="3" s="1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AO330" i="3" s="1"/>
  <c r="AR330" i="3" s="1"/>
  <c r="L190" i="2"/>
  <c r="AJ330" i="3" s="1"/>
  <c r="AM330" i="3" s="1"/>
  <c r="W189" i="2"/>
  <c r="V189" i="2"/>
  <c r="U189" i="2"/>
  <c r="T189" i="2"/>
  <c r="S189" i="2"/>
  <c r="R189" i="2"/>
  <c r="Q189" i="2"/>
  <c r="P189" i="2"/>
  <c r="N189" i="2"/>
  <c r="AO329" i="3" s="1"/>
  <c r="AR329" i="3" s="1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AO328" i="3" s="1"/>
  <c r="AR328" i="3" s="1"/>
  <c r="L188" i="2"/>
  <c r="AJ328" i="3" s="1"/>
  <c r="AM328" i="3" s="1"/>
  <c r="W187" i="2"/>
  <c r="V187" i="2"/>
  <c r="U187" i="2"/>
  <c r="T187" i="2"/>
  <c r="S187" i="2"/>
  <c r="R187" i="2"/>
  <c r="Q187" i="2"/>
  <c r="P187" i="2"/>
  <c r="N187" i="2"/>
  <c r="AO327" i="3" s="1"/>
  <c r="AR327" i="3" s="1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AO326" i="3" s="1"/>
  <c r="AR326" i="3" s="1"/>
  <c r="L186" i="2"/>
  <c r="AJ326" i="3" s="1"/>
  <c r="AM326" i="3" s="1"/>
  <c r="W185" i="2"/>
  <c r="V185" i="2"/>
  <c r="U185" i="2"/>
  <c r="T185" i="2"/>
  <c r="S185" i="2"/>
  <c r="R185" i="2"/>
  <c r="Q185" i="2"/>
  <c r="P185" i="2"/>
  <c r="N185" i="2"/>
  <c r="AO325" i="3" s="1"/>
  <c r="AR325" i="3" s="1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AO324" i="3" s="1"/>
  <c r="AR324" i="3" s="1"/>
  <c r="L184" i="2"/>
  <c r="AJ324" i="3" s="1"/>
  <c r="AM324" i="3" s="1"/>
  <c r="W183" i="2"/>
  <c r="V183" i="2"/>
  <c r="U183" i="2"/>
  <c r="T183" i="2"/>
  <c r="S183" i="2"/>
  <c r="R183" i="2"/>
  <c r="Q183" i="2"/>
  <c r="P183" i="2"/>
  <c r="N183" i="2"/>
  <c r="AO323" i="3" s="1"/>
  <c r="AR323" i="3" s="1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AO322" i="3" s="1"/>
  <c r="AR322" i="3" s="1"/>
  <c r="L182" i="2"/>
  <c r="AJ322" i="3" s="1"/>
  <c r="AM322" i="3" s="1"/>
  <c r="W181" i="2"/>
  <c r="V181" i="2"/>
  <c r="U181" i="2"/>
  <c r="T181" i="2"/>
  <c r="S181" i="2"/>
  <c r="R181" i="2"/>
  <c r="Q181" i="2"/>
  <c r="P181" i="2"/>
  <c r="N181" i="2"/>
  <c r="AO321" i="3" s="1"/>
  <c r="AR321" i="3" s="1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AO320" i="3" s="1"/>
  <c r="AR320" i="3" s="1"/>
  <c r="L180" i="2"/>
  <c r="AJ320" i="3" s="1"/>
  <c r="AM320" i="3" s="1"/>
  <c r="W179" i="2"/>
  <c r="V179" i="2"/>
  <c r="U179" i="2"/>
  <c r="T179" i="2"/>
  <c r="S179" i="2"/>
  <c r="R179" i="2"/>
  <c r="Q179" i="2"/>
  <c r="P179" i="2"/>
  <c r="N179" i="2"/>
  <c r="AO319" i="3" s="1"/>
  <c r="AR319" i="3" s="1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AO318" i="3" s="1"/>
  <c r="AR318" i="3" s="1"/>
  <c r="L178" i="2"/>
  <c r="AJ318" i="3" s="1"/>
  <c r="AM318" i="3" s="1"/>
  <c r="W177" i="2"/>
  <c r="V177" i="2"/>
  <c r="U177" i="2"/>
  <c r="T177" i="2"/>
  <c r="S177" i="2"/>
  <c r="R177" i="2"/>
  <c r="Q177" i="2"/>
  <c r="P177" i="2"/>
  <c r="N177" i="2"/>
  <c r="AO317" i="3" s="1"/>
  <c r="AR317" i="3" s="1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AO316" i="3" s="1"/>
  <c r="AR316" i="3" s="1"/>
  <c r="L176" i="2"/>
  <c r="AJ316" i="3" s="1"/>
  <c r="AM316" i="3" s="1"/>
  <c r="W175" i="2"/>
  <c r="V175" i="2"/>
  <c r="U175" i="2"/>
  <c r="T175" i="2"/>
  <c r="S175" i="2"/>
  <c r="R175" i="2"/>
  <c r="Q175" i="2"/>
  <c r="P175" i="2"/>
  <c r="N175" i="2"/>
  <c r="AO315" i="3" s="1"/>
  <c r="AR315" i="3" s="1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AO314" i="3" s="1"/>
  <c r="AR314" i="3" s="1"/>
  <c r="L174" i="2"/>
  <c r="AJ314" i="3" s="1"/>
  <c r="AM314" i="3" s="1"/>
  <c r="W173" i="2"/>
  <c r="V173" i="2"/>
  <c r="U173" i="2"/>
  <c r="T173" i="2"/>
  <c r="S173" i="2"/>
  <c r="R173" i="2"/>
  <c r="Q173" i="2"/>
  <c r="P173" i="2"/>
  <c r="N173" i="2"/>
  <c r="AO313" i="3" s="1"/>
  <c r="AR313" i="3" s="1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AO312" i="3" s="1"/>
  <c r="AR312" i="3" s="1"/>
  <c r="L172" i="2"/>
  <c r="AJ312" i="3" s="1"/>
  <c r="AM312" i="3" s="1"/>
  <c r="W171" i="2"/>
  <c r="V171" i="2"/>
  <c r="U171" i="2"/>
  <c r="T171" i="2"/>
  <c r="S171" i="2"/>
  <c r="R171" i="2"/>
  <c r="Q171" i="2"/>
  <c r="P171" i="2"/>
  <c r="N171" i="2"/>
  <c r="AO311" i="3" s="1"/>
  <c r="AR311" i="3" s="1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AO310" i="3" s="1"/>
  <c r="AR310" i="3" s="1"/>
  <c r="L170" i="2"/>
  <c r="AJ310" i="3" s="1"/>
  <c r="AM310" i="3" s="1"/>
  <c r="W169" i="2"/>
  <c r="V169" i="2"/>
  <c r="U169" i="2"/>
  <c r="T169" i="2"/>
  <c r="S169" i="2"/>
  <c r="R169" i="2"/>
  <c r="Q169" i="2"/>
  <c r="P169" i="2"/>
  <c r="N169" i="2"/>
  <c r="AO309" i="3" s="1"/>
  <c r="AR309" i="3" s="1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AO308" i="3" s="1"/>
  <c r="AR308" i="3" s="1"/>
  <c r="L168" i="2"/>
  <c r="AJ308" i="3" s="1"/>
  <c r="AM308" i="3" s="1"/>
  <c r="W167" i="2"/>
  <c r="V167" i="2"/>
  <c r="U167" i="2"/>
  <c r="T167" i="2"/>
  <c r="S167" i="2"/>
  <c r="R167" i="2"/>
  <c r="Q167" i="2"/>
  <c r="P167" i="2"/>
  <c r="N167" i="2"/>
  <c r="AO307" i="3" s="1"/>
  <c r="AR307" i="3" s="1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AO306" i="3" s="1"/>
  <c r="AR306" i="3" s="1"/>
  <c r="L166" i="2"/>
  <c r="AJ306" i="3" s="1"/>
  <c r="AM306" i="3" s="1"/>
  <c r="W165" i="2"/>
  <c r="V165" i="2"/>
  <c r="U165" i="2"/>
  <c r="T165" i="2"/>
  <c r="S165" i="2"/>
  <c r="R165" i="2"/>
  <c r="Q165" i="2"/>
  <c r="P165" i="2"/>
  <c r="N165" i="2"/>
  <c r="AO305" i="3" s="1"/>
  <c r="AR305" i="3" s="1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AO304" i="3" s="1"/>
  <c r="AR304" i="3" s="1"/>
  <c r="L164" i="2"/>
  <c r="AJ304" i="3" s="1"/>
  <c r="AM304" i="3" s="1"/>
  <c r="W163" i="2"/>
  <c r="V163" i="2"/>
  <c r="U163" i="2"/>
  <c r="T163" i="2"/>
  <c r="S163" i="2"/>
  <c r="R163" i="2"/>
  <c r="Q163" i="2"/>
  <c r="P163" i="2"/>
  <c r="N163" i="2"/>
  <c r="AO303" i="3" s="1"/>
  <c r="AR303" i="3" s="1"/>
  <c r="L163" i="2"/>
  <c r="AJ303" i="3" s="1"/>
  <c r="AM303" i="3" s="1"/>
  <c r="W162" i="2"/>
  <c r="V162" i="2"/>
  <c r="U162" i="2"/>
  <c r="T162" i="2"/>
  <c r="S162" i="2"/>
  <c r="R162" i="2"/>
  <c r="Q162" i="2"/>
  <c r="P162" i="2"/>
  <c r="N162" i="2"/>
  <c r="AO302" i="3" s="1"/>
  <c r="AR302" i="3" s="1"/>
  <c r="L162" i="2"/>
  <c r="AJ302" i="3" s="1"/>
  <c r="AM302" i="3" s="1"/>
  <c r="W161" i="2"/>
  <c r="V161" i="2"/>
  <c r="U161" i="2"/>
  <c r="T161" i="2"/>
  <c r="S161" i="2"/>
  <c r="R161" i="2"/>
  <c r="Q161" i="2"/>
  <c r="P161" i="2"/>
  <c r="N161" i="2"/>
  <c r="AO301" i="3" s="1"/>
  <c r="AR301" i="3" s="1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AO300" i="3" s="1"/>
  <c r="AR300" i="3" s="1"/>
  <c r="L160" i="2"/>
  <c r="AJ300" i="3" s="1"/>
  <c r="AM300" i="3" s="1"/>
  <c r="W159" i="2"/>
  <c r="V159" i="2"/>
  <c r="U159" i="2"/>
  <c r="T159" i="2"/>
  <c r="S159" i="2"/>
  <c r="R159" i="2"/>
  <c r="Q159" i="2"/>
  <c r="P159" i="2"/>
  <c r="N159" i="2"/>
  <c r="AO299" i="3" s="1"/>
  <c r="AR299" i="3" s="1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AO298" i="3" s="1"/>
  <c r="AR298" i="3" s="1"/>
  <c r="L158" i="2"/>
  <c r="AJ298" i="3" s="1"/>
  <c r="AM298" i="3" s="1"/>
  <c r="W157" i="2"/>
  <c r="V157" i="2"/>
  <c r="U157" i="2"/>
  <c r="T157" i="2"/>
  <c r="S157" i="2"/>
  <c r="R157" i="2"/>
  <c r="Q157" i="2"/>
  <c r="P157" i="2"/>
  <c r="N157" i="2"/>
  <c r="AO297" i="3" s="1"/>
  <c r="AR297" i="3" s="1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AO296" i="3" s="1"/>
  <c r="AR296" i="3" s="1"/>
  <c r="L156" i="2"/>
  <c r="AJ296" i="3" s="1"/>
  <c r="AM296" i="3" s="1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AO294" i="3" s="1"/>
  <c r="AR294" i="3" s="1"/>
  <c r="L154" i="2"/>
  <c r="AJ294" i="3" s="1"/>
  <c r="AM294" i="3" s="1"/>
  <c r="W153" i="2"/>
  <c r="V153" i="2"/>
  <c r="U153" i="2"/>
  <c r="T153" i="2"/>
  <c r="S153" i="2"/>
  <c r="R153" i="2"/>
  <c r="Q153" i="2"/>
  <c r="P153" i="2"/>
  <c r="N153" i="2"/>
  <c r="AO293" i="3" s="1"/>
  <c r="AR293" i="3" s="1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AO292" i="3" s="1"/>
  <c r="AR292" i="3" s="1"/>
  <c r="L152" i="2"/>
  <c r="AJ292" i="3" s="1"/>
  <c r="AM292" i="3" s="1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AO290" i="3" s="1"/>
  <c r="AR290" i="3" s="1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AO289" i="3" s="1"/>
  <c r="AR289" i="3" s="1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AO288" i="3" s="1"/>
  <c r="AR288" i="3" s="1"/>
  <c r="L148" i="2"/>
  <c r="AJ288" i="3" s="1"/>
  <c r="AM288" i="3" s="1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AO286" i="3" s="1"/>
  <c r="AR286" i="3" s="1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AO285" i="3" s="1"/>
  <c r="AR285" i="3" s="1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AO284" i="3" s="1"/>
  <c r="AR284" i="3" s="1"/>
  <c r="L144" i="2"/>
  <c r="AJ284" i="3" s="1"/>
  <c r="AM284" i="3" s="1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AO282" i="3" s="1"/>
  <c r="AR282" i="3" s="1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AO281" i="3" s="1"/>
  <c r="AR281" i="3" s="1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AO280" i="3" s="1"/>
  <c r="AR280" i="3" s="1"/>
  <c r="L140" i="2"/>
  <c r="AJ280" i="3" s="1"/>
  <c r="AM280" i="3" s="1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AO278" i="3" s="1"/>
  <c r="AR278" i="3" s="1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AO277" i="3" s="1"/>
  <c r="AR277" i="3" s="1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AO276" i="3" s="1"/>
  <c r="AR276" i="3" s="1"/>
  <c r="L136" i="2"/>
  <c r="AJ276" i="3" s="1"/>
  <c r="AM276" i="3" s="1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AO274" i="3" s="1"/>
  <c r="AR274" i="3" s="1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AO273" i="3" s="1"/>
  <c r="AR273" i="3" s="1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AO272" i="3" s="1"/>
  <c r="AR272" i="3" s="1"/>
  <c r="L132" i="2"/>
  <c r="AJ272" i="3" s="1"/>
  <c r="AM272" i="3" s="1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AJ271" i="3" s="1"/>
  <c r="AM271" i="3" s="1"/>
  <c r="W130" i="2"/>
  <c r="V130" i="2"/>
  <c r="U130" i="2"/>
  <c r="T130" i="2"/>
  <c r="S130" i="2"/>
  <c r="R130" i="2"/>
  <c r="Q130" i="2"/>
  <c r="P130" i="2"/>
  <c r="N130" i="2"/>
  <c r="AO270" i="3" s="1"/>
  <c r="AR270" i="3" s="1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AO269" i="3" s="1"/>
  <c r="AR269" i="3" s="1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AO268" i="3" s="1"/>
  <c r="AR268" i="3" s="1"/>
  <c r="L128" i="2"/>
  <c r="AJ268" i="3" s="1"/>
  <c r="AM268" i="3" s="1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AO266" i="3" s="1"/>
  <c r="AR266" i="3" s="1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AO265" i="3" s="1"/>
  <c r="AR265" i="3" s="1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AO264" i="3" s="1"/>
  <c r="AR264" i="3" s="1"/>
  <c r="L124" i="2"/>
  <c r="AJ264" i="3" s="1"/>
  <c r="AM264" i="3" s="1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AO262" i="3" s="1"/>
  <c r="AR262" i="3" s="1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AO261" i="3" s="1"/>
  <c r="AR261" i="3" s="1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AO260" i="3" s="1"/>
  <c r="AR260" i="3" s="1"/>
  <c r="L120" i="2"/>
  <c r="AJ260" i="3" s="1"/>
  <c r="AM260" i="3" s="1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AO258" i="3" s="1"/>
  <c r="AR258" i="3" s="1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AO257" i="3" s="1"/>
  <c r="AR257" i="3" s="1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AO256" i="3" s="1"/>
  <c r="AR256" i="3" s="1"/>
  <c r="L116" i="2"/>
  <c r="AJ256" i="3" s="1"/>
  <c r="AM256" i="3" s="1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AO254" i="3" s="1"/>
  <c r="AR254" i="3" s="1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AO253" i="3" s="1"/>
  <c r="AR253" i="3" s="1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AO252" i="3" s="1"/>
  <c r="AR252" i="3" s="1"/>
  <c r="L112" i="2"/>
  <c r="AJ252" i="3" s="1"/>
  <c r="AM252" i="3" s="1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AJ251" i="3" s="1"/>
  <c r="AM251" i="3" s="1"/>
  <c r="W110" i="2"/>
  <c r="V110" i="2"/>
  <c r="U110" i="2"/>
  <c r="T110" i="2"/>
  <c r="S110" i="2"/>
  <c r="R110" i="2"/>
  <c r="Q110" i="2"/>
  <c r="P110" i="2"/>
  <c r="N110" i="2"/>
  <c r="AO250" i="3" s="1"/>
  <c r="AR250" i="3" s="1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AO249" i="3" s="1"/>
  <c r="AR249" i="3" s="1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AO248" i="3" s="1"/>
  <c r="AR248" i="3" s="1"/>
  <c r="L108" i="2"/>
  <c r="AJ248" i="3" s="1"/>
  <c r="AM248" i="3" s="1"/>
  <c r="W107" i="2"/>
  <c r="V107" i="2"/>
  <c r="U107" i="2"/>
  <c r="T107" i="2"/>
  <c r="S107" i="2"/>
  <c r="R107" i="2"/>
  <c r="Q107" i="2"/>
  <c r="P107" i="2"/>
  <c r="N107" i="2"/>
  <c r="AO247" i="3" s="1"/>
  <c r="AR247" i="3" s="1"/>
  <c r="L107" i="2"/>
  <c r="AJ247" i="3" s="1"/>
  <c r="AM247" i="3" s="1"/>
  <c r="W106" i="2"/>
  <c r="V106" i="2"/>
  <c r="U106" i="2"/>
  <c r="T106" i="2"/>
  <c r="S106" i="2"/>
  <c r="R106" i="2"/>
  <c r="Q106" i="2"/>
  <c r="P106" i="2"/>
  <c r="N106" i="2"/>
  <c r="AO246" i="3" s="1"/>
  <c r="AR246" i="3" s="1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AJ243" i="3" s="1"/>
  <c r="AM243" i="3" s="1"/>
  <c r="W102" i="2"/>
  <c r="V102" i="2"/>
  <c r="U102" i="2"/>
  <c r="T102" i="2"/>
  <c r="S102" i="2"/>
  <c r="R102" i="2"/>
  <c r="Q102" i="2"/>
  <c r="P102" i="2"/>
  <c r="N102" i="2"/>
  <c r="AO242" i="3" s="1"/>
  <c r="AR242" i="3" s="1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AO241" i="3" s="1"/>
  <c r="AR241" i="3" s="1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AJ239" i="3" s="1"/>
  <c r="AM239" i="3" s="1"/>
  <c r="W98" i="2"/>
  <c r="V98" i="2"/>
  <c r="U98" i="2"/>
  <c r="T98" i="2"/>
  <c r="S98" i="2"/>
  <c r="R98" i="2"/>
  <c r="Q98" i="2"/>
  <c r="P98" i="2"/>
  <c r="N98" i="2"/>
  <c r="AO238" i="3" s="1"/>
  <c r="AR238" i="3" s="1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AO237" i="3" s="1"/>
  <c r="AR237" i="3" s="1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AO236" i="3" s="1"/>
  <c r="AR236" i="3" s="1"/>
  <c r="L96" i="2"/>
  <c r="AJ236" i="3" s="1"/>
  <c r="AM236" i="3" s="1"/>
  <c r="W95" i="2"/>
  <c r="V95" i="2"/>
  <c r="U95" i="2"/>
  <c r="T95" i="2"/>
  <c r="S95" i="2"/>
  <c r="R95" i="2"/>
  <c r="Q95" i="2"/>
  <c r="P95" i="2"/>
  <c r="N95" i="2"/>
  <c r="AO235" i="3" s="1"/>
  <c r="AR235" i="3" s="1"/>
  <c r="L95" i="2"/>
  <c r="AJ235" i="3" s="1"/>
  <c r="AM235" i="3" s="1"/>
  <c r="W94" i="2"/>
  <c r="V94" i="2"/>
  <c r="U94" i="2"/>
  <c r="T94" i="2"/>
  <c r="S94" i="2"/>
  <c r="R94" i="2"/>
  <c r="Q94" i="2"/>
  <c r="P94" i="2"/>
  <c r="N94" i="2"/>
  <c r="AO234" i="3" s="1"/>
  <c r="AR234" i="3" s="1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AO232" i="3" s="1"/>
  <c r="AR232" i="3" s="1"/>
  <c r="L92" i="2"/>
  <c r="AJ232" i="3" s="1"/>
  <c r="AM232" i="3" s="1"/>
  <c r="W91" i="2"/>
  <c r="V91" i="2"/>
  <c r="U91" i="2"/>
  <c r="T91" i="2"/>
  <c r="S91" i="2"/>
  <c r="R91" i="2"/>
  <c r="Q91" i="2"/>
  <c r="P91" i="2"/>
  <c r="N91" i="2"/>
  <c r="AO231" i="3" s="1"/>
  <c r="AR231" i="3" s="1"/>
  <c r="L91" i="2"/>
  <c r="AJ231" i="3" s="1"/>
  <c r="AM231" i="3" s="1"/>
  <c r="W90" i="2"/>
  <c r="V90" i="2"/>
  <c r="U90" i="2"/>
  <c r="T90" i="2"/>
  <c r="S90" i="2"/>
  <c r="R90" i="2"/>
  <c r="Q90" i="2"/>
  <c r="P90" i="2"/>
  <c r="N90" i="2"/>
  <c r="AO230" i="3" s="1"/>
  <c r="AR230" i="3" s="1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AO229" i="3" s="1"/>
  <c r="AR229" i="3" s="1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AO228" i="3" s="1"/>
  <c r="AR228" i="3" s="1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AO227" i="3" s="1"/>
  <c r="AR227" i="3" s="1"/>
  <c r="L87" i="2"/>
  <c r="AJ227" i="3" s="1"/>
  <c r="AM227" i="3" s="1"/>
  <c r="W86" i="2"/>
  <c r="V86" i="2"/>
  <c r="U86" i="2"/>
  <c r="T86" i="2"/>
  <c r="S86" i="2"/>
  <c r="R86" i="2"/>
  <c r="Q86" i="2"/>
  <c r="P86" i="2"/>
  <c r="N86" i="2"/>
  <c r="AO226" i="3" s="1"/>
  <c r="AR226" i="3" s="1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AO224" i="3" s="1"/>
  <c r="AR224" i="3" s="1"/>
  <c r="L84" i="2"/>
  <c r="AJ224" i="3" s="1"/>
  <c r="AM224" i="3" s="1"/>
  <c r="W83" i="2"/>
  <c r="V83" i="2"/>
  <c r="U83" i="2"/>
  <c r="T83" i="2"/>
  <c r="S83" i="2"/>
  <c r="R83" i="2"/>
  <c r="Q83" i="2"/>
  <c r="P83" i="2"/>
  <c r="N83" i="2"/>
  <c r="AO223" i="3" s="1"/>
  <c r="AR223" i="3" s="1"/>
  <c r="L83" i="2"/>
  <c r="AJ223" i="3" s="1"/>
  <c r="AM223" i="3" s="1"/>
  <c r="W82" i="2"/>
  <c r="V82" i="2"/>
  <c r="U82" i="2"/>
  <c r="T82" i="2"/>
  <c r="S82" i="2"/>
  <c r="R82" i="2"/>
  <c r="Q82" i="2"/>
  <c r="P82" i="2"/>
  <c r="N82" i="2"/>
  <c r="AO222" i="3" s="1"/>
  <c r="AR222" i="3" s="1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AO221" i="3" s="1"/>
  <c r="AR221" i="3" s="1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AO220" i="3" s="1"/>
  <c r="AR220" i="3" s="1"/>
  <c r="L80" i="2"/>
  <c r="AJ220" i="3" s="1"/>
  <c r="AM220" i="3" s="1"/>
  <c r="W79" i="2"/>
  <c r="V79" i="2"/>
  <c r="U79" i="2"/>
  <c r="T79" i="2"/>
  <c r="S79" i="2"/>
  <c r="R79" i="2"/>
  <c r="Q79" i="2"/>
  <c r="P79" i="2"/>
  <c r="N79" i="2"/>
  <c r="AO219" i="3" s="1"/>
  <c r="AR219" i="3" s="1"/>
  <c r="L79" i="2"/>
  <c r="AJ219" i="3" s="1"/>
  <c r="AM219" i="3" s="1"/>
  <c r="W78" i="2"/>
  <c r="V78" i="2"/>
  <c r="U78" i="2"/>
  <c r="T78" i="2"/>
  <c r="S78" i="2"/>
  <c r="R78" i="2"/>
  <c r="Q78" i="2"/>
  <c r="P78" i="2"/>
  <c r="N78" i="2"/>
  <c r="AO218" i="3" s="1"/>
  <c r="AR218" i="3" s="1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AO216" i="3" s="1"/>
  <c r="AR216" i="3" s="1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AO215" i="3" s="1"/>
  <c r="AR215" i="3" s="1"/>
  <c r="L75" i="2"/>
  <c r="AJ215" i="3" s="1"/>
  <c r="AM215" i="3" s="1"/>
  <c r="W74" i="2"/>
  <c r="V74" i="2"/>
  <c r="U74" i="2"/>
  <c r="T74" i="2"/>
  <c r="S74" i="2"/>
  <c r="R74" i="2"/>
  <c r="Q74" i="2"/>
  <c r="P74" i="2"/>
  <c r="N74" i="2"/>
  <c r="AO214" i="3" s="1"/>
  <c r="AR214" i="3" s="1"/>
  <c r="L74" i="2"/>
  <c r="AJ214" i="3" s="1"/>
  <c r="AM214" i="3" s="1"/>
  <c r="W73" i="2"/>
  <c r="V73" i="2"/>
  <c r="U73" i="2"/>
  <c r="T73" i="2"/>
  <c r="S73" i="2"/>
  <c r="R73" i="2"/>
  <c r="Q73" i="2"/>
  <c r="P73" i="2"/>
  <c r="N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L72" i="2"/>
  <c r="AJ212" i="3" s="1"/>
  <c r="AM212" i="3" s="1"/>
  <c r="W71" i="2"/>
  <c r="V71" i="2"/>
  <c r="U71" i="2"/>
  <c r="T71" i="2"/>
  <c r="S71" i="2"/>
  <c r="R71" i="2"/>
  <c r="Q71" i="2"/>
  <c r="P71" i="2"/>
  <c r="N71" i="2"/>
  <c r="L71" i="2"/>
  <c r="AJ211" i="3" s="1"/>
  <c r="AM211" i="3" s="1"/>
  <c r="W70" i="2"/>
  <c r="V70" i="2"/>
  <c r="U70" i="2"/>
  <c r="T70" i="2"/>
  <c r="S70" i="2"/>
  <c r="R70" i="2"/>
  <c r="Q70" i="2"/>
  <c r="P70" i="2"/>
  <c r="N70" i="2"/>
  <c r="O70" i="2" s="1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L68" i="2"/>
  <c r="AJ208" i="3" s="1"/>
  <c r="AM208" i="3" s="1"/>
  <c r="W67" i="2"/>
  <c r="V67" i="2"/>
  <c r="U67" i="2"/>
  <c r="T67" i="2"/>
  <c r="S67" i="2"/>
  <c r="R67" i="2"/>
  <c r="Q67" i="2"/>
  <c r="P67" i="2"/>
  <c r="N67" i="2"/>
  <c r="L67" i="2"/>
  <c r="AJ207" i="3" s="1"/>
  <c r="AM207" i="3" s="1"/>
  <c r="W66" i="2"/>
  <c r="V66" i="2"/>
  <c r="U66" i="2"/>
  <c r="T66" i="2"/>
  <c r="S66" i="2"/>
  <c r="R66" i="2"/>
  <c r="Q66" i="2"/>
  <c r="P66" i="2"/>
  <c r="N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L64" i="2"/>
  <c r="AJ204" i="3" s="1"/>
  <c r="AM204" i="3" s="1"/>
  <c r="W63" i="2"/>
  <c r="V63" i="2"/>
  <c r="U63" i="2"/>
  <c r="T63" i="2"/>
  <c r="S63" i="2"/>
  <c r="R63" i="2"/>
  <c r="Q63" i="2"/>
  <c r="P63" i="2"/>
  <c r="N63" i="2"/>
  <c r="L63" i="2"/>
  <c r="AJ203" i="3" s="1"/>
  <c r="AM203" i="3" s="1"/>
  <c r="W62" i="2"/>
  <c r="V62" i="2"/>
  <c r="U62" i="2"/>
  <c r="T62" i="2"/>
  <c r="S62" i="2"/>
  <c r="R62" i="2"/>
  <c r="Q62" i="2"/>
  <c r="P62" i="2"/>
  <c r="N62" i="2"/>
  <c r="O62" i="2" s="1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L60" i="2"/>
  <c r="AJ200" i="3" s="1"/>
  <c r="AM200" i="3" s="1"/>
  <c r="W59" i="2"/>
  <c r="V59" i="2"/>
  <c r="U59" i="2"/>
  <c r="T59" i="2"/>
  <c r="S59" i="2"/>
  <c r="R59" i="2"/>
  <c r="Q59" i="2"/>
  <c r="P59" i="2"/>
  <c r="N59" i="2"/>
  <c r="O59" i="2" s="1"/>
  <c r="L59" i="2"/>
  <c r="AJ199" i="3" s="1"/>
  <c r="AM199" i="3" s="1"/>
  <c r="W58" i="2"/>
  <c r="V58" i="2"/>
  <c r="U58" i="2"/>
  <c r="T58" i="2"/>
  <c r="S58" i="2"/>
  <c r="R58" i="2"/>
  <c r="Q58" i="2"/>
  <c r="P58" i="2"/>
  <c r="N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L55" i="2"/>
  <c r="AJ195" i="3" s="1"/>
  <c r="AM195" i="3" s="1"/>
  <c r="W54" i="2"/>
  <c r="V54" i="2"/>
  <c r="U54" i="2"/>
  <c r="T54" i="2"/>
  <c r="S54" i="2"/>
  <c r="R54" i="2"/>
  <c r="Q54" i="2"/>
  <c r="P54" i="2"/>
  <c r="N54" i="2"/>
  <c r="O54" i="2" s="1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L52" i="2"/>
  <c r="AJ192" i="3" s="1"/>
  <c r="AM192" i="3" s="1"/>
  <c r="W51" i="2"/>
  <c r="V51" i="2"/>
  <c r="U51" i="2"/>
  <c r="T51" i="2"/>
  <c r="S51" i="2"/>
  <c r="R51" i="2"/>
  <c r="Q51" i="2"/>
  <c r="P51" i="2"/>
  <c r="N51" i="2"/>
  <c r="O51" i="2" s="1"/>
  <c r="L51" i="2"/>
  <c r="AJ191" i="3" s="1"/>
  <c r="AM191" i="3" s="1"/>
  <c r="W50" i="2"/>
  <c r="V50" i="2"/>
  <c r="U50" i="2"/>
  <c r="T50" i="2"/>
  <c r="S50" i="2"/>
  <c r="R50" i="2"/>
  <c r="Q50" i="2"/>
  <c r="P50" i="2"/>
  <c r="N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O49" i="2" s="1"/>
  <c r="M49" i="2"/>
  <c r="L49" i="2"/>
  <c r="W48" i="2"/>
  <c r="V48" i="2"/>
  <c r="U48" i="2"/>
  <c r="T48" i="2"/>
  <c r="S48" i="2"/>
  <c r="R48" i="2"/>
  <c r="Q48" i="2"/>
  <c r="P48" i="2"/>
  <c r="N48" i="2"/>
  <c r="M48" i="2"/>
  <c r="L48" i="2"/>
  <c r="W47" i="2"/>
  <c r="V47" i="2"/>
  <c r="U47" i="2"/>
  <c r="T47" i="2"/>
  <c r="S47" i="2"/>
  <c r="R47" i="2"/>
  <c r="Q47" i="2"/>
  <c r="P47" i="2"/>
  <c r="N47" i="2"/>
  <c r="O47" i="2" s="1"/>
  <c r="M47" i="2"/>
  <c r="L47" i="2"/>
  <c r="W46" i="2"/>
  <c r="V46" i="2"/>
  <c r="U46" i="2"/>
  <c r="T46" i="2"/>
  <c r="S46" i="2"/>
  <c r="R46" i="2"/>
  <c r="Q46" i="2"/>
  <c r="P46" i="2"/>
  <c r="N46" i="2"/>
  <c r="M46" i="2"/>
  <c r="L46" i="2"/>
  <c r="W45" i="2"/>
  <c r="V45" i="2"/>
  <c r="U45" i="2"/>
  <c r="T45" i="2"/>
  <c r="S45" i="2"/>
  <c r="R45" i="2"/>
  <c r="Q45" i="2"/>
  <c r="P45" i="2"/>
  <c r="N45" i="2"/>
  <c r="O45" i="2" s="1"/>
  <c r="M45" i="2"/>
  <c r="L45" i="2"/>
  <c r="W44" i="2"/>
  <c r="V44" i="2"/>
  <c r="U44" i="2"/>
  <c r="T44" i="2"/>
  <c r="S44" i="2"/>
  <c r="R44" i="2"/>
  <c r="Q44" i="2"/>
  <c r="P44" i="2"/>
  <c r="N44" i="2"/>
  <c r="M44" i="2"/>
  <c r="L44" i="2"/>
  <c r="W43" i="2"/>
  <c r="V43" i="2"/>
  <c r="U43" i="2"/>
  <c r="T43" i="2"/>
  <c r="S43" i="2"/>
  <c r="R43" i="2"/>
  <c r="Q43" i="2"/>
  <c r="P43" i="2"/>
  <c r="N43" i="2"/>
  <c r="O43" i="2" s="1"/>
  <c r="M43" i="2"/>
  <c r="L43" i="2"/>
  <c r="F43" i="2"/>
  <c r="W42" i="2"/>
  <c r="V42" i="2"/>
  <c r="U42" i="2"/>
  <c r="T42" i="2"/>
  <c r="S42" i="2"/>
  <c r="R42" i="2"/>
  <c r="Q42" i="2"/>
  <c r="P42" i="2"/>
  <c r="N42" i="2"/>
  <c r="M42" i="2"/>
  <c r="L42" i="2"/>
  <c r="W41" i="2"/>
  <c r="V41" i="2"/>
  <c r="U41" i="2"/>
  <c r="T41" i="2"/>
  <c r="S41" i="2"/>
  <c r="R41" i="2"/>
  <c r="Q41" i="2"/>
  <c r="P41" i="2"/>
  <c r="N41" i="2"/>
  <c r="M41" i="2"/>
  <c r="L41" i="2"/>
  <c r="W40" i="2"/>
  <c r="V40" i="2"/>
  <c r="U40" i="2"/>
  <c r="T40" i="2"/>
  <c r="S40" i="2"/>
  <c r="R40" i="2"/>
  <c r="Q40" i="2"/>
  <c r="P40" i="2"/>
  <c r="N40" i="2"/>
  <c r="M40" i="2"/>
  <c r="L40" i="2"/>
  <c r="W39" i="2"/>
  <c r="V39" i="2"/>
  <c r="U39" i="2"/>
  <c r="T39" i="2"/>
  <c r="S39" i="2"/>
  <c r="R39" i="2"/>
  <c r="Q39" i="2"/>
  <c r="P39" i="2"/>
  <c r="N39" i="2"/>
  <c r="M39" i="2"/>
  <c r="L39" i="2"/>
  <c r="W38" i="2"/>
  <c r="V38" i="2"/>
  <c r="U38" i="2"/>
  <c r="T38" i="2"/>
  <c r="S38" i="2"/>
  <c r="R38" i="2"/>
  <c r="Q38" i="2"/>
  <c r="P38" i="2"/>
  <c r="N38" i="2"/>
  <c r="M38" i="2"/>
  <c r="L38" i="2"/>
  <c r="W37" i="2"/>
  <c r="V37" i="2"/>
  <c r="U37" i="2"/>
  <c r="T37" i="2"/>
  <c r="S37" i="2"/>
  <c r="R37" i="2"/>
  <c r="Q37" i="2"/>
  <c r="P37" i="2"/>
  <c r="N37" i="2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N34" i="2"/>
  <c r="L34" i="2"/>
  <c r="W33" i="2"/>
  <c r="V33" i="2"/>
  <c r="U33" i="2"/>
  <c r="T33" i="2"/>
  <c r="S33" i="2"/>
  <c r="R33" i="2"/>
  <c r="Q33" i="2"/>
  <c r="P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N30" i="2"/>
  <c r="L30" i="2"/>
  <c r="W29" i="2"/>
  <c r="V29" i="2"/>
  <c r="U29" i="2"/>
  <c r="T29" i="2"/>
  <c r="S29" i="2"/>
  <c r="R29" i="2"/>
  <c r="Q29" i="2"/>
  <c r="P29" i="2"/>
  <c r="N29" i="2"/>
  <c r="O29" i="2" s="1"/>
  <c r="L29" i="2"/>
  <c r="F29" i="2"/>
  <c r="W28" i="2"/>
  <c r="V28" i="2"/>
  <c r="U28" i="2"/>
  <c r="T28" i="2"/>
  <c r="S28" i="2"/>
  <c r="R28" i="2"/>
  <c r="Q28" i="2"/>
  <c r="P28" i="2"/>
  <c r="N28" i="2"/>
  <c r="L28" i="2"/>
  <c r="M28" i="2" s="1"/>
  <c r="W27" i="2"/>
  <c r="V27" i="2"/>
  <c r="U27" i="2"/>
  <c r="T27" i="2"/>
  <c r="S27" i="2"/>
  <c r="R27" i="2"/>
  <c r="Q27" i="2"/>
  <c r="P27" i="2"/>
  <c r="O27" i="2"/>
  <c r="N27" i="2"/>
  <c r="L27" i="2"/>
  <c r="M27" i="2" s="1"/>
  <c r="W26" i="2"/>
  <c r="V26" i="2"/>
  <c r="U26" i="2"/>
  <c r="T26" i="2"/>
  <c r="S26" i="2"/>
  <c r="R26" i="2"/>
  <c r="Q26" i="2"/>
  <c r="P26" i="2"/>
  <c r="O26" i="2"/>
  <c r="N26" i="2"/>
  <c r="L26" i="2"/>
  <c r="M26" i="2" s="1"/>
  <c r="W25" i="2"/>
  <c r="V25" i="2"/>
  <c r="U25" i="2"/>
  <c r="T25" i="2"/>
  <c r="S25" i="2"/>
  <c r="R25" i="2"/>
  <c r="Q25" i="2"/>
  <c r="P25" i="2"/>
  <c r="N25" i="2"/>
  <c r="L25" i="2"/>
  <c r="M25" i="2" s="1"/>
  <c r="W24" i="2"/>
  <c r="V24" i="2"/>
  <c r="U24" i="2"/>
  <c r="T24" i="2"/>
  <c r="S24" i="2"/>
  <c r="R24" i="2"/>
  <c r="Q24" i="2"/>
  <c r="P24" i="2"/>
  <c r="N24" i="2"/>
  <c r="L24" i="2"/>
  <c r="M24" i="2" s="1"/>
  <c r="W23" i="2"/>
  <c r="V23" i="2"/>
  <c r="U23" i="2"/>
  <c r="T23" i="2"/>
  <c r="S23" i="2"/>
  <c r="R23" i="2"/>
  <c r="Q23" i="2"/>
  <c r="P23" i="2"/>
  <c r="O23" i="2"/>
  <c r="N23" i="2"/>
  <c r="L23" i="2"/>
  <c r="M23" i="2" s="1"/>
  <c r="W22" i="2"/>
  <c r="V22" i="2"/>
  <c r="U22" i="2"/>
  <c r="T22" i="2"/>
  <c r="S22" i="2"/>
  <c r="R22" i="2"/>
  <c r="Q22" i="2"/>
  <c r="P22" i="2"/>
  <c r="O22" i="2"/>
  <c r="N22" i="2"/>
  <c r="L22" i="2"/>
  <c r="M22" i="2" s="1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S71" i="5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S64" i="5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O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O636" i="3" l="1"/>
  <c r="AR636" i="3" s="1"/>
  <c r="O496" i="2"/>
  <c r="O522" i="2"/>
  <c r="AO662" i="3"/>
  <c r="AR662" i="3" s="1"/>
  <c r="AO702" i="3"/>
  <c r="AR702" i="3" s="1"/>
  <c r="O562" i="2"/>
  <c r="AO718" i="3"/>
  <c r="AR718" i="3" s="1"/>
  <c r="O578" i="2"/>
  <c r="AO734" i="3"/>
  <c r="AR734" i="3" s="1"/>
  <c r="O594" i="2"/>
  <c r="AO742" i="3"/>
  <c r="AR742" i="3" s="1"/>
  <c r="O602" i="2"/>
  <c r="AO758" i="3"/>
  <c r="AR758" i="3" s="1"/>
  <c r="O618" i="2"/>
  <c r="O2" i="2"/>
  <c r="AO142" i="3" s="1"/>
  <c r="AR142" i="3" s="1"/>
  <c r="O37" i="2"/>
  <c r="AO177" i="3" s="1"/>
  <c r="AR177" i="3" s="1"/>
  <c r="O40" i="2"/>
  <c r="AO180" i="3" s="1"/>
  <c r="AR180" i="3" s="1"/>
  <c r="O67" i="2"/>
  <c r="AO207" i="3" s="1"/>
  <c r="AR207" i="3" s="1"/>
  <c r="O75" i="2"/>
  <c r="O87" i="2"/>
  <c r="O91" i="2"/>
  <c r="O99" i="2"/>
  <c r="O111" i="2"/>
  <c r="O119" i="2"/>
  <c r="O127" i="2"/>
  <c r="O135" i="2"/>
  <c r="O143" i="2"/>
  <c r="O151" i="2"/>
  <c r="O159" i="2"/>
  <c r="O167" i="2"/>
  <c r="O175" i="2"/>
  <c r="O183" i="2"/>
  <c r="O191" i="2"/>
  <c r="O199" i="2"/>
  <c r="O207" i="2"/>
  <c r="O215" i="2"/>
  <c r="O223" i="2"/>
  <c r="O227" i="2"/>
  <c r="O235" i="2"/>
  <c r="O243" i="2"/>
  <c r="O251" i="2"/>
  <c r="O259" i="2"/>
  <c r="O267" i="2"/>
  <c r="O275" i="2"/>
  <c r="O283" i="2"/>
  <c r="O291" i="2"/>
  <c r="O299" i="2"/>
  <c r="O307" i="2"/>
  <c r="O315" i="2"/>
  <c r="O323" i="2"/>
  <c r="O331" i="2"/>
  <c r="O339" i="2"/>
  <c r="O347" i="2"/>
  <c r="O355" i="2"/>
  <c r="O367" i="2"/>
  <c r="O375" i="2"/>
  <c r="O383" i="2"/>
  <c r="O391" i="2"/>
  <c r="O399" i="2"/>
  <c r="O407" i="2"/>
  <c r="O419" i="2"/>
  <c r="O423" i="2"/>
  <c r="O435" i="2"/>
  <c r="O443" i="2"/>
  <c r="O451" i="2"/>
  <c r="O459" i="2"/>
  <c r="O467" i="2"/>
  <c r="O470" i="2"/>
  <c r="AO616" i="3"/>
  <c r="AR616" i="3" s="1"/>
  <c r="O476" i="2"/>
  <c r="O486" i="2"/>
  <c r="O502" i="2"/>
  <c r="AO648" i="3"/>
  <c r="AR648" i="3" s="1"/>
  <c r="O508" i="2"/>
  <c r="AO807" i="3"/>
  <c r="AR807" i="3" s="1"/>
  <c r="O667" i="2"/>
  <c r="AO823" i="3"/>
  <c r="AR823" i="3" s="1"/>
  <c r="O683" i="2"/>
  <c r="AO847" i="3"/>
  <c r="AR847" i="3" s="1"/>
  <c r="O707" i="2"/>
  <c r="AO863" i="3"/>
  <c r="AR863" i="3" s="1"/>
  <c r="O723" i="2"/>
  <c r="AO887" i="3"/>
  <c r="AR887" i="3" s="1"/>
  <c r="O747" i="2"/>
  <c r="AO903" i="3"/>
  <c r="AR903" i="3" s="1"/>
  <c r="O763" i="2"/>
  <c r="AO911" i="3"/>
  <c r="AR911" i="3" s="1"/>
  <c r="O771" i="2"/>
  <c r="AO927" i="3"/>
  <c r="AR927" i="3" s="1"/>
  <c r="O787" i="2"/>
  <c r="AO953" i="3"/>
  <c r="AR953" i="3" s="1"/>
  <c r="O813" i="2"/>
  <c r="AO988" i="3"/>
  <c r="AR988" i="3" s="1"/>
  <c r="O848" i="2"/>
  <c r="AO143" i="3"/>
  <c r="AR143" i="3" s="1"/>
  <c r="AO3" i="3"/>
  <c r="AR3" i="3" s="1"/>
  <c r="AO144" i="3"/>
  <c r="AR144" i="3" s="1"/>
  <c r="AO4" i="3"/>
  <c r="AR4" i="3" s="1"/>
  <c r="AO145" i="3"/>
  <c r="AR145" i="3" s="1"/>
  <c r="AO5" i="3"/>
  <c r="AR5" i="3" s="1"/>
  <c r="AO146" i="3"/>
  <c r="AR146" i="3" s="1"/>
  <c r="AO6" i="3"/>
  <c r="AR6" i="3" s="1"/>
  <c r="AO147" i="3"/>
  <c r="AR147" i="3" s="1"/>
  <c r="AO7" i="3"/>
  <c r="AR7" i="3" s="1"/>
  <c r="AO148" i="3"/>
  <c r="AR148" i="3" s="1"/>
  <c r="AO8" i="3"/>
  <c r="AR8" i="3" s="1"/>
  <c r="AO149" i="3"/>
  <c r="AR149" i="3" s="1"/>
  <c r="AO9" i="3"/>
  <c r="AR9" i="3" s="1"/>
  <c r="AO150" i="3"/>
  <c r="AR150" i="3" s="1"/>
  <c r="AO10" i="3"/>
  <c r="AR10" i="3" s="1"/>
  <c r="AO151" i="3"/>
  <c r="AR151" i="3" s="1"/>
  <c r="AO11" i="3"/>
  <c r="AR11" i="3" s="1"/>
  <c r="AO152" i="3"/>
  <c r="AR152" i="3" s="1"/>
  <c r="AO12" i="3"/>
  <c r="AR12" i="3" s="1"/>
  <c r="AO153" i="3"/>
  <c r="AR153" i="3" s="1"/>
  <c r="AO13" i="3"/>
  <c r="AR13" i="3" s="1"/>
  <c r="AO154" i="3"/>
  <c r="AR154" i="3" s="1"/>
  <c r="AO163" i="3"/>
  <c r="AR163" i="3" s="1"/>
  <c r="O24" i="2"/>
  <c r="AO164" i="3" s="1"/>
  <c r="AR164" i="3" s="1"/>
  <c r="AO167" i="3"/>
  <c r="AR167" i="3" s="1"/>
  <c r="O28" i="2"/>
  <c r="AO168" i="3" s="1"/>
  <c r="AR168" i="3" s="1"/>
  <c r="AO172" i="3"/>
  <c r="AR172" i="3" s="1"/>
  <c r="O33" i="2"/>
  <c r="AO173" i="3" s="1"/>
  <c r="AR173" i="3" s="1"/>
  <c r="O44" i="2"/>
  <c r="AO184" i="3" s="1"/>
  <c r="AR184" i="3" s="1"/>
  <c r="O46" i="2"/>
  <c r="AO186" i="3" s="1"/>
  <c r="AR186" i="3" s="1"/>
  <c r="O48" i="2"/>
  <c r="AO188" i="3" s="1"/>
  <c r="AR188" i="3" s="1"/>
  <c r="O50" i="2"/>
  <c r="AO190" i="3" s="1"/>
  <c r="AR190" i="3" s="1"/>
  <c r="AO193" i="3"/>
  <c r="AR193" i="3" s="1"/>
  <c r="AO197" i="3"/>
  <c r="AR197" i="3" s="1"/>
  <c r="O58" i="2"/>
  <c r="AO198" i="3" s="1"/>
  <c r="AR198" i="3" s="1"/>
  <c r="AO201" i="3"/>
  <c r="AR201" i="3" s="1"/>
  <c r="AO205" i="3"/>
  <c r="AR205" i="3" s="1"/>
  <c r="O66" i="2"/>
  <c r="AO206" i="3" s="1"/>
  <c r="AR206" i="3" s="1"/>
  <c r="AO209" i="3"/>
  <c r="AR209" i="3" s="1"/>
  <c r="O74" i="2"/>
  <c r="O78" i="2"/>
  <c r="O82" i="2"/>
  <c r="O86" i="2"/>
  <c r="O90" i="2"/>
  <c r="O94" i="2"/>
  <c r="O98" i="2"/>
  <c r="O102" i="2"/>
  <c r="O106" i="2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86" i="2"/>
  <c r="O190" i="2"/>
  <c r="O194" i="2"/>
  <c r="O198" i="2"/>
  <c r="O202" i="2"/>
  <c r="O206" i="2"/>
  <c r="O210" i="2"/>
  <c r="O214" i="2"/>
  <c r="O218" i="2"/>
  <c r="O222" i="2"/>
  <c r="O226" i="2"/>
  <c r="O230" i="2"/>
  <c r="O234" i="2"/>
  <c r="O238" i="2"/>
  <c r="O242" i="2"/>
  <c r="O246" i="2"/>
  <c r="O250" i="2"/>
  <c r="O254" i="2"/>
  <c r="O258" i="2"/>
  <c r="O262" i="2"/>
  <c r="O266" i="2"/>
  <c r="O270" i="2"/>
  <c r="O274" i="2"/>
  <c r="O278" i="2"/>
  <c r="O282" i="2"/>
  <c r="O286" i="2"/>
  <c r="O290" i="2"/>
  <c r="O294" i="2"/>
  <c r="O298" i="2"/>
  <c r="O302" i="2"/>
  <c r="O306" i="2"/>
  <c r="O310" i="2"/>
  <c r="O314" i="2"/>
  <c r="O318" i="2"/>
  <c r="O322" i="2"/>
  <c r="O326" i="2"/>
  <c r="O330" i="2"/>
  <c r="O334" i="2"/>
  <c r="O338" i="2"/>
  <c r="O342" i="2"/>
  <c r="O346" i="2"/>
  <c r="O350" i="2"/>
  <c r="O354" i="2"/>
  <c r="O358" i="2"/>
  <c r="O362" i="2"/>
  <c r="O366" i="2"/>
  <c r="O370" i="2"/>
  <c r="O374" i="2"/>
  <c r="O378" i="2"/>
  <c r="O382" i="2"/>
  <c r="O386" i="2"/>
  <c r="O390" i="2"/>
  <c r="O394" i="2"/>
  <c r="O398" i="2"/>
  <c r="O402" i="2"/>
  <c r="O406" i="2"/>
  <c r="O410" i="2"/>
  <c r="O414" i="2"/>
  <c r="O418" i="2"/>
  <c r="O422" i="2"/>
  <c r="O426" i="2"/>
  <c r="O430" i="2"/>
  <c r="O434" i="2"/>
  <c r="O438" i="2"/>
  <c r="O442" i="2"/>
  <c r="O446" i="2"/>
  <c r="O450" i="2"/>
  <c r="O454" i="2"/>
  <c r="O458" i="2"/>
  <c r="O462" i="2"/>
  <c r="O466" i="2"/>
  <c r="O469" i="2"/>
  <c r="AO612" i="3"/>
  <c r="AR612" i="3" s="1"/>
  <c r="O472" i="2"/>
  <c r="O482" i="2"/>
  <c r="O485" i="2"/>
  <c r="AO628" i="3"/>
  <c r="AR628" i="3" s="1"/>
  <c r="O488" i="2"/>
  <c r="O498" i="2"/>
  <c r="O501" i="2"/>
  <c r="AO644" i="3"/>
  <c r="AR644" i="3" s="1"/>
  <c r="O504" i="2"/>
  <c r="AO650" i="3"/>
  <c r="AR650" i="3" s="1"/>
  <c r="O510" i="2"/>
  <c r="AO658" i="3"/>
  <c r="AR658" i="3" s="1"/>
  <c r="O518" i="2"/>
  <c r="AO666" i="3"/>
  <c r="AR666" i="3" s="1"/>
  <c r="O526" i="2"/>
  <c r="AO674" i="3"/>
  <c r="AR674" i="3" s="1"/>
  <c r="O534" i="2"/>
  <c r="AO682" i="3"/>
  <c r="AR682" i="3" s="1"/>
  <c r="O542" i="2"/>
  <c r="AO690" i="3"/>
  <c r="AR690" i="3" s="1"/>
  <c r="O550" i="2"/>
  <c r="AO698" i="3"/>
  <c r="AR698" i="3" s="1"/>
  <c r="O558" i="2"/>
  <c r="AO706" i="3"/>
  <c r="AR706" i="3" s="1"/>
  <c r="O566" i="2"/>
  <c r="AO714" i="3"/>
  <c r="AR714" i="3" s="1"/>
  <c r="O574" i="2"/>
  <c r="AO722" i="3"/>
  <c r="AR722" i="3" s="1"/>
  <c r="O582" i="2"/>
  <c r="AO730" i="3"/>
  <c r="AR730" i="3" s="1"/>
  <c r="O590" i="2"/>
  <c r="AO738" i="3"/>
  <c r="AR738" i="3" s="1"/>
  <c r="O598" i="2"/>
  <c r="AO746" i="3"/>
  <c r="AR746" i="3" s="1"/>
  <c r="O606" i="2"/>
  <c r="AO754" i="3"/>
  <c r="AR754" i="3" s="1"/>
  <c r="O614" i="2"/>
  <c r="AO766" i="3"/>
  <c r="AR766" i="3" s="1"/>
  <c r="O626" i="2"/>
  <c r="AO950" i="3"/>
  <c r="AR950" i="3" s="1"/>
  <c r="O810" i="2"/>
  <c r="AO1001" i="3"/>
  <c r="AR1001" i="3" s="1"/>
  <c r="O861" i="2"/>
  <c r="AO191" i="3"/>
  <c r="AR191" i="3" s="1"/>
  <c r="AO199" i="3"/>
  <c r="AR199" i="3" s="1"/>
  <c r="AO620" i="3"/>
  <c r="AR620" i="3" s="1"/>
  <c r="O480" i="2"/>
  <c r="AO654" i="3"/>
  <c r="AR654" i="3" s="1"/>
  <c r="O514" i="2"/>
  <c r="AO670" i="3"/>
  <c r="AR670" i="3" s="1"/>
  <c r="O530" i="2"/>
  <c r="AO678" i="3"/>
  <c r="AR678" i="3" s="1"/>
  <c r="O538" i="2"/>
  <c r="AO686" i="3"/>
  <c r="AR686" i="3" s="1"/>
  <c r="O546" i="2"/>
  <c r="AO694" i="3"/>
  <c r="AR694" i="3" s="1"/>
  <c r="O554" i="2"/>
  <c r="AO710" i="3"/>
  <c r="AR710" i="3" s="1"/>
  <c r="O570" i="2"/>
  <c r="AO726" i="3"/>
  <c r="AR726" i="3" s="1"/>
  <c r="O586" i="2"/>
  <c r="AO750" i="3"/>
  <c r="AR750" i="3" s="1"/>
  <c r="O610" i="2"/>
  <c r="AO774" i="3"/>
  <c r="AR774" i="3" s="1"/>
  <c r="O634" i="2"/>
  <c r="AO993" i="3"/>
  <c r="AR993" i="3" s="1"/>
  <c r="O853" i="2"/>
  <c r="O25" i="2"/>
  <c r="AO165" i="3" s="1"/>
  <c r="AR165" i="3" s="1"/>
  <c r="AO169" i="3"/>
  <c r="AR169" i="3" s="1"/>
  <c r="O30" i="2"/>
  <c r="AO170" i="3" s="1"/>
  <c r="AR170" i="3" s="1"/>
  <c r="O34" i="2"/>
  <c r="AO174" i="3" s="1"/>
  <c r="AR174" i="3" s="1"/>
  <c r="O36" i="2"/>
  <c r="AO176" i="3" s="1"/>
  <c r="AR176" i="3" s="1"/>
  <c r="O38" i="2"/>
  <c r="AO178" i="3" s="1"/>
  <c r="AR178" i="3" s="1"/>
  <c r="O39" i="2"/>
  <c r="AO179" i="3" s="1"/>
  <c r="AR179" i="3" s="1"/>
  <c r="O41" i="2"/>
  <c r="AO181" i="3" s="1"/>
  <c r="AR181" i="3" s="1"/>
  <c r="O42" i="2"/>
  <c r="AO182" i="3" s="1"/>
  <c r="AR182" i="3" s="1"/>
  <c r="AO183" i="3"/>
  <c r="AR183" i="3" s="1"/>
  <c r="AO185" i="3"/>
  <c r="AR185" i="3" s="1"/>
  <c r="AO187" i="3"/>
  <c r="AR187" i="3" s="1"/>
  <c r="AO189" i="3"/>
  <c r="AR189" i="3" s="1"/>
  <c r="AO194" i="3"/>
  <c r="AR194" i="3" s="1"/>
  <c r="O55" i="2"/>
  <c r="AO195" i="3" s="1"/>
  <c r="AR195" i="3" s="1"/>
  <c r="AO202" i="3"/>
  <c r="AR202" i="3" s="1"/>
  <c r="O63" i="2"/>
  <c r="AO203" i="3" s="1"/>
  <c r="AR203" i="3" s="1"/>
  <c r="AO210" i="3"/>
  <c r="AR210" i="3" s="1"/>
  <c r="O71" i="2"/>
  <c r="AO211" i="3" s="1"/>
  <c r="AR211" i="3" s="1"/>
  <c r="O79" i="2"/>
  <c r="O83" i="2"/>
  <c r="O95" i="2"/>
  <c r="O103" i="2"/>
  <c r="O107" i="2"/>
  <c r="O115" i="2"/>
  <c r="O123" i="2"/>
  <c r="O131" i="2"/>
  <c r="O139" i="2"/>
  <c r="O147" i="2"/>
  <c r="O155" i="2"/>
  <c r="O163" i="2"/>
  <c r="O171" i="2"/>
  <c r="O179" i="2"/>
  <c r="O187" i="2"/>
  <c r="O195" i="2"/>
  <c r="O203" i="2"/>
  <c r="O211" i="2"/>
  <c r="O219" i="2"/>
  <c r="O231" i="2"/>
  <c r="O239" i="2"/>
  <c r="O247" i="2"/>
  <c r="O255" i="2"/>
  <c r="O263" i="2"/>
  <c r="O271" i="2"/>
  <c r="O279" i="2"/>
  <c r="O287" i="2"/>
  <c r="O295" i="2"/>
  <c r="O303" i="2"/>
  <c r="O311" i="2"/>
  <c r="O319" i="2"/>
  <c r="O327" i="2"/>
  <c r="O335" i="2"/>
  <c r="O343" i="2"/>
  <c r="O351" i="2"/>
  <c r="O359" i="2"/>
  <c r="O363" i="2"/>
  <c r="O371" i="2"/>
  <c r="O379" i="2"/>
  <c r="O387" i="2"/>
  <c r="O395" i="2"/>
  <c r="O403" i="2"/>
  <c r="O411" i="2"/>
  <c r="O415" i="2"/>
  <c r="O427" i="2"/>
  <c r="O431" i="2"/>
  <c r="O439" i="2"/>
  <c r="O447" i="2"/>
  <c r="O455" i="2"/>
  <c r="O463" i="2"/>
  <c r="O473" i="2"/>
  <c r="O489" i="2"/>
  <c r="AO632" i="3"/>
  <c r="AR632" i="3" s="1"/>
  <c r="O492" i="2"/>
  <c r="O505" i="2"/>
  <c r="AO656" i="3"/>
  <c r="AR656" i="3" s="1"/>
  <c r="O516" i="2"/>
  <c r="AO664" i="3"/>
  <c r="AR664" i="3" s="1"/>
  <c r="O524" i="2"/>
  <c r="AO672" i="3"/>
  <c r="AR672" i="3" s="1"/>
  <c r="O532" i="2"/>
  <c r="AO680" i="3"/>
  <c r="AR680" i="3" s="1"/>
  <c r="O540" i="2"/>
  <c r="AO762" i="3"/>
  <c r="AR762" i="3" s="1"/>
  <c r="O622" i="2"/>
  <c r="AO778" i="3"/>
  <c r="AR778" i="3" s="1"/>
  <c r="O638" i="2"/>
  <c r="AO791" i="3"/>
  <c r="AR791" i="3" s="1"/>
  <c r="O651" i="2"/>
  <c r="AO799" i="3"/>
  <c r="AR799" i="3" s="1"/>
  <c r="O659" i="2"/>
  <c r="AO815" i="3"/>
  <c r="AR815" i="3" s="1"/>
  <c r="O675" i="2"/>
  <c r="AO831" i="3"/>
  <c r="AR831" i="3" s="1"/>
  <c r="O691" i="2"/>
  <c r="AO839" i="3"/>
  <c r="AR839" i="3" s="1"/>
  <c r="O699" i="2"/>
  <c r="AO855" i="3"/>
  <c r="AR855" i="3" s="1"/>
  <c r="O715" i="2"/>
  <c r="AO871" i="3"/>
  <c r="AR871" i="3" s="1"/>
  <c r="O731" i="2"/>
  <c r="AO879" i="3"/>
  <c r="AR879" i="3" s="1"/>
  <c r="O739" i="2"/>
  <c r="AO895" i="3"/>
  <c r="AR895" i="3" s="1"/>
  <c r="O755" i="2"/>
  <c r="AO919" i="3"/>
  <c r="AR919" i="3" s="1"/>
  <c r="O779" i="2"/>
  <c r="AO935" i="3"/>
  <c r="AR935" i="3" s="1"/>
  <c r="O795" i="2"/>
  <c r="AO943" i="3"/>
  <c r="AR943" i="3" s="1"/>
  <c r="O803" i="2"/>
  <c r="AO1004" i="3"/>
  <c r="AR1004" i="3" s="1"/>
  <c r="O864" i="2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62" i="3"/>
  <c r="AR162" i="3" s="1"/>
  <c r="AO166" i="3"/>
  <c r="AR166" i="3" s="1"/>
  <c r="AO171" i="3"/>
  <c r="AR171" i="3" s="1"/>
  <c r="AO175" i="3"/>
  <c r="AR175" i="3" s="1"/>
  <c r="AO192" i="3"/>
  <c r="AR192" i="3" s="1"/>
  <c r="AO196" i="3"/>
  <c r="AR196" i="3" s="1"/>
  <c r="AO200" i="3"/>
  <c r="AR200" i="3" s="1"/>
  <c r="AO204" i="3"/>
  <c r="AR204" i="3" s="1"/>
  <c r="AO208" i="3"/>
  <c r="AR208" i="3" s="1"/>
  <c r="AO212" i="3"/>
  <c r="AR212" i="3" s="1"/>
  <c r="O73" i="2"/>
  <c r="AO213" i="3" s="1"/>
  <c r="AR213" i="3" s="1"/>
  <c r="O153" i="2"/>
  <c r="O157" i="2"/>
  <c r="O161" i="2"/>
  <c r="O165" i="2"/>
  <c r="O169" i="2"/>
  <c r="O173" i="2"/>
  <c r="O177" i="2"/>
  <c r="O181" i="2"/>
  <c r="O185" i="2"/>
  <c r="O189" i="2"/>
  <c r="O193" i="2"/>
  <c r="O197" i="2"/>
  <c r="O201" i="2"/>
  <c r="O205" i="2"/>
  <c r="O209" i="2"/>
  <c r="O213" i="2"/>
  <c r="O217" i="2"/>
  <c r="O221" i="2"/>
  <c r="O225" i="2"/>
  <c r="O229" i="2"/>
  <c r="O233" i="2"/>
  <c r="O237" i="2"/>
  <c r="O241" i="2"/>
  <c r="O245" i="2"/>
  <c r="O249" i="2"/>
  <c r="O253" i="2"/>
  <c r="O257" i="2"/>
  <c r="O261" i="2"/>
  <c r="O265" i="2"/>
  <c r="O269" i="2"/>
  <c r="O273" i="2"/>
  <c r="O277" i="2"/>
  <c r="O281" i="2"/>
  <c r="O285" i="2"/>
  <c r="O289" i="2"/>
  <c r="O293" i="2"/>
  <c r="O297" i="2"/>
  <c r="O301" i="2"/>
  <c r="O305" i="2"/>
  <c r="O309" i="2"/>
  <c r="O313" i="2"/>
  <c r="O317" i="2"/>
  <c r="O321" i="2"/>
  <c r="O325" i="2"/>
  <c r="O329" i="2"/>
  <c r="O333" i="2"/>
  <c r="O337" i="2"/>
  <c r="O341" i="2"/>
  <c r="O345" i="2"/>
  <c r="O349" i="2"/>
  <c r="O353" i="2"/>
  <c r="O357" i="2"/>
  <c r="O361" i="2"/>
  <c r="O365" i="2"/>
  <c r="O369" i="2"/>
  <c r="O373" i="2"/>
  <c r="O377" i="2"/>
  <c r="O381" i="2"/>
  <c r="O385" i="2"/>
  <c r="O389" i="2"/>
  <c r="O393" i="2"/>
  <c r="O397" i="2"/>
  <c r="O401" i="2"/>
  <c r="O405" i="2"/>
  <c r="O409" i="2"/>
  <c r="O413" i="2"/>
  <c r="O417" i="2"/>
  <c r="O421" i="2"/>
  <c r="O425" i="2"/>
  <c r="O429" i="2"/>
  <c r="O433" i="2"/>
  <c r="O437" i="2"/>
  <c r="AO608" i="3"/>
  <c r="AR608" i="3" s="1"/>
  <c r="O468" i="2"/>
  <c r="O478" i="2"/>
  <c r="AO624" i="3"/>
  <c r="AR624" i="3" s="1"/>
  <c r="O484" i="2"/>
  <c r="O494" i="2"/>
  <c r="AO640" i="3"/>
  <c r="AR640" i="3" s="1"/>
  <c r="O500" i="2"/>
  <c r="AO652" i="3"/>
  <c r="AR652" i="3" s="1"/>
  <c r="O512" i="2"/>
  <c r="AO660" i="3"/>
  <c r="AR660" i="3" s="1"/>
  <c r="O520" i="2"/>
  <c r="AO668" i="3"/>
  <c r="AR668" i="3" s="1"/>
  <c r="O528" i="2"/>
  <c r="AO676" i="3"/>
  <c r="AR676" i="3" s="1"/>
  <c r="O536" i="2"/>
  <c r="AO770" i="3"/>
  <c r="AR770" i="3" s="1"/>
  <c r="O630" i="2"/>
  <c r="AO795" i="3"/>
  <c r="AR795" i="3" s="1"/>
  <c r="O655" i="2"/>
  <c r="AO803" i="3"/>
  <c r="AR803" i="3" s="1"/>
  <c r="O663" i="2"/>
  <c r="AO811" i="3"/>
  <c r="AR811" i="3" s="1"/>
  <c r="O671" i="2"/>
  <c r="AO819" i="3"/>
  <c r="AR819" i="3" s="1"/>
  <c r="O679" i="2"/>
  <c r="AO827" i="3"/>
  <c r="AR827" i="3" s="1"/>
  <c r="O687" i="2"/>
  <c r="AO835" i="3"/>
  <c r="AR835" i="3" s="1"/>
  <c r="O695" i="2"/>
  <c r="AO843" i="3"/>
  <c r="AR843" i="3" s="1"/>
  <c r="O703" i="2"/>
  <c r="AO851" i="3"/>
  <c r="AR851" i="3" s="1"/>
  <c r="O711" i="2"/>
  <c r="AO859" i="3"/>
  <c r="AR859" i="3" s="1"/>
  <c r="O719" i="2"/>
  <c r="AO867" i="3"/>
  <c r="AR867" i="3" s="1"/>
  <c r="O727" i="2"/>
  <c r="AO875" i="3"/>
  <c r="AR875" i="3" s="1"/>
  <c r="O735" i="2"/>
  <c r="AO883" i="3"/>
  <c r="AR883" i="3" s="1"/>
  <c r="O743" i="2"/>
  <c r="AO891" i="3"/>
  <c r="AR891" i="3" s="1"/>
  <c r="O751" i="2"/>
  <c r="AO899" i="3"/>
  <c r="AR899" i="3" s="1"/>
  <c r="O759" i="2"/>
  <c r="AO907" i="3"/>
  <c r="AR907" i="3" s="1"/>
  <c r="O767" i="2"/>
  <c r="AO915" i="3"/>
  <c r="AR915" i="3" s="1"/>
  <c r="O775" i="2"/>
  <c r="AO923" i="3"/>
  <c r="AR923" i="3" s="1"/>
  <c r="O783" i="2"/>
  <c r="AO931" i="3"/>
  <c r="AR931" i="3" s="1"/>
  <c r="O791" i="2"/>
  <c r="AO939" i="3"/>
  <c r="AR939" i="3" s="1"/>
  <c r="O799" i="2"/>
  <c r="AO947" i="3"/>
  <c r="AR947" i="3" s="1"/>
  <c r="O807" i="2"/>
  <c r="AO960" i="3"/>
  <c r="AR960" i="3" s="1"/>
  <c r="O820" i="2"/>
  <c r="AO996" i="3"/>
  <c r="AR996" i="3" s="1"/>
  <c r="O856" i="2"/>
  <c r="AO956" i="3"/>
  <c r="AR956" i="3" s="1"/>
  <c r="O816" i="2"/>
  <c r="AO968" i="3"/>
  <c r="AR968" i="3" s="1"/>
  <c r="O828" i="2"/>
  <c r="AO976" i="3"/>
  <c r="AR976" i="3" s="1"/>
  <c r="O836" i="2"/>
  <c r="AO984" i="3"/>
  <c r="AR984" i="3" s="1"/>
  <c r="O844" i="2"/>
  <c r="O621" i="2"/>
  <c r="O625" i="2"/>
  <c r="O629" i="2"/>
  <c r="O633" i="2"/>
  <c r="O637" i="2"/>
  <c r="O641" i="2"/>
  <c r="O642" i="2"/>
  <c r="AO952" i="3"/>
  <c r="AR952" i="3" s="1"/>
  <c r="O812" i="2"/>
  <c r="O822" i="2"/>
  <c r="AO992" i="3"/>
  <c r="AR992" i="3" s="1"/>
  <c r="O852" i="2"/>
  <c r="AO1000" i="3"/>
  <c r="AR1000" i="3" s="1"/>
  <c r="O860" i="2"/>
  <c r="O544" i="2"/>
  <c r="O548" i="2"/>
  <c r="O552" i="2"/>
  <c r="O556" i="2"/>
  <c r="O560" i="2"/>
  <c r="O564" i="2"/>
  <c r="O568" i="2"/>
  <c r="O572" i="2"/>
  <c r="O576" i="2"/>
  <c r="O580" i="2"/>
  <c r="O584" i="2"/>
  <c r="O588" i="2"/>
  <c r="O592" i="2"/>
  <c r="O596" i="2"/>
  <c r="O600" i="2"/>
  <c r="O604" i="2"/>
  <c r="O608" i="2"/>
  <c r="O612" i="2"/>
  <c r="O616" i="2"/>
  <c r="O620" i="2"/>
  <c r="O624" i="2"/>
  <c r="O628" i="2"/>
  <c r="O632" i="2"/>
  <c r="O636" i="2"/>
  <c r="O640" i="2"/>
  <c r="O653" i="2"/>
  <c r="O657" i="2"/>
  <c r="O661" i="2"/>
  <c r="O665" i="2"/>
  <c r="O669" i="2"/>
  <c r="O673" i="2"/>
  <c r="O677" i="2"/>
  <c r="O681" i="2"/>
  <c r="O685" i="2"/>
  <c r="O689" i="2"/>
  <c r="O693" i="2"/>
  <c r="O697" i="2"/>
  <c r="O701" i="2"/>
  <c r="O705" i="2"/>
  <c r="O709" i="2"/>
  <c r="O713" i="2"/>
  <c r="O717" i="2"/>
  <c r="O721" i="2"/>
  <c r="O725" i="2"/>
  <c r="O729" i="2"/>
  <c r="O733" i="2"/>
  <c r="O737" i="2"/>
  <c r="O741" i="2"/>
  <c r="O745" i="2"/>
  <c r="O749" i="2"/>
  <c r="O753" i="2"/>
  <c r="O757" i="2"/>
  <c r="O761" i="2"/>
  <c r="O765" i="2"/>
  <c r="O769" i="2"/>
  <c r="O773" i="2"/>
  <c r="O777" i="2"/>
  <c r="O781" i="2"/>
  <c r="O785" i="2"/>
  <c r="O789" i="2"/>
  <c r="O793" i="2"/>
  <c r="O797" i="2"/>
  <c r="O801" i="2"/>
  <c r="O805" i="2"/>
  <c r="AO948" i="3"/>
  <c r="AR948" i="3" s="1"/>
  <c r="O808" i="2"/>
  <c r="O818" i="2"/>
  <c r="O821" i="2"/>
  <c r="AO964" i="3"/>
  <c r="AR964" i="3" s="1"/>
  <c r="O824" i="2"/>
  <c r="AO972" i="3"/>
  <c r="AR972" i="3" s="1"/>
  <c r="O832" i="2"/>
  <c r="AO980" i="3"/>
  <c r="AR980" i="3" s="1"/>
  <c r="O840" i="2"/>
  <c r="O849" i="2"/>
  <c r="O857" i="2"/>
  <c r="O865" i="2"/>
  <c r="O827" i="2"/>
  <c r="O831" i="2"/>
  <c r="O835" i="2"/>
  <c r="O839" i="2"/>
  <c r="O843" i="2"/>
  <c r="O851" i="2"/>
  <c r="O855" i="2"/>
  <c r="O859" i="2"/>
  <c r="O863" i="2"/>
  <c r="N33" i="5"/>
  <c r="M16" i="5"/>
  <c r="O16" i="5" s="1"/>
  <c r="T2" i="5"/>
  <c r="T3" i="5" s="1"/>
  <c r="T4" i="5" s="1"/>
  <c r="T5" i="5" s="1"/>
  <c r="T6" i="5" s="1"/>
  <c r="AJ185" i="3"/>
  <c r="AM185" i="3" s="1"/>
  <c r="AJ448" i="3"/>
  <c r="AM448" i="3" s="1"/>
  <c r="M308" i="2"/>
  <c r="AJ460" i="3"/>
  <c r="AM460" i="3" s="1"/>
  <c r="M320" i="2"/>
  <c r="AJ468" i="3"/>
  <c r="AM468" i="3" s="1"/>
  <c r="M328" i="2"/>
  <c r="AJ484" i="3"/>
  <c r="AM484" i="3" s="1"/>
  <c r="M344" i="2"/>
  <c r="AJ488" i="3"/>
  <c r="AM488" i="3" s="1"/>
  <c r="M348" i="2"/>
  <c r="AJ492" i="3"/>
  <c r="AM492" i="3" s="1"/>
  <c r="M352" i="2"/>
  <c r="AJ496" i="3"/>
  <c r="AM496" i="3" s="1"/>
  <c r="M356" i="2"/>
  <c r="AJ508" i="3"/>
  <c r="AM508" i="3" s="1"/>
  <c r="M368" i="2"/>
  <c r="AJ516" i="3"/>
  <c r="AM516" i="3" s="1"/>
  <c r="M376" i="2"/>
  <c r="AJ524" i="3"/>
  <c r="AM524" i="3" s="1"/>
  <c r="M384" i="2"/>
  <c r="AJ532" i="3"/>
  <c r="AM532" i="3" s="1"/>
  <c r="M392" i="2"/>
  <c r="AJ544" i="3"/>
  <c r="AM544" i="3" s="1"/>
  <c r="M404" i="2"/>
  <c r="AJ552" i="3"/>
  <c r="AM552" i="3" s="1"/>
  <c r="M412" i="2"/>
  <c r="AJ564" i="3"/>
  <c r="AM564" i="3" s="1"/>
  <c r="M424" i="2"/>
  <c r="AJ580" i="3"/>
  <c r="AM580" i="3" s="1"/>
  <c r="M440" i="2"/>
  <c r="AJ596" i="3"/>
  <c r="AM596" i="3" s="1"/>
  <c r="M456" i="2"/>
  <c r="AJ608" i="3"/>
  <c r="AM608" i="3" s="1"/>
  <c r="M468" i="2"/>
  <c r="AJ628" i="3"/>
  <c r="AM628" i="3" s="1"/>
  <c r="M488" i="2"/>
  <c r="AJ636" i="3"/>
  <c r="AM636" i="3" s="1"/>
  <c r="M496" i="2"/>
  <c r="AJ644" i="3"/>
  <c r="AM644" i="3" s="1"/>
  <c r="M504" i="2"/>
  <c r="AJ660" i="3"/>
  <c r="AM660" i="3" s="1"/>
  <c r="M520" i="2"/>
  <c r="AJ664" i="3"/>
  <c r="AM664" i="3" s="1"/>
  <c r="M524" i="2"/>
  <c r="AJ676" i="3"/>
  <c r="AM676" i="3" s="1"/>
  <c r="M536" i="2"/>
  <c r="AJ684" i="3"/>
  <c r="AM684" i="3" s="1"/>
  <c r="M544" i="2"/>
  <c r="AJ688" i="3"/>
  <c r="AM688" i="3" s="1"/>
  <c r="M548" i="2"/>
  <c r="AJ696" i="3"/>
  <c r="AM696" i="3" s="1"/>
  <c r="M556" i="2"/>
  <c r="AJ712" i="3"/>
  <c r="AM712" i="3" s="1"/>
  <c r="M572" i="2"/>
  <c r="M29" i="2"/>
  <c r="AJ169" i="3" s="1"/>
  <c r="AM169" i="3" s="1"/>
  <c r="M33" i="2"/>
  <c r="AJ173" i="3" s="1"/>
  <c r="AM173" i="3" s="1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AJ619" i="3"/>
  <c r="AM619" i="3" s="1"/>
  <c r="M479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436" i="3"/>
  <c r="AM436" i="3" s="1"/>
  <c r="AJ164" i="3"/>
  <c r="AM164" i="3" s="1"/>
  <c r="M52" i="2"/>
  <c r="M55" i="2"/>
  <c r="M58" i="2"/>
  <c r="M62" i="2"/>
  <c r="M64" i="2"/>
  <c r="M67" i="2"/>
  <c r="M70" i="2"/>
  <c r="M74" i="2"/>
  <c r="M78" i="2"/>
  <c r="M80" i="2"/>
  <c r="M85" i="2"/>
  <c r="M87" i="2"/>
  <c r="M90" i="2"/>
  <c r="M94" i="2"/>
  <c r="M96" i="2"/>
  <c r="M99" i="2"/>
  <c r="M103" i="2"/>
  <c r="M105" i="2"/>
  <c r="M108" i="2"/>
  <c r="M112" i="2"/>
  <c r="M114" i="2"/>
  <c r="M116" i="2"/>
  <c r="M119" i="2"/>
  <c r="M121" i="2"/>
  <c r="M124" i="2"/>
  <c r="M127" i="2"/>
  <c r="M129" i="2"/>
  <c r="M133" i="2"/>
  <c r="M135" i="2"/>
  <c r="M139" i="2"/>
  <c r="M143" i="2"/>
  <c r="M145" i="2"/>
  <c r="M148" i="2"/>
  <c r="M152" i="2"/>
  <c r="M155" i="2"/>
  <c r="M158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7" i="2"/>
  <c r="M298" i="2"/>
  <c r="M299" i="2"/>
  <c r="M300" i="2"/>
  <c r="M301" i="2"/>
  <c r="M302" i="2"/>
  <c r="M303" i="2"/>
  <c r="M304" i="2"/>
  <c r="M305" i="2"/>
  <c r="M306" i="2"/>
  <c r="AJ450" i="3"/>
  <c r="AM450" i="3" s="1"/>
  <c r="M310" i="2"/>
  <c r="AJ454" i="3"/>
  <c r="AM454" i="3" s="1"/>
  <c r="M314" i="2"/>
  <c r="AJ458" i="3"/>
  <c r="AM458" i="3" s="1"/>
  <c r="M318" i="2"/>
  <c r="AJ462" i="3"/>
  <c r="AM462" i="3" s="1"/>
  <c r="M322" i="2"/>
  <c r="AJ466" i="3"/>
  <c r="AM466" i="3" s="1"/>
  <c r="M326" i="2"/>
  <c r="AJ470" i="3"/>
  <c r="AM470" i="3" s="1"/>
  <c r="M330" i="2"/>
  <c r="AJ474" i="3"/>
  <c r="AM474" i="3" s="1"/>
  <c r="M334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AJ506" i="3"/>
  <c r="AM506" i="3" s="1"/>
  <c r="M366" i="2"/>
  <c r="AJ510" i="3"/>
  <c r="AM510" i="3" s="1"/>
  <c r="M370" i="2"/>
  <c r="AJ514" i="3"/>
  <c r="AM514" i="3" s="1"/>
  <c r="M374" i="2"/>
  <c r="AJ518" i="3"/>
  <c r="AM518" i="3" s="1"/>
  <c r="M378" i="2"/>
  <c r="AJ522" i="3"/>
  <c r="AM522" i="3" s="1"/>
  <c r="M382" i="2"/>
  <c r="AJ526" i="3"/>
  <c r="AM526" i="3" s="1"/>
  <c r="M386" i="2"/>
  <c r="AJ530" i="3"/>
  <c r="AM530" i="3" s="1"/>
  <c r="M390" i="2"/>
  <c r="AJ534" i="3"/>
  <c r="AM534" i="3" s="1"/>
  <c r="M394" i="2"/>
  <c r="AJ538" i="3"/>
  <c r="AM538" i="3" s="1"/>
  <c r="M398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558" i="3"/>
  <c r="AM558" i="3" s="1"/>
  <c r="M418" i="2"/>
  <c r="AJ562" i="3"/>
  <c r="AM562" i="3" s="1"/>
  <c r="M422" i="2"/>
  <c r="AJ566" i="3"/>
  <c r="AM566" i="3" s="1"/>
  <c r="M426" i="2"/>
  <c r="AJ570" i="3"/>
  <c r="AM570" i="3" s="1"/>
  <c r="M430" i="2"/>
  <c r="AJ574" i="3"/>
  <c r="AM574" i="3" s="1"/>
  <c r="M434" i="2"/>
  <c r="AJ578" i="3"/>
  <c r="AM578" i="3" s="1"/>
  <c r="M438" i="2"/>
  <c r="AJ582" i="3"/>
  <c r="AM582" i="3" s="1"/>
  <c r="M442" i="2"/>
  <c r="AJ586" i="3"/>
  <c r="AM586" i="3" s="1"/>
  <c r="M446" i="2"/>
  <c r="AJ590" i="3"/>
  <c r="AM590" i="3" s="1"/>
  <c r="M450" i="2"/>
  <c r="AJ594" i="3"/>
  <c r="AM594" i="3" s="1"/>
  <c r="M454" i="2"/>
  <c r="AJ598" i="3"/>
  <c r="AM598" i="3" s="1"/>
  <c r="M458" i="2"/>
  <c r="AJ602" i="3"/>
  <c r="AM602" i="3" s="1"/>
  <c r="M462" i="2"/>
  <c r="AJ606" i="3"/>
  <c r="AM606" i="3" s="1"/>
  <c r="M466" i="2"/>
  <c r="AJ610" i="3"/>
  <c r="AM610" i="3" s="1"/>
  <c r="M470" i="2"/>
  <c r="AJ614" i="3"/>
  <c r="AM614" i="3" s="1"/>
  <c r="M474" i="2"/>
  <c r="AJ618" i="3"/>
  <c r="AM618" i="3" s="1"/>
  <c r="M478" i="2"/>
  <c r="AJ622" i="3"/>
  <c r="AM622" i="3" s="1"/>
  <c r="M482" i="2"/>
  <c r="AJ626" i="3"/>
  <c r="AM626" i="3" s="1"/>
  <c r="M486" i="2"/>
  <c r="AJ630" i="3"/>
  <c r="AM630" i="3" s="1"/>
  <c r="M490" i="2"/>
  <c r="AJ634" i="3"/>
  <c r="AM634" i="3" s="1"/>
  <c r="M494" i="2"/>
  <c r="AJ638" i="3"/>
  <c r="AM638" i="3" s="1"/>
  <c r="M498" i="2"/>
  <c r="AJ642" i="3"/>
  <c r="AM642" i="3" s="1"/>
  <c r="M502" i="2"/>
  <c r="AJ646" i="3"/>
  <c r="AM646" i="3" s="1"/>
  <c r="M506" i="2"/>
  <c r="AJ650" i="3"/>
  <c r="AM650" i="3" s="1"/>
  <c r="M510" i="2"/>
  <c r="AJ654" i="3"/>
  <c r="AM654" i="3" s="1"/>
  <c r="M514" i="2"/>
  <c r="AJ658" i="3"/>
  <c r="AM658" i="3" s="1"/>
  <c r="M518" i="2"/>
  <c r="AJ662" i="3"/>
  <c r="AM662" i="3" s="1"/>
  <c r="M522" i="2"/>
  <c r="AJ666" i="3"/>
  <c r="AM666" i="3" s="1"/>
  <c r="M526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500" i="3"/>
  <c r="AM500" i="3" s="1"/>
  <c r="AJ142" i="3"/>
  <c r="AM142" i="3" s="1"/>
  <c r="AJ2" i="3"/>
  <c r="AM2" i="3" s="1"/>
  <c r="AJ162" i="3"/>
  <c r="AM162" i="3" s="1"/>
  <c r="AJ163" i="3"/>
  <c r="AM163" i="3" s="1"/>
  <c r="AJ165" i="3"/>
  <c r="AM165" i="3" s="1"/>
  <c r="AJ166" i="3"/>
  <c r="AM166" i="3" s="1"/>
  <c r="AJ167" i="3"/>
  <c r="AM167" i="3" s="1"/>
  <c r="AJ168" i="3"/>
  <c r="AM168" i="3" s="1"/>
  <c r="M30" i="2"/>
  <c r="AJ170" i="3" s="1"/>
  <c r="AM170" i="3" s="1"/>
  <c r="M34" i="2"/>
  <c r="AJ174" i="3" s="1"/>
  <c r="AM174" i="3" s="1"/>
  <c r="AJ452" i="3"/>
  <c r="AM452" i="3" s="1"/>
  <c r="M312" i="2"/>
  <c r="AJ456" i="3"/>
  <c r="AM456" i="3" s="1"/>
  <c r="M316" i="2"/>
  <c r="AJ464" i="3"/>
  <c r="AM464" i="3" s="1"/>
  <c r="M324" i="2"/>
  <c r="AJ472" i="3"/>
  <c r="AM472" i="3" s="1"/>
  <c r="M332" i="2"/>
  <c r="AJ476" i="3"/>
  <c r="AM476" i="3" s="1"/>
  <c r="M336" i="2"/>
  <c r="AJ480" i="3"/>
  <c r="AM480" i="3" s="1"/>
  <c r="M340" i="2"/>
  <c r="AJ504" i="3"/>
  <c r="AM504" i="3" s="1"/>
  <c r="M364" i="2"/>
  <c r="AJ512" i="3"/>
  <c r="AM512" i="3" s="1"/>
  <c r="M372" i="2"/>
  <c r="AJ520" i="3"/>
  <c r="AM520" i="3" s="1"/>
  <c r="M380" i="2"/>
  <c r="AJ528" i="3"/>
  <c r="AM528" i="3" s="1"/>
  <c r="M388" i="2"/>
  <c r="AJ536" i="3"/>
  <c r="AM536" i="3" s="1"/>
  <c r="M396" i="2"/>
  <c r="AJ540" i="3"/>
  <c r="AM540" i="3" s="1"/>
  <c r="M400" i="2"/>
  <c r="AJ548" i="3"/>
  <c r="AM548" i="3" s="1"/>
  <c r="M408" i="2"/>
  <c r="AJ556" i="3"/>
  <c r="AM556" i="3" s="1"/>
  <c r="M416" i="2"/>
  <c r="AJ560" i="3"/>
  <c r="AM560" i="3" s="1"/>
  <c r="M420" i="2"/>
  <c r="AJ568" i="3"/>
  <c r="AM568" i="3" s="1"/>
  <c r="M428" i="2"/>
  <c r="AJ572" i="3"/>
  <c r="AM572" i="3" s="1"/>
  <c r="M432" i="2"/>
  <c r="AJ576" i="3"/>
  <c r="AM576" i="3" s="1"/>
  <c r="M436" i="2"/>
  <c r="AJ584" i="3"/>
  <c r="AM584" i="3" s="1"/>
  <c r="M444" i="2"/>
  <c r="AJ588" i="3"/>
  <c r="AM588" i="3" s="1"/>
  <c r="M448" i="2"/>
  <c r="AJ592" i="3"/>
  <c r="AM592" i="3" s="1"/>
  <c r="M452" i="2"/>
  <c r="AJ600" i="3"/>
  <c r="AM600" i="3" s="1"/>
  <c r="M460" i="2"/>
  <c r="AJ604" i="3"/>
  <c r="AM604" i="3" s="1"/>
  <c r="M464" i="2"/>
  <c r="AJ612" i="3"/>
  <c r="AM612" i="3" s="1"/>
  <c r="M472" i="2"/>
  <c r="AJ616" i="3"/>
  <c r="AM616" i="3" s="1"/>
  <c r="M476" i="2"/>
  <c r="AJ620" i="3"/>
  <c r="AM620" i="3" s="1"/>
  <c r="M480" i="2"/>
  <c r="AJ624" i="3"/>
  <c r="AM624" i="3" s="1"/>
  <c r="M484" i="2"/>
  <c r="AJ632" i="3"/>
  <c r="AM632" i="3" s="1"/>
  <c r="M492" i="2"/>
  <c r="AJ640" i="3"/>
  <c r="AM640" i="3" s="1"/>
  <c r="M500" i="2"/>
  <c r="AJ648" i="3"/>
  <c r="AM648" i="3" s="1"/>
  <c r="M508" i="2"/>
  <c r="AJ652" i="3"/>
  <c r="AM652" i="3" s="1"/>
  <c r="M512" i="2"/>
  <c r="AJ656" i="3"/>
  <c r="AM656" i="3" s="1"/>
  <c r="M516" i="2"/>
  <c r="AJ668" i="3"/>
  <c r="AM668" i="3" s="1"/>
  <c r="M528" i="2"/>
  <c r="AJ672" i="3"/>
  <c r="AM672" i="3" s="1"/>
  <c r="M532" i="2"/>
  <c r="AJ680" i="3"/>
  <c r="AM680" i="3" s="1"/>
  <c r="M540" i="2"/>
  <c r="AJ692" i="3"/>
  <c r="AM692" i="3" s="1"/>
  <c r="M552" i="2"/>
  <c r="AJ700" i="3"/>
  <c r="AM700" i="3" s="1"/>
  <c r="M560" i="2"/>
  <c r="AJ704" i="3"/>
  <c r="AM704" i="3" s="1"/>
  <c r="M564" i="2"/>
  <c r="AJ708" i="3"/>
  <c r="AM708" i="3" s="1"/>
  <c r="M568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M32" i="2"/>
  <c r="AJ172" i="3" s="1"/>
  <c r="AM172" i="3" s="1"/>
  <c r="M50" i="2"/>
  <c r="M51" i="2"/>
  <c r="M53" i="2"/>
  <c r="M54" i="2"/>
  <c r="M56" i="2"/>
  <c r="M57" i="2"/>
  <c r="M59" i="2"/>
  <c r="M60" i="2"/>
  <c r="M61" i="2"/>
  <c r="M63" i="2"/>
  <c r="M65" i="2"/>
  <c r="M66" i="2"/>
  <c r="M68" i="2"/>
  <c r="M69" i="2"/>
  <c r="M71" i="2"/>
  <c r="M72" i="2"/>
  <c r="M73" i="2"/>
  <c r="M75" i="2"/>
  <c r="M76" i="2"/>
  <c r="M77" i="2"/>
  <c r="M79" i="2"/>
  <c r="M81" i="2"/>
  <c r="M82" i="2"/>
  <c r="M83" i="2"/>
  <c r="M84" i="2"/>
  <c r="M86" i="2"/>
  <c r="M88" i="2"/>
  <c r="M89" i="2"/>
  <c r="M91" i="2"/>
  <c r="M92" i="2"/>
  <c r="M93" i="2"/>
  <c r="M95" i="2"/>
  <c r="M97" i="2"/>
  <c r="M98" i="2"/>
  <c r="M100" i="2"/>
  <c r="M101" i="2"/>
  <c r="M102" i="2"/>
  <c r="M104" i="2"/>
  <c r="M106" i="2"/>
  <c r="M107" i="2"/>
  <c r="M109" i="2"/>
  <c r="M110" i="2"/>
  <c r="M111" i="2"/>
  <c r="M113" i="2"/>
  <c r="M115" i="2"/>
  <c r="M117" i="2"/>
  <c r="M118" i="2"/>
  <c r="M120" i="2"/>
  <c r="M122" i="2"/>
  <c r="M123" i="2"/>
  <c r="M125" i="2"/>
  <c r="M126" i="2"/>
  <c r="M128" i="2"/>
  <c r="M130" i="2"/>
  <c r="M131" i="2"/>
  <c r="M132" i="2"/>
  <c r="M134" i="2"/>
  <c r="M136" i="2"/>
  <c r="M137" i="2"/>
  <c r="M138" i="2"/>
  <c r="M140" i="2"/>
  <c r="M141" i="2"/>
  <c r="M142" i="2"/>
  <c r="M144" i="2"/>
  <c r="M146" i="2"/>
  <c r="M147" i="2"/>
  <c r="M149" i="2"/>
  <c r="M150" i="2"/>
  <c r="M151" i="2"/>
  <c r="M153" i="2"/>
  <c r="M154" i="2"/>
  <c r="M156" i="2"/>
  <c r="M157" i="2"/>
  <c r="M159" i="2"/>
  <c r="M160" i="2"/>
  <c r="M31" i="2"/>
  <c r="AJ171" i="3" s="1"/>
  <c r="AM171" i="3" s="1"/>
  <c r="M35" i="2"/>
  <c r="AJ175" i="3" s="1"/>
  <c r="AM175" i="3" s="1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1" i="3"/>
  <c r="AM561" i="3" s="1"/>
  <c r="M421" i="2"/>
  <c r="AJ565" i="3"/>
  <c r="AM565" i="3" s="1"/>
  <c r="M425" i="2"/>
  <c r="AJ569" i="3"/>
  <c r="AM569" i="3" s="1"/>
  <c r="M429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AJ176" i="3"/>
  <c r="AM176" i="3" s="1"/>
  <c r="AJ178" i="3"/>
  <c r="AM178" i="3" s="1"/>
  <c r="AJ179" i="3"/>
  <c r="AM179" i="3" s="1"/>
  <c r="AJ180" i="3"/>
  <c r="AM180" i="3" s="1"/>
  <c r="AJ181" i="3"/>
  <c r="AM181" i="3" s="1"/>
  <c r="AJ182" i="3"/>
  <c r="AM182" i="3" s="1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AJ183" i="3"/>
  <c r="AM183" i="3" s="1"/>
  <c r="AJ184" i="3"/>
  <c r="AM184" i="3" s="1"/>
  <c r="AJ186" i="3"/>
  <c r="AM186" i="3" s="1"/>
  <c r="AJ187" i="3"/>
  <c r="AM187" i="3" s="1"/>
  <c r="AJ188" i="3"/>
  <c r="AM188" i="3" s="1"/>
  <c r="AJ189" i="3"/>
  <c r="AM189" i="3" s="1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92" i="3"/>
  <c r="AM792" i="3" s="1"/>
  <c r="M652" i="2"/>
  <c r="AJ796" i="3"/>
  <c r="AM796" i="3" s="1"/>
  <c r="M656" i="2"/>
  <c r="M660" i="2"/>
  <c r="AJ800" i="3"/>
  <c r="AM800" i="3" s="1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M711" i="2"/>
  <c r="AJ851" i="3"/>
  <c r="AM851" i="3" s="1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22" i="3"/>
  <c r="AM922" i="3" s="1"/>
  <c r="M641" i="2"/>
  <c r="AJ794" i="3"/>
  <c r="AM794" i="3" s="1"/>
  <c r="M654" i="2"/>
  <c r="AJ798" i="3"/>
  <c r="AM798" i="3" s="1"/>
  <c r="M658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M770" i="2"/>
  <c r="AJ910" i="3"/>
  <c r="AM910" i="3" s="1"/>
  <c r="AJ914" i="3"/>
  <c r="AM914" i="3" s="1"/>
  <c r="M774" i="2"/>
  <c r="AJ918" i="3"/>
  <c r="AM918" i="3" s="1"/>
  <c r="M778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864" i="3"/>
  <c r="AM864" i="3" s="1"/>
  <c r="AJ888" i="3"/>
  <c r="AM888" i="3" s="1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N32" i="5"/>
  <c r="J31" i="5"/>
  <c r="P34" i="5"/>
  <c r="P38" i="5"/>
  <c r="P27" i="5"/>
  <c r="P30" i="5"/>
  <c r="P25" i="5"/>
  <c r="P17" i="5"/>
  <c r="P21" i="5"/>
  <c r="P28" i="5"/>
  <c r="P31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1" i="5"/>
  <c r="U2" i="5"/>
  <c r="Y9" i="3"/>
  <c r="D6" i="3" s="1"/>
  <c r="AB9" i="3"/>
  <c r="G5" i="3" s="1"/>
  <c r="Z9" i="3"/>
  <c r="I6" i="3" s="1"/>
  <c r="AO2" i="3" l="1"/>
  <c r="AR2" i="3" s="1"/>
  <c r="M3" i="5"/>
  <c r="M2" i="5"/>
  <c r="W64" i="5"/>
  <c r="W71" i="5"/>
  <c r="Z19" i="5" s="1"/>
  <c r="X2" i="5"/>
  <c r="AA8" i="5" s="1"/>
  <c r="AI8" i="5" s="1"/>
  <c r="N31" i="5"/>
  <c r="O31" i="5"/>
  <c r="X5" i="5"/>
  <c r="AD8" i="5" s="1"/>
  <c r="X4" i="5"/>
  <c r="AC8" i="5" s="1"/>
  <c r="X3" i="5"/>
  <c r="AB8" i="5" s="1"/>
  <c r="T7" i="5"/>
  <c r="X6" i="5"/>
  <c r="AE8" i="5" s="1"/>
  <c r="Z17" i="5" l="1"/>
  <c r="Z11" i="5"/>
  <c r="Z25" i="5"/>
  <c r="Z14" i="5"/>
  <c r="Z21" i="5"/>
  <c r="Z37" i="5"/>
  <c r="Z26" i="5"/>
  <c r="Z31" i="5"/>
  <c r="Z29" i="5"/>
  <c r="Z8" i="5"/>
  <c r="Z36" i="5"/>
  <c r="Z30" i="5"/>
  <c r="Z15" i="5"/>
  <c r="Z18" i="5"/>
  <c r="Z16" i="5"/>
  <c r="Z12" i="5"/>
  <c r="Z20" i="5"/>
  <c r="Z13" i="5"/>
  <c r="Z32" i="5"/>
  <c r="Z10" i="5"/>
  <c r="Z24" i="5"/>
  <c r="Z34" i="5"/>
  <c r="Z22" i="5"/>
  <c r="Z33" i="5"/>
  <c r="Z9" i="5"/>
  <c r="Z27" i="5"/>
  <c r="Z35" i="5"/>
  <c r="Z28" i="5"/>
  <c r="Z23" i="5"/>
  <c r="T8" i="5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U64" i="5" s="1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U71" i="5" s="1"/>
  <c r="X70" i="5"/>
  <c r="AC19" i="5" s="1"/>
  <c r="C17" i="5"/>
  <c r="D17" i="5"/>
  <c r="P16" i="5" l="1"/>
  <c r="H13" i="5" s="1"/>
  <c r="U1" i="5"/>
  <c r="T72" i="5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<sst xmlns="http://schemas.openxmlformats.org/spreadsheetml/2006/main" count="930" uniqueCount="172">
  <si>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</si>
  <si>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</si>
  <si>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</si>
  <si>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</si>
  <si>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</si>
  <si>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</si>
  <si>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</si>
  <si>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</si>
  <si>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</si>
  <si>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</si>
  <si>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</si>
  <si>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</si>
  <si>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</si>
  <si>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</si>
  <si>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</si>
  <si>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</si>
  <si>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</si>
  <si>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</si>
  <si>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</si>
  <si>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</si>
  <si>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</si>
  <si>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</si>
  <si>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</si>
  <si>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</si>
  <si>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</si>
  <si>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</si>
  <si>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</si>
  <si>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</si>
  <si>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</si>
  <si>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</si>
  <si>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</si>
  <si>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</si>
  <si>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</si>
  <si>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</si>
  <si>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</si>
  <si>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</si>
  <si>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</si>
  <si>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</si>
  <si>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</si>
  <si>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</si>
  <si>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</si>
  <si>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</si>
  <si>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</si>
  <si>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</si>
  <si>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</si>
  <si>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</si>
  <si>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</si>
  <si>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</si>
  <si>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</si>
  <si>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</si>
  <si>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</si>
  <si>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</si>
  <si>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</si>
  <si>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</si>
  <si>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</si>
  <si>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</si>
  <si>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</si>
  <si>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</si>
  <si>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</si>
  <si>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</si>
  <si>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</si>
  <si>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</si>
  <si>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</si>
  <si>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</si>
  <si>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</si>
  <si>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</si>
  <si>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</si>
  <si>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</si>
  <si>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</si>
  <si>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</si>
  <si>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</si>
  <si>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</si>
  <si>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</si>
  <si>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</si>
  <si>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</si>
  <si>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</si>
  <si>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</si>
  <si>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</si>
  <si>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</si>
  <si>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</si>
  <si>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</si>
  <si>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</si>
  <si>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</si>
  <si>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</si>
  <si>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</si>
  <si>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</si>
  <si>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</si>
  <si>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</si>
  <si>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</si>
  <si>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</si>
  <si>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</si>
  <si>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</si>
  <si>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</si>
  <si>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</si>
  <si>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</si>
  <si>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</si>
  <si>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</si>
  <si>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</si>
  <si>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</si>
  <si>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</si>
  <si>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</si>
  <si>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</si>
  <si>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</si>
  <si>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</si>
  <si>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</si>
  <si>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</si>
  <si>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</si>
  <si>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</si>
  <si>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</si>
  <si>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</si>
  <si>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</si>
  <si>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</si>
  <si>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</si>
  <si>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</si>
  <si>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</si>
  <si>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</si>
  <si>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</si>
  <si>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</si>
  <si>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</si>
  <si>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</si>
  <si>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</si>
  <si>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</si>
  <si>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</si>
  <si>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</si>
  <si>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</si>
  <si>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</si>
  <si>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</si>
  <si>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</si>
  <si>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</si>
  <si>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</si>
  <si>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</si>
  <si>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</si>
  <si>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</si>
  <si>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</si>
  <si>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</si>
  <si>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</si>
  <si>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</si>
  <si>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</si>
  <si>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</si>
  <si>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</si>
  <si>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</si>
  <si>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</si>
  <si>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</si>
  <si>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</si>
  <si>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</si>
  <si>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</si>
  <si>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</si>
  <si>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</si>
  <si>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</si>
  <si>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</si>
  <si>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</si>
  <si>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1155 21st Street NW</t>
  </si>
  <si>
    <t>Washington, DC</t>
  </si>
  <si>
    <t>WASHDCAU</t>
  </si>
  <si>
    <t>122221 \ DC-1SN</t>
  </si>
  <si>
    <t>Corey LaFontaine</t>
  </si>
  <si>
    <t>Ann Muller</t>
  </si>
  <si>
    <t>OFS 24-port Patch Panel</t>
  </si>
  <si>
    <t>Server Room</t>
  </si>
  <si>
    <t>OFS</t>
  </si>
  <si>
    <t>Riser from P1 Level  MTR, Splice 101505</t>
  </si>
  <si>
    <t>1</t>
  </si>
  <si>
    <t>ISO-0151774</t>
  </si>
  <si>
    <t>Cushman &amp; Wakefield</t>
  </si>
  <si>
    <t>Wes French or Edwin Khuu, US Commodity Futures Trading Commission</t>
  </si>
  <si>
    <t>wfrench@cfct.gov / ekhuu@cftc.gov</t>
  </si>
  <si>
    <t xml:space="preserve">Wes - 202-418-5864 / Edwin - 202-418-5328   </t>
  </si>
  <si>
    <t>5</t>
  </si>
  <si>
    <t>DC-1SN: CUST-RISER-1</t>
  </si>
  <si>
    <t>101505</t>
  </si>
  <si>
    <t>DC-1SN: ZAYO-ENT-W-1</t>
  </si>
  <si>
    <t>west entrance lateral from Splice16119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</si>
</sst>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9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50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1681</xdr:colOff>
          <xdr:row>45</xdr:row>
          <xdr:rowOff>3362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1" customWidth="1"/>
    <col min="2" max="16384" width="9.140625" style="311"/>
  </cols>
  <sheetData>
    <row r="1" spans="1:22" ht="23.25" customHeight="1" x14ac:dyDescent="0.2">
      <c r="A1" s="476" t="s">
        <v>102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</row>
    <row r="2" spans="1:22" x14ac:dyDescent="0.2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</row>
    <row r="3" spans="1:22" x14ac:dyDescent="0.2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  <c r="R3" s="476"/>
      <c r="S3" s="476"/>
      <c r="T3" s="476"/>
      <c r="U3" s="476"/>
      <c r="V3" s="476"/>
    </row>
    <row r="4" spans="1:22" x14ac:dyDescent="0.2">
      <c r="K4" s="477" t="s">
        <v>103</v>
      </c>
      <c r="L4" s="477"/>
    </row>
    <row r="5" spans="1:22" x14ac:dyDescent="0.2">
      <c r="A5" s="477" t="s">
        <v>104</v>
      </c>
      <c r="B5" s="477"/>
      <c r="K5" s="477"/>
      <c r="L5" s="477"/>
    </row>
    <row r="6" spans="1:22" x14ac:dyDescent="0.2">
      <c r="A6" s="477"/>
      <c r="B6" s="477"/>
    </row>
    <row r="45" spans="1:2" x14ac:dyDescent="0.2">
      <c r="A45" s="477" t="s">
        <v>105</v>
      </c>
      <c r="B45" s="477"/>
    </row>
    <row r="46" spans="1:2" x14ac:dyDescent="0.2">
      <c r="A46" s="477"/>
      <c r="B46" s="477"/>
    </row>
    <row r="60" spans="1:2" x14ac:dyDescent="0.2">
      <c r="A60" s="477" t="s">
        <v>106</v>
      </c>
      <c r="B60" s="477"/>
    </row>
    <row r="61" spans="1:2" x14ac:dyDescent="0.2">
      <c r="A61" s="477"/>
      <c r="B61" s="477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3" zoomScale="85" zoomScaleNormal="85" workbookViewId="0">
      <selection activeCell="K16" sqref="K1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8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1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8" t="s">
        <v>72</v>
      </c>
      <c r="I5" s="488"/>
      <c r="J5" s="488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96" t="s">
        <v>82</v>
      </c>
      <c r="B8" s="497"/>
      <c r="C8" s="497"/>
      <c r="D8" s="497"/>
      <c r="E8" s="497"/>
      <c r="F8" s="498"/>
      <c r="G8" s="31"/>
      <c r="H8" s="120"/>
      <c r="I8" s="121" t="s">
        <v>8</v>
      </c>
      <c r="J8" s="307" t="s">
        <v>169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9" t="s">
        <v>9</v>
      </c>
      <c r="I10" s="490"/>
      <c r="J10" s="211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1" t="str">
        <f>IF(E44="","",IF(F11=1,C61,E44))</f>
        <v/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91" t="s">
        <v>98</v>
      </c>
      <c r="AY12" s="491"/>
      <c r="AZ12" s="491"/>
      <c r="BA12" s="491"/>
      <c r="BB12" s="491"/>
      <c r="BC12" s="491"/>
      <c r="BD12" s="491"/>
      <c r="BE12" s="491"/>
      <c r="BF12" s="491"/>
      <c r="BG12" s="491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9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9"/>
      <c r="J13" s="499"/>
      <c r="K13" s="499"/>
      <c r="L13" s="499"/>
      <c r="M13" s="499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91"/>
      <c r="AY13" s="491"/>
      <c r="AZ13" s="491"/>
      <c r="BA13" s="491"/>
      <c r="BB13" s="491"/>
      <c r="BC13" s="491"/>
      <c r="BD13" s="491"/>
      <c r="BE13" s="491"/>
      <c r="BF13" s="491"/>
      <c r="BG13" s="491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500"/>
      <c r="I14" s="500"/>
      <c r="J14" s="500"/>
      <c r="K14" s="500"/>
      <c r="L14" s="500"/>
      <c r="M14" s="500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91"/>
      <c r="AY14" s="491"/>
      <c r="AZ14" s="491"/>
      <c r="BA14" s="491"/>
      <c r="BB14" s="491"/>
      <c r="BC14" s="491"/>
      <c r="BD14" s="491"/>
      <c r="BE14" s="491"/>
      <c r="BF14" s="491"/>
      <c r="BG14" s="491"/>
    </row>
    <row r="15" spans="1:59" x14ac:dyDescent="0.2">
      <c r="A15" s="27"/>
      <c r="B15" s="46">
        <f t="shared" si="20"/>
        <v>1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475">
        <v>111</v>
      </c>
      <c r="I16" s="14" t="s">
        <v>71</v>
      </c>
      <c r="J16" s="12"/>
      <c r="K16" s="13" t="s">
        <v>168</v>
      </c>
      <c r="L16" s="11" t="s">
        <v>167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NEED RACK OR WALL DESCRIPTION!</v>
      </c>
      <c r="N16" s="37" t="str">
        <f>CONCATENATE(J16,"  ",K16)</f>
        <v xml:space="preserve">  DC-1SN: CUST-RISER-1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111</v>
      </c>
      <c r="C18" s="117" t="str">
        <f t="shared" si="18"/>
        <v xml:space="preserve">  DC-1SN: CUST-RISER-1</v>
      </c>
      <c r="D18" s="44" t="str">
        <f t="shared" si="19"/>
        <v>NEED RACK OR WALL DESCRIPTION!</v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111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>
        <f t="shared" si="9"/>
        <v>111</v>
      </c>
      <c r="AE19" s="26">
        <f t="shared" si="10"/>
        <v>111</v>
      </c>
      <c r="AF19" s="26">
        <f t="shared" si="11"/>
        <v>111</v>
      </c>
      <c r="AG19" s="37">
        <f t="shared" si="12"/>
        <v>111</v>
      </c>
      <c r="AH19" s="26">
        <f t="shared" si="14"/>
        <v>111</v>
      </c>
      <c r="AI19" s="26" t="str">
        <f t="shared" si="15"/>
        <v/>
      </c>
      <c r="AJ19" s="26">
        <f t="shared" si="16"/>
        <v>111</v>
      </c>
      <c r="AK19" s="26">
        <f t="shared" si="17"/>
        <v>3</v>
      </c>
    </row>
    <row r="20" spans="1:37" x14ac:dyDescent="0.2">
      <c r="A20" s="27"/>
      <c r="B20" s="46">
        <f t="shared" si="20"/>
        <v>111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>
        <f t="shared" si="6"/>
        <v>111</v>
      </c>
      <c r="AB20" s="26">
        <f t="shared" si="7"/>
        <v>111</v>
      </c>
      <c r="AC20" s="26">
        <f t="shared" si="8"/>
        <v>111</v>
      </c>
      <c r="AD20" s="26">
        <f t="shared" si="9"/>
        <v>111</v>
      </c>
      <c r="AE20" s="26">
        <f t="shared" si="10"/>
        <v>111</v>
      </c>
      <c r="AF20" s="26">
        <f t="shared" si="11"/>
        <v>111</v>
      </c>
      <c r="AG20" s="37">
        <f t="shared" si="12"/>
        <v>111</v>
      </c>
      <c r="AH20" s="26">
        <f t="shared" si="14"/>
        <v>111</v>
      </c>
      <c r="AI20" s="26">
        <f t="shared" si="15"/>
        <v>111</v>
      </c>
      <c r="AJ20" s="26">
        <f t="shared" si="16"/>
        <v>111</v>
      </c>
      <c r="AK20" s="26">
        <f t="shared" si="17"/>
        <v>0</v>
      </c>
    </row>
    <row r="21" spans="1:37" x14ac:dyDescent="0.2">
      <c r="A21" s="27"/>
      <c r="B21" s="46">
        <f t="shared" si="20"/>
        <v>1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>
        <f t="shared" si="6"/>
        <v>111</v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111</v>
      </c>
      <c r="AH21" s="26">
        <f t="shared" si="14"/>
        <v>111</v>
      </c>
      <c r="AI21" s="26">
        <f t="shared" si="15"/>
        <v>111</v>
      </c>
      <c r="AJ21" s="26" t="str">
        <f t="shared" si="16"/>
        <v/>
      </c>
      <c r="AK21" s="26">
        <f t="shared" si="17"/>
        <v>5</v>
      </c>
    </row>
    <row r="22" spans="1:37" x14ac:dyDescent="0.2">
      <c r="A22" s="27"/>
      <c r="B22" s="46">
        <f t="shared" si="20"/>
        <v>1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80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DC-1SN: CUST-RISER-1</v>
      </c>
      <c r="K32" s="51"/>
      <c r="L32" s="51"/>
      <c r="M32" s="51"/>
      <c r="N32" s="37" t="str">
        <f t="shared" si="22"/>
        <v xml:space="preserve">DC-1SN: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>DC-1SN: ZAYO-ENT-W-1</v>
      </c>
      <c r="K33" s="51"/>
      <c r="L33" s="51"/>
      <c r="M33" s="51"/>
      <c r="N33" s="37" t="str">
        <f t="shared" si="22"/>
        <v xml:space="preserve">DC-1SN: ZAYO-ENT-W-1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501" t="s">
        <v>151</v>
      </c>
      <c r="C41" s="501" t="s">
        <v>152</v>
      </c>
      <c r="D41" s="501">
        <v>5</v>
      </c>
      <c r="E41" s="501" t="s">
        <v>158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502"/>
      <c r="C42" s="502"/>
      <c r="D42" s="502"/>
      <c r="E42" s="503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8" t="s">
        <v>138</v>
      </c>
      <c r="E43" s="297" t="str">
        <f>IF(F11=1,"Wall Direction","Rack \ Enclosure")</f>
        <v>Wall Direction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506" t="s">
        <v>153</v>
      </c>
      <c r="C44" s="507"/>
      <c r="D44" s="486" t="s">
        <v>154</v>
      </c>
      <c r="E44" s="484"/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8"/>
      <c r="C45" s="509"/>
      <c r="D45" s="487"/>
      <c r="E45" s="485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506" t="s">
        <v>157</v>
      </c>
      <c r="C47" s="507"/>
      <c r="D47" s="510" t="str">
        <f>CONCATENATE('Cable Info'!C11,"  ",'Cable Info'!C18,"   ",'Cable Info'!C25,"  ",'Cable Info'!C32,"   ",'Cable Info'!C39,"   ",'Cable Info'!C46)</f>
        <v xml:space="preserve">DC-1SN: CUST-RISER-1  DC-1SN: ZAYO-ENT-W-1           </v>
      </c>
      <c r="E47" s="511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8"/>
      <c r="C48" s="509"/>
      <c r="D48" s="512"/>
      <c r="E48" s="513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14" t="s">
        <v>155</v>
      </c>
      <c r="C50" s="478">
        <v>42786</v>
      </c>
      <c r="D50" s="480" t="s">
        <v>156</v>
      </c>
      <c r="E50" s="482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81"/>
      <c r="C51" s="479"/>
      <c r="D51" s="481"/>
      <c r="E51" s="483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504" t="str">
        <f>IF(C54=1,IF(B57=FALSE,"FLOOR SUMMARY NEEDED!","FLOOR SUMMARY"),"")</f>
        <v/>
      </c>
      <c r="C52" s="505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92" t="str">
        <f>J8</f>
        <v>101505</v>
      </c>
      <c r="E53" s="493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463"/>
      <c r="C54" s="81">
        <v>0</v>
      </c>
      <c r="D54" s="492"/>
      <c r="E54" s="493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464"/>
      <c r="C55" s="82"/>
      <c r="D55" s="492"/>
      <c r="E55" s="493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4" t="s">
        <v>32</v>
      </c>
      <c r="C56" s="205">
        <f>IF(C64=FALSE,IF(C65=FALSE,1,0),0)</f>
        <v>1</v>
      </c>
      <c r="D56" s="492"/>
      <c r="E56" s="493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005</v>
      </c>
      <c r="C57" s="83"/>
      <c r="D57" s="494"/>
      <c r="E57" s="495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9">
        <v>10</v>
      </c>
      <c r="C61" s="359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9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9">
        <v>8</v>
      </c>
      <c r="C63" s="360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9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9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1</v>
      </c>
      <c r="S71" s="26">
        <f t="shared" si="30"/>
        <v>10</v>
      </c>
      <c r="T71" s="26">
        <f t="shared" si="31"/>
        <v>10</v>
      </c>
      <c r="U71" s="26" t="str">
        <f t="shared" si="27"/>
        <v/>
      </c>
      <c r="V71" s="26">
        <v>114</v>
      </c>
      <c r="W71" s="26">
        <f t="shared" si="28"/>
        <v>1</v>
      </c>
      <c r="X71" s="26">
        <f t="shared" si="32"/>
        <v>111</v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9</v>
      </c>
      <c r="U72" s="26" t="str">
        <f t="shared" si="27"/>
        <v/>
      </c>
      <c r="V72" s="26">
        <v>114</v>
      </c>
      <c r="W72" s="26">
        <f t="shared" si="28"/>
        <v>0</v>
      </c>
      <c r="X72" s="26">
        <f t="shared" si="32"/>
        <v>111</v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8</v>
      </c>
      <c r="U73" s="26" t="str">
        <f t="shared" si="27"/>
        <v/>
      </c>
      <c r="V73" s="26">
        <v>114</v>
      </c>
      <c r="W73" s="26">
        <f t="shared" si="28"/>
        <v>0</v>
      </c>
      <c r="X73" s="26">
        <f t="shared" si="32"/>
        <v>111</v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7</v>
      </c>
      <c r="U74" s="26" t="str">
        <f t="shared" si="27"/>
        <v/>
      </c>
      <c r="V74" s="26">
        <v>108</v>
      </c>
      <c r="W74" s="26">
        <f t="shared" si="28"/>
        <v>0</v>
      </c>
      <c r="X74" s="26">
        <f t="shared" si="32"/>
        <v>111</v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6</v>
      </c>
      <c r="U75" s="26" t="str">
        <f t="shared" si="27"/>
        <v/>
      </c>
      <c r="V75" s="26">
        <v>108</v>
      </c>
      <c r="W75" s="26">
        <f t="shared" si="28"/>
        <v>0</v>
      </c>
      <c r="X75" s="26">
        <f t="shared" si="32"/>
        <v>111</v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5</v>
      </c>
      <c r="U76" s="26" t="str">
        <f t="shared" si="27"/>
        <v/>
      </c>
      <c r="V76" s="26">
        <v>108</v>
      </c>
      <c r="W76" s="26">
        <f t="shared" si="28"/>
        <v>0</v>
      </c>
      <c r="X76" s="26">
        <f t="shared" si="32"/>
        <v>111</v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4</v>
      </c>
      <c r="U77" s="26" t="str">
        <f t="shared" si="27"/>
        <v/>
      </c>
      <c r="V77" s="26">
        <v>108</v>
      </c>
      <c r="W77" s="26">
        <f t="shared" si="28"/>
        <v>0</v>
      </c>
      <c r="X77" s="26">
        <f t="shared" si="32"/>
        <v>111</v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3</v>
      </c>
      <c r="U78" s="26" t="str">
        <f t="shared" si="27"/>
        <v/>
      </c>
      <c r="V78" s="26">
        <v>108</v>
      </c>
      <c r="W78" s="26">
        <f t="shared" si="28"/>
        <v>0</v>
      </c>
      <c r="X78" s="26">
        <f t="shared" si="32"/>
        <v>111</v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2</v>
      </c>
      <c r="U79" s="26" t="str">
        <f t="shared" si="27"/>
        <v/>
      </c>
      <c r="V79" s="26">
        <v>108</v>
      </c>
      <c r="W79" s="26">
        <f t="shared" si="28"/>
        <v>0</v>
      </c>
      <c r="X79" s="26">
        <f t="shared" si="32"/>
        <v>111</v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1</v>
      </c>
      <c r="U80" s="26" t="str">
        <f t="shared" si="27"/>
        <v/>
      </c>
      <c r="V80" s="26">
        <v>102</v>
      </c>
      <c r="W80" s="26">
        <f t="shared" si="28"/>
        <v>0</v>
      </c>
      <c r="X80" s="26">
        <f t="shared" si="32"/>
        <v>111</v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ZE9M4cdEEgEPvcdHPpNk0lQUUfqAirxVpup8XNV6i9/oPuI0HVrHQ85niE195E10X2FcwBhEifjsi/QDUH9vLA==" saltValue="IT29zyTM4RswOZ5r6YicEg==" spinCount="100000" sheet="1" objects="1" scenarios="1" selectLockedCells="1"/>
  <mergeCells count="20"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</mergeCells>
  <conditionalFormatting sqref="H16:M23">
    <cfRule type="expression" dxfId="49" priority="30" stopIfTrue="1">
      <formula>$P16="DUPLICATE"</formula>
    </cfRule>
  </conditionalFormatting>
  <conditionalFormatting sqref="H16:M23">
    <cfRule type="expression" dxfId="48" priority="19" stopIfTrue="1">
      <formula>$P16="DUPLICATE"</formula>
    </cfRule>
  </conditionalFormatting>
  <conditionalFormatting sqref="C38:E38 C11:E11 D12:E37 B11:B38">
    <cfRule type="expression" dxfId="47" priority="24" stopIfTrue="1">
      <formula>$F$11=1</formula>
    </cfRule>
  </conditionalFormatting>
  <conditionalFormatting sqref="C11">
    <cfRule type="expression" dxfId="46" priority="15" stopIfTrue="1">
      <formula>$F$11=1</formula>
    </cfRule>
  </conditionalFormatting>
  <conditionalFormatting sqref="B57">
    <cfRule type="expression" dxfId="45" priority="12" stopIfTrue="1">
      <formula>$B$57=FALSE</formula>
    </cfRule>
  </conditionalFormatting>
  <conditionalFormatting sqref="B53:B55">
    <cfRule type="expression" dxfId="44" priority="8" stopIfTrue="1">
      <formula>$C$54=0</formula>
    </cfRule>
  </conditionalFormatting>
  <conditionalFormatting sqref="H13">
    <cfRule type="expression" dxfId="43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3" customWidth="1"/>
    <col min="9" max="9" width="14.85546875" style="183" hidden="1" customWidth="1"/>
    <col min="10" max="25" width="9.140625" style="183" hidden="1" customWidth="1"/>
    <col min="26" max="26" width="0" style="183" hidden="1" customWidth="1"/>
    <col min="27" max="147" width="9.140625" style="183"/>
    <col min="148" max="16384" width="9.140625" style="79"/>
  </cols>
  <sheetData>
    <row r="1" spans="1:147" ht="14.25" thickTop="1" thickBot="1" x14ac:dyDescent="0.25">
      <c r="A1" s="84"/>
      <c r="B1" s="85"/>
      <c r="C1" s="85"/>
      <c r="D1" s="85"/>
      <c r="E1" s="85"/>
      <c r="F1" s="85"/>
      <c r="G1" s="86"/>
      <c r="I1" s="183" t="s">
        <v>54</v>
      </c>
      <c r="J1" s="183" t="s">
        <v>56</v>
      </c>
      <c r="L1" s="183" t="s">
        <v>13</v>
      </c>
      <c r="M1" s="184"/>
      <c r="N1" s="184" t="s">
        <v>14</v>
      </c>
      <c r="P1" s="183" t="s">
        <v>50</v>
      </c>
      <c r="R1" s="183" t="s">
        <v>51</v>
      </c>
      <c r="T1" s="183" t="s">
        <v>52</v>
      </c>
      <c r="V1" s="183" t="s">
        <v>53</v>
      </c>
    </row>
    <row r="2" spans="1:147" s="91" customFormat="1" ht="15" thickBot="1" x14ac:dyDescent="0.25">
      <c r="A2" s="87"/>
      <c r="B2" s="88" t="s">
        <v>8</v>
      </c>
      <c r="C2" s="89"/>
      <c r="D2" s="89"/>
      <c r="E2" s="529" t="s">
        <v>9</v>
      </c>
      <c r="F2" s="530"/>
      <c r="G2" s="90"/>
      <c r="H2" s="183"/>
      <c r="I2" s="183" t="s">
        <v>45</v>
      </c>
      <c r="J2" s="183" t="s">
        <v>55</v>
      </c>
      <c r="K2" s="183">
        <v>1</v>
      </c>
      <c r="L2" s="183">
        <f>IF($B$13&gt;=K2,K2,"")</f>
        <v>1</v>
      </c>
      <c r="M2" s="183" t="str">
        <f>IF(L2="","",IF(L2&lt;=$E$15,VLOOKUP($E$14,$I$1:$J$4,2,FALSE),VLOOKUP($F$14,$I$1:$J$4,2,FALSE)))</f>
        <v>AW</v>
      </c>
      <c r="N2" s="183">
        <f>IF($B$20&gt;=K2,K2,"")</f>
        <v>1</v>
      </c>
      <c r="O2" s="183" t="e">
        <f>IF(N2="","",IF(N2&lt;=$E$22,VLOOKUP($E$21,$I$1:$J$4,2,FALSE),VLOOKUP($F$21,$I$1:$J$4,2,FALSE)))</f>
        <v>#N/A</v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">
      <c r="A3" s="92"/>
      <c r="B3" s="531" t="str">
        <f>'Cover - Location Info'!J8</f>
        <v>101505</v>
      </c>
      <c r="C3" s="28"/>
      <c r="D3" s="28"/>
      <c r="E3" s="534" t="str">
        <f>'Cover - Location Info'!J10</f>
        <v>1.0</v>
      </c>
      <c r="F3" s="535"/>
      <c r="G3" s="93"/>
      <c r="I3" s="183" t="s">
        <v>46</v>
      </c>
      <c r="J3" s="183" t="s">
        <v>57</v>
      </c>
      <c r="K3" s="183">
        <v>2</v>
      </c>
      <c r="L3" s="183">
        <f t="shared" ref="L3:L66" si="0">IF($B$13&gt;=K3,K3,"")</f>
        <v>2</v>
      </c>
      <c r="M3" s="183" t="str">
        <f t="shared" ref="M3:M66" si="1">IF(L3="","",IF(L3&lt;=$E$15,VLOOKUP($E$14,$I$1:$J$4,2,FALSE),VLOOKUP($F$14,$I$1:$J$4,2,FALSE)))</f>
        <v>AW</v>
      </c>
      <c r="N3" s="183">
        <f t="shared" ref="N3:N66" si="2">IF($B$20&gt;=K3,K3,"")</f>
        <v>2</v>
      </c>
      <c r="O3" s="183" t="e">
        <f t="shared" ref="O3:O66" si="3">IF(N3="","",IF(N3&lt;=$E$22,VLOOKUP($E$21,$I$1:$J$4,2,FALSE),VLOOKUP($F$21,$I$1:$J$4,2,FALSE)))</f>
        <v>#N/A</v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2"/>
      <c r="B4" s="532"/>
      <c r="C4" s="28"/>
      <c r="D4" s="28"/>
      <c r="E4" s="536"/>
      <c r="F4" s="537"/>
      <c r="G4" s="93"/>
      <c r="I4" s="183" t="s">
        <v>47</v>
      </c>
      <c r="J4" s="183" t="s">
        <v>58</v>
      </c>
      <c r="K4" s="183">
        <v>3</v>
      </c>
      <c r="L4" s="183">
        <f t="shared" si="0"/>
        <v>3</v>
      </c>
      <c r="M4" s="183" t="str">
        <f t="shared" si="1"/>
        <v>AW</v>
      </c>
      <c r="N4" s="183">
        <f t="shared" si="2"/>
        <v>3</v>
      </c>
      <c r="O4" s="183" t="e">
        <f t="shared" si="3"/>
        <v>#N/A</v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">
      <c r="A5" s="92"/>
      <c r="B5" s="28"/>
      <c r="C5" s="28"/>
      <c r="D5" s="28"/>
      <c r="E5" s="28"/>
      <c r="F5" s="28"/>
      <c r="G5" s="93"/>
      <c r="I5" s="183" t="s">
        <v>49</v>
      </c>
      <c r="K5" s="183">
        <v>4</v>
      </c>
      <c r="L5" s="183">
        <f t="shared" si="0"/>
        <v>4</v>
      </c>
      <c r="M5" s="183" t="str">
        <f t="shared" si="1"/>
        <v>AW</v>
      </c>
      <c r="N5" s="183">
        <f t="shared" si="2"/>
        <v>4</v>
      </c>
      <c r="O5" s="183" t="e">
        <f t="shared" si="3"/>
        <v>#N/A</v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6.25" x14ac:dyDescent="0.4">
      <c r="A6" s="92"/>
      <c r="B6" s="533" t="s">
        <v>2</v>
      </c>
      <c r="C6" s="533"/>
      <c r="D6" s="533"/>
      <c r="E6" s="533"/>
      <c r="F6" s="533"/>
      <c r="G6" s="93"/>
      <c r="K6" s="183">
        <v>5</v>
      </c>
      <c r="L6" s="183">
        <f t="shared" si="0"/>
        <v>5</v>
      </c>
      <c r="M6" s="183" t="str">
        <f t="shared" si="1"/>
        <v>AW</v>
      </c>
      <c r="N6" s="183">
        <f t="shared" si="2"/>
        <v>5</v>
      </c>
      <c r="O6" s="183" t="e">
        <f t="shared" si="3"/>
        <v>#N/A</v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">
      <c r="A7" s="92"/>
      <c r="B7" s="28"/>
      <c r="C7" s="28"/>
      <c r="D7" s="28"/>
      <c r="E7" s="28"/>
      <c r="F7" s="28"/>
      <c r="G7" s="93"/>
      <c r="I7" s="183" t="s">
        <v>61</v>
      </c>
      <c r="K7" s="183">
        <v>6</v>
      </c>
      <c r="L7" s="183">
        <f t="shared" si="0"/>
        <v>6</v>
      </c>
      <c r="M7" s="183" t="str">
        <f t="shared" si="1"/>
        <v>AW</v>
      </c>
      <c r="N7" s="183">
        <f t="shared" si="2"/>
        <v>6</v>
      </c>
      <c r="O7" s="183" t="e">
        <f t="shared" si="3"/>
        <v>#N/A</v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">
      <c r="A8" s="92"/>
      <c r="B8" s="28"/>
      <c r="C8" s="28"/>
      <c r="D8" s="28"/>
      <c r="E8" s="28"/>
      <c r="F8" s="28"/>
      <c r="G8" s="93"/>
      <c r="I8" s="183" t="s">
        <v>62</v>
      </c>
      <c r="K8" s="183">
        <v>7</v>
      </c>
      <c r="L8" s="183">
        <f t="shared" si="0"/>
        <v>7</v>
      </c>
      <c r="M8" s="183" t="str">
        <f t="shared" si="1"/>
        <v>AW</v>
      </c>
      <c r="N8" s="183">
        <f t="shared" si="2"/>
        <v>7</v>
      </c>
      <c r="O8" s="183" t="e">
        <f t="shared" si="3"/>
        <v>#N/A</v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25">
      <c r="A9" s="92"/>
      <c r="B9" s="94"/>
      <c r="C9" s="94"/>
      <c r="D9" s="28"/>
      <c r="E9" s="94"/>
      <c r="F9" s="94"/>
      <c r="G9" s="93"/>
      <c r="I9" s="183" t="s">
        <v>63</v>
      </c>
      <c r="K9" s="183">
        <v>8</v>
      </c>
      <c r="L9" s="183">
        <f t="shared" si="0"/>
        <v>8</v>
      </c>
      <c r="M9" s="183" t="str">
        <f t="shared" si="1"/>
        <v>AW</v>
      </c>
      <c r="N9" s="183">
        <f t="shared" si="2"/>
        <v>8</v>
      </c>
      <c r="O9" s="183" t="e">
        <f t="shared" si="3"/>
        <v>#N/A</v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25">
      <c r="A10" s="92"/>
      <c r="B10" s="95" t="s">
        <v>35</v>
      </c>
      <c r="C10" s="96" t="s">
        <v>33</v>
      </c>
      <c r="D10" s="521" t="s">
        <v>34</v>
      </c>
      <c r="E10" s="522"/>
      <c r="F10" s="523"/>
      <c r="G10" s="93"/>
      <c r="K10" s="183">
        <v>9</v>
      </c>
      <c r="L10" s="183">
        <f t="shared" si="0"/>
        <v>9</v>
      </c>
      <c r="M10" s="183" t="str">
        <f t="shared" si="1"/>
        <v>AW</v>
      </c>
      <c r="N10" s="183">
        <f t="shared" si="2"/>
        <v>9</v>
      </c>
      <c r="O10" s="183" t="e">
        <f t="shared" si="3"/>
        <v>#N/A</v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25">
      <c r="A11" s="92"/>
      <c r="B11" s="3" t="s">
        <v>13</v>
      </c>
      <c r="C11" s="4" t="s">
        <v>168</v>
      </c>
      <c r="D11" s="524" t="s">
        <v>160</v>
      </c>
      <c r="E11" s="525"/>
      <c r="F11" s="526"/>
      <c r="G11" s="93"/>
      <c r="K11" s="183">
        <v>10</v>
      </c>
      <c r="L11" s="183">
        <f t="shared" si="0"/>
        <v>10</v>
      </c>
      <c r="M11" s="183" t="str">
        <f t="shared" si="1"/>
        <v>AW</v>
      </c>
      <c r="N11" s="183">
        <f t="shared" si="2"/>
        <v>10</v>
      </c>
      <c r="O11" s="183" t="e">
        <f t="shared" si="3"/>
        <v>#N/A</v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5" thickBot="1" x14ac:dyDescent="0.25">
      <c r="A12" s="92"/>
      <c r="B12" s="97" t="s">
        <v>143</v>
      </c>
      <c r="C12" s="98" t="s">
        <v>36</v>
      </c>
      <c r="D12" s="99" t="s">
        <v>64</v>
      </c>
      <c r="E12" s="527" t="s">
        <v>41</v>
      </c>
      <c r="F12" s="528"/>
      <c r="G12" s="93"/>
      <c r="K12" s="183">
        <v>11</v>
      </c>
      <c r="L12" s="183">
        <f t="shared" si="0"/>
        <v>11</v>
      </c>
      <c r="M12" s="183" t="str">
        <f t="shared" si="1"/>
        <v>AW</v>
      </c>
      <c r="N12" s="183">
        <f t="shared" si="2"/>
        <v>11</v>
      </c>
      <c r="O12" s="183" t="e">
        <f t="shared" si="3"/>
        <v>#N/A</v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25">
      <c r="A13" s="92"/>
      <c r="B13" s="515">
        <v>48</v>
      </c>
      <c r="C13" s="518" t="s">
        <v>159</v>
      </c>
      <c r="D13" s="112"/>
      <c r="E13" s="100" t="s">
        <v>44</v>
      </c>
      <c r="F13" s="101" t="s">
        <v>48</v>
      </c>
      <c r="G13" s="93"/>
      <c r="K13" s="183">
        <v>12</v>
      </c>
      <c r="L13" s="183">
        <f t="shared" si="0"/>
        <v>12</v>
      </c>
      <c r="M13" s="183" t="str">
        <f t="shared" si="1"/>
        <v>AW</v>
      </c>
      <c r="N13" s="183">
        <f t="shared" si="2"/>
        <v>12</v>
      </c>
      <c r="O13" s="183" t="e">
        <f t="shared" si="3"/>
        <v>#N/A</v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25">
      <c r="A14" s="92"/>
      <c r="B14" s="516"/>
      <c r="C14" s="519"/>
      <c r="D14" s="99" t="s">
        <v>60</v>
      </c>
      <c r="E14" s="115" t="s">
        <v>54</v>
      </c>
      <c r="F14" s="116"/>
      <c r="G14" s="93"/>
      <c r="K14" s="183">
        <v>13</v>
      </c>
      <c r="L14" s="183">
        <f t="shared" si="0"/>
        <v>13</v>
      </c>
      <c r="M14" s="183" t="str">
        <f t="shared" si="1"/>
        <v>AW</v>
      </c>
      <c r="N14" s="183">
        <f t="shared" si="2"/>
        <v>13</v>
      </c>
      <c r="O14" s="183" t="e">
        <f t="shared" si="3"/>
        <v>#N/A</v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25">
      <c r="A15" s="92"/>
      <c r="B15" s="517"/>
      <c r="C15" s="520"/>
      <c r="D15" s="113" t="s">
        <v>63</v>
      </c>
      <c r="E15" s="114">
        <v>48</v>
      </c>
      <c r="F15" s="102">
        <f>IF(B13="","",IF(E15="","",IF(F14="None","",B13-E15)))</f>
        <v>0</v>
      </c>
      <c r="G15" s="93"/>
      <c r="K15" s="183">
        <v>14</v>
      </c>
      <c r="L15" s="183">
        <f t="shared" si="0"/>
        <v>14</v>
      </c>
      <c r="M15" s="183" t="str">
        <f t="shared" si="1"/>
        <v>AW</v>
      </c>
      <c r="N15" s="183">
        <f t="shared" si="2"/>
        <v>14</v>
      </c>
      <c r="O15" s="183" t="e">
        <f t="shared" si="3"/>
        <v>#N/A</v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25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str">
        <f t="shared" si="1"/>
        <v>AW</v>
      </c>
      <c r="N16" s="183">
        <f t="shared" si="2"/>
        <v>15</v>
      </c>
      <c r="O16" s="183" t="e">
        <f t="shared" si="3"/>
        <v>#N/A</v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5" thickBot="1" x14ac:dyDescent="0.25">
      <c r="A17" s="92"/>
      <c r="B17" s="95" t="s">
        <v>35</v>
      </c>
      <c r="C17" s="96" t="s">
        <v>33</v>
      </c>
      <c r="D17" s="521" t="s">
        <v>34</v>
      </c>
      <c r="E17" s="522"/>
      <c r="F17" s="523"/>
      <c r="G17" s="93"/>
      <c r="K17" s="183">
        <v>16</v>
      </c>
      <c r="L17" s="183">
        <f t="shared" si="0"/>
        <v>16</v>
      </c>
      <c r="M17" s="183" t="str">
        <f t="shared" si="1"/>
        <v>AW</v>
      </c>
      <c r="N17" s="183">
        <f t="shared" si="2"/>
        <v>16</v>
      </c>
      <c r="O17" s="183" t="e">
        <f t="shared" si="3"/>
        <v>#N/A</v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25">
      <c r="A18" s="92"/>
      <c r="B18" s="5" t="s">
        <v>14</v>
      </c>
      <c r="C18" s="4" t="s">
        <v>170</v>
      </c>
      <c r="D18" s="524" t="s">
        <v>171</v>
      </c>
      <c r="E18" s="525"/>
      <c r="F18" s="526"/>
      <c r="G18" s="93"/>
      <c r="K18" s="183">
        <v>17</v>
      </c>
      <c r="L18" s="183">
        <f t="shared" si="0"/>
        <v>17</v>
      </c>
      <c r="M18" s="183" t="str">
        <f t="shared" si="1"/>
        <v>AW</v>
      </c>
      <c r="N18" s="183">
        <f t="shared" si="2"/>
        <v>17</v>
      </c>
      <c r="O18" s="183" t="e">
        <f t="shared" si="3"/>
        <v>#N/A</v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25">
      <c r="A19" s="92"/>
      <c r="B19" s="97" t="s">
        <v>143</v>
      </c>
      <c r="C19" s="98" t="s">
        <v>36</v>
      </c>
      <c r="D19" s="99" t="s">
        <v>64</v>
      </c>
      <c r="E19" s="527" t="s">
        <v>41</v>
      </c>
      <c r="F19" s="528"/>
      <c r="G19" s="93"/>
      <c r="K19" s="183">
        <v>18</v>
      </c>
      <c r="L19" s="183">
        <f t="shared" si="0"/>
        <v>18</v>
      </c>
      <c r="M19" s="183" t="str">
        <f t="shared" si="1"/>
        <v>AW</v>
      </c>
      <c r="N19" s="183">
        <f t="shared" si="2"/>
        <v>18</v>
      </c>
      <c r="O19" s="183" t="e">
        <f t="shared" si="3"/>
        <v>#N/A</v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25">
      <c r="A20" s="92"/>
      <c r="B20" s="515">
        <v>72</v>
      </c>
      <c r="C20" s="518" t="s">
        <v>159</v>
      </c>
      <c r="D20" s="112"/>
      <c r="E20" s="100" t="s">
        <v>44</v>
      </c>
      <c r="F20" s="101" t="s">
        <v>48</v>
      </c>
      <c r="G20" s="93"/>
      <c r="K20" s="183">
        <v>19</v>
      </c>
      <c r="L20" s="183">
        <f t="shared" si="0"/>
        <v>19</v>
      </c>
      <c r="M20" s="183" t="str">
        <f t="shared" si="1"/>
        <v>AW</v>
      </c>
      <c r="N20" s="183">
        <f t="shared" si="2"/>
        <v>19</v>
      </c>
      <c r="O20" s="183" t="e">
        <f t="shared" si="3"/>
        <v>#N/A</v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25">
      <c r="A21" s="92"/>
      <c r="B21" s="516"/>
      <c r="C21" s="519"/>
      <c r="D21" s="99" t="s">
        <v>60</v>
      </c>
      <c r="E21" s="115"/>
      <c r="F21" s="116"/>
      <c r="G21" s="93"/>
      <c r="K21" s="183">
        <v>20</v>
      </c>
      <c r="L21" s="183">
        <f t="shared" si="0"/>
        <v>20</v>
      </c>
      <c r="M21" s="183" t="str">
        <f t="shared" si="1"/>
        <v>AW</v>
      </c>
      <c r="N21" s="183">
        <f t="shared" si="2"/>
        <v>20</v>
      </c>
      <c r="O21" s="183" t="e">
        <f t="shared" si="3"/>
        <v>#N/A</v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25">
      <c r="A22" s="92"/>
      <c r="B22" s="517"/>
      <c r="C22" s="520"/>
      <c r="D22" s="113"/>
      <c r="E22" s="114"/>
      <c r="F22" s="102" t="str">
        <f>IF(B20="","",IF(E22="","",IF(F21="None","",B20-E22)))</f>
        <v/>
      </c>
      <c r="G22" s="93"/>
      <c r="K22" s="183">
        <v>21</v>
      </c>
      <c r="L22" s="183">
        <f t="shared" si="0"/>
        <v>21</v>
      </c>
      <c r="M22" s="183" t="str">
        <f t="shared" si="1"/>
        <v>AW</v>
      </c>
      <c r="N22" s="183">
        <f t="shared" si="2"/>
        <v>21</v>
      </c>
      <c r="O22" s="183" t="e">
        <f t="shared" si="3"/>
        <v>#N/A</v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25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str">
        <f t="shared" si="1"/>
        <v>AW</v>
      </c>
      <c r="N23" s="183">
        <f t="shared" si="2"/>
        <v>22</v>
      </c>
      <c r="O23" s="183" t="e">
        <f t="shared" si="3"/>
        <v>#N/A</v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25">
      <c r="A24" s="92"/>
      <c r="B24" s="95" t="s">
        <v>35</v>
      </c>
      <c r="C24" s="96" t="s">
        <v>33</v>
      </c>
      <c r="D24" s="521" t="s">
        <v>34</v>
      </c>
      <c r="E24" s="522"/>
      <c r="F24" s="523"/>
      <c r="G24" s="93"/>
      <c r="K24" s="183">
        <v>23</v>
      </c>
      <c r="L24" s="183">
        <f t="shared" si="0"/>
        <v>23</v>
      </c>
      <c r="M24" s="183" t="str">
        <f t="shared" si="1"/>
        <v>AW</v>
      </c>
      <c r="N24" s="183">
        <f t="shared" si="2"/>
        <v>23</v>
      </c>
      <c r="O24" s="183" t="e">
        <f t="shared" si="3"/>
        <v>#N/A</v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25">
      <c r="A25" s="92"/>
      <c r="B25" s="5" t="s">
        <v>50</v>
      </c>
      <c r="C25" s="4"/>
      <c r="D25" s="524"/>
      <c r="E25" s="525"/>
      <c r="F25" s="526"/>
      <c r="G25" s="93"/>
      <c r="K25" s="183">
        <v>24</v>
      </c>
      <c r="L25" s="183">
        <f t="shared" si="0"/>
        <v>24</v>
      </c>
      <c r="M25" s="183" t="str">
        <f t="shared" si="1"/>
        <v>AW</v>
      </c>
      <c r="N25" s="183">
        <f t="shared" si="2"/>
        <v>24</v>
      </c>
      <c r="O25" s="183" t="e">
        <f t="shared" si="3"/>
        <v>#N/A</v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25">
      <c r="A26" s="92"/>
      <c r="B26" s="97" t="s">
        <v>143</v>
      </c>
      <c r="C26" s="98" t="s">
        <v>36</v>
      </c>
      <c r="D26" s="99" t="s">
        <v>64</v>
      </c>
      <c r="E26" s="527" t="s">
        <v>41</v>
      </c>
      <c r="F26" s="528"/>
      <c r="G26" s="93"/>
      <c r="K26" s="183">
        <v>25</v>
      </c>
      <c r="L26" s="183">
        <f t="shared" si="0"/>
        <v>25</v>
      </c>
      <c r="M26" s="183" t="str">
        <f t="shared" si="1"/>
        <v>AW</v>
      </c>
      <c r="N26" s="183">
        <f t="shared" si="2"/>
        <v>25</v>
      </c>
      <c r="O26" s="183" t="e">
        <f t="shared" si="3"/>
        <v>#N/A</v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25">
      <c r="A27" s="92"/>
      <c r="B27" s="515"/>
      <c r="C27" s="518"/>
      <c r="D27" s="112"/>
      <c r="E27" s="100" t="s">
        <v>44</v>
      </c>
      <c r="F27" s="101" t="s">
        <v>48</v>
      </c>
      <c r="G27" s="93"/>
      <c r="K27" s="183">
        <v>26</v>
      </c>
      <c r="L27" s="183">
        <f t="shared" si="0"/>
        <v>26</v>
      </c>
      <c r="M27" s="183" t="str">
        <f t="shared" si="1"/>
        <v>AW</v>
      </c>
      <c r="N27" s="183">
        <f t="shared" si="2"/>
        <v>26</v>
      </c>
      <c r="O27" s="183" t="e">
        <f t="shared" si="3"/>
        <v>#N/A</v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25">
      <c r="A28" s="92"/>
      <c r="B28" s="516"/>
      <c r="C28" s="519"/>
      <c r="D28" s="99" t="s">
        <v>60</v>
      </c>
      <c r="E28" s="115"/>
      <c r="F28" s="116"/>
      <c r="G28" s="93"/>
      <c r="K28" s="183">
        <v>27</v>
      </c>
      <c r="L28" s="183">
        <f t="shared" si="0"/>
        <v>27</v>
      </c>
      <c r="M28" s="183" t="str">
        <f t="shared" si="1"/>
        <v>AW</v>
      </c>
      <c r="N28" s="183">
        <f t="shared" si="2"/>
        <v>27</v>
      </c>
      <c r="O28" s="183" t="e">
        <f t="shared" si="3"/>
        <v>#N/A</v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25">
      <c r="A29" s="92"/>
      <c r="B29" s="517"/>
      <c r="C29" s="520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>
        <f t="shared" si="0"/>
        <v>28</v>
      </c>
      <c r="M29" s="183" t="str">
        <f t="shared" si="1"/>
        <v>AW</v>
      </c>
      <c r="N29" s="183">
        <f t="shared" si="2"/>
        <v>28</v>
      </c>
      <c r="O29" s="183" t="e">
        <f t="shared" si="3"/>
        <v>#N/A</v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25">
      <c r="A30" s="92"/>
      <c r="B30" s="105"/>
      <c r="C30" s="105"/>
      <c r="D30" s="28"/>
      <c r="E30" s="105"/>
      <c r="F30" s="105"/>
      <c r="G30" s="93"/>
      <c r="K30" s="183">
        <v>29</v>
      </c>
      <c r="L30" s="183">
        <f t="shared" si="0"/>
        <v>29</v>
      </c>
      <c r="M30" s="183" t="str">
        <f t="shared" si="1"/>
        <v>AW</v>
      </c>
      <c r="N30" s="183">
        <f t="shared" si="2"/>
        <v>29</v>
      </c>
      <c r="O30" s="183" t="e">
        <f t="shared" si="3"/>
        <v>#N/A</v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5" thickBot="1" x14ac:dyDescent="0.25">
      <c r="A31" s="92"/>
      <c r="B31" s="95" t="s">
        <v>35</v>
      </c>
      <c r="C31" s="96" t="s">
        <v>33</v>
      </c>
      <c r="D31" s="521" t="s">
        <v>34</v>
      </c>
      <c r="E31" s="522"/>
      <c r="F31" s="523"/>
      <c r="G31" s="93"/>
      <c r="K31" s="183">
        <v>30</v>
      </c>
      <c r="L31" s="183">
        <f t="shared" si="0"/>
        <v>30</v>
      </c>
      <c r="M31" s="183" t="str">
        <f t="shared" si="1"/>
        <v>AW</v>
      </c>
      <c r="N31" s="183">
        <f t="shared" si="2"/>
        <v>30</v>
      </c>
      <c r="O31" s="183" t="e">
        <f t="shared" si="3"/>
        <v>#N/A</v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25">
      <c r="A32" s="92"/>
      <c r="B32" s="5" t="s">
        <v>51</v>
      </c>
      <c r="C32" s="4"/>
      <c r="D32" s="524"/>
      <c r="E32" s="525"/>
      <c r="F32" s="526"/>
      <c r="G32" s="93"/>
      <c r="K32" s="183">
        <v>31</v>
      </c>
      <c r="L32" s="183">
        <f t="shared" si="0"/>
        <v>31</v>
      </c>
      <c r="M32" s="183" t="str">
        <f t="shared" si="1"/>
        <v>AW</v>
      </c>
      <c r="N32" s="183">
        <f t="shared" si="2"/>
        <v>31</v>
      </c>
      <c r="O32" s="183" t="e">
        <f t="shared" si="3"/>
        <v>#N/A</v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25">
      <c r="A33" s="92"/>
      <c r="B33" s="97" t="s">
        <v>143</v>
      </c>
      <c r="C33" s="98" t="s">
        <v>36</v>
      </c>
      <c r="D33" s="99" t="s">
        <v>64</v>
      </c>
      <c r="E33" s="527" t="s">
        <v>41</v>
      </c>
      <c r="F33" s="528"/>
      <c r="G33" s="93"/>
      <c r="K33" s="183">
        <v>32</v>
      </c>
      <c r="L33" s="183">
        <f t="shared" si="0"/>
        <v>32</v>
      </c>
      <c r="M33" s="183" t="str">
        <f t="shared" si="1"/>
        <v>AW</v>
      </c>
      <c r="N33" s="183">
        <f t="shared" si="2"/>
        <v>32</v>
      </c>
      <c r="O33" s="183" t="e">
        <f t="shared" si="3"/>
        <v>#N/A</v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25">
      <c r="A34" s="92"/>
      <c r="B34" s="515"/>
      <c r="C34" s="518"/>
      <c r="D34" s="112"/>
      <c r="E34" s="100" t="s">
        <v>44</v>
      </c>
      <c r="F34" s="101" t="s">
        <v>48</v>
      </c>
      <c r="G34" s="93"/>
      <c r="K34" s="183">
        <v>33</v>
      </c>
      <c r="L34" s="183">
        <f t="shared" si="0"/>
        <v>33</v>
      </c>
      <c r="M34" s="183" t="str">
        <f t="shared" si="1"/>
        <v>AW</v>
      </c>
      <c r="N34" s="183">
        <f t="shared" si="2"/>
        <v>33</v>
      </c>
      <c r="O34" s="183" t="e">
        <f t="shared" si="3"/>
        <v>#N/A</v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25">
      <c r="A35" s="92"/>
      <c r="B35" s="516"/>
      <c r="C35" s="519"/>
      <c r="D35" s="99" t="s">
        <v>60</v>
      </c>
      <c r="E35" s="115"/>
      <c r="F35" s="116"/>
      <c r="G35" s="93"/>
      <c r="K35" s="183">
        <v>34</v>
      </c>
      <c r="L35" s="183">
        <f t="shared" si="0"/>
        <v>34</v>
      </c>
      <c r="M35" s="183" t="str">
        <f t="shared" si="1"/>
        <v>AW</v>
      </c>
      <c r="N35" s="183">
        <f t="shared" si="2"/>
        <v>34</v>
      </c>
      <c r="O35" s="183" t="e">
        <f t="shared" si="3"/>
        <v>#N/A</v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25">
      <c r="A36" s="92"/>
      <c r="B36" s="517"/>
      <c r="C36" s="520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>
        <f t="shared" si="0"/>
        <v>35</v>
      </c>
      <c r="M36" s="183" t="str">
        <f t="shared" si="1"/>
        <v>AW</v>
      </c>
      <c r="N36" s="183">
        <f t="shared" si="2"/>
        <v>35</v>
      </c>
      <c r="O36" s="183" t="e">
        <f t="shared" si="3"/>
        <v>#N/A</v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25">
      <c r="A37" s="92"/>
      <c r="B37" s="105"/>
      <c r="C37" s="106"/>
      <c r="D37" s="28"/>
      <c r="E37" s="105"/>
      <c r="F37" s="106"/>
      <c r="G37" s="93"/>
      <c r="K37" s="183">
        <v>36</v>
      </c>
      <c r="L37" s="183">
        <f t="shared" si="0"/>
        <v>36</v>
      </c>
      <c r="M37" s="183" t="str">
        <f t="shared" si="1"/>
        <v>AW</v>
      </c>
      <c r="N37" s="183">
        <f t="shared" si="2"/>
        <v>36</v>
      </c>
      <c r="O37" s="183" t="e">
        <f t="shared" si="3"/>
        <v>#N/A</v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5" thickBot="1" x14ac:dyDescent="0.25">
      <c r="A38" s="92"/>
      <c r="B38" s="95" t="s">
        <v>35</v>
      </c>
      <c r="C38" s="96" t="s">
        <v>33</v>
      </c>
      <c r="D38" s="521" t="s">
        <v>34</v>
      </c>
      <c r="E38" s="522"/>
      <c r="F38" s="523"/>
      <c r="G38" s="93"/>
      <c r="K38" s="183">
        <v>37</v>
      </c>
      <c r="L38" s="183">
        <f t="shared" si="0"/>
        <v>37</v>
      </c>
      <c r="M38" s="183" t="str">
        <f t="shared" si="1"/>
        <v>AW</v>
      </c>
      <c r="N38" s="183">
        <f t="shared" si="2"/>
        <v>37</v>
      </c>
      <c r="O38" s="183" t="e">
        <f t="shared" si="3"/>
        <v>#N/A</v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25">
      <c r="A39" s="92"/>
      <c r="B39" s="5" t="s">
        <v>52</v>
      </c>
      <c r="C39" s="4"/>
      <c r="D39" s="524"/>
      <c r="E39" s="525"/>
      <c r="F39" s="526"/>
      <c r="G39" s="93"/>
      <c r="K39" s="183">
        <v>38</v>
      </c>
      <c r="L39" s="183">
        <f t="shared" si="0"/>
        <v>38</v>
      </c>
      <c r="M39" s="183" t="str">
        <f t="shared" si="1"/>
        <v>AW</v>
      </c>
      <c r="N39" s="183">
        <f t="shared" si="2"/>
        <v>38</v>
      </c>
      <c r="O39" s="183" t="e">
        <f t="shared" si="3"/>
        <v>#N/A</v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25">
      <c r="A40" s="92"/>
      <c r="B40" s="97" t="s">
        <v>143</v>
      </c>
      <c r="C40" s="98" t="s">
        <v>36</v>
      </c>
      <c r="D40" s="99" t="s">
        <v>64</v>
      </c>
      <c r="E40" s="527" t="s">
        <v>41</v>
      </c>
      <c r="F40" s="528"/>
      <c r="G40" s="93"/>
      <c r="K40" s="183">
        <v>39</v>
      </c>
      <c r="L40" s="183">
        <f t="shared" si="0"/>
        <v>39</v>
      </c>
      <c r="M40" s="183" t="str">
        <f t="shared" si="1"/>
        <v>AW</v>
      </c>
      <c r="N40" s="183">
        <f t="shared" si="2"/>
        <v>39</v>
      </c>
      <c r="O40" s="183" t="e">
        <f t="shared" si="3"/>
        <v>#N/A</v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25">
      <c r="A41" s="92"/>
      <c r="B41" s="515"/>
      <c r="C41" s="518"/>
      <c r="D41" s="112"/>
      <c r="E41" s="100" t="s">
        <v>44</v>
      </c>
      <c r="F41" s="101" t="s">
        <v>48</v>
      </c>
      <c r="G41" s="93"/>
      <c r="K41" s="183">
        <v>40</v>
      </c>
      <c r="L41" s="183">
        <f t="shared" si="0"/>
        <v>40</v>
      </c>
      <c r="M41" s="183" t="str">
        <f t="shared" si="1"/>
        <v>AW</v>
      </c>
      <c r="N41" s="183">
        <f t="shared" si="2"/>
        <v>40</v>
      </c>
      <c r="O41" s="183" t="e">
        <f t="shared" si="3"/>
        <v>#N/A</v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25">
      <c r="A42" s="92"/>
      <c r="B42" s="516"/>
      <c r="C42" s="519"/>
      <c r="D42" s="99" t="s">
        <v>60</v>
      </c>
      <c r="E42" s="115"/>
      <c r="F42" s="116"/>
      <c r="G42" s="93"/>
      <c r="K42" s="183">
        <v>41</v>
      </c>
      <c r="L42" s="183">
        <f t="shared" si="0"/>
        <v>41</v>
      </c>
      <c r="M42" s="183" t="str">
        <f t="shared" si="1"/>
        <v>AW</v>
      </c>
      <c r="N42" s="183">
        <f t="shared" si="2"/>
        <v>41</v>
      </c>
      <c r="O42" s="183" t="e">
        <f t="shared" si="3"/>
        <v>#N/A</v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25">
      <c r="A43" s="92"/>
      <c r="B43" s="517"/>
      <c r="C43" s="520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>
        <f t="shared" si="0"/>
        <v>42</v>
      </c>
      <c r="M43" s="183" t="str">
        <f t="shared" si="1"/>
        <v>AW</v>
      </c>
      <c r="N43" s="183">
        <f t="shared" si="2"/>
        <v>42</v>
      </c>
      <c r="O43" s="183" t="e">
        <f t="shared" si="3"/>
        <v>#N/A</v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25">
      <c r="A44" s="92"/>
      <c r="B44" s="105"/>
      <c r="C44" s="107"/>
      <c r="D44" s="28"/>
      <c r="E44" s="105"/>
      <c r="F44" s="107"/>
      <c r="G44" s="93"/>
      <c r="K44" s="183">
        <v>43</v>
      </c>
      <c r="L44" s="183">
        <f t="shared" si="0"/>
        <v>43</v>
      </c>
      <c r="M44" s="183" t="str">
        <f t="shared" si="1"/>
        <v>AW</v>
      </c>
      <c r="N44" s="183">
        <f t="shared" si="2"/>
        <v>43</v>
      </c>
      <c r="O44" s="183" t="e">
        <f t="shared" si="3"/>
        <v>#N/A</v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5" thickBot="1" x14ac:dyDescent="0.25">
      <c r="A45" s="92"/>
      <c r="B45" s="95" t="s">
        <v>35</v>
      </c>
      <c r="C45" s="96" t="s">
        <v>33</v>
      </c>
      <c r="D45" s="521" t="s">
        <v>34</v>
      </c>
      <c r="E45" s="522"/>
      <c r="F45" s="523"/>
      <c r="G45" s="93"/>
      <c r="K45" s="183">
        <v>44</v>
      </c>
      <c r="L45" s="183">
        <f t="shared" si="0"/>
        <v>44</v>
      </c>
      <c r="M45" s="183" t="str">
        <f t="shared" si="1"/>
        <v>AW</v>
      </c>
      <c r="N45" s="183">
        <f t="shared" si="2"/>
        <v>44</v>
      </c>
      <c r="O45" s="183" t="e">
        <f t="shared" si="3"/>
        <v>#N/A</v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25">
      <c r="A46" s="92"/>
      <c r="B46" s="5" t="s">
        <v>53</v>
      </c>
      <c r="C46" s="4"/>
      <c r="D46" s="524"/>
      <c r="E46" s="525"/>
      <c r="F46" s="526"/>
      <c r="G46" s="93"/>
      <c r="K46" s="183">
        <v>45</v>
      </c>
      <c r="L46" s="183">
        <f t="shared" si="0"/>
        <v>45</v>
      </c>
      <c r="M46" s="183" t="str">
        <f t="shared" si="1"/>
        <v>AW</v>
      </c>
      <c r="N46" s="183">
        <f t="shared" si="2"/>
        <v>45</v>
      </c>
      <c r="O46" s="183" t="e">
        <f t="shared" si="3"/>
        <v>#N/A</v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25">
      <c r="A47" s="92"/>
      <c r="B47" s="97" t="s">
        <v>143</v>
      </c>
      <c r="C47" s="98" t="s">
        <v>36</v>
      </c>
      <c r="D47" s="99" t="s">
        <v>64</v>
      </c>
      <c r="E47" s="527" t="s">
        <v>41</v>
      </c>
      <c r="F47" s="528"/>
      <c r="G47" s="93"/>
      <c r="K47" s="183">
        <v>46</v>
      </c>
      <c r="L47" s="183">
        <f t="shared" si="0"/>
        <v>46</v>
      </c>
      <c r="M47" s="183" t="str">
        <f t="shared" si="1"/>
        <v>AW</v>
      </c>
      <c r="N47" s="183">
        <f t="shared" si="2"/>
        <v>46</v>
      </c>
      <c r="O47" s="183" t="e">
        <f t="shared" si="3"/>
        <v>#N/A</v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25">
      <c r="A48" s="92"/>
      <c r="B48" s="515"/>
      <c r="C48" s="518"/>
      <c r="D48" s="112"/>
      <c r="E48" s="100" t="s">
        <v>44</v>
      </c>
      <c r="F48" s="101" t="s">
        <v>48</v>
      </c>
      <c r="G48" s="93"/>
      <c r="K48" s="183">
        <v>47</v>
      </c>
      <c r="L48" s="183">
        <f t="shared" si="0"/>
        <v>47</v>
      </c>
      <c r="M48" s="183" t="str">
        <f t="shared" si="1"/>
        <v>AW</v>
      </c>
      <c r="N48" s="183">
        <f t="shared" si="2"/>
        <v>47</v>
      </c>
      <c r="O48" s="183" t="e">
        <f t="shared" si="3"/>
        <v>#N/A</v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25">
      <c r="A49" s="92"/>
      <c r="B49" s="516"/>
      <c r="C49" s="519"/>
      <c r="D49" s="99" t="s">
        <v>60</v>
      </c>
      <c r="E49" s="115"/>
      <c r="F49" s="116"/>
      <c r="G49" s="93"/>
      <c r="K49" s="183">
        <v>48</v>
      </c>
      <c r="L49" s="183">
        <f t="shared" si="0"/>
        <v>48</v>
      </c>
      <c r="M49" s="183" t="str">
        <f t="shared" si="1"/>
        <v>AW</v>
      </c>
      <c r="N49" s="183">
        <f t="shared" si="2"/>
        <v>48</v>
      </c>
      <c r="O49" s="183" t="e">
        <f t="shared" si="3"/>
        <v>#N/A</v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25">
      <c r="A50" s="92"/>
      <c r="B50" s="517"/>
      <c r="C50" s="520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 t="str">
        <f t="shared" si="0"/>
        <v/>
      </c>
      <c r="M50" s="183" t="str">
        <f t="shared" si="1"/>
        <v/>
      </c>
      <c r="N50" s="183">
        <f t="shared" si="2"/>
        <v>49</v>
      </c>
      <c r="O50" s="183" t="e">
        <f t="shared" si="3"/>
        <v>#N/A</v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25">
      <c r="A51" s="108"/>
      <c r="B51" s="109"/>
      <c r="C51" s="109"/>
      <c r="D51" s="110"/>
      <c r="E51" s="109"/>
      <c r="F51" s="109"/>
      <c r="G51" s="111"/>
      <c r="K51" s="183">
        <v>50</v>
      </c>
      <c r="L51" s="183" t="str">
        <f t="shared" si="0"/>
        <v/>
      </c>
      <c r="M51" s="183" t="str">
        <f t="shared" si="1"/>
        <v/>
      </c>
      <c r="N51" s="183">
        <f t="shared" si="2"/>
        <v>50</v>
      </c>
      <c r="O51" s="183" t="e">
        <f t="shared" si="3"/>
        <v>#N/A</v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5" thickTop="1" x14ac:dyDescent="0.2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 t="str">
        <f t="shared" si="0"/>
        <v/>
      </c>
      <c r="M52" s="183" t="str">
        <f t="shared" si="1"/>
        <v/>
      </c>
      <c r="N52" s="183">
        <f t="shared" si="2"/>
        <v>51</v>
      </c>
      <c r="O52" s="183" t="e">
        <f t="shared" si="3"/>
        <v>#N/A</v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 t="str">
        <f t="shared" si="0"/>
        <v/>
      </c>
      <c r="M53" s="183" t="str">
        <f t="shared" si="1"/>
        <v/>
      </c>
      <c r="N53" s="183">
        <f t="shared" si="2"/>
        <v>52</v>
      </c>
      <c r="O53" s="183" t="e">
        <f t="shared" si="3"/>
        <v>#N/A</v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 t="str">
        <f t="shared" si="0"/>
        <v/>
      </c>
      <c r="M54" s="183" t="str">
        <f t="shared" si="1"/>
        <v/>
      </c>
      <c r="N54" s="183">
        <f t="shared" si="2"/>
        <v>53</v>
      </c>
      <c r="O54" s="183" t="e">
        <f t="shared" si="3"/>
        <v>#N/A</v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 t="str">
        <f t="shared" si="0"/>
        <v/>
      </c>
      <c r="M55" s="183" t="str">
        <f t="shared" si="1"/>
        <v/>
      </c>
      <c r="N55" s="183">
        <f t="shared" si="2"/>
        <v>54</v>
      </c>
      <c r="O55" s="183" t="e">
        <f t="shared" si="3"/>
        <v>#N/A</v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 t="str">
        <f t="shared" si="0"/>
        <v/>
      </c>
      <c r="M56" s="183" t="str">
        <f t="shared" si="1"/>
        <v/>
      </c>
      <c r="N56" s="183">
        <f t="shared" si="2"/>
        <v>55</v>
      </c>
      <c r="O56" s="183" t="e">
        <f t="shared" si="3"/>
        <v>#N/A</v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 t="str">
        <f t="shared" si="0"/>
        <v/>
      </c>
      <c r="M57" s="183" t="str">
        <f t="shared" si="1"/>
        <v/>
      </c>
      <c r="N57" s="183">
        <f t="shared" si="2"/>
        <v>56</v>
      </c>
      <c r="O57" s="183" t="e">
        <f t="shared" si="3"/>
        <v>#N/A</v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 t="str">
        <f t="shared" si="0"/>
        <v/>
      </c>
      <c r="M58" s="183" t="str">
        <f t="shared" si="1"/>
        <v/>
      </c>
      <c r="N58" s="183">
        <f t="shared" si="2"/>
        <v>57</v>
      </c>
      <c r="O58" s="183" t="e">
        <f t="shared" si="3"/>
        <v>#N/A</v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 t="str">
        <f t="shared" si="0"/>
        <v/>
      </c>
      <c r="M59" s="183" t="str">
        <f t="shared" si="1"/>
        <v/>
      </c>
      <c r="N59" s="183">
        <f t="shared" si="2"/>
        <v>58</v>
      </c>
      <c r="O59" s="183" t="e">
        <f t="shared" si="3"/>
        <v>#N/A</v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">
      <c r="A60" s="182"/>
      <c r="B60" s="182"/>
      <c r="C60" s="182"/>
      <c r="D60" s="182"/>
      <c r="E60" s="182"/>
      <c r="F60" s="182"/>
      <c r="G60" s="182"/>
      <c r="K60" s="183">
        <v>59</v>
      </c>
      <c r="L60" s="183" t="str">
        <f t="shared" si="0"/>
        <v/>
      </c>
      <c r="M60" s="183" t="str">
        <f t="shared" si="1"/>
        <v/>
      </c>
      <c r="N60" s="183">
        <f t="shared" si="2"/>
        <v>59</v>
      </c>
      <c r="O60" s="183" t="e">
        <f t="shared" si="3"/>
        <v>#N/A</v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">
      <c r="A61" s="182"/>
      <c r="B61" s="182"/>
      <c r="C61" s="182"/>
      <c r="D61" s="182"/>
      <c r="E61" s="182"/>
      <c r="F61" s="182"/>
      <c r="G61" s="182"/>
      <c r="K61" s="183">
        <v>60</v>
      </c>
      <c r="L61" s="183" t="str">
        <f t="shared" si="0"/>
        <v/>
      </c>
      <c r="M61" s="183" t="str">
        <f t="shared" si="1"/>
        <v/>
      </c>
      <c r="N61" s="183">
        <f t="shared" si="2"/>
        <v>60</v>
      </c>
      <c r="O61" s="183" t="e">
        <f t="shared" si="3"/>
        <v>#N/A</v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">
      <c r="A62" s="182"/>
      <c r="B62" s="182"/>
      <c r="C62" s="182"/>
      <c r="D62" s="182"/>
      <c r="E62" s="182"/>
      <c r="F62" s="182"/>
      <c r="G62" s="182"/>
      <c r="K62" s="183">
        <v>61</v>
      </c>
      <c r="L62" s="183" t="str">
        <f t="shared" si="0"/>
        <v/>
      </c>
      <c r="M62" s="183" t="str">
        <f t="shared" si="1"/>
        <v/>
      </c>
      <c r="N62" s="183">
        <f t="shared" si="2"/>
        <v>61</v>
      </c>
      <c r="O62" s="183" t="e">
        <f t="shared" si="3"/>
        <v>#N/A</v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">
      <c r="A63" s="182"/>
      <c r="B63" s="182"/>
      <c r="C63" s="182"/>
      <c r="D63" s="182"/>
      <c r="E63" s="182"/>
      <c r="F63" s="182"/>
      <c r="G63" s="182"/>
      <c r="K63" s="183">
        <v>62</v>
      </c>
      <c r="L63" s="183" t="str">
        <f t="shared" si="0"/>
        <v/>
      </c>
      <c r="M63" s="183" t="str">
        <f t="shared" si="1"/>
        <v/>
      </c>
      <c r="N63" s="183">
        <f t="shared" si="2"/>
        <v>62</v>
      </c>
      <c r="O63" s="183" t="e">
        <f t="shared" si="3"/>
        <v>#N/A</v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">
      <c r="A64" s="182"/>
      <c r="B64" s="182"/>
      <c r="C64" s="182"/>
      <c r="D64" s="182"/>
      <c r="E64" s="182"/>
      <c r="F64" s="182"/>
      <c r="G64" s="182"/>
      <c r="K64" s="183">
        <v>63</v>
      </c>
      <c r="L64" s="183" t="str">
        <f t="shared" si="0"/>
        <v/>
      </c>
      <c r="M64" s="183" t="str">
        <f t="shared" si="1"/>
        <v/>
      </c>
      <c r="N64" s="183">
        <f t="shared" si="2"/>
        <v>63</v>
      </c>
      <c r="O64" s="183" t="e">
        <f t="shared" si="3"/>
        <v>#N/A</v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">
      <c r="A65" s="182"/>
      <c r="B65" s="182"/>
      <c r="C65" s="182"/>
      <c r="D65" s="182"/>
      <c r="E65" s="182"/>
      <c r="F65" s="182"/>
      <c r="G65" s="182"/>
      <c r="K65" s="183">
        <v>64</v>
      </c>
      <c r="L65" s="183" t="str">
        <f t="shared" si="0"/>
        <v/>
      </c>
      <c r="M65" s="183" t="str">
        <f t="shared" si="1"/>
        <v/>
      </c>
      <c r="N65" s="183">
        <f t="shared" si="2"/>
        <v>64</v>
      </c>
      <c r="O65" s="183" t="e">
        <f t="shared" si="3"/>
        <v>#N/A</v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">
      <c r="A66" s="182"/>
      <c r="B66" s="182"/>
      <c r="C66" s="182"/>
      <c r="D66" s="182"/>
      <c r="E66" s="182"/>
      <c r="F66" s="182"/>
      <c r="G66" s="182"/>
      <c r="K66" s="183">
        <v>65</v>
      </c>
      <c r="L66" s="183" t="str">
        <f t="shared" si="0"/>
        <v/>
      </c>
      <c r="M66" s="183" t="str">
        <f t="shared" si="1"/>
        <v/>
      </c>
      <c r="N66" s="183">
        <f t="shared" si="2"/>
        <v>65</v>
      </c>
      <c r="O66" s="183" t="e">
        <f t="shared" si="3"/>
        <v>#N/A</v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">
      <c r="A67" s="182"/>
      <c r="B67" s="182"/>
      <c r="C67" s="182"/>
      <c r="D67" s="182"/>
      <c r="E67" s="182"/>
      <c r="F67" s="182"/>
      <c r="G67" s="182"/>
      <c r="K67" s="183">
        <v>66</v>
      </c>
      <c r="L67" s="183" t="str">
        <f t="shared" ref="L67:L130" si="12">IF($B$13&gt;=K67,K67,"")</f>
        <v/>
      </c>
      <c r="M67" s="183" t="str">
        <f t="shared" ref="M67:M130" si="13">IF(L67="","",IF(L67&lt;=$E$15,VLOOKUP($E$14,$I$1:$J$4,2,FALSE),VLOOKUP($F$14,$I$1:$J$4,2,FALSE)))</f>
        <v/>
      </c>
      <c r="N67" s="183">
        <f t="shared" ref="N67:N130" si="14">IF($B$20&gt;=K67,K67,"")</f>
        <v>66</v>
      </c>
      <c r="O67" s="183" t="e">
        <f t="shared" ref="O67:O130" si="15">IF(N67="","",IF(N67&lt;=$E$22,VLOOKUP($E$21,$I$1:$J$4,2,FALSE),VLOOKUP($F$21,$I$1:$J$4,2,FALSE)))</f>
        <v>#N/A</v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">
      <c r="A68" s="182"/>
      <c r="B68" s="182"/>
      <c r="C68" s="182"/>
      <c r="D68" s="182"/>
      <c r="E68" s="182"/>
      <c r="F68" s="182"/>
      <c r="G68" s="182"/>
      <c r="K68" s="183">
        <v>67</v>
      </c>
      <c r="L68" s="183" t="str">
        <f t="shared" si="12"/>
        <v/>
      </c>
      <c r="M68" s="183" t="str">
        <f t="shared" si="13"/>
        <v/>
      </c>
      <c r="N68" s="183">
        <f t="shared" si="14"/>
        <v>67</v>
      </c>
      <c r="O68" s="183" t="e">
        <f t="shared" si="15"/>
        <v>#N/A</v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">
      <c r="A69" s="182"/>
      <c r="B69" s="182"/>
      <c r="C69" s="182"/>
      <c r="D69" s="182"/>
      <c r="E69" s="182"/>
      <c r="F69" s="182"/>
      <c r="G69" s="182"/>
      <c r="K69" s="183">
        <v>68</v>
      </c>
      <c r="L69" s="183" t="str">
        <f t="shared" si="12"/>
        <v/>
      </c>
      <c r="M69" s="183" t="str">
        <f t="shared" si="13"/>
        <v/>
      </c>
      <c r="N69" s="183">
        <f t="shared" si="14"/>
        <v>68</v>
      </c>
      <c r="O69" s="183" t="e">
        <f t="shared" si="15"/>
        <v>#N/A</v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">
      <c r="A70" s="182"/>
      <c r="B70" s="182"/>
      <c r="C70" s="182"/>
      <c r="D70" s="182"/>
      <c r="E70" s="182"/>
      <c r="F70" s="182"/>
      <c r="G70" s="182"/>
      <c r="K70" s="183">
        <v>69</v>
      </c>
      <c r="L70" s="183" t="str">
        <f t="shared" si="12"/>
        <v/>
      </c>
      <c r="M70" s="183" t="str">
        <f t="shared" si="13"/>
        <v/>
      </c>
      <c r="N70" s="183">
        <f t="shared" si="14"/>
        <v>69</v>
      </c>
      <c r="O70" s="183" t="e">
        <f t="shared" si="15"/>
        <v>#N/A</v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">
      <c r="A71" s="182"/>
      <c r="B71" s="182"/>
      <c r="C71" s="182"/>
      <c r="D71" s="182"/>
      <c r="E71" s="182"/>
      <c r="F71" s="182"/>
      <c r="G71" s="182"/>
      <c r="K71" s="183">
        <v>70</v>
      </c>
      <c r="L71" s="183" t="str">
        <f t="shared" si="12"/>
        <v/>
      </c>
      <c r="M71" s="183" t="str">
        <f t="shared" si="13"/>
        <v/>
      </c>
      <c r="N71" s="183">
        <f t="shared" si="14"/>
        <v>70</v>
      </c>
      <c r="O71" s="183" t="e">
        <f t="shared" si="15"/>
        <v>#N/A</v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">
      <c r="A72" s="182"/>
      <c r="B72" s="182"/>
      <c r="C72" s="182"/>
      <c r="D72" s="182"/>
      <c r="E72" s="182"/>
      <c r="F72" s="182"/>
      <c r="G72" s="182"/>
      <c r="K72" s="183">
        <v>71</v>
      </c>
      <c r="L72" s="183" t="str">
        <f t="shared" si="12"/>
        <v/>
      </c>
      <c r="M72" s="183" t="str">
        <f t="shared" si="13"/>
        <v/>
      </c>
      <c r="N72" s="183">
        <f t="shared" si="14"/>
        <v>71</v>
      </c>
      <c r="O72" s="183" t="e">
        <f t="shared" si="15"/>
        <v>#N/A</v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">
      <c r="A73" s="182"/>
      <c r="B73" s="182"/>
      <c r="C73" s="182"/>
      <c r="D73" s="182"/>
      <c r="E73" s="182"/>
      <c r="F73" s="182"/>
      <c r="G73" s="182"/>
      <c r="K73" s="183">
        <v>72</v>
      </c>
      <c r="L73" s="183" t="str">
        <f t="shared" si="12"/>
        <v/>
      </c>
      <c r="M73" s="183" t="str">
        <f t="shared" si="13"/>
        <v/>
      </c>
      <c r="N73" s="183">
        <f t="shared" si="14"/>
        <v>72</v>
      </c>
      <c r="O73" s="183" t="e">
        <f t="shared" si="15"/>
        <v>#N/A</v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">
      <c r="A74" s="182"/>
      <c r="B74" s="182"/>
      <c r="C74" s="182"/>
      <c r="D74" s="182"/>
      <c r="E74" s="182"/>
      <c r="F74" s="182"/>
      <c r="G74" s="182"/>
      <c r="K74" s="183">
        <v>73</v>
      </c>
      <c r="L74" s="183" t="str">
        <f t="shared" si="12"/>
        <v/>
      </c>
      <c r="M74" s="183" t="str">
        <f t="shared" si="13"/>
        <v/>
      </c>
      <c r="N74" s="183" t="str">
        <f t="shared" si="14"/>
        <v/>
      </c>
      <c r="O74" s="183" t="str">
        <f t="shared" si="15"/>
        <v/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">
      <c r="A75" s="182"/>
      <c r="B75" s="182"/>
      <c r="C75" s="182"/>
      <c r="D75" s="182"/>
      <c r="E75" s="182"/>
      <c r="F75" s="182"/>
      <c r="G75" s="182"/>
      <c r="K75" s="183">
        <v>74</v>
      </c>
      <c r="L75" s="183" t="str">
        <f t="shared" si="12"/>
        <v/>
      </c>
      <c r="M75" s="183" t="str">
        <f t="shared" si="13"/>
        <v/>
      </c>
      <c r="N75" s="183" t="str">
        <f t="shared" si="14"/>
        <v/>
      </c>
      <c r="O75" s="183" t="str">
        <f t="shared" si="15"/>
        <v/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">
      <c r="A76" s="182"/>
      <c r="B76" s="182"/>
      <c r="C76" s="182"/>
      <c r="D76" s="182"/>
      <c r="E76" s="182"/>
      <c r="F76" s="182"/>
      <c r="G76" s="182"/>
      <c r="K76" s="183">
        <v>75</v>
      </c>
      <c r="L76" s="183" t="str">
        <f t="shared" si="12"/>
        <v/>
      </c>
      <c r="M76" s="183" t="str">
        <f t="shared" si="13"/>
        <v/>
      </c>
      <c r="N76" s="183" t="str">
        <f t="shared" si="14"/>
        <v/>
      </c>
      <c r="O76" s="183" t="str">
        <f t="shared" si="15"/>
        <v/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">
      <c r="A77" s="182"/>
      <c r="B77" s="182"/>
      <c r="C77" s="182"/>
      <c r="D77" s="182"/>
      <c r="E77" s="182"/>
      <c r="F77" s="182"/>
      <c r="G77" s="182"/>
      <c r="K77" s="183">
        <v>76</v>
      </c>
      <c r="L77" s="183" t="str">
        <f t="shared" si="12"/>
        <v/>
      </c>
      <c r="M77" s="183" t="str">
        <f t="shared" si="13"/>
        <v/>
      </c>
      <c r="N77" s="183" t="str">
        <f t="shared" si="14"/>
        <v/>
      </c>
      <c r="O77" s="183" t="str">
        <f t="shared" si="15"/>
        <v/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">
      <c r="A78" s="182"/>
      <c r="B78" s="182"/>
      <c r="C78" s="182"/>
      <c r="D78" s="182"/>
      <c r="E78" s="182"/>
      <c r="F78" s="182"/>
      <c r="G78" s="182"/>
      <c r="K78" s="183">
        <v>77</v>
      </c>
      <c r="L78" s="183" t="str">
        <f t="shared" si="12"/>
        <v/>
      </c>
      <c r="M78" s="183" t="str">
        <f t="shared" si="13"/>
        <v/>
      </c>
      <c r="N78" s="183" t="str">
        <f t="shared" si="14"/>
        <v/>
      </c>
      <c r="O78" s="183" t="str">
        <f t="shared" si="15"/>
        <v/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">
      <c r="A79" s="182"/>
      <c r="B79" s="182"/>
      <c r="C79" s="182"/>
      <c r="D79" s="182"/>
      <c r="E79" s="182"/>
      <c r="F79" s="182"/>
      <c r="G79" s="182"/>
      <c r="K79" s="183">
        <v>78</v>
      </c>
      <c r="L79" s="183" t="str">
        <f t="shared" si="12"/>
        <v/>
      </c>
      <c r="M79" s="183" t="str">
        <f t="shared" si="13"/>
        <v/>
      </c>
      <c r="N79" s="183" t="str">
        <f t="shared" si="14"/>
        <v/>
      </c>
      <c r="O79" s="183" t="str">
        <f t="shared" si="15"/>
        <v/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">
      <c r="A80" s="182"/>
      <c r="B80" s="182"/>
      <c r="C80" s="182"/>
      <c r="D80" s="182"/>
      <c r="E80" s="182"/>
      <c r="F80" s="182"/>
      <c r="G80" s="182"/>
      <c r="K80" s="183">
        <v>79</v>
      </c>
      <c r="L80" s="183" t="str">
        <f t="shared" si="12"/>
        <v/>
      </c>
      <c r="M80" s="183" t="str">
        <f t="shared" si="13"/>
        <v/>
      </c>
      <c r="N80" s="183" t="str">
        <f t="shared" si="14"/>
        <v/>
      </c>
      <c r="O80" s="183" t="str">
        <f t="shared" si="15"/>
        <v/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">
      <c r="A81" s="182"/>
      <c r="B81" s="182"/>
      <c r="C81" s="182"/>
      <c r="D81" s="182"/>
      <c r="E81" s="182"/>
      <c r="F81" s="182"/>
      <c r="G81" s="182"/>
      <c r="K81" s="183">
        <v>80</v>
      </c>
      <c r="L81" s="183" t="str">
        <f t="shared" si="12"/>
        <v/>
      </c>
      <c r="M81" s="183" t="str">
        <f t="shared" si="13"/>
        <v/>
      </c>
      <c r="N81" s="183" t="str">
        <f t="shared" si="14"/>
        <v/>
      </c>
      <c r="O81" s="183" t="str">
        <f t="shared" si="15"/>
        <v/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">
      <c r="A82" s="182"/>
      <c r="B82" s="182"/>
      <c r="C82" s="182"/>
      <c r="D82" s="182"/>
      <c r="E82" s="182"/>
      <c r="F82" s="182"/>
      <c r="G82" s="182"/>
      <c r="K82" s="183">
        <v>81</v>
      </c>
      <c r="L82" s="183" t="str">
        <f t="shared" si="12"/>
        <v/>
      </c>
      <c r="M82" s="183" t="str">
        <f t="shared" si="13"/>
        <v/>
      </c>
      <c r="N82" s="183" t="str">
        <f t="shared" si="14"/>
        <v/>
      </c>
      <c r="O82" s="183" t="str">
        <f t="shared" si="15"/>
        <v/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">
      <c r="A83" s="182"/>
      <c r="B83" s="182"/>
      <c r="C83" s="182"/>
      <c r="D83" s="182"/>
      <c r="E83" s="182"/>
      <c r="F83" s="182"/>
      <c r="G83" s="182"/>
      <c r="K83" s="183">
        <v>82</v>
      </c>
      <c r="L83" s="183" t="str">
        <f t="shared" si="12"/>
        <v/>
      </c>
      <c r="M83" s="183" t="str">
        <f t="shared" si="13"/>
        <v/>
      </c>
      <c r="N83" s="183" t="str">
        <f t="shared" si="14"/>
        <v/>
      </c>
      <c r="O83" s="183" t="str">
        <f t="shared" si="15"/>
        <v/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">
      <c r="A84" s="182"/>
      <c r="B84" s="182"/>
      <c r="C84" s="182"/>
      <c r="D84" s="182"/>
      <c r="E84" s="182"/>
      <c r="F84" s="182"/>
      <c r="G84" s="182"/>
      <c r="K84" s="183">
        <v>83</v>
      </c>
      <c r="L84" s="183" t="str">
        <f t="shared" si="12"/>
        <v/>
      </c>
      <c r="M84" s="183" t="str">
        <f t="shared" si="13"/>
        <v/>
      </c>
      <c r="N84" s="183" t="str">
        <f t="shared" si="14"/>
        <v/>
      </c>
      <c r="O84" s="183" t="str">
        <f t="shared" si="15"/>
        <v/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">
      <c r="A85" s="182"/>
      <c r="B85" s="182"/>
      <c r="C85" s="182"/>
      <c r="D85" s="182"/>
      <c r="E85" s="182"/>
      <c r="F85" s="182"/>
      <c r="G85" s="182"/>
      <c r="K85" s="183">
        <v>84</v>
      </c>
      <c r="L85" s="183" t="str">
        <f t="shared" si="12"/>
        <v/>
      </c>
      <c r="M85" s="183" t="str">
        <f t="shared" si="13"/>
        <v/>
      </c>
      <c r="N85" s="183" t="str">
        <f t="shared" si="14"/>
        <v/>
      </c>
      <c r="O85" s="183" t="str">
        <f t="shared" si="15"/>
        <v/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">
      <c r="A86" s="182"/>
      <c r="B86" s="182"/>
      <c r="C86" s="182"/>
      <c r="D86" s="182"/>
      <c r="E86" s="182"/>
      <c r="F86" s="182"/>
      <c r="G86" s="182"/>
      <c r="K86" s="183">
        <v>85</v>
      </c>
      <c r="L86" s="183" t="str">
        <f t="shared" si="12"/>
        <v/>
      </c>
      <c r="M86" s="183" t="str">
        <f t="shared" si="13"/>
        <v/>
      </c>
      <c r="N86" s="183" t="str">
        <f t="shared" si="14"/>
        <v/>
      </c>
      <c r="O86" s="183" t="str">
        <f t="shared" si="15"/>
        <v/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">
      <c r="A87" s="182"/>
      <c r="B87" s="182"/>
      <c r="C87" s="182"/>
      <c r="D87" s="182"/>
      <c r="E87" s="182"/>
      <c r="F87" s="182"/>
      <c r="G87" s="182"/>
      <c r="K87" s="183">
        <v>86</v>
      </c>
      <c r="L87" s="183" t="str">
        <f t="shared" si="12"/>
        <v/>
      </c>
      <c r="M87" s="183" t="str">
        <f t="shared" si="13"/>
        <v/>
      </c>
      <c r="N87" s="183" t="str">
        <f t="shared" si="14"/>
        <v/>
      </c>
      <c r="O87" s="183" t="str">
        <f t="shared" si="15"/>
        <v/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">
      <c r="A88" s="182"/>
      <c r="B88" s="182"/>
      <c r="C88" s="182"/>
      <c r="D88" s="182"/>
      <c r="E88" s="182"/>
      <c r="F88" s="182"/>
      <c r="G88" s="182"/>
      <c r="K88" s="183">
        <v>87</v>
      </c>
      <c r="L88" s="183" t="str">
        <f t="shared" si="12"/>
        <v/>
      </c>
      <c r="M88" s="183" t="str">
        <f t="shared" si="13"/>
        <v/>
      </c>
      <c r="N88" s="183" t="str">
        <f t="shared" si="14"/>
        <v/>
      </c>
      <c r="O88" s="183" t="str">
        <f t="shared" si="15"/>
        <v/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">
      <c r="A89" s="182"/>
      <c r="B89" s="182"/>
      <c r="C89" s="182"/>
      <c r="D89" s="182"/>
      <c r="E89" s="182"/>
      <c r="F89" s="182"/>
      <c r="G89" s="182"/>
      <c r="K89" s="183">
        <v>88</v>
      </c>
      <c r="L89" s="183" t="str">
        <f t="shared" si="12"/>
        <v/>
      </c>
      <c r="M89" s="183" t="str">
        <f t="shared" si="13"/>
        <v/>
      </c>
      <c r="N89" s="183" t="str">
        <f t="shared" si="14"/>
        <v/>
      </c>
      <c r="O89" s="183" t="str">
        <f t="shared" si="15"/>
        <v/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">
      <c r="A90" s="182"/>
      <c r="B90" s="182"/>
      <c r="C90" s="182"/>
      <c r="D90" s="182"/>
      <c r="E90" s="182"/>
      <c r="F90" s="182"/>
      <c r="G90" s="182"/>
      <c r="K90" s="183">
        <v>89</v>
      </c>
      <c r="L90" s="183" t="str">
        <f t="shared" si="12"/>
        <v/>
      </c>
      <c r="M90" s="183" t="str">
        <f t="shared" si="13"/>
        <v/>
      </c>
      <c r="N90" s="183" t="str">
        <f t="shared" si="14"/>
        <v/>
      </c>
      <c r="O90" s="183" t="str">
        <f t="shared" si="15"/>
        <v/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">
      <c r="A91" s="182"/>
      <c r="B91" s="182"/>
      <c r="C91" s="182"/>
      <c r="D91" s="182"/>
      <c r="E91" s="182"/>
      <c r="F91" s="182"/>
      <c r="G91" s="182"/>
      <c r="K91" s="183">
        <v>90</v>
      </c>
      <c r="L91" s="183" t="str">
        <f t="shared" si="12"/>
        <v/>
      </c>
      <c r="M91" s="183" t="str">
        <f t="shared" si="13"/>
        <v/>
      </c>
      <c r="N91" s="183" t="str">
        <f t="shared" si="14"/>
        <v/>
      </c>
      <c r="O91" s="183" t="str">
        <f t="shared" si="15"/>
        <v/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">
      <c r="A92" s="182"/>
      <c r="B92" s="182"/>
      <c r="C92" s="182"/>
      <c r="D92" s="182"/>
      <c r="E92" s="182"/>
      <c r="F92" s="182"/>
      <c r="G92" s="182"/>
      <c r="K92" s="183">
        <v>91</v>
      </c>
      <c r="L92" s="183" t="str">
        <f t="shared" si="12"/>
        <v/>
      </c>
      <c r="M92" s="183" t="str">
        <f t="shared" si="13"/>
        <v/>
      </c>
      <c r="N92" s="183" t="str">
        <f t="shared" si="14"/>
        <v/>
      </c>
      <c r="O92" s="183" t="str">
        <f t="shared" si="15"/>
        <v/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">
      <c r="A93" s="182"/>
      <c r="B93" s="182"/>
      <c r="C93" s="182"/>
      <c r="D93" s="182"/>
      <c r="E93" s="182"/>
      <c r="F93" s="182"/>
      <c r="G93" s="182"/>
      <c r="K93" s="183">
        <v>92</v>
      </c>
      <c r="L93" s="183" t="str">
        <f t="shared" si="12"/>
        <v/>
      </c>
      <c r="M93" s="183" t="str">
        <f t="shared" si="13"/>
        <v/>
      </c>
      <c r="N93" s="183" t="str">
        <f t="shared" si="14"/>
        <v/>
      </c>
      <c r="O93" s="183" t="str">
        <f t="shared" si="15"/>
        <v/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">
      <c r="A94" s="182"/>
      <c r="B94" s="182"/>
      <c r="C94" s="182"/>
      <c r="D94" s="182"/>
      <c r="E94" s="182"/>
      <c r="F94" s="182"/>
      <c r="G94" s="182"/>
      <c r="K94" s="183">
        <v>93</v>
      </c>
      <c r="L94" s="183" t="str">
        <f t="shared" si="12"/>
        <v/>
      </c>
      <c r="M94" s="183" t="str">
        <f t="shared" si="13"/>
        <v/>
      </c>
      <c r="N94" s="183" t="str">
        <f t="shared" si="14"/>
        <v/>
      </c>
      <c r="O94" s="183" t="str">
        <f t="shared" si="15"/>
        <v/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">
      <c r="A95" s="182"/>
      <c r="B95" s="182"/>
      <c r="C95" s="182"/>
      <c r="D95" s="182"/>
      <c r="E95" s="182"/>
      <c r="F95" s="182"/>
      <c r="G95" s="182"/>
      <c r="K95" s="183">
        <v>94</v>
      </c>
      <c r="L95" s="183" t="str">
        <f t="shared" si="12"/>
        <v/>
      </c>
      <c r="M95" s="183" t="str">
        <f t="shared" si="13"/>
        <v/>
      </c>
      <c r="N95" s="183" t="str">
        <f t="shared" si="14"/>
        <v/>
      </c>
      <c r="O95" s="183" t="str">
        <f t="shared" si="15"/>
        <v/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">
      <c r="A96" s="182"/>
      <c r="B96" s="182"/>
      <c r="C96" s="182"/>
      <c r="D96" s="182"/>
      <c r="E96" s="182"/>
      <c r="F96" s="182"/>
      <c r="G96" s="182"/>
      <c r="K96" s="183">
        <v>95</v>
      </c>
      <c r="L96" s="183" t="str">
        <f t="shared" si="12"/>
        <v/>
      </c>
      <c r="M96" s="183" t="str">
        <f t="shared" si="13"/>
        <v/>
      </c>
      <c r="N96" s="183" t="str">
        <f t="shared" si="14"/>
        <v/>
      </c>
      <c r="O96" s="183" t="str">
        <f t="shared" si="15"/>
        <v/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">
      <c r="A97" s="182"/>
      <c r="B97" s="182"/>
      <c r="C97" s="182"/>
      <c r="D97" s="182"/>
      <c r="E97" s="182"/>
      <c r="F97" s="182"/>
      <c r="G97" s="182"/>
      <c r="K97" s="183">
        <v>96</v>
      </c>
      <c r="L97" s="183" t="str">
        <f t="shared" si="12"/>
        <v/>
      </c>
      <c r="M97" s="183" t="str">
        <f t="shared" si="13"/>
        <v/>
      </c>
      <c r="N97" s="183" t="str">
        <f t="shared" si="14"/>
        <v/>
      </c>
      <c r="O97" s="183" t="str">
        <f t="shared" si="15"/>
        <v/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">
      <c r="A98" s="182"/>
      <c r="B98" s="182"/>
      <c r="C98" s="182"/>
      <c r="D98" s="182"/>
      <c r="E98" s="182"/>
      <c r="F98" s="182"/>
      <c r="G98" s="182"/>
      <c r="K98" s="183">
        <v>97</v>
      </c>
      <c r="L98" s="183" t="str">
        <f t="shared" si="12"/>
        <v/>
      </c>
      <c r="M98" s="183" t="str">
        <f t="shared" si="13"/>
        <v/>
      </c>
      <c r="N98" s="183" t="str">
        <f t="shared" si="14"/>
        <v/>
      </c>
      <c r="O98" s="183" t="str">
        <f t="shared" si="15"/>
        <v/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">
      <c r="A99" s="182"/>
      <c r="B99" s="182"/>
      <c r="C99" s="182"/>
      <c r="D99" s="182"/>
      <c r="E99" s="182"/>
      <c r="F99" s="182"/>
      <c r="G99" s="182"/>
      <c r="K99" s="183">
        <v>98</v>
      </c>
      <c r="L99" s="183" t="str">
        <f t="shared" si="12"/>
        <v/>
      </c>
      <c r="M99" s="183" t="str">
        <f t="shared" si="13"/>
        <v/>
      </c>
      <c r="N99" s="183" t="str">
        <f t="shared" si="14"/>
        <v/>
      </c>
      <c r="O99" s="183" t="str">
        <f t="shared" si="15"/>
        <v/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 t="str">
        <f t="shared" si="12"/>
        <v/>
      </c>
      <c r="M100" s="183" t="str">
        <f t="shared" si="13"/>
        <v/>
      </c>
      <c r="N100" s="183" t="str">
        <f t="shared" si="14"/>
        <v/>
      </c>
      <c r="O100" s="183" t="str">
        <f t="shared" si="15"/>
        <v/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 t="str">
        <f t="shared" si="12"/>
        <v/>
      </c>
      <c r="M101" s="183" t="str">
        <f t="shared" si="13"/>
        <v/>
      </c>
      <c r="N101" s="183" t="str">
        <f t="shared" si="14"/>
        <v/>
      </c>
      <c r="O101" s="183" t="str">
        <f t="shared" si="15"/>
        <v/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 t="str">
        <f t="shared" si="12"/>
        <v/>
      </c>
      <c r="M102" s="183" t="str">
        <f t="shared" si="13"/>
        <v/>
      </c>
      <c r="N102" s="183" t="str">
        <f t="shared" si="14"/>
        <v/>
      </c>
      <c r="O102" s="183" t="str">
        <f t="shared" si="15"/>
        <v/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 t="str">
        <f t="shared" si="12"/>
        <v/>
      </c>
      <c r="M103" s="183" t="str">
        <f t="shared" si="13"/>
        <v/>
      </c>
      <c r="N103" s="183" t="str">
        <f t="shared" si="14"/>
        <v/>
      </c>
      <c r="O103" s="183" t="str">
        <f t="shared" si="15"/>
        <v/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 t="str">
        <f t="shared" si="12"/>
        <v/>
      </c>
      <c r="M104" s="183" t="str">
        <f t="shared" si="13"/>
        <v/>
      </c>
      <c r="N104" s="183" t="str">
        <f t="shared" si="14"/>
        <v/>
      </c>
      <c r="O104" s="183" t="str">
        <f t="shared" si="15"/>
        <v/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 t="str">
        <f t="shared" si="12"/>
        <v/>
      </c>
      <c r="M105" s="183" t="str">
        <f t="shared" si="13"/>
        <v/>
      </c>
      <c r="N105" s="183" t="str">
        <f t="shared" si="14"/>
        <v/>
      </c>
      <c r="O105" s="183" t="str">
        <f t="shared" si="15"/>
        <v/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 t="str">
        <f t="shared" si="12"/>
        <v/>
      </c>
      <c r="M106" s="183" t="str">
        <f t="shared" si="13"/>
        <v/>
      </c>
      <c r="N106" s="183" t="str">
        <f t="shared" si="14"/>
        <v/>
      </c>
      <c r="O106" s="183" t="str">
        <f t="shared" si="15"/>
        <v/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 t="str">
        <f t="shared" si="12"/>
        <v/>
      </c>
      <c r="M107" s="183" t="str">
        <f t="shared" si="13"/>
        <v/>
      </c>
      <c r="N107" s="183" t="str">
        <f t="shared" si="14"/>
        <v/>
      </c>
      <c r="O107" s="183" t="str">
        <f t="shared" si="15"/>
        <v/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 t="str">
        <f t="shared" si="12"/>
        <v/>
      </c>
      <c r="M108" s="183" t="str">
        <f t="shared" si="13"/>
        <v/>
      </c>
      <c r="N108" s="183" t="str">
        <f t="shared" si="14"/>
        <v/>
      </c>
      <c r="O108" s="183" t="str">
        <f t="shared" si="15"/>
        <v/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 t="str">
        <f t="shared" si="12"/>
        <v/>
      </c>
      <c r="M109" s="183" t="str">
        <f t="shared" si="13"/>
        <v/>
      </c>
      <c r="N109" s="183" t="str">
        <f t="shared" si="14"/>
        <v/>
      </c>
      <c r="O109" s="183" t="str">
        <f t="shared" si="15"/>
        <v/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 t="str">
        <f t="shared" si="12"/>
        <v/>
      </c>
      <c r="M110" s="183" t="str">
        <f t="shared" si="13"/>
        <v/>
      </c>
      <c r="N110" s="183" t="str">
        <f t="shared" si="14"/>
        <v/>
      </c>
      <c r="O110" s="183" t="str">
        <f t="shared" si="15"/>
        <v/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 t="str">
        <f t="shared" si="12"/>
        <v/>
      </c>
      <c r="M111" s="183" t="str">
        <f t="shared" si="13"/>
        <v/>
      </c>
      <c r="N111" s="183" t="str">
        <f t="shared" si="14"/>
        <v/>
      </c>
      <c r="O111" s="183" t="str">
        <f t="shared" si="15"/>
        <v/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 t="str">
        <f t="shared" si="12"/>
        <v/>
      </c>
      <c r="M112" s="183" t="str">
        <f t="shared" si="13"/>
        <v/>
      </c>
      <c r="N112" s="183" t="str">
        <f t="shared" si="14"/>
        <v/>
      </c>
      <c r="O112" s="183" t="str">
        <f t="shared" si="15"/>
        <v/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 t="str">
        <f t="shared" si="12"/>
        <v/>
      </c>
      <c r="M113" s="183" t="str">
        <f t="shared" si="13"/>
        <v/>
      </c>
      <c r="N113" s="183" t="str">
        <f t="shared" si="14"/>
        <v/>
      </c>
      <c r="O113" s="183" t="str">
        <f t="shared" si="15"/>
        <v/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 t="str">
        <f t="shared" si="12"/>
        <v/>
      </c>
      <c r="M114" s="183" t="str">
        <f t="shared" si="13"/>
        <v/>
      </c>
      <c r="N114" s="183" t="str">
        <f t="shared" si="14"/>
        <v/>
      </c>
      <c r="O114" s="183" t="str">
        <f t="shared" si="15"/>
        <v/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 t="str">
        <f t="shared" si="12"/>
        <v/>
      </c>
      <c r="M115" s="183" t="str">
        <f t="shared" si="13"/>
        <v/>
      </c>
      <c r="N115" s="183" t="str">
        <f t="shared" si="14"/>
        <v/>
      </c>
      <c r="O115" s="183" t="str">
        <f t="shared" si="15"/>
        <v/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 t="str">
        <f t="shared" si="12"/>
        <v/>
      </c>
      <c r="M116" s="183" t="str">
        <f t="shared" si="13"/>
        <v/>
      </c>
      <c r="N116" s="183" t="str">
        <f t="shared" si="14"/>
        <v/>
      </c>
      <c r="O116" s="183" t="str">
        <f t="shared" si="15"/>
        <v/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 t="str">
        <f t="shared" si="12"/>
        <v/>
      </c>
      <c r="M117" s="183" t="str">
        <f t="shared" si="13"/>
        <v/>
      </c>
      <c r="N117" s="183" t="str">
        <f t="shared" si="14"/>
        <v/>
      </c>
      <c r="O117" s="183" t="str">
        <f t="shared" si="15"/>
        <v/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 t="str">
        <f t="shared" si="12"/>
        <v/>
      </c>
      <c r="M118" s="183" t="str">
        <f t="shared" si="13"/>
        <v/>
      </c>
      <c r="N118" s="183" t="str">
        <f t="shared" si="14"/>
        <v/>
      </c>
      <c r="O118" s="183" t="str">
        <f t="shared" si="15"/>
        <v/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 t="str">
        <f t="shared" si="12"/>
        <v/>
      </c>
      <c r="M119" s="183" t="str">
        <f t="shared" si="13"/>
        <v/>
      </c>
      <c r="N119" s="183" t="str">
        <f t="shared" si="14"/>
        <v/>
      </c>
      <c r="O119" s="183" t="str">
        <f t="shared" si="15"/>
        <v/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 t="str">
        <f t="shared" si="12"/>
        <v/>
      </c>
      <c r="M120" s="183" t="str">
        <f t="shared" si="13"/>
        <v/>
      </c>
      <c r="N120" s="183" t="str">
        <f t="shared" si="14"/>
        <v/>
      </c>
      <c r="O120" s="183" t="str">
        <f t="shared" si="15"/>
        <v/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 t="str">
        <f t="shared" si="12"/>
        <v/>
      </c>
      <c r="M121" s="183" t="str">
        <f t="shared" si="13"/>
        <v/>
      </c>
      <c r="N121" s="183" t="str">
        <f t="shared" si="14"/>
        <v/>
      </c>
      <c r="O121" s="183" t="str">
        <f t="shared" si="15"/>
        <v/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 t="str">
        <f t="shared" si="12"/>
        <v/>
      </c>
      <c r="M122" s="183" t="str">
        <f t="shared" si="13"/>
        <v/>
      </c>
      <c r="N122" s="183" t="str">
        <f t="shared" si="14"/>
        <v/>
      </c>
      <c r="O122" s="183" t="str">
        <f t="shared" si="15"/>
        <v/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 t="str">
        <f t="shared" si="12"/>
        <v/>
      </c>
      <c r="M123" s="183" t="str">
        <f t="shared" si="13"/>
        <v/>
      </c>
      <c r="N123" s="183" t="str">
        <f t="shared" si="14"/>
        <v/>
      </c>
      <c r="O123" s="183" t="str">
        <f t="shared" si="15"/>
        <v/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 t="str">
        <f t="shared" si="12"/>
        <v/>
      </c>
      <c r="M124" s="183" t="str">
        <f t="shared" si="13"/>
        <v/>
      </c>
      <c r="N124" s="183" t="str">
        <f t="shared" si="14"/>
        <v/>
      </c>
      <c r="O124" s="183" t="str">
        <f t="shared" si="15"/>
        <v/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 t="str">
        <f t="shared" si="12"/>
        <v/>
      </c>
      <c r="M125" s="183" t="str">
        <f t="shared" si="13"/>
        <v/>
      </c>
      <c r="N125" s="183" t="str">
        <f t="shared" si="14"/>
        <v/>
      </c>
      <c r="O125" s="183" t="str">
        <f t="shared" si="15"/>
        <v/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 t="str">
        <f t="shared" si="12"/>
        <v/>
      </c>
      <c r="M126" s="183" t="str">
        <f t="shared" si="13"/>
        <v/>
      </c>
      <c r="N126" s="183" t="str">
        <f t="shared" si="14"/>
        <v/>
      </c>
      <c r="O126" s="183" t="str">
        <f t="shared" si="15"/>
        <v/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 t="str">
        <f t="shared" si="12"/>
        <v/>
      </c>
      <c r="M127" s="183" t="str">
        <f t="shared" si="13"/>
        <v/>
      </c>
      <c r="N127" s="183" t="str">
        <f t="shared" si="14"/>
        <v/>
      </c>
      <c r="O127" s="183" t="str">
        <f t="shared" si="15"/>
        <v/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 t="str">
        <f t="shared" si="12"/>
        <v/>
      </c>
      <c r="M128" s="183" t="str">
        <f t="shared" si="13"/>
        <v/>
      </c>
      <c r="N128" s="183" t="str">
        <f t="shared" si="14"/>
        <v/>
      </c>
      <c r="O128" s="183" t="str">
        <f t="shared" si="15"/>
        <v/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 t="str">
        <f t="shared" si="12"/>
        <v/>
      </c>
      <c r="M129" s="183" t="str">
        <f t="shared" si="13"/>
        <v/>
      </c>
      <c r="N129" s="183" t="str">
        <f t="shared" si="14"/>
        <v/>
      </c>
      <c r="O129" s="183" t="str">
        <f t="shared" si="15"/>
        <v/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 t="str">
        <f t="shared" si="12"/>
        <v/>
      </c>
      <c r="M130" s="183" t="str">
        <f t="shared" si="13"/>
        <v/>
      </c>
      <c r="N130" s="183" t="str">
        <f t="shared" si="14"/>
        <v/>
      </c>
      <c r="O130" s="183" t="str">
        <f t="shared" si="15"/>
        <v/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 t="str">
        <f t="shared" ref="L131:L194" si="24">IF($B$13&gt;=K131,K131,"")</f>
        <v/>
      </c>
      <c r="M131" s="183" t="str">
        <f t="shared" ref="M131:M194" si="25">IF(L131="","",IF(L131&lt;=$E$15,VLOOKUP($E$14,$I$1:$J$4,2,FALSE),VLOOKUP($F$14,$I$1:$J$4,2,FALSE)))</f>
        <v/>
      </c>
      <c r="N131" s="183" t="str">
        <f t="shared" ref="N131:N194" si="26">IF($B$20&gt;=K131,K131,"")</f>
        <v/>
      </c>
      <c r="O131" s="183" t="str">
        <f t="shared" ref="O131:O194" si="27">IF(N131="","",IF(N131&lt;=$E$22,VLOOKUP($E$21,$I$1:$J$4,2,FALSE),VLOOKUP($F$21,$I$1:$J$4,2,FALSE)))</f>
        <v/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 t="str">
        <f t="shared" si="24"/>
        <v/>
      </c>
      <c r="M132" s="183" t="str">
        <f t="shared" si="25"/>
        <v/>
      </c>
      <c r="N132" s="183" t="str">
        <f t="shared" si="26"/>
        <v/>
      </c>
      <c r="O132" s="183" t="str">
        <f t="shared" si="27"/>
        <v/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 t="str">
        <f t="shared" si="24"/>
        <v/>
      </c>
      <c r="M133" s="183" t="str">
        <f t="shared" si="25"/>
        <v/>
      </c>
      <c r="N133" s="183" t="str">
        <f t="shared" si="26"/>
        <v/>
      </c>
      <c r="O133" s="183" t="str">
        <f t="shared" si="27"/>
        <v/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 t="str">
        <f t="shared" si="24"/>
        <v/>
      </c>
      <c r="M134" s="183" t="str">
        <f t="shared" si="25"/>
        <v/>
      </c>
      <c r="N134" s="183" t="str">
        <f t="shared" si="26"/>
        <v/>
      </c>
      <c r="O134" s="183" t="str">
        <f t="shared" si="27"/>
        <v/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 t="str">
        <f t="shared" si="24"/>
        <v/>
      </c>
      <c r="M135" s="183" t="str">
        <f t="shared" si="25"/>
        <v/>
      </c>
      <c r="N135" s="183" t="str">
        <f t="shared" si="26"/>
        <v/>
      </c>
      <c r="O135" s="183" t="str">
        <f t="shared" si="27"/>
        <v/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 t="str">
        <f t="shared" si="24"/>
        <v/>
      </c>
      <c r="M136" s="183" t="str">
        <f t="shared" si="25"/>
        <v/>
      </c>
      <c r="N136" s="183" t="str">
        <f t="shared" si="26"/>
        <v/>
      </c>
      <c r="O136" s="183" t="str">
        <f t="shared" si="27"/>
        <v/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 t="str">
        <f t="shared" si="24"/>
        <v/>
      </c>
      <c r="M137" s="183" t="str">
        <f t="shared" si="25"/>
        <v/>
      </c>
      <c r="N137" s="183" t="str">
        <f t="shared" si="26"/>
        <v/>
      </c>
      <c r="O137" s="183" t="str">
        <f t="shared" si="27"/>
        <v/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 t="str">
        <f t="shared" si="24"/>
        <v/>
      </c>
      <c r="M138" s="183" t="str">
        <f t="shared" si="25"/>
        <v/>
      </c>
      <c r="N138" s="183" t="str">
        <f t="shared" si="26"/>
        <v/>
      </c>
      <c r="O138" s="183" t="str">
        <f t="shared" si="27"/>
        <v/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 t="str">
        <f t="shared" si="24"/>
        <v/>
      </c>
      <c r="M139" s="183" t="str">
        <f t="shared" si="25"/>
        <v/>
      </c>
      <c r="N139" s="183" t="str">
        <f t="shared" si="26"/>
        <v/>
      </c>
      <c r="O139" s="183" t="str">
        <f t="shared" si="27"/>
        <v/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 t="str">
        <f t="shared" si="24"/>
        <v/>
      </c>
      <c r="M140" s="183" t="str">
        <f t="shared" si="25"/>
        <v/>
      </c>
      <c r="N140" s="183" t="str">
        <f t="shared" si="26"/>
        <v/>
      </c>
      <c r="O140" s="183" t="str">
        <f t="shared" si="27"/>
        <v/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 t="str">
        <f t="shared" si="24"/>
        <v/>
      </c>
      <c r="M141" s="183" t="str">
        <f t="shared" si="25"/>
        <v/>
      </c>
      <c r="N141" s="183" t="str">
        <f t="shared" si="26"/>
        <v/>
      </c>
      <c r="O141" s="183" t="str">
        <f t="shared" si="27"/>
        <v/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 t="str">
        <f t="shared" si="24"/>
        <v/>
      </c>
      <c r="M142" s="183" t="str">
        <f t="shared" si="25"/>
        <v/>
      </c>
      <c r="N142" s="183" t="str">
        <f t="shared" si="26"/>
        <v/>
      </c>
      <c r="O142" s="183" t="str">
        <f t="shared" si="27"/>
        <v/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 t="str">
        <f t="shared" si="24"/>
        <v/>
      </c>
      <c r="M143" s="183" t="str">
        <f t="shared" si="25"/>
        <v/>
      </c>
      <c r="N143" s="183" t="str">
        <f t="shared" si="26"/>
        <v/>
      </c>
      <c r="O143" s="183" t="str">
        <f t="shared" si="27"/>
        <v/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 t="str">
        <f t="shared" si="24"/>
        <v/>
      </c>
      <c r="M144" s="183" t="str">
        <f t="shared" si="25"/>
        <v/>
      </c>
      <c r="N144" s="183" t="str">
        <f t="shared" si="26"/>
        <v/>
      </c>
      <c r="O144" s="183" t="str">
        <f t="shared" si="27"/>
        <v/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 t="str">
        <f t="shared" si="24"/>
        <v/>
      </c>
      <c r="M145" s="183" t="str">
        <f t="shared" si="25"/>
        <v/>
      </c>
      <c r="N145" s="183" t="str">
        <f t="shared" si="26"/>
        <v/>
      </c>
      <c r="O145" s="183" t="str">
        <f t="shared" si="27"/>
        <v/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5" customWidth="1"/>
    <col min="2" max="4" width="25" style="245" customWidth="1"/>
    <col min="5" max="6" width="13.28515625" style="245" customWidth="1"/>
    <col min="7" max="7" width="3.85546875" style="245" customWidth="1"/>
    <col min="8" max="8" width="9.140625" style="243" customWidth="1"/>
    <col min="9" max="9" width="14.85546875" style="243" hidden="1" customWidth="1"/>
    <col min="10" max="26" width="9.140625" style="243" hidden="1" customWidth="1"/>
    <col min="27" max="147" width="9.140625" style="243"/>
    <col min="148" max="16384" width="9.140625" style="245"/>
  </cols>
  <sheetData>
    <row r="1" spans="1:147" ht="14.25" thickTop="1" thickBot="1" x14ac:dyDescent="0.25">
      <c r="A1" s="240"/>
      <c r="B1" s="241"/>
      <c r="C1" s="241"/>
      <c r="D1" s="241"/>
      <c r="E1" s="241"/>
      <c r="F1" s="241"/>
      <c r="G1" s="242"/>
      <c r="I1" s="243" t="s">
        <v>54</v>
      </c>
      <c r="J1" s="243" t="s">
        <v>56</v>
      </c>
      <c r="L1" s="243" t="s">
        <v>90</v>
      </c>
      <c r="M1" s="244"/>
      <c r="N1" s="244" t="s">
        <v>91</v>
      </c>
      <c r="P1" s="243" t="s">
        <v>92</v>
      </c>
      <c r="R1" s="243" t="s">
        <v>93</v>
      </c>
      <c r="T1" s="243" t="s">
        <v>94</v>
      </c>
      <c r="V1" s="243" t="s">
        <v>95</v>
      </c>
    </row>
    <row r="2" spans="1:147" s="250" customFormat="1" ht="15" thickBot="1" x14ac:dyDescent="0.25">
      <c r="A2" s="246"/>
      <c r="B2" s="247" t="s">
        <v>8</v>
      </c>
      <c r="C2" s="248"/>
      <c r="D2" s="248"/>
      <c r="E2" s="540" t="s">
        <v>9</v>
      </c>
      <c r="F2" s="541"/>
      <c r="G2" s="249"/>
      <c r="H2" s="243"/>
      <c r="I2" s="243" t="s">
        <v>45</v>
      </c>
      <c r="J2" s="243" t="s">
        <v>55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">
      <c r="A3" s="251"/>
      <c r="B3" s="542" t="str">
        <f>'[4]Cover - Location Info'!J8</f>
        <v>00000</v>
      </c>
      <c r="C3" s="252"/>
      <c r="D3" s="252"/>
      <c r="E3" s="544" t="str">
        <f>'[4]Cover - Location Info'!J10</f>
        <v>1.0</v>
      </c>
      <c r="F3" s="545"/>
      <c r="G3" s="253"/>
      <c r="I3" s="243" t="s">
        <v>46</v>
      </c>
      <c r="J3" s="243" t="s">
        <v>57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1"/>
      <c r="B4" s="543"/>
      <c r="C4" s="252"/>
      <c r="D4" s="252"/>
      <c r="E4" s="546"/>
      <c r="F4" s="547"/>
      <c r="G4" s="253"/>
      <c r="I4" s="243" t="s">
        <v>47</v>
      </c>
      <c r="J4" s="243" t="s">
        <v>58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">
      <c r="A5" s="251"/>
      <c r="B5" s="252"/>
      <c r="C5" s="252"/>
      <c r="D5" s="252"/>
      <c r="E5" s="252"/>
      <c r="F5" s="252"/>
      <c r="G5" s="253"/>
      <c r="I5" s="243" t="s">
        <v>49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6.25" x14ac:dyDescent="0.4">
      <c r="A6" s="251"/>
      <c r="B6" s="548" t="s">
        <v>2</v>
      </c>
      <c r="C6" s="548"/>
      <c r="D6" s="548"/>
      <c r="E6" s="548"/>
      <c r="F6" s="548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">
      <c r="A7" s="251"/>
      <c r="B7" s="252"/>
      <c r="C7" s="252"/>
      <c r="D7" s="252"/>
      <c r="E7" s="252"/>
      <c r="F7" s="252"/>
      <c r="G7" s="253"/>
      <c r="I7" s="243" t="s">
        <v>61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">
      <c r="A8" s="251"/>
      <c r="B8" s="252"/>
      <c r="C8" s="252"/>
      <c r="D8" s="252"/>
      <c r="E8" s="252"/>
      <c r="F8" s="252"/>
      <c r="G8" s="253"/>
      <c r="I8" s="243" t="s">
        <v>62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25">
      <c r="A9" s="251"/>
      <c r="B9" s="254"/>
      <c r="C9" s="254"/>
      <c r="D9" s="252"/>
      <c r="E9" s="254"/>
      <c r="F9" s="254"/>
      <c r="G9" s="253"/>
      <c r="I9" s="243" t="s">
        <v>63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25">
      <c r="A10" s="251"/>
      <c r="B10" s="255" t="s">
        <v>35</v>
      </c>
      <c r="C10" s="256" t="s">
        <v>33</v>
      </c>
      <c r="D10" s="549" t="s">
        <v>34</v>
      </c>
      <c r="E10" s="550"/>
      <c r="F10" s="551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25">
      <c r="A11" s="251"/>
      <c r="B11" s="257" t="s">
        <v>90</v>
      </c>
      <c r="C11" s="258"/>
      <c r="D11" s="552"/>
      <c r="E11" s="553"/>
      <c r="F11" s="554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5" thickBot="1" x14ac:dyDescent="0.25">
      <c r="A12" s="251"/>
      <c r="B12" s="259" t="s">
        <v>143</v>
      </c>
      <c r="C12" s="260" t="s">
        <v>36</v>
      </c>
      <c r="D12" s="261" t="s">
        <v>64</v>
      </c>
      <c r="E12" s="538" t="s">
        <v>41</v>
      </c>
      <c r="F12" s="539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25">
      <c r="A13" s="251"/>
      <c r="B13" s="555"/>
      <c r="C13" s="558"/>
      <c r="D13" s="262"/>
      <c r="E13" s="263" t="s">
        <v>44</v>
      </c>
      <c r="F13" s="264" t="s">
        <v>48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25">
      <c r="A14" s="251"/>
      <c r="B14" s="556"/>
      <c r="C14" s="559"/>
      <c r="D14" s="261" t="s">
        <v>60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25">
      <c r="A15" s="251"/>
      <c r="B15" s="557"/>
      <c r="C15" s="560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25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5" thickBot="1" x14ac:dyDescent="0.25">
      <c r="A17" s="251"/>
      <c r="B17" s="255" t="s">
        <v>35</v>
      </c>
      <c r="C17" s="256" t="s">
        <v>33</v>
      </c>
      <c r="D17" s="549" t="s">
        <v>34</v>
      </c>
      <c r="E17" s="550"/>
      <c r="F17" s="551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25">
      <c r="A18" s="251"/>
      <c r="B18" s="272" t="s">
        <v>91</v>
      </c>
      <c r="C18" s="258"/>
      <c r="D18" s="552"/>
      <c r="E18" s="553"/>
      <c r="F18" s="554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25">
      <c r="A19" s="251"/>
      <c r="B19" s="259" t="s">
        <v>143</v>
      </c>
      <c r="C19" s="260" t="s">
        <v>36</v>
      </c>
      <c r="D19" s="261" t="s">
        <v>64</v>
      </c>
      <c r="E19" s="538" t="s">
        <v>41</v>
      </c>
      <c r="F19" s="539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25">
      <c r="A20" s="251"/>
      <c r="B20" s="555"/>
      <c r="C20" s="558"/>
      <c r="D20" s="262"/>
      <c r="E20" s="263" t="s">
        <v>44</v>
      </c>
      <c r="F20" s="264" t="s">
        <v>48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25">
      <c r="A21" s="251"/>
      <c r="B21" s="556"/>
      <c r="C21" s="559"/>
      <c r="D21" s="261" t="s">
        <v>60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25">
      <c r="A22" s="251"/>
      <c r="B22" s="557"/>
      <c r="C22" s="560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25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25">
      <c r="A24" s="251"/>
      <c r="B24" s="255" t="s">
        <v>35</v>
      </c>
      <c r="C24" s="256" t="s">
        <v>33</v>
      </c>
      <c r="D24" s="549" t="s">
        <v>34</v>
      </c>
      <c r="E24" s="550"/>
      <c r="F24" s="551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25">
      <c r="A25" s="251"/>
      <c r="B25" s="272" t="s">
        <v>92</v>
      </c>
      <c r="C25" s="258"/>
      <c r="D25" s="552"/>
      <c r="E25" s="553"/>
      <c r="F25" s="554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25">
      <c r="A26" s="251"/>
      <c r="B26" s="259" t="s">
        <v>143</v>
      </c>
      <c r="C26" s="260" t="s">
        <v>36</v>
      </c>
      <c r="D26" s="261" t="s">
        <v>64</v>
      </c>
      <c r="E26" s="538" t="s">
        <v>41</v>
      </c>
      <c r="F26" s="539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25">
      <c r="A27" s="251"/>
      <c r="B27" s="555"/>
      <c r="C27" s="558"/>
      <c r="D27" s="262"/>
      <c r="E27" s="263" t="s">
        <v>44</v>
      </c>
      <c r="F27" s="264" t="s">
        <v>48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25">
      <c r="A28" s="251"/>
      <c r="B28" s="556"/>
      <c r="C28" s="559"/>
      <c r="D28" s="261" t="s">
        <v>60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25">
      <c r="A29" s="251"/>
      <c r="B29" s="557"/>
      <c r="C29" s="560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25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5" thickBot="1" x14ac:dyDescent="0.25">
      <c r="A31" s="251"/>
      <c r="B31" s="255" t="s">
        <v>35</v>
      </c>
      <c r="C31" s="256" t="s">
        <v>33</v>
      </c>
      <c r="D31" s="549" t="s">
        <v>34</v>
      </c>
      <c r="E31" s="550"/>
      <c r="F31" s="551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25">
      <c r="A32" s="251"/>
      <c r="B32" s="272" t="s">
        <v>93</v>
      </c>
      <c r="C32" s="258"/>
      <c r="D32" s="552"/>
      <c r="E32" s="553"/>
      <c r="F32" s="554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25">
      <c r="A33" s="251"/>
      <c r="B33" s="259" t="s">
        <v>143</v>
      </c>
      <c r="C33" s="260" t="s">
        <v>36</v>
      </c>
      <c r="D33" s="261" t="s">
        <v>64</v>
      </c>
      <c r="E33" s="538" t="s">
        <v>41</v>
      </c>
      <c r="F33" s="539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25">
      <c r="A34" s="251"/>
      <c r="B34" s="555"/>
      <c r="C34" s="558"/>
      <c r="D34" s="262"/>
      <c r="E34" s="263" t="s">
        <v>44</v>
      </c>
      <c r="F34" s="264" t="s">
        <v>48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25">
      <c r="A35" s="251"/>
      <c r="B35" s="556"/>
      <c r="C35" s="559"/>
      <c r="D35" s="261" t="s">
        <v>60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25">
      <c r="A36" s="251"/>
      <c r="B36" s="557"/>
      <c r="C36" s="560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25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5" thickBot="1" x14ac:dyDescent="0.25">
      <c r="A38" s="251"/>
      <c r="B38" s="255" t="s">
        <v>35</v>
      </c>
      <c r="C38" s="256" t="s">
        <v>33</v>
      </c>
      <c r="D38" s="549" t="s">
        <v>34</v>
      </c>
      <c r="E38" s="550"/>
      <c r="F38" s="551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25">
      <c r="A39" s="251"/>
      <c r="B39" s="272" t="s">
        <v>94</v>
      </c>
      <c r="C39" s="258"/>
      <c r="D39" s="552"/>
      <c r="E39" s="553"/>
      <c r="F39" s="554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25">
      <c r="A40" s="251"/>
      <c r="B40" s="259" t="s">
        <v>143</v>
      </c>
      <c r="C40" s="260" t="s">
        <v>36</v>
      </c>
      <c r="D40" s="261" t="s">
        <v>64</v>
      </c>
      <c r="E40" s="538" t="s">
        <v>41</v>
      </c>
      <c r="F40" s="539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25">
      <c r="A41" s="251"/>
      <c r="B41" s="555"/>
      <c r="C41" s="558"/>
      <c r="D41" s="262"/>
      <c r="E41" s="263" t="s">
        <v>44</v>
      </c>
      <c r="F41" s="264" t="s">
        <v>48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25">
      <c r="A42" s="251"/>
      <c r="B42" s="556"/>
      <c r="C42" s="559"/>
      <c r="D42" s="261" t="s">
        <v>60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25">
      <c r="A43" s="251"/>
      <c r="B43" s="557"/>
      <c r="C43" s="560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25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5" thickBot="1" x14ac:dyDescent="0.25">
      <c r="A45" s="251"/>
      <c r="B45" s="255" t="s">
        <v>35</v>
      </c>
      <c r="C45" s="256" t="s">
        <v>33</v>
      </c>
      <c r="D45" s="549" t="s">
        <v>34</v>
      </c>
      <c r="E45" s="550"/>
      <c r="F45" s="551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25">
      <c r="A46" s="251"/>
      <c r="B46" s="272" t="s">
        <v>95</v>
      </c>
      <c r="C46" s="258"/>
      <c r="D46" s="552"/>
      <c r="E46" s="553"/>
      <c r="F46" s="554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25">
      <c r="A47" s="251"/>
      <c r="B47" s="259" t="s">
        <v>143</v>
      </c>
      <c r="C47" s="260" t="s">
        <v>36</v>
      </c>
      <c r="D47" s="261" t="s">
        <v>64</v>
      </c>
      <c r="E47" s="538" t="s">
        <v>41</v>
      </c>
      <c r="F47" s="539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25">
      <c r="A48" s="251"/>
      <c r="B48" s="555"/>
      <c r="C48" s="558"/>
      <c r="D48" s="262"/>
      <c r="E48" s="263" t="s">
        <v>44</v>
      </c>
      <c r="F48" s="264" t="s">
        <v>48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25">
      <c r="A49" s="251"/>
      <c r="B49" s="556"/>
      <c r="C49" s="559"/>
      <c r="D49" s="261" t="s">
        <v>60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25">
      <c r="A50" s="251"/>
      <c r="B50" s="557"/>
      <c r="C50" s="560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25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5" thickTop="1" x14ac:dyDescent="0.2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zoomScale="93" zoomScaleNormal="93" workbookViewId="0">
      <selection activeCell="P18" sqref="P18"/>
    </sheetView>
  </sheetViews>
  <sheetFormatPr defaultColWidth="9.140625" defaultRowHeight="12.75" x14ac:dyDescent="0.2"/>
  <cols>
    <col min="1" max="1" width="1.7109375" style="151" customWidth="1"/>
    <col min="2" max="2" width="5.28515625" style="151" customWidth="1"/>
    <col min="3" max="3" width="25.28515625" style="151" customWidth="1"/>
    <col min="4" max="4" width="8.7109375" style="151" customWidth="1"/>
    <col min="5" max="5" width="6.5703125" style="151" customWidth="1"/>
    <col min="6" max="6" width="1.85546875" style="172" customWidth="1"/>
    <col min="7" max="7" width="6.5703125" style="151" customWidth="1"/>
    <col min="8" max="8" width="10.42578125" style="151" bestFit="1" customWidth="1"/>
    <col min="9" max="9" width="6.5703125" style="151" customWidth="1"/>
    <col min="10" max="10" width="1.85546875" style="172" customWidth="1"/>
    <col min="11" max="11" width="6.5703125" style="151" customWidth="1"/>
    <col min="12" max="12" width="8.7109375" style="151" customWidth="1"/>
    <col min="13" max="13" width="24.140625" style="151" customWidth="1"/>
    <col min="14" max="14" width="15.5703125" style="151" customWidth="1"/>
    <col min="15" max="15" width="9.85546875" style="220" customWidth="1"/>
    <col min="16" max="16" width="5.28515625" style="151" customWidth="1"/>
    <col min="17" max="17" width="2.140625" style="173" customWidth="1"/>
    <col min="18" max="18" width="10.140625" style="151" customWidth="1"/>
    <col min="19" max="19" width="10.28515625" style="151" customWidth="1"/>
    <col min="20" max="21" width="10.5703125" style="151" customWidth="1"/>
    <col min="22" max="22" width="6.7109375" style="151" customWidth="1"/>
    <col min="23" max="23" width="16.42578125" style="151" customWidth="1"/>
    <col min="24" max="24" width="1.7109375" style="203" customWidth="1"/>
    <col min="25" max="25" width="7.85546875" style="150" hidden="1" customWidth="1"/>
    <col min="26" max="30" width="9.140625" style="149" hidden="1" customWidth="1"/>
    <col min="31" max="35" width="9.140625" style="148" hidden="1" customWidth="1"/>
    <col min="36" max="38" width="9.140625" style="150" hidden="1" customWidth="1"/>
    <col min="39" max="39" width="32.42578125" style="150" hidden="1" customWidth="1"/>
    <col min="40" max="40" width="11.7109375" style="150" hidden="1" customWidth="1"/>
    <col min="41" max="41" width="10.7109375" style="150" hidden="1" customWidth="1"/>
    <col min="42" max="43" width="9.140625" style="150" hidden="1" customWidth="1"/>
    <col min="44" max="44" width="27.28515625" style="150" hidden="1" customWidth="1"/>
    <col min="45" max="45" width="11.7109375" style="150" hidden="1" customWidth="1"/>
    <col min="46" max="46" width="10.7109375" style="150" hidden="1" customWidth="1"/>
    <col min="47" max="48" width="9.140625" style="150" hidden="1" customWidth="1"/>
    <col min="49" max="49" width="27.28515625" style="150" hidden="1" customWidth="1"/>
    <col min="50" max="50" width="11.7109375" style="150" hidden="1" customWidth="1"/>
    <col min="51" max="51" width="10.7109375" style="150" hidden="1" customWidth="1"/>
    <col min="52" max="53" width="9.140625" style="150" hidden="1" customWidth="1"/>
    <col min="54" max="54" width="27.28515625" style="150" hidden="1" customWidth="1"/>
    <col min="55" max="55" width="11.7109375" style="150" hidden="1" customWidth="1"/>
    <col min="56" max="56" width="10.7109375" style="150" hidden="1" customWidth="1"/>
    <col min="57" max="58" width="9.140625" style="150" hidden="1" customWidth="1"/>
    <col min="59" max="59" width="27.28515625" style="150" hidden="1" customWidth="1"/>
    <col min="60" max="60" width="11.7109375" style="150" hidden="1" customWidth="1"/>
    <col min="61" max="61" width="10.7109375" style="150" hidden="1" customWidth="1"/>
    <col min="62" max="63" width="9.140625" style="150" hidden="1" customWidth="1"/>
    <col min="64" max="64" width="27.28515625" style="150" hidden="1" customWidth="1"/>
    <col min="65" max="65" width="9.140625" style="150" hidden="1" customWidth="1"/>
    <col min="66" max="88" width="9.140625" style="151" hidden="1" customWidth="1"/>
    <col min="89" max="89" width="2.7109375" style="181" customWidth="1"/>
    <col min="90" max="90" width="112" style="181" customWidth="1"/>
    <col min="91" max="195" width="9.140625" style="181"/>
    <col min="196" max="16384" width="9.140625" style="151"/>
  </cols>
  <sheetData>
    <row r="1" spans="1:90" ht="13.5" thickBot="1" x14ac:dyDescent="0.25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77</v>
      </c>
      <c r="Z1" s="149" t="s">
        <v>79</v>
      </c>
      <c r="AE1" s="148" t="s">
        <v>13</v>
      </c>
      <c r="AF1" s="148" t="str">
        <f>IF('Cable Info'!C11="","",CONCATENATE("[",AE1,"]"," ",'Cable Info'!C11))</f>
        <v>[A] DC-1SN: CUST-RISER-1</v>
      </c>
      <c r="AI1" s="148" t="s">
        <v>21</v>
      </c>
      <c r="AJ1" s="150" t="s">
        <v>13</v>
      </c>
      <c r="AM1" s="150" t="str">
        <f>AF1</f>
        <v>[A] DC-1SN: CUST-RISER-1</v>
      </c>
      <c r="AN1" s="150" t="s">
        <v>21</v>
      </c>
      <c r="AO1" s="150" t="s">
        <v>14</v>
      </c>
      <c r="AR1" s="150" t="str">
        <f>AF2</f>
        <v>[B] DC-1SN: ZAYO-ENT-W-1</v>
      </c>
      <c r="AS1" s="150" t="s">
        <v>21</v>
      </c>
      <c r="AT1" s="150" t="s">
        <v>50</v>
      </c>
      <c r="AW1" s="150" t="str">
        <f>AF3</f>
        <v/>
      </c>
      <c r="AX1" s="150" t="s">
        <v>21</v>
      </c>
      <c r="AY1" s="150" t="s">
        <v>51</v>
      </c>
      <c r="BB1" s="150" t="str">
        <f>AF4</f>
        <v/>
      </c>
      <c r="BC1" s="150" t="s">
        <v>21</v>
      </c>
      <c r="BD1" s="150" t="s">
        <v>52</v>
      </c>
      <c r="BG1" s="150" t="str">
        <f>AF5</f>
        <v/>
      </c>
      <c r="BH1" s="150" t="s">
        <v>21</v>
      </c>
      <c r="BI1" s="150" t="s">
        <v>53</v>
      </c>
      <c r="BL1" s="150" t="str">
        <f>AF6</f>
        <v/>
      </c>
    </row>
    <row r="2" spans="1:90" ht="13.5" thickBot="1" x14ac:dyDescent="0.25">
      <c r="A2" s="152"/>
      <c r="B2" s="567" t="s">
        <v>8</v>
      </c>
      <c r="C2" s="568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7" t="s">
        <v>9</v>
      </c>
      <c r="V2" s="576"/>
      <c r="W2" s="568"/>
      <c r="X2" s="199"/>
      <c r="Y2" s="148" t="s">
        <v>78</v>
      </c>
      <c r="Z2" s="149" t="s">
        <v>71</v>
      </c>
      <c r="AE2" s="148" t="s">
        <v>14</v>
      </c>
      <c r="AF2" s="148" t="str">
        <f>IF('Cable Info'!C18="","",CONCATENATE("[",AE2,"]"," ",'Cable Info'!C18))</f>
        <v>[B] DC-1SN: ZAYO-ENT-W-1</v>
      </c>
      <c r="AJ2" s="150" t="str">
        <f>IF('Cable Info'!L2="","",CONCATENATE('Cable Info'!L2," - ",'Cable Info'!M2))</f>
        <v>1 - AW</v>
      </c>
      <c r="AM2" s="150" t="str">
        <f>IF(AK2="",AJ2,CONCATENATE(AJ2,"  &lt;=&gt; ",AK2," ",AL2))</f>
        <v>1 - AW</v>
      </c>
      <c r="AO2" s="150" t="e">
        <f>IF('Cable Info'!N2="","",CONCATENATE('Cable Info'!N2," - ",'Cable Info'!O2))</f>
        <v>#N/A</v>
      </c>
      <c r="AR2" s="150" t="e">
        <f>IF(AP2="",AO2,CONCATENATE(AO2,"  &lt;=&gt; ",AP2," ",AQ2))</f>
        <v>#N/A</v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">
      <c r="A3" s="152"/>
      <c r="B3" s="569" t="str">
        <f>'Cover - Location Info'!J8</f>
        <v>101505</v>
      </c>
      <c r="C3" s="570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7" t="str">
        <f>'Cover - Location Info'!J10</f>
        <v>1.0</v>
      </c>
      <c r="V3" s="578"/>
      <c r="W3" s="579"/>
      <c r="X3" s="199"/>
      <c r="Y3" s="148"/>
      <c r="AE3" s="148" t="s">
        <v>50</v>
      </c>
      <c r="AF3" s="148" t="str">
        <f>IF('Cable Info'!C25="","",CONCATENATE("[",AE3,"]"," ",'Cable Info'!C25))</f>
        <v/>
      </c>
      <c r="AJ3" s="150" t="str">
        <f>IF('Cable Info'!L3="","",CONCATENATE('Cable Info'!L3," - ",'Cable Info'!M3))</f>
        <v>2 - AW</v>
      </c>
      <c r="AM3" s="150" t="str">
        <f t="shared" ref="AM3:AM206" si="0">IF(AK3="",AJ3,CONCATENATE(AJ3,"  &lt;=&gt; ",AK3," ",AL3))</f>
        <v>2 - AW</v>
      </c>
      <c r="AO3" s="150" t="e">
        <f>IF('Cable Info'!N3="","",CONCATENATE('Cable Info'!N3," - ",'Cable Info'!O3))</f>
        <v>#N/A</v>
      </c>
      <c r="AR3" s="150" t="e">
        <f t="shared" ref="AR3:AR206" si="1">IF(AP3="",AO3,CONCATENATE(AO3,"  &lt;=&gt; ",AP3," ",AQ3))</f>
        <v>#N/A</v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25">
      <c r="A4" s="152"/>
      <c r="B4" s="571"/>
      <c r="C4" s="572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80"/>
      <c r="V4" s="581"/>
      <c r="W4" s="582"/>
      <c r="X4" s="199"/>
      <c r="Y4" s="148"/>
      <c r="AE4" s="149" t="s">
        <v>51</v>
      </c>
      <c r="AF4" s="148" t="str">
        <f>IF('Cable Info'!C32="","",CONCATENATE("[",AE4,"]"," ",'Cable Info'!C32))</f>
        <v/>
      </c>
      <c r="AJ4" s="150" t="str">
        <f>IF('Cable Info'!L4="","",CONCATENATE('Cable Info'!L4," - ",'Cable Info'!M4))</f>
        <v>3 - AW</v>
      </c>
      <c r="AM4" s="150" t="str">
        <f t="shared" si="0"/>
        <v>3 - AW</v>
      </c>
      <c r="AO4" s="150" t="e">
        <f>IF('Cable Info'!N4="","",CONCATENATE('Cable Info'!N4," - ",'Cable Info'!O4))</f>
        <v>#N/A</v>
      </c>
      <c r="AR4" s="150" t="e">
        <f t="shared" si="1"/>
        <v>#N/A</v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25">
      <c r="A5" s="152"/>
      <c r="B5" s="6"/>
      <c r="C5" s="6"/>
      <c r="D5" s="6"/>
      <c r="E5" s="6"/>
      <c r="F5" s="132"/>
      <c r="G5" s="583" t="str">
        <f>IF(AB9&gt;0,"COUNT MISMATCH","")</f>
        <v/>
      </c>
      <c r="H5" s="583"/>
      <c r="I5" s="583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12</v>
      </c>
      <c r="AE5" s="149" t="s">
        <v>52</v>
      </c>
      <c r="AF5" s="148" t="str">
        <f>IF('Cable Info'!C39="","",CONCATENATE("[",AE5,"]"," ",'Cable Info'!C39))</f>
        <v/>
      </c>
      <c r="AJ5" s="150" t="str">
        <f>IF('Cable Info'!L5="","",CONCATENATE('Cable Info'!L5," - ",'Cable Info'!M5))</f>
        <v>4 - AW</v>
      </c>
      <c r="AM5" s="150" t="str">
        <f t="shared" si="0"/>
        <v>4 - AW</v>
      </c>
      <c r="AO5" s="150" t="e">
        <f>IF('Cable Info'!N5="","",CONCATENATE('Cable Info'!N5," - ",'Cable Info'!O5))</f>
        <v>#N/A</v>
      </c>
      <c r="AR5" s="150" t="e">
        <f t="shared" si="1"/>
        <v>#N/A</v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35">
      <c r="A6" s="152"/>
      <c r="B6" s="6"/>
      <c r="C6" s="15"/>
      <c r="D6" s="584" t="str">
        <f>IF(Y9&gt;0,"FIBERS OUT OF SEQ.","")</f>
        <v/>
      </c>
      <c r="E6" s="584"/>
      <c r="F6" s="584"/>
      <c r="G6" s="584"/>
      <c r="H6" s="137"/>
      <c r="I6" s="585" t="str">
        <f>IF(Z9&gt;0,"FIBERS OUT OF SEQ.","")</f>
        <v/>
      </c>
      <c r="J6" s="585"/>
      <c r="K6" s="585"/>
      <c r="L6" s="585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53</v>
      </c>
      <c r="AF6" s="148" t="str">
        <f>IF('Cable Info'!C46="","",CONCATENATE("[",AE6,"]"," ",'Cable Info'!C46))</f>
        <v/>
      </c>
      <c r="AJ6" s="150" t="str">
        <f>IF('Cable Info'!L6="","",CONCATENATE('Cable Info'!L6," - ",'Cable Info'!M6))</f>
        <v>5 - AW</v>
      </c>
      <c r="AM6" s="150" t="str">
        <f t="shared" si="0"/>
        <v>5 - AW</v>
      </c>
      <c r="AO6" s="150" t="e">
        <f>IF('Cable Info'!N6="","",CONCATENATE('Cable Info'!N6," - ",'Cable Info'!O6))</f>
        <v>#N/A</v>
      </c>
      <c r="AR6" s="150" t="e">
        <f t="shared" si="1"/>
        <v>#N/A</v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25">
      <c r="A7" s="223"/>
      <c r="B7" s="563" t="s">
        <v>40</v>
      </c>
      <c r="C7" s="564"/>
      <c r="D7" s="564"/>
      <c r="E7" s="566"/>
      <c r="F7" s="566"/>
      <c r="G7" s="566"/>
      <c r="H7" s="564"/>
      <c r="I7" s="564"/>
      <c r="J7" s="564"/>
      <c r="K7" s="564"/>
      <c r="L7" s="564"/>
      <c r="M7" s="564"/>
      <c r="N7" s="564"/>
      <c r="O7" s="564"/>
      <c r="P7" s="565"/>
      <c r="Q7" s="225"/>
      <c r="R7" s="563" t="s">
        <v>39</v>
      </c>
      <c r="S7" s="564"/>
      <c r="T7" s="564"/>
      <c r="U7" s="564"/>
      <c r="V7" s="564"/>
      <c r="W7" s="565"/>
      <c r="X7" s="228"/>
      <c r="Y7" s="148"/>
      <c r="AJ7" s="150" t="str">
        <f>IF('Cable Info'!L7="","",CONCATENATE('Cable Info'!L7," - ",'Cable Info'!M7))</f>
        <v>6 - AW</v>
      </c>
      <c r="AM7" s="150" t="str">
        <f t="shared" si="0"/>
        <v>6 - AW</v>
      </c>
      <c r="AO7" s="150" t="e">
        <f>IF('Cable Info'!N7="","",CONCATENATE('Cable Info'!N7," - ",'Cable Info'!O7))</f>
        <v>#N/A</v>
      </c>
      <c r="AR7" s="150" t="e">
        <f t="shared" si="1"/>
        <v>#N/A</v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5" thickBot="1" x14ac:dyDescent="0.25">
      <c r="A8" s="224"/>
      <c r="B8" s="7"/>
      <c r="C8" s="128" t="s">
        <v>85</v>
      </c>
      <c r="D8" s="130" t="s">
        <v>37</v>
      </c>
      <c r="E8" s="221" t="s">
        <v>74</v>
      </c>
      <c r="F8" s="131"/>
      <c r="G8" s="222" t="s">
        <v>75</v>
      </c>
      <c r="H8" s="129" t="s">
        <v>76</v>
      </c>
      <c r="I8" s="221" t="s">
        <v>74</v>
      </c>
      <c r="J8" s="131"/>
      <c r="K8" s="222" t="s">
        <v>75</v>
      </c>
      <c r="L8" s="8" t="s">
        <v>37</v>
      </c>
      <c r="M8" s="128" t="s">
        <v>84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str">
        <f>IF('Cable Info'!L8="","",CONCATENATE('Cable Info'!L8," - ",'Cable Info'!M8))</f>
        <v>7 - AW</v>
      </c>
      <c r="AM8" s="150" t="str">
        <f t="shared" si="0"/>
        <v>7 - AW</v>
      </c>
      <c r="AO8" s="150" t="e">
        <f>IF('Cable Info'!N8="","",CONCATENATE('Cable Info'!N8," - ",'Cable Info'!O8))</f>
        <v>#N/A</v>
      </c>
      <c r="AR8" s="150" t="e">
        <f t="shared" si="1"/>
        <v>#N/A</v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1" t="s">
        <v>86</v>
      </c>
    </row>
    <row r="9" spans="1:90" ht="13.5" thickBot="1" x14ac:dyDescent="0.25">
      <c r="A9" s="224"/>
      <c r="B9" s="139" t="s">
        <v>35</v>
      </c>
      <c r="C9" s="140" t="s">
        <v>38</v>
      </c>
      <c r="D9" s="139" t="s">
        <v>3</v>
      </c>
      <c r="E9" s="573" t="s">
        <v>73</v>
      </c>
      <c r="F9" s="574"/>
      <c r="G9" s="575"/>
      <c r="H9" s="141" t="s">
        <v>81</v>
      </c>
      <c r="I9" s="573" t="s">
        <v>73</v>
      </c>
      <c r="J9" s="574"/>
      <c r="K9" s="575"/>
      <c r="L9" s="139" t="s">
        <v>3</v>
      </c>
      <c r="M9" s="140" t="s">
        <v>38</v>
      </c>
      <c r="N9" s="238" t="s">
        <v>88</v>
      </c>
      <c r="O9" s="239" t="s">
        <v>87</v>
      </c>
      <c r="P9" s="139" t="s">
        <v>35</v>
      </c>
      <c r="Q9" s="226"/>
      <c r="R9" s="139" t="s">
        <v>4</v>
      </c>
      <c r="S9" s="139" t="s">
        <v>42</v>
      </c>
      <c r="T9" s="139" t="s">
        <v>5</v>
      </c>
      <c r="U9" s="139" t="s">
        <v>7</v>
      </c>
      <c r="V9" s="139" t="s">
        <v>10</v>
      </c>
      <c r="W9" s="139" t="s">
        <v>43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str">
        <f>IF('Cable Info'!L9="","",CONCATENATE('Cable Info'!L9," - ",'Cable Info'!M9))</f>
        <v>8 - AW</v>
      </c>
      <c r="AM9" s="150" t="str">
        <f t="shared" si="0"/>
        <v>8 - AW</v>
      </c>
      <c r="AO9" s="150" t="e">
        <f>IF('Cable Info'!N9="","",CONCATENATE('Cable Info'!N9," - ",'Cable Info'!O9))</f>
        <v>#N/A</v>
      </c>
      <c r="AR9" s="150" t="e">
        <f t="shared" si="1"/>
        <v>#N/A</v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2"/>
    </row>
    <row r="10" spans="1:90" ht="13.5" thickTop="1" x14ac:dyDescent="0.2">
      <c r="A10" s="223"/>
      <c r="B10" s="157" t="s">
        <v>13</v>
      </c>
      <c r="C10" s="142" t="str">
        <f>IFERROR(IF(B10="","",IF((COUNTIF('Cable Info'!$B$11:$C$50,B10)=0),VLOOKUP(B10,'Cable Info (2)'!$B$11:$C$50,2,FALSE),(VLOOKUP(B10,'Cable Info'!$B$11:$C$50,2,FALSE)))),"NO SUCH EXIT")</f>
        <v>DC-1SN: CUST-RISER-1</v>
      </c>
      <c r="D10" s="285" t="s">
        <v>161</v>
      </c>
      <c r="E10" s="312">
        <v>1</v>
      </c>
      <c r="F10" s="138" t="s">
        <v>59</v>
      </c>
      <c r="G10" s="315">
        <v>6</v>
      </c>
      <c r="H10" s="142">
        <f>IF(G10="","",((E10-G10)-1)*(-1))</f>
        <v>6</v>
      </c>
      <c r="I10" s="318">
        <v>1</v>
      </c>
      <c r="J10" s="138" t="s">
        <v>59</v>
      </c>
      <c r="K10" s="321">
        <v>6</v>
      </c>
      <c r="L10" s="289" t="s">
        <v>161</v>
      </c>
      <c r="M10" s="142" t="str">
        <f>IFERROR(IF(P10="","",IF((COUNTIF('Cable Info'!$B$11:$C$50,P10)=0),VLOOKUP(P10,'Cable Info (2)'!$B$11:$C$50,2,FALSE),(VLOOKUP(P10,'Cable Info'!$B$11:$C$50,2,FALSE)))),"NO SUCH EXIT")</f>
        <v>DC-1SN: ZAYO-ENT-W-1</v>
      </c>
      <c r="N10" s="293"/>
      <c r="O10" s="234"/>
      <c r="P10" s="158" t="s">
        <v>14</v>
      </c>
      <c r="Q10" s="225"/>
      <c r="R10" s="159" t="s">
        <v>78</v>
      </c>
      <c r="S10" s="159" t="s">
        <v>71</v>
      </c>
      <c r="T10" s="160">
        <v>42786</v>
      </c>
      <c r="U10" s="160">
        <v>42788</v>
      </c>
      <c r="V10" s="161" t="s">
        <v>11</v>
      </c>
      <c r="W10" s="161" t="s">
        <v>162</v>
      </c>
      <c r="X10" s="229">
        <f>IF(V10="","",IF(R10="","",IF(S10="","",IF(R10="SPLICED",(IF(S10="SPLICE",0,9)),IF(V10=$U$3,(IF(S10="BREAK",12,11)),IF(S10="BREAK",2,1))))))</f>
        <v>0</v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>
        <f>IF(K10="","",((I10-K10)-1)*(-1))</f>
        <v>6</v>
      </c>
      <c r="AB10" s="149" t="str">
        <f>IF(E10="","",IF(G10="","",IF(I10="","",IF(K10="","",IF(AA10&lt;&gt;H10,1,"")))))</f>
        <v/>
      </c>
      <c r="AJ10" s="150" t="str">
        <f>IF('Cable Info'!L10="","",CONCATENATE('Cable Info'!L10," - ",'Cable Info'!M10))</f>
        <v>9 - AW</v>
      </c>
      <c r="AM10" s="150" t="str">
        <f t="shared" si="0"/>
        <v>9 - AW</v>
      </c>
      <c r="AO10" s="150" t="e">
        <f>IF('Cable Info'!N10="","",CONCATENATE('Cable Info'!N10," - ",'Cable Info'!O10))</f>
        <v>#N/A</v>
      </c>
      <c r="AR10" s="150" t="e">
        <f t="shared" si="1"/>
        <v>#N/A</v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51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/>
    </row>
    <row r="11" spans="1:90" x14ac:dyDescent="0.2">
      <c r="A11" s="223"/>
      <c r="B11" s="157"/>
      <c r="C11" s="143" t="str">
        <f>IFERROR(IF(B11="","",IF((COUNTIF('Cable Info'!$B$11:$C$50,B11)=0),VLOOKUP(B11,'Cable Info (2)'!$B$11:$C$50,2,FALSE),(VLOOKUP(B11,'Cable Info'!$B$11:$C$50,2,FALSE)))),"NO SUCH EXIT")</f>
        <v/>
      </c>
      <c r="D11" s="286"/>
      <c r="E11" s="313"/>
      <c r="F11" s="133" t="s">
        <v>59</v>
      </c>
      <c r="G11" s="316"/>
      <c r="H11" s="143" t="str">
        <f>IF(G11="","",((E11-G11)-1)*(-1))</f>
        <v/>
      </c>
      <c r="I11" s="318"/>
      <c r="J11" s="133" t="s">
        <v>59</v>
      </c>
      <c r="K11" s="322"/>
      <c r="L11" s="290"/>
      <c r="M11" s="143" t="str">
        <f>IFERROR(IF(P11="","",IF((COUNTIF('Cable Info'!$B$11:$C$50,P11)=0),VLOOKUP(P11,'Cable Info (2)'!$B$11:$C$50,2,FALSE),(VLOOKUP(P11,'Cable Info'!$B$11:$C$50,2,FALSE)))),"NO SUCH EXIT")</f>
        <v/>
      </c>
      <c r="N11" s="294"/>
      <c r="O11" s="235"/>
      <c r="P11" s="162"/>
      <c r="Q11" s="225"/>
      <c r="R11" s="163"/>
      <c r="S11" s="163"/>
      <c r="T11" s="164"/>
      <c r="U11" s="164"/>
      <c r="V11" s="165"/>
      <c r="W11" s="161"/>
      <c r="X11" s="230" t="str">
        <f t="shared" ref="X11:X214" si="6">IF(V11="","",IF(R11="","",IF(S11="","",IF(R11="SPLICED",(IF(S11="SPLICE",0,9)),IF(V11=$U$3,(IF(S11="BREAK",12,11)),IF(S11="BREAK",2,1))))))</f>
        <v/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 t="str">
        <f t="shared" ref="AA11:AA214" si="9">IF(K11="","",((I11-K11)-1)*(-1))</f>
        <v/>
      </c>
      <c r="AB11" s="149" t="str">
        <f t="shared" ref="AB11:AB214" si="10">IF(E11="","",IF(G11="","",IF(I11="","",IF(K11="","",IF(AA11&lt;&gt;H11,1,"")))))</f>
        <v/>
      </c>
      <c r="AJ11" s="150" t="str">
        <f>IF('Cable Info'!L11="","",CONCATENATE('Cable Info'!L11," - ",'Cable Info'!M11))</f>
        <v>10 - AW</v>
      </c>
      <c r="AM11" s="150" t="str">
        <f t="shared" si="0"/>
        <v>10 - AW</v>
      </c>
      <c r="AO11" s="150" t="e">
        <f>IF('Cable Info'!N11="","",CONCATENATE('Cable Info'!N11," - ",'Cable Info'!O11))</f>
        <v>#N/A</v>
      </c>
      <c r="AR11" s="150" t="e">
        <f t="shared" si="1"/>
        <v>#N/A</v>
      </c>
      <c r="AT11" s="150" t="str">
        <f>IF('Cable Info'!P11="","",CONCATENATE('Cable Info'!P11," - ",'Cable Info'!Q11))</f>
        <v/>
      </c>
      <c r="AU11" s="150" t="s">
        <v>68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/>
    </row>
    <row r="12" spans="1:90" x14ac:dyDescent="0.2">
      <c r="A12" s="223"/>
      <c r="B12" s="157"/>
      <c r="C12" s="143" t="str">
        <f>IFERROR(IF(B12="","",IF((COUNTIF('Cable Info'!$B$11:$C$50,B12)=0),VLOOKUP(B12,'Cable Info (2)'!$B$11:$C$50,2,FALSE),(VLOOKUP(B12,'Cable Info'!$B$11:$C$50,2,FALSE)))),"NO SUCH EXIT")</f>
        <v/>
      </c>
      <c r="D12" s="286"/>
      <c r="E12" s="312"/>
      <c r="F12" s="133" t="s">
        <v>59</v>
      </c>
      <c r="G12" s="315"/>
      <c r="H12" s="143" t="str">
        <f>IF(G12="","",((E12-G12)-1)*(-1))</f>
        <v/>
      </c>
      <c r="I12" s="319"/>
      <c r="J12" s="133" t="s">
        <v>59</v>
      </c>
      <c r="K12" s="321"/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/>
      <c r="O12" s="235"/>
      <c r="P12" s="162"/>
      <c r="Q12" s="225"/>
      <c r="R12" s="163"/>
      <c r="S12" s="163"/>
      <c r="T12" s="164"/>
      <c r="U12" s="164"/>
      <c r="V12" s="165"/>
      <c r="W12" s="165"/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 t="str">
        <f t="shared" si="9"/>
        <v/>
      </c>
      <c r="AB12" s="149" t="str">
        <f t="shared" si="10"/>
        <v/>
      </c>
      <c r="AJ12" s="150" t="str">
        <f>IF('Cable Info'!L12="","",CONCATENATE('Cable Info'!L12," - ",'Cable Info'!M12))</f>
        <v>11 - AW</v>
      </c>
      <c r="AM12" s="150" t="str">
        <f t="shared" si="0"/>
        <v>11 - AW</v>
      </c>
      <c r="AO12" s="150" t="e">
        <f>IF('Cable Info'!N12="","",CONCATENATE('Cable Info'!N12," - ",'Cable Info'!O12))</f>
        <v>#N/A</v>
      </c>
      <c r="AR12" s="150" t="e">
        <f t="shared" si="1"/>
        <v>#N/A</v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59</v>
      </c>
      <c r="G13" s="316"/>
      <c r="H13" s="143" t="str">
        <f t="shared" ref="H13:H214" si="11">IF(G13="","",((E13-G13)-1)*(-1))</f>
        <v/>
      </c>
      <c r="I13" s="318"/>
      <c r="J13" s="133" t="s">
        <v>59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str">
        <f>IF('Cable Info'!L13="","",CONCATENATE('Cable Info'!L13," - ",'Cable Info'!M13))</f>
        <v>12 - AW</v>
      </c>
      <c r="AK13" s="150" t="s">
        <v>65</v>
      </c>
      <c r="AL13" s="150" t="s">
        <v>66</v>
      </c>
      <c r="AM13" s="150" t="str">
        <f t="shared" si="0"/>
        <v>12 - AW  &lt;=&gt; [B] CDL-1 24 - AW</v>
      </c>
      <c r="AO13" s="150" t="e">
        <f>IF('Cable Info'!N13="","",CONCATENATE('Cable Info'!N13," - ",'Cable Info'!O13))</f>
        <v>#N/A</v>
      </c>
      <c r="AR13" s="150" t="e">
        <f t="shared" si="1"/>
        <v>#N/A</v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59</v>
      </c>
      <c r="G14" s="315"/>
      <c r="H14" s="143" t="str">
        <f t="shared" si="11"/>
        <v/>
      </c>
      <c r="I14" s="319"/>
      <c r="J14" s="133" t="s">
        <v>59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59</v>
      </c>
      <c r="G15" s="315"/>
      <c r="H15" s="143" t="str">
        <f t="shared" si="11"/>
        <v/>
      </c>
      <c r="I15" s="319"/>
      <c r="J15" s="133" t="s">
        <v>59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59</v>
      </c>
      <c r="G16" s="315"/>
      <c r="H16" s="143" t="str">
        <f t="shared" si="11"/>
        <v/>
      </c>
      <c r="I16" s="319"/>
      <c r="J16" s="133" t="s">
        <v>59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59</v>
      </c>
      <c r="G17" s="315"/>
      <c r="H17" s="143" t="str">
        <f t="shared" si="11"/>
        <v/>
      </c>
      <c r="I17" s="319"/>
      <c r="J17" s="133" t="s">
        <v>59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59</v>
      </c>
      <c r="G18" s="315"/>
      <c r="H18" s="143" t="str">
        <f t="shared" si="11"/>
        <v/>
      </c>
      <c r="I18" s="319"/>
      <c r="J18" s="133" t="s">
        <v>59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59</v>
      </c>
      <c r="G19" s="315"/>
      <c r="H19" s="143" t="str">
        <f t="shared" si="11"/>
        <v/>
      </c>
      <c r="I19" s="319"/>
      <c r="J19" s="133" t="s">
        <v>59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59</v>
      </c>
      <c r="G20" s="315"/>
      <c r="H20" s="143" t="str">
        <f t="shared" si="11"/>
        <v/>
      </c>
      <c r="I20" s="319"/>
      <c r="J20" s="133" t="s">
        <v>59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59</v>
      </c>
      <c r="G21" s="315"/>
      <c r="H21" s="143" t="str">
        <f t="shared" si="11"/>
        <v/>
      </c>
      <c r="I21" s="319"/>
      <c r="J21" s="133" t="s">
        <v>59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59</v>
      </c>
      <c r="G22" s="315"/>
      <c r="H22" s="143" t="str">
        <f t="shared" si="11"/>
        <v/>
      </c>
      <c r="I22" s="319"/>
      <c r="J22" s="133" t="s">
        <v>59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59</v>
      </c>
      <c r="G23" s="315"/>
      <c r="H23" s="143" t="str">
        <f t="shared" si="11"/>
        <v/>
      </c>
      <c r="I23" s="319"/>
      <c r="J23" s="133" t="s">
        <v>59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59</v>
      </c>
      <c r="G24" s="315"/>
      <c r="H24" s="143" t="str">
        <f t="shared" si="11"/>
        <v/>
      </c>
      <c r="I24" s="319"/>
      <c r="J24" s="133" t="s">
        <v>59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59</v>
      </c>
      <c r="G25" s="315"/>
      <c r="H25" s="143" t="str">
        <f t="shared" si="11"/>
        <v/>
      </c>
      <c r="I25" s="319"/>
      <c r="J25" s="133" t="s">
        <v>59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59</v>
      </c>
      <c r="G26" s="315"/>
      <c r="H26" s="143" t="str">
        <f t="shared" si="11"/>
        <v/>
      </c>
      <c r="I26" s="319"/>
      <c r="J26" s="133" t="s">
        <v>59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59</v>
      </c>
      <c r="G27" s="315"/>
      <c r="H27" s="143" t="str">
        <f t="shared" si="11"/>
        <v/>
      </c>
      <c r="I27" s="319"/>
      <c r="J27" s="133" t="s">
        <v>59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59</v>
      </c>
      <c r="G28" s="315"/>
      <c r="H28" s="143" t="str">
        <f t="shared" si="11"/>
        <v/>
      </c>
      <c r="I28" s="319"/>
      <c r="J28" s="133" t="s">
        <v>59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59</v>
      </c>
      <c r="G29" s="315"/>
      <c r="H29" s="143" t="str">
        <f t="shared" si="11"/>
        <v/>
      </c>
      <c r="I29" s="319"/>
      <c r="J29" s="133" t="s">
        <v>59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59</v>
      </c>
      <c r="G30" s="315"/>
      <c r="H30" s="143" t="str">
        <f t="shared" si="11"/>
        <v/>
      </c>
      <c r="I30" s="319"/>
      <c r="J30" s="133" t="s">
        <v>59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59</v>
      </c>
      <c r="G31" s="315"/>
      <c r="H31" s="143" t="str">
        <f t="shared" si="11"/>
        <v/>
      </c>
      <c r="I31" s="319"/>
      <c r="J31" s="133" t="s">
        <v>59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59</v>
      </c>
      <c r="G32" s="315"/>
      <c r="H32" s="143" t="str">
        <f t="shared" si="11"/>
        <v/>
      </c>
      <c r="I32" s="319"/>
      <c r="J32" s="133" t="s">
        <v>59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59</v>
      </c>
      <c r="G33" s="315"/>
      <c r="H33" s="143" t="str">
        <f t="shared" si="11"/>
        <v/>
      </c>
      <c r="I33" s="319"/>
      <c r="J33" s="133" t="s">
        <v>59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59</v>
      </c>
      <c r="G34" s="315"/>
      <c r="H34" s="143" t="str">
        <f t="shared" si="11"/>
        <v/>
      </c>
      <c r="I34" s="319"/>
      <c r="J34" s="133" t="s">
        <v>59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59</v>
      </c>
      <c r="G35" s="315"/>
      <c r="H35" s="143" t="str">
        <f t="shared" si="11"/>
        <v/>
      </c>
      <c r="I35" s="319"/>
      <c r="J35" s="133" t="s">
        <v>59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59</v>
      </c>
      <c r="G36" s="315"/>
      <c r="H36" s="143" t="str">
        <f t="shared" si="11"/>
        <v/>
      </c>
      <c r="I36" s="319"/>
      <c r="J36" s="133" t="s">
        <v>59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59</v>
      </c>
      <c r="G37" s="315"/>
      <c r="H37" s="143" t="str">
        <f t="shared" si="11"/>
        <v/>
      </c>
      <c r="I37" s="319"/>
      <c r="J37" s="133" t="s">
        <v>59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59</v>
      </c>
      <c r="G38" s="315"/>
      <c r="H38" s="143" t="str">
        <f t="shared" si="11"/>
        <v/>
      </c>
      <c r="I38" s="319"/>
      <c r="J38" s="133" t="s">
        <v>59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59</v>
      </c>
      <c r="G39" s="315"/>
      <c r="H39" s="143" t="str">
        <f t="shared" si="11"/>
        <v/>
      </c>
      <c r="I39" s="319"/>
      <c r="J39" s="133" t="s">
        <v>59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59</v>
      </c>
      <c r="G40" s="315"/>
      <c r="H40" s="143" t="str">
        <f t="shared" si="11"/>
        <v/>
      </c>
      <c r="I40" s="319"/>
      <c r="J40" s="133" t="s">
        <v>59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59</v>
      </c>
      <c r="G41" s="315"/>
      <c r="H41" s="143" t="str">
        <f t="shared" si="11"/>
        <v/>
      </c>
      <c r="I41" s="319"/>
      <c r="J41" s="133" t="s">
        <v>59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59</v>
      </c>
      <c r="G42" s="315"/>
      <c r="H42" s="143" t="str">
        <f t="shared" si="11"/>
        <v/>
      </c>
      <c r="I42" s="319"/>
      <c r="J42" s="133" t="s">
        <v>59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59</v>
      </c>
      <c r="G43" s="315"/>
      <c r="H43" s="143" t="str">
        <f t="shared" si="11"/>
        <v/>
      </c>
      <c r="I43" s="319"/>
      <c r="J43" s="133" t="s">
        <v>59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59</v>
      </c>
      <c r="G44" s="315"/>
      <c r="H44" s="143" t="str">
        <f t="shared" si="11"/>
        <v/>
      </c>
      <c r="I44" s="319"/>
      <c r="J44" s="133" t="s">
        <v>59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59</v>
      </c>
      <c r="G45" s="315"/>
      <c r="H45" s="143" t="str">
        <f t="shared" si="11"/>
        <v/>
      </c>
      <c r="I45" s="319"/>
      <c r="J45" s="133" t="s">
        <v>59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59</v>
      </c>
      <c r="G46" s="315"/>
      <c r="H46" s="143" t="str">
        <f t="shared" si="11"/>
        <v/>
      </c>
      <c r="I46" s="319"/>
      <c r="J46" s="133" t="s">
        <v>59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59</v>
      </c>
      <c r="G47" s="315"/>
      <c r="H47" s="143" t="str">
        <f t="shared" si="11"/>
        <v/>
      </c>
      <c r="I47" s="319"/>
      <c r="J47" s="133" t="s">
        <v>59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59</v>
      </c>
      <c r="G48" s="315"/>
      <c r="H48" s="143" t="str">
        <f t="shared" si="11"/>
        <v/>
      </c>
      <c r="I48" s="319"/>
      <c r="J48" s="133" t="s">
        <v>59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59</v>
      </c>
      <c r="G49" s="315"/>
      <c r="H49" s="143" t="str">
        <f t="shared" si="11"/>
        <v/>
      </c>
      <c r="I49" s="319"/>
      <c r="J49" s="133" t="s">
        <v>59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59</v>
      </c>
      <c r="G50" s="315"/>
      <c r="H50" s="143" t="str">
        <f t="shared" si="11"/>
        <v/>
      </c>
      <c r="I50" s="319"/>
      <c r="J50" s="133" t="s">
        <v>59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59</v>
      </c>
      <c r="G51" s="315"/>
      <c r="H51" s="143" t="str">
        <f t="shared" si="11"/>
        <v/>
      </c>
      <c r="I51" s="319"/>
      <c r="J51" s="133" t="s">
        <v>59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59</v>
      </c>
      <c r="G52" s="315"/>
      <c r="H52" s="143" t="str">
        <f t="shared" si="11"/>
        <v/>
      </c>
      <c r="I52" s="319"/>
      <c r="J52" s="133" t="s">
        <v>59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59</v>
      </c>
      <c r="G53" s="315"/>
      <c r="H53" s="143" t="str">
        <f t="shared" si="11"/>
        <v/>
      </c>
      <c r="I53" s="319"/>
      <c r="J53" s="133" t="s">
        <v>59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59</v>
      </c>
      <c r="G54" s="315"/>
      <c r="H54" s="143" t="str">
        <f t="shared" si="11"/>
        <v/>
      </c>
      <c r="I54" s="319"/>
      <c r="J54" s="133" t="s">
        <v>59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59</v>
      </c>
      <c r="G55" s="315"/>
      <c r="H55" s="143" t="str">
        <f t="shared" si="11"/>
        <v/>
      </c>
      <c r="I55" s="319"/>
      <c r="J55" s="133" t="s">
        <v>59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59</v>
      </c>
      <c r="G56" s="315"/>
      <c r="H56" s="143" t="str">
        <f t="shared" si="11"/>
        <v/>
      </c>
      <c r="I56" s="319"/>
      <c r="J56" s="133" t="s">
        <v>59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59</v>
      </c>
      <c r="G57" s="315"/>
      <c r="H57" s="143" t="str">
        <f t="shared" si="11"/>
        <v/>
      </c>
      <c r="I57" s="319"/>
      <c r="J57" s="133" t="s">
        <v>59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59</v>
      </c>
      <c r="G58" s="315"/>
      <c r="H58" s="143" t="str">
        <f t="shared" si="11"/>
        <v/>
      </c>
      <c r="I58" s="319"/>
      <c r="J58" s="133" t="s">
        <v>59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59</v>
      </c>
      <c r="G59" s="315"/>
      <c r="H59" s="143" t="str">
        <f t="shared" si="11"/>
        <v/>
      </c>
      <c r="I59" s="319"/>
      <c r="J59" s="133" t="s">
        <v>59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59</v>
      </c>
      <c r="G60" s="315"/>
      <c r="H60" s="143" t="str">
        <f t="shared" si="11"/>
        <v/>
      </c>
      <c r="I60" s="319"/>
      <c r="J60" s="133" t="s">
        <v>59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59</v>
      </c>
      <c r="G61" s="315"/>
      <c r="H61" s="143" t="str">
        <f t="shared" si="11"/>
        <v/>
      </c>
      <c r="I61" s="319"/>
      <c r="J61" s="133" t="s">
        <v>59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59</v>
      </c>
      <c r="G62" s="315"/>
      <c r="H62" s="143" t="str">
        <f t="shared" si="11"/>
        <v/>
      </c>
      <c r="I62" s="319"/>
      <c r="J62" s="133" t="s">
        <v>59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59</v>
      </c>
      <c r="G63" s="315"/>
      <c r="H63" s="143" t="str">
        <f t="shared" si="11"/>
        <v/>
      </c>
      <c r="I63" s="319"/>
      <c r="J63" s="133" t="s">
        <v>59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59</v>
      </c>
      <c r="G64" s="315"/>
      <c r="H64" s="143" t="str">
        <f t="shared" si="11"/>
        <v/>
      </c>
      <c r="I64" s="319"/>
      <c r="J64" s="133" t="s">
        <v>59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59</v>
      </c>
      <c r="G65" s="315"/>
      <c r="H65" s="143" t="str">
        <f t="shared" si="11"/>
        <v/>
      </c>
      <c r="I65" s="319"/>
      <c r="J65" s="133" t="s">
        <v>59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59</v>
      </c>
      <c r="G66" s="315"/>
      <c r="H66" s="143" t="str">
        <f t="shared" si="11"/>
        <v/>
      </c>
      <c r="I66" s="319"/>
      <c r="J66" s="133" t="s">
        <v>59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59</v>
      </c>
      <c r="G67" s="315"/>
      <c r="H67" s="143" t="str">
        <f t="shared" si="11"/>
        <v/>
      </c>
      <c r="I67" s="319"/>
      <c r="J67" s="133" t="s">
        <v>59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59</v>
      </c>
      <c r="G68" s="315"/>
      <c r="H68" s="143" t="str">
        <f t="shared" si="11"/>
        <v/>
      </c>
      <c r="I68" s="319"/>
      <c r="J68" s="133" t="s">
        <v>59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59</v>
      </c>
      <c r="G69" s="315"/>
      <c r="H69" s="143" t="str">
        <f t="shared" si="11"/>
        <v/>
      </c>
      <c r="I69" s="319"/>
      <c r="J69" s="133" t="s">
        <v>59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59</v>
      </c>
      <c r="G70" s="315"/>
      <c r="H70" s="143" t="str">
        <f t="shared" si="11"/>
        <v/>
      </c>
      <c r="I70" s="319"/>
      <c r="J70" s="133" t="s">
        <v>59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59</v>
      </c>
      <c r="G71" s="315"/>
      <c r="H71" s="143" t="str">
        <f t="shared" si="11"/>
        <v/>
      </c>
      <c r="I71" s="319"/>
      <c r="J71" s="133" t="s">
        <v>59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59</v>
      </c>
      <c r="G72" s="315"/>
      <c r="H72" s="143" t="str">
        <f t="shared" si="11"/>
        <v/>
      </c>
      <c r="I72" s="319"/>
      <c r="J72" s="133" t="s">
        <v>59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59</v>
      </c>
      <c r="G73" s="315"/>
      <c r="H73" s="143" t="str">
        <f t="shared" si="11"/>
        <v/>
      </c>
      <c r="I73" s="319"/>
      <c r="J73" s="133" t="s">
        <v>59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59</v>
      </c>
      <c r="G74" s="315"/>
      <c r="H74" s="143" t="str">
        <f t="shared" si="11"/>
        <v/>
      </c>
      <c r="I74" s="319"/>
      <c r="J74" s="133" t="s">
        <v>59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59</v>
      </c>
      <c r="G75" s="315"/>
      <c r="H75" s="143" t="str">
        <f t="shared" si="11"/>
        <v/>
      </c>
      <c r="I75" s="319"/>
      <c r="J75" s="133" t="s">
        <v>59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59</v>
      </c>
      <c r="G76" s="315"/>
      <c r="H76" s="143" t="str">
        <f t="shared" si="11"/>
        <v/>
      </c>
      <c r="I76" s="319"/>
      <c r="J76" s="133" t="s">
        <v>59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59</v>
      </c>
      <c r="G77" s="315"/>
      <c r="H77" s="143" t="str">
        <f t="shared" si="11"/>
        <v/>
      </c>
      <c r="I77" s="319"/>
      <c r="J77" s="133" t="s">
        <v>59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59</v>
      </c>
      <c r="G78" s="315"/>
      <c r="H78" s="143" t="str">
        <f t="shared" si="11"/>
        <v/>
      </c>
      <c r="I78" s="319"/>
      <c r="J78" s="133" t="s">
        <v>59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59</v>
      </c>
      <c r="G79" s="315"/>
      <c r="H79" s="143" t="str">
        <f t="shared" si="11"/>
        <v/>
      </c>
      <c r="I79" s="319"/>
      <c r="J79" s="133" t="s">
        <v>59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59</v>
      </c>
      <c r="G80" s="315"/>
      <c r="H80" s="143" t="str">
        <f t="shared" si="11"/>
        <v/>
      </c>
      <c r="I80" s="319"/>
      <c r="J80" s="133" t="s">
        <v>59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59</v>
      </c>
      <c r="G81" s="315"/>
      <c r="H81" s="143" t="str">
        <f t="shared" si="11"/>
        <v/>
      </c>
      <c r="I81" s="319"/>
      <c r="J81" s="133" t="s">
        <v>59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59</v>
      </c>
      <c r="G82" s="315"/>
      <c r="H82" s="143" t="str">
        <f t="shared" si="11"/>
        <v/>
      </c>
      <c r="I82" s="319"/>
      <c r="J82" s="133" t="s">
        <v>59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59</v>
      </c>
      <c r="G83" s="315"/>
      <c r="H83" s="143" t="str">
        <f t="shared" si="11"/>
        <v/>
      </c>
      <c r="I83" s="319"/>
      <c r="J83" s="133" t="s">
        <v>59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59</v>
      </c>
      <c r="G84" s="315"/>
      <c r="H84" s="143" t="str">
        <f t="shared" ref="H84:H147" si="12">IF(G84="","",((E84-G84)-1)*(-1))</f>
        <v/>
      </c>
      <c r="I84" s="319"/>
      <c r="J84" s="133" t="s">
        <v>59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59</v>
      </c>
      <c r="G85" s="315"/>
      <c r="H85" s="143" t="str">
        <f t="shared" si="12"/>
        <v/>
      </c>
      <c r="I85" s="319"/>
      <c r="J85" s="133" t="s">
        <v>59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59</v>
      </c>
      <c r="G86" s="315"/>
      <c r="H86" s="143" t="str">
        <f t="shared" si="12"/>
        <v/>
      </c>
      <c r="I86" s="319"/>
      <c r="J86" s="133" t="s">
        <v>59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59</v>
      </c>
      <c r="G87" s="315"/>
      <c r="H87" s="143" t="str">
        <f t="shared" si="12"/>
        <v/>
      </c>
      <c r="I87" s="319"/>
      <c r="J87" s="133" t="s">
        <v>59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59</v>
      </c>
      <c r="G88" s="315"/>
      <c r="H88" s="143" t="str">
        <f t="shared" si="12"/>
        <v/>
      </c>
      <c r="I88" s="319"/>
      <c r="J88" s="133" t="s">
        <v>59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59</v>
      </c>
      <c r="G89" s="315"/>
      <c r="H89" s="143" t="str">
        <f t="shared" si="12"/>
        <v/>
      </c>
      <c r="I89" s="319"/>
      <c r="J89" s="133" t="s">
        <v>59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59</v>
      </c>
      <c r="G90" s="315"/>
      <c r="H90" s="143" t="str">
        <f t="shared" si="12"/>
        <v/>
      </c>
      <c r="I90" s="319"/>
      <c r="J90" s="133" t="s">
        <v>59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59</v>
      </c>
      <c r="G91" s="315"/>
      <c r="H91" s="143" t="str">
        <f t="shared" si="12"/>
        <v/>
      </c>
      <c r="I91" s="319"/>
      <c r="J91" s="133" t="s">
        <v>59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59</v>
      </c>
      <c r="G92" s="315"/>
      <c r="H92" s="143" t="str">
        <f t="shared" si="12"/>
        <v/>
      </c>
      <c r="I92" s="319"/>
      <c r="J92" s="133" t="s">
        <v>59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59</v>
      </c>
      <c r="G93" s="315"/>
      <c r="H93" s="143" t="str">
        <f t="shared" si="12"/>
        <v/>
      </c>
      <c r="I93" s="319"/>
      <c r="J93" s="133" t="s">
        <v>59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59</v>
      </c>
      <c r="G94" s="315"/>
      <c r="H94" s="143" t="str">
        <f t="shared" si="12"/>
        <v/>
      </c>
      <c r="I94" s="319"/>
      <c r="J94" s="133" t="s">
        <v>59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59</v>
      </c>
      <c r="G95" s="315"/>
      <c r="H95" s="143" t="str">
        <f t="shared" si="12"/>
        <v/>
      </c>
      <c r="I95" s="319"/>
      <c r="J95" s="133" t="s">
        <v>59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59</v>
      </c>
      <c r="G96" s="315"/>
      <c r="H96" s="143" t="str">
        <f t="shared" si="12"/>
        <v/>
      </c>
      <c r="I96" s="319"/>
      <c r="J96" s="133" t="s">
        <v>59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59</v>
      </c>
      <c r="G97" s="315"/>
      <c r="H97" s="143" t="str">
        <f t="shared" si="12"/>
        <v/>
      </c>
      <c r="I97" s="319"/>
      <c r="J97" s="133" t="s">
        <v>59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59</v>
      </c>
      <c r="G98" s="315"/>
      <c r="H98" s="143" t="str">
        <f t="shared" si="12"/>
        <v/>
      </c>
      <c r="I98" s="319"/>
      <c r="J98" s="133" t="s">
        <v>59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59</v>
      </c>
      <c r="G99" s="315"/>
      <c r="H99" s="143" t="str">
        <f t="shared" si="12"/>
        <v/>
      </c>
      <c r="I99" s="319"/>
      <c r="J99" s="133" t="s">
        <v>59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59</v>
      </c>
      <c r="G100" s="315"/>
      <c r="H100" s="143" t="str">
        <f t="shared" si="12"/>
        <v/>
      </c>
      <c r="I100" s="319"/>
      <c r="J100" s="133" t="s">
        <v>59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59</v>
      </c>
      <c r="G101" s="315"/>
      <c r="H101" s="143" t="str">
        <f t="shared" si="12"/>
        <v/>
      </c>
      <c r="I101" s="319"/>
      <c r="J101" s="133" t="s">
        <v>59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59</v>
      </c>
      <c r="G102" s="315"/>
      <c r="H102" s="143" t="str">
        <f t="shared" si="12"/>
        <v/>
      </c>
      <c r="I102" s="319"/>
      <c r="J102" s="133" t="s">
        <v>59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59</v>
      </c>
      <c r="G103" s="315"/>
      <c r="H103" s="143" t="str">
        <f t="shared" si="12"/>
        <v/>
      </c>
      <c r="I103" s="319"/>
      <c r="J103" s="133" t="s">
        <v>59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59</v>
      </c>
      <c r="G104" s="315"/>
      <c r="H104" s="143" t="str">
        <f t="shared" si="12"/>
        <v/>
      </c>
      <c r="I104" s="319"/>
      <c r="J104" s="133" t="s">
        <v>59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59</v>
      </c>
      <c r="G105" s="315"/>
      <c r="H105" s="143" t="str">
        <f t="shared" si="12"/>
        <v/>
      </c>
      <c r="I105" s="319"/>
      <c r="J105" s="133" t="s">
        <v>59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59</v>
      </c>
      <c r="G106" s="315"/>
      <c r="H106" s="143" t="str">
        <f t="shared" si="12"/>
        <v/>
      </c>
      <c r="I106" s="319"/>
      <c r="J106" s="133" t="s">
        <v>59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59</v>
      </c>
      <c r="G107" s="315"/>
      <c r="H107" s="143" t="str">
        <f t="shared" si="12"/>
        <v/>
      </c>
      <c r="I107" s="319"/>
      <c r="J107" s="133" t="s">
        <v>59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59</v>
      </c>
      <c r="G108" s="315"/>
      <c r="H108" s="143" t="str">
        <f t="shared" si="12"/>
        <v/>
      </c>
      <c r="I108" s="319"/>
      <c r="J108" s="133" t="s">
        <v>59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59</v>
      </c>
      <c r="G109" s="315"/>
      <c r="H109" s="143" t="str">
        <f t="shared" si="12"/>
        <v/>
      </c>
      <c r="I109" s="319"/>
      <c r="J109" s="133" t="s">
        <v>59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59</v>
      </c>
      <c r="G110" s="315"/>
      <c r="H110" s="143" t="str">
        <f t="shared" si="12"/>
        <v/>
      </c>
      <c r="I110" s="319"/>
      <c r="J110" s="133" t="s">
        <v>59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59</v>
      </c>
      <c r="G111" s="315"/>
      <c r="H111" s="143" t="str">
        <f t="shared" si="12"/>
        <v/>
      </c>
      <c r="I111" s="319"/>
      <c r="J111" s="133" t="s">
        <v>59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59</v>
      </c>
      <c r="G112" s="315"/>
      <c r="H112" s="143" t="str">
        <f t="shared" si="12"/>
        <v/>
      </c>
      <c r="I112" s="319"/>
      <c r="J112" s="133" t="s">
        <v>59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59</v>
      </c>
      <c r="G113" s="315"/>
      <c r="H113" s="143" t="str">
        <f t="shared" si="12"/>
        <v/>
      </c>
      <c r="I113" s="319"/>
      <c r="J113" s="133" t="s">
        <v>59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59</v>
      </c>
      <c r="G114" s="315"/>
      <c r="H114" s="143" t="str">
        <f t="shared" si="12"/>
        <v/>
      </c>
      <c r="I114" s="319"/>
      <c r="J114" s="133" t="s">
        <v>59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59</v>
      </c>
      <c r="G115" s="315"/>
      <c r="H115" s="143" t="str">
        <f t="shared" si="12"/>
        <v/>
      </c>
      <c r="I115" s="319"/>
      <c r="J115" s="133" t="s">
        <v>59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59</v>
      </c>
      <c r="G116" s="315"/>
      <c r="H116" s="143" t="str">
        <f t="shared" si="12"/>
        <v/>
      </c>
      <c r="I116" s="319"/>
      <c r="J116" s="133" t="s">
        <v>59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59</v>
      </c>
      <c r="G117" s="315"/>
      <c r="H117" s="143" t="str">
        <f t="shared" si="12"/>
        <v/>
      </c>
      <c r="I117" s="319"/>
      <c r="J117" s="133" t="s">
        <v>59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59</v>
      </c>
      <c r="G118" s="315"/>
      <c r="H118" s="143" t="str">
        <f t="shared" si="12"/>
        <v/>
      </c>
      <c r="I118" s="319"/>
      <c r="J118" s="133" t="s">
        <v>59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59</v>
      </c>
      <c r="G119" s="315"/>
      <c r="H119" s="143" t="str">
        <f t="shared" si="12"/>
        <v/>
      </c>
      <c r="I119" s="319"/>
      <c r="J119" s="133" t="s">
        <v>59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59</v>
      </c>
      <c r="G120" s="315"/>
      <c r="H120" s="143" t="str">
        <f t="shared" si="12"/>
        <v/>
      </c>
      <c r="I120" s="319"/>
      <c r="J120" s="133" t="s">
        <v>59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59</v>
      </c>
      <c r="G121" s="315"/>
      <c r="H121" s="143" t="str">
        <f t="shared" si="12"/>
        <v/>
      </c>
      <c r="I121" s="319"/>
      <c r="J121" s="133" t="s">
        <v>59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59</v>
      </c>
      <c r="G122" s="315"/>
      <c r="H122" s="143" t="str">
        <f t="shared" si="12"/>
        <v/>
      </c>
      <c r="I122" s="319"/>
      <c r="J122" s="133" t="s">
        <v>59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59</v>
      </c>
      <c r="G123" s="315"/>
      <c r="H123" s="143" t="str">
        <f t="shared" si="12"/>
        <v/>
      </c>
      <c r="I123" s="319"/>
      <c r="J123" s="133" t="s">
        <v>59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59</v>
      </c>
      <c r="G124" s="315"/>
      <c r="H124" s="143" t="str">
        <f t="shared" si="12"/>
        <v/>
      </c>
      <c r="I124" s="319"/>
      <c r="J124" s="133" t="s">
        <v>59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59</v>
      </c>
      <c r="G125" s="315"/>
      <c r="H125" s="143" t="str">
        <f t="shared" si="12"/>
        <v/>
      </c>
      <c r="I125" s="319"/>
      <c r="J125" s="133" t="s">
        <v>59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59</v>
      </c>
      <c r="G126" s="315"/>
      <c r="H126" s="143" t="str">
        <f t="shared" si="12"/>
        <v/>
      </c>
      <c r="I126" s="319"/>
      <c r="J126" s="133" t="s">
        <v>59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59</v>
      </c>
      <c r="G127" s="315"/>
      <c r="H127" s="143" t="str">
        <f t="shared" si="12"/>
        <v/>
      </c>
      <c r="I127" s="319"/>
      <c r="J127" s="133" t="s">
        <v>59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59</v>
      </c>
      <c r="G128" s="315"/>
      <c r="H128" s="143" t="str">
        <f t="shared" si="12"/>
        <v/>
      </c>
      <c r="I128" s="319"/>
      <c r="J128" s="133" t="s">
        <v>59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59</v>
      </c>
      <c r="G129" s="315"/>
      <c r="H129" s="143" t="str">
        <f t="shared" si="12"/>
        <v/>
      </c>
      <c r="I129" s="319"/>
      <c r="J129" s="133" t="s">
        <v>59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59</v>
      </c>
      <c r="G130" s="315"/>
      <c r="H130" s="143" t="str">
        <f t="shared" si="12"/>
        <v/>
      </c>
      <c r="I130" s="319"/>
      <c r="J130" s="133" t="s">
        <v>59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59</v>
      </c>
      <c r="G131" s="315"/>
      <c r="H131" s="143" t="str">
        <f t="shared" si="12"/>
        <v/>
      </c>
      <c r="I131" s="319"/>
      <c r="J131" s="133" t="s">
        <v>59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59</v>
      </c>
      <c r="G132" s="315"/>
      <c r="H132" s="143" t="str">
        <f t="shared" si="12"/>
        <v/>
      </c>
      <c r="I132" s="319"/>
      <c r="J132" s="133" t="s">
        <v>59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59</v>
      </c>
      <c r="G133" s="315"/>
      <c r="H133" s="143" t="str">
        <f t="shared" si="12"/>
        <v/>
      </c>
      <c r="I133" s="319"/>
      <c r="J133" s="133" t="s">
        <v>59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59</v>
      </c>
      <c r="G134" s="315"/>
      <c r="H134" s="143" t="str">
        <f t="shared" si="12"/>
        <v/>
      </c>
      <c r="I134" s="319"/>
      <c r="J134" s="133" t="s">
        <v>59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59</v>
      </c>
      <c r="G135" s="315"/>
      <c r="H135" s="143" t="str">
        <f t="shared" si="12"/>
        <v/>
      </c>
      <c r="I135" s="319"/>
      <c r="J135" s="133" t="s">
        <v>59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59</v>
      </c>
      <c r="G136" s="315"/>
      <c r="H136" s="143" t="str">
        <f t="shared" si="12"/>
        <v/>
      </c>
      <c r="I136" s="319"/>
      <c r="J136" s="133" t="s">
        <v>59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59</v>
      </c>
      <c r="G137" s="315"/>
      <c r="H137" s="143" t="str">
        <f t="shared" si="12"/>
        <v/>
      </c>
      <c r="I137" s="319"/>
      <c r="J137" s="133" t="s">
        <v>59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59</v>
      </c>
      <c r="G138" s="315"/>
      <c r="H138" s="143" t="str">
        <f t="shared" si="12"/>
        <v/>
      </c>
      <c r="I138" s="319"/>
      <c r="J138" s="133" t="s">
        <v>59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59</v>
      </c>
      <c r="G139" s="315"/>
      <c r="H139" s="143" t="str">
        <f t="shared" si="12"/>
        <v/>
      </c>
      <c r="I139" s="319"/>
      <c r="J139" s="133" t="s">
        <v>59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59</v>
      </c>
      <c r="G140" s="315"/>
      <c r="H140" s="143" t="str">
        <f t="shared" si="12"/>
        <v/>
      </c>
      <c r="I140" s="319"/>
      <c r="J140" s="133" t="s">
        <v>59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59</v>
      </c>
      <c r="G141" s="315"/>
      <c r="H141" s="143" t="str">
        <f t="shared" si="12"/>
        <v/>
      </c>
      <c r="I141" s="319"/>
      <c r="J141" s="133" t="s">
        <v>59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59</v>
      </c>
      <c r="G142" s="315"/>
      <c r="H142" s="143" t="str">
        <f t="shared" si="12"/>
        <v/>
      </c>
      <c r="I142" s="319"/>
      <c r="J142" s="133" t="s">
        <v>59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str">
        <f>IF('Cable Info'!L2="","",CONCATENATE('Cable Info'!L2," - ",'Cable Info'!M2))</f>
        <v>1 - AW</v>
      </c>
      <c r="AM142" s="150" t="str">
        <f t="shared" si="18"/>
        <v>1 - AW</v>
      </c>
      <c r="AO142" s="150" t="e">
        <f>IF('Cable Info'!N2="","",CONCATENATE('Cable Info'!N2," - ",'Cable Info'!O2))</f>
        <v>#N/A</v>
      </c>
      <c r="AR142" s="150" t="e">
        <f t="shared" si="19"/>
        <v>#N/A</v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59</v>
      </c>
      <c r="G143" s="315"/>
      <c r="H143" s="143" t="str">
        <f t="shared" si="12"/>
        <v/>
      </c>
      <c r="I143" s="319"/>
      <c r="J143" s="133" t="s">
        <v>59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str">
        <f>IF('Cable Info'!L3="","",CONCATENATE('Cable Info'!L3," - ",'Cable Info'!M3))</f>
        <v>2 - AW</v>
      </c>
      <c r="AM143" s="150" t="str">
        <f t="shared" si="18"/>
        <v>2 - AW</v>
      </c>
      <c r="AO143" s="150" t="e">
        <f>IF('Cable Info'!N3="","",CONCATENATE('Cable Info'!N3," - ",'Cable Info'!O3))</f>
        <v>#N/A</v>
      </c>
      <c r="AR143" s="150" t="e">
        <f t="shared" si="19"/>
        <v>#N/A</v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59</v>
      </c>
      <c r="G144" s="315"/>
      <c r="H144" s="143" t="str">
        <f t="shared" si="12"/>
        <v/>
      </c>
      <c r="I144" s="319"/>
      <c r="J144" s="133" t="s">
        <v>59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str">
        <f>IF('Cable Info'!L4="","",CONCATENATE('Cable Info'!L4," - ",'Cable Info'!M4))</f>
        <v>3 - AW</v>
      </c>
      <c r="AM144" s="150" t="str">
        <f t="shared" si="18"/>
        <v>3 - AW</v>
      </c>
      <c r="AO144" s="150" t="e">
        <f>IF('Cable Info'!N4="","",CONCATENATE('Cable Info'!N4," - ",'Cable Info'!O4))</f>
        <v>#N/A</v>
      </c>
      <c r="AR144" s="150" t="e">
        <f t="shared" si="19"/>
        <v>#N/A</v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59</v>
      </c>
      <c r="G145" s="315"/>
      <c r="H145" s="143" t="str">
        <f t="shared" si="12"/>
        <v/>
      </c>
      <c r="I145" s="319"/>
      <c r="J145" s="133" t="s">
        <v>59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str">
        <f>IF('Cable Info'!L5="","",CONCATENATE('Cable Info'!L5," - ",'Cable Info'!M5))</f>
        <v>4 - AW</v>
      </c>
      <c r="AM145" s="150" t="str">
        <f t="shared" si="18"/>
        <v>4 - AW</v>
      </c>
      <c r="AO145" s="150" t="e">
        <f>IF('Cable Info'!N5="","",CONCATENATE('Cable Info'!N5," - ",'Cable Info'!O5))</f>
        <v>#N/A</v>
      </c>
      <c r="AR145" s="150" t="e">
        <f t="shared" si="19"/>
        <v>#N/A</v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59</v>
      </c>
      <c r="G146" s="315"/>
      <c r="H146" s="143" t="str">
        <f t="shared" si="12"/>
        <v/>
      </c>
      <c r="I146" s="319"/>
      <c r="J146" s="133" t="s">
        <v>59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str">
        <f>IF('Cable Info'!L6="","",CONCATENATE('Cable Info'!L6," - ",'Cable Info'!M6))</f>
        <v>5 - AW</v>
      </c>
      <c r="AM146" s="150" t="str">
        <f t="shared" si="18"/>
        <v>5 - AW</v>
      </c>
      <c r="AO146" s="150" t="e">
        <f>IF('Cable Info'!N6="","",CONCATENATE('Cable Info'!N6," - ",'Cable Info'!O6))</f>
        <v>#N/A</v>
      </c>
      <c r="AR146" s="150" t="e">
        <f t="shared" si="19"/>
        <v>#N/A</v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59</v>
      </c>
      <c r="G147" s="315"/>
      <c r="H147" s="143" t="str">
        <f t="shared" si="12"/>
        <v/>
      </c>
      <c r="I147" s="319"/>
      <c r="J147" s="133" t="s">
        <v>59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str">
        <f>IF('Cable Info'!L7="","",CONCATENATE('Cable Info'!L7," - ",'Cable Info'!M7))</f>
        <v>6 - AW</v>
      </c>
      <c r="AM147" s="150" t="str">
        <f t="shared" si="18"/>
        <v>6 - AW</v>
      </c>
      <c r="AO147" s="150" t="e">
        <f>IF('Cable Info'!N7="","",CONCATENATE('Cable Info'!N7," - ",'Cable Info'!O7))</f>
        <v>#N/A</v>
      </c>
      <c r="AR147" s="150" t="e">
        <f t="shared" si="19"/>
        <v>#N/A</v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59</v>
      </c>
      <c r="G148" s="315"/>
      <c r="H148" s="143" t="str">
        <f t="shared" ref="H148:H153" si="24">IF(G148="","",((E148-G148)-1)*(-1))</f>
        <v/>
      </c>
      <c r="I148" s="319"/>
      <c r="J148" s="133" t="s">
        <v>59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str">
        <f>IF('Cable Info'!L8="","",CONCATENATE('Cable Info'!L8," - ",'Cable Info'!M8))</f>
        <v>7 - AW</v>
      </c>
      <c r="AM148" s="150" t="str">
        <f t="shared" ref="AM148:AM153" si="30">IF(AK148="",AJ148,CONCATENATE(AJ148,"  &lt;=&gt; ",AK148," ",AL148))</f>
        <v>7 - AW</v>
      </c>
      <c r="AO148" s="150" t="e">
        <f>IF('Cable Info'!N8="","",CONCATENATE('Cable Info'!N8," - ",'Cable Info'!O8))</f>
        <v>#N/A</v>
      </c>
      <c r="AR148" s="150" t="e">
        <f t="shared" ref="AR148:AR153" si="31">IF(AP148="",AO148,CONCATENATE(AO148,"  &lt;=&gt; ",AP148," ",AQ148))</f>
        <v>#N/A</v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59</v>
      </c>
      <c r="G149" s="315"/>
      <c r="H149" s="143" t="str">
        <f t="shared" si="24"/>
        <v/>
      </c>
      <c r="I149" s="319"/>
      <c r="J149" s="133" t="s">
        <v>59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str">
        <f>IF('Cable Info'!L9="","",CONCATENATE('Cable Info'!L9," - ",'Cable Info'!M9))</f>
        <v>8 - AW</v>
      </c>
      <c r="AM149" s="150" t="str">
        <f t="shared" si="30"/>
        <v>8 - AW</v>
      </c>
      <c r="AO149" s="150" t="e">
        <f>IF('Cable Info'!N9="","",CONCATENATE('Cable Info'!N9," - ",'Cable Info'!O9))</f>
        <v>#N/A</v>
      </c>
      <c r="AR149" s="150" t="e">
        <f t="shared" si="31"/>
        <v>#N/A</v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59</v>
      </c>
      <c r="G150" s="315"/>
      <c r="H150" s="143" t="str">
        <f t="shared" si="24"/>
        <v/>
      </c>
      <c r="I150" s="319"/>
      <c r="J150" s="133" t="s">
        <v>59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str">
        <f>IF('Cable Info'!L10="","",CONCATENATE('Cable Info'!L10," - ",'Cable Info'!M10))</f>
        <v>9 - AW</v>
      </c>
      <c r="AM150" s="150" t="str">
        <f t="shared" si="30"/>
        <v>9 - AW</v>
      </c>
      <c r="AO150" s="150" t="e">
        <f>IF('Cable Info'!N10="","",CONCATENATE('Cable Info'!N10," - ",'Cable Info'!O10))</f>
        <v>#N/A</v>
      </c>
      <c r="AR150" s="150" t="e">
        <f t="shared" si="31"/>
        <v>#N/A</v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59</v>
      </c>
      <c r="G151" s="315"/>
      <c r="H151" s="143" t="str">
        <f t="shared" si="24"/>
        <v/>
      </c>
      <c r="I151" s="319"/>
      <c r="J151" s="133" t="s">
        <v>59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str">
        <f>IF('Cable Info'!L11="","",CONCATENATE('Cable Info'!L11," - ",'Cable Info'!M11))</f>
        <v>10 - AW</v>
      </c>
      <c r="AM151" s="150" t="str">
        <f t="shared" si="30"/>
        <v>10 - AW</v>
      </c>
      <c r="AO151" s="150" t="e">
        <f>IF('Cable Info'!N11="","",CONCATENATE('Cable Info'!N11," - ",'Cable Info'!O11))</f>
        <v>#N/A</v>
      </c>
      <c r="AR151" s="150" t="e">
        <f t="shared" si="31"/>
        <v>#N/A</v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59</v>
      </c>
      <c r="G152" s="315"/>
      <c r="H152" s="143" t="str">
        <f t="shared" si="24"/>
        <v/>
      </c>
      <c r="I152" s="319"/>
      <c r="J152" s="133" t="s">
        <v>59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str">
        <f>IF('Cable Info'!L12="","",CONCATENATE('Cable Info'!L12," - ",'Cable Info'!M12))</f>
        <v>11 - AW</v>
      </c>
      <c r="AM152" s="150" t="str">
        <f t="shared" si="30"/>
        <v>11 - AW</v>
      </c>
      <c r="AO152" s="150" t="e">
        <f>IF('Cable Info'!N12="","",CONCATENATE('Cable Info'!N12," - ",'Cable Info'!O12))</f>
        <v>#N/A</v>
      </c>
      <c r="AR152" s="150" t="e">
        <f t="shared" si="31"/>
        <v>#N/A</v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59</v>
      </c>
      <c r="G153" s="315"/>
      <c r="H153" s="143" t="str">
        <f t="shared" si="24"/>
        <v/>
      </c>
      <c r="I153" s="319"/>
      <c r="J153" s="133" t="s">
        <v>59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str">
        <f>IF('Cable Info'!L13="","",CONCATENATE('Cable Info'!L13," - ",'Cable Info'!M13))</f>
        <v>12 - AW</v>
      </c>
      <c r="AM153" s="150" t="str">
        <f t="shared" si="30"/>
        <v>12 - AW</v>
      </c>
      <c r="AO153" s="150" t="e">
        <f>IF('Cable Info'!N13="","",CONCATENATE('Cable Info'!N13," - ",'Cable Info'!O13))</f>
        <v>#N/A</v>
      </c>
      <c r="AR153" s="150" t="e">
        <f t="shared" si="31"/>
        <v>#N/A</v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59</v>
      </c>
      <c r="G154" s="315"/>
      <c r="H154" s="143" t="str">
        <f t="shared" si="11"/>
        <v/>
      </c>
      <c r="I154" s="319"/>
      <c r="J154" s="133" t="s">
        <v>59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str">
        <f>IF('Cable Info'!L14="","",CONCATENATE('Cable Info'!L14," - ",'Cable Info'!M14))</f>
        <v>13 - AW</v>
      </c>
      <c r="AM154" s="150" t="str">
        <f t="shared" si="0"/>
        <v>13 - AW</v>
      </c>
      <c r="AO154" s="150" t="e">
        <f>IF('Cable Info'!N14="","",CONCATENATE('Cable Info'!N14," - ",'Cable Info'!O14))</f>
        <v>#N/A</v>
      </c>
      <c r="AR154" s="150" t="e">
        <f t="shared" si="1"/>
        <v>#N/A</v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59</v>
      </c>
      <c r="G155" s="316"/>
      <c r="H155" s="143" t="str">
        <f t="shared" si="11"/>
        <v/>
      </c>
      <c r="I155" s="318"/>
      <c r="J155" s="133" t="s">
        <v>59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str">
        <f>IF('Cable Info'!L15="","",CONCATENATE('Cable Info'!L15," - ",'Cable Info'!M15))</f>
        <v>14 - AW</v>
      </c>
      <c r="AM155" s="150" t="str">
        <f t="shared" si="0"/>
        <v>14 - AW</v>
      </c>
      <c r="AO155" s="150" t="e">
        <f>IF('Cable Info'!N15="","",CONCATENATE('Cable Info'!N15," - ",'Cable Info'!O15))</f>
        <v>#N/A</v>
      </c>
      <c r="AR155" s="150" t="e">
        <f t="shared" si="1"/>
        <v>#N/A</v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52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59</v>
      </c>
      <c r="G156" s="315"/>
      <c r="H156" s="143" t="str">
        <f t="shared" si="11"/>
        <v/>
      </c>
      <c r="I156" s="319"/>
      <c r="J156" s="133" t="s">
        <v>59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str">
        <f>IF('Cable Info'!L16="","",CONCATENATE('Cable Info'!L16," - ",'Cable Info'!M16))</f>
        <v>15 - AW</v>
      </c>
      <c r="AM156" s="150" t="str">
        <f t="shared" si="0"/>
        <v>15 - AW</v>
      </c>
      <c r="AO156" s="150" t="e">
        <f>IF('Cable Info'!N16="","",CONCATENATE('Cable Info'!N16," - ",'Cable Info'!O16))</f>
        <v>#N/A</v>
      </c>
      <c r="AR156" s="150" t="e">
        <f t="shared" si="1"/>
        <v>#N/A</v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53</v>
      </c>
      <c r="BL156" s="150" t="str">
        <f t="shared" si="5"/>
        <v xml:space="preserve">  &lt;=&gt; F </v>
      </c>
      <c r="CL156" s="310"/>
    </row>
    <row r="157" spans="1:90" x14ac:dyDescent="0.2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59</v>
      </c>
      <c r="G157" s="316"/>
      <c r="H157" s="143" t="str">
        <f t="shared" si="11"/>
        <v/>
      </c>
      <c r="I157" s="318"/>
      <c r="J157" s="133" t="s">
        <v>59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12</v>
      </c>
      <c r="AJ157" s="150" t="str">
        <f>IF('Cable Info'!L17="","",CONCATENATE('Cable Info'!L17," - ",'Cable Info'!M17))</f>
        <v>16 - AW</v>
      </c>
      <c r="AM157" s="150" t="str">
        <f t="shared" si="0"/>
        <v>16 - AW</v>
      </c>
      <c r="AO157" s="150" t="e">
        <f>IF('Cable Info'!N17="","",CONCATENATE('Cable Info'!N17," - ",'Cable Info'!O17))</f>
        <v>#N/A</v>
      </c>
      <c r="AR157" s="150" t="e">
        <f t="shared" si="1"/>
        <v>#N/A</v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59</v>
      </c>
      <c r="G158" s="315"/>
      <c r="H158" s="143" t="str">
        <f t="shared" si="11"/>
        <v/>
      </c>
      <c r="I158" s="319"/>
      <c r="J158" s="133" t="s">
        <v>59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str">
        <f>IF('Cable Info'!L18="","",CONCATENATE('Cable Info'!L18," - ",'Cable Info'!M18))</f>
        <v>17 - AW</v>
      </c>
      <c r="AM158" s="150" t="str">
        <f t="shared" si="0"/>
        <v>17 - AW</v>
      </c>
      <c r="AO158" s="150" t="e">
        <f>IF('Cable Info'!N18="","",CONCATENATE('Cable Info'!N18," - ",'Cable Info'!O18))</f>
        <v>#N/A</v>
      </c>
      <c r="AP158" s="150" t="s">
        <v>67</v>
      </c>
      <c r="AR158" s="150" t="e">
        <f t="shared" si="1"/>
        <v>#N/A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59</v>
      </c>
      <c r="G159" s="316"/>
      <c r="H159" s="143" t="str">
        <f>IF(G159="","",((E159-G159)-1)*(-1))</f>
        <v/>
      </c>
      <c r="I159" s="318"/>
      <c r="J159" s="133" t="s">
        <v>59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str">
        <f>IF('Cable Info'!L19="","",CONCATENATE('Cable Info'!L19," - ",'Cable Info'!M19))</f>
        <v>18 - AW</v>
      </c>
      <c r="AM159" s="150" t="str">
        <f t="shared" si="0"/>
        <v>18 - AW</v>
      </c>
      <c r="AO159" s="150" t="e">
        <f>IF('Cable Info'!N19="","",CONCATENATE('Cable Info'!N19," - ",'Cable Info'!O19))</f>
        <v>#N/A</v>
      </c>
      <c r="AR159" s="150" t="e">
        <f t="shared" si="1"/>
        <v>#N/A</v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59</v>
      </c>
      <c r="G160" s="315"/>
      <c r="H160" s="143" t="str">
        <f t="shared" si="11"/>
        <v/>
      </c>
      <c r="I160" s="319"/>
      <c r="J160" s="133" t="s">
        <v>59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str">
        <f>IF('Cable Info'!L20="","",CONCATENATE('Cable Info'!L20," - ",'Cable Info'!M20))</f>
        <v>19 - AW</v>
      </c>
      <c r="AM160" s="150" t="str">
        <f t="shared" si="0"/>
        <v>19 - AW</v>
      </c>
      <c r="AO160" s="150" t="e">
        <f>IF('Cable Info'!N20="","",CONCATENATE('Cable Info'!N20," - ",'Cable Info'!O20))</f>
        <v>#N/A</v>
      </c>
      <c r="AR160" s="150" t="e">
        <f t="shared" si="1"/>
        <v>#N/A</v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59</v>
      </c>
      <c r="G161" s="316"/>
      <c r="H161" s="143" t="str">
        <f t="shared" si="11"/>
        <v/>
      </c>
      <c r="I161" s="318"/>
      <c r="J161" s="133" t="s">
        <v>59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str">
        <f>IF('Cable Info'!L21="","",CONCATENATE('Cable Info'!L21," - ",'Cable Info'!M21))</f>
        <v>20 - AW</v>
      </c>
      <c r="AM161" s="150" t="str">
        <f t="shared" si="0"/>
        <v>20 - AW</v>
      </c>
      <c r="AO161" s="150" t="e">
        <f>IF('Cable Info'!N21="","",CONCATENATE('Cable Info'!N21," - ",'Cable Info'!O21))</f>
        <v>#N/A</v>
      </c>
      <c r="AR161" s="150" t="e">
        <f t="shared" si="1"/>
        <v>#N/A</v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59</v>
      </c>
      <c r="G162" s="316"/>
      <c r="H162" s="143" t="str">
        <f t="shared" si="11"/>
        <v/>
      </c>
      <c r="I162" s="318"/>
      <c r="J162" s="133" t="s">
        <v>59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str">
        <f>IF('Cable Info'!L22="","",CONCATENATE('Cable Info'!L22," - ",'Cable Info'!M22))</f>
        <v>21 - AW</v>
      </c>
      <c r="AM162" s="150" t="str">
        <f t="shared" si="0"/>
        <v>21 - AW</v>
      </c>
      <c r="AO162" s="150" t="e">
        <f>IF('Cable Info'!N22="","",CONCATENATE('Cable Info'!N22," - ",'Cable Info'!O22))</f>
        <v>#N/A</v>
      </c>
      <c r="AR162" s="150" t="e">
        <f t="shared" si="1"/>
        <v>#N/A</v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59</v>
      </c>
      <c r="G163" s="316"/>
      <c r="H163" s="143" t="str">
        <f t="shared" si="11"/>
        <v/>
      </c>
      <c r="I163" s="318"/>
      <c r="J163" s="133" t="s">
        <v>59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str">
        <f>IF('Cable Info'!L23="","",CONCATENATE('Cable Info'!L23," - ",'Cable Info'!M23))</f>
        <v>22 - AW</v>
      </c>
      <c r="AM163" s="150" t="str">
        <f t="shared" si="0"/>
        <v>22 - AW</v>
      </c>
      <c r="AO163" s="150" t="e">
        <f>IF('Cable Info'!N23="","",CONCATENATE('Cable Info'!N23," - ",'Cable Info'!O23))</f>
        <v>#N/A</v>
      </c>
      <c r="AR163" s="150" t="e">
        <f t="shared" si="1"/>
        <v>#N/A</v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59</v>
      </c>
      <c r="G164" s="316"/>
      <c r="H164" s="143" t="str">
        <f t="shared" si="11"/>
        <v/>
      </c>
      <c r="I164" s="318"/>
      <c r="J164" s="133" t="s">
        <v>59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str">
        <f>IF('Cable Info'!L24="","",CONCATENATE('Cable Info'!L24," - ",'Cable Info'!M24))</f>
        <v>23 - AW</v>
      </c>
      <c r="AM164" s="150" t="str">
        <f t="shared" si="0"/>
        <v>23 - AW</v>
      </c>
      <c r="AO164" s="150" t="e">
        <f>IF('Cable Info'!N24="","",CONCATENATE('Cable Info'!N24," - ",'Cable Info'!O24))</f>
        <v>#N/A</v>
      </c>
      <c r="AR164" s="150" t="e">
        <f t="shared" si="1"/>
        <v>#N/A</v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59</v>
      </c>
      <c r="G165" s="316"/>
      <c r="H165" s="143" t="str">
        <f t="shared" si="11"/>
        <v/>
      </c>
      <c r="I165" s="318"/>
      <c r="J165" s="133" t="s">
        <v>59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str">
        <f>IF('Cable Info'!L25="","",CONCATENATE('Cable Info'!L25," - ",'Cable Info'!M25))</f>
        <v>24 - AW</v>
      </c>
      <c r="AM165" s="150" t="str">
        <f t="shared" si="0"/>
        <v>24 - AW</v>
      </c>
      <c r="AO165" s="150" t="e">
        <f>IF('Cable Info'!N25="","",CONCATENATE('Cable Info'!N25," - ",'Cable Info'!O25))</f>
        <v>#N/A</v>
      </c>
      <c r="AR165" s="150" t="e">
        <f t="shared" si="1"/>
        <v>#N/A</v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59</v>
      </c>
      <c r="G166" s="316"/>
      <c r="H166" s="143" t="str">
        <f t="shared" si="11"/>
        <v/>
      </c>
      <c r="I166" s="318"/>
      <c r="J166" s="133" t="s">
        <v>59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>25 - AW</v>
      </c>
      <c r="AM166" s="150" t="str">
        <f t="shared" si="0"/>
        <v>25 - AW</v>
      </c>
      <c r="AO166" s="150" t="e">
        <f>IF('Cable Info'!N26="","",CONCATENATE('Cable Info'!N26," - ",'Cable Info'!O26))</f>
        <v>#N/A</v>
      </c>
      <c r="AR166" s="150" t="e">
        <f t="shared" si="1"/>
        <v>#N/A</v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59</v>
      </c>
      <c r="G167" s="316"/>
      <c r="H167" s="143" t="str">
        <f t="shared" si="11"/>
        <v/>
      </c>
      <c r="I167" s="318"/>
      <c r="J167" s="133" t="s">
        <v>59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>26 - AW</v>
      </c>
      <c r="AM167" s="150" t="str">
        <f t="shared" si="0"/>
        <v>26 - AW</v>
      </c>
      <c r="AO167" s="150" t="e">
        <f>IF('Cable Info'!N27="","",CONCATENATE('Cable Info'!N27," - ",'Cable Info'!O27))</f>
        <v>#N/A</v>
      </c>
      <c r="AR167" s="150" t="e">
        <f t="shared" si="1"/>
        <v>#N/A</v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59</v>
      </c>
      <c r="G168" s="316"/>
      <c r="H168" s="143" t="str">
        <f t="shared" si="11"/>
        <v/>
      </c>
      <c r="I168" s="318"/>
      <c r="J168" s="133" t="s">
        <v>59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>27 - AW</v>
      </c>
      <c r="AM168" s="150" t="str">
        <f t="shared" si="0"/>
        <v>27 - AW</v>
      </c>
      <c r="AO168" s="150" t="e">
        <f>IF('Cable Info'!N28="","",CONCATENATE('Cable Info'!N28," - ",'Cable Info'!O28))</f>
        <v>#N/A</v>
      </c>
      <c r="AR168" s="150" t="e">
        <f t="shared" si="1"/>
        <v>#N/A</v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59</v>
      </c>
      <c r="G169" s="316"/>
      <c r="H169" s="143" t="str">
        <f t="shared" si="11"/>
        <v/>
      </c>
      <c r="I169" s="318"/>
      <c r="J169" s="133" t="s">
        <v>59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>28 - AW</v>
      </c>
      <c r="AM169" s="150" t="str">
        <f t="shared" si="0"/>
        <v>28 - AW</v>
      </c>
      <c r="AO169" s="150" t="e">
        <f>IF('Cable Info'!N29="","",CONCATENATE('Cable Info'!N29," - ",'Cable Info'!O29))</f>
        <v>#N/A</v>
      </c>
      <c r="AR169" s="150" t="e">
        <f t="shared" si="1"/>
        <v>#N/A</v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59</v>
      </c>
      <c r="G170" s="316"/>
      <c r="H170" s="143" t="str">
        <f t="shared" si="11"/>
        <v/>
      </c>
      <c r="I170" s="318"/>
      <c r="J170" s="133" t="s">
        <v>59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>29 - AW</v>
      </c>
      <c r="AM170" s="150" t="str">
        <f t="shared" si="0"/>
        <v>29 - AW</v>
      </c>
      <c r="AO170" s="150" t="e">
        <f>IF('Cable Info'!N30="","",CONCATENATE('Cable Info'!N30," - ",'Cable Info'!O30))</f>
        <v>#N/A</v>
      </c>
      <c r="AR170" s="150" t="e">
        <f t="shared" si="1"/>
        <v>#N/A</v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59</v>
      </c>
      <c r="G171" s="316"/>
      <c r="H171" s="143" t="str">
        <f t="shared" si="11"/>
        <v/>
      </c>
      <c r="I171" s="318"/>
      <c r="J171" s="133" t="s">
        <v>59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>30 - AW</v>
      </c>
      <c r="AM171" s="150" t="str">
        <f t="shared" si="0"/>
        <v>30 - AW</v>
      </c>
      <c r="AO171" s="150" t="e">
        <f>IF('Cable Info'!N31="","",CONCATENATE('Cable Info'!N31," - ",'Cable Info'!O31))</f>
        <v>#N/A</v>
      </c>
      <c r="AR171" s="150" t="e">
        <f t="shared" si="1"/>
        <v>#N/A</v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59</v>
      </c>
      <c r="G172" s="316"/>
      <c r="H172" s="143" t="str">
        <f t="shared" si="11"/>
        <v/>
      </c>
      <c r="I172" s="318"/>
      <c r="J172" s="133" t="s">
        <v>59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>31 - AW</v>
      </c>
      <c r="AM172" s="150" t="str">
        <f t="shared" si="0"/>
        <v>31 - AW</v>
      </c>
      <c r="AO172" s="150" t="e">
        <f>IF('Cable Info'!N32="","",CONCATENATE('Cable Info'!N32," - ",'Cable Info'!O32))</f>
        <v>#N/A</v>
      </c>
      <c r="AR172" s="150" t="e">
        <f t="shared" si="1"/>
        <v>#N/A</v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59</v>
      </c>
      <c r="G173" s="316"/>
      <c r="H173" s="143" t="str">
        <f t="shared" si="11"/>
        <v/>
      </c>
      <c r="I173" s="318"/>
      <c r="J173" s="133" t="s">
        <v>59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>32 - AW</v>
      </c>
      <c r="AM173" s="150" t="str">
        <f t="shared" si="0"/>
        <v>32 - AW</v>
      </c>
      <c r="AO173" s="150" t="e">
        <f>IF('Cable Info'!N33="","",CONCATENATE('Cable Info'!N33," - ",'Cable Info'!O33))</f>
        <v>#N/A</v>
      </c>
      <c r="AR173" s="150" t="e">
        <f t="shared" si="1"/>
        <v>#N/A</v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59</v>
      </c>
      <c r="G174" s="316"/>
      <c r="H174" s="143" t="str">
        <f t="shared" si="11"/>
        <v/>
      </c>
      <c r="I174" s="318"/>
      <c r="J174" s="133" t="s">
        <v>59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>33 - AW</v>
      </c>
      <c r="AM174" s="150" t="str">
        <f t="shared" si="0"/>
        <v>33 - AW</v>
      </c>
      <c r="AO174" s="150" t="e">
        <f>IF('Cable Info'!N34="","",CONCATENATE('Cable Info'!N34," - ",'Cable Info'!O34))</f>
        <v>#N/A</v>
      </c>
      <c r="AR174" s="150" t="e">
        <f t="shared" si="1"/>
        <v>#N/A</v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59</v>
      </c>
      <c r="G175" s="316"/>
      <c r="H175" s="143" t="str">
        <f t="shared" si="11"/>
        <v/>
      </c>
      <c r="I175" s="318"/>
      <c r="J175" s="133" t="s">
        <v>59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>34 - AW</v>
      </c>
      <c r="AM175" s="150" t="str">
        <f t="shared" si="0"/>
        <v>34 - AW</v>
      </c>
      <c r="AO175" s="150" t="e">
        <f>IF('Cable Info'!N35="","",CONCATENATE('Cable Info'!N35," - ",'Cable Info'!O35))</f>
        <v>#N/A</v>
      </c>
      <c r="AR175" s="150" t="e">
        <f t="shared" si="1"/>
        <v>#N/A</v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59</v>
      </c>
      <c r="G176" s="316"/>
      <c r="H176" s="143" t="str">
        <f t="shared" si="11"/>
        <v/>
      </c>
      <c r="I176" s="318"/>
      <c r="J176" s="133" t="s">
        <v>59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>35 - AW</v>
      </c>
      <c r="AM176" s="150" t="str">
        <f t="shared" si="0"/>
        <v>35 - AW</v>
      </c>
      <c r="AO176" s="150" t="e">
        <f>IF('Cable Info'!N36="","",CONCATENATE('Cable Info'!N36," - ",'Cable Info'!O36))</f>
        <v>#N/A</v>
      </c>
      <c r="AR176" s="150" t="e">
        <f t="shared" si="1"/>
        <v>#N/A</v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59</v>
      </c>
      <c r="G177" s="316"/>
      <c r="H177" s="143" t="str">
        <f t="shared" si="11"/>
        <v/>
      </c>
      <c r="I177" s="318"/>
      <c r="J177" s="133" t="s">
        <v>59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>36 - AW</v>
      </c>
      <c r="AM177" s="150" t="str">
        <f t="shared" si="0"/>
        <v>36 - AW</v>
      </c>
      <c r="AO177" s="150" t="e">
        <f>IF('Cable Info'!N37="","",CONCATENATE('Cable Info'!N37," - ",'Cable Info'!O37))</f>
        <v>#N/A</v>
      </c>
      <c r="AR177" s="150" t="e">
        <f t="shared" si="1"/>
        <v>#N/A</v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59</v>
      </c>
      <c r="G178" s="316"/>
      <c r="H178" s="143" t="str">
        <f t="shared" si="11"/>
        <v/>
      </c>
      <c r="I178" s="318"/>
      <c r="J178" s="133" t="s">
        <v>59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>37 - AW</v>
      </c>
      <c r="AM178" s="150" t="str">
        <f t="shared" si="0"/>
        <v>37 - AW</v>
      </c>
      <c r="AO178" s="150" t="e">
        <f>IF('Cable Info'!N38="","",CONCATENATE('Cable Info'!N38," - ",'Cable Info'!O38))</f>
        <v>#N/A</v>
      </c>
      <c r="AR178" s="150" t="e">
        <f t="shared" si="1"/>
        <v>#N/A</v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59</v>
      </c>
      <c r="G179" s="316"/>
      <c r="H179" s="143" t="str">
        <f t="shared" si="11"/>
        <v/>
      </c>
      <c r="I179" s="318"/>
      <c r="J179" s="133" t="s">
        <v>59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>38 - AW</v>
      </c>
      <c r="AM179" s="150" t="str">
        <f t="shared" si="0"/>
        <v>38 - AW</v>
      </c>
      <c r="AO179" s="150" t="e">
        <f>IF('Cable Info'!N39="","",CONCATENATE('Cable Info'!N39," - ",'Cable Info'!O39))</f>
        <v>#N/A</v>
      </c>
      <c r="AR179" s="150" t="e">
        <f t="shared" si="1"/>
        <v>#N/A</v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59</v>
      </c>
      <c r="G180" s="316"/>
      <c r="H180" s="143" t="str">
        <f t="shared" si="11"/>
        <v/>
      </c>
      <c r="I180" s="318"/>
      <c r="J180" s="133" t="s">
        <v>59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>39 - AW</v>
      </c>
      <c r="AM180" s="150" t="str">
        <f t="shared" si="0"/>
        <v>39 - AW</v>
      </c>
      <c r="AO180" s="150" t="e">
        <f>IF('Cable Info'!N40="","",CONCATENATE('Cable Info'!N40," - ",'Cable Info'!O40))</f>
        <v>#N/A</v>
      </c>
      <c r="AR180" s="150" t="e">
        <f t="shared" si="1"/>
        <v>#N/A</v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59</v>
      </c>
      <c r="G181" s="316"/>
      <c r="H181" s="143" t="str">
        <f t="shared" si="11"/>
        <v/>
      </c>
      <c r="I181" s="318"/>
      <c r="J181" s="133" t="s">
        <v>59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>40 - AW</v>
      </c>
      <c r="AM181" s="150" t="str">
        <f t="shared" si="0"/>
        <v>40 - AW</v>
      </c>
      <c r="AO181" s="150" t="e">
        <f>IF('Cable Info'!N41="","",CONCATENATE('Cable Info'!N41," - ",'Cable Info'!O41))</f>
        <v>#N/A</v>
      </c>
      <c r="AR181" s="150" t="e">
        <f t="shared" si="1"/>
        <v>#N/A</v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59</v>
      </c>
      <c r="G182" s="316"/>
      <c r="H182" s="143" t="str">
        <f t="shared" si="11"/>
        <v/>
      </c>
      <c r="I182" s="318"/>
      <c r="J182" s="133" t="s">
        <v>59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>41 - AW</v>
      </c>
      <c r="AM182" s="150" t="str">
        <f t="shared" si="0"/>
        <v>41 - AW</v>
      </c>
      <c r="AO182" s="150" t="e">
        <f>IF('Cable Info'!N42="","",CONCATENATE('Cable Info'!N42," - ",'Cable Info'!O42))</f>
        <v>#N/A</v>
      </c>
      <c r="AR182" s="150" t="e">
        <f t="shared" si="1"/>
        <v>#N/A</v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59</v>
      </c>
      <c r="G183" s="316"/>
      <c r="H183" s="143" t="str">
        <f t="shared" si="11"/>
        <v/>
      </c>
      <c r="I183" s="318"/>
      <c r="J183" s="133" t="s">
        <v>59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>42 - AW</v>
      </c>
      <c r="AM183" s="150" t="str">
        <f t="shared" si="0"/>
        <v>42 - AW</v>
      </c>
      <c r="AO183" s="150" t="e">
        <f>IF('Cable Info'!N43="","",CONCATENATE('Cable Info'!N43," - ",'Cable Info'!O43))</f>
        <v>#N/A</v>
      </c>
      <c r="AR183" s="150" t="e">
        <f t="shared" si="1"/>
        <v>#N/A</v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59</v>
      </c>
      <c r="G184" s="316"/>
      <c r="H184" s="143" t="str">
        <f t="shared" si="11"/>
        <v/>
      </c>
      <c r="I184" s="318"/>
      <c r="J184" s="133" t="s">
        <v>59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>43 - AW</v>
      </c>
      <c r="AM184" s="150" t="str">
        <f t="shared" si="0"/>
        <v>43 - AW</v>
      </c>
      <c r="AO184" s="150" t="e">
        <f>IF('Cable Info'!N44="","",CONCATENATE('Cable Info'!N44," - ",'Cable Info'!O44))</f>
        <v>#N/A</v>
      </c>
      <c r="AR184" s="150" t="e">
        <f t="shared" si="1"/>
        <v>#N/A</v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59</v>
      </c>
      <c r="G185" s="316"/>
      <c r="H185" s="143" t="str">
        <f t="shared" si="11"/>
        <v/>
      </c>
      <c r="I185" s="318"/>
      <c r="J185" s="133" t="s">
        <v>59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>44 - AW</v>
      </c>
      <c r="AM185" s="150" t="str">
        <f t="shared" si="0"/>
        <v>44 - AW</v>
      </c>
      <c r="AO185" s="150" t="e">
        <f>IF('Cable Info'!N45="","",CONCATENATE('Cable Info'!N45," - ",'Cable Info'!O45))</f>
        <v>#N/A</v>
      </c>
      <c r="AR185" s="150" t="e">
        <f t="shared" si="1"/>
        <v>#N/A</v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59</v>
      </c>
      <c r="G186" s="316"/>
      <c r="H186" s="143" t="str">
        <f t="shared" si="11"/>
        <v/>
      </c>
      <c r="I186" s="318"/>
      <c r="J186" s="133" t="s">
        <v>59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>45 - AW</v>
      </c>
      <c r="AM186" s="150" t="str">
        <f t="shared" si="0"/>
        <v>45 - AW</v>
      </c>
      <c r="AO186" s="150" t="e">
        <f>IF('Cable Info'!N46="","",CONCATENATE('Cable Info'!N46," - ",'Cable Info'!O46))</f>
        <v>#N/A</v>
      </c>
      <c r="AR186" s="150" t="e">
        <f t="shared" si="1"/>
        <v>#N/A</v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59</v>
      </c>
      <c r="G187" s="316"/>
      <c r="H187" s="143" t="str">
        <f t="shared" si="11"/>
        <v/>
      </c>
      <c r="I187" s="318"/>
      <c r="J187" s="133" t="s">
        <v>59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>46 - AW</v>
      </c>
      <c r="AM187" s="150" t="str">
        <f t="shared" si="0"/>
        <v>46 - AW</v>
      </c>
      <c r="AO187" s="150" t="e">
        <f>IF('Cable Info'!N47="","",CONCATENATE('Cable Info'!N47," - ",'Cable Info'!O47))</f>
        <v>#N/A</v>
      </c>
      <c r="AR187" s="150" t="e">
        <f t="shared" si="1"/>
        <v>#N/A</v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59</v>
      </c>
      <c r="G188" s="316"/>
      <c r="H188" s="143" t="str">
        <f t="shared" si="11"/>
        <v/>
      </c>
      <c r="I188" s="318"/>
      <c r="J188" s="133" t="s">
        <v>59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>47 - AW</v>
      </c>
      <c r="AM188" s="150" t="str">
        <f t="shared" si="0"/>
        <v>47 - AW</v>
      </c>
      <c r="AO188" s="150" t="e">
        <f>IF('Cable Info'!N48="","",CONCATENATE('Cable Info'!N48," - ",'Cable Info'!O48))</f>
        <v>#N/A</v>
      </c>
      <c r="AR188" s="150" t="e">
        <f t="shared" si="1"/>
        <v>#N/A</v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59</v>
      </c>
      <c r="G189" s="316"/>
      <c r="H189" s="143" t="str">
        <f t="shared" si="11"/>
        <v/>
      </c>
      <c r="I189" s="318"/>
      <c r="J189" s="133" t="s">
        <v>59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>48 - AW</v>
      </c>
      <c r="AM189" s="150" t="str">
        <f t="shared" si="0"/>
        <v>48 - AW</v>
      </c>
      <c r="AO189" s="150" t="e">
        <f>IF('Cable Info'!N49="","",CONCATENATE('Cable Info'!N49," - ",'Cable Info'!O49))</f>
        <v>#N/A</v>
      </c>
      <c r="AR189" s="150" t="e">
        <f t="shared" si="1"/>
        <v>#N/A</v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59</v>
      </c>
      <c r="G190" s="316"/>
      <c r="H190" s="143" t="str">
        <f t="shared" si="11"/>
        <v/>
      </c>
      <c r="I190" s="318"/>
      <c r="J190" s="133" t="s">
        <v>59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/>
      </c>
      <c r="AM190" s="150" t="str">
        <f t="shared" si="0"/>
        <v/>
      </c>
      <c r="AO190" s="150" t="e">
        <f>IF('Cable Info'!N50="","",CONCATENATE('Cable Info'!N50," - ",'Cable Info'!O50))</f>
        <v>#N/A</v>
      </c>
      <c r="AR190" s="150" t="e">
        <f t="shared" si="1"/>
        <v>#N/A</v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59</v>
      </c>
      <c r="G191" s="316"/>
      <c r="H191" s="143" t="str">
        <f t="shared" si="11"/>
        <v/>
      </c>
      <c r="I191" s="318"/>
      <c r="J191" s="133" t="s">
        <v>59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/>
      </c>
      <c r="AM191" s="150" t="str">
        <f t="shared" si="0"/>
        <v/>
      </c>
      <c r="AO191" s="150" t="e">
        <f>IF('Cable Info'!N51="","",CONCATENATE('Cable Info'!N51," - ",'Cable Info'!O51))</f>
        <v>#N/A</v>
      </c>
      <c r="AR191" s="150" t="e">
        <f t="shared" si="1"/>
        <v>#N/A</v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59</v>
      </c>
      <c r="G192" s="316"/>
      <c r="H192" s="143" t="str">
        <f t="shared" si="11"/>
        <v/>
      </c>
      <c r="I192" s="318"/>
      <c r="J192" s="133" t="s">
        <v>59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/>
      </c>
      <c r="AM192" s="150" t="str">
        <f t="shared" si="0"/>
        <v/>
      </c>
      <c r="AO192" s="150" t="e">
        <f>IF('Cable Info'!N52="","",CONCATENATE('Cable Info'!N52," - ",'Cable Info'!O52))</f>
        <v>#N/A</v>
      </c>
      <c r="AR192" s="150" t="e">
        <f t="shared" si="1"/>
        <v>#N/A</v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59</v>
      </c>
      <c r="G193" s="316"/>
      <c r="H193" s="143" t="str">
        <f t="shared" si="11"/>
        <v/>
      </c>
      <c r="I193" s="318"/>
      <c r="J193" s="133" t="s">
        <v>59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/>
      </c>
      <c r="AM193" s="150" t="str">
        <f t="shared" si="0"/>
        <v/>
      </c>
      <c r="AO193" s="150" t="e">
        <f>IF('Cable Info'!N53="","",CONCATENATE('Cable Info'!N53," - ",'Cable Info'!O53))</f>
        <v>#N/A</v>
      </c>
      <c r="AR193" s="150" t="e">
        <f t="shared" si="1"/>
        <v>#N/A</v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59</v>
      </c>
      <c r="G194" s="316"/>
      <c r="H194" s="143" t="str">
        <f t="shared" si="11"/>
        <v/>
      </c>
      <c r="I194" s="318"/>
      <c r="J194" s="133" t="s">
        <v>59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/>
      </c>
      <c r="AM194" s="150" t="str">
        <f t="shared" si="0"/>
        <v/>
      </c>
      <c r="AO194" s="150" t="e">
        <f>IF('Cable Info'!N54="","",CONCATENATE('Cable Info'!N54," - ",'Cable Info'!O54))</f>
        <v>#N/A</v>
      </c>
      <c r="AR194" s="150" t="e">
        <f t="shared" si="1"/>
        <v>#N/A</v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59</v>
      </c>
      <c r="G195" s="316"/>
      <c r="H195" s="143" t="str">
        <f t="shared" si="11"/>
        <v/>
      </c>
      <c r="I195" s="318"/>
      <c r="J195" s="133" t="s">
        <v>59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/>
      </c>
      <c r="AM195" s="150" t="str">
        <f t="shared" si="0"/>
        <v/>
      </c>
      <c r="AO195" s="150" t="e">
        <f>IF('Cable Info'!N55="","",CONCATENATE('Cable Info'!N55," - ",'Cable Info'!O55))</f>
        <v>#N/A</v>
      </c>
      <c r="AR195" s="150" t="e">
        <f t="shared" si="1"/>
        <v>#N/A</v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59</v>
      </c>
      <c r="G196" s="316"/>
      <c r="H196" s="143" t="str">
        <f t="shared" si="11"/>
        <v/>
      </c>
      <c r="I196" s="318"/>
      <c r="J196" s="133" t="s">
        <v>59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/>
      </c>
      <c r="AM196" s="150" t="str">
        <f t="shared" si="0"/>
        <v/>
      </c>
      <c r="AO196" s="150" t="e">
        <f>IF('Cable Info'!N56="","",CONCATENATE('Cable Info'!N56," - ",'Cable Info'!O56))</f>
        <v>#N/A</v>
      </c>
      <c r="AR196" s="150" t="e">
        <f t="shared" si="1"/>
        <v>#N/A</v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59</v>
      </c>
      <c r="G197" s="316"/>
      <c r="H197" s="143" t="str">
        <f t="shared" si="11"/>
        <v/>
      </c>
      <c r="I197" s="318"/>
      <c r="J197" s="133" t="s">
        <v>59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/>
      </c>
      <c r="AM197" s="150" t="str">
        <f t="shared" si="0"/>
        <v/>
      </c>
      <c r="AO197" s="150" t="e">
        <f>IF('Cable Info'!N57="","",CONCATENATE('Cable Info'!N57," - ",'Cable Info'!O57))</f>
        <v>#N/A</v>
      </c>
      <c r="AR197" s="150" t="e">
        <f t="shared" si="1"/>
        <v>#N/A</v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59</v>
      </c>
      <c r="G198" s="316"/>
      <c r="H198" s="143" t="str">
        <f t="shared" si="11"/>
        <v/>
      </c>
      <c r="I198" s="318"/>
      <c r="J198" s="133" t="s">
        <v>59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/>
      </c>
      <c r="AM198" s="150" t="str">
        <f t="shared" si="0"/>
        <v/>
      </c>
      <c r="AO198" s="150" t="e">
        <f>IF('Cable Info'!N58="","",CONCATENATE('Cable Info'!N58," - ",'Cable Info'!O58))</f>
        <v>#N/A</v>
      </c>
      <c r="AR198" s="150" t="e">
        <f t="shared" si="1"/>
        <v>#N/A</v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59</v>
      </c>
      <c r="G199" s="316"/>
      <c r="H199" s="143" t="str">
        <f t="shared" si="11"/>
        <v/>
      </c>
      <c r="I199" s="318"/>
      <c r="J199" s="133" t="s">
        <v>59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/>
      </c>
      <c r="AM199" s="150" t="str">
        <f t="shared" si="0"/>
        <v/>
      </c>
      <c r="AO199" s="150" t="e">
        <f>IF('Cable Info'!N59="","",CONCATENATE('Cable Info'!N59," - ",'Cable Info'!O59))</f>
        <v>#N/A</v>
      </c>
      <c r="AR199" s="150" t="e">
        <f t="shared" si="1"/>
        <v>#N/A</v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59</v>
      </c>
      <c r="G200" s="316"/>
      <c r="H200" s="143" t="str">
        <f t="shared" si="11"/>
        <v/>
      </c>
      <c r="I200" s="318"/>
      <c r="J200" s="133" t="s">
        <v>59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/>
      </c>
      <c r="AM200" s="150" t="str">
        <f t="shared" si="0"/>
        <v/>
      </c>
      <c r="AO200" s="150" t="e">
        <f>IF('Cable Info'!N60="","",CONCATENATE('Cable Info'!N60," - ",'Cable Info'!O60))</f>
        <v>#N/A</v>
      </c>
      <c r="AR200" s="150" t="e">
        <f t="shared" si="1"/>
        <v>#N/A</v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59</v>
      </c>
      <c r="G201" s="316"/>
      <c r="H201" s="143" t="str">
        <f t="shared" si="11"/>
        <v/>
      </c>
      <c r="I201" s="318"/>
      <c r="J201" s="133" t="s">
        <v>59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/>
      </c>
      <c r="AM201" s="150" t="str">
        <f t="shared" si="0"/>
        <v/>
      </c>
      <c r="AO201" s="150" t="e">
        <f>IF('Cable Info'!N61="","",CONCATENATE('Cable Info'!N61," - ",'Cable Info'!O61))</f>
        <v>#N/A</v>
      </c>
      <c r="AR201" s="150" t="e">
        <f t="shared" si="1"/>
        <v>#N/A</v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59</v>
      </c>
      <c r="G202" s="316"/>
      <c r="H202" s="143" t="str">
        <f t="shared" si="11"/>
        <v/>
      </c>
      <c r="I202" s="318"/>
      <c r="J202" s="133" t="s">
        <v>59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/>
      </c>
      <c r="AM202" s="150" t="str">
        <f t="shared" si="0"/>
        <v/>
      </c>
      <c r="AO202" s="150" t="e">
        <f>IF('Cable Info'!N62="","",CONCATENATE('Cable Info'!N62," - ",'Cable Info'!O62))</f>
        <v>#N/A</v>
      </c>
      <c r="AR202" s="150" t="e">
        <f t="shared" si="1"/>
        <v>#N/A</v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59</v>
      </c>
      <c r="G203" s="316"/>
      <c r="H203" s="143" t="str">
        <f t="shared" si="11"/>
        <v/>
      </c>
      <c r="I203" s="318"/>
      <c r="J203" s="133" t="s">
        <v>59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/>
      </c>
      <c r="AM203" s="150" t="str">
        <f t="shared" si="0"/>
        <v/>
      </c>
      <c r="AO203" s="150" t="e">
        <f>IF('Cable Info'!N63="","",CONCATENATE('Cable Info'!N63," - ",'Cable Info'!O63))</f>
        <v>#N/A</v>
      </c>
      <c r="AR203" s="150" t="e">
        <f t="shared" si="1"/>
        <v>#N/A</v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59</v>
      </c>
      <c r="G204" s="316"/>
      <c r="H204" s="143" t="str">
        <f t="shared" si="11"/>
        <v/>
      </c>
      <c r="I204" s="318"/>
      <c r="J204" s="133" t="s">
        <v>59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/>
      </c>
      <c r="AM204" s="150" t="str">
        <f t="shared" si="0"/>
        <v/>
      </c>
      <c r="AO204" s="150" t="e">
        <f>IF('Cable Info'!N64="","",CONCATENATE('Cable Info'!N64," - ",'Cable Info'!O64))</f>
        <v>#N/A</v>
      </c>
      <c r="AR204" s="150" t="e">
        <f t="shared" si="1"/>
        <v>#N/A</v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59</v>
      </c>
      <c r="G205" s="316"/>
      <c r="H205" s="143" t="str">
        <f t="shared" si="11"/>
        <v/>
      </c>
      <c r="I205" s="318"/>
      <c r="J205" s="133" t="s">
        <v>59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/>
      </c>
      <c r="AM205" s="150" t="str">
        <f t="shared" si="0"/>
        <v/>
      </c>
      <c r="AO205" s="150" t="e">
        <f>IF('Cable Info'!N65="","",CONCATENATE('Cable Info'!N65," - ",'Cable Info'!O65))</f>
        <v>#N/A</v>
      </c>
      <c r="AR205" s="150" t="e">
        <f t="shared" si="1"/>
        <v>#N/A</v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59</v>
      </c>
      <c r="G206" s="316"/>
      <c r="H206" s="143" t="str">
        <f t="shared" si="11"/>
        <v/>
      </c>
      <c r="I206" s="318"/>
      <c r="J206" s="133" t="s">
        <v>59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/>
      </c>
      <c r="AM206" s="150" t="str">
        <f t="shared" si="0"/>
        <v/>
      </c>
      <c r="AO206" s="150" t="e">
        <f>IF('Cable Info'!N66="","",CONCATENATE('Cable Info'!N66," - ",'Cable Info'!O66))</f>
        <v>#N/A</v>
      </c>
      <c r="AR206" s="150" t="e">
        <f t="shared" si="1"/>
        <v>#N/A</v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59</v>
      </c>
      <c r="G207" s="316"/>
      <c r="H207" s="143" t="str">
        <f t="shared" si="11"/>
        <v/>
      </c>
      <c r="I207" s="318"/>
      <c r="J207" s="133" t="s">
        <v>59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/>
      </c>
      <c r="AM207" s="150" t="str">
        <f t="shared" ref="AM207:AM270" si="36">IF(AK207="",AJ207,CONCATENATE(AJ207,"  &lt;=&gt; ",AK207," ",AL207))</f>
        <v/>
      </c>
      <c r="AO207" s="150" t="e">
        <f>IF('Cable Info'!N67="","",CONCATENATE('Cable Info'!N67," - ",'Cable Info'!O67))</f>
        <v>#N/A</v>
      </c>
      <c r="AR207" s="150" t="e">
        <f t="shared" ref="AR207:AR270" si="37">IF(AP207="",AO207,CONCATENATE(AO207,"  &lt;=&gt; ",AP207," ",AQ207))</f>
        <v>#N/A</v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59</v>
      </c>
      <c r="G208" s="316"/>
      <c r="H208" s="143" t="str">
        <f t="shared" si="11"/>
        <v/>
      </c>
      <c r="I208" s="318"/>
      <c r="J208" s="133" t="s">
        <v>59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/>
      </c>
      <c r="AM208" s="150" t="str">
        <f t="shared" si="36"/>
        <v/>
      </c>
      <c r="AO208" s="150" t="e">
        <f>IF('Cable Info'!N68="","",CONCATENATE('Cable Info'!N68," - ",'Cable Info'!O68))</f>
        <v>#N/A</v>
      </c>
      <c r="AR208" s="150" t="e">
        <f t="shared" si="37"/>
        <v>#N/A</v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59</v>
      </c>
      <c r="G209" s="316"/>
      <c r="H209" s="143" t="str">
        <f t="shared" si="11"/>
        <v/>
      </c>
      <c r="I209" s="318"/>
      <c r="J209" s="133" t="s">
        <v>59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/>
      </c>
      <c r="AM209" s="150" t="str">
        <f t="shared" si="36"/>
        <v/>
      </c>
      <c r="AO209" s="150" t="e">
        <f>IF('Cable Info'!N69="","",CONCATENATE('Cable Info'!N69," - ",'Cable Info'!O69))</f>
        <v>#N/A</v>
      </c>
      <c r="AR209" s="150" t="e">
        <f t="shared" si="37"/>
        <v>#N/A</v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59</v>
      </c>
      <c r="G210" s="316"/>
      <c r="H210" s="143" t="str">
        <f t="shared" si="11"/>
        <v/>
      </c>
      <c r="I210" s="318"/>
      <c r="J210" s="133" t="s">
        <v>59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/>
      </c>
      <c r="AM210" s="150" t="str">
        <f t="shared" si="36"/>
        <v/>
      </c>
      <c r="AO210" s="150" t="e">
        <f>IF('Cable Info'!N70="","",CONCATENATE('Cable Info'!N70," - ",'Cable Info'!O70))</f>
        <v>#N/A</v>
      </c>
      <c r="AR210" s="150" t="e">
        <f t="shared" si="37"/>
        <v>#N/A</v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59</v>
      </c>
      <c r="G211" s="316"/>
      <c r="H211" s="143" t="str">
        <f t="shared" si="11"/>
        <v/>
      </c>
      <c r="I211" s="318"/>
      <c r="J211" s="133" t="s">
        <v>59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/>
      </c>
      <c r="AM211" s="150" t="str">
        <f t="shared" si="36"/>
        <v/>
      </c>
      <c r="AO211" s="150" t="e">
        <f>IF('Cable Info'!N71="","",CONCATENATE('Cable Info'!N71," - ",'Cable Info'!O71))</f>
        <v>#N/A</v>
      </c>
      <c r="AR211" s="150" t="e">
        <f t="shared" si="37"/>
        <v>#N/A</v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59</v>
      </c>
      <c r="G212" s="316"/>
      <c r="H212" s="143" t="str">
        <f t="shared" si="11"/>
        <v/>
      </c>
      <c r="I212" s="318"/>
      <c r="J212" s="133" t="s">
        <v>59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/>
      </c>
      <c r="AM212" s="150" t="str">
        <f t="shared" si="36"/>
        <v/>
      </c>
      <c r="AO212" s="150" t="e">
        <f>IF('Cable Info'!N72="","",CONCATENATE('Cable Info'!N72," - ",'Cable Info'!O72))</f>
        <v>#N/A</v>
      </c>
      <c r="AR212" s="150" t="e">
        <f t="shared" si="37"/>
        <v>#N/A</v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59</v>
      </c>
      <c r="G213" s="316"/>
      <c r="H213" s="143" t="str">
        <f t="shared" si="11"/>
        <v/>
      </c>
      <c r="I213" s="318"/>
      <c r="J213" s="133" t="s">
        <v>59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/>
      </c>
      <c r="AM213" s="150" t="str">
        <f t="shared" si="36"/>
        <v/>
      </c>
      <c r="AO213" s="150" t="e">
        <f>IF('Cable Info'!N73="","",CONCATENATE('Cable Info'!N73," - ",'Cable Info'!O73))</f>
        <v>#N/A</v>
      </c>
      <c r="AR213" s="150" t="e">
        <f t="shared" si="37"/>
        <v>#N/A</v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59</v>
      </c>
      <c r="G214" s="316"/>
      <c r="H214" s="143" t="str">
        <f t="shared" si="11"/>
        <v/>
      </c>
      <c r="I214" s="318"/>
      <c r="J214" s="133" t="s">
        <v>59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/>
      </c>
      <c r="AM214" s="150" t="str">
        <f t="shared" si="36"/>
        <v/>
      </c>
      <c r="AO214" s="150" t="str">
        <f>IF('Cable Info'!N74="","",CONCATENATE('Cable Info'!N74," - ",'Cable Info'!O74))</f>
        <v/>
      </c>
      <c r="AR214" s="150" t="str">
        <f t="shared" si="37"/>
        <v/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59</v>
      </c>
      <c r="G215" s="316"/>
      <c r="H215" s="143" t="str">
        <f t="shared" ref="H215:H224" si="42">IF(G215="","",((E215-G215)-1)*(-1))</f>
        <v/>
      </c>
      <c r="I215" s="318"/>
      <c r="J215" s="133" t="s">
        <v>59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/>
      </c>
      <c r="AM215" s="150" t="str">
        <f t="shared" si="36"/>
        <v/>
      </c>
      <c r="AO215" s="150" t="str">
        <f>IF('Cable Info'!N75="","",CONCATENATE('Cable Info'!N75," - ",'Cable Info'!O75))</f>
        <v/>
      </c>
      <c r="AR215" s="150" t="str">
        <f t="shared" si="37"/>
        <v/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59</v>
      </c>
      <c r="G216" s="316"/>
      <c r="H216" s="143" t="str">
        <f t="shared" si="42"/>
        <v/>
      </c>
      <c r="I216" s="318"/>
      <c r="J216" s="133" t="s">
        <v>59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/>
      </c>
      <c r="AM216" s="150" t="str">
        <f t="shared" si="36"/>
        <v/>
      </c>
      <c r="AO216" s="150" t="str">
        <f>IF('Cable Info'!N76="","",CONCATENATE('Cable Info'!N76," - ",'Cable Info'!O76))</f>
        <v/>
      </c>
      <c r="AR216" s="150" t="str">
        <f t="shared" si="37"/>
        <v/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59</v>
      </c>
      <c r="G217" s="316"/>
      <c r="H217" s="143" t="str">
        <f t="shared" si="42"/>
        <v/>
      </c>
      <c r="I217" s="318"/>
      <c r="J217" s="133" t="s">
        <v>59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/>
      </c>
      <c r="AM217" s="150" t="str">
        <f t="shared" si="36"/>
        <v/>
      </c>
      <c r="AO217" s="150" t="str">
        <f>IF('Cable Info'!N77="","",CONCATENATE('Cable Info'!N77," - ",'Cable Info'!O77))</f>
        <v/>
      </c>
      <c r="AR217" s="150" t="str">
        <f t="shared" si="37"/>
        <v/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59</v>
      </c>
      <c r="G218" s="316"/>
      <c r="H218" s="143" t="str">
        <f t="shared" si="42"/>
        <v/>
      </c>
      <c r="I218" s="318"/>
      <c r="J218" s="133" t="s">
        <v>59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/>
      </c>
      <c r="AM218" s="150" t="str">
        <f t="shared" si="36"/>
        <v/>
      </c>
      <c r="AO218" s="150" t="str">
        <f>IF('Cable Info'!N78="","",CONCATENATE('Cable Info'!N78," - ",'Cable Info'!O78))</f>
        <v/>
      </c>
      <c r="AR218" s="150" t="str">
        <f t="shared" si="37"/>
        <v/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59</v>
      </c>
      <c r="G219" s="316"/>
      <c r="H219" s="143" t="str">
        <f t="shared" si="42"/>
        <v/>
      </c>
      <c r="I219" s="318"/>
      <c r="J219" s="133" t="s">
        <v>59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/>
      </c>
      <c r="AM219" s="150" t="str">
        <f t="shared" si="36"/>
        <v/>
      </c>
      <c r="AO219" s="150" t="str">
        <f>IF('Cable Info'!N79="","",CONCATENATE('Cable Info'!N79," - ",'Cable Info'!O79))</f>
        <v/>
      </c>
      <c r="AR219" s="150" t="str">
        <f t="shared" si="37"/>
        <v/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59</v>
      </c>
      <c r="G220" s="316"/>
      <c r="H220" s="143" t="str">
        <f t="shared" si="42"/>
        <v/>
      </c>
      <c r="I220" s="318"/>
      <c r="J220" s="133" t="s">
        <v>59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/>
      </c>
      <c r="AM220" s="150" t="str">
        <f t="shared" si="36"/>
        <v/>
      </c>
      <c r="AO220" s="150" t="str">
        <f>IF('Cable Info'!N80="","",CONCATENATE('Cable Info'!N80," - ",'Cable Info'!O80))</f>
        <v/>
      </c>
      <c r="AR220" s="150" t="str">
        <f t="shared" si="37"/>
        <v/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59</v>
      </c>
      <c r="G221" s="316"/>
      <c r="H221" s="143" t="str">
        <f t="shared" si="42"/>
        <v/>
      </c>
      <c r="I221" s="318"/>
      <c r="J221" s="133" t="s">
        <v>59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/>
      </c>
      <c r="AM221" s="150" t="str">
        <f t="shared" si="36"/>
        <v/>
      </c>
      <c r="AO221" s="150" t="str">
        <f>IF('Cable Info'!N81="","",CONCATENATE('Cable Info'!N81," - ",'Cable Info'!O81))</f>
        <v/>
      </c>
      <c r="AR221" s="150" t="str">
        <f t="shared" si="37"/>
        <v/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59</v>
      </c>
      <c r="G222" s="316"/>
      <c r="H222" s="143" t="str">
        <f t="shared" si="42"/>
        <v/>
      </c>
      <c r="I222" s="318"/>
      <c r="J222" s="133" t="s">
        <v>59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/>
      </c>
      <c r="AM222" s="150" t="str">
        <f t="shared" si="36"/>
        <v/>
      </c>
      <c r="AO222" s="150" t="str">
        <f>IF('Cable Info'!N82="","",CONCATENATE('Cable Info'!N82," - ",'Cable Info'!O82))</f>
        <v/>
      </c>
      <c r="AR222" s="150" t="str">
        <f t="shared" si="37"/>
        <v/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59</v>
      </c>
      <c r="G223" s="316"/>
      <c r="H223" s="143" t="str">
        <f t="shared" si="42"/>
        <v/>
      </c>
      <c r="I223" s="318"/>
      <c r="J223" s="133" t="s">
        <v>59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/>
      </c>
      <c r="AM223" s="150" t="str">
        <f t="shared" si="36"/>
        <v/>
      </c>
      <c r="AO223" s="150" t="str">
        <f>IF('Cable Info'!N83="","",CONCATENATE('Cable Info'!N83," - ",'Cable Info'!O83))</f>
        <v/>
      </c>
      <c r="AR223" s="150" t="str">
        <f t="shared" si="37"/>
        <v/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5" thickBot="1" x14ac:dyDescent="0.25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59</v>
      </c>
      <c r="G224" s="317"/>
      <c r="H224" s="176" t="str">
        <f t="shared" si="42"/>
        <v/>
      </c>
      <c r="I224" s="320"/>
      <c r="J224" s="204" t="s">
        <v>59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/>
      </c>
      <c r="AM224" s="150" t="str">
        <f t="shared" si="36"/>
        <v/>
      </c>
      <c r="AO224" s="150" t="str">
        <f>IF('Cable Info'!N84="","",CONCATENATE('Cable Info'!N84," - ",'Cable Info'!O84))</f>
        <v/>
      </c>
      <c r="AR224" s="150" t="str">
        <f t="shared" si="37"/>
        <v/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5" thickBot="1" x14ac:dyDescent="0.25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/>
      </c>
      <c r="AM225" s="150" t="str">
        <f t="shared" si="36"/>
        <v/>
      </c>
      <c r="AO225" s="150" t="str">
        <f>IF('Cable Info'!N85="","",CONCATENATE('Cable Info'!N85," - ",'Cable Info'!O85))</f>
        <v/>
      </c>
      <c r="AR225" s="150" t="str">
        <f t="shared" si="37"/>
        <v/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/>
      </c>
      <c r="AK226" s="197"/>
      <c r="AL226" s="197"/>
      <c r="AM226" s="197" t="str">
        <f t="shared" si="36"/>
        <v/>
      </c>
      <c r="AN226" s="197"/>
      <c r="AO226" s="197" t="str">
        <f>IF('Cable Info'!N86="","",CONCATENATE('Cable Info'!N86," - ",'Cable Info'!O86))</f>
        <v/>
      </c>
      <c r="AP226" s="197"/>
      <c r="AQ226" s="197"/>
      <c r="AR226" s="197" t="str">
        <f t="shared" si="37"/>
        <v/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/>
      </c>
      <c r="AK227" s="193"/>
      <c r="AL227" s="193"/>
      <c r="AM227" s="193" t="str">
        <f t="shared" si="36"/>
        <v/>
      </c>
      <c r="AN227" s="193"/>
      <c r="AO227" s="193" t="str">
        <f>IF('Cable Info'!N87="","",CONCATENATE('Cable Info'!N87," - ",'Cable Info'!O87))</f>
        <v/>
      </c>
      <c r="AP227" s="193"/>
      <c r="AQ227" s="193"/>
      <c r="AR227" s="193" t="str">
        <f t="shared" si="37"/>
        <v/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/>
      </c>
      <c r="AM228" s="150" t="str">
        <f t="shared" si="36"/>
        <v/>
      </c>
      <c r="AO228" s="150" t="str">
        <f>IF('Cable Info'!N88="","",CONCATENATE('Cable Info'!N88," - ",'Cable Info'!O88))</f>
        <v/>
      </c>
      <c r="AR228" s="150" t="str">
        <f t="shared" si="37"/>
        <v/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/>
      </c>
      <c r="AM229" s="150" t="str">
        <f t="shared" si="36"/>
        <v/>
      </c>
      <c r="AO229" s="150" t="str">
        <f>IF('Cable Info'!N89="","",CONCATENATE('Cable Info'!N89," - ",'Cable Info'!O89))</f>
        <v/>
      </c>
      <c r="AR229" s="150" t="str">
        <f t="shared" si="37"/>
        <v/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/>
      </c>
      <c r="AM230" s="150" t="str">
        <f t="shared" si="36"/>
        <v/>
      </c>
      <c r="AO230" s="150" t="str">
        <f>IF('Cable Info'!N90="","",CONCATENATE('Cable Info'!N90," - ",'Cable Info'!O90))</f>
        <v/>
      </c>
      <c r="AR230" s="150" t="str">
        <f t="shared" si="37"/>
        <v/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/>
      </c>
      <c r="AM231" s="150" t="str">
        <f t="shared" si="36"/>
        <v/>
      </c>
      <c r="AO231" s="150" t="str">
        <f>IF('Cable Info'!N91="","",CONCATENATE('Cable Info'!N91," - ",'Cable Info'!O91))</f>
        <v/>
      </c>
      <c r="AR231" s="150" t="str">
        <f t="shared" si="37"/>
        <v/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/>
      </c>
      <c r="AM232" s="150" t="str">
        <f t="shared" si="36"/>
        <v/>
      </c>
      <c r="AO232" s="150" t="str">
        <f>IF('Cable Info'!N92="","",CONCATENATE('Cable Info'!N92," - ",'Cable Info'!O92))</f>
        <v/>
      </c>
      <c r="AR232" s="150" t="str">
        <f t="shared" si="37"/>
        <v/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/>
      </c>
      <c r="AM233" s="150" t="str">
        <f t="shared" si="36"/>
        <v/>
      </c>
      <c r="AO233" s="150" t="str">
        <f>IF('Cable Info'!N93="","",CONCATENATE('Cable Info'!N93," - ",'Cable Info'!O93))</f>
        <v/>
      </c>
      <c r="AR233" s="150" t="str">
        <f t="shared" si="37"/>
        <v/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/>
      </c>
      <c r="AM234" s="150" t="str">
        <f t="shared" si="36"/>
        <v/>
      </c>
      <c r="AO234" s="150" t="str">
        <f>IF('Cable Info'!N94="","",CONCATENATE('Cable Info'!N94," - ",'Cable Info'!O94))</f>
        <v/>
      </c>
      <c r="AR234" s="150" t="str">
        <f t="shared" si="37"/>
        <v/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/>
      </c>
      <c r="AM235" s="150" t="str">
        <f t="shared" si="36"/>
        <v/>
      </c>
      <c r="AO235" s="150" t="str">
        <f>IF('Cable Info'!N95="","",CONCATENATE('Cable Info'!N95," - ",'Cable Info'!O95))</f>
        <v/>
      </c>
      <c r="AR235" s="150" t="str">
        <f t="shared" si="37"/>
        <v/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/>
      </c>
      <c r="AM236" s="150" t="str">
        <f t="shared" si="36"/>
        <v/>
      </c>
      <c r="AO236" s="150" t="str">
        <f>IF('Cable Info'!N96="","",CONCATENATE('Cable Info'!N96," - ",'Cable Info'!O96))</f>
        <v/>
      </c>
      <c r="AR236" s="150" t="str">
        <f t="shared" si="37"/>
        <v/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/>
      </c>
      <c r="AM237" s="150" t="str">
        <f t="shared" si="36"/>
        <v/>
      </c>
      <c r="AO237" s="150" t="str">
        <f>IF('Cable Info'!N97="","",CONCATENATE('Cable Info'!N97," - ",'Cable Info'!O97))</f>
        <v/>
      </c>
      <c r="AR237" s="150" t="str">
        <f t="shared" si="37"/>
        <v/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/>
      </c>
      <c r="AM238" s="150" t="str">
        <f t="shared" si="36"/>
        <v/>
      </c>
      <c r="AO238" s="150" t="str">
        <f>IF('Cable Info'!N98="","",CONCATENATE('Cable Info'!N98," - ",'Cable Info'!O98))</f>
        <v/>
      </c>
      <c r="AR238" s="150" t="str">
        <f t="shared" si="37"/>
        <v/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/>
      </c>
      <c r="AM239" s="150" t="str">
        <f t="shared" si="36"/>
        <v/>
      </c>
      <c r="AO239" s="150" t="str">
        <f>IF('Cable Info'!N99="","",CONCATENATE('Cable Info'!N99," - ",'Cable Info'!O99))</f>
        <v/>
      </c>
      <c r="AR239" s="150" t="str">
        <f t="shared" si="37"/>
        <v/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/>
      </c>
      <c r="AM240" s="150" t="str">
        <f t="shared" si="36"/>
        <v/>
      </c>
      <c r="AO240" s="150" t="str">
        <f>IF('Cable Info'!N100="","",CONCATENATE('Cable Info'!N100," - ",'Cable Info'!O100))</f>
        <v/>
      </c>
      <c r="AR240" s="150" t="str">
        <f t="shared" si="37"/>
        <v/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/>
      </c>
      <c r="AM241" s="150" t="str">
        <f t="shared" si="36"/>
        <v/>
      </c>
      <c r="AO241" s="150" t="str">
        <f>IF('Cable Info'!N101="","",CONCATENATE('Cable Info'!N101," - ",'Cable Info'!O101))</f>
        <v/>
      </c>
      <c r="AR241" s="150" t="str">
        <f t="shared" si="37"/>
        <v/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/>
      </c>
      <c r="AM242" s="150" t="str">
        <f t="shared" si="36"/>
        <v/>
      </c>
      <c r="AO242" s="150" t="str">
        <f>IF('Cable Info'!N102="","",CONCATENATE('Cable Info'!N102," - ",'Cable Info'!O102))</f>
        <v/>
      </c>
      <c r="AR242" s="150" t="str">
        <f t="shared" si="37"/>
        <v/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/>
      </c>
      <c r="AM243" s="150" t="str">
        <f t="shared" si="36"/>
        <v/>
      </c>
      <c r="AO243" s="150" t="str">
        <f>IF('Cable Info'!N103="","",CONCATENATE('Cable Info'!N103," - ",'Cable Info'!O103))</f>
        <v/>
      </c>
      <c r="AR243" s="150" t="str">
        <f t="shared" si="37"/>
        <v/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/>
      </c>
      <c r="AM244" s="150" t="str">
        <f t="shared" si="36"/>
        <v/>
      </c>
      <c r="AO244" s="150" t="str">
        <f>IF('Cable Info'!N104="","",CONCATENATE('Cable Info'!N104," - ",'Cable Info'!O104))</f>
        <v/>
      </c>
      <c r="AR244" s="150" t="str">
        <f t="shared" si="37"/>
        <v/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/>
      </c>
      <c r="AM245" s="150" t="str">
        <f t="shared" si="36"/>
        <v/>
      </c>
      <c r="AO245" s="150" t="str">
        <f>IF('Cable Info'!N105="","",CONCATENATE('Cable Info'!N105," - ",'Cable Info'!O105))</f>
        <v/>
      </c>
      <c r="AR245" s="150" t="str">
        <f t="shared" si="37"/>
        <v/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/>
      </c>
      <c r="AM246" s="150" t="str">
        <f t="shared" si="36"/>
        <v/>
      </c>
      <c r="AO246" s="150" t="str">
        <f>IF('Cable Info'!N106="","",CONCATENATE('Cable Info'!N106," - ",'Cable Info'!O106))</f>
        <v/>
      </c>
      <c r="AR246" s="150" t="str">
        <f t="shared" si="37"/>
        <v/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/>
      </c>
      <c r="AM247" s="150" t="str">
        <f t="shared" si="36"/>
        <v/>
      </c>
      <c r="AO247" s="150" t="str">
        <f>IF('Cable Info'!N107="","",CONCATENATE('Cable Info'!N107," - ",'Cable Info'!O107))</f>
        <v/>
      </c>
      <c r="AR247" s="150" t="str">
        <f t="shared" si="37"/>
        <v/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/>
      </c>
      <c r="AM248" s="150" t="str">
        <f t="shared" si="36"/>
        <v/>
      </c>
      <c r="AO248" s="150" t="str">
        <f>IF('Cable Info'!N108="","",CONCATENATE('Cable Info'!N108," - ",'Cable Info'!O108))</f>
        <v/>
      </c>
      <c r="AR248" s="150" t="str">
        <f t="shared" si="37"/>
        <v/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/>
      </c>
      <c r="AM249" s="150" t="str">
        <f t="shared" si="36"/>
        <v/>
      </c>
      <c r="AO249" s="150" t="str">
        <f>IF('Cable Info'!N109="","",CONCATENATE('Cable Info'!N109," - ",'Cable Info'!O109))</f>
        <v/>
      </c>
      <c r="AR249" s="150" t="str">
        <f t="shared" si="37"/>
        <v/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/>
      </c>
      <c r="AM250" s="150" t="str">
        <f t="shared" si="36"/>
        <v/>
      </c>
      <c r="AO250" s="150" t="str">
        <f>IF('Cable Info'!N110="","",CONCATENATE('Cable Info'!N110," - ",'Cable Info'!O110))</f>
        <v/>
      </c>
      <c r="AR250" s="150" t="str">
        <f t="shared" si="37"/>
        <v/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/>
      </c>
      <c r="AM251" s="150" t="str">
        <f t="shared" si="36"/>
        <v/>
      </c>
      <c r="AO251" s="150" t="str">
        <f>IF('Cable Info'!N111="","",CONCATENATE('Cable Info'!N111," - ",'Cable Info'!O111))</f>
        <v/>
      </c>
      <c r="AR251" s="150" t="str">
        <f t="shared" si="37"/>
        <v/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/>
      </c>
      <c r="AM252" s="150" t="str">
        <f t="shared" si="36"/>
        <v/>
      </c>
      <c r="AO252" s="150" t="str">
        <f>IF('Cable Info'!N112="","",CONCATENATE('Cable Info'!N112," - ",'Cable Info'!O112))</f>
        <v/>
      </c>
      <c r="AR252" s="150" t="str">
        <f t="shared" si="37"/>
        <v/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/>
      </c>
      <c r="AM253" s="150" t="str">
        <f t="shared" si="36"/>
        <v/>
      </c>
      <c r="AO253" s="150" t="str">
        <f>IF('Cable Info'!N113="","",CONCATENATE('Cable Info'!N113," - ",'Cable Info'!O113))</f>
        <v/>
      </c>
      <c r="AR253" s="150" t="str">
        <f t="shared" si="37"/>
        <v/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/>
      </c>
      <c r="AM254" s="150" t="str">
        <f t="shared" si="36"/>
        <v/>
      </c>
      <c r="AO254" s="150" t="str">
        <f>IF('Cable Info'!N114="","",CONCATENATE('Cable Info'!N114," - ",'Cable Info'!O114))</f>
        <v/>
      </c>
      <c r="AR254" s="150" t="str">
        <f t="shared" si="37"/>
        <v/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/>
      </c>
      <c r="AM255" s="150" t="str">
        <f t="shared" si="36"/>
        <v/>
      </c>
      <c r="AO255" s="150" t="str">
        <f>IF('Cable Info'!N115="","",CONCATENATE('Cable Info'!N115," - ",'Cable Info'!O115))</f>
        <v/>
      </c>
      <c r="AR255" s="150" t="str">
        <f t="shared" si="37"/>
        <v/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/>
      </c>
      <c r="AM256" s="150" t="str">
        <f t="shared" si="36"/>
        <v/>
      </c>
      <c r="AO256" s="150" t="str">
        <f>IF('Cable Info'!N116="","",CONCATENATE('Cable Info'!N116," - ",'Cable Info'!O116))</f>
        <v/>
      </c>
      <c r="AR256" s="150" t="str">
        <f t="shared" si="37"/>
        <v/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/>
      </c>
      <c r="AM257" s="150" t="str">
        <f t="shared" si="36"/>
        <v/>
      </c>
      <c r="AO257" s="150" t="str">
        <f>IF('Cable Info'!N117="","",CONCATENATE('Cable Info'!N117," - ",'Cable Info'!O117))</f>
        <v/>
      </c>
      <c r="AR257" s="150" t="str">
        <f t="shared" si="37"/>
        <v/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/>
      </c>
      <c r="AM258" s="150" t="str">
        <f t="shared" si="36"/>
        <v/>
      </c>
      <c r="AO258" s="150" t="str">
        <f>IF('Cable Info'!N118="","",CONCATENATE('Cable Info'!N118," - ",'Cable Info'!O118))</f>
        <v/>
      </c>
      <c r="AR258" s="150" t="str">
        <f t="shared" si="37"/>
        <v/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/>
      </c>
      <c r="AM259" s="150" t="str">
        <f t="shared" si="36"/>
        <v/>
      </c>
      <c r="AO259" s="150" t="str">
        <f>IF('Cable Info'!N119="","",CONCATENATE('Cable Info'!N119," - ",'Cable Info'!O119))</f>
        <v/>
      </c>
      <c r="AR259" s="150" t="str">
        <f t="shared" si="37"/>
        <v/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/>
      </c>
      <c r="AM260" s="150" t="str">
        <f t="shared" si="36"/>
        <v/>
      </c>
      <c r="AO260" s="150" t="str">
        <f>IF('Cable Info'!N120="","",CONCATENATE('Cable Info'!N120," - ",'Cable Info'!O120))</f>
        <v/>
      </c>
      <c r="AR260" s="150" t="str">
        <f t="shared" si="37"/>
        <v/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/>
      </c>
      <c r="AM261" s="150" t="str">
        <f t="shared" si="36"/>
        <v/>
      </c>
      <c r="AO261" s="150" t="str">
        <f>IF('Cable Info'!N121="","",CONCATENATE('Cable Info'!N121," - ",'Cable Info'!O121))</f>
        <v/>
      </c>
      <c r="AR261" s="150" t="str">
        <f t="shared" si="37"/>
        <v/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/>
      </c>
      <c r="AM262" s="150" t="str">
        <f t="shared" si="36"/>
        <v/>
      </c>
      <c r="AO262" s="150" t="str">
        <f>IF('Cable Info'!N122="","",CONCATENATE('Cable Info'!N122," - ",'Cable Info'!O122))</f>
        <v/>
      </c>
      <c r="AR262" s="150" t="str">
        <f t="shared" si="37"/>
        <v/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/>
      </c>
      <c r="AM263" s="150" t="str">
        <f t="shared" si="36"/>
        <v/>
      </c>
      <c r="AO263" s="150" t="str">
        <f>IF('Cable Info'!N123="","",CONCATENATE('Cable Info'!N123," - ",'Cable Info'!O123))</f>
        <v/>
      </c>
      <c r="AR263" s="150" t="str">
        <f t="shared" si="37"/>
        <v/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/>
      </c>
      <c r="AM264" s="150" t="str">
        <f t="shared" si="36"/>
        <v/>
      </c>
      <c r="AO264" s="150" t="str">
        <f>IF('Cable Info'!N124="","",CONCATENATE('Cable Info'!N124," - ",'Cable Info'!O124))</f>
        <v/>
      </c>
      <c r="AR264" s="150" t="str">
        <f t="shared" si="37"/>
        <v/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/>
      </c>
      <c r="AM265" s="150" t="str">
        <f t="shared" si="36"/>
        <v/>
      </c>
      <c r="AO265" s="150" t="str">
        <f>IF('Cable Info'!N125="","",CONCATENATE('Cable Info'!N125," - ",'Cable Info'!O125))</f>
        <v/>
      </c>
      <c r="AR265" s="150" t="str">
        <f t="shared" si="37"/>
        <v/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/>
      </c>
      <c r="AM266" s="150" t="str">
        <f t="shared" si="36"/>
        <v/>
      </c>
      <c r="AO266" s="150" t="str">
        <f>IF('Cable Info'!N126="","",CONCATENATE('Cable Info'!N126," - ",'Cable Info'!O126))</f>
        <v/>
      </c>
      <c r="AR266" s="150" t="str">
        <f t="shared" si="37"/>
        <v/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/>
      </c>
      <c r="AM267" s="150" t="str">
        <f t="shared" si="36"/>
        <v/>
      </c>
      <c r="AO267" s="150" t="str">
        <f>IF('Cable Info'!N127="","",CONCATENATE('Cable Info'!N127," - ",'Cable Info'!O127))</f>
        <v/>
      </c>
      <c r="AR267" s="150" t="str">
        <f t="shared" si="37"/>
        <v/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/>
      </c>
      <c r="AM268" s="150" t="str">
        <f t="shared" si="36"/>
        <v/>
      </c>
      <c r="AO268" s="150" t="str">
        <f>IF('Cable Info'!N128="","",CONCATENATE('Cable Info'!N128," - ",'Cable Info'!O128))</f>
        <v/>
      </c>
      <c r="AR268" s="150" t="str">
        <f t="shared" si="37"/>
        <v/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/>
      </c>
      <c r="AM269" s="150" t="str">
        <f t="shared" si="36"/>
        <v/>
      </c>
      <c r="AO269" s="150" t="str">
        <f>IF('Cable Info'!N129="","",CONCATENATE('Cable Info'!N129," - ",'Cable Info'!O129))</f>
        <v/>
      </c>
      <c r="AR269" s="150" t="str">
        <f t="shared" si="37"/>
        <v/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/>
      </c>
      <c r="AM270" s="150" t="str">
        <f t="shared" si="36"/>
        <v/>
      </c>
      <c r="AO270" s="150" t="str">
        <f>IF('Cable Info'!N130="","",CONCATENATE('Cable Info'!N130," - ",'Cable Info'!O130))</f>
        <v/>
      </c>
      <c r="AR270" s="150" t="str">
        <f t="shared" si="37"/>
        <v/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/>
      </c>
      <c r="AM271" s="150" t="str">
        <f t="shared" ref="AM271:AM334" si="48">IF(AK271="",AJ271,CONCATENATE(AJ271,"  &lt;=&gt; ",AK271," ",AL271))</f>
        <v/>
      </c>
      <c r="AO271" s="150" t="str">
        <f>IF('Cable Info'!N131="","",CONCATENATE('Cable Info'!N131," - ",'Cable Info'!O131))</f>
        <v/>
      </c>
      <c r="AR271" s="150" t="str">
        <f t="shared" ref="AR271:AR334" si="49">IF(AP271="",AO271,CONCATENATE(AO271,"  &lt;=&gt; ",AP271," ",AQ271))</f>
        <v/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/>
      </c>
      <c r="AM272" s="150" t="str">
        <f t="shared" si="48"/>
        <v/>
      </c>
      <c r="AO272" s="150" t="str">
        <f>IF('Cable Info'!N132="","",CONCATENATE('Cable Info'!N132," - ",'Cable Info'!O132))</f>
        <v/>
      </c>
      <c r="AR272" s="150" t="str">
        <f t="shared" si="49"/>
        <v/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/>
      </c>
      <c r="AM273" s="150" t="str">
        <f t="shared" si="48"/>
        <v/>
      </c>
      <c r="AO273" s="150" t="str">
        <f>IF('Cable Info'!N133="","",CONCATENATE('Cable Info'!N133," - ",'Cable Info'!O133))</f>
        <v/>
      </c>
      <c r="AR273" s="150" t="str">
        <f t="shared" si="49"/>
        <v/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/>
      </c>
      <c r="AM274" s="150" t="str">
        <f t="shared" si="48"/>
        <v/>
      </c>
      <c r="AO274" s="150" t="str">
        <f>IF('Cable Info'!N134="","",CONCATENATE('Cable Info'!N134," - ",'Cable Info'!O134))</f>
        <v/>
      </c>
      <c r="AR274" s="150" t="str">
        <f t="shared" si="49"/>
        <v/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/>
      </c>
      <c r="AM275" s="150" t="str">
        <f t="shared" si="48"/>
        <v/>
      </c>
      <c r="AO275" s="150" t="str">
        <f>IF('Cable Info'!N135="","",CONCATENATE('Cable Info'!N135," - ",'Cable Info'!O135))</f>
        <v/>
      </c>
      <c r="AR275" s="150" t="str">
        <f t="shared" si="49"/>
        <v/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/>
      </c>
      <c r="AM276" s="150" t="str">
        <f t="shared" si="48"/>
        <v/>
      </c>
      <c r="AO276" s="150" t="str">
        <f>IF('Cable Info'!N136="","",CONCATENATE('Cable Info'!N136," - ",'Cable Info'!O136))</f>
        <v/>
      </c>
      <c r="AR276" s="150" t="str">
        <f t="shared" si="49"/>
        <v/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/>
      </c>
      <c r="AM277" s="150" t="str">
        <f t="shared" si="48"/>
        <v/>
      </c>
      <c r="AO277" s="150" t="str">
        <f>IF('Cable Info'!N137="","",CONCATENATE('Cable Info'!N137," - ",'Cable Info'!O137))</f>
        <v/>
      </c>
      <c r="AR277" s="150" t="str">
        <f t="shared" si="49"/>
        <v/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/>
      </c>
      <c r="AM278" s="150" t="str">
        <f t="shared" si="48"/>
        <v/>
      </c>
      <c r="AO278" s="150" t="str">
        <f>IF('Cable Info'!N138="","",CONCATENATE('Cable Info'!N138," - ",'Cable Info'!O138))</f>
        <v/>
      </c>
      <c r="AR278" s="150" t="str">
        <f t="shared" si="49"/>
        <v/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/>
      </c>
      <c r="AM279" s="150" t="str">
        <f t="shared" si="48"/>
        <v/>
      </c>
      <c r="AO279" s="150" t="str">
        <f>IF('Cable Info'!N139="","",CONCATENATE('Cable Info'!N139," - ",'Cable Info'!O139))</f>
        <v/>
      </c>
      <c r="AR279" s="150" t="str">
        <f t="shared" si="49"/>
        <v/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/>
      </c>
      <c r="AM280" s="150" t="str">
        <f t="shared" si="48"/>
        <v/>
      </c>
      <c r="AO280" s="150" t="str">
        <f>IF('Cable Info'!N140="","",CONCATENATE('Cable Info'!N140," - ",'Cable Info'!O140))</f>
        <v/>
      </c>
      <c r="AR280" s="150" t="str">
        <f t="shared" si="49"/>
        <v/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/>
      </c>
      <c r="AM281" s="150" t="str">
        <f t="shared" si="48"/>
        <v/>
      </c>
      <c r="AO281" s="150" t="str">
        <f>IF('Cable Info'!N141="","",CONCATENATE('Cable Info'!N141," - ",'Cable Info'!O141))</f>
        <v/>
      </c>
      <c r="AR281" s="150" t="str">
        <f t="shared" si="49"/>
        <v/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/>
      </c>
      <c r="AM282" s="150" t="str">
        <f t="shared" si="48"/>
        <v/>
      </c>
      <c r="AO282" s="150" t="str">
        <f>IF('Cable Info'!N142="","",CONCATENATE('Cable Info'!N142," - ",'Cable Info'!O142))</f>
        <v/>
      </c>
      <c r="AR282" s="150" t="str">
        <f t="shared" si="49"/>
        <v/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/>
      </c>
      <c r="AM283" s="150" t="str">
        <f t="shared" si="48"/>
        <v/>
      </c>
      <c r="AO283" s="150" t="str">
        <f>IF('Cable Info'!N143="","",CONCATENATE('Cable Info'!N143," - ",'Cable Info'!O143))</f>
        <v/>
      </c>
      <c r="AR283" s="150" t="str">
        <f t="shared" si="49"/>
        <v/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/>
      </c>
      <c r="AM284" s="150" t="str">
        <f t="shared" si="48"/>
        <v/>
      </c>
      <c r="AO284" s="150" t="str">
        <f>IF('Cable Info'!N144="","",CONCATENATE('Cable Info'!N144," - ",'Cable Info'!O144))</f>
        <v/>
      </c>
      <c r="AR284" s="150" t="str">
        <f t="shared" si="49"/>
        <v/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/>
      </c>
      <c r="AM285" s="150" t="str">
        <f t="shared" si="48"/>
        <v/>
      </c>
      <c r="AO285" s="150" t="str">
        <f>IF('Cable Info'!N145="","",CONCATENATE('Cable Info'!N145," - ",'Cable Info'!O145))</f>
        <v/>
      </c>
      <c r="AR285" s="150" t="str">
        <f t="shared" si="49"/>
        <v/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42" priority="32">
      <formula>$Y10=1</formula>
    </cfRule>
  </conditionalFormatting>
  <conditionalFormatting sqref="I10:K13 I154:K224">
    <cfRule type="expression" dxfId="41" priority="31">
      <formula>$Z10=1</formula>
    </cfRule>
  </conditionalFormatting>
  <conditionalFormatting sqref="E10:K13 E154:K224">
    <cfRule type="expression" dxfId="40" priority="30">
      <formula>$AB10=1</formula>
    </cfRule>
  </conditionalFormatting>
  <conditionalFormatting sqref="R11:W13 B10:P13 B154:P224 R154:W224 R10:U10">
    <cfRule type="expression" dxfId="39" priority="29">
      <formula>$X10=12</formula>
    </cfRule>
  </conditionalFormatting>
  <conditionalFormatting sqref="R11:W13 B10:P13 B154:P224 R154:W224 R10:U10">
    <cfRule type="expression" dxfId="38" priority="26">
      <formula>$X10=1</formula>
    </cfRule>
    <cfRule type="expression" dxfId="37" priority="27">
      <formula>$X10=2</formula>
    </cfRule>
    <cfRule type="expression" dxfId="36" priority="28">
      <formula>$X10=11</formula>
    </cfRule>
  </conditionalFormatting>
  <conditionalFormatting sqref="R11:X13 B10:P13 B154:P224 R154:X224 R10:U10 X10">
    <cfRule type="expression" dxfId="35" priority="25">
      <formula>$X10=9</formula>
    </cfRule>
  </conditionalFormatting>
  <conditionalFormatting sqref="E84:G153">
    <cfRule type="expression" dxfId="34" priority="21">
      <formula>$Y84=1</formula>
    </cfRule>
  </conditionalFormatting>
  <conditionalFormatting sqref="I84:K153">
    <cfRule type="expression" dxfId="33" priority="20">
      <formula>$Z84=1</formula>
    </cfRule>
  </conditionalFormatting>
  <conditionalFormatting sqref="E84:K153">
    <cfRule type="expression" dxfId="32" priority="19">
      <formula>$AB84=1</formula>
    </cfRule>
  </conditionalFormatting>
  <conditionalFormatting sqref="B84:P153 R84:W153">
    <cfRule type="expression" dxfId="31" priority="18">
      <formula>$X84=12</formula>
    </cfRule>
  </conditionalFormatting>
  <conditionalFormatting sqref="B84:P153 R84:W153">
    <cfRule type="expression" dxfId="30" priority="15">
      <formula>$X84=1</formula>
    </cfRule>
    <cfRule type="expression" dxfId="29" priority="16">
      <formula>$X84=2</formula>
    </cfRule>
    <cfRule type="expression" dxfId="28" priority="17">
      <formula>$X84=11</formula>
    </cfRule>
  </conditionalFormatting>
  <conditionalFormatting sqref="B84:P153 R84:X153">
    <cfRule type="expression" dxfId="27" priority="14">
      <formula>$X84=9</formula>
    </cfRule>
  </conditionalFormatting>
  <conditionalFormatting sqref="E14:G83">
    <cfRule type="expression" dxfId="26" priority="13">
      <formula>$Y14=1</formula>
    </cfRule>
  </conditionalFormatting>
  <conditionalFormatting sqref="I14:K83">
    <cfRule type="expression" dxfId="25" priority="12">
      <formula>$Z14=1</formula>
    </cfRule>
  </conditionalFormatting>
  <conditionalFormatting sqref="E14:K83">
    <cfRule type="expression" dxfId="24" priority="11">
      <formula>$AB14=1</formula>
    </cfRule>
  </conditionalFormatting>
  <conditionalFormatting sqref="B14:P83 R14:W83">
    <cfRule type="expression" dxfId="23" priority="10">
      <formula>$X14=12</formula>
    </cfRule>
  </conditionalFormatting>
  <conditionalFormatting sqref="B14:P83 R14:W83">
    <cfRule type="expression" dxfId="22" priority="7">
      <formula>$X14=1</formula>
    </cfRule>
    <cfRule type="expression" dxfId="21" priority="8">
      <formula>$X14=2</formula>
    </cfRule>
    <cfRule type="expression" dxfId="20" priority="9">
      <formula>$X14=11</formula>
    </cfRule>
  </conditionalFormatting>
  <conditionalFormatting sqref="B14:P83 R14:X83">
    <cfRule type="expression" dxfId="19" priority="6">
      <formula>$X14=9</formula>
    </cfRule>
  </conditionalFormatting>
  <conditionalFormatting sqref="V10:W10">
    <cfRule type="expression" dxfId="18" priority="5">
      <formula>$X10=12</formula>
    </cfRule>
  </conditionalFormatting>
  <conditionalFormatting sqref="V10:W10">
    <cfRule type="expression" dxfId="17" priority="2">
      <formula>$X10=1</formula>
    </cfRule>
    <cfRule type="expression" dxfId="16" priority="3">
      <formula>$X10=2</formula>
    </cfRule>
    <cfRule type="expression" dxfId="15" priority="4">
      <formula>$X10=11</formula>
    </cfRule>
  </conditionalFormatting>
  <conditionalFormatting sqref="V10:W10">
    <cfRule type="expression" dxfId="14" priority="1">
      <formula>$X10=9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9" customWidth="1"/>
    <col min="2" max="2" width="5.28515625" style="459" customWidth="1"/>
    <col min="3" max="3" width="32.5703125" style="459" customWidth="1"/>
    <col min="4" max="4" width="10.28515625" style="459" customWidth="1"/>
    <col min="5" max="5" width="6.5703125" style="459" customWidth="1"/>
    <col min="6" max="6" width="1.85546875" style="457" customWidth="1"/>
    <col min="7" max="7" width="6.5703125" style="459" customWidth="1"/>
    <col min="8" max="8" width="10.42578125" style="459" bestFit="1" customWidth="1"/>
    <col min="9" max="9" width="47.85546875" style="474" customWidth="1"/>
    <col min="10" max="10" width="29" style="459" customWidth="1"/>
    <col min="11" max="11" width="14" style="460" customWidth="1"/>
    <col min="12" max="12" width="2.140625" style="461" customWidth="1"/>
    <col min="13" max="13" width="11.85546875" style="459" customWidth="1"/>
    <col min="14" max="14" width="24.5703125" style="459" customWidth="1"/>
    <col min="15" max="15" width="1.85546875" style="462" customWidth="1"/>
    <col min="16" max="16" width="7.85546875" style="457" hidden="1" customWidth="1"/>
    <col min="17" max="17" width="9.140625" style="458" hidden="1" customWidth="1"/>
    <col min="18" max="18" width="1.42578125" style="370" customWidth="1"/>
    <col min="19" max="19" width="99" style="370" customWidth="1"/>
    <col min="20" max="124" width="9.140625" style="370"/>
    <col min="125" max="16384" width="9.140625" style="459"/>
  </cols>
  <sheetData>
    <row r="1" spans="1:19" ht="13.5" thickBot="1" x14ac:dyDescent="0.25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77</v>
      </c>
      <c r="Q1" s="369" t="s">
        <v>79</v>
      </c>
    </row>
    <row r="2" spans="1:19" ht="13.5" thickBot="1" x14ac:dyDescent="0.25">
      <c r="A2" s="371"/>
      <c r="B2" s="586" t="s">
        <v>8</v>
      </c>
      <c r="C2" s="587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78</v>
      </c>
      <c r="Q2" s="369" t="s">
        <v>71</v>
      </c>
    </row>
    <row r="3" spans="1:19" ht="12.75" customHeight="1" x14ac:dyDescent="0.2">
      <c r="A3" s="371"/>
      <c r="B3" s="588" t="str">
        <f>'Cover - Location Info'!J8</f>
        <v>101505</v>
      </c>
      <c r="C3" s="589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2" t="str">
        <f>'Cover - Location Info'!J10</f>
        <v>1.0</v>
      </c>
      <c r="O3" s="378"/>
      <c r="P3" s="368"/>
      <c r="Q3" s="369"/>
    </row>
    <row r="4" spans="1:19" ht="12.75" customHeight="1" thickBot="1" x14ac:dyDescent="0.25">
      <c r="A4" s="371"/>
      <c r="B4" s="590"/>
      <c r="C4" s="591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3"/>
      <c r="O4" s="378"/>
      <c r="P4" s="368"/>
      <c r="Q4" s="369"/>
    </row>
    <row r="5" spans="1:19" ht="18" customHeight="1" x14ac:dyDescent="0.25">
      <c r="A5" s="371"/>
      <c r="B5" s="379"/>
      <c r="C5" s="379"/>
      <c r="D5" s="379"/>
      <c r="E5" s="379"/>
      <c r="F5" s="380"/>
      <c r="G5" s="594"/>
      <c r="H5" s="594"/>
      <c r="I5" s="594"/>
      <c r="J5" s="379"/>
      <c r="K5" s="381"/>
      <c r="L5" s="382"/>
      <c r="M5" s="379"/>
      <c r="N5" s="379"/>
      <c r="O5" s="378"/>
      <c r="P5" s="374"/>
      <c r="Q5" s="458" t="s">
        <v>12</v>
      </c>
    </row>
    <row r="6" spans="1:19" ht="29.25" customHeight="1" thickBot="1" x14ac:dyDescent="0.35">
      <c r="A6" s="371"/>
      <c r="B6" s="379"/>
      <c r="C6" s="383"/>
      <c r="D6" s="595" t="str">
        <f>IF(P9&gt;0,"FIBERS OUT OF SEQ.","")</f>
        <v/>
      </c>
      <c r="E6" s="595"/>
      <c r="F6" s="595"/>
      <c r="G6" s="595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25">
      <c r="A7" s="388"/>
      <c r="B7" s="608" t="s">
        <v>149</v>
      </c>
      <c r="C7" s="609"/>
      <c r="D7" s="609"/>
      <c r="E7" s="610"/>
      <c r="F7" s="610"/>
      <c r="G7" s="610"/>
      <c r="H7" s="609"/>
      <c r="I7" s="609"/>
      <c r="J7" s="609"/>
      <c r="K7" s="609"/>
      <c r="L7" s="389"/>
      <c r="M7" s="608" t="s">
        <v>39</v>
      </c>
      <c r="N7" s="611"/>
      <c r="O7" s="596"/>
      <c r="P7" s="374"/>
    </row>
    <row r="8" spans="1:19" ht="13.5" customHeight="1" thickBot="1" x14ac:dyDescent="0.25">
      <c r="A8" s="390"/>
      <c r="B8" s="391"/>
      <c r="C8" s="392" t="s">
        <v>85</v>
      </c>
      <c r="D8" s="393" t="s">
        <v>37</v>
      </c>
      <c r="E8" s="394" t="s">
        <v>74</v>
      </c>
      <c r="F8" s="395"/>
      <c r="G8" s="396" t="s">
        <v>75</v>
      </c>
      <c r="H8" s="397" t="s">
        <v>76</v>
      </c>
      <c r="I8" s="597" t="s">
        <v>144</v>
      </c>
      <c r="J8" s="398"/>
      <c r="K8" s="399"/>
      <c r="L8" s="389"/>
      <c r="M8" s="599" t="s">
        <v>147</v>
      </c>
      <c r="N8" s="400"/>
      <c r="O8" s="596"/>
      <c r="P8" s="374"/>
      <c r="S8" s="601" t="s">
        <v>145</v>
      </c>
    </row>
    <row r="9" spans="1:19" ht="13.5" thickBot="1" x14ac:dyDescent="0.25">
      <c r="A9" s="390"/>
      <c r="B9" s="401" t="s">
        <v>35</v>
      </c>
      <c r="C9" s="402" t="s">
        <v>38</v>
      </c>
      <c r="D9" s="401" t="s">
        <v>3</v>
      </c>
      <c r="E9" s="598" t="s">
        <v>73</v>
      </c>
      <c r="F9" s="603"/>
      <c r="G9" s="604"/>
      <c r="H9" s="403" t="s">
        <v>81</v>
      </c>
      <c r="I9" s="598"/>
      <c r="J9" s="404" t="s">
        <v>88</v>
      </c>
      <c r="K9" s="405" t="s">
        <v>87</v>
      </c>
      <c r="L9" s="406"/>
      <c r="M9" s="600"/>
      <c r="N9" s="401" t="s">
        <v>146</v>
      </c>
      <c r="O9" s="596"/>
      <c r="P9" s="458">
        <f>SUM(P10:P124)</f>
        <v>0</v>
      </c>
      <c r="S9" s="602"/>
    </row>
    <row r="10" spans="1:19" ht="13.5" thickTop="1" x14ac:dyDescent="0.2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59</v>
      </c>
      <c r="G10" s="412"/>
      <c r="H10" s="413" t="str">
        <f>IF(G10="","",((E10-G10)-1)*(-1))</f>
        <v/>
      </c>
      <c r="I10" s="468"/>
      <c r="J10" s="414"/>
      <c r="K10" s="415"/>
      <c r="L10" s="605"/>
      <c r="M10" s="416"/>
      <c r="N10" s="417"/>
      <c r="O10" s="596"/>
      <c r="P10" s="374" t="str">
        <f t="shared" ref="P10:P113" si="0">IF(E10="","",IF(G10="","",IF(E10&gt;G10,1,"")))</f>
        <v/>
      </c>
      <c r="S10" s="418"/>
    </row>
    <row r="11" spans="1:19" x14ac:dyDescent="0.2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59</v>
      </c>
      <c r="G11" s="422"/>
      <c r="H11" s="413" t="str">
        <f>IF(G11="","",((E11-G11)-1)*(-1))</f>
        <v/>
      </c>
      <c r="I11" s="468"/>
      <c r="J11" s="423"/>
      <c r="K11" s="424"/>
      <c r="L11" s="606"/>
      <c r="M11" s="416"/>
      <c r="N11" s="417"/>
      <c r="O11" s="596"/>
      <c r="P11" s="374" t="str">
        <f t="shared" si="0"/>
        <v/>
      </c>
      <c r="S11" s="425"/>
    </row>
    <row r="12" spans="1:19" x14ac:dyDescent="0.2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59</v>
      </c>
      <c r="G12" s="412"/>
      <c r="H12" s="413" t="str">
        <f>IF(G12="","",((E12-G12)-1)*(-1))</f>
        <v/>
      </c>
      <c r="I12" s="469"/>
      <c r="J12" s="423"/>
      <c r="K12" s="424"/>
      <c r="L12" s="606"/>
      <c r="M12" s="416"/>
      <c r="N12" s="426"/>
      <c r="O12" s="596"/>
      <c r="P12" s="374" t="str">
        <f t="shared" si="0"/>
        <v/>
      </c>
      <c r="S12" s="425"/>
    </row>
    <row r="13" spans="1:19" x14ac:dyDescent="0.2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59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6"/>
      <c r="M13" s="416"/>
      <c r="N13" s="426"/>
      <c r="O13" s="596"/>
      <c r="P13" s="374" t="str">
        <f t="shared" si="0"/>
        <v/>
      </c>
      <c r="S13" s="425"/>
    </row>
    <row r="14" spans="1:19" x14ac:dyDescent="0.2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59</v>
      </c>
      <c r="G14" s="412"/>
      <c r="H14" s="413" t="str">
        <f t="shared" si="1"/>
        <v/>
      </c>
      <c r="I14" s="469"/>
      <c r="J14" s="423"/>
      <c r="K14" s="424"/>
      <c r="L14" s="606"/>
      <c r="M14" s="416"/>
      <c r="N14" s="426"/>
      <c r="O14" s="596"/>
      <c r="P14" s="374" t="str">
        <f t="shared" si="0"/>
        <v/>
      </c>
      <c r="S14" s="425"/>
    </row>
    <row r="15" spans="1:19" x14ac:dyDescent="0.2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59</v>
      </c>
      <c r="G15" s="422"/>
      <c r="H15" s="413" t="str">
        <f t="shared" si="1"/>
        <v/>
      </c>
      <c r="I15" s="468"/>
      <c r="J15" s="423"/>
      <c r="K15" s="424"/>
      <c r="L15" s="606"/>
      <c r="M15" s="416"/>
      <c r="N15" s="426"/>
      <c r="O15" s="596"/>
      <c r="P15" s="374" t="str">
        <f t="shared" si="0"/>
        <v/>
      </c>
      <c r="S15" s="425"/>
    </row>
    <row r="16" spans="1:19" x14ac:dyDescent="0.2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59</v>
      </c>
      <c r="G16" s="412"/>
      <c r="H16" s="413" t="str">
        <f t="shared" si="1"/>
        <v/>
      </c>
      <c r="I16" s="469"/>
      <c r="J16" s="423"/>
      <c r="K16" s="424"/>
      <c r="L16" s="606"/>
      <c r="M16" s="416"/>
      <c r="N16" s="426"/>
      <c r="O16" s="596"/>
      <c r="P16" s="374" t="str">
        <f t="shared" si="0"/>
        <v/>
      </c>
      <c r="S16" s="425"/>
    </row>
    <row r="17" spans="1:19" x14ac:dyDescent="0.2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59</v>
      </c>
      <c r="G17" s="422"/>
      <c r="H17" s="413" t="str">
        <f t="shared" si="1"/>
        <v/>
      </c>
      <c r="I17" s="468"/>
      <c r="J17" s="423"/>
      <c r="K17" s="424"/>
      <c r="L17" s="606"/>
      <c r="M17" s="416"/>
      <c r="N17" s="426"/>
      <c r="O17" s="596"/>
      <c r="P17" s="374" t="str">
        <f t="shared" si="0"/>
        <v/>
      </c>
      <c r="S17" s="425"/>
    </row>
    <row r="18" spans="1:19" x14ac:dyDescent="0.2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59</v>
      </c>
      <c r="G18" s="412"/>
      <c r="H18" s="413" t="str">
        <f t="shared" si="1"/>
        <v/>
      </c>
      <c r="I18" s="469"/>
      <c r="J18" s="423"/>
      <c r="K18" s="424"/>
      <c r="L18" s="606"/>
      <c r="M18" s="416"/>
      <c r="N18" s="426"/>
      <c r="O18" s="596"/>
      <c r="P18" s="374" t="str">
        <f t="shared" si="0"/>
        <v/>
      </c>
      <c r="S18" s="425"/>
    </row>
    <row r="19" spans="1:19" x14ac:dyDescent="0.2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59</v>
      </c>
      <c r="G19" s="422"/>
      <c r="H19" s="413" t="str">
        <f>IF(G19="","",((E19-G19)-1)*(-1))</f>
        <v/>
      </c>
      <c r="I19" s="468"/>
      <c r="J19" s="423"/>
      <c r="K19" s="424"/>
      <c r="L19" s="606"/>
      <c r="M19" s="416"/>
      <c r="N19" s="426"/>
      <c r="O19" s="596"/>
      <c r="P19" s="374" t="str">
        <f t="shared" si="0"/>
        <v/>
      </c>
      <c r="S19" s="425"/>
    </row>
    <row r="20" spans="1:19" x14ac:dyDescent="0.2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59</v>
      </c>
      <c r="G20" s="412"/>
      <c r="H20" s="413" t="str">
        <f t="shared" si="1"/>
        <v/>
      </c>
      <c r="I20" s="469"/>
      <c r="J20" s="423"/>
      <c r="K20" s="424"/>
      <c r="L20" s="606"/>
      <c r="M20" s="416"/>
      <c r="N20" s="426"/>
      <c r="O20" s="596"/>
      <c r="P20" s="374" t="str">
        <f t="shared" si="0"/>
        <v/>
      </c>
      <c r="S20" s="425"/>
    </row>
    <row r="21" spans="1:19" x14ac:dyDescent="0.2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59</v>
      </c>
      <c r="G21" s="422"/>
      <c r="H21" s="413" t="str">
        <f t="shared" si="1"/>
        <v/>
      </c>
      <c r="I21" s="468"/>
      <c r="J21" s="423"/>
      <c r="K21" s="424"/>
      <c r="L21" s="606"/>
      <c r="M21" s="416"/>
      <c r="N21" s="426"/>
      <c r="O21" s="596"/>
      <c r="P21" s="374" t="str">
        <f t="shared" si="0"/>
        <v/>
      </c>
      <c r="S21" s="425"/>
    </row>
    <row r="22" spans="1:19" x14ac:dyDescent="0.2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59</v>
      </c>
      <c r="G22" s="422"/>
      <c r="H22" s="413" t="str">
        <f t="shared" si="1"/>
        <v/>
      </c>
      <c r="I22" s="468"/>
      <c r="J22" s="423"/>
      <c r="K22" s="424"/>
      <c r="L22" s="606"/>
      <c r="M22" s="416"/>
      <c r="N22" s="426"/>
      <c r="O22" s="596"/>
      <c r="P22" s="374" t="str">
        <f t="shared" si="0"/>
        <v/>
      </c>
      <c r="S22" s="425"/>
    </row>
    <row r="23" spans="1:19" x14ac:dyDescent="0.2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59</v>
      </c>
      <c r="G23" s="422"/>
      <c r="H23" s="413" t="str">
        <f t="shared" si="1"/>
        <v/>
      </c>
      <c r="I23" s="468"/>
      <c r="J23" s="423"/>
      <c r="K23" s="424"/>
      <c r="L23" s="606"/>
      <c r="M23" s="416"/>
      <c r="N23" s="426"/>
      <c r="O23" s="596"/>
      <c r="P23" s="374" t="str">
        <f t="shared" si="0"/>
        <v/>
      </c>
      <c r="S23" s="425"/>
    </row>
    <row r="24" spans="1:19" x14ac:dyDescent="0.2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59</v>
      </c>
      <c r="G24" s="422"/>
      <c r="H24" s="413" t="str">
        <f t="shared" si="1"/>
        <v/>
      </c>
      <c r="I24" s="468"/>
      <c r="J24" s="423"/>
      <c r="K24" s="424"/>
      <c r="L24" s="606"/>
      <c r="M24" s="416"/>
      <c r="N24" s="426"/>
      <c r="O24" s="596"/>
      <c r="P24" s="374" t="str">
        <f t="shared" si="0"/>
        <v/>
      </c>
      <c r="S24" s="425"/>
    </row>
    <row r="25" spans="1:19" x14ac:dyDescent="0.2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59</v>
      </c>
      <c r="G25" s="422"/>
      <c r="H25" s="413" t="str">
        <f t="shared" si="1"/>
        <v/>
      </c>
      <c r="I25" s="468"/>
      <c r="J25" s="423"/>
      <c r="K25" s="424"/>
      <c r="L25" s="606"/>
      <c r="M25" s="416"/>
      <c r="N25" s="426"/>
      <c r="O25" s="596"/>
      <c r="P25" s="374" t="str">
        <f t="shared" si="0"/>
        <v/>
      </c>
      <c r="S25" s="425"/>
    </row>
    <row r="26" spans="1:19" x14ac:dyDescent="0.2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59</v>
      </c>
      <c r="G26" s="422"/>
      <c r="H26" s="413" t="str">
        <f t="shared" si="1"/>
        <v/>
      </c>
      <c r="I26" s="468"/>
      <c r="J26" s="423"/>
      <c r="K26" s="424"/>
      <c r="L26" s="606"/>
      <c r="M26" s="416"/>
      <c r="N26" s="426"/>
      <c r="O26" s="596"/>
      <c r="P26" s="374" t="str">
        <f t="shared" si="0"/>
        <v/>
      </c>
      <c r="S26" s="425"/>
    </row>
    <row r="27" spans="1:19" x14ac:dyDescent="0.2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59</v>
      </c>
      <c r="G27" s="422"/>
      <c r="H27" s="413" t="str">
        <f t="shared" si="1"/>
        <v/>
      </c>
      <c r="I27" s="468"/>
      <c r="J27" s="423"/>
      <c r="K27" s="424"/>
      <c r="L27" s="606"/>
      <c r="M27" s="416"/>
      <c r="N27" s="426"/>
      <c r="O27" s="596"/>
      <c r="P27" s="374" t="str">
        <f t="shared" si="0"/>
        <v/>
      </c>
      <c r="S27" s="425"/>
    </row>
    <row r="28" spans="1:19" x14ac:dyDescent="0.2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59</v>
      </c>
      <c r="G28" s="422"/>
      <c r="H28" s="413" t="str">
        <f t="shared" si="1"/>
        <v/>
      </c>
      <c r="I28" s="468"/>
      <c r="J28" s="423"/>
      <c r="K28" s="424"/>
      <c r="L28" s="606"/>
      <c r="M28" s="416"/>
      <c r="N28" s="426"/>
      <c r="O28" s="596"/>
      <c r="P28" s="374" t="str">
        <f t="shared" si="0"/>
        <v/>
      </c>
      <c r="S28" s="425"/>
    </row>
    <row r="29" spans="1:19" x14ac:dyDescent="0.2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59</v>
      </c>
      <c r="G29" s="422"/>
      <c r="H29" s="413" t="str">
        <f t="shared" si="1"/>
        <v/>
      </c>
      <c r="I29" s="468"/>
      <c r="J29" s="423"/>
      <c r="K29" s="424"/>
      <c r="L29" s="606"/>
      <c r="M29" s="416"/>
      <c r="N29" s="426"/>
      <c r="O29" s="596"/>
      <c r="P29" s="374" t="str">
        <f t="shared" si="0"/>
        <v/>
      </c>
      <c r="S29" s="425"/>
    </row>
    <row r="30" spans="1:19" x14ac:dyDescent="0.2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59</v>
      </c>
      <c r="G30" s="422"/>
      <c r="H30" s="413" t="str">
        <f t="shared" si="1"/>
        <v/>
      </c>
      <c r="I30" s="468"/>
      <c r="J30" s="423"/>
      <c r="K30" s="424"/>
      <c r="L30" s="606"/>
      <c r="M30" s="416"/>
      <c r="N30" s="426"/>
      <c r="O30" s="596"/>
      <c r="P30" s="374" t="str">
        <f t="shared" si="0"/>
        <v/>
      </c>
      <c r="S30" s="425"/>
    </row>
    <row r="31" spans="1:19" x14ac:dyDescent="0.2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59</v>
      </c>
      <c r="G31" s="422"/>
      <c r="H31" s="413" t="str">
        <f t="shared" si="1"/>
        <v/>
      </c>
      <c r="I31" s="468"/>
      <c r="J31" s="423"/>
      <c r="K31" s="424"/>
      <c r="L31" s="606"/>
      <c r="M31" s="416"/>
      <c r="N31" s="426"/>
      <c r="O31" s="596"/>
      <c r="P31" s="374" t="str">
        <f t="shared" si="0"/>
        <v/>
      </c>
      <c r="S31" s="425"/>
    </row>
    <row r="32" spans="1:19" x14ac:dyDescent="0.2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59</v>
      </c>
      <c r="G32" s="422"/>
      <c r="H32" s="413" t="str">
        <f t="shared" si="1"/>
        <v/>
      </c>
      <c r="I32" s="468"/>
      <c r="J32" s="423"/>
      <c r="K32" s="424"/>
      <c r="L32" s="606"/>
      <c r="M32" s="416"/>
      <c r="N32" s="426"/>
      <c r="O32" s="596"/>
      <c r="P32" s="374" t="str">
        <f t="shared" si="0"/>
        <v/>
      </c>
      <c r="S32" s="425"/>
    </row>
    <row r="33" spans="1:19" x14ac:dyDescent="0.2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59</v>
      </c>
      <c r="G33" s="422"/>
      <c r="H33" s="413" t="str">
        <f t="shared" si="1"/>
        <v/>
      </c>
      <c r="I33" s="468"/>
      <c r="J33" s="423"/>
      <c r="K33" s="424"/>
      <c r="L33" s="606"/>
      <c r="M33" s="416"/>
      <c r="N33" s="426"/>
      <c r="O33" s="596"/>
      <c r="P33" s="374" t="str">
        <f t="shared" si="0"/>
        <v/>
      </c>
      <c r="S33" s="425"/>
    </row>
    <row r="34" spans="1:19" x14ac:dyDescent="0.2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59</v>
      </c>
      <c r="G34" s="422"/>
      <c r="H34" s="413" t="str">
        <f t="shared" si="1"/>
        <v/>
      </c>
      <c r="I34" s="468"/>
      <c r="J34" s="423"/>
      <c r="K34" s="424"/>
      <c r="L34" s="606"/>
      <c r="M34" s="416"/>
      <c r="N34" s="426"/>
      <c r="O34" s="596"/>
      <c r="P34" s="374" t="str">
        <f t="shared" si="0"/>
        <v/>
      </c>
      <c r="S34" s="425"/>
    </row>
    <row r="35" spans="1:19" x14ac:dyDescent="0.2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59</v>
      </c>
      <c r="G35" s="422"/>
      <c r="H35" s="413" t="str">
        <f t="shared" si="1"/>
        <v/>
      </c>
      <c r="I35" s="468"/>
      <c r="J35" s="423"/>
      <c r="K35" s="424"/>
      <c r="L35" s="606"/>
      <c r="M35" s="416"/>
      <c r="N35" s="426"/>
      <c r="O35" s="596"/>
      <c r="P35" s="374" t="str">
        <f t="shared" si="0"/>
        <v/>
      </c>
      <c r="S35" s="425"/>
    </row>
    <row r="36" spans="1:19" x14ac:dyDescent="0.2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59</v>
      </c>
      <c r="G36" s="422"/>
      <c r="H36" s="413" t="str">
        <f t="shared" si="1"/>
        <v/>
      </c>
      <c r="I36" s="468"/>
      <c r="J36" s="423"/>
      <c r="K36" s="424"/>
      <c r="L36" s="606"/>
      <c r="M36" s="416"/>
      <c r="N36" s="426"/>
      <c r="O36" s="596"/>
      <c r="P36" s="368" t="str">
        <f t="shared" si="0"/>
        <v/>
      </c>
      <c r="Q36" s="369"/>
      <c r="S36" s="425"/>
    </row>
    <row r="37" spans="1:19" x14ac:dyDescent="0.2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59</v>
      </c>
      <c r="G37" s="422"/>
      <c r="H37" s="413" t="str">
        <f t="shared" si="1"/>
        <v/>
      </c>
      <c r="I37" s="468"/>
      <c r="J37" s="423"/>
      <c r="K37" s="424"/>
      <c r="L37" s="606"/>
      <c r="M37" s="416"/>
      <c r="N37" s="426"/>
      <c r="O37" s="596"/>
      <c r="P37" s="368" t="str">
        <f t="shared" si="0"/>
        <v/>
      </c>
      <c r="Q37" s="369"/>
      <c r="S37" s="425"/>
    </row>
    <row r="38" spans="1:19" x14ac:dyDescent="0.2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59</v>
      </c>
      <c r="G38" s="422"/>
      <c r="H38" s="413" t="str">
        <f t="shared" si="1"/>
        <v/>
      </c>
      <c r="I38" s="468"/>
      <c r="J38" s="423"/>
      <c r="K38" s="424"/>
      <c r="L38" s="606"/>
      <c r="M38" s="416"/>
      <c r="N38" s="426"/>
      <c r="O38" s="596"/>
      <c r="P38" s="368" t="str">
        <f t="shared" si="0"/>
        <v/>
      </c>
      <c r="Q38" s="369"/>
      <c r="S38" s="425"/>
    </row>
    <row r="39" spans="1:19" x14ac:dyDescent="0.2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59</v>
      </c>
      <c r="G39" s="422"/>
      <c r="H39" s="413" t="str">
        <f t="shared" si="1"/>
        <v/>
      </c>
      <c r="I39" s="468"/>
      <c r="J39" s="423"/>
      <c r="K39" s="424"/>
      <c r="L39" s="606"/>
      <c r="M39" s="416"/>
      <c r="N39" s="426"/>
      <c r="O39" s="596"/>
      <c r="P39" s="368" t="str">
        <f t="shared" si="0"/>
        <v/>
      </c>
      <c r="Q39" s="369"/>
      <c r="S39" s="425"/>
    </row>
    <row r="40" spans="1:19" x14ac:dyDescent="0.2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59</v>
      </c>
      <c r="G40" s="422"/>
      <c r="H40" s="413" t="str">
        <f t="shared" si="1"/>
        <v/>
      </c>
      <c r="I40" s="468"/>
      <c r="J40" s="423"/>
      <c r="K40" s="424"/>
      <c r="L40" s="606"/>
      <c r="M40" s="416"/>
      <c r="N40" s="426"/>
      <c r="O40" s="596"/>
      <c r="P40" s="368" t="str">
        <f t="shared" si="0"/>
        <v/>
      </c>
      <c r="Q40" s="369"/>
      <c r="S40" s="425"/>
    </row>
    <row r="41" spans="1:19" x14ac:dyDescent="0.2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59</v>
      </c>
      <c r="G41" s="422"/>
      <c r="H41" s="413" t="str">
        <f t="shared" si="1"/>
        <v/>
      </c>
      <c r="I41" s="468"/>
      <c r="J41" s="423"/>
      <c r="K41" s="424"/>
      <c r="L41" s="606"/>
      <c r="M41" s="416"/>
      <c r="N41" s="426"/>
      <c r="O41" s="596"/>
      <c r="P41" s="368" t="str">
        <f t="shared" si="0"/>
        <v/>
      </c>
      <c r="Q41" s="369"/>
      <c r="S41" s="425"/>
    </row>
    <row r="42" spans="1:19" x14ac:dyDescent="0.2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59</v>
      </c>
      <c r="G42" s="422"/>
      <c r="H42" s="413" t="str">
        <f t="shared" si="1"/>
        <v/>
      </c>
      <c r="I42" s="468"/>
      <c r="J42" s="423"/>
      <c r="K42" s="424"/>
      <c r="L42" s="606"/>
      <c r="M42" s="416"/>
      <c r="N42" s="426"/>
      <c r="O42" s="596"/>
      <c r="P42" s="368" t="str">
        <f t="shared" si="0"/>
        <v/>
      </c>
      <c r="Q42" s="369"/>
      <c r="S42" s="425"/>
    </row>
    <row r="43" spans="1:19" x14ac:dyDescent="0.2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59</v>
      </c>
      <c r="G43" s="422"/>
      <c r="H43" s="413" t="str">
        <f t="shared" si="1"/>
        <v/>
      </c>
      <c r="I43" s="468"/>
      <c r="J43" s="423"/>
      <c r="K43" s="424"/>
      <c r="L43" s="606"/>
      <c r="M43" s="416"/>
      <c r="N43" s="426"/>
      <c r="O43" s="596"/>
      <c r="P43" s="368" t="str">
        <f t="shared" si="0"/>
        <v/>
      </c>
      <c r="Q43" s="369"/>
      <c r="S43" s="425"/>
    </row>
    <row r="44" spans="1:19" x14ac:dyDescent="0.2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59</v>
      </c>
      <c r="G44" s="422"/>
      <c r="H44" s="413" t="str">
        <f t="shared" si="1"/>
        <v/>
      </c>
      <c r="I44" s="468"/>
      <c r="J44" s="423"/>
      <c r="K44" s="424"/>
      <c r="L44" s="606"/>
      <c r="M44" s="416"/>
      <c r="N44" s="426"/>
      <c r="O44" s="596"/>
      <c r="P44" s="368" t="str">
        <f t="shared" si="0"/>
        <v/>
      </c>
      <c r="Q44" s="369"/>
      <c r="S44" s="425"/>
    </row>
    <row r="45" spans="1:19" x14ac:dyDescent="0.2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59</v>
      </c>
      <c r="G45" s="422"/>
      <c r="H45" s="413" t="str">
        <f t="shared" si="1"/>
        <v/>
      </c>
      <c r="I45" s="468"/>
      <c r="J45" s="423"/>
      <c r="K45" s="424"/>
      <c r="L45" s="606"/>
      <c r="M45" s="416"/>
      <c r="N45" s="426"/>
      <c r="O45" s="596"/>
      <c r="P45" s="368" t="str">
        <f t="shared" si="0"/>
        <v/>
      </c>
      <c r="Q45" s="369"/>
      <c r="S45" s="425"/>
    </row>
    <row r="46" spans="1:19" x14ac:dyDescent="0.2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59</v>
      </c>
      <c r="G46" s="422"/>
      <c r="H46" s="413" t="str">
        <f t="shared" si="1"/>
        <v/>
      </c>
      <c r="I46" s="468"/>
      <c r="J46" s="423"/>
      <c r="K46" s="424"/>
      <c r="L46" s="606"/>
      <c r="M46" s="416"/>
      <c r="N46" s="426"/>
      <c r="O46" s="596"/>
      <c r="P46" s="368" t="str">
        <f t="shared" si="0"/>
        <v/>
      </c>
      <c r="Q46" s="369"/>
      <c r="S46" s="425"/>
    </row>
    <row r="47" spans="1:19" x14ac:dyDescent="0.2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59</v>
      </c>
      <c r="G47" s="422"/>
      <c r="H47" s="413" t="str">
        <f t="shared" si="1"/>
        <v/>
      </c>
      <c r="I47" s="468"/>
      <c r="J47" s="423"/>
      <c r="K47" s="424"/>
      <c r="L47" s="606"/>
      <c r="M47" s="416"/>
      <c r="N47" s="428"/>
      <c r="O47" s="596"/>
      <c r="P47" s="368" t="str">
        <f t="shared" si="0"/>
        <v/>
      </c>
      <c r="Q47" s="369"/>
      <c r="S47" s="425"/>
    </row>
    <row r="48" spans="1:19" x14ac:dyDescent="0.2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59</v>
      </c>
      <c r="G48" s="422"/>
      <c r="H48" s="413" t="str">
        <f t="shared" si="1"/>
        <v/>
      </c>
      <c r="I48" s="468"/>
      <c r="J48" s="423"/>
      <c r="K48" s="424"/>
      <c r="L48" s="606"/>
      <c r="M48" s="416"/>
      <c r="N48" s="428"/>
      <c r="O48" s="596"/>
      <c r="P48" s="368" t="str">
        <f t="shared" si="0"/>
        <v/>
      </c>
      <c r="Q48" s="369"/>
      <c r="S48" s="425"/>
    </row>
    <row r="49" spans="1:19" x14ac:dyDescent="0.2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59</v>
      </c>
      <c r="G49" s="422"/>
      <c r="H49" s="413" t="str">
        <f t="shared" si="1"/>
        <v/>
      </c>
      <c r="I49" s="468"/>
      <c r="J49" s="423"/>
      <c r="K49" s="424"/>
      <c r="L49" s="606"/>
      <c r="M49" s="416"/>
      <c r="N49" s="428"/>
      <c r="O49" s="596"/>
      <c r="P49" s="368" t="str">
        <f t="shared" si="0"/>
        <v/>
      </c>
      <c r="Q49" s="369"/>
      <c r="S49" s="425"/>
    </row>
    <row r="50" spans="1:19" x14ac:dyDescent="0.2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59</v>
      </c>
      <c r="G50" s="422"/>
      <c r="H50" s="413" t="str">
        <f t="shared" si="1"/>
        <v/>
      </c>
      <c r="I50" s="468"/>
      <c r="J50" s="423"/>
      <c r="K50" s="424"/>
      <c r="L50" s="606"/>
      <c r="M50" s="416"/>
      <c r="N50" s="428"/>
      <c r="O50" s="596"/>
      <c r="P50" s="368" t="str">
        <f t="shared" si="0"/>
        <v/>
      </c>
      <c r="Q50" s="369"/>
      <c r="S50" s="425"/>
    </row>
    <row r="51" spans="1:19" x14ac:dyDescent="0.2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59</v>
      </c>
      <c r="G51" s="422"/>
      <c r="H51" s="413" t="str">
        <f t="shared" si="1"/>
        <v/>
      </c>
      <c r="I51" s="468"/>
      <c r="J51" s="423"/>
      <c r="K51" s="424"/>
      <c r="L51" s="606"/>
      <c r="M51" s="416"/>
      <c r="N51" s="428"/>
      <c r="O51" s="596"/>
      <c r="P51" s="368" t="str">
        <f t="shared" si="0"/>
        <v/>
      </c>
      <c r="Q51" s="369"/>
      <c r="S51" s="425"/>
    </row>
    <row r="52" spans="1:19" x14ac:dyDescent="0.2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59</v>
      </c>
      <c r="G52" s="422"/>
      <c r="H52" s="413" t="str">
        <f t="shared" si="1"/>
        <v/>
      </c>
      <c r="I52" s="468"/>
      <c r="J52" s="423"/>
      <c r="K52" s="424"/>
      <c r="L52" s="606"/>
      <c r="M52" s="416"/>
      <c r="N52" s="428"/>
      <c r="O52" s="596"/>
      <c r="P52" s="368" t="str">
        <f t="shared" si="0"/>
        <v/>
      </c>
      <c r="Q52" s="369"/>
      <c r="S52" s="425"/>
    </row>
    <row r="53" spans="1:19" x14ac:dyDescent="0.2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59</v>
      </c>
      <c r="G53" s="422"/>
      <c r="H53" s="413" t="str">
        <f t="shared" si="1"/>
        <v/>
      </c>
      <c r="I53" s="468"/>
      <c r="J53" s="423"/>
      <c r="K53" s="424"/>
      <c r="L53" s="606"/>
      <c r="M53" s="416"/>
      <c r="N53" s="428"/>
      <c r="O53" s="596"/>
      <c r="P53" s="368" t="str">
        <f t="shared" si="0"/>
        <v/>
      </c>
      <c r="Q53" s="369"/>
      <c r="S53" s="425"/>
    </row>
    <row r="54" spans="1:19" x14ac:dyDescent="0.2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59</v>
      </c>
      <c r="G54" s="422"/>
      <c r="H54" s="413" t="str">
        <f t="shared" si="1"/>
        <v/>
      </c>
      <c r="I54" s="468"/>
      <c r="J54" s="423"/>
      <c r="K54" s="424"/>
      <c r="L54" s="606"/>
      <c r="M54" s="416"/>
      <c r="N54" s="428"/>
      <c r="O54" s="596"/>
      <c r="P54" s="368" t="str">
        <f t="shared" si="0"/>
        <v/>
      </c>
      <c r="Q54" s="369"/>
      <c r="S54" s="425"/>
    </row>
    <row r="55" spans="1:19" x14ac:dyDescent="0.2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59</v>
      </c>
      <c r="G55" s="422"/>
      <c r="H55" s="413" t="str">
        <f t="shared" si="1"/>
        <v/>
      </c>
      <c r="I55" s="468"/>
      <c r="J55" s="423"/>
      <c r="K55" s="424"/>
      <c r="L55" s="606"/>
      <c r="M55" s="416"/>
      <c r="N55" s="428"/>
      <c r="O55" s="596"/>
      <c r="P55" s="368" t="str">
        <f t="shared" si="0"/>
        <v/>
      </c>
      <c r="Q55" s="369"/>
      <c r="S55" s="425"/>
    </row>
    <row r="56" spans="1:19" x14ac:dyDescent="0.2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59</v>
      </c>
      <c r="G56" s="422"/>
      <c r="H56" s="413" t="str">
        <f t="shared" si="1"/>
        <v/>
      </c>
      <c r="I56" s="468"/>
      <c r="J56" s="423"/>
      <c r="K56" s="424"/>
      <c r="L56" s="606"/>
      <c r="M56" s="416"/>
      <c r="N56" s="428"/>
      <c r="O56" s="596"/>
      <c r="P56" s="368" t="str">
        <f t="shared" si="0"/>
        <v/>
      </c>
      <c r="Q56" s="369"/>
      <c r="S56" s="425"/>
    </row>
    <row r="57" spans="1:19" x14ac:dyDescent="0.2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59</v>
      </c>
      <c r="G57" s="422"/>
      <c r="H57" s="413" t="str">
        <f t="shared" si="1"/>
        <v/>
      </c>
      <c r="I57" s="468"/>
      <c r="J57" s="423"/>
      <c r="K57" s="424"/>
      <c r="L57" s="606"/>
      <c r="M57" s="416"/>
      <c r="N57" s="428"/>
      <c r="O57" s="596"/>
      <c r="P57" s="368" t="str">
        <f t="shared" si="0"/>
        <v/>
      </c>
      <c r="Q57" s="369"/>
      <c r="S57" s="425"/>
    </row>
    <row r="58" spans="1:19" x14ac:dyDescent="0.2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59</v>
      </c>
      <c r="G58" s="422"/>
      <c r="H58" s="413" t="str">
        <f t="shared" si="1"/>
        <v/>
      </c>
      <c r="I58" s="468"/>
      <c r="J58" s="423"/>
      <c r="K58" s="424"/>
      <c r="L58" s="606"/>
      <c r="M58" s="416"/>
      <c r="N58" s="428"/>
      <c r="O58" s="596"/>
      <c r="P58" s="368" t="str">
        <f t="shared" si="0"/>
        <v/>
      </c>
      <c r="Q58" s="369"/>
      <c r="S58" s="425"/>
    </row>
    <row r="59" spans="1:19" x14ac:dyDescent="0.2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59</v>
      </c>
      <c r="G59" s="422"/>
      <c r="H59" s="413" t="str">
        <f t="shared" si="1"/>
        <v/>
      </c>
      <c r="I59" s="468"/>
      <c r="J59" s="423"/>
      <c r="K59" s="424"/>
      <c r="L59" s="606"/>
      <c r="M59" s="416"/>
      <c r="N59" s="428"/>
      <c r="O59" s="596"/>
      <c r="P59" s="368" t="str">
        <f t="shared" si="0"/>
        <v/>
      </c>
      <c r="Q59" s="369"/>
      <c r="S59" s="425"/>
    </row>
    <row r="60" spans="1:19" x14ac:dyDescent="0.2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59</v>
      </c>
      <c r="G60" s="422"/>
      <c r="H60" s="413" t="str">
        <f t="shared" si="1"/>
        <v/>
      </c>
      <c r="I60" s="468"/>
      <c r="J60" s="423"/>
      <c r="K60" s="424"/>
      <c r="L60" s="606"/>
      <c r="M60" s="416"/>
      <c r="N60" s="428"/>
      <c r="O60" s="596"/>
      <c r="P60" s="368" t="str">
        <f t="shared" si="0"/>
        <v/>
      </c>
      <c r="Q60" s="369"/>
      <c r="S60" s="425"/>
    </row>
    <row r="61" spans="1:19" x14ac:dyDescent="0.2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59</v>
      </c>
      <c r="G61" s="422"/>
      <c r="H61" s="413" t="str">
        <f t="shared" si="1"/>
        <v/>
      </c>
      <c r="I61" s="468"/>
      <c r="J61" s="423"/>
      <c r="K61" s="424"/>
      <c r="L61" s="606"/>
      <c r="M61" s="416"/>
      <c r="N61" s="428"/>
      <c r="O61" s="596"/>
      <c r="P61" s="368" t="str">
        <f t="shared" si="0"/>
        <v/>
      </c>
      <c r="Q61" s="369"/>
      <c r="S61" s="425"/>
    </row>
    <row r="62" spans="1:19" x14ac:dyDescent="0.2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59</v>
      </c>
      <c r="G62" s="422"/>
      <c r="H62" s="413" t="str">
        <f t="shared" si="1"/>
        <v/>
      </c>
      <c r="I62" s="468"/>
      <c r="J62" s="423"/>
      <c r="K62" s="424"/>
      <c r="L62" s="606"/>
      <c r="M62" s="416"/>
      <c r="N62" s="428"/>
      <c r="O62" s="596"/>
      <c r="P62" s="368" t="str">
        <f t="shared" si="0"/>
        <v/>
      </c>
      <c r="Q62" s="369"/>
      <c r="S62" s="425"/>
    </row>
    <row r="63" spans="1:19" x14ac:dyDescent="0.2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59</v>
      </c>
      <c r="G63" s="422"/>
      <c r="H63" s="413" t="str">
        <f t="shared" si="1"/>
        <v/>
      </c>
      <c r="I63" s="468"/>
      <c r="J63" s="423"/>
      <c r="K63" s="424"/>
      <c r="L63" s="606"/>
      <c r="M63" s="416"/>
      <c r="N63" s="428"/>
      <c r="O63" s="596"/>
      <c r="P63" s="368" t="str">
        <f t="shared" si="0"/>
        <v/>
      </c>
      <c r="Q63" s="369"/>
      <c r="S63" s="425"/>
    </row>
    <row r="64" spans="1:19" x14ac:dyDescent="0.2">
      <c r="A64" s="388"/>
      <c r="B64" s="407"/>
      <c r="C64" s="413"/>
      <c r="D64" s="419"/>
      <c r="E64" s="420"/>
      <c r="F64" s="421" t="s">
        <v>59</v>
      </c>
      <c r="G64" s="422"/>
      <c r="H64" s="413"/>
      <c r="I64" s="468"/>
      <c r="J64" s="423"/>
      <c r="K64" s="424"/>
      <c r="L64" s="606"/>
      <c r="M64" s="416"/>
      <c r="N64" s="428"/>
      <c r="O64" s="596"/>
      <c r="P64" s="368"/>
      <c r="Q64" s="369"/>
      <c r="S64" s="425"/>
    </row>
    <row r="65" spans="1:19" x14ac:dyDescent="0.2">
      <c r="A65" s="388"/>
      <c r="B65" s="407"/>
      <c r="C65" s="413"/>
      <c r="D65" s="419"/>
      <c r="E65" s="420"/>
      <c r="F65" s="421" t="s">
        <v>59</v>
      </c>
      <c r="G65" s="422"/>
      <c r="H65" s="413"/>
      <c r="I65" s="468"/>
      <c r="J65" s="423"/>
      <c r="K65" s="424"/>
      <c r="L65" s="606"/>
      <c r="M65" s="416"/>
      <c r="N65" s="428"/>
      <c r="O65" s="596"/>
      <c r="P65" s="368"/>
      <c r="Q65" s="369"/>
      <c r="S65" s="425"/>
    </row>
    <row r="66" spans="1:19" x14ac:dyDescent="0.2">
      <c r="A66" s="388"/>
      <c r="B66" s="407"/>
      <c r="C66" s="413"/>
      <c r="D66" s="419"/>
      <c r="E66" s="420"/>
      <c r="F66" s="421" t="s">
        <v>59</v>
      </c>
      <c r="G66" s="422"/>
      <c r="H66" s="413"/>
      <c r="I66" s="468"/>
      <c r="J66" s="423"/>
      <c r="K66" s="424"/>
      <c r="L66" s="606"/>
      <c r="M66" s="416"/>
      <c r="N66" s="428"/>
      <c r="O66" s="596"/>
      <c r="P66" s="368"/>
      <c r="Q66" s="369"/>
      <c r="S66" s="425"/>
    </row>
    <row r="67" spans="1:19" x14ac:dyDescent="0.2">
      <c r="A67" s="388"/>
      <c r="B67" s="407"/>
      <c r="C67" s="413"/>
      <c r="D67" s="419"/>
      <c r="E67" s="420"/>
      <c r="F67" s="421" t="s">
        <v>59</v>
      </c>
      <c r="G67" s="422"/>
      <c r="H67" s="413"/>
      <c r="I67" s="468"/>
      <c r="J67" s="423"/>
      <c r="K67" s="424"/>
      <c r="L67" s="606"/>
      <c r="M67" s="416"/>
      <c r="N67" s="428"/>
      <c r="O67" s="596"/>
      <c r="P67" s="368"/>
      <c r="Q67" s="369"/>
      <c r="S67" s="425"/>
    </row>
    <row r="68" spans="1:19" x14ac:dyDescent="0.2">
      <c r="A68" s="388"/>
      <c r="B68" s="407"/>
      <c r="C68" s="413"/>
      <c r="D68" s="419"/>
      <c r="E68" s="420"/>
      <c r="F68" s="421" t="s">
        <v>59</v>
      </c>
      <c r="G68" s="422"/>
      <c r="H68" s="413"/>
      <c r="I68" s="468"/>
      <c r="J68" s="423"/>
      <c r="K68" s="424"/>
      <c r="L68" s="606"/>
      <c r="M68" s="416"/>
      <c r="N68" s="428"/>
      <c r="O68" s="596"/>
      <c r="P68" s="368"/>
      <c r="Q68" s="369"/>
      <c r="S68" s="425"/>
    </row>
    <row r="69" spans="1:19" x14ac:dyDescent="0.2">
      <c r="A69" s="388"/>
      <c r="B69" s="407"/>
      <c r="C69" s="413"/>
      <c r="D69" s="419"/>
      <c r="E69" s="420"/>
      <c r="F69" s="421" t="s">
        <v>59</v>
      </c>
      <c r="G69" s="422"/>
      <c r="H69" s="413"/>
      <c r="I69" s="468"/>
      <c r="J69" s="423"/>
      <c r="K69" s="424"/>
      <c r="L69" s="606"/>
      <c r="M69" s="416"/>
      <c r="N69" s="428"/>
      <c r="O69" s="596"/>
      <c r="P69" s="368"/>
      <c r="Q69" s="369"/>
      <c r="S69" s="425"/>
    </row>
    <row r="70" spans="1:19" x14ac:dyDescent="0.2">
      <c r="A70" s="388"/>
      <c r="B70" s="407"/>
      <c r="C70" s="413"/>
      <c r="D70" s="419"/>
      <c r="E70" s="420"/>
      <c r="F70" s="421" t="s">
        <v>59</v>
      </c>
      <c r="G70" s="422"/>
      <c r="H70" s="413"/>
      <c r="I70" s="468"/>
      <c r="J70" s="423"/>
      <c r="K70" s="424"/>
      <c r="L70" s="606"/>
      <c r="M70" s="416"/>
      <c r="N70" s="428"/>
      <c r="O70" s="596"/>
      <c r="P70" s="368"/>
      <c r="Q70" s="369"/>
      <c r="S70" s="425"/>
    </row>
    <row r="71" spans="1:19" x14ac:dyDescent="0.2">
      <c r="A71" s="388"/>
      <c r="B71" s="407"/>
      <c r="C71" s="413"/>
      <c r="D71" s="419"/>
      <c r="E71" s="420"/>
      <c r="F71" s="421" t="s">
        <v>59</v>
      </c>
      <c r="G71" s="422"/>
      <c r="H71" s="413"/>
      <c r="I71" s="468"/>
      <c r="J71" s="423"/>
      <c r="K71" s="424"/>
      <c r="L71" s="606"/>
      <c r="M71" s="416"/>
      <c r="N71" s="428"/>
      <c r="O71" s="596"/>
      <c r="P71" s="368"/>
      <c r="Q71" s="369"/>
      <c r="S71" s="425"/>
    </row>
    <row r="72" spans="1:19" x14ac:dyDescent="0.2">
      <c r="A72" s="388"/>
      <c r="B72" s="407"/>
      <c r="C72" s="413"/>
      <c r="D72" s="419"/>
      <c r="E72" s="420"/>
      <c r="F72" s="421" t="s">
        <v>59</v>
      </c>
      <c r="G72" s="422"/>
      <c r="H72" s="413"/>
      <c r="I72" s="468"/>
      <c r="J72" s="423"/>
      <c r="K72" s="424"/>
      <c r="L72" s="606"/>
      <c r="M72" s="416"/>
      <c r="N72" s="428"/>
      <c r="O72" s="596"/>
      <c r="P72" s="368"/>
      <c r="Q72" s="369"/>
      <c r="S72" s="425"/>
    </row>
    <row r="73" spans="1:19" x14ac:dyDescent="0.2">
      <c r="A73" s="388"/>
      <c r="B73" s="407"/>
      <c r="C73" s="413"/>
      <c r="D73" s="419"/>
      <c r="E73" s="420"/>
      <c r="F73" s="421" t="s">
        <v>59</v>
      </c>
      <c r="G73" s="422"/>
      <c r="H73" s="413"/>
      <c r="I73" s="468"/>
      <c r="J73" s="423"/>
      <c r="K73" s="424"/>
      <c r="L73" s="606"/>
      <c r="M73" s="416"/>
      <c r="N73" s="428"/>
      <c r="O73" s="596"/>
      <c r="P73" s="368"/>
      <c r="Q73" s="369"/>
      <c r="S73" s="425"/>
    </row>
    <row r="74" spans="1:19" x14ac:dyDescent="0.2">
      <c r="A74" s="388"/>
      <c r="B74" s="407"/>
      <c r="C74" s="413"/>
      <c r="D74" s="419"/>
      <c r="E74" s="420"/>
      <c r="F74" s="421" t="s">
        <v>59</v>
      </c>
      <c r="G74" s="422"/>
      <c r="H74" s="413"/>
      <c r="I74" s="468"/>
      <c r="J74" s="423"/>
      <c r="K74" s="424"/>
      <c r="L74" s="606"/>
      <c r="M74" s="416"/>
      <c r="N74" s="428"/>
      <c r="O74" s="596"/>
      <c r="P74" s="368"/>
      <c r="Q74" s="369"/>
      <c r="S74" s="425"/>
    </row>
    <row r="75" spans="1:19" x14ac:dyDescent="0.2">
      <c r="A75" s="388"/>
      <c r="B75" s="407"/>
      <c r="C75" s="413"/>
      <c r="D75" s="419"/>
      <c r="E75" s="420"/>
      <c r="F75" s="421" t="s">
        <v>59</v>
      </c>
      <c r="G75" s="422"/>
      <c r="H75" s="413"/>
      <c r="I75" s="468"/>
      <c r="J75" s="423"/>
      <c r="K75" s="424"/>
      <c r="L75" s="606"/>
      <c r="M75" s="416"/>
      <c r="N75" s="428"/>
      <c r="O75" s="596"/>
      <c r="P75" s="368"/>
      <c r="Q75" s="369"/>
      <c r="S75" s="425"/>
    </row>
    <row r="76" spans="1:19" x14ac:dyDescent="0.2">
      <c r="A76" s="388"/>
      <c r="B76" s="407"/>
      <c r="C76" s="413"/>
      <c r="D76" s="419"/>
      <c r="E76" s="420"/>
      <c r="F76" s="421" t="s">
        <v>59</v>
      </c>
      <c r="G76" s="422"/>
      <c r="H76" s="413"/>
      <c r="I76" s="468"/>
      <c r="J76" s="423"/>
      <c r="K76" s="424"/>
      <c r="L76" s="606"/>
      <c r="M76" s="416"/>
      <c r="N76" s="428"/>
      <c r="O76" s="596"/>
      <c r="P76" s="368"/>
      <c r="Q76" s="369"/>
      <c r="S76" s="425"/>
    </row>
    <row r="77" spans="1:19" x14ac:dyDescent="0.2">
      <c r="A77" s="388"/>
      <c r="B77" s="407"/>
      <c r="C77" s="413"/>
      <c r="D77" s="419"/>
      <c r="E77" s="420"/>
      <c r="F77" s="421" t="s">
        <v>59</v>
      </c>
      <c r="G77" s="422"/>
      <c r="H77" s="413"/>
      <c r="I77" s="468"/>
      <c r="J77" s="423"/>
      <c r="K77" s="424"/>
      <c r="L77" s="606"/>
      <c r="M77" s="416"/>
      <c r="N77" s="428"/>
      <c r="O77" s="596"/>
      <c r="P77" s="368"/>
      <c r="Q77" s="369"/>
      <c r="S77" s="425"/>
    </row>
    <row r="78" spans="1:19" x14ac:dyDescent="0.2">
      <c r="A78" s="388"/>
      <c r="B78" s="407"/>
      <c r="C78" s="413"/>
      <c r="D78" s="419"/>
      <c r="E78" s="420"/>
      <c r="F78" s="421" t="s">
        <v>59</v>
      </c>
      <c r="G78" s="422"/>
      <c r="H78" s="413"/>
      <c r="I78" s="468"/>
      <c r="J78" s="423"/>
      <c r="K78" s="424"/>
      <c r="L78" s="606"/>
      <c r="M78" s="416"/>
      <c r="N78" s="428"/>
      <c r="O78" s="596"/>
      <c r="P78" s="368"/>
      <c r="Q78" s="369"/>
      <c r="S78" s="425"/>
    </row>
    <row r="79" spans="1:19" x14ac:dyDescent="0.2">
      <c r="A79" s="388"/>
      <c r="B79" s="407"/>
      <c r="C79" s="413"/>
      <c r="D79" s="419"/>
      <c r="E79" s="420"/>
      <c r="F79" s="421" t="s">
        <v>59</v>
      </c>
      <c r="G79" s="422"/>
      <c r="H79" s="413"/>
      <c r="I79" s="468"/>
      <c r="J79" s="423"/>
      <c r="K79" s="424"/>
      <c r="L79" s="606"/>
      <c r="M79" s="416"/>
      <c r="N79" s="428"/>
      <c r="O79" s="596"/>
      <c r="P79" s="368"/>
      <c r="Q79" s="369"/>
      <c r="S79" s="425"/>
    </row>
    <row r="80" spans="1:19" x14ac:dyDescent="0.2">
      <c r="A80" s="388"/>
      <c r="B80" s="407"/>
      <c r="C80" s="413"/>
      <c r="D80" s="419"/>
      <c r="E80" s="420"/>
      <c r="F80" s="421" t="s">
        <v>59</v>
      </c>
      <c r="G80" s="422"/>
      <c r="H80" s="413"/>
      <c r="I80" s="468"/>
      <c r="J80" s="423"/>
      <c r="K80" s="424"/>
      <c r="L80" s="606"/>
      <c r="M80" s="416"/>
      <c r="N80" s="428"/>
      <c r="O80" s="596"/>
      <c r="P80" s="368"/>
      <c r="Q80" s="369"/>
      <c r="S80" s="425"/>
    </row>
    <row r="81" spans="1:19" x14ac:dyDescent="0.2">
      <c r="A81" s="388"/>
      <c r="B81" s="407"/>
      <c r="C81" s="413"/>
      <c r="D81" s="419"/>
      <c r="E81" s="420"/>
      <c r="F81" s="421" t="s">
        <v>59</v>
      </c>
      <c r="G81" s="422"/>
      <c r="H81" s="413"/>
      <c r="I81" s="468"/>
      <c r="J81" s="423"/>
      <c r="K81" s="424"/>
      <c r="L81" s="606"/>
      <c r="M81" s="416"/>
      <c r="N81" s="428"/>
      <c r="O81" s="596"/>
      <c r="P81" s="368"/>
      <c r="Q81" s="369"/>
      <c r="S81" s="425"/>
    </row>
    <row r="82" spans="1:19" x14ac:dyDescent="0.2">
      <c r="A82" s="388"/>
      <c r="B82" s="407"/>
      <c r="C82" s="413"/>
      <c r="D82" s="419"/>
      <c r="E82" s="420"/>
      <c r="F82" s="421" t="s">
        <v>59</v>
      </c>
      <c r="G82" s="422"/>
      <c r="H82" s="413"/>
      <c r="I82" s="468"/>
      <c r="J82" s="423"/>
      <c r="K82" s="424"/>
      <c r="L82" s="606"/>
      <c r="M82" s="416"/>
      <c r="N82" s="428"/>
      <c r="O82" s="596"/>
      <c r="P82" s="368"/>
      <c r="Q82" s="369"/>
      <c r="S82" s="425"/>
    </row>
    <row r="83" spans="1:19" x14ac:dyDescent="0.2">
      <c r="A83" s="388"/>
      <c r="B83" s="407"/>
      <c r="C83" s="413"/>
      <c r="D83" s="419"/>
      <c r="E83" s="420"/>
      <c r="F83" s="421" t="s">
        <v>59</v>
      </c>
      <c r="G83" s="422"/>
      <c r="H83" s="413"/>
      <c r="I83" s="468"/>
      <c r="J83" s="423"/>
      <c r="K83" s="424"/>
      <c r="L83" s="606"/>
      <c r="M83" s="416"/>
      <c r="N83" s="428"/>
      <c r="O83" s="596"/>
      <c r="P83" s="368"/>
      <c r="Q83" s="369"/>
      <c r="S83" s="425"/>
    </row>
    <row r="84" spans="1:19" x14ac:dyDescent="0.2">
      <c r="A84" s="388"/>
      <c r="B84" s="407"/>
      <c r="C84" s="413"/>
      <c r="D84" s="419"/>
      <c r="E84" s="420"/>
      <c r="F84" s="421" t="s">
        <v>59</v>
      </c>
      <c r="G84" s="422"/>
      <c r="H84" s="413"/>
      <c r="I84" s="468"/>
      <c r="J84" s="423"/>
      <c r="K84" s="424"/>
      <c r="L84" s="606"/>
      <c r="M84" s="416"/>
      <c r="N84" s="428"/>
      <c r="O84" s="596"/>
      <c r="P84" s="368"/>
      <c r="Q84" s="369"/>
      <c r="S84" s="425"/>
    </row>
    <row r="85" spans="1:19" x14ac:dyDescent="0.2">
      <c r="A85" s="388"/>
      <c r="B85" s="407"/>
      <c r="C85" s="413"/>
      <c r="D85" s="419"/>
      <c r="E85" s="420"/>
      <c r="F85" s="421" t="s">
        <v>59</v>
      </c>
      <c r="G85" s="422"/>
      <c r="H85" s="413"/>
      <c r="I85" s="468"/>
      <c r="J85" s="423"/>
      <c r="K85" s="424"/>
      <c r="L85" s="606"/>
      <c r="M85" s="416"/>
      <c r="N85" s="428"/>
      <c r="O85" s="596"/>
      <c r="P85" s="368"/>
      <c r="Q85" s="369"/>
      <c r="S85" s="425"/>
    </row>
    <row r="86" spans="1:19" x14ac:dyDescent="0.2">
      <c r="A86" s="388"/>
      <c r="B86" s="407"/>
      <c r="C86" s="413"/>
      <c r="D86" s="419"/>
      <c r="E86" s="420"/>
      <c r="F86" s="421" t="s">
        <v>59</v>
      </c>
      <c r="G86" s="422"/>
      <c r="H86" s="413"/>
      <c r="I86" s="468"/>
      <c r="J86" s="423"/>
      <c r="K86" s="424"/>
      <c r="L86" s="606"/>
      <c r="M86" s="416"/>
      <c r="N86" s="428"/>
      <c r="O86" s="596"/>
      <c r="P86" s="368"/>
      <c r="Q86" s="369"/>
      <c r="S86" s="425"/>
    </row>
    <row r="87" spans="1:19" x14ac:dyDescent="0.2">
      <c r="A87" s="388"/>
      <c r="B87" s="407"/>
      <c r="C87" s="413"/>
      <c r="D87" s="419"/>
      <c r="E87" s="420"/>
      <c r="F87" s="421" t="s">
        <v>59</v>
      </c>
      <c r="G87" s="422"/>
      <c r="H87" s="413"/>
      <c r="I87" s="468"/>
      <c r="J87" s="423"/>
      <c r="K87" s="424"/>
      <c r="L87" s="606"/>
      <c r="M87" s="416"/>
      <c r="N87" s="428"/>
      <c r="O87" s="596"/>
      <c r="P87" s="368"/>
      <c r="Q87" s="369"/>
      <c r="S87" s="425"/>
    </row>
    <row r="88" spans="1:19" x14ac:dyDescent="0.2">
      <c r="A88" s="388"/>
      <c r="B88" s="407"/>
      <c r="C88" s="413"/>
      <c r="D88" s="419"/>
      <c r="E88" s="420"/>
      <c r="F88" s="421" t="s">
        <v>59</v>
      </c>
      <c r="G88" s="422"/>
      <c r="H88" s="413"/>
      <c r="I88" s="468"/>
      <c r="J88" s="423"/>
      <c r="K88" s="424"/>
      <c r="L88" s="606"/>
      <c r="M88" s="416"/>
      <c r="N88" s="428"/>
      <c r="O88" s="596"/>
      <c r="P88" s="368"/>
      <c r="Q88" s="369"/>
      <c r="S88" s="425"/>
    </row>
    <row r="89" spans="1:19" x14ac:dyDescent="0.2">
      <c r="A89" s="388"/>
      <c r="B89" s="407"/>
      <c r="C89" s="413"/>
      <c r="D89" s="419"/>
      <c r="E89" s="420"/>
      <c r="F89" s="421" t="s">
        <v>59</v>
      </c>
      <c r="G89" s="422"/>
      <c r="H89" s="413"/>
      <c r="I89" s="468"/>
      <c r="J89" s="423"/>
      <c r="K89" s="424"/>
      <c r="L89" s="606"/>
      <c r="M89" s="416"/>
      <c r="N89" s="428"/>
      <c r="O89" s="596"/>
      <c r="P89" s="368"/>
      <c r="Q89" s="369"/>
      <c r="S89" s="425"/>
    </row>
    <row r="90" spans="1:19" x14ac:dyDescent="0.2">
      <c r="A90" s="388"/>
      <c r="B90" s="407"/>
      <c r="C90" s="413"/>
      <c r="D90" s="419"/>
      <c r="E90" s="420"/>
      <c r="F90" s="421" t="s">
        <v>59</v>
      </c>
      <c r="G90" s="422"/>
      <c r="H90" s="413"/>
      <c r="I90" s="468"/>
      <c r="J90" s="423"/>
      <c r="K90" s="424"/>
      <c r="L90" s="606"/>
      <c r="M90" s="416"/>
      <c r="N90" s="428"/>
      <c r="O90" s="596"/>
      <c r="P90" s="368"/>
      <c r="Q90" s="369"/>
      <c r="S90" s="425"/>
    </row>
    <row r="91" spans="1:19" x14ac:dyDescent="0.2">
      <c r="A91" s="388"/>
      <c r="B91" s="407"/>
      <c r="C91" s="413"/>
      <c r="D91" s="419"/>
      <c r="E91" s="420"/>
      <c r="F91" s="421" t="s">
        <v>59</v>
      </c>
      <c r="G91" s="422"/>
      <c r="H91" s="413"/>
      <c r="I91" s="468"/>
      <c r="J91" s="423"/>
      <c r="K91" s="424"/>
      <c r="L91" s="606"/>
      <c r="M91" s="416"/>
      <c r="N91" s="428"/>
      <c r="O91" s="596"/>
      <c r="P91" s="368"/>
      <c r="Q91" s="369"/>
      <c r="S91" s="425"/>
    </row>
    <row r="92" spans="1:19" x14ac:dyDescent="0.2">
      <c r="A92" s="388"/>
      <c r="B92" s="407"/>
      <c r="C92" s="413"/>
      <c r="D92" s="419"/>
      <c r="E92" s="420"/>
      <c r="F92" s="421" t="s">
        <v>59</v>
      </c>
      <c r="G92" s="422"/>
      <c r="H92" s="413"/>
      <c r="I92" s="468"/>
      <c r="J92" s="423"/>
      <c r="K92" s="424"/>
      <c r="L92" s="606"/>
      <c r="M92" s="416"/>
      <c r="N92" s="428"/>
      <c r="O92" s="596"/>
      <c r="P92" s="368"/>
      <c r="Q92" s="369"/>
      <c r="S92" s="425"/>
    </row>
    <row r="93" spans="1:19" x14ac:dyDescent="0.2">
      <c r="A93" s="388"/>
      <c r="B93" s="407"/>
      <c r="C93" s="413"/>
      <c r="D93" s="419"/>
      <c r="E93" s="420"/>
      <c r="F93" s="421" t="s">
        <v>59</v>
      </c>
      <c r="G93" s="422"/>
      <c r="H93" s="413"/>
      <c r="I93" s="468"/>
      <c r="J93" s="423"/>
      <c r="K93" s="424"/>
      <c r="L93" s="606"/>
      <c r="M93" s="416"/>
      <c r="N93" s="428"/>
      <c r="O93" s="596"/>
      <c r="P93" s="368"/>
      <c r="Q93" s="369"/>
      <c r="S93" s="425"/>
    </row>
    <row r="94" spans="1:19" x14ac:dyDescent="0.2">
      <c r="A94" s="388"/>
      <c r="B94" s="407"/>
      <c r="C94" s="413"/>
      <c r="D94" s="419"/>
      <c r="E94" s="420"/>
      <c r="F94" s="421" t="s">
        <v>59</v>
      </c>
      <c r="G94" s="422"/>
      <c r="H94" s="413"/>
      <c r="I94" s="468"/>
      <c r="J94" s="423"/>
      <c r="K94" s="424"/>
      <c r="L94" s="606"/>
      <c r="M94" s="416"/>
      <c r="N94" s="428"/>
      <c r="O94" s="596"/>
      <c r="P94" s="368"/>
      <c r="Q94" s="369"/>
      <c r="S94" s="425"/>
    </row>
    <row r="95" spans="1:19" x14ac:dyDescent="0.2">
      <c r="A95" s="388"/>
      <c r="B95" s="407"/>
      <c r="C95" s="413"/>
      <c r="D95" s="419"/>
      <c r="E95" s="420"/>
      <c r="F95" s="421" t="s">
        <v>59</v>
      </c>
      <c r="G95" s="422"/>
      <c r="H95" s="413"/>
      <c r="I95" s="468"/>
      <c r="J95" s="423"/>
      <c r="K95" s="424"/>
      <c r="L95" s="606"/>
      <c r="M95" s="416"/>
      <c r="N95" s="428"/>
      <c r="O95" s="596"/>
      <c r="P95" s="368"/>
      <c r="Q95" s="369"/>
      <c r="S95" s="425"/>
    </row>
    <row r="96" spans="1:19" x14ac:dyDescent="0.2">
      <c r="A96" s="388"/>
      <c r="B96" s="407"/>
      <c r="C96" s="413"/>
      <c r="D96" s="419"/>
      <c r="E96" s="420"/>
      <c r="F96" s="421" t="s">
        <v>59</v>
      </c>
      <c r="G96" s="422"/>
      <c r="H96" s="413"/>
      <c r="I96" s="468"/>
      <c r="J96" s="423"/>
      <c r="K96" s="424"/>
      <c r="L96" s="606"/>
      <c r="M96" s="416"/>
      <c r="N96" s="428"/>
      <c r="O96" s="596"/>
      <c r="P96" s="368"/>
      <c r="Q96" s="369"/>
      <c r="S96" s="425"/>
    </row>
    <row r="97" spans="1:19" x14ac:dyDescent="0.2">
      <c r="A97" s="388"/>
      <c r="B97" s="407"/>
      <c r="C97" s="413"/>
      <c r="D97" s="419"/>
      <c r="E97" s="420"/>
      <c r="F97" s="421" t="s">
        <v>59</v>
      </c>
      <c r="G97" s="422"/>
      <c r="H97" s="413"/>
      <c r="I97" s="468"/>
      <c r="J97" s="423"/>
      <c r="K97" s="424"/>
      <c r="L97" s="606"/>
      <c r="M97" s="416"/>
      <c r="N97" s="428"/>
      <c r="O97" s="596"/>
      <c r="P97" s="368"/>
      <c r="Q97" s="369"/>
      <c r="S97" s="425"/>
    </row>
    <row r="98" spans="1:19" x14ac:dyDescent="0.2">
      <c r="A98" s="388"/>
      <c r="B98" s="407"/>
      <c r="C98" s="413"/>
      <c r="D98" s="419"/>
      <c r="E98" s="420"/>
      <c r="F98" s="421" t="s">
        <v>59</v>
      </c>
      <c r="G98" s="422"/>
      <c r="H98" s="413"/>
      <c r="I98" s="468"/>
      <c r="J98" s="423"/>
      <c r="K98" s="424"/>
      <c r="L98" s="606"/>
      <c r="M98" s="416"/>
      <c r="N98" s="428"/>
      <c r="O98" s="596"/>
      <c r="P98" s="368"/>
      <c r="Q98" s="369"/>
      <c r="S98" s="425"/>
    </row>
    <row r="99" spans="1:19" x14ac:dyDescent="0.2">
      <c r="A99" s="388"/>
      <c r="B99" s="407"/>
      <c r="C99" s="413"/>
      <c r="D99" s="419"/>
      <c r="E99" s="420"/>
      <c r="F99" s="421" t="s">
        <v>59</v>
      </c>
      <c r="G99" s="422"/>
      <c r="H99" s="413"/>
      <c r="I99" s="468"/>
      <c r="J99" s="423"/>
      <c r="K99" s="424"/>
      <c r="L99" s="606"/>
      <c r="M99" s="416"/>
      <c r="N99" s="428"/>
      <c r="O99" s="596"/>
      <c r="P99" s="368"/>
      <c r="Q99" s="369"/>
      <c r="S99" s="425"/>
    </row>
    <row r="100" spans="1:19" x14ac:dyDescent="0.2">
      <c r="A100" s="388"/>
      <c r="B100" s="407"/>
      <c r="C100" s="413"/>
      <c r="D100" s="419"/>
      <c r="E100" s="420"/>
      <c r="F100" s="421" t="s">
        <v>59</v>
      </c>
      <c r="G100" s="422"/>
      <c r="H100" s="413"/>
      <c r="I100" s="468"/>
      <c r="J100" s="423"/>
      <c r="K100" s="424"/>
      <c r="L100" s="606"/>
      <c r="M100" s="416"/>
      <c r="N100" s="428"/>
      <c r="O100" s="596"/>
      <c r="P100" s="368"/>
      <c r="Q100" s="369"/>
      <c r="S100" s="425"/>
    </row>
    <row r="101" spans="1:19" x14ac:dyDescent="0.2">
      <c r="A101" s="388"/>
      <c r="B101" s="407"/>
      <c r="C101" s="413"/>
      <c r="D101" s="419"/>
      <c r="E101" s="420"/>
      <c r="F101" s="421" t="s">
        <v>59</v>
      </c>
      <c r="G101" s="422"/>
      <c r="H101" s="413"/>
      <c r="I101" s="468"/>
      <c r="J101" s="423"/>
      <c r="K101" s="424"/>
      <c r="L101" s="606"/>
      <c r="M101" s="416"/>
      <c r="N101" s="428"/>
      <c r="O101" s="596"/>
      <c r="P101" s="368"/>
      <c r="Q101" s="369"/>
      <c r="S101" s="425"/>
    </row>
    <row r="102" spans="1:19" x14ac:dyDescent="0.2">
      <c r="A102" s="388"/>
      <c r="B102" s="407"/>
      <c r="C102" s="413"/>
      <c r="D102" s="419"/>
      <c r="E102" s="420"/>
      <c r="F102" s="421" t="s">
        <v>59</v>
      </c>
      <c r="G102" s="422"/>
      <c r="H102" s="413"/>
      <c r="I102" s="468"/>
      <c r="J102" s="423"/>
      <c r="K102" s="424"/>
      <c r="L102" s="606"/>
      <c r="M102" s="416"/>
      <c r="N102" s="428"/>
      <c r="O102" s="596"/>
      <c r="P102" s="368"/>
      <c r="Q102" s="369"/>
      <c r="S102" s="425"/>
    </row>
    <row r="103" spans="1:19" x14ac:dyDescent="0.2">
      <c r="A103" s="388"/>
      <c r="B103" s="407"/>
      <c r="C103" s="413"/>
      <c r="D103" s="419"/>
      <c r="E103" s="420"/>
      <c r="F103" s="421" t="s">
        <v>59</v>
      </c>
      <c r="G103" s="422"/>
      <c r="H103" s="413"/>
      <c r="I103" s="468"/>
      <c r="J103" s="423"/>
      <c r="K103" s="424"/>
      <c r="L103" s="606"/>
      <c r="M103" s="416"/>
      <c r="N103" s="428"/>
      <c r="O103" s="596"/>
      <c r="P103" s="368"/>
      <c r="Q103" s="369"/>
      <c r="S103" s="425"/>
    </row>
    <row r="104" spans="1:19" x14ac:dyDescent="0.2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59</v>
      </c>
      <c r="G104" s="422"/>
      <c r="H104" s="413" t="str">
        <f t="shared" si="1"/>
        <v/>
      </c>
      <c r="I104" s="468"/>
      <c r="J104" s="423"/>
      <c r="K104" s="424"/>
      <c r="L104" s="606"/>
      <c r="M104" s="416"/>
      <c r="N104" s="428"/>
      <c r="O104" s="596"/>
      <c r="P104" s="368" t="str">
        <f t="shared" si="0"/>
        <v/>
      </c>
      <c r="Q104" s="369"/>
      <c r="S104" s="425"/>
    </row>
    <row r="105" spans="1:19" x14ac:dyDescent="0.2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59</v>
      </c>
      <c r="G105" s="422"/>
      <c r="H105" s="413" t="str">
        <f t="shared" si="1"/>
        <v/>
      </c>
      <c r="I105" s="468"/>
      <c r="J105" s="431"/>
      <c r="K105" s="432"/>
      <c r="L105" s="606"/>
      <c r="M105" s="416"/>
      <c r="N105" s="428"/>
      <c r="O105" s="596"/>
      <c r="P105" s="368" t="str">
        <f t="shared" si="0"/>
        <v/>
      </c>
      <c r="Q105" s="369"/>
      <c r="S105" s="425"/>
    </row>
    <row r="106" spans="1:19" x14ac:dyDescent="0.2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59</v>
      </c>
      <c r="G106" s="422"/>
      <c r="H106" s="413" t="str">
        <f t="shared" si="1"/>
        <v/>
      </c>
      <c r="I106" s="468"/>
      <c r="J106" s="431"/>
      <c r="K106" s="432"/>
      <c r="L106" s="606"/>
      <c r="M106" s="416"/>
      <c r="N106" s="428"/>
      <c r="O106" s="596"/>
      <c r="P106" s="368" t="str">
        <f t="shared" si="0"/>
        <v/>
      </c>
      <c r="Q106" s="369"/>
      <c r="S106" s="425"/>
    </row>
    <row r="107" spans="1:19" x14ac:dyDescent="0.2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59</v>
      </c>
      <c r="G107" s="422"/>
      <c r="H107" s="413" t="str">
        <f t="shared" si="1"/>
        <v/>
      </c>
      <c r="I107" s="468"/>
      <c r="J107" s="431"/>
      <c r="K107" s="432"/>
      <c r="L107" s="606"/>
      <c r="M107" s="416"/>
      <c r="N107" s="428"/>
      <c r="O107" s="596"/>
      <c r="P107" s="368" t="str">
        <f t="shared" si="0"/>
        <v/>
      </c>
      <c r="Q107" s="369"/>
      <c r="S107" s="425"/>
    </row>
    <row r="108" spans="1:19" x14ac:dyDescent="0.2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59</v>
      </c>
      <c r="G108" s="422"/>
      <c r="H108" s="413" t="str">
        <f t="shared" si="1"/>
        <v/>
      </c>
      <c r="I108" s="468"/>
      <c r="J108" s="431"/>
      <c r="K108" s="432"/>
      <c r="L108" s="606"/>
      <c r="M108" s="416"/>
      <c r="N108" s="428"/>
      <c r="O108" s="596"/>
      <c r="P108" s="368" t="str">
        <f t="shared" si="0"/>
        <v/>
      </c>
      <c r="Q108" s="369"/>
      <c r="S108" s="425"/>
    </row>
    <row r="109" spans="1:19" x14ac:dyDescent="0.2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59</v>
      </c>
      <c r="G109" s="422"/>
      <c r="H109" s="413" t="str">
        <f t="shared" si="1"/>
        <v/>
      </c>
      <c r="I109" s="468"/>
      <c r="J109" s="431"/>
      <c r="K109" s="432"/>
      <c r="L109" s="606"/>
      <c r="M109" s="416"/>
      <c r="N109" s="428"/>
      <c r="O109" s="596"/>
      <c r="P109" s="368" t="str">
        <f t="shared" si="0"/>
        <v/>
      </c>
      <c r="Q109" s="369"/>
      <c r="S109" s="425"/>
    </row>
    <row r="110" spans="1:19" x14ac:dyDescent="0.2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59</v>
      </c>
      <c r="G110" s="422"/>
      <c r="H110" s="413" t="str">
        <f t="shared" si="1"/>
        <v/>
      </c>
      <c r="I110" s="468"/>
      <c r="J110" s="431"/>
      <c r="K110" s="432"/>
      <c r="L110" s="606"/>
      <c r="M110" s="416"/>
      <c r="N110" s="428"/>
      <c r="O110" s="596"/>
      <c r="P110" s="368" t="str">
        <f t="shared" si="0"/>
        <v/>
      </c>
      <c r="Q110" s="369"/>
      <c r="S110" s="425"/>
    </row>
    <row r="111" spans="1:19" x14ac:dyDescent="0.2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59</v>
      </c>
      <c r="G111" s="422"/>
      <c r="H111" s="413" t="str">
        <f t="shared" si="1"/>
        <v/>
      </c>
      <c r="I111" s="468"/>
      <c r="J111" s="431"/>
      <c r="K111" s="432"/>
      <c r="L111" s="606"/>
      <c r="M111" s="416"/>
      <c r="N111" s="428"/>
      <c r="O111" s="596"/>
      <c r="P111" s="368" t="str">
        <f t="shared" si="0"/>
        <v/>
      </c>
      <c r="Q111" s="369"/>
      <c r="S111" s="425"/>
    </row>
    <row r="112" spans="1:19" x14ac:dyDescent="0.2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59</v>
      </c>
      <c r="G112" s="422"/>
      <c r="H112" s="413" t="str">
        <f t="shared" si="1"/>
        <v/>
      </c>
      <c r="I112" s="468"/>
      <c r="J112" s="431"/>
      <c r="K112" s="432"/>
      <c r="L112" s="606"/>
      <c r="M112" s="416"/>
      <c r="N112" s="428"/>
      <c r="O112" s="596"/>
      <c r="P112" s="368" t="str">
        <f t="shared" si="0"/>
        <v/>
      </c>
      <c r="Q112" s="369"/>
      <c r="S112" s="425"/>
    </row>
    <row r="113" spans="1:19" x14ac:dyDescent="0.2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59</v>
      </c>
      <c r="G113" s="422"/>
      <c r="H113" s="413" t="str">
        <f t="shared" si="1"/>
        <v/>
      </c>
      <c r="I113" s="468"/>
      <c r="J113" s="431"/>
      <c r="K113" s="432"/>
      <c r="L113" s="606"/>
      <c r="M113" s="416"/>
      <c r="N113" s="428"/>
      <c r="O113" s="596"/>
      <c r="P113" s="368" t="str">
        <f t="shared" si="0"/>
        <v/>
      </c>
      <c r="Q113" s="369"/>
      <c r="S113" s="425"/>
    </row>
    <row r="114" spans="1:19" x14ac:dyDescent="0.2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59</v>
      </c>
      <c r="G114" s="422"/>
      <c r="H114" s="413" t="str">
        <f t="shared" si="1"/>
        <v/>
      </c>
      <c r="I114" s="468"/>
      <c r="J114" s="431"/>
      <c r="K114" s="432"/>
      <c r="L114" s="606"/>
      <c r="M114" s="416"/>
      <c r="N114" s="428"/>
      <c r="O114" s="596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59</v>
      </c>
      <c r="G115" s="422"/>
      <c r="H115" s="413" t="str">
        <f t="shared" si="1"/>
        <v/>
      </c>
      <c r="I115" s="468"/>
      <c r="J115" s="431"/>
      <c r="K115" s="432"/>
      <c r="L115" s="606"/>
      <c r="M115" s="416"/>
      <c r="N115" s="428"/>
      <c r="O115" s="596"/>
      <c r="P115" s="368" t="str">
        <f t="shared" si="2"/>
        <v/>
      </c>
      <c r="Q115" s="369"/>
      <c r="S115" s="425"/>
    </row>
    <row r="116" spans="1:19" x14ac:dyDescent="0.2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59</v>
      </c>
      <c r="G116" s="422"/>
      <c r="H116" s="413" t="str">
        <f t="shared" si="1"/>
        <v/>
      </c>
      <c r="I116" s="468"/>
      <c r="J116" s="431"/>
      <c r="K116" s="432"/>
      <c r="L116" s="606"/>
      <c r="M116" s="416"/>
      <c r="N116" s="428"/>
      <c r="O116" s="596"/>
      <c r="P116" s="368" t="str">
        <f t="shared" si="2"/>
        <v/>
      </c>
      <c r="Q116" s="369"/>
      <c r="S116" s="425"/>
    </row>
    <row r="117" spans="1:19" x14ac:dyDescent="0.2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59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6"/>
      <c r="M117" s="416"/>
      <c r="N117" s="428"/>
      <c r="O117" s="596"/>
      <c r="P117" s="368" t="str">
        <f t="shared" si="2"/>
        <v/>
      </c>
      <c r="Q117" s="369"/>
      <c r="S117" s="425"/>
    </row>
    <row r="118" spans="1:19" x14ac:dyDescent="0.2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59</v>
      </c>
      <c r="G118" s="422"/>
      <c r="H118" s="413" t="str">
        <f t="shared" si="3"/>
        <v/>
      </c>
      <c r="I118" s="468"/>
      <c r="J118" s="431"/>
      <c r="K118" s="432"/>
      <c r="L118" s="606"/>
      <c r="M118" s="416"/>
      <c r="N118" s="428"/>
      <c r="O118" s="596"/>
      <c r="P118" s="368" t="str">
        <f t="shared" si="2"/>
        <v/>
      </c>
      <c r="Q118" s="369"/>
      <c r="S118" s="425"/>
    </row>
    <row r="119" spans="1:19" x14ac:dyDescent="0.2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59</v>
      </c>
      <c r="G119" s="422"/>
      <c r="H119" s="413" t="str">
        <f t="shared" si="3"/>
        <v/>
      </c>
      <c r="I119" s="468"/>
      <c r="J119" s="431"/>
      <c r="K119" s="432"/>
      <c r="L119" s="606"/>
      <c r="M119" s="416"/>
      <c r="N119" s="428"/>
      <c r="O119" s="596"/>
      <c r="P119" s="368" t="str">
        <f t="shared" si="2"/>
        <v/>
      </c>
      <c r="Q119" s="369"/>
      <c r="S119" s="425"/>
    </row>
    <row r="120" spans="1:19" x14ac:dyDescent="0.2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59</v>
      </c>
      <c r="G120" s="422"/>
      <c r="H120" s="413" t="str">
        <f t="shared" si="3"/>
        <v/>
      </c>
      <c r="I120" s="468"/>
      <c r="J120" s="431"/>
      <c r="K120" s="432"/>
      <c r="L120" s="606"/>
      <c r="M120" s="416"/>
      <c r="N120" s="428"/>
      <c r="O120" s="596"/>
      <c r="P120" s="368" t="str">
        <f t="shared" si="2"/>
        <v/>
      </c>
      <c r="Q120" s="369"/>
      <c r="S120" s="425"/>
    </row>
    <row r="121" spans="1:19" x14ac:dyDescent="0.2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59</v>
      </c>
      <c r="G121" s="422"/>
      <c r="H121" s="413" t="str">
        <f t="shared" si="3"/>
        <v/>
      </c>
      <c r="I121" s="468"/>
      <c r="J121" s="431"/>
      <c r="K121" s="432"/>
      <c r="L121" s="606"/>
      <c r="M121" s="416"/>
      <c r="N121" s="428"/>
      <c r="O121" s="596"/>
      <c r="P121" s="368" t="str">
        <f t="shared" si="2"/>
        <v/>
      </c>
      <c r="Q121" s="369"/>
      <c r="S121" s="425"/>
    </row>
    <row r="122" spans="1:19" x14ac:dyDescent="0.2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59</v>
      </c>
      <c r="G122" s="422"/>
      <c r="H122" s="413" t="str">
        <f t="shared" si="3"/>
        <v/>
      </c>
      <c r="I122" s="468"/>
      <c r="J122" s="431"/>
      <c r="K122" s="432"/>
      <c r="L122" s="606"/>
      <c r="M122" s="416"/>
      <c r="N122" s="428"/>
      <c r="O122" s="596"/>
      <c r="P122" s="368" t="str">
        <f t="shared" si="2"/>
        <v/>
      </c>
      <c r="Q122" s="369"/>
      <c r="S122" s="425"/>
    </row>
    <row r="123" spans="1:19" x14ac:dyDescent="0.2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59</v>
      </c>
      <c r="G123" s="422"/>
      <c r="H123" s="413" t="str">
        <f t="shared" si="3"/>
        <v/>
      </c>
      <c r="I123" s="468"/>
      <c r="J123" s="431"/>
      <c r="K123" s="432"/>
      <c r="L123" s="606"/>
      <c r="M123" s="416"/>
      <c r="N123" s="428"/>
      <c r="O123" s="596"/>
      <c r="P123" s="368" t="str">
        <f t="shared" si="2"/>
        <v/>
      </c>
      <c r="Q123" s="369"/>
      <c r="S123" s="425"/>
    </row>
    <row r="124" spans="1:19" ht="13.5" thickBot="1" x14ac:dyDescent="0.25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59</v>
      </c>
      <c r="G124" s="438"/>
      <c r="H124" s="434" t="str">
        <f t="shared" si="3"/>
        <v/>
      </c>
      <c r="I124" s="470"/>
      <c r="J124" s="439"/>
      <c r="K124" s="440"/>
      <c r="L124" s="607"/>
      <c r="M124" s="416"/>
      <c r="N124" s="441"/>
      <c r="O124" s="596"/>
      <c r="P124" s="368" t="str">
        <f t="shared" si="2"/>
        <v/>
      </c>
      <c r="Q124" s="369"/>
      <c r="S124" s="425"/>
    </row>
    <row r="125" spans="1:19" ht="13.5" thickBot="1" x14ac:dyDescent="0.25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5" sqref="C15:D15"/>
    </sheetView>
  </sheetViews>
  <sheetFormatPr defaultColWidth="9.140625" defaultRowHeight="15" x14ac:dyDescent="0.25"/>
  <cols>
    <col min="1" max="1" width="1.7109375" style="325" customWidth="1"/>
    <col min="2" max="2" width="28.85546875" style="324" customWidth="1"/>
    <col min="3" max="3" width="29.28515625" style="324" customWidth="1"/>
    <col min="4" max="4" width="28.85546875" style="324" customWidth="1"/>
    <col min="5" max="5" width="1.7109375" style="325" customWidth="1"/>
    <col min="6" max="6" width="4" style="325" customWidth="1"/>
    <col min="7" max="7" width="9.140625" style="335"/>
    <col min="8" max="8" width="22.5703125" style="335" bestFit="1" customWidth="1"/>
    <col min="9" max="66" width="9.140625" style="334"/>
    <col min="67" max="16384" width="9.140625" style="324"/>
  </cols>
  <sheetData>
    <row r="1" spans="1:66" s="325" customFormat="1" ht="19.5" customHeight="1" thickBot="1" x14ac:dyDescent="0.3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25">
      <c r="A2" s="329"/>
      <c r="B2" s="339" t="s">
        <v>122</v>
      </c>
      <c r="C2" s="330"/>
      <c r="D2" s="339" t="s">
        <v>123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">
      <c r="A3" s="329"/>
      <c r="B3" s="338" t="str">
        <f>'Cover - Location Info'!$J$8</f>
        <v>101505</v>
      </c>
      <c r="C3" s="330"/>
      <c r="D3" s="337" t="str">
        <f>'Cover - Location Info'!$J$10</f>
        <v>1.0</v>
      </c>
      <c r="E3" s="331"/>
      <c r="F3" s="345"/>
      <c r="G3" s="633" t="s">
        <v>107</v>
      </c>
      <c r="H3" s="633"/>
      <c r="I3" s="335" t="s">
        <v>141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">
      <c r="A4" s="329"/>
      <c r="B4" s="330"/>
      <c r="C4" s="340" t="s">
        <v>124</v>
      </c>
      <c r="D4" s="330"/>
      <c r="E4" s="331"/>
      <c r="F4" s="345"/>
      <c r="G4" s="336" t="s">
        <v>108</v>
      </c>
      <c r="H4" s="336" t="s">
        <v>109</v>
      </c>
      <c r="I4" s="335" t="s">
        <v>142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25">
      <c r="A5" s="329"/>
      <c r="B5" s="625" t="s">
        <v>118</v>
      </c>
      <c r="C5" s="626"/>
      <c r="D5" s="627"/>
      <c r="E5" s="331"/>
      <c r="F5" s="345"/>
      <c r="G5" s="335" t="s">
        <v>110</v>
      </c>
      <c r="H5" s="335" t="s">
        <v>111</v>
      </c>
    </row>
    <row r="6" spans="1:66" x14ac:dyDescent="0.25">
      <c r="A6" s="329"/>
      <c r="B6" s="350" t="s">
        <v>132</v>
      </c>
      <c r="C6" s="351" t="s">
        <v>133</v>
      </c>
      <c r="D6" s="352" t="s">
        <v>125</v>
      </c>
      <c r="E6" s="331"/>
      <c r="F6" s="345"/>
      <c r="G6" s="335" t="s">
        <v>112</v>
      </c>
      <c r="H6" s="335" t="s">
        <v>139</v>
      </c>
    </row>
    <row r="7" spans="1:66" ht="30.75" customHeight="1" thickBot="1" x14ac:dyDescent="0.3">
      <c r="A7" s="329"/>
      <c r="B7" s="353">
        <f>IF('Cover - Location Info'!D41="","",'Cover - Location Info'!D41)</f>
        <v>5</v>
      </c>
      <c r="C7" s="354" t="str">
        <f>IF('Cover - Location Info'!E41="","",'Cover - Location Info'!E41)</f>
        <v>Server Room</v>
      </c>
      <c r="D7" s="355"/>
      <c r="E7" s="331"/>
      <c r="F7" s="345"/>
      <c r="H7" s="335" t="s">
        <v>113</v>
      </c>
    </row>
    <row r="8" spans="1:66" s="325" customFormat="1" ht="15.75" thickBot="1" x14ac:dyDescent="0.3">
      <c r="A8" s="329"/>
      <c r="B8" s="330"/>
      <c r="C8" s="330"/>
      <c r="D8" s="330"/>
      <c r="E8" s="331"/>
      <c r="F8" s="345"/>
      <c r="G8" s="335"/>
      <c r="H8" s="335" t="s">
        <v>114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25">
      <c r="A9" s="329"/>
      <c r="B9" s="628" t="s">
        <v>119</v>
      </c>
      <c r="C9" s="629"/>
      <c r="D9" s="630"/>
      <c r="E9" s="331"/>
      <c r="F9" s="345"/>
      <c r="H9" s="335" t="s">
        <v>115</v>
      </c>
    </row>
    <row r="10" spans="1:66" ht="17.25" customHeight="1" x14ac:dyDescent="0.3">
      <c r="A10" s="329"/>
      <c r="B10" s="349" t="s">
        <v>140</v>
      </c>
      <c r="C10" s="623" t="s">
        <v>141</v>
      </c>
      <c r="D10" s="624"/>
      <c r="E10" s="331"/>
      <c r="F10" s="345"/>
      <c r="H10" s="335" t="s">
        <v>116</v>
      </c>
    </row>
    <row r="11" spans="1:66" ht="17.25" customHeight="1" x14ac:dyDescent="0.3">
      <c r="A11" s="329"/>
      <c r="B11" s="349" t="s">
        <v>126</v>
      </c>
      <c r="C11" s="623" t="s">
        <v>117</v>
      </c>
      <c r="D11" s="624"/>
      <c r="E11" s="331"/>
      <c r="F11" s="345"/>
      <c r="H11" s="335" t="s">
        <v>117</v>
      </c>
    </row>
    <row r="12" spans="1:66" s="325" customFormat="1" ht="17.25" customHeight="1" thickBot="1" x14ac:dyDescent="0.35">
      <c r="A12" s="329"/>
      <c r="B12" s="357" t="s">
        <v>121</v>
      </c>
      <c r="C12" s="631" t="s">
        <v>112</v>
      </c>
      <c r="D12" s="632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">
      <c r="A13" s="329"/>
      <c r="B13" s="330"/>
      <c r="C13" s="330"/>
      <c r="D13" s="330"/>
      <c r="E13" s="331"/>
      <c r="F13" s="345"/>
    </row>
    <row r="14" spans="1:66" ht="22.5" customHeight="1" x14ac:dyDescent="0.25">
      <c r="A14" s="329"/>
      <c r="B14" s="628" t="s">
        <v>120</v>
      </c>
      <c r="C14" s="629"/>
      <c r="D14" s="630"/>
      <c r="E14" s="331"/>
      <c r="F14" s="345"/>
    </row>
    <row r="15" spans="1:66" ht="17.25" customHeight="1" x14ac:dyDescent="0.25">
      <c r="A15" s="329"/>
      <c r="B15" s="356" t="s">
        <v>127</v>
      </c>
      <c r="C15" s="634"/>
      <c r="D15" s="635"/>
      <c r="E15" s="331"/>
      <c r="F15" s="345"/>
    </row>
    <row r="16" spans="1:66" ht="17.25" customHeight="1" x14ac:dyDescent="0.25">
      <c r="A16" s="329"/>
      <c r="B16" s="356" t="s">
        <v>128</v>
      </c>
      <c r="C16" s="634" t="s">
        <v>163</v>
      </c>
      <c r="D16" s="635"/>
      <c r="E16" s="331"/>
      <c r="F16" s="345"/>
    </row>
    <row r="17" spans="1:66" ht="17.25" customHeight="1" x14ac:dyDescent="0.25">
      <c r="A17" s="329"/>
      <c r="B17" s="356" t="s">
        <v>129</v>
      </c>
      <c r="C17" s="636" t="s">
        <v>164</v>
      </c>
      <c r="D17" s="637"/>
      <c r="E17" s="331"/>
      <c r="F17" s="345"/>
    </row>
    <row r="18" spans="1:66" ht="17.25" customHeight="1" x14ac:dyDescent="0.25">
      <c r="A18" s="329"/>
      <c r="B18" s="356" t="s">
        <v>130</v>
      </c>
      <c r="C18" s="636" t="s">
        <v>165</v>
      </c>
      <c r="D18" s="637"/>
      <c r="E18" s="331"/>
      <c r="F18" s="345"/>
    </row>
    <row r="19" spans="1:66" s="325" customFormat="1" ht="17.25" customHeight="1" thickBot="1" x14ac:dyDescent="0.3">
      <c r="A19" s="342"/>
      <c r="B19" s="358" t="s">
        <v>131</v>
      </c>
      <c r="C19" s="621" t="s">
        <v>166</v>
      </c>
      <c r="D19" s="622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">
      <c r="A20" s="329"/>
      <c r="B20" s="344" t="s">
        <v>86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25">
      <c r="A21" s="329"/>
      <c r="B21" s="612"/>
      <c r="C21" s="613"/>
      <c r="D21" s="614"/>
      <c r="E21" s="331"/>
      <c r="F21" s="346"/>
      <c r="G21" s="335"/>
      <c r="H21" s="335"/>
    </row>
    <row r="22" spans="1:66" s="334" customFormat="1" ht="16.5" customHeight="1" x14ac:dyDescent="0.25">
      <c r="A22" s="329"/>
      <c r="B22" s="615"/>
      <c r="C22" s="616"/>
      <c r="D22" s="617"/>
      <c r="E22" s="331"/>
      <c r="F22" s="346"/>
      <c r="G22" s="335"/>
      <c r="H22" s="335"/>
    </row>
    <row r="23" spans="1:66" s="334" customFormat="1" ht="16.5" customHeight="1" x14ac:dyDescent="0.25">
      <c r="A23" s="329"/>
      <c r="B23" s="615"/>
      <c r="C23" s="616"/>
      <c r="D23" s="617"/>
      <c r="E23" s="331"/>
      <c r="F23" s="346"/>
      <c r="G23" s="335"/>
      <c r="H23" s="335"/>
    </row>
    <row r="24" spans="1:66" s="334" customFormat="1" ht="16.5" customHeight="1" x14ac:dyDescent="0.25">
      <c r="A24" s="329"/>
      <c r="B24" s="615"/>
      <c r="C24" s="616"/>
      <c r="D24" s="617"/>
      <c r="E24" s="331"/>
      <c r="F24" s="346"/>
      <c r="G24" s="335"/>
      <c r="H24" s="335"/>
    </row>
    <row r="25" spans="1:66" s="334" customFormat="1" ht="16.5" customHeight="1" x14ac:dyDescent="0.25">
      <c r="A25" s="329"/>
      <c r="B25" s="615"/>
      <c r="C25" s="616"/>
      <c r="D25" s="617"/>
      <c r="E25" s="331"/>
      <c r="F25" s="346"/>
      <c r="G25" s="335"/>
      <c r="H25" s="335"/>
    </row>
    <row r="26" spans="1:66" s="334" customFormat="1" ht="16.5" customHeight="1" x14ac:dyDescent="0.25">
      <c r="A26" s="329"/>
      <c r="B26" s="615"/>
      <c r="C26" s="616"/>
      <c r="D26" s="617"/>
      <c r="E26" s="331"/>
      <c r="F26" s="346"/>
      <c r="G26" s="335"/>
      <c r="H26" s="335"/>
    </row>
    <row r="27" spans="1:66" s="334" customFormat="1" ht="16.5" customHeight="1" x14ac:dyDescent="0.25">
      <c r="A27" s="329"/>
      <c r="B27" s="615"/>
      <c r="C27" s="616"/>
      <c r="D27" s="617"/>
      <c r="E27" s="331"/>
      <c r="F27" s="346"/>
      <c r="G27" s="335"/>
      <c r="H27" s="335"/>
    </row>
    <row r="28" spans="1:66" s="334" customFormat="1" ht="16.5" customHeight="1" x14ac:dyDescent="0.25">
      <c r="A28" s="329"/>
      <c r="B28" s="615"/>
      <c r="C28" s="616"/>
      <c r="D28" s="617"/>
      <c r="E28" s="331"/>
      <c r="F28" s="346"/>
      <c r="G28" s="335"/>
      <c r="H28" s="335"/>
    </row>
    <row r="29" spans="1:66" s="334" customFormat="1" ht="16.5" customHeight="1" x14ac:dyDescent="0.25">
      <c r="A29" s="329"/>
      <c r="B29" s="618"/>
      <c r="C29" s="619"/>
      <c r="D29" s="620"/>
      <c r="E29" s="331"/>
      <c r="F29" s="346"/>
      <c r="G29" s="335"/>
      <c r="H29" s="335"/>
    </row>
    <row r="30" spans="1:66" s="334" customFormat="1" ht="15.75" thickBot="1" x14ac:dyDescent="0.3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25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25">
      <c r="G32" s="335"/>
      <c r="H32" s="335"/>
    </row>
    <row r="33" spans="7:8" s="334" customFormat="1" x14ac:dyDescent="0.25">
      <c r="G33" s="335"/>
      <c r="H33" s="335"/>
    </row>
    <row r="34" spans="7:8" s="334" customFormat="1" x14ac:dyDescent="0.25">
      <c r="G34" s="335"/>
      <c r="H34" s="335"/>
    </row>
    <row r="35" spans="7:8" s="334" customFormat="1" x14ac:dyDescent="0.25">
      <c r="G35" s="335"/>
      <c r="H35" s="335"/>
    </row>
    <row r="36" spans="7:8" s="334" customFormat="1" x14ac:dyDescent="0.25">
      <c r="G36" s="335"/>
      <c r="H36" s="335"/>
    </row>
    <row r="37" spans="7:8" s="334" customFormat="1" x14ac:dyDescent="0.25">
      <c r="G37" s="335"/>
      <c r="H37" s="335"/>
    </row>
    <row r="38" spans="7:8" s="334" customFormat="1" x14ac:dyDescent="0.25">
      <c r="G38" s="335"/>
      <c r="H38" s="335"/>
    </row>
    <row r="39" spans="7:8" s="334" customFormat="1" x14ac:dyDescent="0.25">
      <c r="G39" s="335"/>
      <c r="H39" s="335"/>
    </row>
    <row r="40" spans="7:8" s="334" customFormat="1" x14ac:dyDescent="0.25">
      <c r="G40" s="335"/>
      <c r="H40" s="335"/>
    </row>
    <row r="41" spans="7:8" s="334" customFormat="1" x14ac:dyDescent="0.25">
      <c r="G41" s="335"/>
      <c r="H41" s="335"/>
    </row>
    <row r="42" spans="7:8" s="334" customFormat="1" x14ac:dyDescent="0.25">
      <c r="G42" s="335"/>
      <c r="H42" s="335"/>
    </row>
    <row r="43" spans="7:8" s="334" customFormat="1" x14ac:dyDescent="0.25">
      <c r="G43" s="335"/>
      <c r="H43" s="335"/>
    </row>
    <row r="44" spans="7:8" s="334" customFormat="1" x14ac:dyDescent="0.25">
      <c r="G44" s="335"/>
      <c r="H44" s="335"/>
    </row>
    <row r="45" spans="7:8" s="334" customFormat="1" x14ac:dyDescent="0.25">
      <c r="G45" s="335"/>
      <c r="H45" s="335"/>
    </row>
    <row r="46" spans="7:8" s="334" customFormat="1" x14ac:dyDescent="0.25">
      <c r="G46" s="335"/>
      <c r="H46" s="335"/>
    </row>
    <row r="47" spans="7:8" s="334" customFormat="1" x14ac:dyDescent="0.25">
      <c r="G47" s="335"/>
      <c r="H47" s="335"/>
    </row>
    <row r="48" spans="7:8" s="334" customFormat="1" x14ac:dyDescent="0.25">
      <c r="G48" s="335"/>
      <c r="H48" s="335"/>
    </row>
    <row r="49" spans="7:8" s="334" customFormat="1" x14ac:dyDescent="0.25">
      <c r="G49" s="335"/>
      <c r="H49" s="335"/>
    </row>
    <row r="50" spans="7:8" s="334" customFormat="1" x14ac:dyDescent="0.25">
      <c r="G50" s="335"/>
      <c r="H50" s="335"/>
    </row>
    <row r="51" spans="7:8" s="334" customFormat="1" x14ac:dyDescent="0.25">
      <c r="G51" s="335"/>
      <c r="H51" s="335"/>
    </row>
    <row r="52" spans="7:8" s="334" customFormat="1" x14ac:dyDescent="0.25">
      <c r="G52" s="335"/>
      <c r="H52" s="335"/>
    </row>
    <row r="53" spans="7:8" s="334" customFormat="1" x14ac:dyDescent="0.25">
      <c r="G53" s="335"/>
      <c r="H53" s="335"/>
    </row>
    <row r="54" spans="7:8" s="334" customFormat="1" x14ac:dyDescent="0.25">
      <c r="G54" s="335"/>
      <c r="H54" s="335"/>
    </row>
    <row r="55" spans="7:8" s="334" customFormat="1" x14ac:dyDescent="0.25">
      <c r="G55" s="335"/>
      <c r="H55" s="335"/>
    </row>
    <row r="56" spans="7:8" s="334" customFormat="1" x14ac:dyDescent="0.25">
      <c r="G56" s="335"/>
      <c r="H56" s="335"/>
    </row>
    <row r="57" spans="7:8" s="334" customFormat="1" x14ac:dyDescent="0.25">
      <c r="G57" s="335"/>
      <c r="H57" s="335"/>
    </row>
    <row r="58" spans="7:8" s="334" customFormat="1" x14ac:dyDescent="0.25">
      <c r="G58" s="335"/>
      <c r="H58" s="335"/>
    </row>
    <row r="59" spans="7:8" s="334" customFormat="1" x14ac:dyDescent="0.25">
      <c r="G59" s="335"/>
      <c r="H59" s="335"/>
    </row>
    <row r="60" spans="7:8" s="334" customFormat="1" x14ac:dyDescent="0.25">
      <c r="G60" s="335"/>
      <c r="H60" s="335"/>
    </row>
    <row r="61" spans="7:8" s="334" customFormat="1" x14ac:dyDescent="0.25">
      <c r="G61" s="335"/>
      <c r="H61" s="335"/>
    </row>
    <row r="62" spans="7:8" s="334" customFormat="1" x14ac:dyDescent="0.25">
      <c r="G62" s="335"/>
      <c r="H62" s="335"/>
    </row>
    <row r="63" spans="7:8" s="334" customFormat="1" x14ac:dyDescent="0.25">
      <c r="G63" s="335"/>
      <c r="H63" s="335"/>
    </row>
    <row r="64" spans="7:8" s="334" customFormat="1" x14ac:dyDescent="0.25">
      <c r="G64" s="335"/>
      <c r="H64" s="335"/>
    </row>
    <row r="65" spans="7:8" s="334" customFormat="1" x14ac:dyDescent="0.25">
      <c r="G65" s="335"/>
      <c r="H65" s="335"/>
    </row>
    <row r="66" spans="7:8" s="334" customFormat="1" x14ac:dyDescent="0.25">
      <c r="G66" s="335"/>
      <c r="H66" s="335"/>
    </row>
    <row r="67" spans="7:8" s="334" customFormat="1" x14ac:dyDescent="0.25">
      <c r="G67" s="335"/>
      <c r="H67" s="335"/>
    </row>
    <row r="68" spans="7:8" s="334" customFormat="1" x14ac:dyDescent="0.25">
      <c r="G68" s="335"/>
      <c r="H68" s="335"/>
    </row>
    <row r="69" spans="7:8" s="334" customFormat="1" x14ac:dyDescent="0.25">
      <c r="G69" s="335"/>
      <c r="H69" s="335"/>
    </row>
    <row r="70" spans="7:8" s="334" customFormat="1" x14ac:dyDescent="0.25">
      <c r="G70" s="335"/>
      <c r="H70" s="335"/>
    </row>
    <row r="71" spans="7:8" s="334" customFormat="1" x14ac:dyDescent="0.25">
      <c r="G71" s="335"/>
      <c r="H71" s="335"/>
    </row>
    <row r="72" spans="7:8" s="334" customFormat="1" x14ac:dyDescent="0.25">
      <c r="G72" s="335"/>
      <c r="H72" s="335"/>
    </row>
    <row r="73" spans="7:8" s="334" customFormat="1" x14ac:dyDescent="0.25">
      <c r="G73" s="335"/>
      <c r="H73" s="335"/>
    </row>
    <row r="74" spans="7:8" s="334" customFormat="1" x14ac:dyDescent="0.25">
      <c r="G74" s="335"/>
      <c r="H74" s="335"/>
    </row>
    <row r="75" spans="7:8" s="334" customFormat="1" x14ac:dyDescent="0.25">
      <c r="G75" s="335"/>
      <c r="H75" s="335"/>
    </row>
    <row r="76" spans="7:8" s="334" customFormat="1" x14ac:dyDescent="0.25">
      <c r="G76" s="335"/>
      <c r="H76" s="335"/>
    </row>
    <row r="77" spans="7:8" s="334" customFormat="1" x14ac:dyDescent="0.25">
      <c r="G77" s="335"/>
      <c r="H77" s="335"/>
    </row>
    <row r="78" spans="7:8" s="334" customFormat="1" x14ac:dyDescent="0.25">
      <c r="G78" s="335"/>
      <c r="H78" s="335"/>
    </row>
    <row r="79" spans="7:8" s="334" customFormat="1" x14ac:dyDescent="0.25">
      <c r="G79" s="335"/>
      <c r="H79" s="335"/>
    </row>
    <row r="80" spans="7:8" s="334" customFormat="1" x14ac:dyDescent="0.25">
      <c r="G80" s="335"/>
      <c r="H80" s="335"/>
    </row>
    <row r="81" spans="7:8" s="334" customFormat="1" x14ac:dyDescent="0.25">
      <c r="G81" s="335"/>
      <c r="H81" s="335"/>
    </row>
    <row r="82" spans="7:8" s="334" customFormat="1" x14ac:dyDescent="0.25">
      <c r="G82" s="335"/>
      <c r="H82" s="335"/>
    </row>
    <row r="83" spans="7:8" s="334" customFormat="1" x14ac:dyDescent="0.25">
      <c r="G83" s="335"/>
      <c r="H83" s="335"/>
    </row>
    <row r="84" spans="7:8" s="334" customFormat="1" x14ac:dyDescent="0.25">
      <c r="G84" s="335"/>
      <c r="H84" s="335"/>
    </row>
    <row r="85" spans="7:8" s="334" customFormat="1" x14ac:dyDescent="0.25">
      <c r="G85" s="335"/>
      <c r="H85" s="335"/>
    </row>
    <row r="86" spans="7:8" s="334" customFormat="1" x14ac:dyDescent="0.25">
      <c r="G86" s="335"/>
      <c r="H86" s="335"/>
    </row>
    <row r="87" spans="7:8" s="334" customFormat="1" x14ac:dyDescent="0.25">
      <c r="G87" s="335"/>
      <c r="H87" s="335"/>
    </row>
    <row r="88" spans="7:8" s="334" customFormat="1" x14ac:dyDescent="0.25">
      <c r="G88" s="335"/>
      <c r="H88" s="335"/>
    </row>
    <row r="89" spans="7:8" s="334" customFormat="1" x14ac:dyDescent="0.25">
      <c r="G89" s="335"/>
      <c r="H89" s="335"/>
    </row>
    <row r="90" spans="7:8" s="334" customFormat="1" x14ac:dyDescent="0.25">
      <c r="G90" s="335"/>
      <c r="H90" s="335"/>
    </row>
    <row r="91" spans="7:8" s="334" customFormat="1" x14ac:dyDescent="0.25">
      <c r="G91" s="335"/>
      <c r="H91" s="335"/>
    </row>
    <row r="92" spans="7:8" s="334" customFormat="1" x14ac:dyDescent="0.25">
      <c r="G92" s="335"/>
      <c r="H92" s="335"/>
    </row>
    <row r="93" spans="7:8" s="334" customFormat="1" x14ac:dyDescent="0.25">
      <c r="G93" s="335"/>
      <c r="H93" s="335"/>
    </row>
    <row r="94" spans="7:8" s="334" customFormat="1" x14ac:dyDescent="0.25">
      <c r="G94" s="335"/>
      <c r="H94" s="335"/>
    </row>
    <row r="95" spans="7:8" s="334" customFormat="1" x14ac:dyDescent="0.25">
      <c r="G95" s="335"/>
      <c r="H95" s="335"/>
    </row>
    <row r="96" spans="7:8" s="334" customFormat="1" x14ac:dyDescent="0.25">
      <c r="G96" s="335"/>
      <c r="H96" s="335"/>
    </row>
    <row r="97" spans="7:8" s="334" customFormat="1" x14ac:dyDescent="0.25">
      <c r="G97" s="335"/>
      <c r="H97" s="335"/>
    </row>
    <row r="98" spans="7:8" s="334" customFormat="1" x14ac:dyDescent="0.25">
      <c r="G98" s="335"/>
      <c r="H98" s="335"/>
    </row>
    <row r="99" spans="7:8" s="334" customFormat="1" x14ac:dyDescent="0.25">
      <c r="G99" s="335"/>
      <c r="H99" s="335"/>
    </row>
    <row r="100" spans="7:8" s="334" customFormat="1" x14ac:dyDescent="0.25">
      <c r="G100" s="335"/>
      <c r="H100" s="335"/>
    </row>
    <row r="101" spans="7:8" s="334" customFormat="1" x14ac:dyDescent="0.25">
      <c r="G101" s="335"/>
      <c r="H101" s="335"/>
    </row>
    <row r="102" spans="7:8" s="334" customFormat="1" x14ac:dyDescent="0.25">
      <c r="G102" s="335"/>
      <c r="H102" s="335"/>
    </row>
    <row r="103" spans="7:8" s="334" customFormat="1" x14ac:dyDescent="0.25">
      <c r="G103" s="335"/>
      <c r="H103" s="335"/>
    </row>
    <row r="104" spans="7:8" s="334" customFormat="1" x14ac:dyDescent="0.25">
      <c r="G104" s="335"/>
      <c r="H104" s="335"/>
    </row>
    <row r="105" spans="7:8" s="334" customFormat="1" x14ac:dyDescent="0.25">
      <c r="G105" s="335"/>
      <c r="H105" s="335"/>
    </row>
    <row r="106" spans="7:8" s="334" customFormat="1" x14ac:dyDescent="0.25">
      <c r="G106" s="335"/>
      <c r="H106" s="335"/>
    </row>
    <row r="107" spans="7:8" s="334" customFormat="1" x14ac:dyDescent="0.25">
      <c r="G107" s="335"/>
      <c r="H107" s="335"/>
    </row>
    <row r="108" spans="7:8" s="334" customFormat="1" x14ac:dyDescent="0.25">
      <c r="G108" s="335"/>
      <c r="H108" s="335"/>
    </row>
    <row r="109" spans="7:8" s="334" customFormat="1" x14ac:dyDescent="0.25">
      <c r="G109" s="335"/>
      <c r="H109" s="335"/>
    </row>
    <row r="110" spans="7:8" s="334" customFormat="1" x14ac:dyDescent="0.25">
      <c r="G110" s="335"/>
      <c r="H110" s="335"/>
    </row>
    <row r="111" spans="7:8" s="334" customFormat="1" x14ac:dyDescent="0.25">
      <c r="G111" s="335"/>
      <c r="H111" s="335"/>
    </row>
    <row r="112" spans="7:8" s="334" customFormat="1" x14ac:dyDescent="0.25">
      <c r="G112" s="335"/>
      <c r="H112" s="335"/>
    </row>
    <row r="113" spans="7:8" s="334" customFormat="1" x14ac:dyDescent="0.25">
      <c r="G113" s="335"/>
      <c r="H113" s="335"/>
    </row>
    <row r="114" spans="7:8" s="334" customFormat="1" x14ac:dyDescent="0.25">
      <c r="G114" s="335"/>
      <c r="H114" s="335"/>
    </row>
    <row r="115" spans="7:8" s="334" customFormat="1" x14ac:dyDescent="0.25">
      <c r="G115" s="335"/>
      <c r="H115" s="335"/>
    </row>
    <row r="116" spans="7:8" s="334" customFormat="1" x14ac:dyDescent="0.25">
      <c r="G116" s="335"/>
      <c r="H116" s="335"/>
    </row>
    <row r="117" spans="7:8" s="334" customFormat="1" x14ac:dyDescent="0.25">
      <c r="G117" s="335"/>
      <c r="H117" s="335"/>
    </row>
    <row r="118" spans="7:8" s="334" customFormat="1" x14ac:dyDescent="0.25">
      <c r="G118" s="335"/>
      <c r="H118" s="335"/>
    </row>
    <row r="119" spans="7:8" s="334" customFormat="1" x14ac:dyDescent="0.25">
      <c r="G119" s="335"/>
      <c r="H119" s="335"/>
    </row>
    <row r="120" spans="7:8" s="334" customFormat="1" x14ac:dyDescent="0.25">
      <c r="G120" s="335"/>
      <c r="H120" s="335"/>
    </row>
    <row r="121" spans="7:8" s="334" customFormat="1" x14ac:dyDescent="0.25">
      <c r="G121" s="335"/>
      <c r="H121" s="335"/>
    </row>
    <row r="122" spans="7:8" s="334" customFormat="1" x14ac:dyDescent="0.25">
      <c r="G122" s="335"/>
      <c r="H122" s="335"/>
    </row>
    <row r="123" spans="7:8" s="334" customFormat="1" x14ac:dyDescent="0.25">
      <c r="G123" s="335"/>
      <c r="H123" s="335"/>
    </row>
    <row r="124" spans="7:8" s="334" customFormat="1" x14ac:dyDescent="0.25">
      <c r="G124" s="335"/>
      <c r="H124" s="335"/>
    </row>
    <row r="125" spans="7:8" s="334" customFormat="1" x14ac:dyDescent="0.25">
      <c r="G125" s="335"/>
      <c r="H125" s="335"/>
    </row>
    <row r="126" spans="7:8" s="334" customFormat="1" x14ac:dyDescent="0.25">
      <c r="G126" s="335"/>
      <c r="H126" s="335"/>
    </row>
    <row r="127" spans="7:8" s="334" customFormat="1" x14ac:dyDescent="0.25">
      <c r="G127" s="335"/>
      <c r="H127" s="335"/>
    </row>
    <row r="128" spans="7:8" s="334" customFormat="1" x14ac:dyDescent="0.25">
      <c r="G128" s="335"/>
      <c r="H128" s="335"/>
    </row>
    <row r="129" spans="7:8" s="334" customFormat="1" x14ac:dyDescent="0.25">
      <c r="G129" s="335"/>
      <c r="H129" s="335"/>
    </row>
    <row r="130" spans="7:8" s="334" customFormat="1" x14ac:dyDescent="0.25">
      <c r="G130" s="335"/>
      <c r="H130" s="335"/>
    </row>
    <row r="131" spans="7:8" s="334" customFormat="1" x14ac:dyDescent="0.25">
      <c r="G131" s="335"/>
      <c r="H131" s="335"/>
    </row>
    <row r="132" spans="7:8" s="334" customFormat="1" x14ac:dyDescent="0.25">
      <c r="G132" s="335"/>
      <c r="H132" s="335"/>
    </row>
    <row r="133" spans="7:8" s="334" customFormat="1" x14ac:dyDescent="0.25">
      <c r="G133" s="335"/>
      <c r="H133" s="335"/>
    </row>
    <row r="134" spans="7:8" s="334" customFormat="1" x14ac:dyDescent="0.25">
      <c r="G134" s="335"/>
      <c r="H134" s="335"/>
    </row>
    <row r="135" spans="7:8" s="334" customFormat="1" x14ac:dyDescent="0.25">
      <c r="G135" s="335"/>
      <c r="H135" s="335"/>
    </row>
    <row r="136" spans="7:8" s="334" customFormat="1" x14ac:dyDescent="0.25">
      <c r="G136" s="335"/>
      <c r="H136" s="335"/>
    </row>
    <row r="137" spans="7:8" s="334" customFormat="1" x14ac:dyDescent="0.25">
      <c r="G137" s="335"/>
      <c r="H137" s="335"/>
    </row>
    <row r="138" spans="7:8" s="334" customFormat="1" x14ac:dyDescent="0.25">
      <c r="G138" s="335"/>
      <c r="H138" s="335"/>
    </row>
    <row r="139" spans="7:8" s="334" customFormat="1" x14ac:dyDescent="0.25">
      <c r="G139" s="335"/>
      <c r="H139" s="335"/>
    </row>
    <row r="140" spans="7:8" s="334" customFormat="1" x14ac:dyDescent="0.25">
      <c r="G140" s="335"/>
      <c r="H140" s="335"/>
    </row>
    <row r="141" spans="7:8" s="334" customFormat="1" x14ac:dyDescent="0.25">
      <c r="G141" s="335"/>
      <c r="H141" s="335"/>
    </row>
    <row r="142" spans="7:8" s="334" customFormat="1" x14ac:dyDescent="0.25">
      <c r="G142" s="335"/>
      <c r="H142" s="335"/>
    </row>
    <row r="143" spans="7:8" s="334" customFormat="1" x14ac:dyDescent="0.25">
      <c r="G143" s="335"/>
      <c r="H143" s="335"/>
    </row>
    <row r="144" spans="7:8" s="334" customFormat="1" x14ac:dyDescent="0.25">
      <c r="G144" s="335"/>
      <c r="H144" s="335"/>
    </row>
    <row r="145" spans="7:8" s="334" customFormat="1" x14ac:dyDescent="0.25">
      <c r="G145" s="335"/>
      <c r="H145" s="335"/>
    </row>
    <row r="146" spans="7:8" s="334" customFormat="1" x14ac:dyDescent="0.25">
      <c r="G146" s="335"/>
      <c r="H146" s="335"/>
    </row>
    <row r="147" spans="7:8" s="334" customFormat="1" x14ac:dyDescent="0.25">
      <c r="G147" s="335"/>
      <c r="H147" s="335"/>
    </row>
    <row r="148" spans="7:8" s="334" customFormat="1" x14ac:dyDescent="0.25">
      <c r="G148" s="335"/>
      <c r="H148" s="335"/>
    </row>
    <row r="149" spans="7:8" s="334" customFormat="1" x14ac:dyDescent="0.25">
      <c r="G149" s="335"/>
      <c r="H149" s="335"/>
    </row>
    <row r="150" spans="7:8" s="334" customFormat="1" x14ac:dyDescent="0.25">
      <c r="G150" s="335"/>
      <c r="H150" s="335"/>
    </row>
    <row r="151" spans="7:8" s="334" customFormat="1" x14ac:dyDescent="0.25">
      <c r="G151" s="335"/>
      <c r="H151" s="335"/>
    </row>
    <row r="152" spans="7:8" s="334" customFormat="1" x14ac:dyDescent="0.25">
      <c r="G152" s="335"/>
      <c r="H152" s="335"/>
    </row>
    <row r="153" spans="7:8" s="334" customFormat="1" x14ac:dyDescent="0.25">
      <c r="G153" s="335"/>
      <c r="H153" s="335"/>
    </row>
    <row r="154" spans="7:8" s="334" customFormat="1" x14ac:dyDescent="0.25">
      <c r="G154" s="335"/>
      <c r="H154" s="335"/>
    </row>
    <row r="155" spans="7:8" s="334" customFormat="1" x14ac:dyDescent="0.25">
      <c r="G155" s="335"/>
      <c r="H155" s="335"/>
    </row>
    <row r="156" spans="7:8" s="334" customFormat="1" x14ac:dyDescent="0.25">
      <c r="G156" s="335"/>
      <c r="H156" s="335"/>
    </row>
    <row r="157" spans="7:8" s="334" customFormat="1" x14ac:dyDescent="0.25">
      <c r="G157" s="335"/>
      <c r="H157" s="335"/>
    </row>
    <row r="158" spans="7:8" s="334" customFormat="1" x14ac:dyDescent="0.25">
      <c r="G158" s="335"/>
      <c r="H158" s="335"/>
    </row>
    <row r="159" spans="7:8" s="334" customFormat="1" x14ac:dyDescent="0.25">
      <c r="G159" s="335"/>
      <c r="H159" s="335"/>
    </row>
    <row r="160" spans="7:8" s="334" customFormat="1" x14ac:dyDescent="0.25">
      <c r="G160" s="335"/>
      <c r="H160" s="335"/>
    </row>
    <row r="161" spans="7:8" s="334" customFormat="1" x14ac:dyDescent="0.25">
      <c r="G161" s="335"/>
      <c r="H161" s="335"/>
    </row>
    <row r="162" spans="7:8" s="334" customFormat="1" x14ac:dyDescent="0.25">
      <c r="G162" s="335"/>
      <c r="H162" s="335"/>
    </row>
    <row r="163" spans="7:8" s="334" customFormat="1" x14ac:dyDescent="0.25">
      <c r="G163" s="335"/>
      <c r="H163" s="335"/>
    </row>
    <row r="164" spans="7:8" s="334" customFormat="1" x14ac:dyDescent="0.25">
      <c r="G164" s="335"/>
      <c r="H164" s="335"/>
    </row>
    <row r="165" spans="7:8" s="334" customFormat="1" x14ac:dyDescent="0.25">
      <c r="G165" s="335"/>
      <c r="H165" s="335"/>
    </row>
    <row r="166" spans="7:8" s="334" customFormat="1" x14ac:dyDescent="0.25">
      <c r="G166" s="335"/>
      <c r="H166" s="335"/>
    </row>
    <row r="167" spans="7:8" s="334" customFormat="1" x14ac:dyDescent="0.25">
      <c r="G167" s="335"/>
      <c r="H167" s="335"/>
    </row>
    <row r="168" spans="7:8" s="334" customFormat="1" x14ac:dyDescent="0.25">
      <c r="G168" s="335"/>
      <c r="H168" s="335"/>
    </row>
    <row r="169" spans="7:8" s="334" customFormat="1" x14ac:dyDescent="0.25">
      <c r="G169" s="335"/>
      <c r="H169" s="335"/>
    </row>
    <row r="170" spans="7:8" s="334" customFormat="1" x14ac:dyDescent="0.25">
      <c r="G170" s="335"/>
      <c r="H170" s="335"/>
    </row>
    <row r="171" spans="7:8" s="334" customFormat="1" x14ac:dyDescent="0.25">
      <c r="G171" s="335"/>
      <c r="H171" s="335"/>
    </row>
    <row r="172" spans="7:8" s="334" customFormat="1" x14ac:dyDescent="0.25">
      <c r="G172" s="335"/>
      <c r="H172" s="335"/>
    </row>
    <row r="173" spans="7:8" s="334" customFormat="1" x14ac:dyDescent="0.25">
      <c r="G173" s="335"/>
      <c r="H173" s="335"/>
    </row>
    <row r="174" spans="7:8" s="334" customFormat="1" x14ac:dyDescent="0.25">
      <c r="G174" s="335"/>
      <c r="H174" s="335"/>
    </row>
    <row r="175" spans="7:8" s="334" customFormat="1" x14ac:dyDescent="0.25">
      <c r="G175" s="335"/>
      <c r="H175" s="335"/>
    </row>
    <row r="176" spans="7:8" s="334" customFormat="1" x14ac:dyDescent="0.25">
      <c r="G176" s="335"/>
      <c r="H176" s="335"/>
    </row>
    <row r="177" spans="7:8" s="334" customFormat="1" x14ac:dyDescent="0.25">
      <c r="G177" s="335"/>
      <c r="H177" s="335"/>
    </row>
    <row r="178" spans="7:8" s="334" customFormat="1" x14ac:dyDescent="0.25">
      <c r="G178" s="335"/>
      <c r="H178" s="335"/>
    </row>
    <row r="179" spans="7:8" s="334" customFormat="1" x14ac:dyDescent="0.25">
      <c r="G179" s="335"/>
      <c r="H179" s="335"/>
    </row>
    <row r="180" spans="7:8" s="334" customFormat="1" x14ac:dyDescent="0.25">
      <c r="G180" s="335"/>
      <c r="H180" s="335"/>
    </row>
    <row r="181" spans="7:8" s="334" customFormat="1" x14ac:dyDescent="0.25">
      <c r="G181" s="335"/>
      <c r="H181" s="335"/>
    </row>
    <row r="182" spans="7:8" s="334" customFormat="1" x14ac:dyDescent="0.25">
      <c r="G182" s="335"/>
      <c r="H182" s="335"/>
    </row>
    <row r="183" spans="7:8" s="334" customFormat="1" x14ac:dyDescent="0.25">
      <c r="G183" s="335"/>
      <c r="H183" s="335"/>
    </row>
    <row r="184" spans="7:8" s="334" customFormat="1" x14ac:dyDescent="0.25">
      <c r="G184" s="335"/>
      <c r="H184" s="335"/>
    </row>
    <row r="185" spans="7:8" s="334" customFormat="1" x14ac:dyDescent="0.25">
      <c r="G185" s="335"/>
      <c r="H185" s="335"/>
    </row>
    <row r="186" spans="7:8" s="334" customFormat="1" x14ac:dyDescent="0.25">
      <c r="G186" s="335"/>
      <c r="H186" s="335"/>
    </row>
    <row r="187" spans="7:8" s="334" customFormat="1" x14ac:dyDescent="0.25">
      <c r="G187" s="335"/>
      <c r="H187" s="335"/>
    </row>
    <row r="188" spans="7:8" s="334" customFormat="1" x14ac:dyDescent="0.25">
      <c r="G188" s="335"/>
      <c r="H188" s="335"/>
    </row>
    <row r="189" spans="7:8" s="334" customFormat="1" x14ac:dyDescent="0.25">
      <c r="G189" s="335"/>
      <c r="H189" s="335"/>
    </row>
    <row r="190" spans="7:8" s="334" customFormat="1" x14ac:dyDescent="0.25">
      <c r="G190" s="335"/>
      <c r="H190" s="335"/>
    </row>
    <row r="191" spans="7:8" s="334" customFormat="1" x14ac:dyDescent="0.25">
      <c r="G191" s="335"/>
      <c r="H191" s="335"/>
    </row>
    <row r="192" spans="7:8" s="334" customFormat="1" x14ac:dyDescent="0.25">
      <c r="G192" s="335"/>
      <c r="H192" s="335"/>
    </row>
    <row r="193" spans="7:8" s="334" customFormat="1" x14ac:dyDescent="0.25">
      <c r="G193" s="335"/>
      <c r="H193" s="335"/>
    </row>
    <row r="194" spans="7:8" s="334" customFormat="1" x14ac:dyDescent="0.25">
      <c r="G194" s="335"/>
      <c r="H194" s="335"/>
    </row>
    <row r="195" spans="7:8" s="334" customFormat="1" x14ac:dyDescent="0.25">
      <c r="G195" s="335"/>
      <c r="H195" s="335"/>
    </row>
    <row r="196" spans="7:8" s="334" customFormat="1" x14ac:dyDescent="0.25">
      <c r="G196" s="335"/>
      <c r="H196" s="335"/>
    </row>
    <row r="197" spans="7:8" s="334" customFormat="1" x14ac:dyDescent="0.25">
      <c r="G197" s="335"/>
      <c r="H197" s="335"/>
    </row>
    <row r="198" spans="7:8" s="334" customFormat="1" x14ac:dyDescent="0.25">
      <c r="G198" s="335"/>
      <c r="H198" s="335"/>
    </row>
    <row r="199" spans="7:8" s="334" customFormat="1" x14ac:dyDescent="0.25">
      <c r="G199" s="335"/>
      <c r="H199" s="335"/>
    </row>
    <row r="200" spans="7:8" s="334" customFormat="1" x14ac:dyDescent="0.25">
      <c r="G200" s="335"/>
      <c r="H200" s="335"/>
    </row>
    <row r="201" spans="7:8" s="334" customFormat="1" x14ac:dyDescent="0.25">
      <c r="G201" s="335"/>
      <c r="H201" s="335"/>
    </row>
    <row r="202" spans="7:8" s="334" customFormat="1" x14ac:dyDescent="0.25">
      <c r="G202" s="335"/>
      <c r="H202" s="335"/>
    </row>
    <row r="203" spans="7:8" s="334" customFormat="1" x14ac:dyDescent="0.25">
      <c r="G203" s="335"/>
      <c r="H203" s="335"/>
    </row>
    <row r="204" spans="7:8" s="334" customFormat="1" x14ac:dyDescent="0.25">
      <c r="G204" s="335"/>
      <c r="H204" s="335"/>
    </row>
    <row r="205" spans="7:8" s="334" customFormat="1" x14ac:dyDescent="0.25">
      <c r="G205" s="335"/>
      <c r="H205" s="335"/>
    </row>
    <row r="206" spans="7:8" s="334" customFormat="1" x14ac:dyDescent="0.25">
      <c r="G206" s="335"/>
      <c r="H206" s="335"/>
    </row>
    <row r="207" spans="7:8" s="334" customFormat="1" x14ac:dyDescent="0.25">
      <c r="G207" s="335"/>
      <c r="H207" s="335"/>
    </row>
    <row r="208" spans="7:8" s="334" customFormat="1" x14ac:dyDescent="0.25">
      <c r="G208" s="335"/>
      <c r="H208" s="335"/>
    </row>
    <row r="209" spans="7:8" s="334" customFormat="1" x14ac:dyDescent="0.25">
      <c r="G209" s="335"/>
      <c r="H209" s="335"/>
    </row>
    <row r="210" spans="7:8" s="334" customFormat="1" x14ac:dyDescent="0.25">
      <c r="G210" s="335"/>
      <c r="H210" s="335"/>
    </row>
    <row r="211" spans="7:8" s="334" customFormat="1" x14ac:dyDescent="0.25">
      <c r="G211" s="335"/>
      <c r="H211" s="335"/>
    </row>
    <row r="212" spans="7:8" s="334" customFormat="1" x14ac:dyDescent="0.25">
      <c r="G212" s="335"/>
      <c r="H212" s="335"/>
    </row>
    <row r="213" spans="7:8" s="334" customFormat="1" x14ac:dyDescent="0.25">
      <c r="G213" s="335"/>
      <c r="H213" s="335"/>
    </row>
    <row r="214" spans="7:8" s="334" customFormat="1" x14ac:dyDescent="0.25">
      <c r="G214" s="335"/>
      <c r="H214" s="335"/>
    </row>
    <row r="215" spans="7:8" s="334" customFormat="1" x14ac:dyDescent="0.25">
      <c r="G215" s="335"/>
      <c r="H215" s="335"/>
    </row>
    <row r="216" spans="7:8" s="334" customFormat="1" x14ac:dyDescent="0.25">
      <c r="G216" s="335"/>
      <c r="H216" s="335"/>
    </row>
    <row r="217" spans="7:8" s="334" customFormat="1" x14ac:dyDescent="0.25">
      <c r="G217" s="335"/>
      <c r="H217" s="335"/>
    </row>
    <row r="218" spans="7:8" s="334" customFormat="1" x14ac:dyDescent="0.25">
      <c r="G218" s="335"/>
      <c r="H218" s="335"/>
    </row>
    <row r="219" spans="7:8" s="334" customFormat="1" x14ac:dyDescent="0.25">
      <c r="G219" s="335"/>
      <c r="H219" s="335"/>
    </row>
    <row r="220" spans="7:8" s="334" customFormat="1" x14ac:dyDescent="0.25">
      <c r="G220" s="335"/>
      <c r="H220" s="335"/>
    </row>
    <row r="221" spans="7:8" s="334" customFormat="1" x14ac:dyDescent="0.25">
      <c r="G221" s="335"/>
      <c r="H221" s="335"/>
    </row>
    <row r="222" spans="7:8" s="334" customFormat="1" x14ac:dyDescent="0.25">
      <c r="G222" s="335"/>
      <c r="H222" s="335"/>
    </row>
    <row r="223" spans="7:8" s="334" customFormat="1" x14ac:dyDescent="0.25">
      <c r="G223" s="335"/>
      <c r="H223" s="335"/>
    </row>
    <row r="224" spans="7:8" s="334" customFormat="1" x14ac:dyDescent="0.25">
      <c r="G224" s="335"/>
      <c r="H224" s="335"/>
    </row>
    <row r="225" spans="7:8" s="334" customFormat="1" x14ac:dyDescent="0.25">
      <c r="G225" s="335"/>
      <c r="H225" s="335"/>
    </row>
    <row r="226" spans="7:8" s="334" customFormat="1" x14ac:dyDescent="0.25">
      <c r="G226" s="335"/>
      <c r="H226" s="335"/>
    </row>
    <row r="227" spans="7:8" s="334" customFormat="1" x14ac:dyDescent="0.25">
      <c r="G227" s="335"/>
      <c r="H227" s="335"/>
    </row>
    <row r="228" spans="7:8" s="334" customFormat="1" x14ac:dyDescent="0.25">
      <c r="G228" s="335"/>
      <c r="H228" s="335"/>
    </row>
    <row r="229" spans="7:8" s="334" customFormat="1" x14ac:dyDescent="0.25">
      <c r="G229" s="335"/>
      <c r="H229" s="335"/>
    </row>
    <row r="230" spans="7:8" s="334" customFormat="1" x14ac:dyDescent="0.25">
      <c r="G230" s="335"/>
      <c r="H230" s="335"/>
    </row>
    <row r="231" spans="7:8" s="334" customFormat="1" x14ac:dyDescent="0.25">
      <c r="G231" s="335"/>
      <c r="H231" s="335"/>
    </row>
    <row r="232" spans="7:8" s="334" customFormat="1" x14ac:dyDescent="0.25">
      <c r="G232" s="335"/>
      <c r="H232" s="335"/>
    </row>
    <row r="233" spans="7:8" s="334" customFormat="1" x14ac:dyDescent="0.25">
      <c r="G233" s="335"/>
      <c r="H233" s="335"/>
    </row>
    <row r="234" spans="7:8" s="334" customFormat="1" x14ac:dyDescent="0.25">
      <c r="G234" s="335"/>
      <c r="H234" s="335"/>
    </row>
    <row r="235" spans="7:8" s="334" customFormat="1" x14ac:dyDescent="0.25">
      <c r="G235" s="335"/>
      <c r="H235" s="335"/>
    </row>
    <row r="236" spans="7:8" s="334" customFormat="1" x14ac:dyDescent="0.25">
      <c r="G236" s="335"/>
      <c r="H236" s="335"/>
    </row>
    <row r="237" spans="7:8" s="334" customFormat="1" x14ac:dyDescent="0.25">
      <c r="G237" s="335"/>
      <c r="H237" s="335"/>
    </row>
    <row r="238" spans="7:8" s="334" customFormat="1" x14ac:dyDescent="0.25">
      <c r="G238" s="335"/>
      <c r="H238" s="335"/>
    </row>
    <row r="239" spans="7:8" s="334" customFormat="1" x14ac:dyDescent="0.25">
      <c r="G239" s="335"/>
      <c r="H239" s="335"/>
    </row>
    <row r="240" spans="7:8" s="334" customFormat="1" x14ac:dyDescent="0.25">
      <c r="G240" s="335"/>
      <c r="H240" s="335"/>
    </row>
    <row r="241" spans="7:8" s="334" customFormat="1" x14ac:dyDescent="0.25">
      <c r="G241" s="335"/>
      <c r="H241" s="335"/>
    </row>
    <row r="242" spans="7:8" s="334" customFormat="1" x14ac:dyDescent="0.25">
      <c r="G242" s="335"/>
      <c r="H242" s="335"/>
    </row>
    <row r="243" spans="7:8" s="334" customFormat="1" x14ac:dyDescent="0.25">
      <c r="G243" s="335"/>
      <c r="H243" s="335"/>
    </row>
    <row r="244" spans="7:8" s="334" customFormat="1" x14ac:dyDescent="0.25">
      <c r="G244" s="335"/>
      <c r="H244" s="335"/>
    </row>
    <row r="245" spans="7:8" s="334" customFormat="1" x14ac:dyDescent="0.25">
      <c r="G245" s="335"/>
      <c r="H245" s="335"/>
    </row>
    <row r="246" spans="7:8" s="334" customFormat="1" x14ac:dyDescent="0.25">
      <c r="G246" s="335"/>
      <c r="H246" s="335"/>
    </row>
    <row r="247" spans="7:8" s="334" customFormat="1" x14ac:dyDescent="0.25">
      <c r="G247" s="335"/>
      <c r="H247" s="335"/>
    </row>
    <row r="248" spans="7:8" s="334" customFormat="1" x14ac:dyDescent="0.25">
      <c r="G248" s="335"/>
      <c r="H248" s="335"/>
    </row>
    <row r="249" spans="7:8" s="334" customFormat="1" x14ac:dyDescent="0.25">
      <c r="G249" s="335"/>
      <c r="H249" s="335"/>
    </row>
    <row r="250" spans="7:8" s="334" customFormat="1" x14ac:dyDescent="0.25">
      <c r="G250" s="335"/>
      <c r="H250" s="335"/>
    </row>
    <row r="251" spans="7:8" s="334" customFormat="1" x14ac:dyDescent="0.25">
      <c r="G251" s="335"/>
      <c r="H251" s="335"/>
    </row>
    <row r="252" spans="7:8" s="334" customFormat="1" x14ac:dyDescent="0.25">
      <c r="G252" s="335"/>
      <c r="H252" s="335"/>
    </row>
    <row r="253" spans="7:8" s="334" customFormat="1" x14ac:dyDescent="0.25">
      <c r="G253" s="335"/>
      <c r="H253" s="335"/>
    </row>
    <row r="254" spans="7:8" s="334" customFormat="1" x14ac:dyDescent="0.25">
      <c r="G254" s="335"/>
      <c r="H254" s="335"/>
    </row>
    <row r="255" spans="7:8" s="334" customFormat="1" x14ac:dyDescent="0.25">
      <c r="G255" s="335"/>
      <c r="H255" s="335"/>
    </row>
    <row r="256" spans="7:8" s="334" customFormat="1" x14ac:dyDescent="0.25">
      <c r="G256" s="335"/>
      <c r="H256" s="335"/>
    </row>
    <row r="257" spans="7:8" s="334" customFormat="1" x14ac:dyDescent="0.25">
      <c r="G257" s="335"/>
      <c r="H257" s="335"/>
    </row>
    <row r="258" spans="7:8" s="334" customFormat="1" x14ac:dyDescent="0.25">
      <c r="G258" s="335"/>
      <c r="H258" s="335"/>
    </row>
    <row r="259" spans="7:8" s="334" customFormat="1" x14ac:dyDescent="0.25">
      <c r="G259" s="335"/>
      <c r="H259" s="335"/>
    </row>
    <row r="260" spans="7:8" s="334" customFormat="1" x14ac:dyDescent="0.25">
      <c r="G260" s="335"/>
      <c r="H260" s="335"/>
    </row>
    <row r="261" spans="7:8" s="334" customFormat="1" x14ac:dyDescent="0.25">
      <c r="G261" s="335"/>
      <c r="H261" s="335"/>
    </row>
    <row r="262" spans="7:8" s="334" customFormat="1" x14ac:dyDescent="0.25">
      <c r="G262" s="335"/>
      <c r="H262" s="335"/>
    </row>
    <row r="263" spans="7:8" s="334" customFormat="1" x14ac:dyDescent="0.25">
      <c r="G263" s="335"/>
      <c r="H263" s="335"/>
    </row>
    <row r="264" spans="7:8" s="334" customFormat="1" x14ac:dyDescent="0.25">
      <c r="G264" s="335"/>
      <c r="H264" s="335"/>
    </row>
    <row r="265" spans="7:8" s="334" customFormat="1" x14ac:dyDescent="0.25">
      <c r="G265" s="335"/>
      <c r="H265" s="335"/>
    </row>
    <row r="266" spans="7:8" s="334" customFormat="1" x14ac:dyDescent="0.25">
      <c r="G266" s="335"/>
      <c r="H266" s="335"/>
    </row>
    <row r="267" spans="7:8" s="334" customFormat="1" x14ac:dyDescent="0.25">
      <c r="G267" s="335"/>
      <c r="H267" s="335"/>
    </row>
    <row r="268" spans="7:8" s="334" customFormat="1" x14ac:dyDescent="0.25">
      <c r="G268" s="335"/>
      <c r="H268" s="335"/>
    </row>
    <row r="269" spans="7:8" s="334" customFormat="1" x14ac:dyDescent="0.25">
      <c r="G269" s="335"/>
      <c r="H269" s="335"/>
    </row>
    <row r="270" spans="7:8" s="334" customFormat="1" x14ac:dyDescent="0.25">
      <c r="G270" s="335"/>
      <c r="H270" s="335"/>
    </row>
    <row r="271" spans="7:8" s="334" customFormat="1" x14ac:dyDescent="0.25">
      <c r="G271" s="335"/>
      <c r="H271" s="335"/>
    </row>
    <row r="272" spans="7:8" s="334" customFormat="1" x14ac:dyDescent="0.25">
      <c r="G272" s="335"/>
      <c r="H272" s="335"/>
    </row>
    <row r="273" spans="7:8" s="334" customFormat="1" x14ac:dyDescent="0.25">
      <c r="G273" s="335"/>
      <c r="H273" s="335"/>
    </row>
    <row r="274" spans="7:8" s="334" customFormat="1" x14ac:dyDescent="0.25">
      <c r="G274" s="335"/>
      <c r="H274" s="335"/>
    </row>
    <row r="275" spans="7:8" s="334" customFormat="1" x14ac:dyDescent="0.25">
      <c r="G275" s="335"/>
      <c r="H275" s="335"/>
    </row>
    <row r="276" spans="7:8" s="334" customFormat="1" x14ac:dyDescent="0.25">
      <c r="G276" s="335"/>
      <c r="H276" s="335"/>
    </row>
    <row r="277" spans="7:8" s="334" customFormat="1" x14ac:dyDescent="0.25">
      <c r="G277" s="335"/>
      <c r="H277" s="335"/>
    </row>
    <row r="278" spans="7:8" s="334" customFormat="1" x14ac:dyDescent="0.25">
      <c r="G278" s="335"/>
      <c r="H278" s="335"/>
    </row>
    <row r="279" spans="7:8" s="334" customFormat="1" x14ac:dyDescent="0.25">
      <c r="G279" s="335"/>
      <c r="H279" s="335"/>
    </row>
    <row r="280" spans="7:8" s="334" customFormat="1" x14ac:dyDescent="0.25">
      <c r="G280" s="335"/>
      <c r="H280" s="335"/>
    </row>
    <row r="281" spans="7:8" s="334" customFormat="1" x14ac:dyDescent="0.25">
      <c r="G281" s="335"/>
      <c r="H281" s="335"/>
    </row>
    <row r="282" spans="7:8" s="334" customFormat="1" x14ac:dyDescent="0.25">
      <c r="G282" s="335"/>
      <c r="H282" s="335"/>
    </row>
    <row r="283" spans="7:8" s="334" customFormat="1" x14ac:dyDescent="0.25">
      <c r="G283" s="335"/>
      <c r="H283" s="335"/>
    </row>
    <row r="284" spans="7:8" s="334" customFormat="1" x14ac:dyDescent="0.25">
      <c r="G284" s="335"/>
      <c r="H284" s="335"/>
    </row>
    <row r="285" spans="7:8" s="334" customFormat="1" x14ac:dyDescent="0.25">
      <c r="G285" s="335"/>
      <c r="H285" s="335"/>
    </row>
    <row r="286" spans="7:8" s="334" customFormat="1" x14ac:dyDescent="0.25">
      <c r="G286" s="335"/>
      <c r="H286" s="335"/>
    </row>
    <row r="287" spans="7:8" s="334" customFormat="1" x14ac:dyDescent="0.25">
      <c r="G287" s="335"/>
      <c r="H287" s="335"/>
    </row>
    <row r="288" spans="7:8" s="334" customFormat="1" x14ac:dyDescent="0.25">
      <c r="G288" s="335"/>
      <c r="H288" s="335"/>
    </row>
    <row r="289" spans="7:8" s="334" customFormat="1" x14ac:dyDescent="0.25">
      <c r="G289" s="335"/>
      <c r="H289" s="335"/>
    </row>
    <row r="290" spans="7:8" s="334" customFormat="1" x14ac:dyDescent="0.25">
      <c r="G290" s="335"/>
      <c r="H290" s="335"/>
    </row>
    <row r="291" spans="7:8" s="334" customFormat="1" x14ac:dyDescent="0.25">
      <c r="G291" s="335"/>
      <c r="H291" s="335"/>
    </row>
    <row r="292" spans="7:8" s="334" customFormat="1" x14ac:dyDescent="0.25">
      <c r="G292" s="335"/>
      <c r="H292" s="335"/>
    </row>
    <row r="293" spans="7:8" s="334" customFormat="1" x14ac:dyDescent="0.25">
      <c r="G293" s="335"/>
      <c r="H293" s="335"/>
    </row>
    <row r="294" spans="7:8" s="334" customFormat="1" x14ac:dyDescent="0.25">
      <c r="G294" s="335"/>
      <c r="H294" s="335"/>
    </row>
    <row r="295" spans="7:8" s="334" customFormat="1" x14ac:dyDescent="0.25">
      <c r="G295" s="335"/>
      <c r="H295" s="335"/>
    </row>
    <row r="296" spans="7:8" s="334" customFormat="1" x14ac:dyDescent="0.25">
      <c r="G296" s="335"/>
      <c r="H296" s="335"/>
    </row>
    <row r="297" spans="7:8" s="334" customFormat="1" x14ac:dyDescent="0.25">
      <c r="G297" s="335"/>
      <c r="H297" s="335"/>
    </row>
    <row r="298" spans="7:8" s="334" customFormat="1" x14ac:dyDescent="0.25">
      <c r="G298" s="335"/>
      <c r="H298" s="335"/>
    </row>
    <row r="299" spans="7:8" s="334" customFormat="1" x14ac:dyDescent="0.25">
      <c r="G299" s="335"/>
      <c r="H299" s="335"/>
    </row>
    <row r="300" spans="7:8" s="334" customFormat="1" x14ac:dyDescent="0.25">
      <c r="G300" s="335"/>
      <c r="H300" s="335"/>
    </row>
    <row r="301" spans="7:8" s="334" customFormat="1" x14ac:dyDescent="0.25">
      <c r="G301" s="335"/>
      <c r="H301" s="335"/>
    </row>
    <row r="302" spans="7:8" s="334" customFormat="1" x14ac:dyDescent="0.25">
      <c r="G302" s="335"/>
      <c r="H302" s="335"/>
    </row>
    <row r="303" spans="7:8" s="334" customFormat="1" x14ac:dyDescent="0.25">
      <c r="G303" s="335"/>
      <c r="H303" s="335"/>
    </row>
    <row r="304" spans="7:8" s="334" customFormat="1" x14ac:dyDescent="0.25">
      <c r="G304" s="335"/>
      <c r="H304" s="335"/>
    </row>
    <row r="305" spans="7:8" s="334" customFormat="1" x14ac:dyDescent="0.25">
      <c r="G305" s="335"/>
      <c r="H305" s="335"/>
    </row>
    <row r="306" spans="7:8" s="334" customFormat="1" x14ac:dyDescent="0.25">
      <c r="G306" s="335"/>
      <c r="H306" s="335"/>
    </row>
    <row r="307" spans="7:8" s="334" customFormat="1" x14ac:dyDescent="0.25">
      <c r="G307" s="335"/>
      <c r="H307" s="335"/>
    </row>
    <row r="308" spans="7:8" s="334" customFormat="1" x14ac:dyDescent="0.25">
      <c r="G308" s="335"/>
      <c r="H308" s="335"/>
    </row>
    <row r="309" spans="7:8" s="334" customFormat="1" x14ac:dyDescent="0.25">
      <c r="G309" s="335"/>
      <c r="H309" s="335"/>
    </row>
    <row r="310" spans="7:8" s="334" customFormat="1" x14ac:dyDescent="0.25">
      <c r="G310" s="335"/>
      <c r="H310" s="335"/>
    </row>
    <row r="311" spans="7:8" s="334" customFormat="1" x14ac:dyDescent="0.25">
      <c r="G311" s="335"/>
      <c r="H311" s="335"/>
    </row>
    <row r="312" spans="7:8" s="334" customFormat="1" x14ac:dyDescent="0.25">
      <c r="G312" s="335"/>
      <c r="H312" s="335"/>
    </row>
    <row r="313" spans="7:8" s="334" customFormat="1" x14ac:dyDescent="0.25">
      <c r="G313" s="335"/>
      <c r="H313" s="335"/>
    </row>
    <row r="314" spans="7:8" s="334" customFormat="1" x14ac:dyDescent="0.25">
      <c r="G314" s="335"/>
      <c r="H314" s="335"/>
    </row>
    <row r="315" spans="7:8" s="334" customFormat="1" x14ac:dyDescent="0.25">
      <c r="G315" s="335"/>
      <c r="H315" s="335"/>
    </row>
    <row r="316" spans="7:8" s="334" customFormat="1" x14ac:dyDescent="0.25">
      <c r="G316" s="335"/>
      <c r="H316" s="335"/>
    </row>
    <row r="317" spans="7:8" s="334" customFormat="1" x14ac:dyDescent="0.25">
      <c r="G317" s="335"/>
      <c r="H317" s="335"/>
    </row>
    <row r="318" spans="7:8" s="334" customFormat="1" x14ac:dyDescent="0.25">
      <c r="G318" s="335"/>
      <c r="H318" s="335"/>
    </row>
    <row r="319" spans="7:8" s="334" customFormat="1" x14ac:dyDescent="0.25">
      <c r="G319" s="335"/>
      <c r="H319" s="335"/>
    </row>
    <row r="320" spans="7:8" s="334" customFormat="1" x14ac:dyDescent="0.25">
      <c r="G320" s="335"/>
      <c r="H320" s="335"/>
    </row>
    <row r="321" spans="7:8" s="334" customFormat="1" x14ac:dyDescent="0.25">
      <c r="G321" s="335"/>
      <c r="H321" s="335"/>
    </row>
    <row r="322" spans="7:8" s="334" customFormat="1" x14ac:dyDescent="0.25">
      <c r="G322" s="335"/>
      <c r="H322" s="335"/>
    </row>
    <row r="323" spans="7:8" s="334" customFormat="1" x14ac:dyDescent="0.25">
      <c r="G323" s="335"/>
      <c r="H323" s="335"/>
    </row>
    <row r="324" spans="7:8" s="334" customFormat="1" x14ac:dyDescent="0.25">
      <c r="G324" s="335"/>
      <c r="H324" s="335"/>
    </row>
    <row r="325" spans="7:8" s="334" customFormat="1" x14ac:dyDescent="0.25">
      <c r="G325" s="335"/>
      <c r="H325" s="335"/>
    </row>
    <row r="326" spans="7:8" s="334" customFormat="1" x14ac:dyDescent="0.25">
      <c r="G326" s="335"/>
      <c r="H326" s="335"/>
    </row>
    <row r="327" spans="7:8" s="334" customFormat="1" x14ac:dyDescent="0.25">
      <c r="G327" s="335"/>
      <c r="H327" s="335"/>
    </row>
    <row r="328" spans="7:8" s="334" customFormat="1" x14ac:dyDescent="0.25">
      <c r="G328" s="335"/>
      <c r="H328" s="335"/>
    </row>
    <row r="329" spans="7:8" s="334" customFormat="1" x14ac:dyDescent="0.25">
      <c r="G329" s="335"/>
      <c r="H329" s="335"/>
    </row>
    <row r="330" spans="7:8" s="334" customFormat="1" x14ac:dyDescent="0.25">
      <c r="G330" s="335"/>
      <c r="H330" s="335"/>
    </row>
    <row r="331" spans="7:8" s="334" customFormat="1" x14ac:dyDescent="0.25">
      <c r="G331" s="335"/>
      <c r="H331" s="335"/>
    </row>
    <row r="332" spans="7:8" s="334" customFormat="1" x14ac:dyDescent="0.25">
      <c r="G332" s="335"/>
      <c r="H332" s="335"/>
    </row>
    <row r="333" spans="7:8" s="334" customFormat="1" x14ac:dyDescent="0.25">
      <c r="G333" s="335"/>
      <c r="H333" s="335"/>
    </row>
    <row r="334" spans="7:8" s="334" customFormat="1" x14ac:dyDescent="0.25">
      <c r="G334" s="335"/>
      <c r="H334" s="335"/>
    </row>
    <row r="335" spans="7:8" s="334" customFormat="1" x14ac:dyDescent="0.25">
      <c r="G335" s="335"/>
      <c r="H335" s="335"/>
    </row>
    <row r="336" spans="7:8" s="334" customFormat="1" x14ac:dyDescent="0.25">
      <c r="G336" s="335"/>
      <c r="H336" s="335"/>
    </row>
    <row r="337" spans="7:8" s="334" customFormat="1" x14ac:dyDescent="0.25">
      <c r="G337" s="335"/>
      <c r="H337" s="335"/>
    </row>
    <row r="338" spans="7:8" s="334" customFormat="1" x14ac:dyDescent="0.25">
      <c r="G338" s="335"/>
      <c r="H338" s="335"/>
    </row>
    <row r="339" spans="7:8" s="334" customFormat="1" x14ac:dyDescent="0.25">
      <c r="G339" s="335"/>
      <c r="H339" s="335"/>
    </row>
    <row r="340" spans="7:8" s="334" customFormat="1" x14ac:dyDescent="0.25">
      <c r="G340" s="335"/>
      <c r="H340" s="335"/>
    </row>
    <row r="341" spans="7:8" s="334" customFormat="1" x14ac:dyDescent="0.25">
      <c r="G341" s="335"/>
      <c r="H341" s="335"/>
    </row>
    <row r="342" spans="7:8" s="334" customFormat="1" x14ac:dyDescent="0.25">
      <c r="G342" s="335"/>
      <c r="H342" s="335"/>
    </row>
    <row r="343" spans="7:8" s="334" customFormat="1" x14ac:dyDescent="0.25">
      <c r="G343" s="335"/>
      <c r="H343" s="335"/>
    </row>
    <row r="344" spans="7:8" s="334" customFormat="1" x14ac:dyDescent="0.25">
      <c r="G344" s="335"/>
      <c r="H344" s="335"/>
    </row>
    <row r="345" spans="7:8" s="334" customFormat="1" x14ac:dyDescent="0.25">
      <c r="G345" s="335"/>
      <c r="H345" s="335"/>
    </row>
    <row r="346" spans="7:8" s="334" customFormat="1" x14ac:dyDescent="0.25">
      <c r="G346" s="335"/>
      <c r="H346" s="335"/>
    </row>
    <row r="347" spans="7:8" s="334" customFormat="1" x14ac:dyDescent="0.25">
      <c r="G347" s="335"/>
      <c r="H347" s="335"/>
    </row>
    <row r="348" spans="7:8" s="334" customFormat="1" x14ac:dyDescent="0.25">
      <c r="G348" s="335"/>
      <c r="H348" s="335"/>
    </row>
    <row r="349" spans="7:8" s="334" customFormat="1" x14ac:dyDescent="0.25">
      <c r="G349" s="335"/>
      <c r="H349" s="335"/>
    </row>
    <row r="350" spans="7:8" s="334" customFormat="1" x14ac:dyDescent="0.25">
      <c r="G350" s="335"/>
      <c r="H350" s="335"/>
    </row>
    <row r="351" spans="7:8" s="334" customFormat="1" x14ac:dyDescent="0.25">
      <c r="G351" s="335"/>
      <c r="H351" s="335"/>
    </row>
    <row r="352" spans="7:8" s="334" customFormat="1" x14ac:dyDescent="0.25">
      <c r="G352" s="335"/>
      <c r="H352" s="335"/>
    </row>
    <row r="353" spans="7:8" s="334" customFormat="1" x14ac:dyDescent="0.25">
      <c r="G353" s="335"/>
      <c r="H353" s="335"/>
    </row>
    <row r="354" spans="7:8" s="334" customFormat="1" x14ac:dyDescent="0.25">
      <c r="G354" s="335"/>
      <c r="H354" s="335"/>
    </row>
    <row r="355" spans="7:8" s="334" customFormat="1" x14ac:dyDescent="0.25">
      <c r="G355" s="335"/>
      <c r="H355" s="335"/>
    </row>
    <row r="356" spans="7:8" s="334" customFormat="1" x14ac:dyDescent="0.25">
      <c r="G356" s="335"/>
      <c r="H356" s="335"/>
    </row>
    <row r="357" spans="7:8" s="334" customFormat="1" x14ac:dyDescent="0.25">
      <c r="G357" s="335"/>
      <c r="H357" s="335"/>
    </row>
    <row r="358" spans="7:8" s="334" customFormat="1" x14ac:dyDescent="0.25">
      <c r="G358" s="335"/>
      <c r="H358" s="335"/>
    </row>
    <row r="359" spans="7:8" s="334" customFormat="1" x14ac:dyDescent="0.25">
      <c r="G359" s="335"/>
      <c r="H359" s="335"/>
    </row>
    <row r="360" spans="7:8" s="334" customFormat="1" x14ac:dyDescent="0.25">
      <c r="G360" s="335"/>
      <c r="H360" s="335"/>
    </row>
    <row r="361" spans="7:8" s="334" customFormat="1" x14ac:dyDescent="0.25">
      <c r="G361" s="335"/>
      <c r="H361" s="335"/>
    </row>
    <row r="362" spans="7:8" s="334" customFormat="1" x14ac:dyDescent="0.25">
      <c r="G362" s="335"/>
      <c r="H362" s="335"/>
    </row>
    <row r="363" spans="7:8" s="334" customFormat="1" x14ac:dyDescent="0.25">
      <c r="G363" s="335"/>
      <c r="H363" s="335"/>
    </row>
    <row r="364" spans="7:8" s="334" customFormat="1" x14ac:dyDescent="0.25">
      <c r="G364" s="335"/>
      <c r="H364" s="335"/>
    </row>
    <row r="365" spans="7:8" s="334" customFormat="1" x14ac:dyDescent="0.25">
      <c r="G365" s="335"/>
      <c r="H365" s="335"/>
    </row>
    <row r="366" spans="7:8" s="334" customFormat="1" x14ac:dyDescent="0.25">
      <c r="G366" s="335"/>
      <c r="H366" s="335"/>
    </row>
    <row r="367" spans="7:8" s="334" customFormat="1" x14ac:dyDescent="0.25">
      <c r="G367" s="335"/>
      <c r="H367" s="335"/>
    </row>
    <row r="368" spans="7:8" s="334" customFormat="1" x14ac:dyDescent="0.25">
      <c r="G368" s="335"/>
      <c r="H368" s="335"/>
    </row>
    <row r="369" spans="7:8" s="334" customFormat="1" x14ac:dyDescent="0.25">
      <c r="G369" s="335"/>
      <c r="H369" s="335"/>
    </row>
    <row r="370" spans="7:8" s="334" customFormat="1" x14ac:dyDescent="0.25">
      <c r="G370" s="335"/>
      <c r="H370" s="335"/>
    </row>
    <row r="371" spans="7:8" s="334" customFormat="1" x14ac:dyDescent="0.25">
      <c r="G371" s="335"/>
      <c r="H371" s="335"/>
    </row>
    <row r="372" spans="7:8" s="334" customFormat="1" x14ac:dyDescent="0.25">
      <c r="G372" s="335"/>
      <c r="H372" s="335"/>
    </row>
    <row r="373" spans="7:8" s="334" customFormat="1" x14ac:dyDescent="0.25">
      <c r="G373" s="335"/>
      <c r="H373" s="335"/>
    </row>
    <row r="374" spans="7:8" s="334" customFormat="1" x14ac:dyDescent="0.25">
      <c r="G374" s="335"/>
      <c r="H374" s="335"/>
    </row>
    <row r="375" spans="7:8" s="334" customFormat="1" x14ac:dyDescent="0.25">
      <c r="G375" s="335"/>
      <c r="H375" s="335"/>
    </row>
    <row r="376" spans="7:8" s="334" customFormat="1" x14ac:dyDescent="0.25">
      <c r="G376" s="335"/>
      <c r="H376" s="335"/>
    </row>
    <row r="377" spans="7:8" s="334" customFormat="1" x14ac:dyDescent="0.25">
      <c r="G377" s="335"/>
      <c r="H377" s="335"/>
    </row>
    <row r="378" spans="7:8" s="334" customFormat="1" x14ac:dyDescent="0.25">
      <c r="G378" s="335"/>
      <c r="H378" s="335"/>
    </row>
    <row r="379" spans="7:8" s="334" customFormat="1" x14ac:dyDescent="0.25">
      <c r="G379" s="335"/>
      <c r="H379" s="335"/>
    </row>
    <row r="380" spans="7:8" s="334" customFormat="1" x14ac:dyDescent="0.25">
      <c r="G380" s="335"/>
      <c r="H380" s="335"/>
    </row>
    <row r="381" spans="7:8" s="334" customFormat="1" x14ac:dyDescent="0.25">
      <c r="G381" s="335"/>
      <c r="H381" s="335"/>
    </row>
    <row r="382" spans="7:8" s="334" customFormat="1" x14ac:dyDescent="0.25">
      <c r="G382" s="335"/>
      <c r="H382" s="335"/>
    </row>
    <row r="383" spans="7:8" s="334" customFormat="1" x14ac:dyDescent="0.25">
      <c r="G383" s="335"/>
      <c r="H383" s="335"/>
    </row>
    <row r="384" spans="7:8" s="334" customFormat="1" x14ac:dyDescent="0.25">
      <c r="G384" s="335"/>
      <c r="H384" s="335"/>
    </row>
    <row r="385" spans="7:8" s="334" customFormat="1" x14ac:dyDescent="0.25">
      <c r="G385" s="335"/>
      <c r="H385" s="335"/>
    </row>
    <row r="386" spans="7:8" s="334" customFormat="1" x14ac:dyDescent="0.25">
      <c r="G386" s="335"/>
      <c r="H386" s="335"/>
    </row>
    <row r="387" spans="7:8" s="334" customFormat="1" x14ac:dyDescent="0.25">
      <c r="G387" s="335"/>
      <c r="H387" s="335"/>
    </row>
    <row r="388" spans="7:8" s="334" customFormat="1" x14ac:dyDescent="0.25">
      <c r="G388" s="335"/>
      <c r="H388" s="335"/>
    </row>
    <row r="389" spans="7:8" s="334" customFormat="1" x14ac:dyDescent="0.25">
      <c r="G389" s="335"/>
      <c r="H389" s="335"/>
    </row>
    <row r="390" spans="7:8" s="334" customFormat="1" x14ac:dyDescent="0.25">
      <c r="G390" s="335"/>
      <c r="H390" s="335"/>
    </row>
    <row r="391" spans="7:8" s="334" customFormat="1" x14ac:dyDescent="0.25">
      <c r="G391" s="335"/>
      <c r="H391" s="335"/>
    </row>
    <row r="392" spans="7:8" s="334" customFormat="1" x14ac:dyDescent="0.25">
      <c r="G392" s="335"/>
      <c r="H392" s="335"/>
    </row>
    <row r="393" spans="7:8" s="334" customFormat="1" x14ac:dyDescent="0.25">
      <c r="G393" s="335"/>
      <c r="H393" s="335"/>
    </row>
    <row r="394" spans="7:8" s="334" customFormat="1" x14ac:dyDescent="0.25">
      <c r="G394" s="335"/>
      <c r="H394" s="335"/>
    </row>
    <row r="395" spans="7:8" s="334" customFormat="1" x14ac:dyDescent="0.25">
      <c r="G395" s="335"/>
      <c r="H395" s="335"/>
    </row>
    <row r="396" spans="7:8" s="334" customFormat="1" x14ac:dyDescent="0.25">
      <c r="G396" s="335"/>
      <c r="H396" s="335"/>
    </row>
    <row r="397" spans="7:8" s="334" customFormat="1" x14ac:dyDescent="0.25">
      <c r="G397" s="335"/>
      <c r="H397" s="335"/>
    </row>
    <row r="398" spans="7:8" s="334" customFormat="1" x14ac:dyDescent="0.25">
      <c r="G398" s="335"/>
      <c r="H398" s="335"/>
    </row>
    <row r="399" spans="7:8" s="334" customFormat="1" x14ac:dyDescent="0.25">
      <c r="G399" s="335"/>
      <c r="H399" s="335"/>
    </row>
    <row r="400" spans="7:8" s="334" customFormat="1" x14ac:dyDescent="0.25">
      <c r="G400" s="335"/>
      <c r="H400" s="335"/>
    </row>
    <row r="401" spans="7:8" s="334" customFormat="1" x14ac:dyDescent="0.25">
      <c r="G401" s="335"/>
      <c r="H401" s="335"/>
    </row>
    <row r="402" spans="7:8" s="334" customFormat="1" x14ac:dyDescent="0.25">
      <c r="G402" s="335"/>
      <c r="H402" s="335"/>
    </row>
    <row r="403" spans="7:8" s="334" customFormat="1" x14ac:dyDescent="0.25">
      <c r="G403" s="335"/>
      <c r="H403" s="335"/>
    </row>
    <row r="404" spans="7:8" s="334" customFormat="1" x14ac:dyDescent="0.25">
      <c r="G404" s="335"/>
      <c r="H404" s="335"/>
    </row>
    <row r="405" spans="7:8" s="334" customFormat="1" x14ac:dyDescent="0.25">
      <c r="G405" s="335"/>
      <c r="H405" s="335"/>
    </row>
    <row r="406" spans="7:8" s="334" customFormat="1" x14ac:dyDescent="0.25">
      <c r="G406" s="335"/>
      <c r="H406" s="335"/>
    </row>
    <row r="407" spans="7:8" s="334" customFormat="1" x14ac:dyDescent="0.25">
      <c r="G407" s="335"/>
      <c r="H407" s="335"/>
    </row>
    <row r="408" spans="7:8" s="334" customFormat="1" x14ac:dyDescent="0.25">
      <c r="G408" s="335"/>
      <c r="H408" s="335"/>
    </row>
    <row r="409" spans="7:8" s="334" customFormat="1" x14ac:dyDescent="0.25">
      <c r="G409" s="335"/>
      <c r="H409" s="335"/>
    </row>
    <row r="410" spans="7:8" s="334" customFormat="1" x14ac:dyDescent="0.25">
      <c r="G410" s="335"/>
      <c r="H410" s="335"/>
    </row>
    <row r="411" spans="7:8" s="334" customFormat="1" x14ac:dyDescent="0.25">
      <c r="G411" s="335"/>
      <c r="H411" s="335"/>
    </row>
    <row r="412" spans="7:8" s="334" customFormat="1" x14ac:dyDescent="0.25">
      <c r="G412" s="335"/>
      <c r="H412" s="335"/>
    </row>
    <row r="413" spans="7:8" s="334" customFormat="1" x14ac:dyDescent="0.25">
      <c r="G413" s="335"/>
      <c r="H413" s="335"/>
    </row>
    <row r="414" spans="7:8" s="334" customFormat="1" x14ac:dyDescent="0.25">
      <c r="G414" s="335"/>
      <c r="H414" s="335"/>
    </row>
    <row r="415" spans="7:8" s="334" customFormat="1" x14ac:dyDescent="0.25">
      <c r="G415" s="335"/>
      <c r="H415" s="335"/>
    </row>
    <row r="416" spans="7:8" s="334" customFormat="1" x14ac:dyDescent="0.25">
      <c r="G416" s="335"/>
      <c r="H416" s="335"/>
    </row>
    <row r="417" spans="7:8" s="334" customFormat="1" x14ac:dyDescent="0.25">
      <c r="G417" s="335"/>
      <c r="H417" s="335"/>
    </row>
    <row r="418" spans="7:8" s="334" customFormat="1" x14ac:dyDescent="0.25">
      <c r="G418" s="335"/>
      <c r="H418" s="335"/>
    </row>
    <row r="419" spans="7:8" s="334" customFormat="1" x14ac:dyDescent="0.25">
      <c r="G419" s="335"/>
      <c r="H419" s="335"/>
    </row>
    <row r="420" spans="7:8" s="334" customFormat="1" x14ac:dyDescent="0.25">
      <c r="G420" s="335"/>
      <c r="H420" s="335"/>
    </row>
    <row r="421" spans="7:8" s="334" customFormat="1" x14ac:dyDescent="0.25">
      <c r="G421" s="335"/>
      <c r="H421" s="335"/>
    </row>
    <row r="422" spans="7:8" s="334" customFormat="1" x14ac:dyDescent="0.25">
      <c r="G422" s="335"/>
      <c r="H422" s="335"/>
    </row>
    <row r="423" spans="7:8" s="334" customFormat="1" x14ac:dyDescent="0.25">
      <c r="G423" s="335"/>
      <c r="H423" s="335"/>
    </row>
    <row r="424" spans="7:8" s="334" customFormat="1" x14ac:dyDescent="0.25">
      <c r="G424" s="335"/>
      <c r="H424" s="335"/>
    </row>
    <row r="425" spans="7:8" s="334" customFormat="1" x14ac:dyDescent="0.25">
      <c r="G425" s="335"/>
      <c r="H425" s="335"/>
    </row>
    <row r="426" spans="7:8" s="334" customFormat="1" x14ac:dyDescent="0.25">
      <c r="G426" s="335"/>
      <c r="H426" s="335"/>
    </row>
    <row r="427" spans="7:8" s="334" customFormat="1" x14ac:dyDescent="0.25">
      <c r="G427" s="335"/>
      <c r="H427" s="335"/>
    </row>
    <row r="428" spans="7:8" s="334" customFormat="1" x14ac:dyDescent="0.25">
      <c r="G428" s="335"/>
      <c r="H428" s="335"/>
    </row>
    <row r="429" spans="7:8" s="334" customFormat="1" x14ac:dyDescent="0.25">
      <c r="G429" s="335"/>
      <c r="H429" s="335"/>
    </row>
    <row r="430" spans="7:8" s="334" customFormat="1" x14ac:dyDescent="0.25">
      <c r="G430" s="335"/>
      <c r="H430" s="335"/>
    </row>
    <row r="431" spans="7:8" s="334" customFormat="1" x14ac:dyDescent="0.25">
      <c r="G431" s="335"/>
      <c r="H431" s="335"/>
    </row>
    <row r="432" spans="7:8" s="334" customFormat="1" x14ac:dyDescent="0.25">
      <c r="G432" s="335"/>
      <c r="H432" s="335"/>
    </row>
    <row r="433" spans="7:8" s="334" customFormat="1" x14ac:dyDescent="0.25">
      <c r="G433" s="335"/>
      <c r="H433" s="335"/>
    </row>
    <row r="434" spans="7:8" s="334" customFormat="1" x14ac:dyDescent="0.25">
      <c r="G434" s="335"/>
      <c r="H434" s="335"/>
    </row>
    <row r="435" spans="7:8" s="334" customFormat="1" x14ac:dyDescent="0.25">
      <c r="G435" s="335"/>
      <c r="H435" s="335"/>
    </row>
    <row r="436" spans="7:8" s="334" customFormat="1" x14ac:dyDescent="0.25">
      <c r="G436" s="335"/>
      <c r="H436" s="335"/>
    </row>
    <row r="437" spans="7:8" s="334" customFormat="1" x14ac:dyDescent="0.25">
      <c r="G437" s="335"/>
      <c r="H437" s="335"/>
    </row>
    <row r="438" spans="7:8" s="334" customFormat="1" x14ac:dyDescent="0.25">
      <c r="G438" s="335"/>
      <c r="H438" s="335"/>
    </row>
    <row r="439" spans="7:8" s="334" customFormat="1" x14ac:dyDescent="0.25">
      <c r="G439" s="335"/>
      <c r="H439" s="335"/>
    </row>
    <row r="440" spans="7:8" s="334" customFormat="1" x14ac:dyDescent="0.25">
      <c r="G440" s="335"/>
      <c r="H440" s="335"/>
    </row>
    <row r="441" spans="7:8" s="334" customFormat="1" x14ac:dyDescent="0.25">
      <c r="G441" s="335"/>
      <c r="H441" s="335"/>
    </row>
    <row r="442" spans="7:8" s="334" customFormat="1" x14ac:dyDescent="0.25">
      <c r="G442" s="335"/>
      <c r="H442" s="335"/>
    </row>
    <row r="443" spans="7:8" s="334" customFormat="1" x14ac:dyDescent="0.25">
      <c r="G443" s="335"/>
      <c r="H443" s="335"/>
    </row>
    <row r="444" spans="7:8" s="334" customFormat="1" x14ac:dyDescent="0.25">
      <c r="G444" s="335"/>
      <c r="H444" s="335"/>
    </row>
    <row r="445" spans="7:8" s="334" customFormat="1" x14ac:dyDescent="0.25">
      <c r="G445" s="335"/>
      <c r="H445" s="335"/>
    </row>
    <row r="446" spans="7:8" s="334" customFormat="1" x14ac:dyDescent="0.25">
      <c r="G446" s="335"/>
      <c r="H446" s="335"/>
    </row>
    <row r="447" spans="7:8" s="334" customFormat="1" x14ac:dyDescent="0.25">
      <c r="G447" s="335"/>
      <c r="H447" s="335"/>
    </row>
    <row r="448" spans="7:8" s="334" customFormat="1" x14ac:dyDescent="0.25">
      <c r="G448" s="335"/>
      <c r="H448" s="335"/>
    </row>
    <row r="449" spans="7:8" s="334" customFormat="1" x14ac:dyDescent="0.25">
      <c r="G449" s="335"/>
      <c r="H449" s="335"/>
    </row>
    <row r="450" spans="7:8" s="334" customFormat="1" x14ac:dyDescent="0.25">
      <c r="G450" s="335"/>
      <c r="H450" s="335"/>
    </row>
    <row r="451" spans="7:8" s="334" customFormat="1" x14ac:dyDescent="0.25">
      <c r="G451" s="335"/>
      <c r="H451" s="335"/>
    </row>
    <row r="452" spans="7:8" s="334" customFormat="1" x14ac:dyDescent="0.25">
      <c r="G452" s="335"/>
      <c r="H452" s="335"/>
    </row>
    <row r="453" spans="7:8" s="334" customFormat="1" x14ac:dyDescent="0.25">
      <c r="G453" s="335"/>
      <c r="H453" s="335"/>
    </row>
    <row r="454" spans="7:8" s="334" customFormat="1" x14ac:dyDescent="0.25">
      <c r="G454" s="335"/>
      <c r="H454" s="335"/>
    </row>
    <row r="455" spans="7:8" s="334" customFormat="1" x14ac:dyDescent="0.25">
      <c r="G455" s="335"/>
      <c r="H455" s="335"/>
    </row>
    <row r="456" spans="7:8" s="334" customFormat="1" x14ac:dyDescent="0.25">
      <c r="G456" s="335"/>
      <c r="H456" s="335"/>
    </row>
    <row r="457" spans="7:8" s="334" customFormat="1" x14ac:dyDescent="0.25">
      <c r="G457" s="335"/>
      <c r="H457" s="335"/>
    </row>
    <row r="458" spans="7:8" s="334" customFormat="1" x14ac:dyDescent="0.25">
      <c r="G458" s="335"/>
      <c r="H458" s="335"/>
    </row>
    <row r="459" spans="7:8" s="334" customFormat="1" x14ac:dyDescent="0.25">
      <c r="G459" s="335"/>
      <c r="H459" s="335"/>
    </row>
    <row r="460" spans="7:8" s="334" customFormat="1" x14ac:dyDescent="0.25">
      <c r="G460" s="335"/>
      <c r="H460" s="335"/>
    </row>
    <row r="461" spans="7:8" s="334" customFormat="1" x14ac:dyDescent="0.25">
      <c r="G461" s="335"/>
      <c r="H461" s="335"/>
    </row>
    <row r="462" spans="7:8" s="334" customFormat="1" x14ac:dyDescent="0.25">
      <c r="G462" s="335"/>
      <c r="H462" s="335"/>
    </row>
    <row r="463" spans="7:8" s="334" customFormat="1" x14ac:dyDescent="0.25">
      <c r="G463" s="335"/>
      <c r="H463" s="335"/>
    </row>
    <row r="464" spans="7:8" s="334" customFormat="1" x14ac:dyDescent="0.25">
      <c r="G464" s="335"/>
      <c r="H464" s="335"/>
    </row>
    <row r="465" spans="7:8" s="334" customFormat="1" x14ac:dyDescent="0.25">
      <c r="G465" s="335"/>
      <c r="H465" s="335"/>
    </row>
    <row r="466" spans="7:8" s="334" customFormat="1" x14ac:dyDescent="0.25">
      <c r="G466" s="335"/>
      <c r="H466" s="335"/>
    </row>
    <row r="467" spans="7:8" s="334" customFormat="1" x14ac:dyDescent="0.25">
      <c r="G467" s="335"/>
      <c r="H467" s="335"/>
    </row>
    <row r="468" spans="7:8" s="334" customFormat="1" x14ac:dyDescent="0.25">
      <c r="G468" s="335"/>
      <c r="H468" s="335"/>
    </row>
    <row r="469" spans="7:8" s="334" customFormat="1" x14ac:dyDescent="0.25">
      <c r="G469" s="335"/>
      <c r="H469" s="335"/>
    </row>
    <row r="470" spans="7:8" s="334" customFormat="1" x14ac:dyDescent="0.25">
      <c r="G470" s="335"/>
      <c r="H470" s="335"/>
    </row>
    <row r="471" spans="7:8" s="334" customFormat="1" x14ac:dyDescent="0.25">
      <c r="G471" s="335"/>
      <c r="H471" s="335"/>
    </row>
    <row r="472" spans="7:8" s="334" customFormat="1" x14ac:dyDescent="0.25">
      <c r="G472" s="335"/>
      <c r="H472" s="335"/>
    </row>
    <row r="473" spans="7:8" s="334" customFormat="1" x14ac:dyDescent="0.25">
      <c r="G473" s="335"/>
      <c r="H473" s="335"/>
    </row>
    <row r="474" spans="7:8" s="334" customFormat="1" x14ac:dyDescent="0.25">
      <c r="G474" s="335"/>
      <c r="H474" s="335"/>
    </row>
    <row r="475" spans="7:8" s="334" customFormat="1" x14ac:dyDescent="0.25">
      <c r="G475" s="335"/>
      <c r="H475" s="335"/>
    </row>
    <row r="476" spans="7:8" s="334" customFormat="1" x14ac:dyDescent="0.25">
      <c r="G476" s="335"/>
      <c r="H476" s="335"/>
    </row>
    <row r="477" spans="7:8" s="334" customFormat="1" x14ac:dyDescent="0.25">
      <c r="G477" s="335"/>
      <c r="H477" s="335"/>
    </row>
    <row r="478" spans="7:8" s="334" customFormat="1" x14ac:dyDescent="0.25">
      <c r="G478" s="335"/>
      <c r="H478" s="335"/>
    </row>
    <row r="479" spans="7:8" s="334" customFormat="1" x14ac:dyDescent="0.25">
      <c r="G479" s="335"/>
      <c r="H479" s="335"/>
    </row>
    <row r="480" spans="7:8" s="334" customFormat="1" x14ac:dyDescent="0.25">
      <c r="G480" s="335"/>
      <c r="H480" s="335"/>
    </row>
    <row r="481" spans="7:8" s="334" customFormat="1" x14ac:dyDescent="0.25">
      <c r="G481" s="335"/>
      <c r="H481" s="335"/>
    </row>
    <row r="482" spans="7:8" s="334" customFormat="1" x14ac:dyDescent="0.25">
      <c r="G482" s="335"/>
      <c r="H482" s="335"/>
    </row>
    <row r="483" spans="7:8" s="334" customFormat="1" x14ac:dyDescent="0.25">
      <c r="G483" s="335"/>
      <c r="H483" s="335"/>
    </row>
    <row r="484" spans="7:8" s="334" customFormat="1" x14ac:dyDescent="0.25">
      <c r="G484" s="335"/>
      <c r="H484" s="335"/>
    </row>
    <row r="485" spans="7:8" s="334" customFormat="1" x14ac:dyDescent="0.25">
      <c r="G485" s="335"/>
      <c r="H485" s="335"/>
    </row>
    <row r="486" spans="7:8" s="334" customFormat="1" x14ac:dyDescent="0.25">
      <c r="G486" s="335"/>
      <c r="H486" s="335"/>
    </row>
    <row r="487" spans="7:8" s="334" customFormat="1" x14ac:dyDescent="0.25">
      <c r="G487" s="335"/>
      <c r="H487" s="335"/>
    </row>
    <row r="488" spans="7:8" s="334" customFormat="1" x14ac:dyDescent="0.25">
      <c r="G488" s="335"/>
      <c r="H488" s="335"/>
    </row>
    <row r="489" spans="7:8" s="334" customFormat="1" x14ac:dyDescent="0.25">
      <c r="G489" s="335"/>
      <c r="H489" s="335"/>
    </row>
    <row r="490" spans="7:8" s="334" customFormat="1" x14ac:dyDescent="0.25">
      <c r="G490" s="335"/>
      <c r="H490" s="335"/>
    </row>
    <row r="491" spans="7:8" s="334" customFormat="1" x14ac:dyDescent="0.25">
      <c r="G491" s="335"/>
      <c r="H491" s="335"/>
    </row>
    <row r="492" spans="7:8" s="334" customFormat="1" x14ac:dyDescent="0.25">
      <c r="G492" s="335"/>
      <c r="H492" s="335"/>
    </row>
    <row r="493" spans="7:8" s="334" customFormat="1" x14ac:dyDescent="0.25">
      <c r="G493" s="335"/>
      <c r="H493" s="335"/>
    </row>
    <row r="494" spans="7:8" s="334" customFormat="1" x14ac:dyDescent="0.25">
      <c r="G494" s="335"/>
      <c r="H494" s="335"/>
    </row>
    <row r="495" spans="7:8" s="334" customFormat="1" x14ac:dyDescent="0.25">
      <c r="G495" s="335"/>
      <c r="H495" s="335"/>
    </row>
    <row r="496" spans="7:8" s="334" customFormat="1" x14ac:dyDescent="0.25">
      <c r="G496" s="335"/>
      <c r="H496" s="335"/>
    </row>
    <row r="497" spans="7:8" s="334" customFormat="1" x14ac:dyDescent="0.25">
      <c r="G497" s="335"/>
      <c r="H497" s="335"/>
    </row>
    <row r="498" spans="7:8" s="334" customFormat="1" x14ac:dyDescent="0.25">
      <c r="G498" s="335"/>
      <c r="H498" s="335"/>
    </row>
    <row r="499" spans="7:8" s="334" customFormat="1" x14ac:dyDescent="0.25">
      <c r="G499" s="335"/>
      <c r="H499" s="335"/>
    </row>
    <row r="500" spans="7:8" s="334" customFormat="1" x14ac:dyDescent="0.25">
      <c r="G500" s="335"/>
      <c r="H500" s="335"/>
    </row>
    <row r="501" spans="7:8" s="334" customFormat="1" x14ac:dyDescent="0.25">
      <c r="G501" s="335"/>
      <c r="H501" s="335"/>
    </row>
    <row r="502" spans="7:8" s="334" customFormat="1" x14ac:dyDescent="0.25">
      <c r="G502" s="335"/>
      <c r="H502" s="335"/>
    </row>
    <row r="503" spans="7:8" s="334" customFormat="1" x14ac:dyDescent="0.25">
      <c r="G503" s="335"/>
      <c r="H503" s="335"/>
    </row>
    <row r="504" spans="7:8" s="334" customFormat="1" x14ac:dyDescent="0.25">
      <c r="G504" s="335"/>
      <c r="H504" s="335"/>
    </row>
    <row r="505" spans="7:8" s="334" customFormat="1" x14ac:dyDescent="0.25">
      <c r="G505" s="335"/>
      <c r="H505" s="335"/>
    </row>
    <row r="506" spans="7:8" s="334" customFormat="1" x14ac:dyDescent="0.25">
      <c r="G506" s="335"/>
      <c r="H506" s="335"/>
    </row>
    <row r="507" spans="7:8" s="334" customFormat="1" x14ac:dyDescent="0.25">
      <c r="G507" s="335"/>
      <c r="H507" s="335"/>
    </row>
    <row r="508" spans="7:8" s="334" customFormat="1" x14ac:dyDescent="0.25">
      <c r="G508" s="335"/>
      <c r="H508" s="335"/>
    </row>
    <row r="509" spans="7:8" s="334" customFormat="1" x14ac:dyDescent="0.25">
      <c r="G509" s="335"/>
      <c r="H509" s="335"/>
    </row>
    <row r="510" spans="7:8" s="334" customFormat="1" x14ac:dyDescent="0.25">
      <c r="G510" s="335"/>
      <c r="H510" s="335"/>
    </row>
    <row r="511" spans="7:8" s="334" customFormat="1" x14ac:dyDescent="0.25">
      <c r="G511" s="335"/>
      <c r="H511" s="335"/>
    </row>
    <row r="512" spans="7:8" s="334" customFormat="1" x14ac:dyDescent="0.25">
      <c r="G512" s="335"/>
      <c r="H512" s="335"/>
    </row>
    <row r="513" spans="7:8" s="334" customFormat="1" x14ac:dyDescent="0.25">
      <c r="G513" s="335"/>
      <c r="H513" s="335"/>
    </row>
    <row r="514" spans="7:8" s="334" customFormat="1" x14ac:dyDescent="0.25">
      <c r="G514" s="335"/>
      <c r="H514" s="335"/>
    </row>
    <row r="515" spans="7:8" s="334" customFormat="1" x14ac:dyDescent="0.25">
      <c r="G515" s="335"/>
      <c r="H515" s="335"/>
    </row>
    <row r="516" spans="7:8" s="334" customFormat="1" x14ac:dyDescent="0.25">
      <c r="G516" s="335"/>
      <c r="H516" s="335"/>
    </row>
    <row r="517" spans="7:8" s="334" customFormat="1" x14ac:dyDescent="0.25">
      <c r="G517" s="335"/>
      <c r="H517" s="335"/>
    </row>
    <row r="518" spans="7:8" s="334" customFormat="1" x14ac:dyDescent="0.25">
      <c r="G518" s="335"/>
      <c r="H518" s="335"/>
    </row>
    <row r="519" spans="7:8" s="334" customFormat="1" x14ac:dyDescent="0.25">
      <c r="G519" s="335"/>
      <c r="H519" s="335"/>
    </row>
    <row r="520" spans="7:8" s="334" customFormat="1" x14ac:dyDescent="0.25">
      <c r="G520" s="335"/>
      <c r="H520" s="335"/>
    </row>
    <row r="521" spans="7:8" s="334" customFormat="1" x14ac:dyDescent="0.25">
      <c r="G521" s="335"/>
      <c r="H521" s="335"/>
    </row>
    <row r="522" spans="7:8" s="334" customFormat="1" x14ac:dyDescent="0.25">
      <c r="G522" s="335"/>
      <c r="H522" s="335"/>
    </row>
    <row r="523" spans="7:8" s="334" customFormat="1" x14ac:dyDescent="0.25">
      <c r="G523" s="335"/>
      <c r="H523" s="335"/>
    </row>
    <row r="524" spans="7:8" s="334" customFormat="1" x14ac:dyDescent="0.25">
      <c r="G524" s="335"/>
      <c r="H524" s="335"/>
    </row>
    <row r="525" spans="7:8" s="334" customFormat="1" x14ac:dyDescent="0.25">
      <c r="G525" s="335"/>
      <c r="H525" s="335"/>
    </row>
    <row r="526" spans="7:8" s="334" customFormat="1" x14ac:dyDescent="0.25">
      <c r="G526" s="335"/>
      <c r="H526" s="335"/>
    </row>
    <row r="527" spans="7:8" s="334" customFormat="1" x14ac:dyDescent="0.25">
      <c r="G527" s="335"/>
      <c r="H527" s="335"/>
    </row>
    <row r="528" spans="7:8" s="334" customFormat="1" x14ac:dyDescent="0.25">
      <c r="G528" s="335"/>
      <c r="H528" s="335"/>
    </row>
    <row r="529" spans="2:8" s="334" customFormat="1" x14ac:dyDescent="0.25">
      <c r="G529" s="335"/>
      <c r="H529" s="335"/>
    </row>
    <row r="530" spans="2:8" s="334" customFormat="1" x14ac:dyDescent="0.25">
      <c r="G530" s="335"/>
      <c r="H530" s="335"/>
    </row>
    <row r="531" spans="2:8" s="334" customFormat="1" x14ac:dyDescent="0.25">
      <c r="G531" s="335"/>
      <c r="H531" s="335"/>
    </row>
    <row r="532" spans="2:8" s="334" customFormat="1" x14ac:dyDescent="0.25">
      <c r="G532" s="335"/>
      <c r="H532" s="335"/>
    </row>
    <row r="533" spans="2:8" s="334" customFormat="1" x14ac:dyDescent="0.25">
      <c r="G533" s="335"/>
      <c r="H533" s="335"/>
    </row>
    <row r="534" spans="2:8" s="334" customFormat="1" x14ac:dyDescent="0.25">
      <c r="G534" s="335"/>
      <c r="H534" s="335"/>
    </row>
    <row r="535" spans="2:8" s="334" customFormat="1" x14ac:dyDescent="0.25">
      <c r="G535" s="335"/>
      <c r="H535" s="335"/>
    </row>
    <row r="536" spans="2:8" s="334" customFormat="1" x14ac:dyDescent="0.25">
      <c r="G536" s="335"/>
      <c r="H536" s="335"/>
    </row>
    <row r="537" spans="2:8" s="334" customFormat="1" x14ac:dyDescent="0.25">
      <c r="G537" s="335"/>
      <c r="H537" s="335"/>
    </row>
    <row r="538" spans="2:8" s="334" customFormat="1" x14ac:dyDescent="0.25">
      <c r="G538" s="335"/>
      <c r="H538" s="335"/>
    </row>
    <row r="539" spans="2:8" s="334" customFormat="1" x14ac:dyDescent="0.25">
      <c r="G539" s="335"/>
      <c r="H539" s="335"/>
    </row>
    <row r="540" spans="2:8" s="334" customFormat="1" x14ac:dyDescent="0.25">
      <c r="G540" s="335"/>
      <c r="H540" s="335"/>
    </row>
    <row r="541" spans="2:8" x14ac:dyDescent="0.25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6" t="s">
        <v>96</v>
      </c>
    </row>
    <row r="2" spans="2:4" ht="10.5" customHeight="1" x14ac:dyDescent="0.2">
      <c r="B2" s="304"/>
      <c r="C2" s="304"/>
      <c r="D2" s="304"/>
    </row>
    <row r="3" spans="2:4" ht="277.5" customHeight="1" x14ac:dyDescent="0.2">
      <c r="B3" s="304"/>
      <c r="C3" s="305" t="s">
        <v>99</v>
      </c>
      <c r="D3" s="304"/>
    </row>
    <row r="4" spans="2:4" ht="10.5" customHeight="1" x14ac:dyDescent="0.2">
      <c r="B4" s="304"/>
      <c r="C4" s="304"/>
      <c r="D4" s="304"/>
    </row>
    <row r="5" spans="2:4" ht="39.75" customHeight="1" x14ac:dyDescent="0.25">
      <c r="B5" s="638" t="s">
        <v>97</v>
      </c>
      <c r="C5" s="638"/>
      <c r="D5" s="638"/>
    </row>
    <row r="8" spans="2:4" ht="18" x14ac:dyDescent="0.25">
      <c r="B8" s="638"/>
      <c r="C8" s="638"/>
      <c r="D8" s="638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2017-06-15T20:06:13Z</dcterms:modified>
</cp:coreProperties>
</file>