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18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 s="1"/>
  <c r="C24" i="3"/>
  <c r="H24" i="3"/>
  <c r="M24" i="3"/>
  <c r="X24" i="3"/>
  <c r="Y24" i="3"/>
  <c r="Z24" i="3"/>
  <c r="AA24" i="3"/>
  <c r="AB24" i="3" s="1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M864" i="7"/>
  <c r="L864" i="7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U861" i="7"/>
  <c r="T861" i="7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M855" i="7"/>
  <c r="L855" i="7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Q853" i="7"/>
  <c r="P853" i="7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M851" i="7"/>
  <c r="L851" i="7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U842" i="7"/>
  <c r="T842" i="7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Q840" i="7"/>
  <c r="P840" i="7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U833" i="7"/>
  <c r="T833" i="7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M832" i="7"/>
  <c r="L832" i="7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U829" i="7"/>
  <c r="T829" i="7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M823" i="7"/>
  <c r="L823" i="7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Q821" i="7"/>
  <c r="P821" i="7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M819" i="7"/>
  <c r="L819" i="7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Q812" i="7"/>
  <c r="P812" i="7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U810" i="7"/>
  <c r="T810" i="7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Q808" i="7"/>
  <c r="P808" i="7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U801" i="7"/>
  <c r="T801" i="7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M800" i="7"/>
  <c r="L800" i="7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U797" i="7"/>
  <c r="T797" i="7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M791" i="7"/>
  <c r="L791" i="7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Q789" i="7"/>
  <c r="P789" i="7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M787" i="7"/>
  <c r="L787" i="7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Q780" i="7"/>
  <c r="P780" i="7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U778" i="7"/>
  <c r="T778" i="7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Q776" i="7"/>
  <c r="P776" i="7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M771" i="7"/>
  <c r="L771" i="7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M767" i="7"/>
  <c r="L767" i="7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M765" i="7"/>
  <c r="L765" i="7"/>
  <c r="V764" i="7"/>
  <c r="W764" i="7" s="1"/>
  <c r="T764" i="7"/>
  <c r="U764" i="7" s="1"/>
  <c r="R764" i="7"/>
  <c r="S764" i="7" s="1"/>
  <c r="P764" i="7"/>
  <c r="Q764" i="7" s="1"/>
  <c r="N764" i="7"/>
  <c r="O764" i="7" s="1"/>
  <c r="M764" i="7"/>
  <c r="L764" i="7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U761" i="7"/>
  <c r="T761" i="7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U759" i="7"/>
  <c r="T759" i="7"/>
  <c r="R759" i="7"/>
  <c r="S759" i="7" s="1"/>
  <c r="P759" i="7"/>
  <c r="Q759" i="7" s="1"/>
  <c r="N759" i="7"/>
  <c r="O759" i="7" s="1"/>
  <c r="L759" i="7"/>
  <c r="M759" i="7" s="1"/>
  <c r="V758" i="7"/>
  <c r="W758" i="7" s="1"/>
  <c r="U758" i="7"/>
  <c r="T758" i="7"/>
  <c r="R758" i="7"/>
  <c r="S758" i="7" s="1"/>
  <c r="Q758" i="7"/>
  <c r="P758" i="7"/>
  <c r="N758" i="7"/>
  <c r="O758" i="7" s="1"/>
  <c r="L758" i="7"/>
  <c r="M758" i="7" s="1"/>
  <c r="V757" i="7"/>
  <c r="W757" i="7" s="1"/>
  <c r="U757" i="7"/>
  <c r="T757" i="7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M755" i="7"/>
  <c r="L755" i="7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Q751" i="7"/>
  <c r="P751" i="7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Q749" i="7"/>
  <c r="P749" i="7"/>
  <c r="N749" i="7"/>
  <c r="O749" i="7" s="1"/>
  <c r="L749" i="7"/>
  <c r="M749" i="7" s="1"/>
  <c r="V748" i="7"/>
  <c r="W748" i="7" s="1"/>
  <c r="T748" i="7"/>
  <c r="U748" i="7" s="1"/>
  <c r="R748" i="7"/>
  <c r="S748" i="7" s="1"/>
  <c r="Q748" i="7"/>
  <c r="P748" i="7"/>
  <c r="N748" i="7"/>
  <c r="O748" i="7" s="1"/>
  <c r="M748" i="7"/>
  <c r="L748" i="7"/>
  <c r="V747" i="7"/>
  <c r="W747" i="7" s="1"/>
  <c r="T747" i="7"/>
  <c r="U747" i="7" s="1"/>
  <c r="R747" i="7"/>
  <c r="S747" i="7" s="1"/>
  <c r="Q747" i="7"/>
  <c r="P747" i="7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U744" i="7"/>
  <c r="T744" i="7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U740" i="7"/>
  <c r="T740" i="7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U738" i="7"/>
  <c r="T738" i="7"/>
  <c r="R738" i="7"/>
  <c r="S738" i="7" s="1"/>
  <c r="P738" i="7"/>
  <c r="Q738" i="7" s="1"/>
  <c r="N738" i="7"/>
  <c r="O738" i="7" s="1"/>
  <c r="L738" i="7"/>
  <c r="M738" i="7" s="1"/>
  <c r="V737" i="7"/>
  <c r="W737" i="7" s="1"/>
  <c r="U737" i="7"/>
  <c r="T737" i="7"/>
  <c r="R737" i="7"/>
  <c r="S737" i="7" s="1"/>
  <c r="Q737" i="7"/>
  <c r="P737" i="7"/>
  <c r="N737" i="7"/>
  <c r="O737" i="7" s="1"/>
  <c r="L737" i="7"/>
  <c r="M737" i="7" s="1"/>
  <c r="V736" i="7"/>
  <c r="W736" i="7" s="1"/>
  <c r="U736" i="7"/>
  <c r="T736" i="7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U733" i="7"/>
  <c r="T733" i="7"/>
  <c r="R733" i="7"/>
  <c r="S733" i="7" s="1"/>
  <c r="Q733" i="7"/>
  <c r="P733" i="7"/>
  <c r="N733" i="7"/>
  <c r="O733" i="7" s="1"/>
  <c r="L733" i="7"/>
  <c r="M733" i="7" s="1"/>
  <c r="V732" i="7"/>
  <c r="W732" i="7" s="1"/>
  <c r="U732" i="7"/>
  <c r="T732" i="7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U729" i="7"/>
  <c r="T729" i="7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U726" i="7"/>
  <c r="T726" i="7"/>
  <c r="R726" i="7"/>
  <c r="S726" i="7" s="1"/>
  <c r="P726" i="7"/>
  <c r="Q726" i="7" s="1"/>
  <c r="N726" i="7"/>
  <c r="O726" i="7" s="1"/>
  <c r="L726" i="7"/>
  <c r="M726" i="7" s="1"/>
  <c r="V725" i="7"/>
  <c r="W725" i="7" s="1"/>
  <c r="U725" i="7"/>
  <c r="T725" i="7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M723" i="7"/>
  <c r="L723" i="7"/>
  <c r="V722" i="7"/>
  <c r="W722" i="7" s="1"/>
  <c r="U722" i="7"/>
  <c r="T722" i="7"/>
  <c r="R722" i="7"/>
  <c r="S722" i="7" s="1"/>
  <c r="P722" i="7"/>
  <c r="Q722" i="7" s="1"/>
  <c r="N722" i="7"/>
  <c r="O722" i="7" s="1"/>
  <c r="M722" i="7"/>
  <c r="L722" i="7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M719" i="7"/>
  <c r="L719" i="7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M716" i="7"/>
  <c r="L716" i="7"/>
  <c r="V715" i="7"/>
  <c r="W715" i="7" s="1"/>
  <c r="T715" i="7"/>
  <c r="U715" i="7" s="1"/>
  <c r="R715" i="7"/>
  <c r="S715" i="7" s="1"/>
  <c r="P715" i="7"/>
  <c r="Q715" i="7" s="1"/>
  <c r="N715" i="7"/>
  <c r="O715" i="7" s="1"/>
  <c r="M715" i="7"/>
  <c r="L715" i="7"/>
  <c r="V714" i="7"/>
  <c r="W714" i="7" s="1"/>
  <c r="U714" i="7"/>
  <c r="T714" i="7"/>
  <c r="R714" i="7"/>
  <c r="S714" i="7" s="1"/>
  <c r="P714" i="7"/>
  <c r="Q714" i="7" s="1"/>
  <c r="N714" i="7"/>
  <c r="O714" i="7" s="1"/>
  <c r="M714" i="7"/>
  <c r="L714" i="7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M712" i="7"/>
  <c r="L712" i="7"/>
  <c r="V711" i="7"/>
  <c r="W711" i="7" s="1"/>
  <c r="T711" i="7"/>
  <c r="U711" i="7" s="1"/>
  <c r="R711" i="7"/>
  <c r="S711" i="7" s="1"/>
  <c r="P711" i="7"/>
  <c r="Q711" i="7" s="1"/>
  <c r="N711" i="7"/>
  <c r="O711" i="7" s="1"/>
  <c r="M711" i="7"/>
  <c r="L711" i="7"/>
  <c r="V710" i="7"/>
  <c r="W710" i="7" s="1"/>
  <c r="U710" i="7"/>
  <c r="T710" i="7"/>
  <c r="R710" i="7"/>
  <c r="S710" i="7" s="1"/>
  <c r="P710" i="7"/>
  <c r="Q710" i="7" s="1"/>
  <c r="N710" i="7"/>
  <c r="O710" i="7" s="1"/>
  <c r="M710" i="7"/>
  <c r="L710" i="7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U706" i="7"/>
  <c r="T706" i="7"/>
  <c r="R706" i="7"/>
  <c r="S706" i="7" s="1"/>
  <c r="P706" i="7"/>
  <c r="Q706" i="7" s="1"/>
  <c r="N706" i="7"/>
  <c r="O706" i="7" s="1"/>
  <c r="L706" i="7"/>
  <c r="M706" i="7" s="1"/>
  <c r="V705" i="7"/>
  <c r="W705" i="7" s="1"/>
  <c r="U705" i="7"/>
  <c r="T705" i="7"/>
  <c r="R705" i="7"/>
  <c r="S705" i="7" s="1"/>
  <c r="Q705" i="7"/>
  <c r="P705" i="7"/>
  <c r="N705" i="7"/>
  <c r="O705" i="7" s="1"/>
  <c r="L705" i="7"/>
  <c r="M705" i="7" s="1"/>
  <c r="V704" i="7"/>
  <c r="W704" i="7" s="1"/>
  <c r="U704" i="7"/>
  <c r="T704" i="7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M698" i="7"/>
  <c r="L698" i="7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Q694" i="7"/>
  <c r="P694" i="7"/>
  <c r="N694" i="7"/>
  <c r="O694" i="7" s="1"/>
  <c r="L694" i="7"/>
  <c r="M694" i="7" s="1"/>
  <c r="V693" i="7"/>
  <c r="W693" i="7" s="1"/>
  <c r="T693" i="7"/>
  <c r="U693" i="7" s="1"/>
  <c r="R693" i="7"/>
  <c r="S693" i="7" s="1"/>
  <c r="Q693" i="7"/>
  <c r="P693" i="7"/>
  <c r="N693" i="7"/>
  <c r="O693" i="7" s="1"/>
  <c r="M693" i="7"/>
  <c r="L693" i="7"/>
  <c r="V692" i="7"/>
  <c r="W692" i="7" s="1"/>
  <c r="T692" i="7"/>
  <c r="U692" i="7" s="1"/>
  <c r="R692" i="7"/>
  <c r="S692" i="7" s="1"/>
  <c r="Q692" i="7"/>
  <c r="P692" i="7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U689" i="7"/>
  <c r="T689" i="7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U685" i="7"/>
  <c r="T685" i="7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U683" i="7"/>
  <c r="T683" i="7"/>
  <c r="R683" i="7"/>
  <c r="S683" i="7" s="1"/>
  <c r="Q683" i="7"/>
  <c r="P683" i="7"/>
  <c r="N683" i="7"/>
  <c r="O683" i="7" s="1"/>
  <c r="M683" i="7"/>
  <c r="L683" i="7"/>
  <c r="V682" i="7"/>
  <c r="W682" i="7" s="1"/>
  <c r="U682" i="7"/>
  <c r="T682" i="7"/>
  <c r="R682" i="7"/>
  <c r="S682" i="7" s="1"/>
  <c r="Q682" i="7"/>
  <c r="P682" i="7"/>
  <c r="N682" i="7"/>
  <c r="O682" i="7" s="1"/>
  <c r="M682" i="7"/>
  <c r="L682" i="7"/>
  <c r="V681" i="7"/>
  <c r="W681" i="7" s="1"/>
  <c r="U681" i="7"/>
  <c r="T681" i="7"/>
  <c r="R681" i="7"/>
  <c r="S681" i="7" s="1"/>
  <c r="Q681" i="7"/>
  <c r="P681" i="7"/>
  <c r="N681" i="7"/>
  <c r="O681" i="7" s="1"/>
  <c r="M681" i="7"/>
  <c r="L681" i="7"/>
  <c r="V680" i="7"/>
  <c r="W680" i="7" s="1"/>
  <c r="U680" i="7"/>
  <c r="T680" i="7"/>
  <c r="R680" i="7"/>
  <c r="S680" i="7" s="1"/>
  <c r="Q680" i="7"/>
  <c r="P680" i="7"/>
  <c r="N680" i="7"/>
  <c r="O680" i="7" s="1"/>
  <c r="M680" i="7"/>
  <c r="L680" i="7"/>
  <c r="V679" i="7"/>
  <c r="W679" i="7" s="1"/>
  <c r="U679" i="7"/>
  <c r="T679" i="7"/>
  <c r="R679" i="7"/>
  <c r="S679" i="7" s="1"/>
  <c r="Q679" i="7"/>
  <c r="P679" i="7"/>
  <c r="N679" i="7"/>
  <c r="O679" i="7" s="1"/>
  <c r="M679" i="7"/>
  <c r="L679" i="7"/>
  <c r="V678" i="7"/>
  <c r="W678" i="7" s="1"/>
  <c r="U678" i="7"/>
  <c r="T678" i="7"/>
  <c r="R678" i="7"/>
  <c r="S678" i="7" s="1"/>
  <c r="Q678" i="7"/>
  <c r="P678" i="7"/>
  <c r="N678" i="7"/>
  <c r="O678" i="7" s="1"/>
  <c r="M678" i="7"/>
  <c r="L678" i="7"/>
  <c r="V677" i="7"/>
  <c r="W677" i="7" s="1"/>
  <c r="U677" i="7"/>
  <c r="T677" i="7"/>
  <c r="R677" i="7"/>
  <c r="S677" i="7" s="1"/>
  <c r="Q677" i="7"/>
  <c r="P677" i="7"/>
  <c r="N677" i="7"/>
  <c r="O677" i="7" s="1"/>
  <c r="M677" i="7"/>
  <c r="L677" i="7"/>
  <c r="V676" i="7"/>
  <c r="W676" i="7" s="1"/>
  <c r="U676" i="7"/>
  <c r="T676" i="7"/>
  <c r="R676" i="7"/>
  <c r="S676" i="7" s="1"/>
  <c r="Q676" i="7"/>
  <c r="P676" i="7"/>
  <c r="N676" i="7"/>
  <c r="O676" i="7" s="1"/>
  <c r="M676" i="7"/>
  <c r="L676" i="7"/>
  <c r="V675" i="7"/>
  <c r="W675" i="7" s="1"/>
  <c r="U675" i="7"/>
  <c r="T675" i="7"/>
  <c r="R675" i="7"/>
  <c r="S675" i="7" s="1"/>
  <c r="Q675" i="7"/>
  <c r="P675" i="7"/>
  <c r="N675" i="7"/>
  <c r="O675" i="7" s="1"/>
  <c r="M675" i="7"/>
  <c r="L675" i="7"/>
  <c r="V674" i="7"/>
  <c r="W674" i="7" s="1"/>
  <c r="U674" i="7"/>
  <c r="T674" i="7"/>
  <c r="R674" i="7"/>
  <c r="S674" i="7" s="1"/>
  <c r="Q674" i="7"/>
  <c r="P674" i="7"/>
  <c r="N674" i="7"/>
  <c r="O674" i="7" s="1"/>
  <c r="M674" i="7"/>
  <c r="L674" i="7"/>
  <c r="V673" i="7"/>
  <c r="W673" i="7" s="1"/>
  <c r="U673" i="7"/>
  <c r="T673" i="7"/>
  <c r="R673" i="7"/>
  <c r="S673" i="7" s="1"/>
  <c r="Q673" i="7"/>
  <c r="P673" i="7"/>
  <c r="N673" i="7"/>
  <c r="O673" i="7" s="1"/>
  <c r="M673" i="7"/>
  <c r="L673" i="7"/>
  <c r="V672" i="7"/>
  <c r="W672" i="7" s="1"/>
  <c r="U672" i="7"/>
  <c r="T672" i="7"/>
  <c r="R672" i="7"/>
  <c r="S672" i="7" s="1"/>
  <c r="Q672" i="7"/>
  <c r="P672" i="7"/>
  <c r="N672" i="7"/>
  <c r="O672" i="7" s="1"/>
  <c r="M672" i="7"/>
  <c r="L672" i="7"/>
  <c r="V671" i="7"/>
  <c r="W671" i="7" s="1"/>
  <c r="U671" i="7"/>
  <c r="T671" i="7"/>
  <c r="R671" i="7"/>
  <c r="S671" i="7" s="1"/>
  <c r="Q671" i="7"/>
  <c r="P671" i="7"/>
  <c r="N671" i="7"/>
  <c r="O671" i="7" s="1"/>
  <c r="M671" i="7"/>
  <c r="L671" i="7"/>
  <c r="V670" i="7"/>
  <c r="W670" i="7" s="1"/>
  <c r="U670" i="7"/>
  <c r="T670" i="7"/>
  <c r="R670" i="7"/>
  <c r="S670" i="7" s="1"/>
  <c r="Q670" i="7"/>
  <c r="P670" i="7"/>
  <c r="N670" i="7"/>
  <c r="O670" i="7" s="1"/>
  <c r="M670" i="7"/>
  <c r="L670" i="7"/>
  <c r="V669" i="7"/>
  <c r="W669" i="7" s="1"/>
  <c r="U669" i="7"/>
  <c r="T669" i="7"/>
  <c r="R669" i="7"/>
  <c r="S669" i="7" s="1"/>
  <c r="Q669" i="7"/>
  <c r="P669" i="7"/>
  <c r="N669" i="7"/>
  <c r="O669" i="7" s="1"/>
  <c r="M669" i="7"/>
  <c r="L669" i="7"/>
  <c r="V668" i="7"/>
  <c r="W668" i="7" s="1"/>
  <c r="U668" i="7"/>
  <c r="T668" i="7"/>
  <c r="R668" i="7"/>
  <c r="S668" i="7" s="1"/>
  <c r="Q668" i="7"/>
  <c r="P668" i="7"/>
  <c r="N668" i="7"/>
  <c r="O668" i="7" s="1"/>
  <c r="M668" i="7"/>
  <c r="L668" i="7"/>
  <c r="V667" i="7"/>
  <c r="W667" i="7" s="1"/>
  <c r="U667" i="7"/>
  <c r="T667" i="7"/>
  <c r="R667" i="7"/>
  <c r="S667" i="7" s="1"/>
  <c r="Q667" i="7"/>
  <c r="P667" i="7"/>
  <c r="N667" i="7"/>
  <c r="O667" i="7" s="1"/>
  <c r="M667" i="7"/>
  <c r="L667" i="7"/>
  <c r="V666" i="7"/>
  <c r="W666" i="7" s="1"/>
  <c r="U666" i="7"/>
  <c r="T666" i="7"/>
  <c r="R666" i="7"/>
  <c r="S666" i="7" s="1"/>
  <c r="Q666" i="7"/>
  <c r="P666" i="7"/>
  <c r="N666" i="7"/>
  <c r="O666" i="7" s="1"/>
  <c r="M666" i="7"/>
  <c r="L666" i="7"/>
  <c r="V665" i="7"/>
  <c r="W665" i="7" s="1"/>
  <c r="U665" i="7"/>
  <c r="T665" i="7"/>
  <c r="R665" i="7"/>
  <c r="S665" i="7" s="1"/>
  <c r="Q665" i="7"/>
  <c r="P665" i="7"/>
  <c r="N665" i="7"/>
  <c r="O665" i="7" s="1"/>
  <c r="M665" i="7"/>
  <c r="L665" i="7"/>
  <c r="V664" i="7"/>
  <c r="W664" i="7" s="1"/>
  <c r="U664" i="7"/>
  <c r="T664" i="7"/>
  <c r="R664" i="7"/>
  <c r="S664" i="7" s="1"/>
  <c r="Q664" i="7"/>
  <c r="P664" i="7"/>
  <c r="N664" i="7"/>
  <c r="O664" i="7" s="1"/>
  <c r="M664" i="7"/>
  <c r="L664" i="7"/>
  <c r="V663" i="7"/>
  <c r="W663" i="7" s="1"/>
  <c r="U663" i="7"/>
  <c r="T663" i="7"/>
  <c r="R663" i="7"/>
  <c r="S663" i="7" s="1"/>
  <c r="Q663" i="7"/>
  <c r="P663" i="7"/>
  <c r="N663" i="7"/>
  <c r="O663" i="7" s="1"/>
  <c r="M663" i="7"/>
  <c r="L663" i="7"/>
  <c r="V662" i="7"/>
  <c r="W662" i="7" s="1"/>
  <c r="U662" i="7"/>
  <c r="T662" i="7"/>
  <c r="R662" i="7"/>
  <c r="S662" i="7" s="1"/>
  <c r="Q662" i="7"/>
  <c r="P662" i="7"/>
  <c r="N662" i="7"/>
  <c r="O662" i="7" s="1"/>
  <c r="M662" i="7"/>
  <c r="L662" i="7"/>
  <c r="V661" i="7"/>
  <c r="W661" i="7" s="1"/>
  <c r="U661" i="7"/>
  <c r="T661" i="7"/>
  <c r="R661" i="7"/>
  <c r="S661" i="7" s="1"/>
  <c r="Q661" i="7"/>
  <c r="P661" i="7"/>
  <c r="N661" i="7"/>
  <c r="O661" i="7" s="1"/>
  <c r="M661" i="7"/>
  <c r="L661" i="7"/>
  <c r="V660" i="7"/>
  <c r="W660" i="7" s="1"/>
  <c r="U660" i="7"/>
  <c r="T660" i="7"/>
  <c r="R660" i="7"/>
  <c r="S660" i="7" s="1"/>
  <c r="Q660" i="7"/>
  <c r="P660" i="7"/>
  <c r="N660" i="7"/>
  <c r="O660" i="7" s="1"/>
  <c r="M660" i="7"/>
  <c r="L660" i="7"/>
  <c r="V659" i="7"/>
  <c r="W659" i="7" s="1"/>
  <c r="U659" i="7"/>
  <c r="T659" i="7"/>
  <c r="R659" i="7"/>
  <c r="S659" i="7" s="1"/>
  <c r="Q659" i="7"/>
  <c r="P659" i="7"/>
  <c r="N659" i="7"/>
  <c r="O659" i="7" s="1"/>
  <c r="M659" i="7"/>
  <c r="L659" i="7"/>
  <c r="V658" i="7"/>
  <c r="W658" i="7" s="1"/>
  <c r="U658" i="7"/>
  <c r="T658" i="7"/>
  <c r="R658" i="7"/>
  <c r="S658" i="7" s="1"/>
  <c r="Q658" i="7"/>
  <c r="P658" i="7"/>
  <c r="N658" i="7"/>
  <c r="O658" i="7" s="1"/>
  <c r="M658" i="7"/>
  <c r="L658" i="7"/>
  <c r="V657" i="7"/>
  <c r="W657" i="7" s="1"/>
  <c r="U657" i="7"/>
  <c r="T657" i="7"/>
  <c r="R657" i="7"/>
  <c r="S657" i="7" s="1"/>
  <c r="Q657" i="7"/>
  <c r="P657" i="7"/>
  <c r="N657" i="7"/>
  <c r="O657" i="7" s="1"/>
  <c r="M657" i="7"/>
  <c r="L657" i="7"/>
  <c r="V656" i="7"/>
  <c r="W656" i="7" s="1"/>
  <c r="U656" i="7"/>
  <c r="T656" i="7"/>
  <c r="R656" i="7"/>
  <c r="S656" i="7" s="1"/>
  <c r="Q656" i="7"/>
  <c r="P656" i="7"/>
  <c r="N656" i="7"/>
  <c r="O656" i="7" s="1"/>
  <c r="M656" i="7"/>
  <c r="L656" i="7"/>
  <c r="V655" i="7"/>
  <c r="W655" i="7" s="1"/>
  <c r="U655" i="7"/>
  <c r="T655" i="7"/>
  <c r="R655" i="7"/>
  <c r="S655" i="7" s="1"/>
  <c r="Q655" i="7"/>
  <c r="P655" i="7"/>
  <c r="N655" i="7"/>
  <c r="O655" i="7" s="1"/>
  <c r="M655" i="7"/>
  <c r="L655" i="7"/>
  <c r="V654" i="7"/>
  <c r="W654" i="7" s="1"/>
  <c r="U654" i="7"/>
  <c r="T654" i="7"/>
  <c r="R654" i="7"/>
  <c r="S654" i="7" s="1"/>
  <c r="Q654" i="7"/>
  <c r="P654" i="7"/>
  <c r="N654" i="7"/>
  <c r="O654" i="7" s="1"/>
  <c r="M654" i="7"/>
  <c r="L654" i="7"/>
  <c r="V653" i="7"/>
  <c r="W653" i="7" s="1"/>
  <c r="U653" i="7"/>
  <c r="T653" i="7"/>
  <c r="R653" i="7"/>
  <c r="S653" i="7" s="1"/>
  <c r="Q653" i="7"/>
  <c r="P653" i="7"/>
  <c r="N653" i="7"/>
  <c r="O653" i="7" s="1"/>
  <c r="M653" i="7"/>
  <c r="L653" i="7"/>
  <c r="V652" i="7"/>
  <c r="W652" i="7" s="1"/>
  <c r="U652" i="7"/>
  <c r="T652" i="7"/>
  <c r="R652" i="7"/>
  <c r="S652" i="7" s="1"/>
  <c r="Q652" i="7"/>
  <c r="P652" i="7"/>
  <c r="N652" i="7"/>
  <c r="O652" i="7" s="1"/>
  <c r="M652" i="7"/>
  <c r="L652" i="7"/>
  <c r="V651" i="7"/>
  <c r="W651" i="7" s="1"/>
  <c r="U651" i="7"/>
  <c r="T651" i="7"/>
  <c r="R651" i="7"/>
  <c r="S651" i="7" s="1"/>
  <c r="Q651" i="7"/>
  <c r="P651" i="7"/>
  <c r="N651" i="7"/>
  <c r="O651" i="7" s="1"/>
  <c r="M651" i="7"/>
  <c r="L651" i="7"/>
  <c r="V650" i="7"/>
  <c r="W650" i="7" s="1"/>
  <c r="U650" i="7"/>
  <c r="T650" i="7"/>
  <c r="R650" i="7"/>
  <c r="S650" i="7" s="1"/>
  <c r="Q650" i="7"/>
  <c r="P650" i="7"/>
  <c r="N650" i="7"/>
  <c r="O650" i="7" s="1"/>
  <c r="M650" i="7"/>
  <c r="L650" i="7"/>
  <c r="V649" i="7"/>
  <c r="W649" i="7" s="1"/>
  <c r="U649" i="7"/>
  <c r="T649" i="7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O632" i="7"/>
  <c r="N632" i="7"/>
  <c r="M632" i="7"/>
  <c r="L632" i="7"/>
  <c r="W631" i="7"/>
  <c r="V631" i="7"/>
  <c r="U631" i="7"/>
  <c r="T631" i="7"/>
  <c r="S631" i="7"/>
  <c r="R631" i="7"/>
  <c r="Q631" i="7"/>
  <c r="P631" i="7"/>
  <c r="O631" i="7"/>
  <c r="N631" i="7"/>
  <c r="M631" i="7"/>
  <c r="L631" i="7"/>
  <c r="W630" i="7"/>
  <c r="V630" i="7"/>
  <c r="U630" i="7"/>
  <c r="T630" i="7"/>
  <c r="S630" i="7"/>
  <c r="R630" i="7"/>
  <c r="Q630" i="7"/>
  <c r="P630" i="7"/>
  <c r="O630" i="7"/>
  <c r="N630" i="7"/>
  <c r="M630" i="7"/>
  <c r="L630" i="7"/>
  <c r="W629" i="7"/>
  <c r="V629" i="7"/>
  <c r="U629" i="7"/>
  <c r="T629" i="7"/>
  <c r="S629" i="7"/>
  <c r="R629" i="7"/>
  <c r="Q629" i="7"/>
  <c r="P629" i="7"/>
  <c r="O629" i="7"/>
  <c r="N629" i="7"/>
  <c r="M629" i="7"/>
  <c r="L629" i="7"/>
  <c r="W628" i="7"/>
  <c r="V628" i="7"/>
  <c r="U628" i="7"/>
  <c r="T628" i="7"/>
  <c r="S628" i="7"/>
  <c r="R628" i="7"/>
  <c r="Q628" i="7"/>
  <c r="P628" i="7"/>
  <c r="O628" i="7"/>
  <c r="N628" i="7"/>
  <c r="M628" i="7"/>
  <c r="L628" i="7"/>
  <c r="W627" i="7"/>
  <c r="V627" i="7"/>
  <c r="U627" i="7"/>
  <c r="T627" i="7"/>
  <c r="S627" i="7"/>
  <c r="R627" i="7"/>
  <c r="Q627" i="7"/>
  <c r="P627" i="7"/>
  <c r="O627" i="7"/>
  <c r="N627" i="7"/>
  <c r="M627" i="7"/>
  <c r="L627" i="7"/>
  <c r="W626" i="7"/>
  <c r="V626" i="7"/>
  <c r="U626" i="7"/>
  <c r="T626" i="7"/>
  <c r="S626" i="7"/>
  <c r="R626" i="7"/>
  <c r="Q626" i="7"/>
  <c r="P626" i="7"/>
  <c r="O626" i="7"/>
  <c r="N626" i="7"/>
  <c r="M626" i="7"/>
  <c r="L626" i="7"/>
  <c r="W625" i="7"/>
  <c r="V625" i="7"/>
  <c r="U625" i="7"/>
  <c r="T625" i="7"/>
  <c r="S625" i="7"/>
  <c r="R625" i="7"/>
  <c r="Q625" i="7"/>
  <c r="P625" i="7"/>
  <c r="O625" i="7"/>
  <c r="N625" i="7"/>
  <c r="M625" i="7"/>
  <c r="L625" i="7"/>
  <c r="W624" i="7"/>
  <c r="V624" i="7"/>
  <c r="U624" i="7"/>
  <c r="T624" i="7"/>
  <c r="S624" i="7"/>
  <c r="R624" i="7"/>
  <c r="Q624" i="7"/>
  <c r="P624" i="7"/>
  <c r="O624" i="7"/>
  <c r="N624" i="7"/>
  <c r="M624" i="7"/>
  <c r="L624" i="7"/>
  <c r="W623" i="7"/>
  <c r="V623" i="7"/>
  <c r="U623" i="7"/>
  <c r="T623" i="7"/>
  <c r="S623" i="7"/>
  <c r="R623" i="7"/>
  <c r="Q623" i="7"/>
  <c r="P623" i="7"/>
  <c r="O623" i="7"/>
  <c r="N623" i="7"/>
  <c r="M623" i="7"/>
  <c r="L623" i="7"/>
  <c r="W622" i="7"/>
  <c r="V622" i="7"/>
  <c r="U622" i="7"/>
  <c r="T622" i="7"/>
  <c r="S622" i="7"/>
  <c r="R622" i="7"/>
  <c r="Q622" i="7"/>
  <c r="P622" i="7"/>
  <c r="O622" i="7"/>
  <c r="N622" i="7"/>
  <c r="M622" i="7"/>
  <c r="L622" i="7"/>
  <c r="W621" i="7"/>
  <c r="V621" i="7"/>
  <c r="U621" i="7"/>
  <c r="T621" i="7"/>
  <c r="S621" i="7"/>
  <c r="R621" i="7"/>
  <c r="Q621" i="7"/>
  <c r="P621" i="7"/>
  <c r="O621" i="7"/>
  <c r="N621" i="7"/>
  <c r="M621" i="7"/>
  <c r="L621" i="7"/>
  <c r="W620" i="7"/>
  <c r="V620" i="7"/>
  <c r="U620" i="7"/>
  <c r="T620" i="7"/>
  <c r="S620" i="7"/>
  <c r="R620" i="7"/>
  <c r="Q620" i="7"/>
  <c r="P620" i="7"/>
  <c r="O620" i="7"/>
  <c r="N620" i="7"/>
  <c r="M620" i="7"/>
  <c r="L620" i="7"/>
  <c r="W619" i="7"/>
  <c r="V619" i="7"/>
  <c r="U619" i="7"/>
  <c r="T619" i="7"/>
  <c r="S619" i="7"/>
  <c r="R619" i="7"/>
  <c r="Q619" i="7"/>
  <c r="P619" i="7"/>
  <c r="O619" i="7"/>
  <c r="N619" i="7"/>
  <c r="M619" i="7"/>
  <c r="L619" i="7"/>
  <c r="W618" i="7"/>
  <c r="V618" i="7"/>
  <c r="U618" i="7"/>
  <c r="T618" i="7"/>
  <c r="S618" i="7"/>
  <c r="R618" i="7"/>
  <c r="Q618" i="7"/>
  <c r="P618" i="7"/>
  <c r="O618" i="7"/>
  <c r="N618" i="7"/>
  <c r="M618" i="7"/>
  <c r="L618" i="7"/>
  <c r="W617" i="7"/>
  <c r="V617" i="7"/>
  <c r="U617" i="7"/>
  <c r="T617" i="7"/>
  <c r="S617" i="7"/>
  <c r="R617" i="7"/>
  <c r="Q617" i="7"/>
  <c r="P617" i="7"/>
  <c r="O617" i="7"/>
  <c r="N617" i="7"/>
  <c r="M617" i="7"/>
  <c r="L617" i="7"/>
  <c r="W616" i="7"/>
  <c r="V616" i="7"/>
  <c r="U616" i="7"/>
  <c r="T616" i="7"/>
  <c r="S616" i="7"/>
  <c r="R616" i="7"/>
  <c r="Q616" i="7"/>
  <c r="P616" i="7"/>
  <c r="O616" i="7"/>
  <c r="N616" i="7"/>
  <c r="M616" i="7"/>
  <c r="L616" i="7"/>
  <c r="W615" i="7"/>
  <c r="V615" i="7"/>
  <c r="U615" i="7"/>
  <c r="T615" i="7"/>
  <c r="S615" i="7"/>
  <c r="R615" i="7"/>
  <c r="Q615" i="7"/>
  <c r="P615" i="7"/>
  <c r="O615" i="7"/>
  <c r="N615" i="7"/>
  <c r="M615" i="7"/>
  <c r="L615" i="7"/>
  <c r="W614" i="7"/>
  <c r="V614" i="7"/>
  <c r="U614" i="7"/>
  <c r="T614" i="7"/>
  <c r="S614" i="7"/>
  <c r="R614" i="7"/>
  <c r="Q614" i="7"/>
  <c r="P614" i="7"/>
  <c r="O614" i="7"/>
  <c r="N614" i="7"/>
  <c r="M614" i="7"/>
  <c r="L614" i="7"/>
  <c r="W613" i="7"/>
  <c r="V613" i="7"/>
  <c r="U613" i="7"/>
  <c r="T613" i="7"/>
  <c r="S613" i="7"/>
  <c r="R613" i="7"/>
  <c r="Q613" i="7"/>
  <c r="P613" i="7"/>
  <c r="O613" i="7"/>
  <c r="N613" i="7"/>
  <c r="M613" i="7"/>
  <c r="L613" i="7"/>
  <c r="W612" i="7"/>
  <c r="V612" i="7"/>
  <c r="U612" i="7"/>
  <c r="T612" i="7"/>
  <c r="S612" i="7"/>
  <c r="R612" i="7"/>
  <c r="Q612" i="7"/>
  <c r="P612" i="7"/>
  <c r="O612" i="7"/>
  <c r="N612" i="7"/>
  <c r="M612" i="7"/>
  <c r="L612" i="7"/>
  <c r="W611" i="7"/>
  <c r="V611" i="7"/>
  <c r="U611" i="7"/>
  <c r="T611" i="7"/>
  <c r="S611" i="7"/>
  <c r="R611" i="7"/>
  <c r="Q611" i="7"/>
  <c r="P611" i="7"/>
  <c r="O611" i="7"/>
  <c r="N611" i="7"/>
  <c r="M611" i="7"/>
  <c r="L611" i="7"/>
  <c r="W610" i="7"/>
  <c r="V610" i="7"/>
  <c r="U610" i="7"/>
  <c r="T610" i="7"/>
  <c r="S610" i="7"/>
  <c r="R610" i="7"/>
  <c r="Q610" i="7"/>
  <c r="P610" i="7"/>
  <c r="O610" i="7"/>
  <c r="N610" i="7"/>
  <c r="M610" i="7"/>
  <c r="L610" i="7"/>
  <c r="W609" i="7"/>
  <c r="V609" i="7"/>
  <c r="U609" i="7"/>
  <c r="T609" i="7"/>
  <c r="S609" i="7"/>
  <c r="R609" i="7"/>
  <c r="Q609" i="7"/>
  <c r="P609" i="7"/>
  <c r="O609" i="7"/>
  <c r="N609" i="7"/>
  <c r="M609" i="7"/>
  <c r="L609" i="7"/>
  <c r="W608" i="7"/>
  <c r="V608" i="7"/>
  <c r="U608" i="7"/>
  <c r="T608" i="7"/>
  <c r="S608" i="7"/>
  <c r="R608" i="7"/>
  <c r="Q608" i="7"/>
  <c r="P608" i="7"/>
  <c r="O608" i="7"/>
  <c r="N608" i="7"/>
  <c r="M608" i="7"/>
  <c r="L608" i="7"/>
  <c r="W607" i="7"/>
  <c r="V607" i="7"/>
  <c r="U607" i="7"/>
  <c r="T607" i="7"/>
  <c r="S607" i="7"/>
  <c r="R607" i="7"/>
  <c r="Q607" i="7"/>
  <c r="P607" i="7"/>
  <c r="O607" i="7"/>
  <c r="N607" i="7"/>
  <c r="M607" i="7"/>
  <c r="L607" i="7"/>
  <c r="W606" i="7"/>
  <c r="V606" i="7"/>
  <c r="U606" i="7"/>
  <c r="T606" i="7"/>
  <c r="S606" i="7"/>
  <c r="R606" i="7"/>
  <c r="Q606" i="7"/>
  <c r="P606" i="7"/>
  <c r="O606" i="7"/>
  <c r="N606" i="7"/>
  <c r="M606" i="7"/>
  <c r="L606" i="7"/>
  <c r="W605" i="7"/>
  <c r="V605" i="7"/>
  <c r="U605" i="7"/>
  <c r="T605" i="7"/>
  <c r="S605" i="7"/>
  <c r="R605" i="7"/>
  <c r="Q605" i="7"/>
  <c r="P605" i="7"/>
  <c r="O605" i="7"/>
  <c r="N605" i="7"/>
  <c r="M605" i="7"/>
  <c r="L605" i="7"/>
  <c r="W604" i="7"/>
  <c r="V604" i="7"/>
  <c r="U604" i="7"/>
  <c r="T604" i="7"/>
  <c r="S604" i="7"/>
  <c r="R604" i="7"/>
  <c r="Q604" i="7"/>
  <c r="P604" i="7"/>
  <c r="O604" i="7"/>
  <c r="N604" i="7"/>
  <c r="M604" i="7"/>
  <c r="L604" i="7"/>
  <c r="W603" i="7"/>
  <c r="V603" i="7"/>
  <c r="U603" i="7"/>
  <c r="T603" i="7"/>
  <c r="S603" i="7"/>
  <c r="R603" i="7"/>
  <c r="Q603" i="7"/>
  <c r="P603" i="7"/>
  <c r="O603" i="7"/>
  <c r="N603" i="7"/>
  <c r="M603" i="7"/>
  <c r="L603" i="7"/>
  <c r="W602" i="7"/>
  <c r="V602" i="7"/>
  <c r="U602" i="7"/>
  <c r="T602" i="7"/>
  <c r="S602" i="7"/>
  <c r="R602" i="7"/>
  <c r="Q602" i="7"/>
  <c r="P602" i="7"/>
  <c r="O602" i="7"/>
  <c r="N602" i="7"/>
  <c r="M602" i="7"/>
  <c r="L602" i="7"/>
  <c r="W601" i="7"/>
  <c r="V601" i="7"/>
  <c r="U601" i="7"/>
  <c r="T601" i="7"/>
  <c r="S601" i="7"/>
  <c r="R601" i="7"/>
  <c r="Q601" i="7"/>
  <c r="P601" i="7"/>
  <c r="O601" i="7"/>
  <c r="N601" i="7"/>
  <c r="M601" i="7"/>
  <c r="L601" i="7"/>
  <c r="W600" i="7"/>
  <c r="V600" i="7"/>
  <c r="U600" i="7"/>
  <c r="T600" i="7"/>
  <c r="S600" i="7"/>
  <c r="R600" i="7"/>
  <c r="Q600" i="7"/>
  <c r="P600" i="7"/>
  <c r="O600" i="7"/>
  <c r="N600" i="7"/>
  <c r="M600" i="7"/>
  <c r="L600" i="7"/>
  <c r="W599" i="7"/>
  <c r="V599" i="7"/>
  <c r="U599" i="7"/>
  <c r="T599" i="7"/>
  <c r="S599" i="7"/>
  <c r="R599" i="7"/>
  <c r="Q599" i="7"/>
  <c r="P599" i="7"/>
  <c r="O599" i="7"/>
  <c r="N599" i="7"/>
  <c r="M599" i="7"/>
  <c r="L599" i="7"/>
  <c r="W598" i="7"/>
  <c r="V598" i="7"/>
  <c r="U598" i="7"/>
  <c r="T598" i="7"/>
  <c r="S598" i="7"/>
  <c r="R598" i="7"/>
  <c r="Q598" i="7"/>
  <c r="P598" i="7"/>
  <c r="O598" i="7"/>
  <c r="N598" i="7"/>
  <c r="M598" i="7"/>
  <c r="L598" i="7"/>
  <c r="W597" i="7"/>
  <c r="V597" i="7"/>
  <c r="U597" i="7"/>
  <c r="T597" i="7"/>
  <c r="S597" i="7"/>
  <c r="R597" i="7"/>
  <c r="Q597" i="7"/>
  <c r="P597" i="7"/>
  <c r="O597" i="7"/>
  <c r="N597" i="7"/>
  <c r="M597" i="7"/>
  <c r="L597" i="7"/>
  <c r="W596" i="7"/>
  <c r="V596" i="7"/>
  <c r="U596" i="7"/>
  <c r="T596" i="7"/>
  <c r="S596" i="7"/>
  <c r="R596" i="7"/>
  <c r="Q596" i="7"/>
  <c r="P596" i="7"/>
  <c r="O596" i="7"/>
  <c r="N596" i="7"/>
  <c r="M596" i="7"/>
  <c r="L596" i="7"/>
  <c r="W595" i="7"/>
  <c r="V595" i="7"/>
  <c r="U595" i="7"/>
  <c r="T595" i="7"/>
  <c r="S595" i="7"/>
  <c r="R595" i="7"/>
  <c r="Q595" i="7"/>
  <c r="P595" i="7"/>
  <c r="O595" i="7"/>
  <c r="N595" i="7"/>
  <c r="M595" i="7"/>
  <c r="L595" i="7"/>
  <c r="W594" i="7"/>
  <c r="V594" i="7"/>
  <c r="U594" i="7"/>
  <c r="T594" i="7"/>
  <c r="S594" i="7"/>
  <c r="R594" i="7"/>
  <c r="Q594" i="7"/>
  <c r="P594" i="7"/>
  <c r="O594" i="7"/>
  <c r="N594" i="7"/>
  <c r="M594" i="7"/>
  <c r="L594" i="7"/>
  <c r="W593" i="7"/>
  <c r="V593" i="7"/>
  <c r="U593" i="7"/>
  <c r="T593" i="7"/>
  <c r="S593" i="7"/>
  <c r="R593" i="7"/>
  <c r="Q593" i="7"/>
  <c r="P593" i="7"/>
  <c r="O593" i="7"/>
  <c r="N593" i="7"/>
  <c r="M593" i="7"/>
  <c r="L593" i="7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R575" i="7"/>
  <c r="S575" i="7" s="1"/>
  <c r="Q575" i="7"/>
  <c r="P575" i="7"/>
  <c r="N575" i="7"/>
  <c r="O575" i="7" s="1"/>
  <c r="M575" i="7"/>
  <c r="L575" i="7"/>
  <c r="V574" i="7"/>
  <c r="W574" i="7" s="1"/>
  <c r="T574" i="7"/>
  <c r="U574" i="7" s="1"/>
  <c r="R574" i="7"/>
  <c r="S574" i="7" s="1"/>
  <c r="P574" i="7"/>
  <c r="Q574" i="7" s="1"/>
  <c r="N574" i="7"/>
  <c r="O574" i="7" s="1"/>
  <c r="M574" i="7"/>
  <c r="L574" i="7"/>
  <c r="V573" i="7"/>
  <c r="W573" i="7" s="1"/>
  <c r="U573" i="7"/>
  <c r="T573" i="7"/>
  <c r="R573" i="7"/>
  <c r="S573" i="7" s="1"/>
  <c r="P573" i="7"/>
  <c r="Q573" i="7" s="1"/>
  <c r="N573" i="7"/>
  <c r="O573" i="7" s="1"/>
  <c r="L573" i="7"/>
  <c r="M573" i="7" s="1"/>
  <c r="V572" i="7"/>
  <c r="W572" i="7" s="1"/>
  <c r="U572" i="7"/>
  <c r="T572" i="7"/>
  <c r="R572" i="7"/>
  <c r="S572" i="7" s="1"/>
  <c r="Q572" i="7"/>
  <c r="P572" i="7"/>
  <c r="N572" i="7"/>
  <c r="O572" i="7" s="1"/>
  <c r="L572" i="7"/>
  <c r="M572" i="7" s="1"/>
  <c r="V571" i="7"/>
  <c r="W571" i="7" s="1"/>
  <c r="T571" i="7"/>
  <c r="U571" i="7" s="1"/>
  <c r="R571" i="7"/>
  <c r="S571" i="7" s="1"/>
  <c r="Q571" i="7"/>
  <c r="P571" i="7"/>
  <c r="N571" i="7"/>
  <c r="O571" i="7" s="1"/>
  <c r="M571" i="7"/>
  <c r="L571" i="7"/>
  <c r="V570" i="7"/>
  <c r="W570" i="7" s="1"/>
  <c r="T570" i="7"/>
  <c r="U570" i="7" s="1"/>
  <c r="R570" i="7"/>
  <c r="S570" i="7" s="1"/>
  <c r="P570" i="7"/>
  <c r="Q570" i="7" s="1"/>
  <c r="N570" i="7"/>
  <c r="O570" i="7" s="1"/>
  <c r="M570" i="7"/>
  <c r="L570" i="7"/>
  <c r="V569" i="7"/>
  <c r="W569" i="7" s="1"/>
  <c r="U569" i="7"/>
  <c r="T569" i="7"/>
  <c r="R569" i="7"/>
  <c r="S569" i="7" s="1"/>
  <c r="P569" i="7"/>
  <c r="Q569" i="7" s="1"/>
  <c r="N569" i="7"/>
  <c r="O569" i="7" s="1"/>
  <c r="L569" i="7"/>
  <c r="M569" i="7" s="1"/>
  <c r="V568" i="7"/>
  <c r="W568" i="7" s="1"/>
  <c r="U568" i="7"/>
  <c r="T568" i="7"/>
  <c r="R568" i="7"/>
  <c r="S568" i="7" s="1"/>
  <c r="Q568" i="7"/>
  <c r="P568" i="7"/>
  <c r="N568" i="7"/>
  <c r="O568" i="7" s="1"/>
  <c r="L568" i="7"/>
  <c r="M568" i="7" s="1"/>
  <c r="V567" i="7"/>
  <c r="W567" i="7" s="1"/>
  <c r="T567" i="7"/>
  <c r="U567" i="7" s="1"/>
  <c r="R567" i="7"/>
  <c r="S567" i="7" s="1"/>
  <c r="Q567" i="7"/>
  <c r="P567" i="7"/>
  <c r="N567" i="7"/>
  <c r="O567" i="7" s="1"/>
  <c r="M567" i="7"/>
  <c r="L567" i="7"/>
  <c r="V566" i="7"/>
  <c r="W566" i="7" s="1"/>
  <c r="T566" i="7"/>
  <c r="U566" i="7" s="1"/>
  <c r="R566" i="7"/>
  <c r="S566" i="7" s="1"/>
  <c r="P566" i="7"/>
  <c r="Q566" i="7" s="1"/>
  <c r="N566" i="7"/>
  <c r="O566" i="7" s="1"/>
  <c r="M566" i="7"/>
  <c r="L566" i="7"/>
  <c r="V565" i="7"/>
  <c r="W565" i="7" s="1"/>
  <c r="U565" i="7"/>
  <c r="T565" i="7"/>
  <c r="R565" i="7"/>
  <c r="S565" i="7" s="1"/>
  <c r="P565" i="7"/>
  <c r="Q565" i="7" s="1"/>
  <c r="N565" i="7"/>
  <c r="O565" i="7" s="1"/>
  <c r="L565" i="7"/>
  <c r="M565" i="7" s="1"/>
  <c r="V564" i="7"/>
  <c r="W564" i="7" s="1"/>
  <c r="U564" i="7"/>
  <c r="T564" i="7"/>
  <c r="R564" i="7"/>
  <c r="S564" i="7" s="1"/>
  <c r="Q564" i="7"/>
  <c r="P564" i="7"/>
  <c r="N564" i="7"/>
  <c r="O564" i="7" s="1"/>
  <c r="L564" i="7"/>
  <c r="M564" i="7" s="1"/>
  <c r="V563" i="7"/>
  <c r="W563" i="7" s="1"/>
  <c r="T563" i="7"/>
  <c r="U563" i="7" s="1"/>
  <c r="R563" i="7"/>
  <c r="S563" i="7" s="1"/>
  <c r="Q563" i="7"/>
  <c r="P563" i="7"/>
  <c r="N563" i="7"/>
  <c r="O563" i="7" s="1"/>
  <c r="M563" i="7"/>
  <c r="L563" i="7"/>
  <c r="V562" i="7"/>
  <c r="W562" i="7" s="1"/>
  <c r="T562" i="7"/>
  <c r="U562" i="7" s="1"/>
  <c r="R562" i="7"/>
  <c r="S562" i="7" s="1"/>
  <c r="P562" i="7"/>
  <c r="Q562" i="7" s="1"/>
  <c r="N562" i="7"/>
  <c r="O562" i="7" s="1"/>
  <c r="M562" i="7"/>
  <c r="L562" i="7"/>
  <c r="V561" i="7"/>
  <c r="W561" i="7" s="1"/>
  <c r="U561" i="7"/>
  <c r="T561" i="7"/>
  <c r="R561" i="7"/>
  <c r="S561" i="7" s="1"/>
  <c r="P561" i="7"/>
  <c r="Q561" i="7" s="1"/>
  <c r="N561" i="7"/>
  <c r="O561" i="7" s="1"/>
  <c r="L561" i="7"/>
  <c r="M561" i="7" s="1"/>
  <c r="V560" i="7"/>
  <c r="W560" i="7" s="1"/>
  <c r="U560" i="7"/>
  <c r="T560" i="7"/>
  <c r="R560" i="7"/>
  <c r="S560" i="7" s="1"/>
  <c r="Q560" i="7"/>
  <c r="P560" i="7"/>
  <c r="N560" i="7"/>
  <c r="O560" i="7" s="1"/>
  <c r="L560" i="7"/>
  <c r="M560" i="7" s="1"/>
  <c r="V559" i="7"/>
  <c r="W559" i="7" s="1"/>
  <c r="T559" i="7"/>
  <c r="U559" i="7" s="1"/>
  <c r="R559" i="7"/>
  <c r="S559" i="7" s="1"/>
  <c r="Q559" i="7"/>
  <c r="P559" i="7"/>
  <c r="N559" i="7"/>
  <c r="O559" i="7" s="1"/>
  <c r="M559" i="7"/>
  <c r="L559" i="7"/>
  <c r="V558" i="7"/>
  <c r="W558" i="7" s="1"/>
  <c r="T558" i="7"/>
  <c r="U558" i="7" s="1"/>
  <c r="R558" i="7"/>
  <c r="S558" i="7" s="1"/>
  <c r="P558" i="7"/>
  <c r="Q558" i="7" s="1"/>
  <c r="N558" i="7"/>
  <c r="O558" i="7" s="1"/>
  <c r="M558" i="7"/>
  <c r="L558" i="7"/>
  <c r="V557" i="7"/>
  <c r="W557" i="7" s="1"/>
  <c r="U557" i="7"/>
  <c r="T557" i="7"/>
  <c r="R557" i="7"/>
  <c r="S557" i="7" s="1"/>
  <c r="P557" i="7"/>
  <c r="Q557" i="7" s="1"/>
  <c r="N557" i="7"/>
  <c r="O557" i="7" s="1"/>
  <c r="L557" i="7"/>
  <c r="M557" i="7" s="1"/>
  <c r="V556" i="7"/>
  <c r="W556" i="7" s="1"/>
  <c r="U556" i="7"/>
  <c r="T556" i="7"/>
  <c r="R556" i="7"/>
  <c r="S556" i="7" s="1"/>
  <c r="Q556" i="7"/>
  <c r="P556" i="7"/>
  <c r="N556" i="7"/>
  <c r="O556" i="7" s="1"/>
  <c r="L556" i="7"/>
  <c r="M556" i="7" s="1"/>
  <c r="V555" i="7"/>
  <c r="W555" i="7" s="1"/>
  <c r="T555" i="7"/>
  <c r="U555" i="7" s="1"/>
  <c r="R555" i="7"/>
  <c r="S555" i="7" s="1"/>
  <c r="Q555" i="7"/>
  <c r="P555" i="7"/>
  <c r="N555" i="7"/>
  <c r="O555" i="7" s="1"/>
  <c r="M555" i="7"/>
  <c r="L555" i="7"/>
  <c r="V554" i="7"/>
  <c r="W554" i="7" s="1"/>
  <c r="T554" i="7"/>
  <c r="U554" i="7" s="1"/>
  <c r="R554" i="7"/>
  <c r="S554" i="7" s="1"/>
  <c r="P554" i="7"/>
  <c r="Q554" i="7" s="1"/>
  <c r="N554" i="7"/>
  <c r="O554" i="7" s="1"/>
  <c r="M554" i="7"/>
  <c r="L554" i="7"/>
  <c r="V553" i="7"/>
  <c r="W553" i="7" s="1"/>
  <c r="U553" i="7"/>
  <c r="T553" i="7"/>
  <c r="R553" i="7"/>
  <c r="S553" i="7" s="1"/>
  <c r="P553" i="7"/>
  <c r="Q553" i="7" s="1"/>
  <c r="N553" i="7"/>
  <c r="O553" i="7" s="1"/>
  <c r="L553" i="7"/>
  <c r="M553" i="7" s="1"/>
  <c r="V552" i="7"/>
  <c r="W552" i="7" s="1"/>
  <c r="U552" i="7"/>
  <c r="T552" i="7"/>
  <c r="R552" i="7"/>
  <c r="S552" i="7" s="1"/>
  <c r="Q552" i="7"/>
  <c r="P552" i="7"/>
  <c r="N552" i="7"/>
  <c r="O552" i="7" s="1"/>
  <c r="L552" i="7"/>
  <c r="M552" i="7" s="1"/>
  <c r="V551" i="7"/>
  <c r="W551" i="7" s="1"/>
  <c r="T551" i="7"/>
  <c r="U551" i="7" s="1"/>
  <c r="R551" i="7"/>
  <c r="S551" i="7" s="1"/>
  <c r="Q551" i="7"/>
  <c r="P551" i="7"/>
  <c r="N551" i="7"/>
  <c r="O551" i="7" s="1"/>
  <c r="M551" i="7"/>
  <c r="L551" i="7"/>
  <c r="V550" i="7"/>
  <c r="W550" i="7" s="1"/>
  <c r="T550" i="7"/>
  <c r="U550" i="7" s="1"/>
  <c r="R550" i="7"/>
  <c r="S550" i="7" s="1"/>
  <c r="P550" i="7"/>
  <c r="Q550" i="7" s="1"/>
  <c r="N550" i="7"/>
  <c r="O550" i="7" s="1"/>
  <c r="M550" i="7"/>
  <c r="L550" i="7"/>
  <c r="V549" i="7"/>
  <c r="W549" i="7" s="1"/>
  <c r="U549" i="7"/>
  <c r="T549" i="7"/>
  <c r="R549" i="7"/>
  <c r="S549" i="7" s="1"/>
  <c r="P549" i="7"/>
  <c r="Q549" i="7" s="1"/>
  <c r="N549" i="7"/>
  <c r="O549" i="7" s="1"/>
  <c r="L549" i="7"/>
  <c r="M549" i="7" s="1"/>
  <c r="V548" i="7"/>
  <c r="W548" i="7" s="1"/>
  <c r="U548" i="7"/>
  <c r="T548" i="7"/>
  <c r="R548" i="7"/>
  <c r="S548" i="7" s="1"/>
  <c r="Q548" i="7"/>
  <c r="P548" i="7"/>
  <c r="N548" i="7"/>
  <c r="O548" i="7" s="1"/>
  <c r="L548" i="7"/>
  <c r="M548" i="7" s="1"/>
  <c r="V547" i="7"/>
  <c r="W547" i="7" s="1"/>
  <c r="T547" i="7"/>
  <c r="U547" i="7" s="1"/>
  <c r="R547" i="7"/>
  <c r="S547" i="7" s="1"/>
  <c r="Q547" i="7"/>
  <c r="P547" i="7"/>
  <c r="N547" i="7"/>
  <c r="O547" i="7" s="1"/>
  <c r="M547" i="7"/>
  <c r="L547" i="7"/>
  <c r="V546" i="7"/>
  <c r="W546" i="7" s="1"/>
  <c r="T546" i="7"/>
  <c r="U546" i="7" s="1"/>
  <c r="R546" i="7"/>
  <c r="S546" i="7" s="1"/>
  <c r="P546" i="7"/>
  <c r="Q546" i="7" s="1"/>
  <c r="N546" i="7"/>
  <c r="O546" i="7" s="1"/>
  <c r="M546" i="7"/>
  <c r="L546" i="7"/>
  <c r="V545" i="7"/>
  <c r="W545" i="7" s="1"/>
  <c r="U545" i="7"/>
  <c r="T545" i="7"/>
  <c r="R545" i="7"/>
  <c r="S545" i="7" s="1"/>
  <c r="P545" i="7"/>
  <c r="Q545" i="7" s="1"/>
  <c r="N545" i="7"/>
  <c r="O545" i="7" s="1"/>
  <c r="L545" i="7"/>
  <c r="M545" i="7" s="1"/>
  <c r="V544" i="7"/>
  <c r="W544" i="7" s="1"/>
  <c r="U544" i="7"/>
  <c r="T544" i="7"/>
  <c r="R544" i="7"/>
  <c r="S544" i="7" s="1"/>
  <c r="Q544" i="7"/>
  <c r="P544" i="7"/>
  <c r="N544" i="7"/>
  <c r="O544" i="7" s="1"/>
  <c r="L544" i="7"/>
  <c r="M544" i="7" s="1"/>
  <c r="V543" i="7"/>
  <c r="W543" i="7" s="1"/>
  <c r="T543" i="7"/>
  <c r="U543" i="7" s="1"/>
  <c r="R543" i="7"/>
  <c r="S543" i="7" s="1"/>
  <c r="Q543" i="7"/>
  <c r="P543" i="7"/>
  <c r="N543" i="7"/>
  <c r="O543" i="7" s="1"/>
  <c r="M543" i="7"/>
  <c r="L543" i="7"/>
  <c r="V542" i="7"/>
  <c r="W542" i="7" s="1"/>
  <c r="T542" i="7"/>
  <c r="U542" i="7" s="1"/>
  <c r="R542" i="7"/>
  <c r="S542" i="7" s="1"/>
  <c r="P542" i="7"/>
  <c r="Q542" i="7" s="1"/>
  <c r="N542" i="7"/>
  <c r="O542" i="7" s="1"/>
  <c r="M542" i="7"/>
  <c r="L542" i="7"/>
  <c r="V541" i="7"/>
  <c r="W541" i="7" s="1"/>
  <c r="U541" i="7"/>
  <c r="T541" i="7"/>
  <c r="R541" i="7"/>
  <c r="S541" i="7" s="1"/>
  <c r="P541" i="7"/>
  <c r="Q541" i="7" s="1"/>
  <c r="N541" i="7"/>
  <c r="O541" i="7" s="1"/>
  <c r="L541" i="7"/>
  <c r="M541" i="7" s="1"/>
  <c r="V540" i="7"/>
  <c r="W540" i="7" s="1"/>
  <c r="U540" i="7"/>
  <c r="T540" i="7"/>
  <c r="R540" i="7"/>
  <c r="S540" i="7" s="1"/>
  <c r="Q540" i="7"/>
  <c r="P540" i="7"/>
  <c r="N540" i="7"/>
  <c r="O540" i="7" s="1"/>
  <c r="L540" i="7"/>
  <c r="M540" i="7" s="1"/>
  <c r="V539" i="7"/>
  <c r="W539" i="7" s="1"/>
  <c r="T539" i="7"/>
  <c r="U539" i="7" s="1"/>
  <c r="R539" i="7"/>
  <c r="S539" i="7" s="1"/>
  <c r="Q539" i="7"/>
  <c r="P539" i="7"/>
  <c r="N539" i="7"/>
  <c r="O539" i="7" s="1"/>
  <c r="M539" i="7"/>
  <c r="L539" i="7"/>
  <c r="V538" i="7"/>
  <c r="W538" i="7" s="1"/>
  <c r="T538" i="7"/>
  <c r="U538" i="7" s="1"/>
  <c r="R538" i="7"/>
  <c r="S538" i="7" s="1"/>
  <c r="P538" i="7"/>
  <c r="Q538" i="7" s="1"/>
  <c r="N538" i="7"/>
  <c r="O538" i="7" s="1"/>
  <c r="M538" i="7"/>
  <c r="L538" i="7"/>
  <c r="V537" i="7"/>
  <c r="W537" i="7" s="1"/>
  <c r="U537" i="7"/>
  <c r="T537" i="7"/>
  <c r="R537" i="7"/>
  <c r="S537" i="7" s="1"/>
  <c r="P537" i="7"/>
  <c r="Q537" i="7" s="1"/>
  <c r="N537" i="7"/>
  <c r="O537" i="7" s="1"/>
  <c r="L537" i="7"/>
  <c r="M537" i="7" s="1"/>
  <c r="V536" i="7"/>
  <c r="W536" i="7" s="1"/>
  <c r="U536" i="7"/>
  <c r="T536" i="7"/>
  <c r="R536" i="7"/>
  <c r="S536" i="7" s="1"/>
  <c r="Q536" i="7"/>
  <c r="P536" i="7"/>
  <c r="N536" i="7"/>
  <c r="O536" i="7" s="1"/>
  <c r="L536" i="7"/>
  <c r="M536" i="7" s="1"/>
  <c r="V535" i="7"/>
  <c r="W535" i="7" s="1"/>
  <c r="T535" i="7"/>
  <c r="U535" i="7" s="1"/>
  <c r="R535" i="7"/>
  <c r="S535" i="7" s="1"/>
  <c r="Q535" i="7"/>
  <c r="P535" i="7"/>
  <c r="N535" i="7"/>
  <c r="O535" i="7" s="1"/>
  <c r="M535" i="7"/>
  <c r="L535" i="7"/>
  <c r="V534" i="7"/>
  <c r="W534" i="7" s="1"/>
  <c r="T534" i="7"/>
  <c r="U534" i="7" s="1"/>
  <c r="R534" i="7"/>
  <c r="S534" i="7" s="1"/>
  <c r="P534" i="7"/>
  <c r="Q534" i="7" s="1"/>
  <c r="N534" i="7"/>
  <c r="O534" i="7" s="1"/>
  <c r="M534" i="7"/>
  <c r="L534" i="7"/>
  <c r="V533" i="7"/>
  <c r="W533" i="7" s="1"/>
  <c r="U533" i="7"/>
  <c r="T533" i="7"/>
  <c r="R533" i="7"/>
  <c r="S533" i="7" s="1"/>
  <c r="P533" i="7"/>
  <c r="Q533" i="7" s="1"/>
  <c r="N533" i="7"/>
  <c r="O533" i="7" s="1"/>
  <c r="L533" i="7"/>
  <c r="M533" i="7" s="1"/>
  <c r="V532" i="7"/>
  <c r="W532" i="7" s="1"/>
  <c r="U532" i="7"/>
  <c r="T532" i="7"/>
  <c r="R532" i="7"/>
  <c r="S532" i="7" s="1"/>
  <c r="Q532" i="7"/>
  <c r="P532" i="7"/>
  <c r="N532" i="7"/>
  <c r="O532" i="7" s="1"/>
  <c r="L532" i="7"/>
  <c r="M532" i="7" s="1"/>
  <c r="V531" i="7"/>
  <c r="W531" i="7" s="1"/>
  <c r="T531" i="7"/>
  <c r="U531" i="7" s="1"/>
  <c r="R531" i="7"/>
  <c r="S531" i="7" s="1"/>
  <c r="Q531" i="7"/>
  <c r="P531" i="7"/>
  <c r="N531" i="7"/>
  <c r="O531" i="7" s="1"/>
  <c r="M531" i="7"/>
  <c r="L531" i="7"/>
  <c r="V530" i="7"/>
  <c r="W530" i="7" s="1"/>
  <c r="T530" i="7"/>
  <c r="U530" i="7" s="1"/>
  <c r="R530" i="7"/>
  <c r="S530" i="7" s="1"/>
  <c r="P530" i="7"/>
  <c r="Q530" i="7" s="1"/>
  <c r="N530" i="7"/>
  <c r="O530" i="7" s="1"/>
  <c r="M530" i="7"/>
  <c r="L530" i="7"/>
  <c r="V529" i="7"/>
  <c r="W529" i="7" s="1"/>
  <c r="U529" i="7"/>
  <c r="T529" i="7"/>
  <c r="R529" i="7"/>
  <c r="S529" i="7" s="1"/>
  <c r="P529" i="7"/>
  <c r="Q529" i="7" s="1"/>
  <c r="N529" i="7"/>
  <c r="O529" i="7" s="1"/>
  <c r="L529" i="7"/>
  <c r="M529" i="7" s="1"/>
  <c r="V528" i="7"/>
  <c r="W528" i="7" s="1"/>
  <c r="U528" i="7"/>
  <c r="T528" i="7"/>
  <c r="R528" i="7"/>
  <c r="S528" i="7" s="1"/>
  <c r="Q528" i="7"/>
  <c r="P528" i="7"/>
  <c r="N528" i="7"/>
  <c r="O528" i="7" s="1"/>
  <c r="L528" i="7"/>
  <c r="M528" i="7" s="1"/>
  <c r="V527" i="7"/>
  <c r="W527" i="7" s="1"/>
  <c r="T527" i="7"/>
  <c r="U527" i="7" s="1"/>
  <c r="R527" i="7"/>
  <c r="S527" i="7" s="1"/>
  <c r="Q527" i="7"/>
  <c r="P527" i="7"/>
  <c r="N527" i="7"/>
  <c r="O527" i="7" s="1"/>
  <c r="M527" i="7"/>
  <c r="L527" i="7"/>
  <c r="V526" i="7"/>
  <c r="W526" i="7" s="1"/>
  <c r="T526" i="7"/>
  <c r="U526" i="7" s="1"/>
  <c r="R526" i="7"/>
  <c r="S526" i="7" s="1"/>
  <c r="P526" i="7"/>
  <c r="Q526" i="7" s="1"/>
  <c r="N526" i="7"/>
  <c r="O526" i="7" s="1"/>
  <c r="M526" i="7"/>
  <c r="L526" i="7"/>
  <c r="V525" i="7"/>
  <c r="W525" i="7" s="1"/>
  <c r="U525" i="7"/>
  <c r="T525" i="7"/>
  <c r="R525" i="7"/>
  <c r="S525" i="7" s="1"/>
  <c r="P525" i="7"/>
  <c r="Q525" i="7" s="1"/>
  <c r="N525" i="7"/>
  <c r="O525" i="7" s="1"/>
  <c r="L525" i="7"/>
  <c r="M525" i="7" s="1"/>
  <c r="V524" i="7"/>
  <c r="W524" i="7" s="1"/>
  <c r="U524" i="7"/>
  <c r="T524" i="7"/>
  <c r="R524" i="7"/>
  <c r="S524" i="7" s="1"/>
  <c r="Q524" i="7"/>
  <c r="P524" i="7"/>
  <c r="N524" i="7"/>
  <c r="O524" i="7" s="1"/>
  <c r="L524" i="7"/>
  <c r="M524" i="7" s="1"/>
  <c r="V523" i="7"/>
  <c r="W523" i="7" s="1"/>
  <c r="T523" i="7"/>
  <c r="U523" i="7" s="1"/>
  <c r="R523" i="7"/>
  <c r="S523" i="7" s="1"/>
  <c r="Q523" i="7"/>
  <c r="P523" i="7"/>
  <c r="N523" i="7"/>
  <c r="O523" i="7" s="1"/>
  <c r="M523" i="7"/>
  <c r="L523" i="7"/>
  <c r="V522" i="7"/>
  <c r="W522" i="7" s="1"/>
  <c r="T522" i="7"/>
  <c r="U522" i="7" s="1"/>
  <c r="R522" i="7"/>
  <c r="S522" i="7" s="1"/>
  <c r="P522" i="7"/>
  <c r="Q522" i="7" s="1"/>
  <c r="N522" i="7"/>
  <c r="O522" i="7" s="1"/>
  <c r="M522" i="7"/>
  <c r="L522" i="7"/>
  <c r="V521" i="7"/>
  <c r="W521" i="7" s="1"/>
  <c r="U521" i="7"/>
  <c r="T521" i="7"/>
  <c r="R521" i="7"/>
  <c r="S521" i="7" s="1"/>
  <c r="P521" i="7"/>
  <c r="Q521" i="7" s="1"/>
  <c r="N521" i="7"/>
  <c r="O521" i="7" s="1"/>
  <c r="L521" i="7"/>
  <c r="M521" i="7" s="1"/>
  <c r="V520" i="7"/>
  <c r="W520" i="7" s="1"/>
  <c r="U520" i="7"/>
  <c r="T520" i="7"/>
  <c r="R520" i="7"/>
  <c r="S520" i="7" s="1"/>
  <c r="Q520" i="7"/>
  <c r="P520" i="7"/>
  <c r="N520" i="7"/>
  <c r="O520" i="7" s="1"/>
  <c r="L520" i="7"/>
  <c r="M520" i="7" s="1"/>
  <c r="V519" i="7"/>
  <c r="W519" i="7" s="1"/>
  <c r="T519" i="7"/>
  <c r="U519" i="7" s="1"/>
  <c r="R519" i="7"/>
  <c r="S519" i="7" s="1"/>
  <c r="Q519" i="7"/>
  <c r="P519" i="7"/>
  <c r="N519" i="7"/>
  <c r="O519" i="7" s="1"/>
  <c r="M519" i="7"/>
  <c r="L519" i="7"/>
  <c r="V518" i="7"/>
  <c r="W518" i="7" s="1"/>
  <c r="T518" i="7"/>
  <c r="U518" i="7" s="1"/>
  <c r="R518" i="7"/>
  <c r="S518" i="7" s="1"/>
  <c r="P518" i="7"/>
  <c r="Q518" i="7" s="1"/>
  <c r="N518" i="7"/>
  <c r="O518" i="7" s="1"/>
  <c r="M518" i="7"/>
  <c r="L518" i="7"/>
  <c r="V517" i="7"/>
  <c r="W517" i="7" s="1"/>
  <c r="U517" i="7"/>
  <c r="T517" i="7"/>
  <c r="R517" i="7"/>
  <c r="S517" i="7" s="1"/>
  <c r="P517" i="7"/>
  <c r="Q517" i="7" s="1"/>
  <c r="N517" i="7"/>
  <c r="O517" i="7" s="1"/>
  <c r="L517" i="7"/>
  <c r="M517" i="7" s="1"/>
  <c r="V516" i="7"/>
  <c r="W516" i="7" s="1"/>
  <c r="U516" i="7"/>
  <c r="T516" i="7"/>
  <c r="R516" i="7"/>
  <c r="S516" i="7" s="1"/>
  <c r="Q516" i="7"/>
  <c r="P516" i="7"/>
  <c r="N516" i="7"/>
  <c r="O516" i="7" s="1"/>
  <c r="L516" i="7"/>
  <c r="M516" i="7" s="1"/>
  <c r="V515" i="7"/>
  <c r="W515" i="7" s="1"/>
  <c r="T515" i="7"/>
  <c r="U515" i="7" s="1"/>
  <c r="R515" i="7"/>
  <c r="S515" i="7" s="1"/>
  <c r="Q515" i="7"/>
  <c r="P515" i="7"/>
  <c r="N515" i="7"/>
  <c r="O515" i="7" s="1"/>
  <c r="M515" i="7"/>
  <c r="L515" i="7"/>
  <c r="V514" i="7"/>
  <c r="W514" i="7" s="1"/>
  <c r="T514" i="7"/>
  <c r="U514" i="7" s="1"/>
  <c r="R514" i="7"/>
  <c r="S514" i="7" s="1"/>
  <c r="P514" i="7"/>
  <c r="Q514" i="7" s="1"/>
  <c r="N514" i="7"/>
  <c r="O514" i="7" s="1"/>
  <c r="M514" i="7"/>
  <c r="L514" i="7"/>
  <c r="V513" i="7"/>
  <c r="W513" i="7" s="1"/>
  <c r="U513" i="7"/>
  <c r="T513" i="7"/>
  <c r="R513" i="7"/>
  <c r="S513" i="7" s="1"/>
  <c r="P513" i="7"/>
  <c r="Q513" i="7" s="1"/>
  <c r="N513" i="7"/>
  <c r="O513" i="7" s="1"/>
  <c r="L513" i="7"/>
  <c r="M513" i="7" s="1"/>
  <c r="V512" i="7"/>
  <c r="W512" i="7" s="1"/>
  <c r="U512" i="7"/>
  <c r="T512" i="7"/>
  <c r="R512" i="7"/>
  <c r="S512" i="7" s="1"/>
  <c r="Q512" i="7"/>
  <c r="P512" i="7"/>
  <c r="N512" i="7"/>
  <c r="O512" i="7" s="1"/>
  <c r="L512" i="7"/>
  <c r="M512" i="7" s="1"/>
  <c r="V511" i="7"/>
  <c r="W511" i="7" s="1"/>
  <c r="T511" i="7"/>
  <c r="U511" i="7" s="1"/>
  <c r="R511" i="7"/>
  <c r="S511" i="7" s="1"/>
  <c r="Q511" i="7"/>
  <c r="P511" i="7"/>
  <c r="N511" i="7"/>
  <c r="O511" i="7" s="1"/>
  <c r="M511" i="7"/>
  <c r="L511" i="7"/>
  <c r="V510" i="7"/>
  <c r="W510" i="7" s="1"/>
  <c r="T510" i="7"/>
  <c r="U510" i="7" s="1"/>
  <c r="R510" i="7"/>
  <c r="S510" i="7" s="1"/>
  <c r="P510" i="7"/>
  <c r="Q510" i="7" s="1"/>
  <c r="N510" i="7"/>
  <c r="O510" i="7" s="1"/>
  <c r="M510" i="7"/>
  <c r="L510" i="7"/>
  <c r="V509" i="7"/>
  <c r="W509" i="7" s="1"/>
  <c r="U509" i="7"/>
  <c r="T509" i="7"/>
  <c r="R509" i="7"/>
  <c r="S509" i="7" s="1"/>
  <c r="P509" i="7"/>
  <c r="Q509" i="7" s="1"/>
  <c r="N509" i="7"/>
  <c r="O509" i="7" s="1"/>
  <c r="L509" i="7"/>
  <c r="M509" i="7" s="1"/>
  <c r="V508" i="7"/>
  <c r="W508" i="7" s="1"/>
  <c r="U508" i="7"/>
  <c r="T508" i="7"/>
  <c r="R508" i="7"/>
  <c r="S508" i="7" s="1"/>
  <c r="Q508" i="7"/>
  <c r="P508" i="7"/>
  <c r="N508" i="7"/>
  <c r="O508" i="7" s="1"/>
  <c r="L508" i="7"/>
  <c r="M508" i="7" s="1"/>
  <c r="V507" i="7"/>
  <c r="W507" i="7" s="1"/>
  <c r="T507" i="7"/>
  <c r="U507" i="7" s="1"/>
  <c r="R507" i="7"/>
  <c r="S507" i="7" s="1"/>
  <c r="Q507" i="7"/>
  <c r="P507" i="7"/>
  <c r="N507" i="7"/>
  <c r="O507" i="7" s="1"/>
  <c r="M507" i="7"/>
  <c r="L507" i="7"/>
  <c r="V506" i="7"/>
  <c r="W506" i="7" s="1"/>
  <c r="T506" i="7"/>
  <c r="U506" i="7" s="1"/>
  <c r="R506" i="7"/>
  <c r="S506" i="7" s="1"/>
  <c r="P506" i="7"/>
  <c r="Q506" i="7" s="1"/>
  <c r="N506" i="7"/>
  <c r="O506" i="7" s="1"/>
  <c r="M506" i="7"/>
  <c r="L506" i="7"/>
  <c r="V505" i="7"/>
  <c r="W505" i="7" s="1"/>
  <c r="U505" i="7"/>
  <c r="T505" i="7"/>
  <c r="R505" i="7"/>
  <c r="S505" i="7" s="1"/>
  <c r="P505" i="7"/>
  <c r="Q505" i="7" s="1"/>
  <c r="N505" i="7"/>
  <c r="O505" i="7" s="1"/>
  <c r="L505" i="7"/>
  <c r="M505" i="7" s="1"/>
  <c r="V504" i="7"/>
  <c r="W504" i="7" s="1"/>
  <c r="U504" i="7"/>
  <c r="T504" i="7"/>
  <c r="R504" i="7"/>
  <c r="S504" i="7" s="1"/>
  <c r="Q504" i="7"/>
  <c r="P504" i="7"/>
  <c r="N504" i="7"/>
  <c r="O504" i="7" s="1"/>
  <c r="L504" i="7"/>
  <c r="M504" i="7" s="1"/>
  <c r="V503" i="7"/>
  <c r="W503" i="7" s="1"/>
  <c r="T503" i="7"/>
  <c r="U503" i="7" s="1"/>
  <c r="R503" i="7"/>
  <c r="S503" i="7" s="1"/>
  <c r="Q503" i="7"/>
  <c r="P503" i="7"/>
  <c r="N503" i="7"/>
  <c r="O503" i="7" s="1"/>
  <c r="M503" i="7"/>
  <c r="L503" i="7"/>
  <c r="V502" i="7"/>
  <c r="W502" i="7" s="1"/>
  <c r="T502" i="7"/>
  <c r="U502" i="7" s="1"/>
  <c r="R502" i="7"/>
  <c r="S502" i="7" s="1"/>
  <c r="P502" i="7"/>
  <c r="Q502" i="7" s="1"/>
  <c r="N502" i="7"/>
  <c r="O502" i="7" s="1"/>
  <c r="M502" i="7"/>
  <c r="L502" i="7"/>
  <c r="V501" i="7"/>
  <c r="W501" i="7" s="1"/>
  <c r="U501" i="7"/>
  <c r="T501" i="7"/>
  <c r="R501" i="7"/>
  <c r="S501" i="7" s="1"/>
  <c r="P501" i="7"/>
  <c r="Q501" i="7" s="1"/>
  <c r="N501" i="7"/>
  <c r="O501" i="7" s="1"/>
  <c r="L501" i="7"/>
  <c r="M501" i="7" s="1"/>
  <c r="V500" i="7"/>
  <c r="W500" i="7" s="1"/>
  <c r="U500" i="7"/>
  <c r="T500" i="7"/>
  <c r="R500" i="7"/>
  <c r="S500" i="7" s="1"/>
  <c r="Q500" i="7"/>
  <c r="P500" i="7"/>
  <c r="N500" i="7"/>
  <c r="O500" i="7" s="1"/>
  <c r="L500" i="7"/>
  <c r="M500" i="7" s="1"/>
  <c r="V499" i="7"/>
  <c r="W499" i="7" s="1"/>
  <c r="T499" i="7"/>
  <c r="U499" i="7" s="1"/>
  <c r="R499" i="7"/>
  <c r="S499" i="7" s="1"/>
  <c r="Q499" i="7"/>
  <c r="P499" i="7"/>
  <c r="N499" i="7"/>
  <c r="O499" i="7" s="1"/>
  <c r="M499" i="7"/>
  <c r="L499" i="7"/>
  <c r="V498" i="7"/>
  <c r="W498" i="7" s="1"/>
  <c r="T498" i="7"/>
  <c r="U498" i="7" s="1"/>
  <c r="R498" i="7"/>
  <c r="S498" i="7" s="1"/>
  <c r="P498" i="7"/>
  <c r="Q498" i="7" s="1"/>
  <c r="N498" i="7"/>
  <c r="O498" i="7" s="1"/>
  <c r="M498" i="7"/>
  <c r="L498" i="7"/>
  <c r="V497" i="7"/>
  <c r="W497" i="7" s="1"/>
  <c r="U497" i="7"/>
  <c r="T497" i="7"/>
  <c r="R497" i="7"/>
  <c r="S497" i="7" s="1"/>
  <c r="P497" i="7"/>
  <c r="Q497" i="7" s="1"/>
  <c r="N497" i="7"/>
  <c r="O497" i="7" s="1"/>
  <c r="L497" i="7"/>
  <c r="M497" i="7" s="1"/>
  <c r="V496" i="7"/>
  <c r="W496" i="7" s="1"/>
  <c r="U496" i="7"/>
  <c r="T496" i="7"/>
  <c r="R496" i="7"/>
  <c r="S496" i="7" s="1"/>
  <c r="Q496" i="7"/>
  <c r="P496" i="7"/>
  <c r="N496" i="7"/>
  <c r="O496" i="7" s="1"/>
  <c r="L496" i="7"/>
  <c r="M496" i="7" s="1"/>
  <c r="V495" i="7"/>
  <c r="W495" i="7" s="1"/>
  <c r="T495" i="7"/>
  <c r="U495" i="7" s="1"/>
  <c r="R495" i="7"/>
  <c r="S495" i="7" s="1"/>
  <c r="Q495" i="7"/>
  <c r="P495" i="7"/>
  <c r="N495" i="7"/>
  <c r="O495" i="7" s="1"/>
  <c r="M495" i="7"/>
  <c r="L495" i="7"/>
  <c r="V494" i="7"/>
  <c r="W494" i="7" s="1"/>
  <c r="T494" i="7"/>
  <c r="U494" i="7" s="1"/>
  <c r="R494" i="7"/>
  <c r="S494" i="7" s="1"/>
  <c r="P494" i="7"/>
  <c r="Q494" i="7" s="1"/>
  <c r="N494" i="7"/>
  <c r="O494" i="7" s="1"/>
  <c r="M494" i="7"/>
  <c r="L494" i="7"/>
  <c r="V493" i="7"/>
  <c r="W493" i="7" s="1"/>
  <c r="U493" i="7"/>
  <c r="T493" i="7"/>
  <c r="R493" i="7"/>
  <c r="S493" i="7" s="1"/>
  <c r="P493" i="7"/>
  <c r="Q493" i="7" s="1"/>
  <c r="N493" i="7"/>
  <c r="O493" i="7" s="1"/>
  <c r="L493" i="7"/>
  <c r="M493" i="7" s="1"/>
  <c r="V492" i="7"/>
  <c r="W492" i="7" s="1"/>
  <c r="U492" i="7"/>
  <c r="T492" i="7"/>
  <c r="R492" i="7"/>
  <c r="S492" i="7" s="1"/>
  <c r="Q492" i="7"/>
  <c r="P492" i="7"/>
  <c r="N492" i="7"/>
  <c r="O492" i="7" s="1"/>
  <c r="L492" i="7"/>
  <c r="M492" i="7" s="1"/>
  <c r="V491" i="7"/>
  <c r="W491" i="7" s="1"/>
  <c r="T491" i="7"/>
  <c r="U491" i="7" s="1"/>
  <c r="R491" i="7"/>
  <c r="S491" i="7" s="1"/>
  <c r="Q491" i="7"/>
  <c r="P491" i="7"/>
  <c r="N491" i="7"/>
  <c r="O491" i="7" s="1"/>
  <c r="M491" i="7"/>
  <c r="L491" i="7"/>
  <c r="V490" i="7"/>
  <c r="W490" i="7" s="1"/>
  <c r="T490" i="7"/>
  <c r="U490" i="7" s="1"/>
  <c r="R490" i="7"/>
  <c r="S490" i="7" s="1"/>
  <c r="P490" i="7"/>
  <c r="Q490" i="7" s="1"/>
  <c r="N490" i="7"/>
  <c r="O490" i="7" s="1"/>
  <c r="M490" i="7"/>
  <c r="L490" i="7"/>
  <c r="V489" i="7"/>
  <c r="W489" i="7" s="1"/>
  <c r="U489" i="7"/>
  <c r="T489" i="7"/>
  <c r="R489" i="7"/>
  <c r="S489" i="7" s="1"/>
  <c r="P489" i="7"/>
  <c r="Q489" i="7" s="1"/>
  <c r="N489" i="7"/>
  <c r="O489" i="7" s="1"/>
  <c r="L489" i="7"/>
  <c r="M489" i="7" s="1"/>
  <c r="V488" i="7"/>
  <c r="W488" i="7" s="1"/>
  <c r="U488" i="7"/>
  <c r="T488" i="7"/>
  <c r="R488" i="7"/>
  <c r="S488" i="7" s="1"/>
  <c r="Q488" i="7"/>
  <c r="P488" i="7"/>
  <c r="N488" i="7"/>
  <c r="O488" i="7" s="1"/>
  <c r="L488" i="7"/>
  <c r="M488" i="7" s="1"/>
  <c r="V487" i="7"/>
  <c r="W487" i="7" s="1"/>
  <c r="T487" i="7"/>
  <c r="U487" i="7" s="1"/>
  <c r="R487" i="7"/>
  <c r="S487" i="7" s="1"/>
  <c r="Q487" i="7"/>
  <c r="P487" i="7"/>
  <c r="N487" i="7"/>
  <c r="O487" i="7" s="1"/>
  <c r="M487" i="7"/>
  <c r="L487" i="7"/>
  <c r="V486" i="7"/>
  <c r="W486" i="7" s="1"/>
  <c r="T486" i="7"/>
  <c r="U486" i="7" s="1"/>
  <c r="R486" i="7"/>
  <c r="S486" i="7" s="1"/>
  <c r="P486" i="7"/>
  <c r="Q486" i="7" s="1"/>
  <c r="N486" i="7"/>
  <c r="O486" i="7" s="1"/>
  <c r="M486" i="7"/>
  <c r="L486" i="7"/>
  <c r="V485" i="7"/>
  <c r="W485" i="7" s="1"/>
  <c r="U485" i="7"/>
  <c r="T485" i="7"/>
  <c r="R485" i="7"/>
  <c r="S485" i="7" s="1"/>
  <c r="P485" i="7"/>
  <c r="Q485" i="7" s="1"/>
  <c r="N485" i="7"/>
  <c r="O485" i="7" s="1"/>
  <c r="L485" i="7"/>
  <c r="M485" i="7" s="1"/>
  <c r="V484" i="7"/>
  <c r="W484" i="7" s="1"/>
  <c r="U484" i="7"/>
  <c r="T484" i="7"/>
  <c r="R484" i="7"/>
  <c r="S484" i="7" s="1"/>
  <c r="Q484" i="7"/>
  <c r="P484" i="7"/>
  <c r="N484" i="7"/>
  <c r="O484" i="7" s="1"/>
  <c r="L484" i="7"/>
  <c r="M484" i="7" s="1"/>
  <c r="V483" i="7"/>
  <c r="W483" i="7" s="1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N449" i="7"/>
  <c r="O449" i="7" s="1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V447" i="7"/>
  <c r="W447" i="7" s="1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R446" i="7"/>
  <c r="S446" i="7" s="1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N445" i="7"/>
  <c r="O445" i="7" s="1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V443" i="7"/>
  <c r="W443" i="7" s="1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R442" i="7"/>
  <c r="S442" i="7" s="1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N441" i="7"/>
  <c r="O441" i="7" s="1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V439" i="7"/>
  <c r="W439" i="7" s="1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R438" i="7"/>
  <c r="S438" i="7" s="1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N437" i="7"/>
  <c r="O437" i="7" s="1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V435" i="7"/>
  <c r="W435" i="7" s="1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R434" i="7"/>
  <c r="S434" i="7" s="1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N433" i="7"/>
  <c r="O433" i="7" s="1"/>
  <c r="L433" i="7"/>
  <c r="M433" i="7" s="1"/>
  <c r="V432" i="7"/>
  <c r="W432" i="7" s="1"/>
  <c r="T432" i="7"/>
  <c r="U432" i="7" s="1"/>
  <c r="S432" i="7"/>
  <c r="R432" i="7"/>
  <c r="P432" i="7"/>
  <c r="Q432" i="7" s="1"/>
  <c r="O432" i="7"/>
  <c r="N432" i="7"/>
  <c r="L432" i="7"/>
  <c r="M432" i="7" s="1"/>
  <c r="V431" i="7"/>
  <c r="W431" i="7" s="1"/>
  <c r="T431" i="7"/>
  <c r="U431" i="7" s="1"/>
  <c r="R431" i="7"/>
  <c r="S431" i="7" s="1"/>
  <c r="P431" i="7"/>
  <c r="Q431" i="7" s="1"/>
  <c r="O431" i="7"/>
  <c r="N431" i="7"/>
  <c r="L431" i="7"/>
  <c r="M431" i="7" s="1"/>
  <c r="W430" i="7"/>
  <c r="V430" i="7"/>
  <c r="T430" i="7"/>
  <c r="U430" i="7" s="1"/>
  <c r="R430" i="7"/>
  <c r="S430" i="7" s="1"/>
  <c r="P430" i="7"/>
  <c r="Q430" i="7" s="1"/>
  <c r="N430" i="7"/>
  <c r="O430" i="7" s="1"/>
  <c r="L430" i="7"/>
  <c r="M430" i="7" s="1"/>
  <c r="W429" i="7"/>
  <c r="V429" i="7"/>
  <c r="T429" i="7"/>
  <c r="U429" i="7" s="1"/>
  <c r="S429" i="7"/>
  <c r="R429" i="7"/>
  <c r="P429" i="7"/>
  <c r="Q429" i="7" s="1"/>
  <c r="N429" i="7"/>
  <c r="O429" i="7" s="1"/>
  <c r="L429" i="7"/>
  <c r="M429" i="7" s="1"/>
  <c r="V428" i="7"/>
  <c r="W428" i="7" s="1"/>
  <c r="T428" i="7"/>
  <c r="U428" i="7" s="1"/>
  <c r="S428" i="7"/>
  <c r="R428" i="7"/>
  <c r="P428" i="7"/>
  <c r="Q428" i="7" s="1"/>
  <c r="O428" i="7"/>
  <c r="N428" i="7"/>
  <c r="L428" i="7"/>
  <c r="M428" i="7" s="1"/>
  <c r="V427" i="7"/>
  <c r="W427" i="7" s="1"/>
  <c r="T427" i="7"/>
  <c r="U427" i="7" s="1"/>
  <c r="R427" i="7"/>
  <c r="S427" i="7" s="1"/>
  <c r="P427" i="7"/>
  <c r="Q427" i="7" s="1"/>
  <c r="O427" i="7"/>
  <c r="N427" i="7"/>
  <c r="L427" i="7"/>
  <c r="M427" i="7" s="1"/>
  <c r="W426" i="7"/>
  <c r="V426" i="7"/>
  <c r="T426" i="7"/>
  <c r="U426" i="7" s="1"/>
  <c r="R426" i="7"/>
  <c r="S426" i="7" s="1"/>
  <c r="P426" i="7"/>
  <c r="Q426" i="7" s="1"/>
  <c r="N426" i="7"/>
  <c r="O426" i="7" s="1"/>
  <c r="L426" i="7"/>
  <c r="M426" i="7" s="1"/>
  <c r="W425" i="7"/>
  <c r="V425" i="7"/>
  <c r="T425" i="7"/>
  <c r="U425" i="7" s="1"/>
  <c r="S425" i="7"/>
  <c r="R425" i="7"/>
  <c r="P425" i="7"/>
  <c r="Q425" i="7" s="1"/>
  <c r="N425" i="7"/>
  <c r="O425" i="7" s="1"/>
  <c r="L425" i="7"/>
  <c r="M425" i="7" s="1"/>
  <c r="V424" i="7"/>
  <c r="W424" i="7" s="1"/>
  <c r="T424" i="7"/>
  <c r="U424" i="7" s="1"/>
  <c r="S424" i="7"/>
  <c r="R424" i="7"/>
  <c r="P424" i="7"/>
  <c r="Q424" i="7" s="1"/>
  <c r="O424" i="7"/>
  <c r="N424" i="7"/>
  <c r="L424" i="7"/>
  <c r="M424" i="7" s="1"/>
  <c r="V423" i="7"/>
  <c r="W423" i="7" s="1"/>
  <c r="T423" i="7"/>
  <c r="U423" i="7" s="1"/>
  <c r="R423" i="7"/>
  <c r="S423" i="7" s="1"/>
  <c r="P423" i="7"/>
  <c r="Q423" i="7" s="1"/>
  <c r="O423" i="7"/>
  <c r="N423" i="7"/>
  <c r="L423" i="7"/>
  <c r="M423" i="7" s="1"/>
  <c r="W422" i="7"/>
  <c r="V422" i="7"/>
  <c r="T422" i="7"/>
  <c r="U422" i="7" s="1"/>
  <c r="R422" i="7"/>
  <c r="S422" i="7" s="1"/>
  <c r="P422" i="7"/>
  <c r="Q422" i="7" s="1"/>
  <c r="N422" i="7"/>
  <c r="O422" i="7" s="1"/>
  <c r="L422" i="7"/>
  <c r="M422" i="7" s="1"/>
  <c r="W421" i="7"/>
  <c r="V421" i="7"/>
  <c r="T421" i="7"/>
  <c r="U421" i="7" s="1"/>
  <c r="S421" i="7"/>
  <c r="R421" i="7"/>
  <c r="P421" i="7"/>
  <c r="Q421" i="7" s="1"/>
  <c r="N421" i="7"/>
  <c r="O421" i="7" s="1"/>
  <c r="L421" i="7"/>
  <c r="M421" i="7" s="1"/>
  <c r="V420" i="7"/>
  <c r="W420" i="7" s="1"/>
  <c r="T420" i="7"/>
  <c r="U420" i="7" s="1"/>
  <c r="S420" i="7"/>
  <c r="R420" i="7"/>
  <c r="P420" i="7"/>
  <c r="Q420" i="7" s="1"/>
  <c r="O420" i="7"/>
  <c r="N420" i="7"/>
  <c r="L420" i="7"/>
  <c r="M420" i="7" s="1"/>
  <c r="V419" i="7"/>
  <c r="W419" i="7" s="1"/>
  <c r="T419" i="7"/>
  <c r="U419" i="7" s="1"/>
  <c r="R419" i="7"/>
  <c r="S419" i="7" s="1"/>
  <c r="P419" i="7"/>
  <c r="Q419" i="7" s="1"/>
  <c r="O419" i="7"/>
  <c r="N419" i="7"/>
  <c r="L419" i="7"/>
  <c r="M419" i="7" s="1"/>
  <c r="W418" i="7"/>
  <c r="V418" i="7"/>
  <c r="T418" i="7"/>
  <c r="U418" i="7" s="1"/>
  <c r="R418" i="7"/>
  <c r="S418" i="7" s="1"/>
  <c r="P418" i="7"/>
  <c r="Q418" i="7" s="1"/>
  <c r="N418" i="7"/>
  <c r="O418" i="7" s="1"/>
  <c r="L418" i="7"/>
  <c r="M418" i="7" s="1"/>
  <c r="W417" i="7"/>
  <c r="V417" i="7"/>
  <c r="T417" i="7"/>
  <c r="U417" i="7" s="1"/>
  <c r="S417" i="7"/>
  <c r="R417" i="7"/>
  <c r="P417" i="7"/>
  <c r="Q417" i="7" s="1"/>
  <c r="N417" i="7"/>
  <c r="O417" i="7" s="1"/>
  <c r="L417" i="7"/>
  <c r="M417" i="7" s="1"/>
  <c r="V416" i="7"/>
  <c r="W416" i="7" s="1"/>
  <c r="T416" i="7"/>
  <c r="U416" i="7" s="1"/>
  <c r="S416" i="7"/>
  <c r="R416" i="7"/>
  <c r="P416" i="7"/>
  <c r="Q416" i="7" s="1"/>
  <c r="O416" i="7"/>
  <c r="N416" i="7"/>
  <c r="L416" i="7"/>
  <c r="M416" i="7" s="1"/>
  <c r="V415" i="7"/>
  <c r="W415" i="7" s="1"/>
  <c r="T415" i="7"/>
  <c r="U415" i="7" s="1"/>
  <c r="R415" i="7"/>
  <c r="S415" i="7" s="1"/>
  <c r="P415" i="7"/>
  <c r="Q415" i="7" s="1"/>
  <c r="O415" i="7"/>
  <c r="N415" i="7"/>
  <c r="L415" i="7"/>
  <c r="M415" i="7" s="1"/>
  <c r="W414" i="7"/>
  <c r="V414" i="7"/>
  <c r="T414" i="7"/>
  <c r="U414" i="7" s="1"/>
  <c r="R414" i="7"/>
  <c r="S414" i="7" s="1"/>
  <c r="P414" i="7"/>
  <c r="Q414" i="7" s="1"/>
  <c r="N414" i="7"/>
  <c r="O414" i="7" s="1"/>
  <c r="L414" i="7"/>
  <c r="M414" i="7" s="1"/>
  <c r="W413" i="7"/>
  <c r="V413" i="7"/>
  <c r="T413" i="7"/>
  <c r="U413" i="7" s="1"/>
  <c r="S413" i="7"/>
  <c r="R413" i="7"/>
  <c r="P413" i="7"/>
  <c r="Q413" i="7" s="1"/>
  <c r="N413" i="7"/>
  <c r="O413" i="7" s="1"/>
  <c r="L413" i="7"/>
  <c r="M413" i="7" s="1"/>
  <c r="V412" i="7"/>
  <c r="W412" i="7" s="1"/>
  <c r="T412" i="7"/>
  <c r="U412" i="7" s="1"/>
  <c r="S412" i="7"/>
  <c r="R412" i="7"/>
  <c r="P412" i="7"/>
  <c r="Q412" i="7" s="1"/>
  <c r="O412" i="7"/>
  <c r="N412" i="7"/>
  <c r="L412" i="7"/>
  <c r="M412" i="7" s="1"/>
  <c r="V411" i="7"/>
  <c r="W411" i="7" s="1"/>
  <c r="T411" i="7"/>
  <c r="U411" i="7" s="1"/>
  <c r="R411" i="7"/>
  <c r="S411" i="7" s="1"/>
  <c r="P411" i="7"/>
  <c r="Q411" i="7" s="1"/>
  <c r="O411" i="7"/>
  <c r="N411" i="7"/>
  <c r="L411" i="7"/>
  <c r="M411" i="7" s="1"/>
  <c r="W410" i="7"/>
  <c r="V410" i="7"/>
  <c r="T410" i="7"/>
  <c r="U410" i="7" s="1"/>
  <c r="R410" i="7"/>
  <c r="S410" i="7" s="1"/>
  <c r="P410" i="7"/>
  <c r="Q410" i="7" s="1"/>
  <c r="N410" i="7"/>
  <c r="O410" i="7" s="1"/>
  <c r="L410" i="7"/>
  <c r="M410" i="7" s="1"/>
  <c r="W409" i="7"/>
  <c r="V409" i="7"/>
  <c r="T409" i="7"/>
  <c r="U409" i="7" s="1"/>
  <c r="S409" i="7"/>
  <c r="R409" i="7"/>
  <c r="P409" i="7"/>
  <c r="Q409" i="7" s="1"/>
  <c r="N409" i="7"/>
  <c r="O409" i="7" s="1"/>
  <c r="L409" i="7"/>
  <c r="M409" i="7" s="1"/>
  <c r="V408" i="7"/>
  <c r="W408" i="7" s="1"/>
  <c r="T408" i="7"/>
  <c r="U408" i="7" s="1"/>
  <c r="S408" i="7"/>
  <c r="R408" i="7"/>
  <c r="P408" i="7"/>
  <c r="Q408" i="7" s="1"/>
  <c r="O408" i="7"/>
  <c r="N408" i="7"/>
  <c r="L408" i="7"/>
  <c r="M408" i="7" s="1"/>
  <c r="V407" i="7"/>
  <c r="W407" i="7" s="1"/>
  <c r="T407" i="7"/>
  <c r="U407" i="7" s="1"/>
  <c r="R407" i="7"/>
  <c r="S407" i="7" s="1"/>
  <c r="P407" i="7"/>
  <c r="Q407" i="7" s="1"/>
  <c r="O407" i="7"/>
  <c r="N407" i="7"/>
  <c r="L407" i="7"/>
  <c r="M407" i="7" s="1"/>
  <c r="W406" i="7"/>
  <c r="V406" i="7"/>
  <c r="T406" i="7"/>
  <c r="U406" i="7" s="1"/>
  <c r="R406" i="7"/>
  <c r="S406" i="7" s="1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N405" i="7"/>
  <c r="O405" i="7" s="1"/>
  <c r="L405" i="7"/>
  <c r="M405" i="7" s="1"/>
  <c r="W404" i="7"/>
  <c r="V404" i="7"/>
  <c r="T404" i="7"/>
  <c r="U404" i="7" s="1"/>
  <c r="R404" i="7"/>
  <c r="S404" i="7" s="1"/>
  <c r="P404" i="7"/>
  <c r="Q404" i="7" s="1"/>
  <c r="O404" i="7"/>
  <c r="N404" i="7"/>
  <c r="L404" i="7"/>
  <c r="M404" i="7" s="1"/>
  <c r="V403" i="7"/>
  <c r="W403" i="7" s="1"/>
  <c r="T403" i="7"/>
  <c r="U403" i="7" s="1"/>
  <c r="S403" i="7"/>
  <c r="R403" i="7"/>
  <c r="P403" i="7"/>
  <c r="Q403" i="7" s="1"/>
  <c r="N403" i="7"/>
  <c r="O403" i="7" s="1"/>
  <c r="L403" i="7"/>
  <c r="M403" i="7" s="1"/>
  <c r="W402" i="7"/>
  <c r="V402" i="7"/>
  <c r="T402" i="7"/>
  <c r="U402" i="7" s="1"/>
  <c r="R402" i="7"/>
  <c r="S402" i="7" s="1"/>
  <c r="P402" i="7"/>
  <c r="Q402" i="7" s="1"/>
  <c r="O402" i="7"/>
  <c r="N402" i="7"/>
  <c r="L402" i="7"/>
  <c r="M402" i="7" s="1"/>
  <c r="V401" i="7"/>
  <c r="W401" i="7" s="1"/>
  <c r="T401" i="7"/>
  <c r="U401" i="7" s="1"/>
  <c r="S401" i="7"/>
  <c r="R401" i="7"/>
  <c r="P401" i="7"/>
  <c r="Q401" i="7" s="1"/>
  <c r="N401" i="7"/>
  <c r="O401" i="7" s="1"/>
  <c r="L401" i="7"/>
  <c r="M401" i="7" s="1"/>
  <c r="W400" i="7"/>
  <c r="V400" i="7"/>
  <c r="T400" i="7"/>
  <c r="U400" i="7" s="1"/>
  <c r="R400" i="7"/>
  <c r="S400" i="7" s="1"/>
  <c r="P400" i="7"/>
  <c r="Q400" i="7" s="1"/>
  <c r="O400" i="7"/>
  <c r="N400" i="7"/>
  <c r="L400" i="7"/>
  <c r="M400" i="7" s="1"/>
  <c r="V399" i="7"/>
  <c r="W399" i="7" s="1"/>
  <c r="T399" i="7"/>
  <c r="U399" i="7" s="1"/>
  <c r="S399" i="7"/>
  <c r="R399" i="7"/>
  <c r="P399" i="7"/>
  <c r="Q399" i="7" s="1"/>
  <c r="N399" i="7"/>
  <c r="O399" i="7" s="1"/>
  <c r="L399" i="7"/>
  <c r="M399" i="7" s="1"/>
  <c r="W398" i="7"/>
  <c r="V398" i="7"/>
  <c r="T398" i="7"/>
  <c r="U398" i="7" s="1"/>
  <c r="R398" i="7"/>
  <c r="S398" i="7" s="1"/>
  <c r="P398" i="7"/>
  <c r="Q398" i="7" s="1"/>
  <c r="O398" i="7"/>
  <c r="N398" i="7"/>
  <c r="L398" i="7"/>
  <c r="M398" i="7" s="1"/>
  <c r="V397" i="7"/>
  <c r="W397" i="7" s="1"/>
  <c r="T397" i="7"/>
  <c r="U397" i="7" s="1"/>
  <c r="S397" i="7"/>
  <c r="R397" i="7"/>
  <c r="P397" i="7"/>
  <c r="Q397" i="7" s="1"/>
  <c r="N397" i="7"/>
  <c r="O397" i="7" s="1"/>
  <c r="L397" i="7"/>
  <c r="M397" i="7" s="1"/>
  <c r="W396" i="7"/>
  <c r="V396" i="7"/>
  <c r="T396" i="7"/>
  <c r="U396" i="7" s="1"/>
  <c r="R396" i="7"/>
  <c r="S396" i="7" s="1"/>
  <c r="P396" i="7"/>
  <c r="Q396" i="7" s="1"/>
  <c r="O396" i="7"/>
  <c r="N396" i="7"/>
  <c r="L396" i="7"/>
  <c r="M396" i="7" s="1"/>
  <c r="V395" i="7"/>
  <c r="W395" i="7" s="1"/>
  <c r="T395" i="7"/>
  <c r="U395" i="7" s="1"/>
  <c r="S395" i="7"/>
  <c r="R395" i="7"/>
  <c r="P395" i="7"/>
  <c r="Q395" i="7" s="1"/>
  <c r="N395" i="7"/>
  <c r="O395" i="7" s="1"/>
  <c r="L395" i="7"/>
  <c r="M395" i="7" s="1"/>
  <c r="W394" i="7"/>
  <c r="V394" i="7"/>
  <c r="T394" i="7"/>
  <c r="U394" i="7" s="1"/>
  <c r="R394" i="7"/>
  <c r="S394" i="7" s="1"/>
  <c r="P394" i="7"/>
  <c r="Q394" i="7" s="1"/>
  <c r="O394" i="7"/>
  <c r="N394" i="7"/>
  <c r="L394" i="7"/>
  <c r="M394" i="7" s="1"/>
  <c r="V393" i="7"/>
  <c r="W393" i="7" s="1"/>
  <c r="T393" i="7"/>
  <c r="U393" i="7" s="1"/>
  <c r="S393" i="7"/>
  <c r="R393" i="7"/>
  <c r="P393" i="7"/>
  <c r="Q393" i="7" s="1"/>
  <c r="N393" i="7"/>
  <c r="O393" i="7" s="1"/>
  <c r="L393" i="7"/>
  <c r="M393" i="7" s="1"/>
  <c r="W392" i="7"/>
  <c r="V392" i="7"/>
  <c r="T392" i="7"/>
  <c r="U392" i="7" s="1"/>
  <c r="R392" i="7"/>
  <c r="S392" i="7" s="1"/>
  <c r="P392" i="7"/>
  <c r="Q392" i="7" s="1"/>
  <c r="O392" i="7"/>
  <c r="N392" i="7"/>
  <c r="L392" i="7"/>
  <c r="M392" i="7" s="1"/>
  <c r="V391" i="7"/>
  <c r="W391" i="7" s="1"/>
  <c r="T391" i="7"/>
  <c r="U391" i="7" s="1"/>
  <c r="S391" i="7"/>
  <c r="R391" i="7"/>
  <c r="P391" i="7"/>
  <c r="Q391" i="7" s="1"/>
  <c r="N391" i="7"/>
  <c r="O391" i="7" s="1"/>
  <c r="L391" i="7"/>
  <c r="M391" i="7" s="1"/>
  <c r="W390" i="7"/>
  <c r="V390" i="7"/>
  <c r="T390" i="7"/>
  <c r="U390" i="7" s="1"/>
  <c r="R390" i="7"/>
  <c r="S390" i="7" s="1"/>
  <c r="P390" i="7"/>
  <c r="Q390" i="7" s="1"/>
  <c r="O390" i="7"/>
  <c r="N390" i="7"/>
  <c r="L390" i="7"/>
  <c r="M390" i="7" s="1"/>
  <c r="V389" i="7"/>
  <c r="W389" i="7" s="1"/>
  <c r="T389" i="7"/>
  <c r="U389" i="7" s="1"/>
  <c r="S389" i="7"/>
  <c r="R389" i="7"/>
  <c r="P389" i="7"/>
  <c r="Q389" i="7" s="1"/>
  <c r="N389" i="7"/>
  <c r="O389" i="7" s="1"/>
  <c r="L389" i="7"/>
  <c r="M389" i="7" s="1"/>
  <c r="W388" i="7"/>
  <c r="V388" i="7"/>
  <c r="T388" i="7"/>
  <c r="U388" i="7" s="1"/>
  <c r="R388" i="7"/>
  <c r="S388" i="7" s="1"/>
  <c r="P388" i="7"/>
  <c r="Q388" i="7" s="1"/>
  <c r="O388" i="7"/>
  <c r="N388" i="7"/>
  <c r="L388" i="7"/>
  <c r="M388" i="7" s="1"/>
  <c r="V387" i="7"/>
  <c r="W387" i="7" s="1"/>
  <c r="T387" i="7"/>
  <c r="U387" i="7" s="1"/>
  <c r="S387" i="7"/>
  <c r="R387" i="7"/>
  <c r="P387" i="7"/>
  <c r="Q387" i="7" s="1"/>
  <c r="N387" i="7"/>
  <c r="O387" i="7" s="1"/>
  <c r="L387" i="7"/>
  <c r="M387" i="7" s="1"/>
  <c r="W386" i="7"/>
  <c r="V386" i="7"/>
  <c r="T386" i="7"/>
  <c r="U386" i="7" s="1"/>
  <c r="R386" i="7"/>
  <c r="S386" i="7" s="1"/>
  <c r="P386" i="7"/>
  <c r="Q386" i="7" s="1"/>
  <c r="O386" i="7"/>
  <c r="N386" i="7"/>
  <c r="L386" i="7"/>
  <c r="M386" i="7" s="1"/>
  <c r="V385" i="7"/>
  <c r="W385" i="7" s="1"/>
  <c r="T385" i="7"/>
  <c r="U385" i="7" s="1"/>
  <c r="S385" i="7"/>
  <c r="R385" i="7"/>
  <c r="P385" i="7"/>
  <c r="Q385" i="7" s="1"/>
  <c r="N385" i="7"/>
  <c r="O385" i="7" s="1"/>
  <c r="L385" i="7"/>
  <c r="M385" i="7" s="1"/>
  <c r="W384" i="7"/>
  <c r="V384" i="7"/>
  <c r="T384" i="7"/>
  <c r="U384" i="7" s="1"/>
  <c r="R384" i="7"/>
  <c r="S384" i="7" s="1"/>
  <c r="P384" i="7"/>
  <c r="Q384" i="7" s="1"/>
  <c r="O384" i="7"/>
  <c r="N384" i="7"/>
  <c r="L384" i="7"/>
  <c r="M384" i="7" s="1"/>
  <c r="V383" i="7"/>
  <c r="W383" i="7" s="1"/>
  <c r="T383" i="7"/>
  <c r="U383" i="7" s="1"/>
  <c r="S383" i="7"/>
  <c r="R383" i="7"/>
  <c r="P383" i="7"/>
  <c r="Q383" i="7" s="1"/>
  <c r="N383" i="7"/>
  <c r="O383" i="7" s="1"/>
  <c r="L383" i="7"/>
  <c r="M383" i="7" s="1"/>
  <c r="W382" i="7"/>
  <c r="V382" i="7"/>
  <c r="T382" i="7"/>
  <c r="U382" i="7" s="1"/>
  <c r="R382" i="7"/>
  <c r="S382" i="7" s="1"/>
  <c r="P382" i="7"/>
  <c r="Q382" i="7" s="1"/>
  <c r="O382" i="7"/>
  <c r="N382" i="7"/>
  <c r="L382" i="7"/>
  <c r="M382" i="7" s="1"/>
  <c r="V381" i="7"/>
  <c r="W381" i="7" s="1"/>
  <c r="T381" i="7"/>
  <c r="U381" i="7" s="1"/>
  <c r="S381" i="7"/>
  <c r="R381" i="7"/>
  <c r="P381" i="7"/>
  <c r="Q381" i="7" s="1"/>
  <c r="N381" i="7"/>
  <c r="O381" i="7" s="1"/>
  <c r="L381" i="7"/>
  <c r="M381" i="7" s="1"/>
  <c r="W380" i="7"/>
  <c r="V380" i="7"/>
  <c r="T380" i="7"/>
  <c r="U380" i="7" s="1"/>
  <c r="R380" i="7"/>
  <c r="S380" i="7" s="1"/>
  <c r="P380" i="7"/>
  <c r="Q380" i="7" s="1"/>
  <c r="O380" i="7"/>
  <c r="N380" i="7"/>
  <c r="L380" i="7"/>
  <c r="M380" i="7" s="1"/>
  <c r="V379" i="7"/>
  <c r="W379" i="7" s="1"/>
  <c r="T379" i="7"/>
  <c r="U379" i="7" s="1"/>
  <c r="S379" i="7"/>
  <c r="R379" i="7"/>
  <c r="P379" i="7"/>
  <c r="Q379" i="7" s="1"/>
  <c r="N379" i="7"/>
  <c r="O379" i="7" s="1"/>
  <c r="L379" i="7"/>
  <c r="M379" i="7" s="1"/>
  <c r="W378" i="7"/>
  <c r="V378" i="7"/>
  <c r="T378" i="7"/>
  <c r="U378" i="7" s="1"/>
  <c r="R378" i="7"/>
  <c r="S378" i="7" s="1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U375" i="7"/>
  <c r="T375" i="7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Q370" i="7"/>
  <c r="P370" i="7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M365" i="7"/>
  <c r="L365" i="7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U359" i="7"/>
  <c r="T359" i="7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Q354" i="7"/>
  <c r="P354" i="7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M349" i="7"/>
  <c r="L349" i="7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U343" i="7"/>
  <c r="T343" i="7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Q338" i="7"/>
  <c r="P338" i="7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U332" i="7"/>
  <c r="T332" i="7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Q327" i="7"/>
  <c r="P327" i="7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M322" i="7"/>
  <c r="L322" i="7"/>
  <c r="V321" i="7"/>
  <c r="W321" i="7" s="1"/>
  <c r="T321" i="7"/>
  <c r="U321" i="7" s="1"/>
  <c r="S321" i="7"/>
  <c r="R321" i="7"/>
  <c r="P321" i="7"/>
  <c r="Q321" i="7" s="1"/>
  <c r="N321" i="7"/>
  <c r="O321" i="7" s="1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W318" i="7"/>
  <c r="V318" i="7"/>
  <c r="T318" i="7"/>
  <c r="U318" i="7" s="1"/>
  <c r="R318" i="7"/>
  <c r="S318" i="7" s="1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O316" i="7"/>
  <c r="N316" i="7"/>
  <c r="L316" i="7"/>
  <c r="M316" i="7" s="1"/>
  <c r="V315" i="7"/>
  <c r="W315" i="7" s="1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S313" i="7"/>
  <c r="R313" i="7"/>
  <c r="P313" i="7"/>
  <c r="Q313" i="7" s="1"/>
  <c r="N313" i="7"/>
  <c r="O313" i="7" s="1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W310" i="7"/>
  <c r="V310" i="7"/>
  <c r="T310" i="7"/>
  <c r="U310" i="7" s="1"/>
  <c r="R310" i="7"/>
  <c r="S310" i="7" s="1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O308" i="7"/>
  <c r="N308" i="7"/>
  <c r="L308" i="7"/>
  <c r="M308" i="7" s="1"/>
  <c r="V307" i="7"/>
  <c r="W307" i="7" s="1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S305" i="7"/>
  <c r="R305" i="7"/>
  <c r="P305" i="7"/>
  <c r="Q305" i="7" s="1"/>
  <c r="N305" i="7"/>
  <c r="O305" i="7" s="1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W302" i="7"/>
  <c r="V302" i="7"/>
  <c r="T302" i="7"/>
  <c r="U302" i="7" s="1"/>
  <c r="R302" i="7"/>
  <c r="S302" i="7" s="1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O300" i="7"/>
  <c r="N300" i="7"/>
  <c r="L300" i="7"/>
  <c r="M300" i="7" s="1"/>
  <c r="V299" i="7"/>
  <c r="W299" i="7" s="1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S297" i="7"/>
  <c r="R297" i="7"/>
  <c r="P297" i="7"/>
  <c r="Q297" i="7" s="1"/>
  <c r="N297" i="7"/>
  <c r="O297" i="7" s="1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W294" i="7"/>
  <c r="V294" i="7"/>
  <c r="T294" i="7"/>
  <c r="U294" i="7" s="1"/>
  <c r="R294" i="7"/>
  <c r="S294" i="7" s="1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O292" i="7"/>
  <c r="N292" i="7"/>
  <c r="L292" i="7"/>
  <c r="M292" i="7" s="1"/>
  <c r="V291" i="7"/>
  <c r="W291" i="7" s="1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R290" i="7"/>
  <c r="S290" i="7" s="1"/>
  <c r="P290" i="7"/>
  <c r="Q290" i="7" s="1"/>
  <c r="O290" i="7"/>
  <c r="N290" i="7"/>
  <c r="L290" i="7"/>
  <c r="M290" i="7" s="1"/>
  <c r="V289" i="7"/>
  <c r="W289" i="7" s="1"/>
  <c r="T289" i="7"/>
  <c r="U289" i="7" s="1"/>
  <c r="S289" i="7"/>
  <c r="R289" i="7"/>
  <c r="P289" i="7"/>
  <c r="Q289" i="7" s="1"/>
  <c r="N289" i="7"/>
  <c r="O289" i="7" s="1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W286" i="7"/>
  <c r="V286" i="7"/>
  <c r="T286" i="7"/>
  <c r="U286" i="7" s="1"/>
  <c r="R286" i="7"/>
  <c r="S286" i="7" s="1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N285" i="7"/>
  <c r="O285" i="7" s="1"/>
  <c r="L285" i="7"/>
  <c r="M285" i="7" s="1"/>
  <c r="W284" i="7"/>
  <c r="V284" i="7"/>
  <c r="T284" i="7"/>
  <c r="U284" i="7" s="1"/>
  <c r="R284" i="7"/>
  <c r="S284" i="7" s="1"/>
  <c r="P284" i="7"/>
  <c r="Q284" i="7" s="1"/>
  <c r="O284" i="7"/>
  <c r="N284" i="7"/>
  <c r="L284" i="7"/>
  <c r="M284" i="7" s="1"/>
  <c r="V283" i="7"/>
  <c r="W283" i="7" s="1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S281" i="7"/>
  <c r="R281" i="7"/>
  <c r="P281" i="7"/>
  <c r="Q281" i="7" s="1"/>
  <c r="N281" i="7"/>
  <c r="O281" i="7" s="1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V279" i="7"/>
  <c r="W279" i="7" s="1"/>
  <c r="T279" i="7"/>
  <c r="U279" i="7" s="1"/>
  <c r="S279" i="7"/>
  <c r="R279" i="7"/>
  <c r="P279" i="7"/>
  <c r="Q279" i="7" s="1"/>
  <c r="N279" i="7"/>
  <c r="O279" i="7" s="1"/>
  <c r="L279" i="7"/>
  <c r="M279" i="7" s="1"/>
  <c r="W278" i="7"/>
  <c r="V278" i="7"/>
  <c r="T278" i="7"/>
  <c r="U278" i="7" s="1"/>
  <c r="R278" i="7"/>
  <c r="S278" i="7" s="1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O276" i="7"/>
  <c r="N276" i="7"/>
  <c r="L276" i="7"/>
  <c r="M276" i="7" s="1"/>
  <c r="V275" i="7"/>
  <c r="W275" i="7" s="1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R274" i="7"/>
  <c r="S274" i="7" s="1"/>
  <c r="P274" i="7"/>
  <c r="Q274" i="7" s="1"/>
  <c r="O274" i="7"/>
  <c r="N274" i="7"/>
  <c r="L274" i="7"/>
  <c r="M274" i="7" s="1"/>
  <c r="V273" i="7"/>
  <c r="W273" i="7" s="1"/>
  <c r="T273" i="7"/>
  <c r="U273" i="7" s="1"/>
  <c r="S273" i="7"/>
  <c r="R273" i="7"/>
  <c r="P273" i="7"/>
  <c r="Q273" i="7" s="1"/>
  <c r="N273" i="7"/>
  <c r="O273" i="7" s="1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W270" i="7"/>
  <c r="V270" i="7"/>
  <c r="T270" i="7"/>
  <c r="U270" i="7" s="1"/>
  <c r="R270" i="7"/>
  <c r="S270" i="7" s="1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N269" i="7"/>
  <c r="O269" i="7" s="1"/>
  <c r="L269" i="7"/>
  <c r="M269" i="7" s="1"/>
  <c r="W268" i="7"/>
  <c r="V268" i="7"/>
  <c r="T268" i="7"/>
  <c r="U268" i="7" s="1"/>
  <c r="R268" i="7"/>
  <c r="S268" i="7" s="1"/>
  <c r="P268" i="7"/>
  <c r="Q268" i="7" s="1"/>
  <c r="O268" i="7"/>
  <c r="N268" i="7"/>
  <c r="L268" i="7"/>
  <c r="M268" i="7" s="1"/>
  <c r="V267" i="7"/>
  <c r="W267" i="7" s="1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S265" i="7"/>
  <c r="R265" i="7"/>
  <c r="P265" i="7"/>
  <c r="Q265" i="7" s="1"/>
  <c r="N265" i="7"/>
  <c r="O265" i="7" s="1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V263" i="7"/>
  <c r="W263" i="7" s="1"/>
  <c r="T263" i="7"/>
  <c r="U263" i="7" s="1"/>
  <c r="S263" i="7"/>
  <c r="R263" i="7"/>
  <c r="P263" i="7"/>
  <c r="Q263" i="7" s="1"/>
  <c r="N263" i="7"/>
  <c r="O263" i="7" s="1"/>
  <c r="L263" i="7"/>
  <c r="M263" i="7" s="1"/>
  <c r="W262" i="7"/>
  <c r="V262" i="7"/>
  <c r="T262" i="7"/>
  <c r="U262" i="7" s="1"/>
  <c r="R262" i="7"/>
  <c r="S262" i="7" s="1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O260" i="7"/>
  <c r="N260" i="7"/>
  <c r="L260" i="7"/>
  <c r="M260" i="7" s="1"/>
  <c r="V259" i="7"/>
  <c r="W259" i="7" s="1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R258" i="7"/>
  <c r="S258" i="7" s="1"/>
  <c r="P258" i="7"/>
  <c r="Q258" i="7" s="1"/>
  <c r="O258" i="7"/>
  <c r="N258" i="7"/>
  <c r="L258" i="7"/>
  <c r="M258" i="7" s="1"/>
  <c r="V257" i="7"/>
  <c r="W257" i="7" s="1"/>
  <c r="T257" i="7"/>
  <c r="U257" i="7" s="1"/>
  <c r="S257" i="7"/>
  <c r="R257" i="7"/>
  <c r="P257" i="7"/>
  <c r="Q257" i="7" s="1"/>
  <c r="N257" i="7"/>
  <c r="O257" i="7" s="1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W254" i="7"/>
  <c r="V254" i="7"/>
  <c r="T254" i="7"/>
  <c r="U254" i="7" s="1"/>
  <c r="R254" i="7"/>
  <c r="S254" i="7" s="1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N253" i="7"/>
  <c r="O253" i="7" s="1"/>
  <c r="L253" i="7"/>
  <c r="M253" i="7" s="1"/>
  <c r="W252" i="7"/>
  <c r="V252" i="7"/>
  <c r="T252" i="7"/>
  <c r="U252" i="7" s="1"/>
  <c r="R252" i="7"/>
  <c r="S252" i="7" s="1"/>
  <c r="P252" i="7"/>
  <c r="Q252" i="7" s="1"/>
  <c r="O252" i="7"/>
  <c r="N252" i="7"/>
  <c r="L252" i="7"/>
  <c r="M252" i="7" s="1"/>
  <c r="V251" i="7"/>
  <c r="W251" i="7" s="1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S249" i="7"/>
  <c r="R249" i="7"/>
  <c r="P249" i="7"/>
  <c r="Q249" i="7" s="1"/>
  <c r="N249" i="7"/>
  <c r="O249" i="7" s="1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V247" i="7"/>
  <c r="W247" i="7" s="1"/>
  <c r="T247" i="7"/>
  <c r="U247" i="7" s="1"/>
  <c r="S247" i="7"/>
  <c r="R247" i="7"/>
  <c r="P247" i="7"/>
  <c r="Q247" i="7" s="1"/>
  <c r="N247" i="7"/>
  <c r="O247" i="7" s="1"/>
  <c r="L247" i="7"/>
  <c r="M247" i="7" s="1"/>
  <c r="W246" i="7"/>
  <c r="V246" i="7"/>
  <c r="T246" i="7"/>
  <c r="U246" i="7" s="1"/>
  <c r="R246" i="7"/>
  <c r="S246" i="7" s="1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O244" i="7"/>
  <c r="N244" i="7"/>
  <c r="L244" i="7"/>
  <c r="M244" i="7" s="1"/>
  <c r="V243" i="7"/>
  <c r="W243" i="7" s="1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R242" i="7"/>
  <c r="S242" i="7" s="1"/>
  <c r="P242" i="7"/>
  <c r="Q242" i="7" s="1"/>
  <c r="O242" i="7"/>
  <c r="N242" i="7"/>
  <c r="L242" i="7"/>
  <c r="M242" i="7" s="1"/>
  <c r="V241" i="7"/>
  <c r="W241" i="7" s="1"/>
  <c r="T241" i="7"/>
  <c r="U241" i="7" s="1"/>
  <c r="S241" i="7"/>
  <c r="R241" i="7"/>
  <c r="P241" i="7"/>
  <c r="Q241" i="7" s="1"/>
  <c r="N241" i="7"/>
  <c r="O241" i="7" s="1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W238" i="7"/>
  <c r="V238" i="7"/>
  <c r="T238" i="7"/>
  <c r="U238" i="7" s="1"/>
  <c r="R238" i="7"/>
  <c r="S238" i="7" s="1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N237" i="7"/>
  <c r="O237" i="7" s="1"/>
  <c r="L237" i="7"/>
  <c r="M237" i="7" s="1"/>
  <c r="W236" i="7"/>
  <c r="V236" i="7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R234" i="7"/>
  <c r="S234" i="7" s="1"/>
  <c r="P234" i="7"/>
  <c r="Q234" i="7" s="1"/>
  <c r="O234" i="7"/>
  <c r="N234" i="7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V231" i="7"/>
  <c r="W231" i="7" s="1"/>
  <c r="T231" i="7"/>
  <c r="U231" i="7" s="1"/>
  <c r="S231" i="7"/>
  <c r="R231" i="7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N229" i="7"/>
  <c r="O229" i="7" s="1"/>
  <c r="L229" i="7"/>
  <c r="M229" i="7" s="1"/>
  <c r="W228" i="7"/>
  <c r="V228" i="7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R226" i="7"/>
  <c r="S226" i="7" s="1"/>
  <c r="P226" i="7"/>
  <c r="Q226" i="7" s="1"/>
  <c r="O226" i="7"/>
  <c r="N226" i="7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V223" i="7"/>
  <c r="W223" i="7" s="1"/>
  <c r="T223" i="7"/>
  <c r="U223" i="7" s="1"/>
  <c r="S223" i="7"/>
  <c r="R223" i="7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N221" i="7"/>
  <c r="O221" i="7" s="1"/>
  <c r="L221" i="7"/>
  <c r="M221" i="7" s="1"/>
  <c r="W220" i="7"/>
  <c r="V220" i="7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R218" i="7"/>
  <c r="S218" i="7" s="1"/>
  <c r="P218" i="7"/>
  <c r="Q218" i="7" s="1"/>
  <c r="O218" i="7"/>
  <c r="N218" i="7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V215" i="7"/>
  <c r="W215" i="7" s="1"/>
  <c r="T215" i="7"/>
  <c r="U215" i="7" s="1"/>
  <c r="S215" i="7"/>
  <c r="R215" i="7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N213" i="7"/>
  <c r="O213" i="7" s="1"/>
  <c r="L213" i="7"/>
  <c r="M213" i="7" s="1"/>
  <c r="W212" i="7"/>
  <c r="V212" i="7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R210" i="7"/>
  <c r="S210" i="7" s="1"/>
  <c r="P210" i="7"/>
  <c r="Q210" i="7" s="1"/>
  <c r="O210" i="7"/>
  <c r="N210" i="7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V207" i="7"/>
  <c r="W207" i="7" s="1"/>
  <c r="T207" i="7"/>
  <c r="U207" i="7" s="1"/>
  <c r="S207" i="7"/>
  <c r="R207" i="7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N205" i="7"/>
  <c r="O205" i="7" s="1"/>
  <c r="L205" i="7"/>
  <c r="M205" i="7" s="1"/>
  <c r="W204" i="7"/>
  <c r="V204" i="7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U203" i="7"/>
  <c r="T203" i="7"/>
  <c r="R203" i="7"/>
  <c r="S203" i="7" s="1"/>
  <c r="P203" i="7"/>
  <c r="Q203" i="7" s="1"/>
  <c r="N203" i="7"/>
  <c r="O203" i="7" s="1"/>
  <c r="M203" i="7"/>
  <c r="L203" i="7"/>
  <c r="V202" i="7"/>
  <c r="W202" i="7" s="1"/>
  <c r="T202" i="7"/>
  <c r="U202" i="7" s="1"/>
  <c r="R202" i="7"/>
  <c r="S202" i="7" s="1"/>
  <c r="Q202" i="7"/>
  <c r="P202" i="7"/>
  <c r="N202" i="7"/>
  <c r="O202" i="7" s="1"/>
  <c r="L202" i="7"/>
  <c r="M202" i="7" s="1"/>
  <c r="V201" i="7"/>
  <c r="W201" i="7" s="1"/>
  <c r="U201" i="7"/>
  <c r="T201" i="7"/>
  <c r="R201" i="7"/>
  <c r="S201" i="7" s="1"/>
  <c r="P201" i="7"/>
  <c r="Q201" i="7" s="1"/>
  <c r="N201" i="7"/>
  <c r="O201" i="7" s="1"/>
  <c r="M201" i="7"/>
  <c r="L201" i="7"/>
  <c r="V200" i="7"/>
  <c r="W200" i="7" s="1"/>
  <c r="T200" i="7"/>
  <c r="U200" i="7" s="1"/>
  <c r="R200" i="7"/>
  <c r="S200" i="7" s="1"/>
  <c r="Q200" i="7"/>
  <c r="P200" i="7"/>
  <c r="N200" i="7"/>
  <c r="O200" i="7" s="1"/>
  <c r="L200" i="7"/>
  <c r="M200" i="7" s="1"/>
  <c r="V199" i="7"/>
  <c r="W199" i="7" s="1"/>
  <c r="U199" i="7"/>
  <c r="T199" i="7"/>
  <c r="R199" i="7"/>
  <c r="S199" i="7" s="1"/>
  <c r="P199" i="7"/>
  <c r="Q199" i="7" s="1"/>
  <c r="N199" i="7"/>
  <c r="O199" i="7" s="1"/>
  <c r="M199" i="7"/>
  <c r="L199" i="7"/>
  <c r="V198" i="7"/>
  <c r="W198" i="7" s="1"/>
  <c r="T198" i="7"/>
  <c r="U198" i="7" s="1"/>
  <c r="R198" i="7"/>
  <c r="S198" i="7" s="1"/>
  <c r="Q198" i="7"/>
  <c r="P198" i="7"/>
  <c r="N198" i="7"/>
  <c r="O198" i="7" s="1"/>
  <c r="L198" i="7"/>
  <c r="M198" i="7" s="1"/>
  <c r="V197" i="7"/>
  <c r="W197" i="7" s="1"/>
  <c r="U197" i="7"/>
  <c r="T197" i="7"/>
  <c r="R197" i="7"/>
  <c r="S197" i="7" s="1"/>
  <c r="P197" i="7"/>
  <c r="Q197" i="7" s="1"/>
  <c r="N197" i="7"/>
  <c r="O197" i="7" s="1"/>
  <c r="M197" i="7"/>
  <c r="L197" i="7"/>
  <c r="V196" i="7"/>
  <c r="W196" i="7" s="1"/>
  <c r="T196" i="7"/>
  <c r="U196" i="7" s="1"/>
  <c r="R196" i="7"/>
  <c r="S196" i="7" s="1"/>
  <c r="Q196" i="7"/>
  <c r="P196" i="7"/>
  <c r="N196" i="7"/>
  <c r="O196" i="7" s="1"/>
  <c r="L196" i="7"/>
  <c r="M196" i="7" s="1"/>
  <c r="V195" i="7"/>
  <c r="W195" i="7" s="1"/>
  <c r="U195" i="7"/>
  <c r="T195" i="7"/>
  <c r="R195" i="7"/>
  <c r="S195" i="7" s="1"/>
  <c r="P195" i="7"/>
  <c r="Q195" i="7" s="1"/>
  <c r="N195" i="7"/>
  <c r="O195" i="7" s="1"/>
  <c r="M195" i="7"/>
  <c r="L195" i="7"/>
  <c r="V194" i="7"/>
  <c r="W194" i="7" s="1"/>
  <c r="T194" i="7"/>
  <c r="U194" i="7" s="1"/>
  <c r="R194" i="7"/>
  <c r="S194" i="7" s="1"/>
  <c r="Q194" i="7"/>
  <c r="P194" i="7"/>
  <c r="N194" i="7"/>
  <c r="O194" i="7" s="1"/>
  <c r="L194" i="7"/>
  <c r="M194" i="7" s="1"/>
  <c r="V193" i="7"/>
  <c r="W193" i="7" s="1"/>
  <c r="U193" i="7"/>
  <c r="T193" i="7"/>
  <c r="R193" i="7"/>
  <c r="S193" i="7" s="1"/>
  <c r="P193" i="7"/>
  <c r="Q193" i="7" s="1"/>
  <c r="N193" i="7"/>
  <c r="O193" i="7" s="1"/>
  <c r="M193" i="7"/>
  <c r="L193" i="7"/>
  <c r="V192" i="7"/>
  <c r="W192" i="7" s="1"/>
  <c r="T192" i="7"/>
  <c r="U192" i="7" s="1"/>
  <c r="R192" i="7"/>
  <c r="S192" i="7" s="1"/>
  <c r="Q192" i="7"/>
  <c r="P192" i="7"/>
  <c r="N192" i="7"/>
  <c r="O192" i="7" s="1"/>
  <c r="L192" i="7"/>
  <c r="M192" i="7" s="1"/>
  <c r="V191" i="7"/>
  <c r="W191" i="7" s="1"/>
  <c r="U191" i="7"/>
  <c r="T191" i="7"/>
  <c r="R191" i="7"/>
  <c r="S191" i="7" s="1"/>
  <c r="P191" i="7"/>
  <c r="Q191" i="7" s="1"/>
  <c r="N191" i="7"/>
  <c r="O191" i="7" s="1"/>
  <c r="M191" i="7"/>
  <c r="L191" i="7"/>
  <c r="V190" i="7"/>
  <c r="W190" i="7" s="1"/>
  <c r="T190" i="7"/>
  <c r="U190" i="7" s="1"/>
  <c r="R190" i="7"/>
  <c r="S190" i="7" s="1"/>
  <c r="Q190" i="7"/>
  <c r="P190" i="7"/>
  <c r="N190" i="7"/>
  <c r="O190" i="7" s="1"/>
  <c r="L190" i="7"/>
  <c r="M190" i="7" s="1"/>
  <c r="V189" i="7"/>
  <c r="W189" i="7" s="1"/>
  <c r="U189" i="7"/>
  <c r="T189" i="7"/>
  <c r="R189" i="7"/>
  <c r="S189" i="7" s="1"/>
  <c r="P189" i="7"/>
  <c r="Q189" i="7" s="1"/>
  <c r="N189" i="7"/>
  <c r="O189" i="7" s="1"/>
  <c r="M189" i="7"/>
  <c r="L189" i="7"/>
  <c r="V188" i="7"/>
  <c r="W188" i="7" s="1"/>
  <c r="T188" i="7"/>
  <c r="U188" i="7" s="1"/>
  <c r="R188" i="7"/>
  <c r="S188" i="7" s="1"/>
  <c r="Q188" i="7"/>
  <c r="P188" i="7"/>
  <c r="N188" i="7"/>
  <c r="O188" i="7" s="1"/>
  <c r="L188" i="7"/>
  <c r="M188" i="7" s="1"/>
  <c r="V187" i="7"/>
  <c r="W187" i="7" s="1"/>
  <c r="U187" i="7"/>
  <c r="T187" i="7"/>
  <c r="R187" i="7"/>
  <c r="S187" i="7" s="1"/>
  <c r="P187" i="7"/>
  <c r="Q187" i="7" s="1"/>
  <c r="N187" i="7"/>
  <c r="O187" i="7" s="1"/>
  <c r="M187" i="7"/>
  <c r="L187" i="7"/>
  <c r="V186" i="7"/>
  <c r="W186" i="7" s="1"/>
  <c r="T186" i="7"/>
  <c r="U186" i="7" s="1"/>
  <c r="R186" i="7"/>
  <c r="S186" i="7" s="1"/>
  <c r="Q186" i="7"/>
  <c r="P186" i="7"/>
  <c r="N186" i="7"/>
  <c r="O186" i="7" s="1"/>
  <c r="L186" i="7"/>
  <c r="M186" i="7" s="1"/>
  <c r="V185" i="7"/>
  <c r="W185" i="7" s="1"/>
  <c r="U185" i="7"/>
  <c r="T185" i="7"/>
  <c r="R185" i="7"/>
  <c r="S185" i="7" s="1"/>
  <c r="P185" i="7"/>
  <c r="Q185" i="7" s="1"/>
  <c r="N185" i="7"/>
  <c r="O185" i="7" s="1"/>
  <c r="M185" i="7"/>
  <c r="L185" i="7"/>
  <c r="V184" i="7"/>
  <c r="W184" i="7" s="1"/>
  <c r="T184" i="7"/>
  <c r="U184" i="7" s="1"/>
  <c r="R184" i="7"/>
  <c r="S184" i="7" s="1"/>
  <c r="Q184" i="7"/>
  <c r="P184" i="7"/>
  <c r="N184" i="7"/>
  <c r="O184" i="7" s="1"/>
  <c r="L184" i="7"/>
  <c r="M184" i="7" s="1"/>
  <c r="V183" i="7"/>
  <c r="W183" i="7" s="1"/>
  <c r="U183" i="7"/>
  <c r="T183" i="7"/>
  <c r="R183" i="7"/>
  <c r="S183" i="7" s="1"/>
  <c r="P183" i="7"/>
  <c r="Q183" i="7" s="1"/>
  <c r="N183" i="7"/>
  <c r="O183" i="7" s="1"/>
  <c r="M183" i="7"/>
  <c r="L183" i="7"/>
  <c r="V182" i="7"/>
  <c r="W182" i="7" s="1"/>
  <c r="T182" i="7"/>
  <c r="U182" i="7" s="1"/>
  <c r="R182" i="7"/>
  <c r="S182" i="7" s="1"/>
  <c r="Q182" i="7"/>
  <c r="P182" i="7"/>
  <c r="N182" i="7"/>
  <c r="O182" i="7" s="1"/>
  <c r="L182" i="7"/>
  <c r="M182" i="7" s="1"/>
  <c r="V181" i="7"/>
  <c r="W181" i="7" s="1"/>
  <c r="U181" i="7"/>
  <c r="T181" i="7"/>
  <c r="R181" i="7"/>
  <c r="S181" i="7" s="1"/>
  <c r="P181" i="7"/>
  <c r="Q181" i="7" s="1"/>
  <c r="N181" i="7"/>
  <c r="O181" i="7" s="1"/>
  <c r="M181" i="7"/>
  <c r="L181" i="7"/>
  <c r="V180" i="7"/>
  <c r="W180" i="7" s="1"/>
  <c r="T180" i="7"/>
  <c r="U180" i="7" s="1"/>
  <c r="R180" i="7"/>
  <c r="S180" i="7" s="1"/>
  <c r="Q180" i="7"/>
  <c r="P180" i="7"/>
  <c r="N180" i="7"/>
  <c r="O180" i="7" s="1"/>
  <c r="L180" i="7"/>
  <c r="M180" i="7" s="1"/>
  <c r="V179" i="7"/>
  <c r="W179" i="7" s="1"/>
  <c r="U179" i="7"/>
  <c r="T179" i="7"/>
  <c r="R179" i="7"/>
  <c r="S179" i="7" s="1"/>
  <c r="P179" i="7"/>
  <c r="Q179" i="7" s="1"/>
  <c r="N179" i="7"/>
  <c r="O179" i="7" s="1"/>
  <c r="M179" i="7"/>
  <c r="L179" i="7"/>
  <c r="V178" i="7"/>
  <c r="W178" i="7" s="1"/>
  <c r="T178" i="7"/>
  <c r="U178" i="7" s="1"/>
  <c r="R178" i="7"/>
  <c r="S178" i="7" s="1"/>
  <c r="Q178" i="7"/>
  <c r="P178" i="7"/>
  <c r="N178" i="7"/>
  <c r="O178" i="7" s="1"/>
  <c r="L178" i="7"/>
  <c r="M178" i="7" s="1"/>
  <c r="V177" i="7"/>
  <c r="W177" i="7" s="1"/>
  <c r="U177" i="7"/>
  <c r="T177" i="7"/>
  <c r="R177" i="7"/>
  <c r="S177" i="7" s="1"/>
  <c r="P177" i="7"/>
  <c r="Q177" i="7" s="1"/>
  <c r="N177" i="7"/>
  <c r="O177" i="7" s="1"/>
  <c r="M177" i="7"/>
  <c r="L177" i="7"/>
  <c r="V176" i="7"/>
  <c r="W176" i="7" s="1"/>
  <c r="T176" i="7"/>
  <c r="U176" i="7" s="1"/>
  <c r="R176" i="7"/>
  <c r="S176" i="7" s="1"/>
  <c r="Q176" i="7"/>
  <c r="P176" i="7"/>
  <c r="N176" i="7"/>
  <c r="O176" i="7" s="1"/>
  <c r="L176" i="7"/>
  <c r="M176" i="7" s="1"/>
  <c r="V175" i="7"/>
  <c r="W175" i="7" s="1"/>
  <c r="U175" i="7"/>
  <c r="T175" i="7"/>
  <c r="R175" i="7"/>
  <c r="S175" i="7" s="1"/>
  <c r="P175" i="7"/>
  <c r="Q175" i="7" s="1"/>
  <c r="N175" i="7"/>
  <c r="O175" i="7" s="1"/>
  <c r="M175" i="7"/>
  <c r="L175" i="7"/>
  <c r="V174" i="7"/>
  <c r="W174" i="7" s="1"/>
  <c r="T174" i="7"/>
  <c r="U174" i="7" s="1"/>
  <c r="R174" i="7"/>
  <c r="S174" i="7" s="1"/>
  <c r="Q174" i="7"/>
  <c r="P174" i="7"/>
  <c r="N174" i="7"/>
  <c r="O174" i="7" s="1"/>
  <c r="L174" i="7"/>
  <c r="M174" i="7" s="1"/>
  <c r="V173" i="7"/>
  <c r="W173" i="7" s="1"/>
  <c r="U173" i="7"/>
  <c r="T173" i="7"/>
  <c r="R173" i="7"/>
  <c r="S173" i="7" s="1"/>
  <c r="P173" i="7"/>
  <c r="Q173" i="7" s="1"/>
  <c r="N173" i="7"/>
  <c r="O173" i="7" s="1"/>
  <c r="M173" i="7"/>
  <c r="L173" i="7"/>
  <c r="V172" i="7"/>
  <c r="W172" i="7" s="1"/>
  <c r="T172" i="7"/>
  <c r="U172" i="7" s="1"/>
  <c r="R172" i="7"/>
  <c r="S172" i="7" s="1"/>
  <c r="Q172" i="7"/>
  <c r="P172" i="7"/>
  <c r="N172" i="7"/>
  <c r="O172" i="7" s="1"/>
  <c r="L172" i="7"/>
  <c r="M172" i="7" s="1"/>
  <c r="V171" i="7"/>
  <c r="W171" i="7" s="1"/>
  <c r="U171" i="7"/>
  <c r="T171" i="7"/>
  <c r="R171" i="7"/>
  <c r="S171" i="7" s="1"/>
  <c r="P171" i="7"/>
  <c r="Q171" i="7" s="1"/>
  <c r="N171" i="7"/>
  <c r="O171" i="7" s="1"/>
  <c r="M171" i="7"/>
  <c r="L171" i="7"/>
  <c r="V170" i="7"/>
  <c r="W170" i="7" s="1"/>
  <c r="T170" i="7"/>
  <c r="U170" i="7" s="1"/>
  <c r="R170" i="7"/>
  <c r="S170" i="7" s="1"/>
  <c r="Q170" i="7"/>
  <c r="P170" i="7"/>
  <c r="N170" i="7"/>
  <c r="O170" i="7" s="1"/>
  <c r="L170" i="7"/>
  <c r="M170" i="7" s="1"/>
  <c r="V169" i="7"/>
  <c r="W169" i="7" s="1"/>
  <c r="U169" i="7"/>
  <c r="T169" i="7"/>
  <c r="R169" i="7"/>
  <c r="S169" i="7" s="1"/>
  <c r="P169" i="7"/>
  <c r="Q169" i="7" s="1"/>
  <c r="N169" i="7"/>
  <c r="O169" i="7" s="1"/>
  <c r="M169" i="7"/>
  <c r="L169" i="7"/>
  <c r="V168" i="7"/>
  <c r="W168" i="7" s="1"/>
  <c r="T168" i="7"/>
  <c r="U168" i="7" s="1"/>
  <c r="R168" i="7"/>
  <c r="S168" i="7" s="1"/>
  <c r="Q168" i="7"/>
  <c r="P168" i="7"/>
  <c r="N168" i="7"/>
  <c r="O168" i="7" s="1"/>
  <c r="L168" i="7"/>
  <c r="M168" i="7" s="1"/>
  <c r="V167" i="7"/>
  <c r="W167" i="7" s="1"/>
  <c r="U167" i="7"/>
  <c r="T167" i="7"/>
  <c r="R167" i="7"/>
  <c r="S167" i="7" s="1"/>
  <c r="P167" i="7"/>
  <c r="Q167" i="7" s="1"/>
  <c r="N167" i="7"/>
  <c r="O167" i="7" s="1"/>
  <c r="M167" i="7"/>
  <c r="L167" i="7"/>
  <c r="V166" i="7"/>
  <c r="W166" i="7" s="1"/>
  <c r="T166" i="7"/>
  <c r="U166" i="7" s="1"/>
  <c r="R166" i="7"/>
  <c r="S166" i="7" s="1"/>
  <c r="Q166" i="7"/>
  <c r="P166" i="7"/>
  <c r="N166" i="7"/>
  <c r="O166" i="7" s="1"/>
  <c r="L166" i="7"/>
  <c r="M166" i="7" s="1"/>
  <c r="V165" i="7"/>
  <c r="W165" i="7" s="1"/>
  <c r="U165" i="7"/>
  <c r="T165" i="7"/>
  <c r="R165" i="7"/>
  <c r="S165" i="7" s="1"/>
  <c r="P165" i="7"/>
  <c r="Q165" i="7" s="1"/>
  <c r="N165" i="7"/>
  <c r="O165" i="7" s="1"/>
  <c r="M165" i="7"/>
  <c r="L165" i="7"/>
  <c r="V164" i="7"/>
  <c r="W164" i="7" s="1"/>
  <c r="T164" i="7"/>
  <c r="U164" i="7" s="1"/>
  <c r="R164" i="7"/>
  <c r="S164" i="7" s="1"/>
  <c r="Q164" i="7"/>
  <c r="P164" i="7"/>
  <c r="N164" i="7"/>
  <c r="O164" i="7" s="1"/>
  <c r="L164" i="7"/>
  <c r="M164" i="7" s="1"/>
  <c r="V163" i="7"/>
  <c r="W163" i="7" s="1"/>
  <c r="U163" i="7"/>
  <c r="T163" i="7"/>
  <c r="R163" i="7"/>
  <c r="S163" i="7" s="1"/>
  <c r="P163" i="7"/>
  <c r="Q163" i="7" s="1"/>
  <c r="N163" i="7"/>
  <c r="O163" i="7" s="1"/>
  <c r="M163" i="7"/>
  <c r="L163" i="7"/>
  <c r="V162" i="7"/>
  <c r="W162" i="7" s="1"/>
  <c r="T162" i="7"/>
  <c r="U162" i="7" s="1"/>
  <c r="R162" i="7"/>
  <c r="S162" i="7" s="1"/>
  <c r="Q162" i="7"/>
  <c r="P162" i="7"/>
  <c r="N162" i="7"/>
  <c r="O162" i="7" s="1"/>
  <c r="L162" i="7"/>
  <c r="M162" i="7" s="1"/>
  <c r="V161" i="7"/>
  <c r="W161" i="7" s="1"/>
  <c r="U161" i="7"/>
  <c r="T161" i="7"/>
  <c r="R161" i="7"/>
  <c r="S161" i="7" s="1"/>
  <c r="P161" i="7"/>
  <c r="Q161" i="7" s="1"/>
  <c r="N161" i="7"/>
  <c r="O161" i="7" s="1"/>
  <c r="M161" i="7"/>
  <c r="L161" i="7"/>
  <c r="V160" i="7"/>
  <c r="W160" i="7" s="1"/>
  <c r="T160" i="7"/>
  <c r="U160" i="7" s="1"/>
  <c r="R160" i="7"/>
  <c r="S160" i="7" s="1"/>
  <c r="Q160" i="7"/>
  <c r="P160" i="7"/>
  <c r="N160" i="7"/>
  <c r="O160" i="7" s="1"/>
  <c r="L160" i="7"/>
  <c r="M160" i="7" s="1"/>
  <c r="V159" i="7"/>
  <c r="W159" i="7" s="1"/>
  <c r="U159" i="7"/>
  <c r="T159" i="7"/>
  <c r="R159" i="7"/>
  <c r="S159" i="7" s="1"/>
  <c r="P159" i="7"/>
  <c r="Q159" i="7" s="1"/>
  <c r="N159" i="7"/>
  <c r="O159" i="7" s="1"/>
  <c r="M159" i="7"/>
  <c r="L159" i="7"/>
  <c r="V158" i="7"/>
  <c r="W158" i="7" s="1"/>
  <c r="T158" i="7"/>
  <c r="U158" i="7" s="1"/>
  <c r="R158" i="7"/>
  <c r="S158" i="7" s="1"/>
  <c r="Q158" i="7"/>
  <c r="P158" i="7"/>
  <c r="N158" i="7"/>
  <c r="O158" i="7" s="1"/>
  <c r="L158" i="7"/>
  <c r="M158" i="7" s="1"/>
  <c r="V157" i="7"/>
  <c r="W157" i="7" s="1"/>
  <c r="U157" i="7"/>
  <c r="T157" i="7"/>
  <c r="R157" i="7"/>
  <c r="S157" i="7" s="1"/>
  <c r="P157" i="7"/>
  <c r="Q157" i="7" s="1"/>
  <c r="N157" i="7"/>
  <c r="O157" i="7" s="1"/>
  <c r="M157" i="7"/>
  <c r="L157" i="7"/>
  <c r="V156" i="7"/>
  <c r="W156" i="7" s="1"/>
  <c r="T156" i="7"/>
  <c r="U156" i="7" s="1"/>
  <c r="R156" i="7"/>
  <c r="S156" i="7" s="1"/>
  <c r="Q156" i="7"/>
  <c r="P156" i="7"/>
  <c r="N156" i="7"/>
  <c r="O156" i="7" s="1"/>
  <c r="L156" i="7"/>
  <c r="M156" i="7" s="1"/>
  <c r="V155" i="7"/>
  <c r="W155" i="7" s="1"/>
  <c r="U155" i="7"/>
  <c r="T155" i="7"/>
  <c r="R155" i="7"/>
  <c r="S155" i="7" s="1"/>
  <c r="P155" i="7"/>
  <c r="Q155" i="7" s="1"/>
  <c r="N155" i="7"/>
  <c r="O155" i="7" s="1"/>
  <c r="M155" i="7"/>
  <c r="L155" i="7"/>
  <c r="V154" i="7"/>
  <c r="W154" i="7" s="1"/>
  <c r="T154" i="7"/>
  <c r="U154" i="7" s="1"/>
  <c r="R154" i="7"/>
  <c r="S154" i="7" s="1"/>
  <c r="Q154" i="7"/>
  <c r="P154" i="7"/>
  <c r="N154" i="7"/>
  <c r="O154" i="7" s="1"/>
  <c r="L154" i="7"/>
  <c r="M154" i="7" s="1"/>
  <c r="V153" i="7"/>
  <c r="W153" i="7" s="1"/>
  <c r="U153" i="7"/>
  <c r="T153" i="7"/>
  <c r="R153" i="7"/>
  <c r="S153" i="7" s="1"/>
  <c r="P153" i="7"/>
  <c r="Q153" i="7" s="1"/>
  <c r="N153" i="7"/>
  <c r="O153" i="7" s="1"/>
  <c r="M153" i="7"/>
  <c r="L153" i="7"/>
  <c r="V152" i="7"/>
  <c r="W152" i="7" s="1"/>
  <c r="T152" i="7"/>
  <c r="U152" i="7" s="1"/>
  <c r="R152" i="7"/>
  <c r="S152" i="7" s="1"/>
  <c r="Q152" i="7"/>
  <c r="P152" i="7"/>
  <c r="N152" i="7"/>
  <c r="O152" i="7" s="1"/>
  <c r="L152" i="7"/>
  <c r="M152" i="7" s="1"/>
  <c r="V151" i="7"/>
  <c r="W151" i="7" s="1"/>
  <c r="U151" i="7"/>
  <c r="T151" i="7"/>
  <c r="R151" i="7"/>
  <c r="S151" i="7" s="1"/>
  <c r="P151" i="7"/>
  <c r="Q151" i="7" s="1"/>
  <c r="N151" i="7"/>
  <c r="O151" i="7" s="1"/>
  <c r="M151" i="7"/>
  <c r="L151" i="7"/>
  <c r="V150" i="7"/>
  <c r="W150" i="7" s="1"/>
  <c r="T150" i="7"/>
  <c r="U150" i="7" s="1"/>
  <c r="R150" i="7"/>
  <c r="S150" i="7" s="1"/>
  <c r="Q150" i="7"/>
  <c r="P150" i="7"/>
  <c r="N150" i="7"/>
  <c r="O150" i="7" s="1"/>
  <c r="L150" i="7"/>
  <c r="M150" i="7" s="1"/>
  <c r="V149" i="7"/>
  <c r="W149" i="7" s="1"/>
  <c r="U149" i="7"/>
  <c r="T149" i="7"/>
  <c r="R149" i="7"/>
  <c r="S149" i="7" s="1"/>
  <c r="P149" i="7"/>
  <c r="Q149" i="7" s="1"/>
  <c r="N149" i="7"/>
  <c r="O149" i="7" s="1"/>
  <c r="M149" i="7"/>
  <c r="L149" i="7"/>
  <c r="V148" i="7"/>
  <c r="W148" i="7" s="1"/>
  <c r="T148" i="7"/>
  <c r="U148" i="7" s="1"/>
  <c r="R148" i="7"/>
  <c r="S148" i="7" s="1"/>
  <c r="Q148" i="7"/>
  <c r="P148" i="7"/>
  <c r="N148" i="7"/>
  <c r="O148" i="7" s="1"/>
  <c r="L148" i="7"/>
  <c r="M148" i="7" s="1"/>
  <c r="V147" i="7"/>
  <c r="W147" i="7" s="1"/>
  <c r="U147" i="7"/>
  <c r="T147" i="7"/>
  <c r="R147" i="7"/>
  <c r="S147" i="7" s="1"/>
  <c r="P147" i="7"/>
  <c r="Q147" i="7" s="1"/>
  <c r="N147" i="7"/>
  <c r="O147" i="7" s="1"/>
  <c r="M147" i="7"/>
  <c r="L147" i="7"/>
  <c r="V146" i="7"/>
  <c r="W146" i="7" s="1"/>
  <c r="T146" i="7"/>
  <c r="U146" i="7" s="1"/>
  <c r="R146" i="7"/>
  <c r="S146" i="7" s="1"/>
  <c r="Q146" i="7"/>
  <c r="P146" i="7"/>
  <c r="N146" i="7"/>
  <c r="O146" i="7" s="1"/>
  <c r="L146" i="7"/>
  <c r="M146" i="7" s="1"/>
  <c r="V145" i="7"/>
  <c r="W145" i="7" s="1"/>
  <c r="U145" i="7"/>
  <c r="T145" i="7"/>
  <c r="R145" i="7"/>
  <c r="S145" i="7" s="1"/>
  <c r="P145" i="7"/>
  <c r="Q145" i="7" s="1"/>
  <c r="N145" i="7"/>
  <c r="O145" i="7" s="1"/>
  <c r="M145" i="7"/>
  <c r="L145" i="7"/>
  <c r="V144" i="7"/>
  <c r="W144" i="7" s="1"/>
  <c r="T144" i="7"/>
  <c r="U144" i="7" s="1"/>
  <c r="R144" i="7"/>
  <c r="S144" i="7" s="1"/>
  <c r="Q144" i="7"/>
  <c r="P144" i="7"/>
  <c r="N144" i="7"/>
  <c r="O144" i="7" s="1"/>
  <c r="L144" i="7"/>
  <c r="M144" i="7" s="1"/>
  <c r="V143" i="7"/>
  <c r="W143" i="7" s="1"/>
  <c r="U143" i="7"/>
  <c r="T143" i="7"/>
  <c r="R143" i="7"/>
  <c r="S143" i="7" s="1"/>
  <c r="P143" i="7"/>
  <c r="Q143" i="7" s="1"/>
  <c r="N143" i="7"/>
  <c r="O143" i="7" s="1"/>
  <c r="M143" i="7"/>
  <c r="L143" i="7"/>
  <c r="V142" i="7"/>
  <c r="W142" i="7" s="1"/>
  <c r="T142" i="7"/>
  <c r="U142" i="7" s="1"/>
  <c r="R142" i="7"/>
  <c r="S142" i="7" s="1"/>
  <c r="Q142" i="7"/>
  <c r="P142" i="7"/>
  <c r="N142" i="7"/>
  <c r="O142" i="7" s="1"/>
  <c r="L142" i="7"/>
  <c r="M142" i="7" s="1"/>
  <c r="V141" i="7"/>
  <c r="W141" i="7" s="1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P125" i="7"/>
  <c r="Q125" i="7" s="1"/>
  <c r="O125" i="7"/>
  <c r="N125" i="7"/>
  <c r="L125" i="7"/>
  <c r="M125" i="7" s="1"/>
  <c r="W124" i="7"/>
  <c r="V124" i="7"/>
  <c r="T124" i="7"/>
  <c r="U124" i="7" s="1"/>
  <c r="S124" i="7"/>
  <c r="R124" i="7"/>
  <c r="P124" i="7"/>
  <c r="Q124" i="7" s="1"/>
  <c r="O124" i="7"/>
  <c r="N124" i="7"/>
  <c r="L124" i="7"/>
  <c r="M124" i="7" s="1"/>
  <c r="W123" i="7"/>
  <c r="V123" i="7"/>
  <c r="T123" i="7"/>
  <c r="U123" i="7" s="1"/>
  <c r="S123" i="7"/>
  <c r="R123" i="7"/>
  <c r="P123" i="7"/>
  <c r="Q123" i="7" s="1"/>
  <c r="O123" i="7"/>
  <c r="N123" i="7"/>
  <c r="L123" i="7"/>
  <c r="M123" i="7" s="1"/>
  <c r="W122" i="7"/>
  <c r="V122" i="7"/>
  <c r="T122" i="7"/>
  <c r="U122" i="7" s="1"/>
  <c r="S122" i="7"/>
  <c r="R122" i="7"/>
  <c r="P122" i="7"/>
  <c r="Q122" i="7" s="1"/>
  <c r="O122" i="7"/>
  <c r="N122" i="7"/>
  <c r="L122" i="7"/>
  <c r="M122" i="7" s="1"/>
  <c r="W121" i="7"/>
  <c r="V121" i="7"/>
  <c r="T121" i="7"/>
  <c r="U121" i="7" s="1"/>
  <c r="S121" i="7"/>
  <c r="R121" i="7"/>
  <c r="P121" i="7"/>
  <c r="Q121" i="7" s="1"/>
  <c r="O121" i="7"/>
  <c r="N121" i="7"/>
  <c r="L121" i="7"/>
  <c r="M121" i="7" s="1"/>
  <c r="W120" i="7"/>
  <c r="V120" i="7"/>
  <c r="T120" i="7"/>
  <c r="U120" i="7" s="1"/>
  <c r="S120" i="7"/>
  <c r="R120" i="7"/>
  <c r="P120" i="7"/>
  <c r="Q120" i="7" s="1"/>
  <c r="O120" i="7"/>
  <c r="N120" i="7"/>
  <c r="L120" i="7"/>
  <c r="M120" i="7" s="1"/>
  <c r="W119" i="7"/>
  <c r="V119" i="7"/>
  <c r="T119" i="7"/>
  <c r="U119" i="7" s="1"/>
  <c r="S119" i="7"/>
  <c r="R119" i="7"/>
  <c r="P119" i="7"/>
  <c r="Q119" i="7" s="1"/>
  <c r="O119" i="7"/>
  <c r="N119" i="7"/>
  <c r="L119" i="7"/>
  <c r="M119" i="7" s="1"/>
  <c r="W118" i="7"/>
  <c r="V118" i="7"/>
  <c r="T118" i="7"/>
  <c r="U118" i="7" s="1"/>
  <c r="S118" i="7"/>
  <c r="R118" i="7"/>
  <c r="P118" i="7"/>
  <c r="Q118" i="7" s="1"/>
  <c r="O118" i="7"/>
  <c r="N118" i="7"/>
  <c r="L118" i="7"/>
  <c r="M118" i="7" s="1"/>
  <c r="W117" i="7"/>
  <c r="V117" i="7"/>
  <c r="T117" i="7"/>
  <c r="U117" i="7" s="1"/>
  <c r="S117" i="7"/>
  <c r="R117" i="7"/>
  <c r="P117" i="7"/>
  <c r="Q117" i="7" s="1"/>
  <c r="O117" i="7"/>
  <c r="N117" i="7"/>
  <c r="L117" i="7"/>
  <c r="M117" i="7" s="1"/>
  <c r="W116" i="7"/>
  <c r="V116" i="7"/>
  <c r="T116" i="7"/>
  <c r="U116" i="7" s="1"/>
  <c r="S116" i="7"/>
  <c r="R116" i="7"/>
  <c r="P116" i="7"/>
  <c r="Q116" i="7" s="1"/>
  <c r="O116" i="7"/>
  <c r="N116" i="7"/>
  <c r="L116" i="7"/>
  <c r="M116" i="7" s="1"/>
  <c r="W115" i="7"/>
  <c r="V115" i="7"/>
  <c r="T115" i="7"/>
  <c r="U115" i="7" s="1"/>
  <c r="S115" i="7"/>
  <c r="R115" i="7"/>
  <c r="P115" i="7"/>
  <c r="Q115" i="7" s="1"/>
  <c r="O115" i="7"/>
  <c r="N115" i="7"/>
  <c r="L115" i="7"/>
  <c r="M115" i="7" s="1"/>
  <c r="W114" i="7"/>
  <c r="V114" i="7"/>
  <c r="T114" i="7"/>
  <c r="U114" i="7" s="1"/>
  <c r="S114" i="7"/>
  <c r="R114" i="7"/>
  <c r="P114" i="7"/>
  <c r="Q114" i="7" s="1"/>
  <c r="O114" i="7"/>
  <c r="N114" i="7"/>
  <c r="L114" i="7"/>
  <c r="M114" i="7" s="1"/>
  <c r="W113" i="7"/>
  <c r="V113" i="7"/>
  <c r="T113" i="7"/>
  <c r="U113" i="7" s="1"/>
  <c r="S113" i="7"/>
  <c r="R113" i="7"/>
  <c r="P113" i="7"/>
  <c r="Q113" i="7" s="1"/>
  <c r="O113" i="7"/>
  <c r="N113" i="7"/>
  <c r="L113" i="7"/>
  <c r="M113" i="7" s="1"/>
  <c r="W112" i="7"/>
  <c r="V112" i="7"/>
  <c r="T112" i="7"/>
  <c r="U112" i="7" s="1"/>
  <c r="S112" i="7"/>
  <c r="R112" i="7"/>
  <c r="P112" i="7"/>
  <c r="Q112" i="7" s="1"/>
  <c r="O112" i="7"/>
  <c r="N112" i="7"/>
  <c r="L112" i="7"/>
  <c r="M112" i="7" s="1"/>
  <c r="W111" i="7"/>
  <c r="V111" i="7"/>
  <c r="T111" i="7"/>
  <c r="U111" i="7" s="1"/>
  <c r="S111" i="7"/>
  <c r="R111" i="7"/>
  <c r="P111" i="7"/>
  <c r="Q111" i="7" s="1"/>
  <c r="O111" i="7"/>
  <c r="N111" i="7"/>
  <c r="L111" i="7"/>
  <c r="M111" i="7" s="1"/>
  <c r="W110" i="7"/>
  <c r="V110" i="7"/>
  <c r="T110" i="7"/>
  <c r="U110" i="7" s="1"/>
  <c r="S110" i="7"/>
  <c r="R110" i="7"/>
  <c r="P110" i="7"/>
  <c r="Q110" i="7" s="1"/>
  <c r="O110" i="7"/>
  <c r="N110" i="7"/>
  <c r="L110" i="7"/>
  <c r="M110" i="7" s="1"/>
  <c r="W109" i="7"/>
  <c r="V109" i="7"/>
  <c r="T109" i="7"/>
  <c r="U109" i="7" s="1"/>
  <c r="S109" i="7"/>
  <c r="R109" i="7"/>
  <c r="P109" i="7"/>
  <c r="Q109" i="7" s="1"/>
  <c r="O109" i="7"/>
  <c r="N109" i="7"/>
  <c r="L109" i="7"/>
  <c r="M109" i="7" s="1"/>
  <c r="W108" i="7"/>
  <c r="V108" i="7"/>
  <c r="T108" i="7"/>
  <c r="U108" i="7" s="1"/>
  <c r="S108" i="7"/>
  <c r="R108" i="7"/>
  <c r="P108" i="7"/>
  <c r="Q108" i="7" s="1"/>
  <c r="O108" i="7"/>
  <c r="N108" i="7"/>
  <c r="L108" i="7"/>
  <c r="M108" i="7" s="1"/>
  <c r="W107" i="7"/>
  <c r="V107" i="7"/>
  <c r="T107" i="7"/>
  <c r="U107" i="7" s="1"/>
  <c r="S107" i="7"/>
  <c r="R107" i="7"/>
  <c r="P107" i="7"/>
  <c r="Q107" i="7" s="1"/>
  <c r="O107" i="7"/>
  <c r="N107" i="7"/>
  <c r="L107" i="7"/>
  <c r="M107" i="7" s="1"/>
  <c r="W106" i="7"/>
  <c r="V106" i="7"/>
  <c r="T106" i="7"/>
  <c r="U106" i="7" s="1"/>
  <c r="S106" i="7"/>
  <c r="R106" i="7"/>
  <c r="P106" i="7"/>
  <c r="Q106" i="7" s="1"/>
  <c r="O106" i="7"/>
  <c r="N106" i="7"/>
  <c r="L106" i="7"/>
  <c r="M106" i="7" s="1"/>
  <c r="W105" i="7"/>
  <c r="V105" i="7"/>
  <c r="T105" i="7"/>
  <c r="U105" i="7" s="1"/>
  <c r="S105" i="7"/>
  <c r="R105" i="7"/>
  <c r="P105" i="7"/>
  <c r="Q105" i="7" s="1"/>
  <c r="O105" i="7"/>
  <c r="N105" i="7"/>
  <c r="L105" i="7"/>
  <c r="M105" i="7" s="1"/>
  <c r="W104" i="7"/>
  <c r="V104" i="7"/>
  <c r="T104" i="7"/>
  <c r="U104" i="7" s="1"/>
  <c r="S104" i="7"/>
  <c r="R104" i="7"/>
  <c r="P104" i="7"/>
  <c r="Q104" i="7" s="1"/>
  <c r="O104" i="7"/>
  <c r="N104" i="7"/>
  <c r="L104" i="7"/>
  <c r="M104" i="7" s="1"/>
  <c r="W103" i="7"/>
  <c r="V103" i="7"/>
  <c r="T103" i="7"/>
  <c r="U103" i="7" s="1"/>
  <c r="S103" i="7"/>
  <c r="R103" i="7"/>
  <c r="P103" i="7"/>
  <c r="Q103" i="7" s="1"/>
  <c r="O103" i="7"/>
  <c r="N103" i="7"/>
  <c r="L103" i="7"/>
  <c r="M103" i="7" s="1"/>
  <c r="W102" i="7"/>
  <c r="V102" i="7"/>
  <c r="T102" i="7"/>
  <c r="U102" i="7" s="1"/>
  <c r="S102" i="7"/>
  <c r="R102" i="7"/>
  <c r="P102" i="7"/>
  <c r="Q102" i="7" s="1"/>
  <c r="O102" i="7"/>
  <c r="N102" i="7"/>
  <c r="L102" i="7"/>
  <c r="M102" i="7" s="1"/>
  <c r="W101" i="7"/>
  <c r="V101" i="7"/>
  <c r="T101" i="7"/>
  <c r="U101" i="7" s="1"/>
  <c r="S101" i="7"/>
  <c r="R101" i="7"/>
  <c r="P101" i="7"/>
  <c r="Q101" i="7" s="1"/>
  <c r="O101" i="7"/>
  <c r="N101" i="7"/>
  <c r="L101" i="7"/>
  <c r="M101" i="7" s="1"/>
  <c r="W100" i="7"/>
  <c r="V100" i="7"/>
  <c r="T100" i="7"/>
  <c r="U100" i="7" s="1"/>
  <c r="S100" i="7"/>
  <c r="R100" i="7"/>
  <c r="P100" i="7"/>
  <c r="Q100" i="7" s="1"/>
  <c r="O100" i="7"/>
  <c r="N100" i="7"/>
  <c r="L100" i="7"/>
  <c r="M100" i="7" s="1"/>
  <c r="W99" i="7"/>
  <c r="V99" i="7"/>
  <c r="T99" i="7"/>
  <c r="U99" i="7" s="1"/>
  <c r="S99" i="7"/>
  <c r="R99" i="7"/>
  <c r="P99" i="7"/>
  <c r="Q99" i="7" s="1"/>
  <c r="O99" i="7"/>
  <c r="N99" i="7"/>
  <c r="L99" i="7"/>
  <c r="M99" i="7" s="1"/>
  <c r="W98" i="7"/>
  <c r="V98" i="7"/>
  <c r="T98" i="7"/>
  <c r="U98" i="7" s="1"/>
  <c r="S98" i="7"/>
  <c r="R98" i="7"/>
  <c r="P98" i="7"/>
  <c r="Q98" i="7" s="1"/>
  <c r="O98" i="7"/>
  <c r="N98" i="7"/>
  <c r="L98" i="7"/>
  <c r="M98" i="7" s="1"/>
  <c r="W97" i="7"/>
  <c r="V97" i="7"/>
  <c r="T97" i="7"/>
  <c r="U97" i="7" s="1"/>
  <c r="S97" i="7"/>
  <c r="R97" i="7"/>
  <c r="P97" i="7"/>
  <c r="Q97" i="7" s="1"/>
  <c r="O97" i="7"/>
  <c r="N97" i="7"/>
  <c r="L97" i="7"/>
  <c r="M97" i="7" s="1"/>
  <c r="W96" i="7"/>
  <c r="V96" i="7"/>
  <c r="T96" i="7"/>
  <c r="U96" i="7" s="1"/>
  <c r="S96" i="7"/>
  <c r="R96" i="7"/>
  <c r="P96" i="7"/>
  <c r="Q96" i="7" s="1"/>
  <c r="O96" i="7"/>
  <c r="N96" i="7"/>
  <c r="L96" i="7"/>
  <c r="M96" i="7" s="1"/>
  <c r="W95" i="7"/>
  <c r="V95" i="7"/>
  <c r="T95" i="7"/>
  <c r="U95" i="7" s="1"/>
  <c r="S95" i="7"/>
  <c r="R95" i="7"/>
  <c r="P95" i="7"/>
  <c r="Q95" i="7" s="1"/>
  <c r="O95" i="7"/>
  <c r="N95" i="7"/>
  <c r="L95" i="7"/>
  <c r="M95" i="7" s="1"/>
  <c r="W94" i="7"/>
  <c r="V94" i="7"/>
  <c r="T94" i="7"/>
  <c r="U94" i="7" s="1"/>
  <c r="S94" i="7"/>
  <c r="R94" i="7"/>
  <c r="P94" i="7"/>
  <c r="Q94" i="7" s="1"/>
  <c r="O94" i="7"/>
  <c r="N94" i="7"/>
  <c r="L94" i="7"/>
  <c r="M94" i="7" s="1"/>
  <c r="W93" i="7"/>
  <c r="V93" i="7"/>
  <c r="T93" i="7"/>
  <c r="U93" i="7" s="1"/>
  <c r="S93" i="7"/>
  <c r="R93" i="7"/>
  <c r="P93" i="7"/>
  <c r="Q93" i="7" s="1"/>
  <c r="O93" i="7"/>
  <c r="N93" i="7"/>
  <c r="L93" i="7"/>
  <c r="M93" i="7" s="1"/>
  <c r="W92" i="7"/>
  <c r="V92" i="7"/>
  <c r="T92" i="7"/>
  <c r="U92" i="7" s="1"/>
  <c r="S92" i="7"/>
  <c r="R92" i="7"/>
  <c r="P92" i="7"/>
  <c r="Q92" i="7" s="1"/>
  <c r="O92" i="7"/>
  <c r="N92" i="7"/>
  <c r="L92" i="7"/>
  <c r="M92" i="7" s="1"/>
  <c r="W91" i="7"/>
  <c r="V91" i="7"/>
  <c r="T91" i="7"/>
  <c r="U91" i="7" s="1"/>
  <c r="S91" i="7"/>
  <c r="R91" i="7"/>
  <c r="P91" i="7"/>
  <c r="Q91" i="7" s="1"/>
  <c r="O91" i="7"/>
  <c r="N91" i="7"/>
  <c r="L91" i="7"/>
  <c r="M91" i="7" s="1"/>
  <c r="W90" i="7"/>
  <c r="V90" i="7"/>
  <c r="T90" i="7"/>
  <c r="U90" i="7" s="1"/>
  <c r="S90" i="7"/>
  <c r="R90" i="7"/>
  <c r="P90" i="7"/>
  <c r="Q90" i="7" s="1"/>
  <c r="O90" i="7"/>
  <c r="N90" i="7"/>
  <c r="L90" i="7"/>
  <c r="M90" i="7" s="1"/>
  <c r="W89" i="7"/>
  <c r="V89" i="7"/>
  <c r="T89" i="7"/>
  <c r="U89" i="7" s="1"/>
  <c r="S89" i="7"/>
  <c r="R89" i="7"/>
  <c r="P89" i="7"/>
  <c r="Q89" i="7" s="1"/>
  <c r="O89" i="7"/>
  <c r="N89" i="7"/>
  <c r="L89" i="7"/>
  <c r="M89" i="7" s="1"/>
  <c r="W88" i="7"/>
  <c r="V88" i="7"/>
  <c r="T88" i="7"/>
  <c r="U88" i="7" s="1"/>
  <c r="S88" i="7"/>
  <c r="R88" i="7"/>
  <c r="P88" i="7"/>
  <c r="Q88" i="7" s="1"/>
  <c r="O88" i="7"/>
  <c r="N88" i="7"/>
  <c r="L88" i="7"/>
  <c r="M88" i="7" s="1"/>
  <c r="W87" i="7"/>
  <c r="V87" i="7"/>
  <c r="T87" i="7"/>
  <c r="U87" i="7" s="1"/>
  <c r="S87" i="7"/>
  <c r="R87" i="7"/>
  <c r="P87" i="7"/>
  <c r="Q87" i="7" s="1"/>
  <c r="O87" i="7"/>
  <c r="N87" i="7"/>
  <c r="L87" i="7"/>
  <c r="M87" i="7" s="1"/>
  <c r="W86" i="7"/>
  <c r="V86" i="7"/>
  <c r="T86" i="7"/>
  <c r="U86" i="7" s="1"/>
  <c r="S86" i="7"/>
  <c r="R86" i="7"/>
  <c r="P86" i="7"/>
  <c r="Q86" i="7" s="1"/>
  <c r="O86" i="7"/>
  <c r="N86" i="7"/>
  <c r="L86" i="7"/>
  <c r="M86" i="7" s="1"/>
  <c r="W85" i="7"/>
  <c r="V85" i="7"/>
  <c r="T85" i="7"/>
  <c r="U85" i="7" s="1"/>
  <c r="S85" i="7"/>
  <c r="R85" i="7"/>
  <c r="P85" i="7"/>
  <c r="Q85" i="7" s="1"/>
  <c r="O85" i="7"/>
  <c r="N85" i="7"/>
  <c r="L85" i="7"/>
  <c r="M85" i="7" s="1"/>
  <c r="W84" i="7"/>
  <c r="V84" i="7"/>
  <c r="T84" i="7"/>
  <c r="U84" i="7" s="1"/>
  <c r="S84" i="7"/>
  <c r="R84" i="7"/>
  <c r="P84" i="7"/>
  <c r="Q84" i="7" s="1"/>
  <c r="O84" i="7"/>
  <c r="N84" i="7"/>
  <c r="L84" i="7"/>
  <c r="M84" i="7" s="1"/>
  <c r="W83" i="7"/>
  <c r="V83" i="7"/>
  <c r="T83" i="7"/>
  <c r="U83" i="7" s="1"/>
  <c r="S83" i="7"/>
  <c r="R83" i="7"/>
  <c r="P83" i="7"/>
  <c r="Q83" i="7" s="1"/>
  <c r="O83" i="7"/>
  <c r="N83" i="7"/>
  <c r="L83" i="7"/>
  <c r="M83" i="7" s="1"/>
  <c r="W82" i="7"/>
  <c r="V82" i="7"/>
  <c r="T82" i="7"/>
  <c r="U82" i="7" s="1"/>
  <c r="S82" i="7"/>
  <c r="R82" i="7"/>
  <c r="P82" i="7"/>
  <c r="Q82" i="7" s="1"/>
  <c r="O82" i="7"/>
  <c r="N82" i="7"/>
  <c r="L82" i="7"/>
  <c r="M82" i="7" s="1"/>
  <c r="W81" i="7"/>
  <c r="V81" i="7"/>
  <c r="T81" i="7"/>
  <c r="U81" i="7" s="1"/>
  <c r="S81" i="7"/>
  <c r="R81" i="7"/>
  <c r="P81" i="7"/>
  <c r="Q81" i="7" s="1"/>
  <c r="O81" i="7"/>
  <c r="N81" i="7"/>
  <c r="L81" i="7"/>
  <c r="M81" i="7" s="1"/>
  <c r="W80" i="7"/>
  <c r="V80" i="7"/>
  <c r="T80" i="7"/>
  <c r="U80" i="7" s="1"/>
  <c r="S80" i="7"/>
  <c r="R80" i="7"/>
  <c r="P80" i="7"/>
  <c r="Q80" i="7" s="1"/>
  <c r="O80" i="7"/>
  <c r="N80" i="7"/>
  <c r="L80" i="7"/>
  <c r="M80" i="7" s="1"/>
  <c r="W79" i="7"/>
  <c r="V79" i="7"/>
  <c r="T79" i="7"/>
  <c r="U79" i="7" s="1"/>
  <c r="S79" i="7"/>
  <c r="R79" i="7"/>
  <c r="P79" i="7"/>
  <c r="Q79" i="7" s="1"/>
  <c r="O79" i="7"/>
  <c r="N79" i="7"/>
  <c r="L79" i="7"/>
  <c r="M79" i="7" s="1"/>
  <c r="W78" i="7"/>
  <c r="V78" i="7"/>
  <c r="T78" i="7"/>
  <c r="U78" i="7" s="1"/>
  <c r="S78" i="7"/>
  <c r="R78" i="7"/>
  <c r="P78" i="7"/>
  <c r="Q78" i="7" s="1"/>
  <c r="O78" i="7"/>
  <c r="N78" i="7"/>
  <c r="L78" i="7"/>
  <c r="M78" i="7" s="1"/>
  <c r="W77" i="7"/>
  <c r="V77" i="7"/>
  <c r="T77" i="7"/>
  <c r="U77" i="7" s="1"/>
  <c r="S77" i="7"/>
  <c r="R77" i="7"/>
  <c r="P77" i="7"/>
  <c r="Q77" i="7" s="1"/>
  <c r="O77" i="7"/>
  <c r="N77" i="7"/>
  <c r="L77" i="7"/>
  <c r="M77" i="7" s="1"/>
  <c r="W76" i="7"/>
  <c r="V76" i="7"/>
  <c r="T76" i="7"/>
  <c r="U76" i="7" s="1"/>
  <c r="S76" i="7"/>
  <c r="R76" i="7"/>
  <c r="P76" i="7"/>
  <c r="Q76" i="7" s="1"/>
  <c r="O76" i="7"/>
  <c r="N76" i="7"/>
  <c r="L76" i="7"/>
  <c r="M76" i="7" s="1"/>
  <c r="W75" i="7"/>
  <c r="V75" i="7"/>
  <c r="T75" i="7"/>
  <c r="U75" i="7" s="1"/>
  <c r="S75" i="7"/>
  <c r="R75" i="7"/>
  <c r="P75" i="7"/>
  <c r="Q75" i="7" s="1"/>
  <c r="O75" i="7"/>
  <c r="N75" i="7"/>
  <c r="L75" i="7"/>
  <c r="M75" i="7" s="1"/>
  <c r="W74" i="7"/>
  <c r="V74" i="7"/>
  <c r="T74" i="7"/>
  <c r="U74" i="7" s="1"/>
  <c r="S74" i="7"/>
  <c r="R74" i="7"/>
  <c r="P74" i="7"/>
  <c r="Q74" i="7" s="1"/>
  <c r="O74" i="7"/>
  <c r="N74" i="7"/>
  <c r="L74" i="7"/>
  <c r="M74" i="7" s="1"/>
  <c r="W73" i="7"/>
  <c r="V73" i="7"/>
  <c r="T73" i="7"/>
  <c r="U73" i="7" s="1"/>
  <c r="S73" i="7"/>
  <c r="R73" i="7"/>
  <c r="P73" i="7"/>
  <c r="Q73" i="7" s="1"/>
  <c r="O73" i="7"/>
  <c r="N73" i="7"/>
  <c r="L73" i="7"/>
  <c r="M73" i="7" s="1"/>
  <c r="W72" i="7"/>
  <c r="V72" i="7"/>
  <c r="T72" i="7"/>
  <c r="U72" i="7" s="1"/>
  <c r="S72" i="7"/>
  <c r="R72" i="7"/>
  <c r="P72" i="7"/>
  <c r="Q72" i="7" s="1"/>
  <c r="O72" i="7"/>
  <c r="N72" i="7"/>
  <c r="L72" i="7"/>
  <c r="M72" i="7" s="1"/>
  <c r="W71" i="7"/>
  <c r="V71" i="7"/>
  <c r="T71" i="7"/>
  <c r="U71" i="7" s="1"/>
  <c r="S71" i="7"/>
  <c r="R71" i="7"/>
  <c r="P71" i="7"/>
  <c r="Q71" i="7" s="1"/>
  <c r="O71" i="7"/>
  <c r="N71" i="7"/>
  <c r="L71" i="7"/>
  <c r="M71" i="7" s="1"/>
  <c r="W70" i="7"/>
  <c r="V70" i="7"/>
  <c r="T70" i="7"/>
  <c r="U70" i="7" s="1"/>
  <c r="S70" i="7"/>
  <c r="R70" i="7"/>
  <c r="P70" i="7"/>
  <c r="Q70" i="7" s="1"/>
  <c r="O70" i="7"/>
  <c r="N70" i="7"/>
  <c r="L70" i="7"/>
  <c r="M70" i="7" s="1"/>
  <c r="W69" i="7"/>
  <c r="V69" i="7"/>
  <c r="T69" i="7"/>
  <c r="U69" i="7" s="1"/>
  <c r="S69" i="7"/>
  <c r="R69" i="7"/>
  <c r="P69" i="7"/>
  <c r="Q69" i="7" s="1"/>
  <c r="O69" i="7"/>
  <c r="N69" i="7"/>
  <c r="L69" i="7"/>
  <c r="M69" i="7" s="1"/>
  <c r="W68" i="7"/>
  <c r="V68" i="7"/>
  <c r="T68" i="7"/>
  <c r="U68" i="7" s="1"/>
  <c r="S68" i="7"/>
  <c r="R68" i="7"/>
  <c r="P68" i="7"/>
  <c r="Q68" i="7" s="1"/>
  <c r="O68" i="7"/>
  <c r="N68" i="7"/>
  <c r="L68" i="7"/>
  <c r="M68" i="7" s="1"/>
  <c r="W67" i="7"/>
  <c r="V67" i="7"/>
  <c r="T67" i="7"/>
  <c r="U67" i="7" s="1"/>
  <c r="S67" i="7"/>
  <c r="R67" i="7"/>
  <c r="P67" i="7"/>
  <c r="Q67" i="7" s="1"/>
  <c r="O67" i="7"/>
  <c r="N67" i="7"/>
  <c r="L67" i="7"/>
  <c r="M67" i="7" s="1"/>
  <c r="W66" i="7"/>
  <c r="V66" i="7"/>
  <c r="T66" i="7"/>
  <c r="U66" i="7" s="1"/>
  <c r="S66" i="7"/>
  <c r="R66" i="7"/>
  <c r="P66" i="7"/>
  <c r="Q66" i="7" s="1"/>
  <c r="O66" i="7"/>
  <c r="N66" i="7"/>
  <c r="L66" i="7"/>
  <c r="M66" i="7" s="1"/>
  <c r="W65" i="7"/>
  <c r="V65" i="7"/>
  <c r="T65" i="7"/>
  <c r="U65" i="7" s="1"/>
  <c r="S65" i="7"/>
  <c r="R65" i="7"/>
  <c r="P65" i="7"/>
  <c r="Q65" i="7" s="1"/>
  <c r="O65" i="7"/>
  <c r="N65" i="7"/>
  <c r="L65" i="7"/>
  <c r="M65" i="7" s="1"/>
  <c r="W64" i="7"/>
  <c r="V64" i="7"/>
  <c r="T64" i="7"/>
  <c r="U64" i="7" s="1"/>
  <c r="S64" i="7"/>
  <c r="R64" i="7"/>
  <c r="P64" i="7"/>
  <c r="Q64" i="7" s="1"/>
  <c r="O64" i="7"/>
  <c r="N64" i="7"/>
  <c r="L64" i="7"/>
  <c r="M64" i="7" s="1"/>
  <c r="W63" i="7"/>
  <c r="V63" i="7"/>
  <c r="T63" i="7"/>
  <c r="U63" i="7" s="1"/>
  <c r="S63" i="7"/>
  <c r="R63" i="7"/>
  <c r="P63" i="7"/>
  <c r="Q63" i="7" s="1"/>
  <c r="O63" i="7"/>
  <c r="N63" i="7"/>
  <c r="L63" i="7"/>
  <c r="M63" i="7" s="1"/>
  <c r="W62" i="7"/>
  <c r="V62" i="7"/>
  <c r="T62" i="7"/>
  <c r="U62" i="7" s="1"/>
  <c r="S62" i="7"/>
  <c r="R62" i="7"/>
  <c r="P62" i="7"/>
  <c r="Q62" i="7" s="1"/>
  <c r="O62" i="7"/>
  <c r="N62" i="7"/>
  <c r="L62" i="7"/>
  <c r="M62" i="7" s="1"/>
  <c r="W61" i="7"/>
  <c r="V61" i="7"/>
  <c r="T61" i="7"/>
  <c r="U61" i="7" s="1"/>
  <c r="S61" i="7"/>
  <c r="R61" i="7"/>
  <c r="P61" i="7"/>
  <c r="Q61" i="7" s="1"/>
  <c r="O61" i="7"/>
  <c r="N61" i="7"/>
  <c r="L61" i="7"/>
  <c r="M61" i="7" s="1"/>
  <c r="W60" i="7"/>
  <c r="V60" i="7"/>
  <c r="T60" i="7"/>
  <c r="U60" i="7" s="1"/>
  <c r="S60" i="7"/>
  <c r="R60" i="7"/>
  <c r="P60" i="7"/>
  <c r="Q60" i="7" s="1"/>
  <c r="O60" i="7"/>
  <c r="N60" i="7"/>
  <c r="L60" i="7"/>
  <c r="M60" i="7" s="1"/>
  <c r="W59" i="7"/>
  <c r="V59" i="7"/>
  <c r="T59" i="7"/>
  <c r="U59" i="7" s="1"/>
  <c r="S59" i="7"/>
  <c r="R59" i="7"/>
  <c r="P59" i="7"/>
  <c r="Q59" i="7" s="1"/>
  <c r="O59" i="7"/>
  <c r="N59" i="7"/>
  <c r="L59" i="7"/>
  <c r="M59" i="7" s="1"/>
  <c r="W58" i="7"/>
  <c r="V58" i="7"/>
  <c r="T58" i="7"/>
  <c r="U58" i="7" s="1"/>
  <c r="S58" i="7"/>
  <c r="R58" i="7"/>
  <c r="P58" i="7"/>
  <c r="Q58" i="7" s="1"/>
  <c r="O58" i="7"/>
  <c r="N58" i="7"/>
  <c r="L58" i="7"/>
  <c r="M58" i="7" s="1"/>
  <c r="W57" i="7"/>
  <c r="V57" i="7"/>
  <c r="T57" i="7"/>
  <c r="U57" i="7" s="1"/>
  <c r="S57" i="7"/>
  <c r="R57" i="7"/>
  <c r="P57" i="7"/>
  <c r="Q57" i="7" s="1"/>
  <c r="O57" i="7"/>
  <c r="N57" i="7"/>
  <c r="L57" i="7"/>
  <c r="M57" i="7" s="1"/>
  <c r="W56" i="7"/>
  <c r="V56" i="7"/>
  <c r="T56" i="7"/>
  <c r="U56" i="7" s="1"/>
  <c r="S56" i="7"/>
  <c r="R56" i="7"/>
  <c r="P56" i="7"/>
  <c r="Q56" i="7" s="1"/>
  <c r="O56" i="7"/>
  <c r="N56" i="7"/>
  <c r="L56" i="7"/>
  <c r="M56" i="7" s="1"/>
  <c r="W55" i="7"/>
  <c r="V55" i="7"/>
  <c r="T55" i="7"/>
  <c r="U55" i="7" s="1"/>
  <c r="S55" i="7"/>
  <c r="R55" i="7"/>
  <c r="P55" i="7"/>
  <c r="Q55" i="7" s="1"/>
  <c r="O55" i="7"/>
  <c r="N55" i="7"/>
  <c r="L55" i="7"/>
  <c r="M55" i="7" s="1"/>
  <c r="W54" i="7"/>
  <c r="V54" i="7"/>
  <c r="T54" i="7"/>
  <c r="U54" i="7" s="1"/>
  <c r="S54" i="7"/>
  <c r="R54" i="7"/>
  <c r="P54" i="7"/>
  <c r="Q54" i="7" s="1"/>
  <c r="O54" i="7"/>
  <c r="N54" i="7"/>
  <c r="L54" i="7"/>
  <c r="M54" i="7" s="1"/>
  <c r="W53" i="7"/>
  <c r="V53" i="7"/>
  <c r="T53" i="7"/>
  <c r="U53" i="7" s="1"/>
  <c r="S53" i="7"/>
  <c r="R53" i="7"/>
  <c r="P53" i="7"/>
  <c r="Q53" i="7" s="1"/>
  <c r="O53" i="7"/>
  <c r="N53" i="7"/>
  <c r="L53" i="7"/>
  <c r="M53" i="7" s="1"/>
  <c r="W52" i="7"/>
  <c r="V52" i="7"/>
  <c r="T52" i="7"/>
  <c r="U52" i="7" s="1"/>
  <c r="S52" i="7"/>
  <c r="R52" i="7"/>
  <c r="P52" i="7"/>
  <c r="Q52" i="7" s="1"/>
  <c r="O52" i="7"/>
  <c r="N52" i="7"/>
  <c r="L52" i="7"/>
  <c r="M52" i="7" s="1"/>
  <c r="W51" i="7"/>
  <c r="V51" i="7"/>
  <c r="T51" i="7"/>
  <c r="U51" i="7" s="1"/>
  <c r="S51" i="7"/>
  <c r="R51" i="7"/>
  <c r="P51" i="7"/>
  <c r="Q51" i="7" s="1"/>
  <c r="O51" i="7"/>
  <c r="N51" i="7"/>
  <c r="L51" i="7"/>
  <c r="M51" i="7" s="1"/>
  <c r="W50" i="7"/>
  <c r="V50" i="7"/>
  <c r="T50" i="7"/>
  <c r="U50" i="7" s="1"/>
  <c r="S50" i="7"/>
  <c r="R50" i="7"/>
  <c r="P50" i="7"/>
  <c r="Q50" i="7" s="1"/>
  <c r="O50" i="7"/>
  <c r="N50" i="7"/>
  <c r="L50" i="7"/>
  <c r="M50" i="7" s="1"/>
  <c r="F50" i="7"/>
  <c r="V49" i="7"/>
  <c r="W49" i="7" s="1"/>
  <c r="T49" i="7"/>
  <c r="U49" i="7" s="1"/>
  <c r="R49" i="7"/>
  <c r="S49" i="7" s="1"/>
  <c r="P49" i="7"/>
  <c r="Q49" i="7" s="1"/>
  <c r="N49" i="7"/>
  <c r="O49" i="7" s="1"/>
  <c r="L49" i="7"/>
  <c r="M49" i="7" s="1"/>
  <c r="V48" i="7"/>
  <c r="W48" i="7" s="1"/>
  <c r="T48" i="7"/>
  <c r="U48" i="7" s="1"/>
  <c r="R48" i="7"/>
  <c r="S48" i="7" s="1"/>
  <c r="P48" i="7"/>
  <c r="Q48" i="7" s="1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T46" i="7"/>
  <c r="U46" i="7" s="1"/>
  <c r="R46" i="7"/>
  <c r="S46" i="7" s="1"/>
  <c r="P46" i="7"/>
  <c r="Q46" i="7" s="1"/>
  <c r="N46" i="7"/>
  <c r="O46" i="7" s="1"/>
  <c r="L46" i="7"/>
  <c r="M46" i="7" s="1"/>
  <c r="V45" i="7"/>
  <c r="W45" i="7" s="1"/>
  <c r="T45" i="7"/>
  <c r="U45" i="7" s="1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R44" i="7"/>
  <c r="S44" i="7" s="1"/>
  <c r="P44" i="7"/>
  <c r="Q44" i="7" s="1"/>
  <c r="N44" i="7"/>
  <c r="O44" i="7" s="1"/>
  <c r="L44" i="7"/>
  <c r="M44" i="7" s="1"/>
  <c r="V43" i="7"/>
  <c r="W43" i="7" s="1"/>
  <c r="T43" i="7"/>
  <c r="U43" i="7" s="1"/>
  <c r="R43" i="7"/>
  <c r="S43" i="7" s="1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O20" i="7"/>
  <c r="N20" i="7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S17" i="7"/>
  <c r="R17" i="7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O16" i="7"/>
  <c r="N16" i="7"/>
  <c r="L16" i="7"/>
  <c r="M16" i="7" s="1"/>
  <c r="V15" i="7"/>
  <c r="W15" i="7" s="1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BI435" i="3" l="1"/>
  <c r="BL435" i="3" s="1"/>
  <c r="BI563" i="3"/>
  <c r="BL563" i="3" s="1"/>
  <c r="BI691" i="3"/>
  <c r="BL691" i="3" s="1"/>
  <c r="BI819" i="3"/>
  <c r="BL819" i="3" s="1"/>
  <c r="BI947" i="3"/>
  <c r="BL947" i="3" s="1"/>
  <c r="BI1075" i="3"/>
  <c r="BL1075" i="3" s="1"/>
  <c r="BD407" i="3"/>
  <c r="BG407" i="3" s="1"/>
  <c r="BD535" i="3"/>
  <c r="BG535" i="3" s="1"/>
  <c r="BD663" i="3"/>
  <c r="BG663" i="3" s="1"/>
  <c r="BD791" i="3"/>
  <c r="BG791" i="3" s="1"/>
  <c r="BD919" i="3"/>
  <c r="BG919" i="3" s="1"/>
  <c r="BD1047" i="3"/>
  <c r="BG1047" i="3" s="1"/>
  <c r="W11" i="2"/>
  <c r="W367" i="2"/>
  <c r="W495" i="2"/>
  <c r="W567" i="2"/>
  <c r="W599" i="2"/>
  <c r="W631" i="2"/>
  <c r="W663" i="2"/>
  <c r="W695" i="2"/>
  <c r="W727" i="2"/>
  <c r="W759" i="2"/>
  <c r="W791" i="2"/>
  <c r="W823" i="2"/>
  <c r="W855" i="2"/>
  <c r="V3" i="2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U47" i="2"/>
  <c r="U175" i="2"/>
  <c r="U303" i="2"/>
  <c r="U431" i="2"/>
  <c r="U559" i="2"/>
  <c r="U687" i="2"/>
  <c r="U815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BD727" i="3" s="1"/>
  <c r="BG727" i="3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U495" i="2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BD855" i="3" s="1"/>
  <c r="BG855" i="3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U623" i="2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BD983" i="3" s="1"/>
  <c r="BG983" i="3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U751" i="2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BD1111" i="3" s="1"/>
  <c r="BG1111" i="3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66" i="2" l="1"/>
  <c r="AO367" i="3" s="1"/>
  <c r="AR367" i="3" s="1"/>
  <c r="O358" i="2"/>
  <c r="AO654" i="3" s="1"/>
  <c r="AR654" i="3" s="1"/>
  <c r="O350" i="2"/>
  <c r="AO351" i="3" s="1"/>
  <c r="AR351" i="3" s="1"/>
  <c r="O346" i="2"/>
  <c r="AO347" i="3" s="1"/>
  <c r="AR347" i="3" s="1"/>
  <c r="O338" i="2"/>
  <c r="AO339" i="3" s="1"/>
  <c r="AR339" i="3" s="1"/>
  <c r="O330" i="2"/>
  <c r="AO331" i="3" s="1"/>
  <c r="AR331" i="3" s="1"/>
  <c r="O322" i="2"/>
  <c r="AO323" i="3" s="1"/>
  <c r="AR323" i="3" s="1"/>
  <c r="O306" i="2"/>
  <c r="AO307" i="3" s="1"/>
  <c r="AR307" i="3" s="1"/>
  <c r="O298" i="2"/>
  <c r="AO299" i="3" s="1"/>
  <c r="AR299" i="3" s="1"/>
  <c r="O290" i="2"/>
  <c r="AO586" i="3" s="1"/>
  <c r="AR586" i="3" s="1"/>
  <c r="O282" i="2"/>
  <c r="AO283" i="3" s="1"/>
  <c r="AR283" i="3" s="1"/>
  <c r="O274" i="2"/>
  <c r="AO275" i="3" s="1"/>
  <c r="AR275" i="3" s="1"/>
  <c r="O266" i="2"/>
  <c r="AO267" i="3" s="1"/>
  <c r="AR267" i="3" s="1"/>
  <c r="O258" i="2"/>
  <c r="AO259" i="3" s="1"/>
  <c r="AR259" i="3" s="1"/>
  <c r="O250" i="2"/>
  <c r="AO251" i="3" s="1"/>
  <c r="AR251" i="3" s="1"/>
  <c r="O242" i="2"/>
  <c r="AO243" i="3" s="1"/>
  <c r="AR243" i="3" s="1"/>
  <c r="O234" i="2"/>
  <c r="AO235" i="3" s="1"/>
  <c r="AR235" i="3" s="1"/>
  <c r="O226" i="2"/>
  <c r="AO522" i="3" s="1"/>
  <c r="AR522" i="3" s="1"/>
  <c r="O218" i="2"/>
  <c r="AO219" i="3" s="1"/>
  <c r="AR219" i="3" s="1"/>
  <c r="O210" i="2"/>
  <c r="AO211" i="3" s="1"/>
  <c r="AR211" i="3" s="1"/>
  <c r="O202" i="2"/>
  <c r="AO203" i="3" s="1"/>
  <c r="AR203" i="3" s="1"/>
  <c r="O194" i="2"/>
  <c r="AO195" i="3" s="1"/>
  <c r="AR195" i="3" s="1"/>
  <c r="O186" i="2"/>
  <c r="AO187" i="3" s="1"/>
  <c r="AR187" i="3" s="1"/>
  <c r="O178" i="2"/>
  <c r="AO179" i="3" s="1"/>
  <c r="AR179" i="3" s="1"/>
  <c r="O170" i="2"/>
  <c r="AO171" i="3" s="1"/>
  <c r="AR171" i="3" s="1"/>
  <c r="Q361" i="2"/>
  <c r="Q353" i="2"/>
  <c r="Q345" i="2"/>
  <c r="AT346" i="3" s="1"/>
  <c r="AW346" i="3" s="1"/>
  <c r="Q337" i="2"/>
  <c r="AT338" i="3" s="1"/>
  <c r="AW338" i="3" s="1"/>
  <c r="Q329" i="2"/>
  <c r="AT625" i="3" s="1"/>
  <c r="AW625" i="3" s="1"/>
  <c r="Q321" i="2"/>
  <c r="Q313" i="2"/>
  <c r="AT314" i="3" s="1"/>
  <c r="AW314" i="3" s="1"/>
  <c r="Q305" i="2"/>
  <c r="AT306" i="3" s="1"/>
  <c r="AW306" i="3" s="1"/>
  <c r="Q297" i="2"/>
  <c r="AT298" i="3" s="1"/>
  <c r="AW298" i="3" s="1"/>
  <c r="Q289" i="2"/>
  <c r="Q281" i="2"/>
  <c r="AT577" i="3" s="1"/>
  <c r="AW577" i="3" s="1"/>
  <c r="Q273" i="2"/>
  <c r="AT274" i="3" s="1"/>
  <c r="AW274" i="3" s="1"/>
  <c r="Q265" i="2"/>
  <c r="AT266" i="3" s="1"/>
  <c r="AW266" i="3" s="1"/>
  <c r="Q257" i="2"/>
  <c r="Q249" i="2"/>
  <c r="Q241" i="2"/>
  <c r="Q233" i="2"/>
  <c r="Q225" i="2"/>
  <c r="AT226" i="3" s="1"/>
  <c r="AW226" i="3" s="1"/>
  <c r="Q217" i="2"/>
  <c r="AT218" i="3" s="1"/>
  <c r="AW218" i="3" s="1"/>
  <c r="Q209" i="2"/>
  <c r="AT210" i="3" s="1"/>
  <c r="AW210" i="3" s="1"/>
  <c r="Q201" i="2"/>
  <c r="AT202" i="3" s="1"/>
  <c r="AW202" i="3" s="1"/>
  <c r="Q193" i="2"/>
  <c r="AT489" i="3" s="1"/>
  <c r="AW489" i="3" s="1"/>
  <c r="Q185" i="2"/>
  <c r="AT186" i="3" s="1"/>
  <c r="AW186" i="3" s="1"/>
  <c r="Q177" i="2"/>
  <c r="AT178" i="3" s="1"/>
  <c r="AW178" i="3" s="1"/>
  <c r="Q169" i="2"/>
  <c r="Q161" i="2"/>
  <c r="AT162" i="3" s="1"/>
  <c r="AW162" i="3" s="1"/>
  <c r="Q153" i="2"/>
  <c r="AT154" i="3" s="1"/>
  <c r="AW154" i="3" s="1"/>
  <c r="Q145" i="2"/>
  <c r="AT146" i="3" s="1"/>
  <c r="AW146" i="3" s="1"/>
  <c r="Q137" i="2"/>
  <c r="AT138" i="3" s="1"/>
  <c r="AW138" i="3" s="1"/>
  <c r="Q129" i="2"/>
  <c r="AT130" i="3" s="1"/>
  <c r="AW130" i="3" s="1"/>
  <c r="Q121" i="2"/>
  <c r="Q113" i="2"/>
  <c r="AT114" i="3" s="1"/>
  <c r="AW114" i="3" s="1"/>
  <c r="Q105" i="2"/>
  <c r="AT106" i="3" s="1"/>
  <c r="AW106" i="3" s="1"/>
  <c r="Q97" i="2"/>
  <c r="AT98" i="3" s="1"/>
  <c r="AW98" i="3" s="1"/>
  <c r="Q89" i="2"/>
  <c r="Q81" i="2"/>
  <c r="AT82" i="3" s="1"/>
  <c r="AW82" i="3" s="1"/>
  <c r="Q73" i="2"/>
  <c r="AT74" i="3" s="1"/>
  <c r="AW74" i="3" s="1"/>
  <c r="Q65" i="2"/>
  <c r="AT66" i="3" s="1"/>
  <c r="AW66" i="3" s="1"/>
  <c r="Q61" i="2"/>
  <c r="AT62" i="3" s="1"/>
  <c r="AW62" i="3" s="1"/>
  <c r="Q53" i="2"/>
  <c r="AT54" i="3" s="1"/>
  <c r="AW54" i="3" s="1"/>
  <c r="Q45" i="2"/>
  <c r="AT46" i="3" s="1"/>
  <c r="AW46" i="3" s="1"/>
  <c r="Q37" i="2"/>
  <c r="AT38" i="3" s="1"/>
  <c r="AW38" i="3" s="1"/>
  <c r="Q29" i="2"/>
  <c r="AT30" i="3" s="1"/>
  <c r="AW30" i="3" s="1"/>
  <c r="Q21" i="2"/>
  <c r="AT22" i="3" s="1"/>
  <c r="AW22" i="3" s="1"/>
  <c r="Q13" i="2"/>
  <c r="AT14" i="3" s="1"/>
  <c r="AW14" i="3" s="1"/>
  <c r="AY190" i="3"/>
  <c r="BB190" i="3" s="1"/>
  <c r="AY372" i="3"/>
  <c r="BB372" i="3" s="1"/>
  <c r="S25" i="2"/>
  <c r="AY26" i="3"/>
  <c r="BB26" i="3" s="1"/>
  <c r="S17" i="2"/>
  <c r="AY18" i="3"/>
  <c r="BB18" i="3" s="1"/>
  <c r="BI649" i="3"/>
  <c r="BL649" i="3" s="1"/>
  <c r="BI354" i="3"/>
  <c r="BL354" i="3" s="1"/>
  <c r="BI633" i="3"/>
  <c r="BL633" i="3" s="1"/>
  <c r="BI338" i="3"/>
  <c r="BL338" i="3" s="1"/>
  <c r="BI625" i="3"/>
  <c r="BL625" i="3" s="1"/>
  <c r="BI330" i="3"/>
  <c r="BL330" i="3" s="1"/>
  <c r="BI605" i="3"/>
  <c r="BL605" i="3" s="1"/>
  <c r="BI310" i="3"/>
  <c r="BL310" i="3" s="1"/>
  <c r="BI589" i="3"/>
  <c r="BL589" i="3" s="1"/>
  <c r="BI294" i="3"/>
  <c r="BL294" i="3" s="1"/>
  <c r="BI573" i="3"/>
  <c r="BL573" i="3" s="1"/>
  <c r="BI278" i="3"/>
  <c r="BL278" i="3" s="1"/>
  <c r="BI565" i="3"/>
  <c r="BL565" i="3" s="1"/>
  <c r="BI270" i="3"/>
  <c r="BL270" i="3" s="1"/>
  <c r="BI553" i="3"/>
  <c r="BL553" i="3" s="1"/>
  <c r="BI258" i="3"/>
  <c r="BL258" i="3" s="1"/>
  <c r="BI533" i="3"/>
  <c r="BL533" i="3" s="1"/>
  <c r="BI238" i="3"/>
  <c r="BL238" i="3" s="1"/>
  <c r="BI517" i="3"/>
  <c r="BL517" i="3" s="1"/>
  <c r="BI222" i="3"/>
  <c r="BL222" i="3" s="1"/>
  <c r="BI505" i="3"/>
  <c r="BL505" i="3" s="1"/>
  <c r="BI210" i="3"/>
  <c r="BL210" i="3" s="1"/>
  <c r="BI481" i="3"/>
  <c r="BL481" i="3" s="1"/>
  <c r="BI186" i="3"/>
  <c r="BL186" i="3" s="1"/>
  <c r="BI465" i="3"/>
  <c r="BL465" i="3" s="1"/>
  <c r="BI170" i="3"/>
  <c r="BL170" i="3" s="1"/>
  <c r="BI453" i="3"/>
  <c r="BL453" i="3" s="1"/>
  <c r="BI158" i="3"/>
  <c r="BL158" i="3" s="1"/>
  <c r="BI445" i="3"/>
  <c r="BL445" i="3" s="1"/>
  <c r="BI150" i="3"/>
  <c r="BL150" i="3" s="1"/>
  <c r="BI425" i="3"/>
  <c r="BL425" i="3" s="1"/>
  <c r="BI130" i="3"/>
  <c r="BL130" i="3" s="1"/>
  <c r="BI413" i="3"/>
  <c r="BL413" i="3" s="1"/>
  <c r="BI118" i="3"/>
  <c r="BL118" i="3" s="1"/>
  <c r="BI397" i="3"/>
  <c r="BL397" i="3" s="1"/>
  <c r="BI102" i="3"/>
  <c r="BL102" i="3" s="1"/>
  <c r="BI385" i="3"/>
  <c r="BL385" i="3" s="1"/>
  <c r="BI90" i="3"/>
  <c r="BL90" i="3" s="1"/>
  <c r="O293" i="2"/>
  <c r="AO589" i="3" s="1"/>
  <c r="AR589" i="3" s="1"/>
  <c r="O289" i="2"/>
  <c r="AO290" i="3" s="1"/>
  <c r="AR290" i="3" s="1"/>
  <c r="O261" i="2"/>
  <c r="AO557" i="3" s="1"/>
  <c r="AR557" i="3" s="1"/>
  <c r="O257" i="2"/>
  <c r="AO258" i="3" s="1"/>
  <c r="AR258" i="3" s="1"/>
  <c r="O233" i="2"/>
  <c r="AO234" i="3" s="1"/>
  <c r="AR234" i="3" s="1"/>
  <c r="O201" i="2"/>
  <c r="AO202" i="3" s="1"/>
  <c r="AR202" i="3" s="1"/>
  <c r="O113" i="2"/>
  <c r="AO409" i="3" s="1"/>
  <c r="AR409" i="3" s="1"/>
  <c r="O101" i="2"/>
  <c r="AO102" i="3" s="1"/>
  <c r="AR102" i="3" s="1"/>
  <c r="O356" i="2"/>
  <c r="AO357" i="3" s="1"/>
  <c r="AR357" i="3" s="1"/>
  <c r="O340" i="2"/>
  <c r="AO341" i="3" s="1"/>
  <c r="AR341" i="3" s="1"/>
  <c r="O328" i="2"/>
  <c r="AO329" i="3" s="1"/>
  <c r="AR329" i="3" s="1"/>
  <c r="O316" i="2"/>
  <c r="AO317" i="3" s="1"/>
  <c r="AR317" i="3" s="1"/>
  <c r="O304" i="2"/>
  <c r="AO305" i="3" s="1"/>
  <c r="AR305" i="3" s="1"/>
  <c r="O292" i="2"/>
  <c r="AO293" i="3" s="1"/>
  <c r="AR293" i="3" s="1"/>
  <c r="O284" i="2"/>
  <c r="AO580" i="3" s="1"/>
  <c r="AR580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0" i="2"/>
  <c r="AO241" i="3" s="1"/>
  <c r="AR241" i="3" s="1"/>
  <c r="O228" i="2"/>
  <c r="AO229" i="3" s="1"/>
  <c r="AR229" i="3" s="1"/>
  <c r="O216" i="2"/>
  <c r="AO217" i="3" s="1"/>
  <c r="AR217" i="3" s="1"/>
  <c r="O204" i="2"/>
  <c r="AO205" i="3" s="1"/>
  <c r="AR205" i="3" s="1"/>
  <c r="O192" i="2"/>
  <c r="AO193" i="3" s="1"/>
  <c r="AR193" i="3" s="1"/>
  <c r="O180" i="2"/>
  <c r="AO181" i="3" s="1"/>
  <c r="AR181" i="3" s="1"/>
  <c r="O160" i="2"/>
  <c r="AO161" i="3" s="1"/>
  <c r="AR161" i="3" s="1"/>
  <c r="O148" i="2"/>
  <c r="AO149" i="3" s="1"/>
  <c r="AR149" i="3" s="1"/>
  <c r="O136" i="2"/>
  <c r="AO432" i="3" s="1"/>
  <c r="AR432" i="3" s="1"/>
  <c r="O116" i="2"/>
  <c r="AO117" i="3" s="1"/>
  <c r="AR117" i="3" s="1"/>
  <c r="O76" i="2"/>
  <c r="AO77" i="3" s="1"/>
  <c r="AR77" i="3" s="1"/>
  <c r="O64" i="2"/>
  <c r="AO65" i="3" s="1"/>
  <c r="AR65" i="3" s="1"/>
  <c r="O52" i="2"/>
  <c r="AO53" i="3" s="1"/>
  <c r="AR53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I661" i="3"/>
  <c r="BL661" i="3" s="1"/>
  <c r="BI366" i="3"/>
  <c r="BL366" i="3" s="1"/>
  <c r="BI657" i="3"/>
  <c r="BL657" i="3" s="1"/>
  <c r="BI362" i="3"/>
  <c r="BL362" i="3" s="1"/>
  <c r="BI645" i="3"/>
  <c r="BL645" i="3" s="1"/>
  <c r="BI350" i="3"/>
  <c r="BL350" i="3" s="1"/>
  <c r="BI637" i="3"/>
  <c r="BL637" i="3" s="1"/>
  <c r="BI342" i="3"/>
  <c r="BL342" i="3" s="1"/>
  <c r="BI629" i="3"/>
  <c r="BL629" i="3" s="1"/>
  <c r="BI334" i="3"/>
  <c r="BL334" i="3" s="1"/>
  <c r="BI617" i="3"/>
  <c r="BL617" i="3" s="1"/>
  <c r="BI322" i="3"/>
  <c r="BL322" i="3" s="1"/>
  <c r="BI613" i="3"/>
  <c r="BL613" i="3" s="1"/>
  <c r="BI318" i="3"/>
  <c r="BL318" i="3" s="1"/>
  <c r="BI601" i="3"/>
  <c r="BL601" i="3" s="1"/>
  <c r="BI306" i="3"/>
  <c r="BL306" i="3" s="1"/>
  <c r="BI597" i="3"/>
  <c r="BL597" i="3" s="1"/>
  <c r="BI302" i="3"/>
  <c r="BL302" i="3" s="1"/>
  <c r="BI585" i="3"/>
  <c r="BL585" i="3" s="1"/>
  <c r="BI290" i="3"/>
  <c r="BL290" i="3" s="1"/>
  <c r="BI581" i="3"/>
  <c r="BL581" i="3" s="1"/>
  <c r="BI286" i="3"/>
  <c r="BL286" i="3" s="1"/>
  <c r="BI569" i="3"/>
  <c r="BL569" i="3" s="1"/>
  <c r="BI274" i="3"/>
  <c r="BL274" i="3" s="1"/>
  <c r="BI557" i="3"/>
  <c r="BL557" i="3" s="1"/>
  <c r="BI262" i="3"/>
  <c r="BL262" i="3" s="1"/>
  <c r="BI545" i="3"/>
  <c r="BL545" i="3" s="1"/>
  <c r="BI250" i="3"/>
  <c r="BL250" i="3" s="1"/>
  <c r="BI541" i="3"/>
  <c r="BL541" i="3" s="1"/>
  <c r="BI246" i="3"/>
  <c r="BL246" i="3" s="1"/>
  <c r="BI529" i="3"/>
  <c r="BL529" i="3" s="1"/>
  <c r="BI234" i="3"/>
  <c r="BL234" i="3" s="1"/>
  <c r="BI525" i="3"/>
  <c r="BL525" i="3" s="1"/>
  <c r="BI230" i="3"/>
  <c r="BL230" i="3" s="1"/>
  <c r="BI513" i="3"/>
  <c r="BL513" i="3" s="1"/>
  <c r="BI218" i="3"/>
  <c r="BL218" i="3" s="1"/>
  <c r="BI501" i="3"/>
  <c r="BL501" i="3" s="1"/>
  <c r="BI206" i="3"/>
  <c r="BL206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77" i="3"/>
  <c r="BL477" i="3" s="1"/>
  <c r="BI182" i="3"/>
  <c r="BL182" i="3" s="1"/>
  <c r="BI469" i="3"/>
  <c r="BL469" i="3" s="1"/>
  <c r="BI174" i="3"/>
  <c r="BL174" i="3" s="1"/>
  <c r="BI461" i="3"/>
  <c r="BL461" i="3" s="1"/>
  <c r="BI166" i="3"/>
  <c r="BL166" i="3" s="1"/>
  <c r="BI449" i="3"/>
  <c r="BL449" i="3" s="1"/>
  <c r="BI154" i="3"/>
  <c r="BL154" i="3" s="1"/>
  <c r="BI437" i="3"/>
  <c r="BL437" i="3" s="1"/>
  <c r="BI142" i="3"/>
  <c r="BL142" i="3" s="1"/>
  <c r="BI433" i="3"/>
  <c r="BL433" i="3" s="1"/>
  <c r="BI138" i="3"/>
  <c r="BL138" i="3" s="1"/>
  <c r="BI421" i="3"/>
  <c r="BL421" i="3" s="1"/>
  <c r="BI126" i="3"/>
  <c r="BL126" i="3" s="1"/>
  <c r="BI409" i="3"/>
  <c r="BL409" i="3" s="1"/>
  <c r="BI114" i="3"/>
  <c r="BL114" i="3" s="1"/>
  <c r="BI405" i="3"/>
  <c r="BL405" i="3" s="1"/>
  <c r="BI110" i="3"/>
  <c r="BL110" i="3" s="1"/>
  <c r="BI393" i="3"/>
  <c r="BL393" i="3" s="1"/>
  <c r="BI98" i="3"/>
  <c r="BL98" i="3" s="1"/>
  <c r="BI381" i="3"/>
  <c r="BL381" i="3" s="1"/>
  <c r="BI86" i="3"/>
  <c r="BL86" i="3" s="1"/>
  <c r="O314" i="2"/>
  <c r="AO315" i="3" s="1"/>
  <c r="AR315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77" i="2"/>
  <c r="AO278" i="3" s="1"/>
  <c r="AR278" i="3" s="1"/>
  <c r="O221" i="2"/>
  <c r="AO222" i="3" s="1"/>
  <c r="AR222" i="3" s="1"/>
  <c r="O217" i="2"/>
  <c r="AO218" i="3" s="1"/>
  <c r="AR218" i="3" s="1"/>
  <c r="O213" i="2"/>
  <c r="AO214" i="3" s="1"/>
  <c r="AR214" i="3" s="1"/>
  <c r="O185" i="2"/>
  <c r="AO186" i="3" s="1"/>
  <c r="AR186" i="3" s="1"/>
  <c r="O165" i="2"/>
  <c r="AO166" i="3" s="1"/>
  <c r="AR166" i="3" s="1"/>
  <c r="O153" i="2"/>
  <c r="AO449" i="3" s="1"/>
  <c r="AR449" i="3" s="1"/>
  <c r="O149" i="2"/>
  <c r="AO150" i="3" s="1"/>
  <c r="AR150" i="3" s="1"/>
  <c r="O141" i="2"/>
  <c r="AO142" i="3" s="1"/>
  <c r="AR142" i="3" s="1"/>
  <c r="O121" i="2"/>
  <c r="AO122" i="3" s="1"/>
  <c r="AR122" i="3" s="1"/>
  <c r="O109" i="2"/>
  <c r="AO110" i="3" s="1"/>
  <c r="AR110" i="3" s="1"/>
  <c r="O89" i="2"/>
  <c r="AO90" i="3" s="1"/>
  <c r="AR90" i="3" s="1"/>
  <c r="O85" i="2"/>
  <c r="AO381" i="3" s="1"/>
  <c r="AR381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49" i="2"/>
  <c r="AO50" i="3" s="1"/>
  <c r="AR50" i="3" s="1"/>
  <c r="O45" i="2"/>
  <c r="AO46" i="3" s="1"/>
  <c r="AR46" i="3" s="1"/>
  <c r="O13" i="2"/>
  <c r="AO14" i="3" s="1"/>
  <c r="AR14" i="3" s="1"/>
  <c r="O237" i="2"/>
  <c r="AO238" i="3" s="1"/>
  <c r="AR238" i="3" s="1"/>
  <c r="O364" i="2"/>
  <c r="AO365" i="3" s="1"/>
  <c r="AR365" i="3" s="1"/>
  <c r="O348" i="2"/>
  <c r="AO349" i="3" s="1"/>
  <c r="AR349" i="3" s="1"/>
  <c r="O344" i="2"/>
  <c r="AO640" i="3" s="1"/>
  <c r="AR640" i="3" s="1"/>
  <c r="O336" i="2"/>
  <c r="AO337" i="3" s="1"/>
  <c r="AR337" i="3" s="1"/>
  <c r="O332" i="2"/>
  <c r="AO628" i="3" s="1"/>
  <c r="AR628" i="3" s="1"/>
  <c r="O324" i="2"/>
  <c r="AO325" i="3" s="1"/>
  <c r="AR325" i="3" s="1"/>
  <c r="O320" i="2"/>
  <c r="AO321" i="3" s="1"/>
  <c r="AR321" i="3" s="1"/>
  <c r="O312" i="2"/>
  <c r="AO313" i="3" s="1"/>
  <c r="AR313" i="3" s="1"/>
  <c r="O308" i="2"/>
  <c r="AO309" i="3" s="1"/>
  <c r="AR309" i="3" s="1"/>
  <c r="O300" i="2"/>
  <c r="AO301" i="3" s="1"/>
  <c r="AR301" i="3" s="1"/>
  <c r="O296" i="2"/>
  <c r="AO592" i="3" s="1"/>
  <c r="AR592" i="3" s="1"/>
  <c r="O288" i="2"/>
  <c r="AO289" i="3" s="1"/>
  <c r="AR289" i="3" s="1"/>
  <c r="O272" i="2"/>
  <c r="AO273" i="3" s="1"/>
  <c r="AR273" i="3" s="1"/>
  <c r="O264" i="2"/>
  <c r="AO265" i="3" s="1"/>
  <c r="AR265" i="3" s="1"/>
  <c r="O248" i="2"/>
  <c r="AO249" i="3" s="1"/>
  <c r="AR249" i="3" s="1"/>
  <c r="O244" i="2"/>
  <c r="AO245" i="3" s="1"/>
  <c r="AR245" i="3" s="1"/>
  <c r="O236" i="2"/>
  <c r="AO237" i="3" s="1"/>
  <c r="AR237" i="3" s="1"/>
  <c r="O232" i="2"/>
  <c r="AO233" i="3" s="1"/>
  <c r="AR233" i="3" s="1"/>
  <c r="O224" i="2"/>
  <c r="AO520" i="3" s="1"/>
  <c r="AR520" i="3" s="1"/>
  <c r="O220" i="2"/>
  <c r="AO221" i="3" s="1"/>
  <c r="AR221" i="3" s="1"/>
  <c r="O212" i="2"/>
  <c r="AO508" i="3" s="1"/>
  <c r="AR508" i="3" s="1"/>
  <c r="O208" i="2"/>
  <c r="AO209" i="3" s="1"/>
  <c r="AR209" i="3" s="1"/>
  <c r="O200" i="2"/>
  <c r="AO496" i="3" s="1"/>
  <c r="AR496" i="3" s="1"/>
  <c r="O196" i="2"/>
  <c r="AO197" i="3" s="1"/>
  <c r="AR197" i="3" s="1"/>
  <c r="O188" i="2"/>
  <c r="AO484" i="3" s="1"/>
  <c r="AR484" i="3" s="1"/>
  <c r="O184" i="2"/>
  <c r="AO185" i="3" s="1"/>
  <c r="AR185" i="3" s="1"/>
  <c r="O176" i="2"/>
  <c r="AO177" i="3" s="1"/>
  <c r="AR177" i="3" s="1"/>
  <c r="O172" i="2"/>
  <c r="AO468" i="3" s="1"/>
  <c r="AR468" i="3" s="1"/>
  <c r="O168" i="2"/>
  <c r="AO169" i="3" s="1"/>
  <c r="AR169" i="3" s="1"/>
  <c r="O164" i="2"/>
  <c r="AO165" i="3" s="1"/>
  <c r="AR165" i="3" s="1"/>
  <c r="O156" i="2"/>
  <c r="AO157" i="3" s="1"/>
  <c r="AR157" i="3" s="1"/>
  <c r="O152" i="2"/>
  <c r="AO153" i="3" s="1"/>
  <c r="AR153" i="3" s="1"/>
  <c r="O144" i="2"/>
  <c r="AO145" i="3" s="1"/>
  <c r="AR145" i="3" s="1"/>
  <c r="O140" i="2"/>
  <c r="AO141" i="3" s="1"/>
  <c r="AR141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396" i="3" s="1"/>
  <c r="AR396" i="3" s="1"/>
  <c r="O96" i="2"/>
  <c r="AO97" i="3" s="1"/>
  <c r="AR97" i="3" s="1"/>
  <c r="O92" i="2"/>
  <c r="AO388" i="3" s="1"/>
  <c r="AR388" i="3" s="1"/>
  <c r="O84" i="2"/>
  <c r="AO85" i="3" s="1"/>
  <c r="AR85" i="3" s="1"/>
  <c r="O80" i="2"/>
  <c r="AO81" i="3" s="1"/>
  <c r="AR81" i="3" s="1"/>
  <c r="O72" i="2"/>
  <c r="AO73" i="3" s="1"/>
  <c r="AR73" i="3" s="1"/>
  <c r="O68" i="2"/>
  <c r="AO69" i="3" s="1"/>
  <c r="AR69" i="3" s="1"/>
  <c r="O60" i="2"/>
  <c r="AO61" i="3" s="1"/>
  <c r="AR61" i="3" s="1"/>
  <c r="O56" i="2"/>
  <c r="AO57" i="3" s="1"/>
  <c r="AR57" i="3" s="1"/>
  <c r="O48" i="2"/>
  <c r="AO49" i="3" s="1"/>
  <c r="AR49" i="3" s="1"/>
  <c r="O44" i="2"/>
  <c r="AO45" i="3" s="1"/>
  <c r="AR45" i="3" s="1"/>
  <c r="O617" i="2"/>
  <c r="AO913" i="3" s="1"/>
  <c r="AR913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647" i="3" s="1"/>
  <c r="AR647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623" i="3" s="1"/>
  <c r="AR623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591" i="3" s="1"/>
  <c r="AR591" i="3" s="1"/>
  <c r="O291" i="2"/>
  <c r="AO292" i="3" s="1"/>
  <c r="AR292" i="3" s="1"/>
  <c r="O287" i="2"/>
  <c r="AO583" i="3" s="1"/>
  <c r="AR583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559" i="3" s="1"/>
  <c r="AR559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527" i="3" s="1"/>
  <c r="AR527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495" i="3" s="1"/>
  <c r="AR495" i="3" s="1"/>
  <c r="O195" i="2"/>
  <c r="AO196" i="3" s="1"/>
  <c r="AR196" i="3" s="1"/>
  <c r="O191" i="2"/>
  <c r="AO374" i="3" s="1"/>
  <c r="AR374" i="3" s="1"/>
  <c r="O187" i="2"/>
  <c r="AO370" i="3" s="1"/>
  <c r="AR370" i="3" s="1"/>
  <c r="O183" i="2"/>
  <c r="AO184" i="3" s="1"/>
  <c r="AR184" i="3" s="1"/>
  <c r="O179" i="2"/>
  <c r="AO475" i="3" s="1"/>
  <c r="AR475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459" i="3" s="1"/>
  <c r="AR459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443" i="3" s="1"/>
  <c r="AR443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423" i="3" s="1"/>
  <c r="AR423" i="3" s="1"/>
  <c r="O123" i="2"/>
  <c r="AO124" i="3" s="1"/>
  <c r="AR124" i="3" s="1"/>
  <c r="O119" i="2"/>
  <c r="AO120" i="3" s="1"/>
  <c r="AR120" i="3" s="1"/>
  <c r="O115" i="2"/>
  <c r="AO411" i="3" s="1"/>
  <c r="AR411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395" i="3" s="1"/>
  <c r="AR395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2" i="2"/>
  <c r="AO363" i="3" s="1"/>
  <c r="AR363" i="3" s="1"/>
  <c r="O354" i="2"/>
  <c r="AO355" i="3" s="1"/>
  <c r="AR355" i="3" s="1"/>
  <c r="O342" i="2"/>
  <c r="AO343" i="3" s="1"/>
  <c r="AR343" i="3" s="1"/>
  <c r="O334" i="2"/>
  <c r="AO335" i="3" s="1"/>
  <c r="AR335" i="3" s="1"/>
  <c r="O326" i="2"/>
  <c r="AO622" i="3" s="1"/>
  <c r="AR622" i="3" s="1"/>
  <c r="O318" i="2"/>
  <c r="AO319" i="3" s="1"/>
  <c r="AR319" i="3" s="1"/>
  <c r="O302" i="2"/>
  <c r="AO303" i="3" s="1"/>
  <c r="AR303" i="3" s="1"/>
  <c r="O294" i="2"/>
  <c r="AO295" i="3" s="1"/>
  <c r="AR295" i="3" s="1"/>
  <c r="O286" i="2"/>
  <c r="AO287" i="3" s="1"/>
  <c r="AR287" i="3" s="1"/>
  <c r="O278" i="2"/>
  <c r="AO279" i="3" s="1"/>
  <c r="AR279" i="3" s="1"/>
  <c r="O270" i="2"/>
  <c r="AO271" i="3" s="1"/>
  <c r="AR271" i="3" s="1"/>
  <c r="O262" i="2"/>
  <c r="AO263" i="3" s="1"/>
  <c r="AR263" i="3" s="1"/>
  <c r="O254" i="2"/>
  <c r="AO550" i="3" s="1"/>
  <c r="AR550" i="3" s="1"/>
  <c r="O246" i="2"/>
  <c r="AO247" i="3" s="1"/>
  <c r="AR247" i="3" s="1"/>
  <c r="O238" i="2"/>
  <c r="AO239" i="3" s="1"/>
  <c r="AR239" i="3" s="1"/>
  <c r="O230" i="2"/>
  <c r="AO231" i="3" s="1"/>
  <c r="AR231" i="3" s="1"/>
  <c r="O222" i="2"/>
  <c r="AO223" i="3" s="1"/>
  <c r="AR223" i="3" s="1"/>
  <c r="O214" i="2"/>
  <c r="AO215" i="3" s="1"/>
  <c r="AR215" i="3" s="1"/>
  <c r="O206" i="2"/>
  <c r="AO207" i="3" s="1"/>
  <c r="AR207" i="3" s="1"/>
  <c r="O198" i="2"/>
  <c r="AO199" i="3" s="1"/>
  <c r="AR199" i="3" s="1"/>
  <c r="O190" i="2"/>
  <c r="AO486" i="3" s="1"/>
  <c r="AR486" i="3" s="1"/>
  <c r="O182" i="2"/>
  <c r="AO183" i="3" s="1"/>
  <c r="AR183" i="3" s="1"/>
  <c r="O174" i="2"/>
  <c r="AO470" i="3" s="1"/>
  <c r="AR470" i="3" s="1"/>
  <c r="O166" i="2"/>
  <c r="AO167" i="3" s="1"/>
  <c r="AR167" i="3" s="1"/>
  <c r="O162" i="2"/>
  <c r="AO458" i="3" s="1"/>
  <c r="AR458" i="3" s="1"/>
  <c r="O118" i="2"/>
  <c r="AO414" i="3" s="1"/>
  <c r="AR414" i="3" s="1"/>
  <c r="Q365" i="2"/>
  <c r="AT366" i="3" s="1"/>
  <c r="AW366" i="3" s="1"/>
  <c r="Q357" i="2"/>
  <c r="AT358" i="3" s="1"/>
  <c r="AW358" i="3" s="1"/>
  <c r="Q349" i="2"/>
  <c r="AT645" i="3" s="1"/>
  <c r="AW645" i="3" s="1"/>
  <c r="Q341" i="2"/>
  <c r="Q333" i="2"/>
  <c r="AT334" i="3" s="1"/>
  <c r="AW334" i="3" s="1"/>
  <c r="Q325" i="2"/>
  <c r="AT326" i="3" s="1"/>
  <c r="AW326" i="3" s="1"/>
  <c r="Q317" i="2"/>
  <c r="AT318" i="3" s="1"/>
  <c r="AW318" i="3" s="1"/>
  <c r="Q309" i="2"/>
  <c r="Q301" i="2"/>
  <c r="AT302" i="3" s="1"/>
  <c r="AW302" i="3" s="1"/>
  <c r="Q293" i="2"/>
  <c r="AT294" i="3" s="1"/>
  <c r="AW294" i="3" s="1"/>
  <c r="Q285" i="2"/>
  <c r="AT286" i="3" s="1"/>
  <c r="AW286" i="3" s="1"/>
  <c r="Q277" i="2"/>
  <c r="Q269" i="2"/>
  <c r="AT565" i="3" s="1"/>
  <c r="AW565" i="3" s="1"/>
  <c r="Q261" i="2"/>
  <c r="AT262" i="3" s="1"/>
  <c r="AW262" i="3" s="1"/>
  <c r="Q253" i="2"/>
  <c r="AT254" i="3" s="1"/>
  <c r="AW254" i="3" s="1"/>
  <c r="Q245" i="2"/>
  <c r="Q237" i="2"/>
  <c r="AT238" i="3" s="1"/>
  <c r="AW238" i="3" s="1"/>
  <c r="Q229" i="2"/>
  <c r="AT230" i="3" s="1"/>
  <c r="AW230" i="3" s="1"/>
  <c r="Q221" i="2"/>
  <c r="AT517" i="3" s="1"/>
  <c r="AW517" i="3" s="1"/>
  <c r="Q213" i="2"/>
  <c r="Q205" i="2"/>
  <c r="AT206" i="3" s="1"/>
  <c r="AW206" i="3" s="1"/>
  <c r="Q197" i="2"/>
  <c r="AT198" i="3" s="1"/>
  <c r="AW198" i="3" s="1"/>
  <c r="Q189" i="2"/>
  <c r="AT372" i="3" s="1"/>
  <c r="AW372" i="3" s="1"/>
  <c r="Q181" i="2"/>
  <c r="AT182" i="3" s="1"/>
  <c r="AW182" i="3" s="1"/>
  <c r="Q173" i="2"/>
  <c r="AT174" i="3" s="1"/>
  <c r="AW174" i="3" s="1"/>
  <c r="Q165" i="2"/>
  <c r="AT166" i="3" s="1"/>
  <c r="AW166" i="3" s="1"/>
  <c r="Q157" i="2"/>
  <c r="AT158" i="3" s="1"/>
  <c r="AW158" i="3" s="1"/>
  <c r="Q149" i="2"/>
  <c r="AT150" i="3" s="1"/>
  <c r="AW150" i="3" s="1"/>
  <c r="Q141" i="2"/>
  <c r="AT437" i="3" s="1"/>
  <c r="AW437" i="3" s="1"/>
  <c r="Q133" i="2"/>
  <c r="Q125" i="2"/>
  <c r="AT126" i="3" s="1"/>
  <c r="AW126" i="3" s="1"/>
  <c r="Q117" i="2"/>
  <c r="AT118" i="3" s="1"/>
  <c r="AW118" i="3" s="1"/>
  <c r="Q109" i="2"/>
  <c r="AT110" i="3" s="1"/>
  <c r="AW110" i="3" s="1"/>
  <c r="Q101" i="2"/>
  <c r="AT102" i="3" s="1"/>
  <c r="AW102" i="3" s="1"/>
  <c r="Q93" i="2"/>
  <c r="AT94" i="3" s="1"/>
  <c r="AW94" i="3" s="1"/>
  <c r="Q85" i="2"/>
  <c r="Q77" i="2"/>
  <c r="AT78" i="3" s="1"/>
  <c r="AW78" i="3" s="1"/>
  <c r="Q69" i="2"/>
  <c r="AT70" i="3" s="1"/>
  <c r="AW70" i="3" s="1"/>
  <c r="Q57" i="2"/>
  <c r="AT58" i="3" s="1"/>
  <c r="AW58" i="3" s="1"/>
  <c r="Q49" i="2"/>
  <c r="AT50" i="3" s="1"/>
  <c r="AW50" i="3" s="1"/>
  <c r="Q41" i="2"/>
  <c r="AT42" i="3" s="1"/>
  <c r="AW42" i="3" s="1"/>
  <c r="Q33" i="2"/>
  <c r="AT34" i="3" s="1"/>
  <c r="AW34" i="3" s="1"/>
  <c r="Q25" i="2"/>
  <c r="AT26" i="3" s="1"/>
  <c r="AW26" i="3" s="1"/>
  <c r="Q17" i="2"/>
  <c r="AT18" i="3" s="1"/>
  <c r="AW18" i="3" s="1"/>
  <c r="AY194" i="3"/>
  <c r="BB194" i="3" s="1"/>
  <c r="AY376" i="3"/>
  <c r="BB376" i="3" s="1"/>
  <c r="S21" i="2"/>
  <c r="AY22" i="3"/>
  <c r="BB22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BI653" i="3"/>
  <c r="BL653" i="3" s="1"/>
  <c r="BI358" i="3"/>
  <c r="BL358" i="3" s="1"/>
  <c r="BI641" i="3"/>
  <c r="BL641" i="3" s="1"/>
  <c r="BI346" i="3"/>
  <c r="BL346" i="3" s="1"/>
  <c r="BI621" i="3"/>
  <c r="BL621" i="3" s="1"/>
  <c r="BI326" i="3"/>
  <c r="BL326" i="3" s="1"/>
  <c r="BI609" i="3"/>
  <c r="BL609" i="3" s="1"/>
  <c r="BI314" i="3"/>
  <c r="BL314" i="3" s="1"/>
  <c r="BI593" i="3"/>
  <c r="BL593" i="3" s="1"/>
  <c r="BI298" i="3"/>
  <c r="BL298" i="3" s="1"/>
  <c r="BI577" i="3"/>
  <c r="BL577" i="3" s="1"/>
  <c r="BI282" i="3"/>
  <c r="BL282" i="3" s="1"/>
  <c r="BI561" i="3"/>
  <c r="BL561" i="3" s="1"/>
  <c r="BI266" i="3"/>
  <c r="BL266" i="3" s="1"/>
  <c r="BI549" i="3"/>
  <c r="BL549" i="3" s="1"/>
  <c r="BI254" i="3"/>
  <c r="BL254" i="3" s="1"/>
  <c r="BI537" i="3"/>
  <c r="BL537" i="3" s="1"/>
  <c r="BI242" i="3"/>
  <c r="BL242" i="3" s="1"/>
  <c r="BI521" i="3"/>
  <c r="BL521" i="3" s="1"/>
  <c r="BI226" i="3"/>
  <c r="BL226" i="3" s="1"/>
  <c r="BI509" i="3"/>
  <c r="BL509" i="3" s="1"/>
  <c r="BI214" i="3"/>
  <c r="BL214" i="3" s="1"/>
  <c r="BI497" i="3"/>
  <c r="BL497" i="3" s="1"/>
  <c r="BI202" i="3"/>
  <c r="BL202" i="3" s="1"/>
  <c r="BI485" i="3"/>
  <c r="BL485" i="3" s="1"/>
  <c r="BI190" i="3"/>
  <c r="BL190" i="3" s="1"/>
  <c r="BI372" i="3"/>
  <c r="BL372" i="3" s="1"/>
  <c r="BI473" i="3"/>
  <c r="BL473" i="3" s="1"/>
  <c r="BI178" i="3"/>
  <c r="BL178" i="3" s="1"/>
  <c r="BI457" i="3"/>
  <c r="BL457" i="3" s="1"/>
  <c r="BI162" i="3"/>
  <c r="BL162" i="3" s="1"/>
  <c r="BI441" i="3"/>
  <c r="BL441" i="3" s="1"/>
  <c r="BI146" i="3"/>
  <c r="BL146" i="3" s="1"/>
  <c r="BI429" i="3"/>
  <c r="BL429" i="3" s="1"/>
  <c r="BI134" i="3"/>
  <c r="BL134" i="3" s="1"/>
  <c r="BI417" i="3"/>
  <c r="BL417" i="3" s="1"/>
  <c r="BI122" i="3"/>
  <c r="BL122" i="3" s="1"/>
  <c r="BI401" i="3"/>
  <c r="BL401" i="3" s="1"/>
  <c r="BI106" i="3"/>
  <c r="BL106" i="3" s="1"/>
  <c r="BI389" i="3"/>
  <c r="BL389" i="3" s="1"/>
  <c r="BI94" i="3"/>
  <c r="BL94" i="3" s="1"/>
  <c r="O365" i="2"/>
  <c r="AO366" i="3" s="1"/>
  <c r="AR366" i="3" s="1"/>
  <c r="O273" i="2"/>
  <c r="AO569" i="3" s="1"/>
  <c r="AR569" i="3" s="1"/>
  <c r="O245" i="2"/>
  <c r="AO246" i="3" s="1"/>
  <c r="AR246" i="3" s="1"/>
  <c r="O189" i="2"/>
  <c r="AO372" i="3" s="1"/>
  <c r="AR372" i="3" s="1"/>
  <c r="O181" i="2"/>
  <c r="AO182" i="3" s="1"/>
  <c r="AR182" i="3" s="1"/>
  <c r="O169" i="2"/>
  <c r="AO170" i="3" s="1"/>
  <c r="AR170" i="3" s="1"/>
  <c r="O137" i="2"/>
  <c r="AO138" i="3" s="1"/>
  <c r="AR138" i="3" s="1"/>
  <c r="O133" i="2"/>
  <c r="AO134" i="3" s="1"/>
  <c r="AR134" i="3" s="1"/>
  <c r="O117" i="2"/>
  <c r="AO118" i="3" s="1"/>
  <c r="AR118" i="3" s="1"/>
  <c r="O105" i="2"/>
  <c r="AO106" i="3" s="1"/>
  <c r="AR106" i="3" s="1"/>
  <c r="O93" i="2"/>
  <c r="AO94" i="3" s="1"/>
  <c r="AR94" i="3" s="1"/>
  <c r="O53" i="2"/>
  <c r="AO54" i="3" s="1"/>
  <c r="AR54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194" i="3" s="1"/>
  <c r="AR194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AO565" i="3" s="1"/>
  <c r="AR565" i="3" s="1"/>
  <c r="O253" i="2"/>
  <c r="AO549" i="3" s="1"/>
  <c r="AR549" i="3" s="1"/>
  <c r="O229" i="2"/>
  <c r="O205" i="2"/>
  <c r="O177" i="2"/>
  <c r="AO473" i="3" s="1"/>
  <c r="AR473" i="3" s="1"/>
  <c r="O157" i="2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AO441" i="3" s="1"/>
  <c r="AR441" i="3" s="1"/>
  <c r="O125" i="2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AT364" i="3" s="1"/>
  <c r="AW364" i="3" s="1"/>
  <c r="Q359" i="2"/>
  <c r="AT655" i="3" s="1"/>
  <c r="AW655" i="3" s="1"/>
  <c r="Q355" i="2"/>
  <c r="AT651" i="3" s="1"/>
  <c r="AW651" i="3" s="1"/>
  <c r="Q351" i="2"/>
  <c r="Q347" i="2"/>
  <c r="AT348" i="3" s="1"/>
  <c r="AW348" i="3" s="1"/>
  <c r="Q343" i="2"/>
  <c r="Q339" i="2"/>
  <c r="AT340" i="3" s="1"/>
  <c r="AW340" i="3" s="1"/>
  <c r="Q335" i="2"/>
  <c r="AT631" i="3" s="1"/>
  <c r="AW631" i="3" s="1"/>
  <c r="Q331" i="2"/>
  <c r="AT332" i="3" s="1"/>
  <c r="AW332" i="3" s="1"/>
  <c r="Q327" i="2"/>
  <c r="Q323" i="2"/>
  <c r="Q319" i="2"/>
  <c r="AT615" i="3" s="1"/>
  <c r="AW615" i="3" s="1"/>
  <c r="Q315" i="2"/>
  <c r="AT316" i="3" s="1"/>
  <c r="AW316" i="3" s="1"/>
  <c r="Q311" i="2"/>
  <c r="AT607" i="3" s="1"/>
  <c r="AW607" i="3" s="1"/>
  <c r="Q307" i="2"/>
  <c r="AT308" i="3" s="1"/>
  <c r="AW308" i="3" s="1"/>
  <c r="Q303" i="2"/>
  <c r="Q299" i="2"/>
  <c r="AT300" i="3" s="1"/>
  <c r="AW300" i="3" s="1"/>
  <c r="Q295" i="2"/>
  <c r="AT591" i="3" s="1"/>
  <c r="AW591" i="3" s="1"/>
  <c r="Q291" i="2"/>
  <c r="Q287" i="2"/>
  <c r="Q283" i="2"/>
  <c r="AT284" i="3" s="1"/>
  <c r="AW284" i="3" s="1"/>
  <c r="Q279" i="2"/>
  <c r="Q275" i="2"/>
  <c r="AT571" i="3" s="1"/>
  <c r="AW571" i="3" s="1"/>
  <c r="Q271" i="2"/>
  <c r="AT567" i="3" s="1"/>
  <c r="AW567" i="3" s="1"/>
  <c r="Q267" i="2"/>
  <c r="AT268" i="3" s="1"/>
  <c r="AW268" i="3" s="1"/>
  <c r="Q263" i="2"/>
  <c r="Q259" i="2"/>
  <c r="Q255" i="2"/>
  <c r="AT551" i="3" s="1"/>
  <c r="AW551" i="3" s="1"/>
  <c r="Q251" i="2"/>
  <c r="AT252" i="3" s="1"/>
  <c r="AW252" i="3" s="1"/>
  <c r="Q247" i="2"/>
  <c r="AT543" i="3" s="1"/>
  <c r="AW543" i="3" s="1"/>
  <c r="Q243" i="2"/>
  <c r="AT244" i="3" s="1"/>
  <c r="AW244" i="3" s="1"/>
  <c r="Q239" i="2"/>
  <c r="Q235" i="2"/>
  <c r="AT236" i="3" s="1"/>
  <c r="AW236" i="3" s="1"/>
  <c r="Q231" i="2"/>
  <c r="AT527" i="3" s="1"/>
  <c r="AW527" i="3" s="1"/>
  <c r="Q227" i="2"/>
  <c r="Q223" i="2"/>
  <c r="Q219" i="2"/>
  <c r="AT220" i="3" s="1"/>
  <c r="AW220" i="3" s="1"/>
  <c r="Q215" i="2"/>
  <c r="Q211" i="2"/>
  <c r="AT212" i="3" s="1"/>
  <c r="AW212" i="3" s="1"/>
  <c r="Q207" i="2"/>
  <c r="AT503" i="3" s="1"/>
  <c r="AW503" i="3" s="1"/>
  <c r="Q203" i="2"/>
  <c r="AT204" i="3" s="1"/>
  <c r="AW204" i="3" s="1"/>
  <c r="Q199" i="2"/>
  <c r="Q195" i="2"/>
  <c r="Q191" i="2"/>
  <c r="AT374" i="3" s="1"/>
  <c r="AW374" i="3" s="1"/>
  <c r="Q187" i="2"/>
  <c r="AT370" i="3" s="1"/>
  <c r="AW370" i="3" s="1"/>
  <c r="Q183" i="2"/>
  <c r="Q179" i="2"/>
  <c r="AT475" i="3" s="1"/>
  <c r="AW475" i="3" s="1"/>
  <c r="Q175" i="2"/>
  <c r="Q171" i="2"/>
  <c r="AT172" i="3" s="1"/>
  <c r="AW172" i="3" s="1"/>
  <c r="Q167" i="2"/>
  <c r="Q163" i="2"/>
  <c r="Q159" i="2"/>
  <c r="Q155" i="2"/>
  <c r="AT156" i="3" s="1"/>
  <c r="AW156" i="3" s="1"/>
  <c r="Q151" i="2"/>
  <c r="AT447" i="3" s="1"/>
  <c r="AW447" i="3" s="1"/>
  <c r="Q147" i="2"/>
  <c r="AT148" i="3" s="1"/>
  <c r="AW148" i="3" s="1"/>
  <c r="Q143" i="2"/>
  <c r="Q139" i="2"/>
  <c r="AT435" i="3" s="1"/>
  <c r="AW435" i="3" s="1"/>
  <c r="Q135" i="2"/>
  <c r="AT431" i="3" s="1"/>
  <c r="AW431" i="3" s="1"/>
  <c r="Q131" i="2"/>
  <c r="AT427" i="3" s="1"/>
  <c r="AW427" i="3" s="1"/>
  <c r="Q127" i="2"/>
  <c r="Q123" i="2"/>
  <c r="AT419" i="3" s="1"/>
  <c r="AW419" i="3" s="1"/>
  <c r="Q119" i="2"/>
  <c r="AT415" i="3" s="1"/>
  <c r="AW415" i="3" s="1"/>
  <c r="Q115" i="2"/>
  <c r="AT411" i="3" s="1"/>
  <c r="AW411" i="3" s="1"/>
  <c r="Q111" i="2"/>
  <c r="Q107" i="2"/>
  <c r="AT403" i="3" s="1"/>
  <c r="AW403" i="3" s="1"/>
  <c r="Q103" i="2"/>
  <c r="AT399" i="3" s="1"/>
  <c r="AW399" i="3" s="1"/>
  <c r="Q99" i="2"/>
  <c r="Q95" i="2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357" i="3" s="1"/>
  <c r="AW357" i="3" s="1"/>
  <c r="Q348" i="2"/>
  <c r="Q340" i="2"/>
  <c r="AT341" i="3" s="1"/>
  <c r="AW341" i="3" s="1"/>
  <c r="Q332" i="2"/>
  <c r="Q324" i="2"/>
  <c r="AT620" i="3" s="1"/>
  <c r="AW620" i="3" s="1"/>
  <c r="Q316" i="2"/>
  <c r="Q308" i="2"/>
  <c r="AT309" i="3" s="1"/>
  <c r="AW309" i="3" s="1"/>
  <c r="Q300" i="2"/>
  <c r="Q292" i="2"/>
  <c r="AT293" i="3" s="1"/>
  <c r="AW293" i="3" s="1"/>
  <c r="Q284" i="2"/>
  <c r="Q276" i="2"/>
  <c r="Q268" i="2"/>
  <c r="Q260" i="2"/>
  <c r="AT261" i="3" s="1"/>
  <c r="AW261" i="3" s="1"/>
  <c r="Q252" i="2"/>
  <c r="Q244" i="2"/>
  <c r="AT540" i="3" s="1"/>
  <c r="AW540" i="3" s="1"/>
  <c r="Q236" i="2"/>
  <c r="Q228" i="2"/>
  <c r="AT229" i="3" s="1"/>
  <c r="AW229" i="3" s="1"/>
  <c r="Q220" i="2"/>
  <c r="Q212" i="2"/>
  <c r="AT213" i="3" s="1"/>
  <c r="AW213" i="3" s="1"/>
  <c r="Q204" i="2"/>
  <c r="Q196" i="2"/>
  <c r="AT197" i="3" s="1"/>
  <c r="AW197" i="3" s="1"/>
  <c r="Q188" i="2"/>
  <c r="AT371" i="3" s="1"/>
  <c r="AW371" i="3" s="1"/>
  <c r="Q180" i="2"/>
  <c r="AT181" i="3" s="1"/>
  <c r="AW181" i="3" s="1"/>
  <c r="Q172" i="2"/>
  <c r="Q164" i="2"/>
  <c r="AT165" i="3" s="1"/>
  <c r="AW165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Q120" i="2"/>
  <c r="AT416" i="3" s="1"/>
  <c r="AW416" i="3" s="1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648" i="3" s="1"/>
  <c r="AW648" i="3" s="1"/>
  <c r="Q344" i="2"/>
  <c r="AT640" i="3" s="1"/>
  <c r="AW640" i="3" s="1"/>
  <c r="Q336" i="2"/>
  <c r="Q328" i="2"/>
  <c r="Q320" i="2"/>
  <c r="Q312" i="2"/>
  <c r="AT313" i="3" s="1"/>
  <c r="AW313" i="3" s="1"/>
  <c r="Q304" i="2"/>
  <c r="AT600" i="3" s="1"/>
  <c r="AW600" i="3" s="1"/>
  <c r="Q296" i="2"/>
  <c r="AT297" i="3" s="1"/>
  <c r="AW297" i="3" s="1"/>
  <c r="Q288" i="2"/>
  <c r="AT584" i="3" s="1"/>
  <c r="AW584" i="3" s="1"/>
  <c r="Q280" i="2"/>
  <c r="AT576" i="3" s="1"/>
  <c r="AW576" i="3" s="1"/>
  <c r="Q272" i="2"/>
  <c r="Q264" i="2"/>
  <c r="AT265" i="3" s="1"/>
  <c r="AW265" i="3" s="1"/>
  <c r="Q256" i="2"/>
  <c r="Q248" i="2"/>
  <c r="AT249" i="3" s="1"/>
  <c r="AW249" i="3" s="1"/>
  <c r="Q240" i="2"/>
  <c r="AT536" i="3" s="1"/>
  <c r="AW536" i="3" s="1"/>
  <c r="Q232" i="2"/>
  <c r="AT233" i="3" s="1"/>
  <c r="AW233" i="3" s="1"/>
  <c r="Q224" i="2"/>
  <c r="AT520" i="3" s="1"/>
  <c r="AW520" i="3" s="1"/>
  <c r="Q216" i="2"/>
  <c r="AT512" i="3" s="1"/>
  <c r="AW512" i="3" s="1"/>
  <c r="Q208" i="2"/>
  <c r="Q200" i="2"/>
  <c r="Q192" i="2"/>
  <c r="Q184" i="2"/>
  <c r="AT185" i="3" s="1"/>
  <c r="AW185" i="3" s="1"/>
  <c r="Q176" i="2"/>
  <c r="Q168" i="2"/>
  <c r="AT169" i="3" s="1"/>
  <c r="AW169" i="3" s="1"/>
  <c r="Q160" i="2"/>
  <c r="Q152" i="2"/>
  <c r="AT153" i="3" s="1"/>
  <c r="AW153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Q84" i="2"/>
  <c r="AT380" i="3" s="1"/>
  <c r="AW380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650" i="3" s="1"/>
  <c r="AW650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626" i="3" s="1"/>
  <c r="AW626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610" i="3" s="1"/>
  <c r="AW610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586" i="3" s="1"/>
  <c r="AW586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570" i="3" s="1"/>
  <c r="AW570" i="3" s="1"/>
  <c r="Q270" i="2"/>
  <c r="AT271" i="3" s="1"/>
  <c r="AW271" i="3" s="1"/>
  <c r="Q266" i="2"/>
  <c r="AT562" i="3" s="1"/>
  <c r="AW562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522" i="3" s="1"/>
  <c r="AW522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498" i="3" s="1"/>
  <c r="AW498" i="3" s="1"/>
  <c r="Q198" i="2"/>
  <c r="AT199" i="3" s="1"/>
  <c r="AW199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175" i="3" s="1"/>
  <c r="AW175" i="3" s="1"/>
  <c r="Q170" i="2"/>
  <c r="AT466" i="3" s="1"/>
  <c r="AW466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Q134" i="2"/>
  <c r="Q130" i="2"/>
  <c r="Q126" i="2"/>
  <c r="AT422" i="3" s="1"/>
  <c r="AW422" i="3" s="1"/>
  <c r="Q122" i="2"/>
  <c r="Q118" i="2"/>
  <c r="Q114" i="2"/>
  <c r="AT115" i="3" s="1"/>
  <c r="AW115" i="3" s="1"/>
  <c r="Q110" i="2"/>
  <c r="AT406" i="3" s="1"/>
  <c r="AW406" i="3" s="1"/>
  <c r="Q106" i="2"/>
  <c r="AT107" i="3" s="1"/>
  <c r="AW107" i="3" s="1"/>
  <c r="Q102" i="2"/>
  <c r="Q98" i="2"/>
  <c r="Q94" i="2"/>
  <c r="Q90" i="2"/>
  <c r="AT386" i="3" s="1"/>
  <c r="AW386" i="3" s="1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O142" i="2"/>
  <c r="AO438" i="3" s="1"/>
  <c r="AR438" i="3" s="1"/>
  <c r="O138" i="2"/>
  <c r="O134" i="2"/>
  <c r="AO430" i="3" s="1"/>
  <c r="AR430" i="3" s="1"/>
  <c r="O130" i="2"/>
  <c r="AO426" i="3" s="1"/>
  <c r="AR426" i="3" s="1"/>
  <c r="O126" i="2"/>
  <c r="O122" i="2"/>
  <c r="AO418" i="3" s="1"/>
  <c r="AR418" i="3" s="1"/>
  <c r="O114" i="2"/>
  <c r="O110" i="2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598" i="3"/>
  <c r="AR59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39" i="3"/>
  <c r="AR639" i="3" s="1"/>
  <c r="AO595" i="3"/>
  <c r="AR595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16" i="3"/>
  <c r="AR616" i="3" s="1"/>
  <c r="AO544" i="3"/>
  <c r="AR5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04" i="3" l="1"/>
  <c r="AR404" i="3" s="1"/>
  <c r="AO541" i="3"/>
  <c r="AR541" i="3" s="1"/>
  <c r="AO584" i="3"/>
  <c r="AR584" i="3" s="1"/>
  <c r="AO479" i="3"/>
  <c r="AR479" i="3" s="1"/>
  <c r="AT478" i="3"/>
  <c r="AW478" i="3" s="1"/>
  <c r="AT636" i="3"/>
  <c r="AW636" i="3" s="1"/>
  <c r="AT635" i="3"/>
  <c r="AW635" i="3" s="1"/>
  <c r="AT222" i="3"/>
  <c r="AW222" i="3" s="1"/>
  <c r="AO478" i="3"/>
  <c r="AR478" i="3" s="1"/>
  <c r="AO391" i="3"/>
  <c r="AR391" i="3" s="1"/>
  <c r="AO599" i="3"/>
  <c r="AR599" i="3" s="1"/>
  <c r="AO407" i="3"/>
  <c r="AR407" i="3" s="1"/>
  <c r="AO328" i="3"/>
  <c r="AR328" i="3" s="1"/>
  <c r="AO587" i="3"/>
  <c r="AR587" i="3" s="1"/>
  <c r="AO474" i="3"/>
  <c r="AR474" i="3" s="1"/>
  <c r="AO543" i="3"/>
  <c r="AR543" i="3" s="1"/>
  <c r="AO554" i="3"/>
  <c r="AR554" i="3" s="1"/>
  <c r="AO660" i="3"/>
  <c r="AR660" i="3" s="1"/>
  <c r="AO574" i="3"/>
  <c r="AR574" i="3" s="1"/>
  <c r="AO232" i="3"/>
  <c r="AR232" i="3" s="1"/>
  <c r="AO413" i="3"/>
  <c r="AR413" i="3" s="1"/>
  <c r="AO620" i="3"/>
  <c r="AR620" i="3" s="1"/>
  <c r="AO227" i="3"/>
  <c r="AR227" i="3" s="1"/>
  <c r="AO608" i="3"/>
  <c r="AR608" i="3" s="1"/>
  <c r="AO451" i="3"/>
  <c r="AR451" i="3" s="1"/>
  <c r="AO510" i="3"/>
  <c r="AR510" i="3" s="1"/>
  <c r="AO389" i="3"/>
  <c r="AR389" i="3" s="1"/>
  <c r="AO517" i="3"/>
  <c r="AR517" i="3" s="1"/>
  <c r="AO288" i="3"/>
  <c r="AR288" i="3" s="1"/>
  <c r="AO93" i="3"/>
  <c r="AR93" i="3" s="1"/>
  <c r="AT409" i="3"/>
  <c r="AW409" i="3" s="1"/>
  <c r="AT633" i="3"/>
  <c r="AW633" i="3" s="1"/>
  <c r="AT609" i="3"/>
  <c r="AW609" i="3" s="1"/>
  <c r="AT613" i="3"/>
  <c r="AW613" i="3" s="1"/>
  <c r="AT483" i="3"/>
  <c r="AW483" i="3" s="1"/>
  <c r="AT653" i="3"/>
  <c r="AW653" i="3" s="1"/>
  <c r="AT457" i="3"/>
  <c r="AW457" i="3" s="1"/>
  <c r="AT405" i="3"/>
  <c r="AW405" i="3" s="1"/>
  <c r="AT533" i="3"/>
  <c r="AW533" i="3" s="1"/>
  <c r="AT557" i="3"/>
  <c r="AW557" i="3" s="1"/>
  <c r="AT581" i="3"/>
  <c r="AW581" i="3" s="1"/>
  <c r="AT595" i="3"/>
  <c r="AW595" i="3" s="1"/>
  <c r="AT425" i="3"/>
  <c r="AW425" i="3" s="1"/>
  <c r="AT582" i="3"/>
  <c r="AW582" i="3" s="1"/>
  <c r="AT473" i="3"/>
  <c r="AW473" i="3" s="1"/>
  <c r="AT521" i="3"/>
  <c r="AW521" i="3" s="1"/>
  <c r="AO578" i="3"/>
  <c r="AR578" i="3" s="1"/>
  <c r="AO605" i="3"/>
  <c r="AR605" i="3" s="1"/>
  <c r="AO464" i="3"/>
  <c r="AR464" i="3" s="1"/>
  <c r="AO604" i="3"/>
  <c r="AR604" i="3" s="1"/>
  <c r="AO519" i="3"/>
  <c r="AR519" i="3" s="1"/>
  <c r="AO642" i="3"/>
  <c r="AR642" i="3" s="1"/>
  <c r="AO585" i="3"/>
  <c r="AR585" i="3" s="1"/>
  <c r="AO596" i="3"/>
  <c r="AR596" i="3" s="1"/>
  <c r="AO661" i="3"/>
  <c r="AR661" i="3" s="1"/>
  <c r="AO431" i="3"/>
  <c r="AR431" i="3" s="1"/>
  <c r="AO255" i="3"/>
  <c r="AR255" i="3" s="1"/>
  <c r="AO318" i="3"/>
  <c r="AR318" i="3" s="1"/>
  <c r="AO262" i="3"/>
  <c r="AR262" i="3" s="1"/>
  <c r="AO492" i="3"/>
  <c r="AR492" i="3" s="1"/>
  <c r="AO612" i="3"/>
  <c r="AR612" i="3" s="1"/>
  <c r="AO652" i="3"/>
  <c r="AR652" i="3" s="1"/>
  <c r="AO621" i="3"/>
  <c r="AR621" i="3" s="1"/>
  <c r="AO440" i="3"/>
  <c r="AR440" i="3" s="1"/>
  <c r="AO532" i="3"/>
  <c r="AR532" i="3" s="1"/>
  <c r="AO499" i="3"/>
  <c r="AR499" i="3" s="1"/>
  <c r="AO575" i="3"/>
  <c r="AR575" i="3" s="1"/>
  <c r="AO530" i="3"/>
  <c r="AR530" i="3" s="1"/>
  <c r="AO506" i="3"/>
  <c r="AR506" i="3" s="1"/>
  <c r="AO570" i="3"/>
  <c r="AR570" i="3" s="1"/>
  <c r="AO128" i="3"/>
  <c r="AR128" i="3" s="1"/>
  <c r="AO296" i="3"/>
  <c r="AR296" i="3" s="1"/>
  <c r="AO352" i="3"/>
  <c r="AR352" i="3" s="1"/>
  <c r="AO173" i="3"/>
  <c r="AR173" i="3" s="1"/>
  <c r="AO137" i="3"/>
  <c r="AR137" i="3" s="1"/>
  <c r="AO359" i="3"/>
  <c r="AR359" i="3" s="1"/>
  <c r="AO572" i="3"/>
  <c r="AR572" i="3" s="1"/>
  <c r="AO632" i="3"/>
  <c r="AR632" i="3" s="1"/>
  <c r="AO531" i="3"/>
  <c r="AR531" i="3" s="1"/>
  <c r="AO655" i="3"/>
  <c r="AR655" i="3" s="1"/>
  <c r="AO502" i="3"/>
  <c r="AR502" i="3" s="1"/>
  <c r="AO626" i="3"/>
  <c r="AR626" i="3" s="1"/>
  <c r="AO593" i="3"/>
  <c r="AR593" i="3" s="1"/>
  <c r="AO119" i="3"/>
  <c r="AR119" i="3" s="1"/>
  <c r="AO327" i="3"/>
  <c r="AR327" i="3" s="1"/>
  <c r="AO264" i="3"/>
  <c r="AR264" i="3" s="1"/>
  <c r="AO201" i="3"/>
  <c r="AR201" i="3" s="1"/>
  <c r="AO154" i="3"/>
  <c r="AR154" i="3" s="1"/>
  <c r="AT629" i="3"/>
  <c r="AW629" i="3" s="1"/>
  <c r="AT282" i="3"/>
  <c r="AW282" i="3" s="1"/>
  <c r="AT453" i="3"/>
  <c r="AW453" i="3" s="1"/>
  <c r="AT518" i="3"/>
  <c r="AW518" i="3" s="1"/>
  <c r="AT544" i="3"/>
  <c r="AW544" i="3" s="1"/>
  <c r="AT397" i="3"/>
  <c r="AW397" i="3" s="1"/>
  <c r="AO412" i="3"/>
  <c r="AR412" i="3" s="1"/>
  <c r="AO512" i="3"/>
  <c r="AR512" i="3" s="1"/>
  <c r="AO548" i="3"/>
  <c r="AR548" i="3" s="1"/>
  <c r="AO624" i="3"/>
  <c r="AR624" i="3" s="1"/>
  <c r="AO630" i="3"/>
  <c r="AR630" i="3" s="1"/>
  <c r="AO401" i="3"/>
  <c r="AR401" i="3" s="1"/>
  <c r="AO625" i="3"/>
  <c r="AR625" i="3" s="1"/>
  <c r="AO465" i="3"/>
  <c r="AR465" i="3" s="1"/>
  <c r="AO609" i="3"/>
  <c r="AR609" i="3" s="1"/>
  <c r="AO424" i="3"/>
  <c r="AR424" i="3" s="1"/>
  <c r="AO556" i="3"/>
  <c r="AR556" i="3" s="1"/>
  <c r="AO588" i="3"/>
  <c r="AR588" i="3" s="1"/>
  <c r="AO415" i="3"/>
  <c r="AR415" i="3" s="1"/>
  <c r="AO455" i="3"/>
  <c r="AR455" i="3" s="1"/>
  <c r="AO511" i="3"/>
  <c r="AR511" i="3" s="1"/>
  <c r="AO494" i="3"/>
  <c r="AR494" i="3" s="1"/>
  <c r="AO518" i="3"/>
  <c r="AR518" i="3" s="1"/>
  <c r="AO437" i="3"/>
  <c r="AR437" i="3" s="1"/>
  <c r="AO461" i="3"/>
  <c r="AR461" i="3" s="1"/>
  <c r="AO477" i="3"/>
  <c r="AR477" i="3" s="1"/>
  <c r="AO392" i="3"/>
  <c r="AR392" i="3" s="1"/>
  <c r="AO436" i="3"/>
  <c r="AR436" i="3" s="1"/>
  <c r="AO472" i="3"/>
  <c r="AR472" i="3" s="1"/>
  <c r="AO536" i="3"/>
  <c r="AR536" i="3" s="1"/>
  <c r="AO568" i="3"/>
  <c r="AR568" i="3" s="1"/>
  <c r="AO644" i="3"/>
  <c r="AR644" i="3" s="1"/>
  <c r="AO419" i="3"/>
  <c r="AR419" i="3" s="1"/>
  <c r="AO471" i="3"/>
  <c r="AR471" i="3" s="1"/>
  <c r="AO607" i="3"/>
  <c r="AR607" i="3" s="1"/>
  <c r="AO651" i="3"/>
  <c r="AR651" i="3" s="1"/>
  <c r="AO582" i="3"/>
  <c r="AR582" i="3" s="1"/>
  <c r="AO546" i="3"/>
  <c r="AR546" i="3" s="1"/>
  <c r="AO553" i="3"/>
  <c r="AR553" i="3" s="1"/>
  <c r="AO191" i="3"/>
  <c r="AR191" i="3" s="1"/>
  <c r="AO200" i="3"/>
  <c r="AR200" i="3" s="1"/>
  <c r="AO86" i="3"/>
  <c r="AR86" i="3" s="1"/>
  <c r="AO306" i="3"/>
  <c r="AR306" i="3" s="1"/>
  <c r="AT502" i="3"/>
  <c r="AW502" i="3" s="1"/>
  <c r="AT542" i="3"/>
  <c r="AW542" i="3" s="1"/>
  <c r="AT630" i="3"/>
  <c r="AW630" i="3" s="1"/>
  <c r="AT469" i="3"/>
  <c r="AW469" i="3" s="1"/>
  <c r="AT531" i="3"/>
  <c r="AW531" i="3" s="1"/>
  <c r="AT433" i="3"/>
  <c r="AW433" i="3" s="1"/>
  <c r="AT481" i="3"/>
  <c r="AW481" i="3" s="1"/>
  <c r="AT350" i="3"/>
  <c r="AW350" i="3" s="1"/>
  <c r="AT410" i="3"/>
  <c r="AW410" i="3" s="1"/>
  <c r="AT454" i="3"/>
  <c r="AW454" i="3" s="1"/>
  <c r="AT421" i="3"/>
  <c r="AW421" i="3" s="1"/>
  <c r="AT549" i="3"/>
  <c r="AW549" i="3" s="1"/>
  <c r="AT460" i="3"/>
  <c r="AW460" i="3" s="1"/>
  <c r="AT611" i="3"/>
  <c r="AW611" i="3" s="1"/>
  <c r="AT393" i="3"/>
  <c r="AW393" i="3" s="1"/>
  <c r="AT379" i="3"/>
  <c r="AW379" i="3" s="1"/>
  <c r="AT505" i="3"/>
  <c r="AW505" i="3" s="1"/>
  <c r="AT593" i="3"/>
  <c r="AW593" i="3" s="1"/>
  <c r="AT108" i="3"/>
  <c r="AW108" i="3" s="1"/>
  <c r="AT485" i="3"/>
  <c r="AW485" i="3" s="1"/>
  <c r="AT566" i="3"/>
  <c r="AW566" i="3" s="1"/>
  <c r="AT606" i="3"/>
  <c r="AW606" i="3" s="1"/>
  <c r="AT646" i="3"/>
  <c r="AW646" i="3" s="1"/>
  <c r="AT608" i="3"/>
  <c r="AW608" i="3" s="1"/>
  <c r="AT597" i="3"/>
  <c r="AW597" i="3" s="1"/>
  <c r="AT524" i="3"/>
  <c r="AW524" i="3" s="1"/>
  <c r="AT467" i="3"/>
  <c r="AW467" i="3" s="1"/>
  <c r="AT507" i="3"/>
  <c r="AW507" i="3" s="1"/>
  <c r="AT563" i="3"/>
  <c r="AW563" i="3" s="1"/>
  <c r="AT659" i="3"/>
  <c r="AW659" i="3" s="1"/>
  <c r="AT569" i="3"/>
  <c r="AW569" i="3" s="1"/>
  <c r="AT190" i="3"/>
  <c r="AW190" i="3" s="1"/>
  <c r="AT180" i="3"/>
  <c r="AW180" i="3" s="1"/>
  <c r="AT510" i="3"/>
  <c r="AW510" i="3" s="1"/>
  <c r="AT534" i="3"/>
  <c r="AW534" i="3" s="1"/>
  <c r="AT614" i="3"/>
  <c r="AW614" i="3" s="1"/>
  <c r="AT638" i="3"/>
  <c r="AW638" i="3" s="1"/>
  <c r="AT662" i="3"/>
  <c r="AW662" i="3" s="1"/>
  <c r="AT560" i="3"/>
  <c r="AW560" i="3" s="1"/>
  <c r="AT461" i="3"/>
  <c r="AW461" i="3" s="1"/>
  <c r="AT501" i="3"/>
  <c r="AW501" i="3" s="1"/>
  <c r="AT589" i="3"/>
  <c r="AW589" i="3" s="1"/>
  <c r="AT508" i="3"/>
  <c r="AW508" i="3" s="1"/>
  <c r="AT588" i="3"/>
  <c r="AW588" i="3" s="1"/>
  <c r="AT443" i="3"/>
  <c r="AW443" i="3" s="1"/>
  <c r="AT515" i="3"/>
  <c r="AW515" i="3" s="1"/>
  <c r="AT539" i="3"/>
  <c r="AW539" i="3" s="1"/>
  <c r="AT603" i="3"/>
  <c r="AW603" i="3" s="1"/>
  <c r="AT627" i="3"/>
  <c r="AW627" i="3" s="1"/>
  <c r="AT441" i="3"/>
  <c r="AW441" i="3" s="1"/>
  <c r="AT601" i="3"/>
  <c r="AW601" i="3" s="1"/>
  <c r="AT497" i="3"/>
  <c r="AW497" i="3" s="1"/>
  <c r="AT641" i="3"/>
  <c r="AW641" i="3" s="1"/>
  <c r="AT270" i="3"/>
  <c r="AW270" i="3" s="1"/>
  <c r="AT330" i="3"/>
  <c r="AW330" i="3" s="1"/>
  <c r="AT92" i="3"/>
  <c r="AW92" i="3" s="1"/>
  <c r="AT276" i="3"/>
  <c r="AW276" i="3" s="1"/>
  <c r="AT127" i="3"/>
  <c r="AW127" i="3" s="1"/>
  <c r="AT434" i="3"/>
  <c r="AW434" i="3" s="1"/>
  <c r="AT446" i="3"/>
  <c r="AW446" i="3" s="1"/>
  <c r="AT470" i="3"/>
  <c r="AW470" i="3" s="1"/>
  <c r="AT550" i="3"/>
  <c r="AW550" i="3" s="1"/>
  <c r="AT574" i="3"/>
  <c r="AW574" i="3" s="1"/>
  <c r="AT598" i="3"/>
  <c r="AW598" i="3" s="1"/>
  <c r="AT428" i="3"/>
  <c r="AW428" i="3" s="1"/>
  <c r="AT445" i="3"/>
  <c r="AW445" i="3" s="1"/>
  <c r="AT477" i="3"/>
  <c r="AW477" i="3" s="1"/>
  <c r="AT525" i="3"/>
  <c r="AW525" i="3" s="1"/>
  <c r="AT661" i="3"/>
  <c r="AW661" i="3" s="1"/>
  <c r="AT499" i="3"/>
  <c r="AW499" i="3" s="1"/>
  <c r="AT643" i="3"/>
  <c r="AW643" i="3" s="1"/>
  <c r="AT401" i="3"/>
  <c r="AW401" i="3" s="1"/>
  <c r="AT356" i="3"/>
  <c r="AW356" i="3" s="1"/>
  <c r="AO504" i="3"/>
  <c r="AR504" i="3" s="1"/>
  <c r="AO435" i="3"/>
  <c r="AR435" i="3" s="1"/>
  <c r="AO627" i="3"/>
  <c r="AR627" i="3" s="1"/>
  <c r="AO534" i="3"/>
  <c r="AR534" i="3" s="1"/>
  <c r="AO646" i="3"/>
  <c r="AR646" i="3" s="1"/>
  <c r="AO481" i="3"/>
  <c r="AR481" i="3" s="1"/>
  <c r="AO509" i="3"/>
  <c r="AR509" i="3" s="1"/>
  <c r="AO380" i="3"/>
  <c r="AR380" i="3" s="1"/>
  <c r="AO408" i="3"/>
  <c r="AR408" i="3" s="1"/>
  <c r="AO383" i="3"/>
  <c r="AR383" i="3" s="1"/>
  <c r="AO439" i="3"/>
  <c r="AR439" i="3" s="1"/>
  <c r="AO551" i="3"/>
  <c r="AR551" i="3" s="1"/>
  <c r="AO615" i="3"/>
  <c r="AR615" i="3" s="1"/>
  <c r="AO466" i="3"/>
  <c r="AR466" i="3" s="1"/>
  <c r="AO658" i="3"/>
  <c r="AR658" i="3" s="1"/>
  <c r="AO429" i="3"/>
  <c r="AR429" i="3" s="1"/>
  <c r="AO490" i="3"/>
  <c r="AR490" i="3" s="1"/>
  <c r="AO558" i="3"/>
  <c r="AR558" i="3" s="1"/>
  <c r="AO322" i="3"/>
  <c r="AR322" i="3" s="1"/>
  <c r="AO649" i="3"/>
  <c r="AR649" i="3" s="1"/>
  <c r="AO452" i="3"/>
  <c r="AR452" i="3" s="1"/>
  <c r="AO488" i="3"/>
  <c r="AR488" i="3" s="1"/>
  <c r="AO528" i="3"/>
  <c r="AR528" i="3" s="1"/>
  <c r="AO387" i="3"/>
  <c r="AR387" i="3" s="1"/>
  <c r="AO447" i="3"/>
  <c r="AR447" i="3" s="1"/>
  <c r="AO563" i="3"/>
  <c r="AR563" i="3" s="1"/>
  <c r="AO619" i="3"/>
  <c r="AR619" i="3" s="1"/>
  <c r="AO514" i="3"/>
  <c r="AR514" i="3" s="1"/>
  <c r="AO594" i="3"/>
  <c r="AR594" i="3" s="1"/>
  <c r="AO650" i="3"/>
  <c r="AR650" i="3" s="1"/>
  <c r="AO377" i="3"/>
  <c r="AR377" i="3" s="1"/>
  <c r="AO291" i="3"/>
  <c r="AR291" i="3" s="1"/>
  <c r="AT324" i="3"/>
  <c r="AW324" i="3" s="1"/>
  <c r="AT619" i="3"/>
  <c r="AW619" i="3" s="1"/>
  <c r="AT86" i="3"/>
  <c r="AW86" i="3" s="1"/>
  <c r="AT381" i="3"/>
  <c r="AW381" i="3" s="1"/>
  <c r="AT278" i="3"/>
  <c r="AW278" i="3" s="1"/>
  <c r="AT573" i="3"/>
  <c r="AW573" i="3" s="1"/>
  <c r="AT91" i="3"/>
  <c r="AW91" i="3" s="1"/>
  <c r="AT449" i="3"/>
  <c r="AW449" i="3" s="1"/>
  <c r="AT290" i="3"/>
  <c r="AW290" i="3" s="1"/>
  <c r="AT585" i="3"/>
  <c r="AW585" i="3" s="1"/>
  <c r="AT201" i="3"/>
  <c r="AW201" i="3" s="1"/>
  <c r="AT496" i="3"/>
  <c r="AW496" i="3" s="1"/>
  <c r="AT400" i="3"/>
  <c r="AW400" i="3" s="1"/>
  <c r="AT105" i="3"/>
  <c r="AW105" i="3" s="1"/>
  <c r="AT451" i="3"/>
  <c r="AW451" i="3" s="1"/>
  <c r="AT260" i="3"/>
  <c r="AW260" i="3" s="1"/>
  <c r="AT555" i="3"/>
  <c r="AW555" i="3" s="1"/>
  <c r="AT579" i="3"/>
  <c r="AW579" i="3" s="1"/>
  <c r="AT246" i="3"/>
  <c r="AW246" i="3" s="1"/>
  <c r="AT541" i="3"/>
  <c r="AW541" i="3" s="1"/>
  <c r="AT310" i="3"/>
  <c r="AW310" i="3" s="1"/>
  <c r="AT605" i="3"/>
  <c r="AW605" i="3" s="1"/>
  <c r="AT122" i="3"/>
  <c r="AW122" i="3" s="1"/>
  <c r="AT417" i="3"/>
  <c r="AW417" i="3" s="1"/>
  <c r="AT354" i="3"/>
  <c r="AW354" i="3" s="1"/>
  <c r="AT649" i="3"/>
  <c r="AW649" i="3" s="1"/>
  <c r="AT231" i="3"/>
  <c r="AW231" i="3" s="1"/>
  <c r="AT272" i="3"/>
  <c r="AW272" i="3" s="1"/>
  <c r="AT149" i="3"/>
  <c r="AW149" i="3" s="1"/>
  <c r="AT430" i="3"/>
  <c r="AW430" i="3" s="1"/>
  <c r="AT135" i="3"/>
  <c r="AW135" i="3" s="1"/>
  <c r="AT378" i="3"/>
  <c r="AW378" i="3" s="1"/>
  <c r="AT196" i="3"/>
  <c r="AW196" i="3" s="1"/>
  <c r="AT491" i="3"/>
  <c r="AW491" i="3" s="1"/>
  <c r="AT214" i="3"/>
  <c r="AW214" i="3" s="1"/>
  <c r="AT509" i="3"/>
  <c r="AW509" i="3" s="1"/>
  <c r="AT342" i="3"/>
  <c r="AW342" i="3" s="1"/>
  <c r="AT637" i="3"/>
  <c r="AW637" i="3" s="1"/>
  <c r="AT385" i="3"/>
  <c r="AW385" i="3" s="1"/>
  <c r="AT90" i="3"/>
  <c r="AW90" i="3" s="1"/>
  <c r="AT329" i="3"/>
  <c r="AW329" i="3" s="1"/>
  <c r="AT624" i="3"/>
  <c r="AW624" i="3" s="1"/>
  <c r="AT164" i="3"/>
  <c r="AW164" i="3" s="1"/>
  <c r="AT459" i="3"/>
  <c r="AW459" i="3" s="1"/>
  <c r="AT292" i="3"/>
  <c r="AW292" i="3" s="1"/>
  <c r="AT587" i="3"/>
  <c r="AW587" i="3" s="1"/>
  <c r="AT382" i="3"/>
  <c r="AW382" i="3" s="1"/>
  <c r="AT87" i="3"/>
  <c r="AW87" i="3" s="1"/>
  <c r="AT462" i="3"/>
  <c r="AW462" i="3" s="1"/>
  <c r="AT494" i="3"/>
  <c r="AW494" i="3" s="1"/>
  <c r="AT558" i="3"/>
  <c r="AW558" i="3" s="1"/>
  <c r="AT590" i="3"/>
  <c r="AW590" i="3" s="1"/>
  <c r="AT622" i="3"/>
  <c r="AW622" i="3" s="1"/>
  <c r="AT654" i="3"/>
  <c r="AW654" i="3" s="1"/>
  <c r="AT480" i="3"/>
  <c r="AW480" i="3" s="1"/>
  <c r="AT493" i="3"/>
  <c r="AW493" i="3" s="1"/>
  <c r="AT621" i="3"/>
  <c r="AW621" i="3" s="1"/>
  <c r="AT277" i="3"/>
  <c r="AW277" i="3" s="1"/>
  <c r="AT572" i="3"/>
  <c r="AW572" i="3" s="1"/>
  <c r="AT652" i="3"/>
  <c r="AW652" i="3" s="1"/>
  <c r="AT228" i="3"/>
  <c r="AW228" i="3" s="1"/>
  <c r="AT523" i="3"/>
  <c r="AW523" i="3" s="1"/>
  <c r="AT547" i="3"/>
  <c r="AW547" i="3" s="1"/>
  <c r="AT561" i="3"/>
  <c r="AW561" i="3" s="1"/>
  <c r="AT142" i="3"/>
  <c r="AW142" i="3" s="1"/>
  <c r="AT465" i="3"/>
  <c r="AW465" i="3" s="1"/>
  <c r="AT170" i="3"/>
  <c r="AW170" i="3" s="1"/>
  <c r="AT250" i="3"/>
  <c r="AW250" i="3" s="1"/>
  <c r="AT545" i="3"/>
  <c r="AW545" i="3" s="1"/>
  <c r="AT88" i="3"/>
  <c r="AW88" i="3" s="1"/>
  <c r="AT312" i="3"/>
  <c r="AW312" i="3" s="1"/>
  <c r="AT136" i="3"/>
  <c r="AW136" i="3" s="1"/>
  <c r="AT325" i="3"/>
  <c r="AW325" i="3" s="1"/>
  <c r="AT408" i="3"/>
  <c r="AW408" i="3" s="1"/>
  <c r="AT113" i="3"/>
  <c r="AW113" i="3" s="1"/>
  <c r="AT205" i="3"/>
  <c r="AW205" i="3" s="1"/>
  <c r="AT500" i="3"/>
  <c r="AW500" i="3" s="1"/>
  <c r="AT269" i="3"/>
  <c r="AW269" i="3" s="1"/>
  <c r="AT564" i="3"/>
  <c r="AW564" i="3" s="1"/>
  <c r="AT333" i="3"/>
  <c r="AW333" i="3" s="1"/>
  <c r="AT628" i="3"/>
  <c r="AW628" i="3" s="1"/>
  <c r="AT168" i="3"/>
  <c r="AW168" i="3" s="1"/>
  <c r="AT463" i="3"/>
  <c r="AW463" i="3" s="1"/>
  <c r="AT355" i="3"/>
  <c r="AW355" i="3" s="1"/>
  <c r="AT132" i="3"/>
  <c r="AW132" i="3" s="1"/>
  <c r="AT101" i="3"/>
  <c r="AW101" i="3" s="1"/>
  <c r="AT141" i="3"/>
  <c r="AW141" i="3" s="1"/>
  <c r="AT241" i="3"/>
  <c r="AW241" i="3" s="1"/>
  <c r="AT317" i="3"/>
  <c r="AW317" i="3" s="1"/>
  <c r="AT612" i="3"/>
  <c r="AW612" i="3" s="1"/>
  <c r="AT160" i="3"/>
  <c r="AW160" i="3" s="1"/>
  <c r="AT455" i="3"/>
  <c r="AW455" i="3" s="1"/>
  <c r="AT288" i="3"/>
  <c r="AW288" i="3" s="1"/>
  <c r="AT583" i="3"/>
  <c r="AW583" i="3" s="1"/>
  <c r="AT134" i="3"/>
  <c r="AW134" i="3" s="1"/>
  <c r="AT429" i="3"/>
  <c r="AW429" i="3" s="1"/>
  <c r="AT369" i="3"/>
  <c r="AW369" i="3" s="1"/>
  <c r="AT258" i="3"/>
  <c r="AW258" i="3" s="1"/>
  <c r="AT553" i="3"/>
  <c r="AW553" i="3" s="1"/>
  <c r="AT275" i="3"/>
  <c r="AW275" i="3" s="1"/>
  <c r="AT315" i="3"/>
  <c r="AW315" i="3" s="1"/>
  <c r="AT232" i="3"/>
  <c r="AW232" i="3" s="1"/>
  <c r="AT320" i="3"/>
  <c r="AW320" i="3" s="1"/>
  <c r="AT360" i="3"/>
  <c r="AW360" i="3" s="1"/>
  <c r="AT245" i="3"/>
  <c r="AW245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191" i="3"/>
  <c r="AW191" i="3" s="1"/>
  <c r="AT373" i="3"/>
  <c r="AW373" i="3" s="1"/>
  <c r="AT412" i="3"/>
  <c r="AW412" i="3" s="1"/>
  <c r="AT117" i="3"/>
  <c r="AW117" i="3" s="1"/>
  <c r="AT440" i="3"/>
  <c r="AW440" i="3" s="1"/>
  <c r="AT145" i="3"/>
  <c r="AW145" i="3" s="1"/>
  <c r="AT464" i="3"/>
  <c r="AW464" i="3" s="1"/>
  <c r="AT209" i="3"/>
  <c r="AW209" i="3" s="1"/>
  <c r="AT504" i="3"/>
  <c r="AW504" i="3" s="1"/>
  <c r="AT528" i="3"/>
  <c r="AW528" i="3" s="1"/>
  <c r="AT273" i="3"/>
  <c r="AW273" i="3" s="1"/>
  <c r="AT568" i="3"/>
  <c r="AW568" i="3" s="1"/>
  <c r="AT592" i="3"/>
  <c r="AW592" i="3" s="1"/>
  <c r="AT337" i="3"/>
  <c r="AW337" i="3" s="1"/>
  <c r="AT632" i="3"/>
  <c r="AW632" i="3" s="1"/>
  <c r="AT656" i="3"/>
  <c r="AW656" i="3" s="1"/>
  <c r="AT413" i="3"/>
  <c r="AW413" i="3" s="1"/>
  <c r="AT392" i="3"/>
  <c r="AW392" i="3" s="1"/>
  <c r="AT97" i="3"/>
  <c r="AW97" i="3" s="1"/>
  <c r="AT424" i="3"/>
  <c r="AW424" i="3" s="1"/>
  <c r="AT129" i="3"/>
  <c r="AW129" i="3" s="1"/>
  <c r="AT173" i="3"/>
  <c r="AW173" i="3" s="1"/>
  <c r="AT468" i="3"/>
  <c r="AW468" i="3" s="1"/>
  <c r="AT492" i="3"/>
  <c r="AW492" i="3" s="1"/>
  <c r="AT237" i="3"/>
  <c r="AW237" i="3" s="1"/>
  <c r="AT532" i="3"/>
  <c r="AW532" i="3" s="1"/>
  <c r="AT556" i="3"/>
  <c r="AW556" i="3" s="1"/>
  <c r="AT301" i="3"/>
  <c r="AW301" i="3" s="1"/>
  <c r="AT596" i="3"/>
  <c r="AW596" i="3" s="1"/>
  <c r="AT365" i="3"/>
  <c r="AW365" i="3" s="1"/>
  <c r="AT660" i="3"/>
  <c r="AW660" i="3" s="1"/>
  <c r="AT479" i="3"/>
  <c r="AW479" i="3" s="1"/>
  <c r="AT184" i="3"/>
  <c r="AW184" i="3" s="1"/>
  <c r="AT511" i="3"/>
  <c r="AW511" i="3" s="1"/>
  <c r="AT216" i="3"/>
  <c r="AW216" i="3" s="1"/>
  <c r="AT575" i="3"/>
  <c r="AW575" i="3" s="1"/>
  <c r="AT280" i="3"/>
  <c r="AW280" i="3" s="1"/>
  <c r="AT639" i="3"/>
  <c r="AW639" i="3" s="1"/>
  <c r="AT344" i="3"/>
  <c r="AW344" i="3" s="1"/>
  <c r="AT377" i="3"/>
  <c r="AW377" i="3" s="1"/>
  <c r="AT234" i="3"/>
  <c r="AW234" i="3" s="1"/>
  <c r="AT529" i="3"/>
  <c r="AW529" i="3" s="1"/>
  <c r="AT362" i="3"/>
  <c r="AW362" i="3" s="1"/>
  <c r="AT657" i="3"/>
  <c r="AW657" i="3" s="1"/>
  <c r="AT203" i="3"/>
  <c r="AW203" i="3" s="1"/>
  <c r="AT291" i="3"/>
  <c r="AW291" i="3" s="1"/>
  <c r="AT331" i="3"/>
  <c r="AW331" i="3" s="1"/>
  <c r="AT152" i="3"/>
  <c r="AW152" i="3" s="1"/>
  <c r="AT208" i="3"/>
  <c r="AW208" i="3" s="1"/>
  <c r="AT248" i="3"/>
  <c r="AW248" i="3" s="1"/>
  <c r="AT336" i="3"/>
  <c r="AW336" i="3" s="1"/>
  <c r="AT121" i="3"/>
  <c r="AW121" i="3" s="1"/>
  <c r="AT217" i="3"/>
  <c r="AW217" i="3" s="1"/>
  <c r="AT305" i="3"/>
  <c r="AW305" i="3" s="1"/>
  <c r="AT345" i="3"/>
  <c r="AW345" i="3" s="1"/>
  <c r="AT394" i="3"/>
  <c r="AW394" i="3" s="1"/>
  <c r="AT99" i="3"/>
  <c r="AW99" i="3" s="1"/>
  <c r="AT418" i="3"/>
  <c r="AW418" i="3" s="1"/>
  <c r="AT123" i="3"/>
  <c r="AW123" i="3" s="1"/>
  <c r="AT177" i="3"/>
  <c r="AW177" i="3" s="1"/>
  <c r="AT472" i="3"/>
  <c r="AW472" i="3" s="1"/>
  <c r="AT395" i="3"/>
  <c r="AW395" i="3" s="1"/>
  <c r="AT100" i="3"/>
  <c r="AW100" i="3" s="1"/>
  <c r="AT200" i="3"/>
  <c r="AW200" i="3" s="1"/>
  <c r="AT495" i="3"/>
  <c r="AW495" i="3" s="1"/>
  <c r="AT264" i="3"/>
  <c r="AW264" i="3" s="1"/>
  <c r="AT559" i="3"/>
  <c r="AW559" i="3" s="1"/>
  <c r="AT328" i="3"/>
  <c r="AW328" i="3" s="1"/>
  <c r="AT623" i="3"/>
  <c r="AW623" i="3" s="1"/>
  <c r="AT171" i="3"/>
  <c r="AW171" i="3" s="1"/>
  <c r="AT227" i="3"/>
  <c r="AW227" i="3" s="1"/>
  <c r="AT267" i="3"/>
  <c r="AW267" i="3" s="1"/>
  <c r="AT281" i="3"/>
  <c r="AW281" i="3" s="1"/>
  <c r="AT398" i="3"/>
  <c r="AW398" i="3" s="1"/>
  <c r="AT103" i="3"/>
  <c r="AW103" i="3" s="1"/>
  <c r="AT161" i="3"/>
  <c r="AW161" i="3" s="1"/>
  <c r="AT456" i="3"/>
  <c r="AW456" i="3" s="1"/>
  <c r="AT384" i="3"/>
  <c r="AW384" i="3" s="1"/>
  <c r="AT89" i="3"/>
  <c r="AW89" i="3" s="1"/>
  <c r="AT189" i="3"/>
  <c r="AW189" i="3" s="1"/>
  <c r="AT484" i="3"/>
  <c r="AW484" i="3" s="1"/>
  <c r="AT253" i="3"/>
  <c r="AW253" i="3" s="1"/>
  <c r="AT548" i="3"/>
  <c r="AW548" i="3" s="1"/>
  <c r="AT192" i="3"/>
  <c r="AW192" i="3" s="1"/>
  <c r="AT487" i="3"/>
  <c r="AW487" i="3" s="1"/>
  <c r="AT224" i="3"/>
  <c r="AW224" i="3" s="1"/>
  <c r="AT519" i="3"/>
  <c r="AW519" i="3" s="1"/>
  <c r="AT352" i="3"/>
  <c r="AW352" i="3" s="1"/>
  <c r="AT647" i="3"/>
  <c r="AW647" i="3" s="1"/>
  <c r="AT513" i="3"/>
  <c r="AW513" i="3" s="1"/>
  <c r="AT289" i="3"/>
  <c r="AW289" i="3" s="1"/>
  <c r="AT390" i="3"/>
  <c r="AW390" i="3" s="1"/>
  <c r="AT95" i="3"/>
  <c r="AW95" i="3" s="1"/>
  <c r="AT414" i="3"/>
  <c r="AW414" i="3" s="1"/>
  <c r="AT119" i="3"/>
  <c r="AW119" i="3" s="1"/>
  <c r="AT442" i="3"/>
  <c r="AW442" i="3" s="1"/>
  <c r="AT450" i="3"/>
  <c r="AW450" i="3" s="1"/>
  <c r="AT458" i="3"/>
  <c r="AW458" i="3" s="1"/>
  <c r="AT474" i="3"/>
  <c r="AW474" i="3" s="1"/>
  <c r="AT482" i="3"/>
  <c r="AW482" i="3" s="1"/>
  <c r="AT490" i="3"/>
  <c r="AW490" i="3" s="1"/>
  <c r="AT506" i="3"/>
  <c r="AW506" i="3" s="1"/>
  <c r="AT514" i="3"/>
  <c r="AW514" i="3" s="1"/>
  <c r="AT530" i="3"/>
  <c r="AW530" i="3" s="1"/>
  <c r="AT538" i="3"/>
  <c r="AW538" i="3" s="1"/>
  <c r="AT546" i="3"/>
  <c r="AW546" i="3" s="1"/>
  <c r="AT554" i="3"/>
  <c r="AW554" i="3" s="1"/>
  <c r="AT578" i="3"/>
  <c r="AW578" i="3" s="1"/>
  <c r="AT594" i="3"/>
  <c r="AW594" i="3" s="1"/>
  <c r="AT602" i="3"/>
  <c r="AW602" i="3" s="1"/>
  <c r="AT618" i="3"/>
  <c r="AW618" i="3" s="1"/>
  <c r="AT634" i="3"/>
  <c r="AW634" i="3" s="1"/>
  <c r="AT642" i="3"/>
  <c r="AW642" i="3" s="1"/>
  <c r="AT658" i="3"/>
  <c r="AW658" i="3" s="1"/>
  <c r="AT388" i="3"/>
  <c r="AW388" i="3" s="1"/>
  <c r="AT93" i="3"/>
  <c r="AW93" i="3" s="1"/>
  <c r="AT448" i="3"/>
  <c r="AW448" i="3" s="1"/>
  <c r="AT193" i="3"/>
  <c r="AW193" i="3" s="1"/>
  <c r="AT375" i="3"/>
  <c r="AW375" i="3" s="1"/>
  <c r="AT488" i="3"/>
  <c r="AW488" i="3" s="1"/>
  <c r="AT257" i="3"/>
  <c r="AW257" i="3" s="1"/>
  <c r="AT552" i="3"/>
  <c r="AW552" i="3" s="1"/>
  <c r="AT321" i="3"/>
  <c r="AW321" i="3" s="1"/>
  <c r="AT616" i="3"/>
  <c r="AW616" i="3" s="1"/>
  <c r="AT389" i="3"/>
  <c r="AW389" i="3" s="1"/>
  <c r="AT157" i="3"/>
  <c r="AW157" i="3" s="1"/>
  <c r="AT452" i="3"/>
  <c r="AW452" i="3" s="1"/>
  <c r="AT476" i="3"/>
  <c r="AW476" i="3" s="1"/>
  <c r="AT221" i="3"/>
  <c r="AW221" i="3" s="1"/>
  <c r="AT516" i="3"/>
  <c r="AW516" i="3" s="1"/>
  <c r="AT285" i="3"/>
  <c r="AW285" i="3" s="1"/>
  <c r="AT580" i="3"/>
  <c r="AW580" i="3" s="1"/>
  <c r="AT604" i="3"/>
  <c r="AW604" i="3" s="1"/>
  <c r="AT349" i="3"/>
  <c r="AW349" i="3" s="1"/>
  <c r="AT644" i="3"/>
  <c r="AW644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76" i="3"/>
  <c r="AW176" i="3" s="1"/>
  <c r="AT471" i="3"/>
  <c r="AW471" i="3" s="1"/>
  <c r="AT535" i="3"/>
  <c r="AW535" i="3" s="1"/>
  <c r="AT240" i="3"/>
  <c r="AW240" i="3" s="1"/>
  <c r="AT599" i="3"/>
  <c r="AW599" i="3" s="1"/>
  <c r="AT304" i="3"/>
  <c r="AW304" i="3" s="1"/>
  <c r="AT663" i="3"/>
  <c r="AW663" i="3" s="1"/>
  <c r="AT368" i="3"/>
  <c r="AW368" i="3" s="1"/>
  <c r="AT194" i="3"/>
  <c r="AW194" i="3" s="1"/>
  <c r="AT376" i="3"/>
  <c r="AW376" i="3" s="1"/>
  <c r="AT242" i="3"/>
  <c r="AW242" i="3" s="1"/>
  <c r="AT537" i="3"/>
  <c r="AW537" i="3" s="1"/>
  <c r="AT322" i="3"/>
  <c r="AW322" i="3" s="1"/>
  <c r="AT617" i="3"/>
  <c r="AW617" i="3" s="1"/>
  <c r="AT111" i="3"/>
  <c r="AW111" i="3" s="1"/>
  <c r="AT116" i="3"/>
  <c r="AW116" i="3" s="1"/>
  <c r="AT256" i="3"/>
  <c r="AW256" i="3" s="1"/>
  <c r="AT296" i="3"/>
  <c r="AW296" i="3" s="1"/>
  <c r="AT85" i="3"/>
  <c r="AW85" i="3" s="1"/>
  <c r="AT125" i="3"/>
  <c r="AW125" i="3" s="1"/>
  <c r="AT225" i="3"/>
  <c r="AW225" i="3" s="1"/>
  <c r="AT353" i="3"/>
  <c r="AW353" i="3" s="1"/>
  <c r="AT188" i="3"/>
  <c r="AW188" i="3" s="1"/>
  <c r="AT120" i="3"/>
  <c r="AW120" i="3" s="1"/>
  <c r="AT140" i="3"/>
  <c r="AW140" i="3" s="1"/>
  <c r="AT109" i="3"/>
  <c r="AW109" i="3" s="1"/>
  <c r="AT10" i="3"/>
  <c r="AW10" i="3" s="1"/>
  <c r="AT11" i="3"/>
  <c r="AW11" i="3" s="1"/>
  <c r="AT104" i="3"/>
  <c r="AW104" i="3" s="1"/>
  <c r="AT124" i="3"/>
  <c r="AW124" i="3" s="1"/>
  <c r="AT137" i="3"/>
  <c r="AW137" i="3" s="1"/>
  <c r="AO600" i="3"/>
  <c r="AR600" i="3" s="1"/>
  <c r="AO636" i="3"/>
  <c r="AR636" i="3" s="1"/>
  <c r="AO503" i="3"/>
  <c r="AR503" i="3" s="1"/>
  <c r="AO547" i="3"/>
  <c r="AR547" i="3" s="1"/>
  <c r="AO567" i="3"/>
  <c r="AR567" i="3" s="1"/>
  <c r="AO643" i="3"/>
  <c r="AR643" i="3" s="1"/>
  <c r="AO482" i="3"/>
  <c r="AR482" i="3" s="1"/>
  <c r="AO417" i="3"/>
  <c r="AR417" i="3" s="1"/>
  <c r="AO400" i="3"/>
  <c r="AR400" i="3" s="1"/>
  <c r="AO416" i="3"/>
  <c r="AR416" i="3" s="1"/>
  <c r="AO456" i="3"/>
  <c r="AR456" i="3" s="1"/>
  <c r="AO480" i="3"/>
  <c r="AR480" i="3" s="1"/>
  <c r="AO516" i="3"/>
  <c r="AR516" i="3" s="1"/>
  <c r="AO540" i="3"/>
  <c r="AR540" i="3" s="1"/>
  <c r="AO560" i="3"/>
  <c r="AR560" i="3" s="1"/>
  <c r="AO399" i="3"/>
  <c r="AR399" i="3" s="1"/>
  <c r="AO463" i="3"/>
  <c r="AR463" i="3" s="1"/>
  <c r="AO483" i="3"/>
  <c r="AR483" i="3" s="1"/>
  <c r="AO611" i="3"/>
  <c r="AR611" i="3" s="1"/>
  <c r="AO663" i="3"/>
  <c r="AR663" i="3" s="1"/>
  <c r="AO462" i="3"/>
  <c r="AR462" i="3" s="1"/>
  <c r="AO526" i="3"/>
  <c r="AR526" i="3" s="1"/>
  <c r="AO638" i="3"/>
  <c r="AR638" i="3" s="1"/>
  <c r="AO498" i="3"/>
  <c r="AR498" i="3" s="1"/>
  <c r="AO562" i="3"/>
  <c r="AR562" i="3" s="1"/>
  <c r="AO602" i="3"/>
  <c r="AR602" i="3" s="1"/>
  <c r="AO618" i="3"/>
  <c r="AR618" i="3" s="1"/>
  <c r="AO653" i="3"/>
  <c r="AR653" i="3" s="1"/>
  <c r="AO378" i="3"/>
  <c r="AR378" i="3" s="1"/>
  <c r="AO379" i="3"/>
  <c r="AR379" i="3" s="1"/>
  <c r="AO375" i="3"/>
  <c r="AR375" i="3" s="1"/>
  <c r="AO146" i="3"/>
  <c r="AR146" i="3" s="1"/>
  <c r="AO143" i="3"/>
  <c r="AR143" i="3" s="1"/>
  <c r="AO162" i="3"/>
  <c r="AR162" i="3" s="1"/>
  <c r="AO428" i="3"/>
  <c r="AR428" i="3" s="1"/>
  <c r="AO590" i="3"/>
  <c r="AR590" i="3" s="1"/>
  <c r="AO538" i="3"/>
  <c r="AR538" i="3" s="1"/>
  <c r="AO130" i="3"/>
  <c r="AR130" i="3" s="1"/>
  <c r="AO433" i="3"/>
  <c r="AR433" i="3" s="1"/>
  <c r="AO497" i="3"/>
  <c r="AR497" i="3" s="1"/>
  <c r="AO573" i="3"/>
  <c r="AR573" i="3" s="1"/>
  <c r="AO633" i="3"/>
  <c r="AR633" i="3" s="1"/>
  <c r="AO420" i="3"/>
  <c r="AR420" i="3" s="1"/>
  <c r="AO500" i="3"/>
  <c r="AR500" i="3" s="1"/>
  <c r="AO564" i="3"/>
  <c r="AR564" i="3" s="1"/>
  <c r="AO403" i="3"/>
  <c r="AR403" i="3" s="1"/>
  <c r="AO467" i="3"/>
  <c r="AR467" i="3" s="1"/>
  <c r="AO515" i="3"/>
  <c r="AR515" i="3" s="1"/>
  <c r="AO535" i="3"/>
  <c r="AR535" i="3" s="1"/>
  <c r="AO579" i="3"/>
  <c r="AR579" i="3" s="1"/>
  <c r="AO631" i="3"/>
  <c r="AR631" i="3" s="1"/>
  <c r="AO566" i="3"/>
  <c r="AR566" i="3" s="1"/>
  <c r="AO405" i="3"/>
  <c r="AR405" i="3" s="1"/>
  <c r="AO656" i="3"/>
  <c r="AR656" i="3" s="1"/>
  <c r="AO533" i="3"/>
  <c r="AR533" i="3" s="1"/>
  <c r="AO188" i="3"/>
  <c r="AR188" i="3" s="1"/>
  <c r="AO101" i="3"/>
  <c r="AR101" i="3" s="1"/>
  <c r="AO213" i="3"/>
  <c r="AR213" i="3" s="1"/>
  <c r="AO333" i="3"/>
  <c r="AR333" i="3" s="1"/>
  <c r="AO294" i="3"/>
  <c r="AR294" i="3" s="1"/>
  <c r="AO369" i="3"/>
  <c r="AR369" i="3" s="1"/>
  <c r="AO250" i="3"/>
  <c r="AR250" i="3" s="1"/>
  <c r="AO89" i="3"/>
  <c r="AR89" i="3" s="1"/>
  <c r="AO131" i="3"/>
  <c r="AR131" i="3" s="1"/>
  <c r="AO637" i="3"/>
  <c r="AR637" i="3" s="1"/>
  <c r="AO448" i="3"/>
  <c r="AR448" i="3" s="1"/>
  <c r="AO382" i="3"/>
  <c r="AR382" i="3" s="1"/>
  <c r="AO87" i="3"/>
  <c r="AR87" i="3" s="1"/>
  <c r="AO406" i="3"/>
  <c r="AR406" i="3" s="1"/>
  <c r="AO111" i="3"/>
  <c r="AR111" i="3" s="1"/>
  <c r="AO446" i="3"/>
  <c r="AR446" i="3" s="1"/>
  <c r="AO151" i="3"/>
  <c r="AR151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648" i="3"/>
  <c r="AR648" i="3" s="1"/>
  <c r="AO537" i="3"/>
  <c r="AR537" i="3" s="1"/>
  <c r="AO242" i="3"/>
  <c r="AR242" i="3" s="1"/>
  <c r="AO190" i="3"/>
  <c r="AR190" i="3" s="1"/>
  <c r="AO274" i="3"/>
  <c r="AR274" i="3" s="1"/>
  <c r="AO163" i="3"/>
  <c r="AR163" i="3" s="1"/>
  <c r="AO175" i="3"/>
  <c r="AR175" i="3" s="1"/>
  <c r="AO373" i="3"/>
  <c r="AR373" i="3" s="1"/>
  <c r="AO100" i="3"/>
  <c r="AR100" i="3" s="1"/>
  <c r="AO116" i="3"/>
  <c r="AR116" i="3" s="1"/>
  <c r="AO132" i="3"/>
  <c r="AR132" i="3" s="1"/>
  <c r="AO148" i="3"/>
  <c r="AR148" i="3" s="1"/>
  <c r="AO164" i="3"/>
  <c r="AR164" i="3" s="1"/>
  <c r="AO180" i="3"/>
  <c r="AR180" i="3" s="1"/>
  <c r="AO192" i="3"/>
  <c r="AR192" i="3" s="1"/>
  <c r="AO225" i="3"/>
  <c r="AR225" i="3" s="1"/>
  <c r="AO297" i="3"/>
  <c r="AR297" i="3" s="1"/>
  <c r="AO345" i="3"/>
  <c r="AR345" i="3" s="1"/>
  <c r="AO285" i="3"/>
  <c r="AR285" i="3" s="1"/>
  <c r="AO114" i="3"/>
  <c r="AR114" i="3" s="1"/>
  <c r="AO135" i="3"/>
  <c r="AR135" i="3" s="1"/>
  <c r="AO123" i="3"/>
  <c r="AR123" i="3" s="1"/>
  <c r="AO386" i="3"/>
  <c r="AR386" i="3" s="1"/>
  <c r="AO91" i="3"/>
  <c r="AR91" i="3" s="1"/>
  <c r="AO410" i="3"/>
  <c r="AR410" i="3" s="1"/>
  <c r="AO115" i="3"/>
  <c r="AR115" i="3" s="1"/>
  <c r="AO10" i="3"/>
  <c r="AR10" i="3" s="1"/>
  <c r="AO11" i="3"/>
  <c r="AR11" i="3" s="1"/>
  <c r="AO393" i="3"/>
  <c r="AR393" i="3" s="1"/>
  <c r="AO98" i="3"/>
  <c r="AR98" i="3" s="1"/>
  <c r="AO577" i="3"/>
  <c r="AR577" i="3" s="1"/>
  <c r="AO282" i="3"/>
  <c r="AR282" i="3" s="1"/>
  <c r="AO552" i="3"/>
  <c r="AR552" i="3" s="1"/>
  <c r="AO257" i="3"/>
  <c r="AR257" i="3" s="1"/>
  <c r="AO270" i="3"/>
  <c r="AR270" i="3" s="1"/>
  <c r="AO178" i="3"/>
  <c r="AR178" i="3" s="1"/>
  <c r="AO513" i="3"/>
  <c r="AR513" i="3" s="1"/>
  <c r="AO487" i="3"/>
  <c r="AR487" i="3" s="1"/>
  <c r="AO434" i="3"/>
  <c r="AR434" i="3" s="1"/>
  <c r="AO139" i="3"/>
  <c r="AR139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501" i="3"/>
  <c r="AR501" i="3" s="1"/>
  <c r="AO206" i="3"/>
  <c r="AR206" i="3" s="1"/>
  <c r="AO581" i="3"/>
  <c r="AR581" i="3" s="1"/>
  <c r="AO286" i="3"/>
  <c r="AR286" i="3" s="1"/>
  <c r="AO610" i="3"/>
  <c r="AR610" i="3" s="1"/>
  <c r="AO198" i="3"/>
  <c r="AR198" i="3" s="1"/>
  <c r="AO99" i="3"/>
  <c r="AR99" i="3" s="1"/>
  <c r="AO311" i="3"/>
  <c r="AR311" i="3" s="1"/>
  <c r="AO155" i="3"/>
  <c r="AR155" i="3" s="1"/>
  <c r="AO445" i="3"/>
  <c r="AR445" i="3" s="1"/>
  <c r="AO485" i="3"/>
  <c r="AR485" i="3" s="1"/>
  <c r="AO529" i="3"/>
  <c r="AR529" i="3" s="1"/>
  <c r="AO444" i="3"/>
  <c r="AR444" i="3" s="1"/>
  <c r="AO460" i="3"/>
  <c r="AR460" i="3" s="1"/>
  <c r="AO476" i="3"/>
  <c r="AR476" i="3" s="1"/>
  <c r="AO524" i="3"/>
  <c r="AR524" i="3" s="1"/>
  <c r="AO491" i="3"/>
  <c r="AR491" i="3" s="1"/>
  <c r="AO507" i="3"/>
  <c r="AR507" i="3" s="1"/>
  <c r="AO523" i="3"/>
  <c r="AR523" i="3" s="1"/>
  <c r="AO539" i="3"/>
  <c r="AR539" i="3" s="1"/>
  <c r="AO555" i="3"/>
  <c r="AR555" i="3" s="1"/>
  <c r="AO571" i="3"/>
  <c r="AR571" i="3" s="1"/>
  <c r="AO603" i="3"/>
  <c r="AR603" i="3" s="1"/>
  <c r="AO635" i="3"/>
  <c r="AR635" i="3" s="1"/>
  <c r="AO542" i="3"/>
  <c r="AR542" i="3" s="1"/>
  <c r="AO614" i="3"/>
  <c r="AR614" i="3" s="1"/>
  <c r="AO398" i="3"/>
  <c r="AR398" i="3" s="1"/>
  <c r="AO103" i="3"/>
  <c r="AR103" i="3" s="1"/>
  <c r="AO422" i="3"/>
  <c r="AR422" i="3" s="1"/>
  <c r="AO127" i="3"/>
  <c r="AR127" i="3" s="1"/>
  <c r="AO454" i="3"/>
  <c r="AR454" i="3" s="1"/>
  <c r="AO159" i="3"/>
  <c r="AR159" i="3" s="1"/>
  <c r="AO525" i="3"/>
  <c r="AR525" i="3" s="1"/>
  <c r="AO230" i="3"/>
  <c r="AR230" i="3" s="1"/>
  <c r="AO576" i="3"/>
  <c r="AR576" i="3" s="1"/>
  <c r="AO281" i="3"/>
  <c r="AR281" i="3" s="1"/>
  <c r="AO634" i="3"/>
  <c r="AR634" i="3" s="1"/>
  <c r="AO641" i="3"/>
  <c r="AR641" i="3" s="1"/>
  <c r="AO346" i="3"/>
  <c r="AR346" i="3" s="1"/>
  <c r="AO489" i="3"/>
  <c r="AR489" i="3" s="1"/>
  <c r="AO376" i="3"/>
  <c r="AR376" i="3" s="1"/>
  <c r="AO657" i="3"/>
  <c r="AR657" i="3" s="1"/>
  <c r="AO189" i="3"/>
  <c r="AR189" i="3" s="1"/>
  <c r="AO371" i="3"/>
  <c r="AR371" i="3" s="1"/>
  <c r="AO210" i="3"/>
  <c r="AR210" i="3" s="1"/>
  <c r="AO334" i="3"/>
  <c r="AR334" i="3" s="1"/>
  <c r="AO107" i="3"/>
  <c r="AR107" i="3" s="1"/>
  <c r="AO254" i="3"/>
  <c r="AR254" i="3" s="1"/>
  <c r="AO95" i="3"/>
  <c r="AR9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<sst xmlns="http://schemas.openxmlformats.org/spreadsheetml/2006/main" count="1504" uniqueCount="114">
  <si>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</si>
  <si>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</si>
  <si>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</si>
  <si>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</si>
  <si>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</si>
  <si>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</si>
  <si>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</si>
  <si>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</si>
  <si>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</si>
  <si>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</si>
  <si>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</si>
  <si>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</si>
  <si>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</si>
  <si>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</si>
  <si>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</si>
  <si>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</si>
  <si>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</si>
  <si>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</si>
  <si>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</si>
  <si>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</si>
  <si>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</si>
  <si>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</si>
  <si>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</si>
  <si>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</si>
  <si>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</si>
  <si>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</si>
  <si>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</si>
  <si>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</si>
  <si>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</si>
  <si>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</si>
  <si>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</si>
  <si>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</si>
  <si>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</si>
  <si>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</si>
  <si>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</si>
  <si>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</si>
  <si>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</si>
  <si>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</si>
  <si>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</si>
  <si>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</si>
  <si>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</si>
  <si>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</si>
  <si>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</si>
  <si>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</si>
  <si>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</si>
  <si>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</si>
  <si>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</si>
  <si>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</si>
  <si>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</si>
  <si>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</si>
  <si>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</si>
  <si>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</si>
  <si>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</si>
  <si>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</si>
  <si>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</si>
  <si>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</si>
  <si>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</si>
  <si>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</si>
  <si>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</si>
  <si>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</si>
  <si>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</si>
  <si>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</si>
  <si>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</si>
  <si>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</si>
  <si>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</si>
  <si>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</si>
  <si>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</si>
  <si>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</si>
  <si>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</si>
  <si>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</si>
  <si>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</si>
  <si>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</si>
  <si>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</si>
  <si>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</si>
  <si>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</si>
  <si>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</si>
  <si>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</si>
  <si>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</si>
  <si>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</si>
  <si>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</si>
  <si>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</si>
  <si>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</si>
  <si>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</si>
  <si>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</si>
  <si>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</si>
  <si>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</si>
  <si>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</si>
  <si>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Kenneth Trujillo</t>
  </si>
  <si>
    <t>Zayo Handhole</t>
  </si>
  <si>
    <t>Zayo</t>
  </si>
  <si>
    <t>Original</t>
  </si>
  <si>
    <t>Originally a pass through cable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</si>
  <si>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</si>
  <si>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</si>
  <si>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</si>
  <si>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</si>
  <si>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</si>
  <si>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</si>
  <si>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</si>
  <si>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</si>
  <si>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</si>
  <si>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</si>
  <si>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</si>
  <si>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</si>
  <si>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Royal Harrison</t>
  </si>
  <si>
    <t>101366</t>
  </si>
  <si>
    <t>El Pueblo Rd. NE &amp; Rail Road Tracks</t>
  </si>
  <si>
    <t>Albuquerque, NM</t>
  </si>
  <si>
    <t>ABQ-6</t>
  </si>
  <si>
    <t>144</t>
  </si>
  <si>
    <t>Bacbone cable heading West on El Pueblo Rd to Splice-40224</t>
  </si>
  <si>
    <t>Bacbone cable heading East on El Pueblo Rd to Splice-40221</t>
  </si>
  <si>
    <t xml:space="preserve">TTN-0001225419 </t>
  </si>
  <si>
    <t>Sprint West Ring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</si>
</sst>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51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7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Normal="100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105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106</v>
      </c>
      <c r="E41" s="279" t="s">
        <v>107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ABQ-6  ABQ-6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42671</v>
      </c>
      <c r="D50" s="303" t="s">
        <v>104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101366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50" priority="2">
      <formula>B$41="?"</formula>
    </cfRule>
  </conditionalFormatting>
  <conditionalFormatting sqref="B45:D46">
    <cfRule type="expression" dxfId="4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101366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108</v>
      </c>
      <c r="D11" s="322" t="s">
        <v>111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109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49</v>
      </c>
      <c r="E15" s="89">
        <v>144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108</v>
      </c>
      <c r="D18" s="322" t="s">
        <v>110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109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>
        <v>144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AW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AW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AW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AW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AW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AW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AW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AW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AW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AW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AW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AW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AW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AW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AW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AW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AW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AW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AW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AW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AW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AW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AW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AW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AW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AW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AW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AW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AW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AW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AW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AW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AW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AW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AW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AW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AW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AW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AW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AW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AW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AW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AW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AW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AW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AW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AW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str">
        <f t="shared" si="15"/>
        <v>AW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str">
        <f t="shared" si="15"/>
        <v>AW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str">
        <f t="shared" si="15"/>
        <v>AW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str">
        <f t="shared" si="15"/>
        <v>AW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str">
        <f t="shared" si="15"/>
        <v>AW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str">
        <f t="shared" si="15"/>
        <v>AW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str">
        <f t="shared" si="15"/>
        <v>AW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str">
        <f t="shared" si="15"/>
        <v>AW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str">
        <f t="shared" si="15"/>
        <v>AW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str">
        <f t="shared" si="15"/>
        <v>AW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str">
        <f t="shared" si="15"/>
        <v>AW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str">
        <f t="shared" si="15"/>
        <v>AW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str">
        <f t="shared" si="15"/>
        <v>AW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str">
        <f t="shared" si="15"/>
        <v>AW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str">
        <f t="shared" si="15"/>
        <v>AW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str">
        <f t="shared" si="15"/>
        <v>AW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str">
        <f t="shared" si="15"/>
        <v>AW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str">
        <f t="shared" si="15"/>
        <v>AW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str">
        <f t="shared" si="15"/>
        <v>AW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str">
        <f t="shared" si="15"/>
        <v>AW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str">
        <f t="shared" si="15"/>
        <v>AW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str">
        <f t="shared" si="15"/>
        <v>AW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str">
        <f t="shared" si="15"/>
        <v>AW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str">
        <f t="shared" si="15"/>
        <v>AW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str">
        <f t="shared" si="15"/>
        <v>AW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str">
        <f t="shared" si="15"/>
        <v>AW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str">
        <f t="shared" si="15"/>
        <v>AW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str">
        <f t="shared" si="15"/>
        <v>AW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str">
        <f t="shared" si="15"/>
        <v>AW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str">
        <f t="shared" si="15"/>
        <v>AW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str">
        <f t="shared" si="15"/>
        <v>AW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str">
        <f t="shared" si="15"/>
        <v>AW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str">
        <f t="shared" si="15"/>
        <v>AW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str">
        <f t="shared" si="15"/>
        <v>AW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str">
        <f t="shared" si="15"/>
        <v>AW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str">
        <f t="shared" si="15"/>
        <v>AW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str">
        <f t="shared" si="15"/>
        <v>AW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str">
        <f t="shared" si="15"/>
        <v>AW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str">
        <f t="shared" si="15"/>
        <v>AW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str">
        <f t="shared" si="15"/>
        <v>AW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str">
        <f t="shared" si="15"/>
        <v>AW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str">
        <f t="shared" si="15"/>
        <v>AW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str">
        <f t="shared" si="15"/>
        <v>AW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str">
        <f t="shared" si="15"/>
        <v>AW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str">
        <f t="shared" si="15"/>
        <v>AW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str">
        <f t="shared" si="15"/>
        <v>AW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str">
        <f t="shared" si="15"/>
        <v>AW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str">
        <f t="shared" si="15"/>
        <v>AW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str">
        <f t="shared" si="15"/>
        <v>AW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str">
        <f t="shared" si="15"/>
        <v>AW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str">
        <f t="shared" si="15"/>
        <v>AW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str">
        <f t="shared" si="15"/>
        <v>AW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str">
        <f t="shared" si="15"/>
        <v>AW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str">
        <f t="shared" si="15"/>
        <v>AW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str">
        <f t="shared" si="15"/>
        <v>AW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str">
        <f t="shared" si="15"/>
        <v>AW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str">
        <f t="shared" si="15"/>
        <v>AW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AW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str">
        <f t="shared" si="27"/>
        <v>AW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str">
        <f t="shared" si="27"/>
        <v>AW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str">
        <f t="shared" si="27"/>
        <v>AW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str">
        <f t="shared" si="27"/>
        <v>AW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str">
        <f t="shared" si="27"/>
        <v>AW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str">
        <f t="shared" si="27"/>
        <v>AW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str">
        <f t="shared" si="27"/>
        <v>AW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str">
        <f t="shared" si="27"/>
        <v>AW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str">
        <f t="shared" si="27"/>
        <v>AW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str">
        <f t="shared" si="27"/>
        <v>AW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str">
        <f t="shared" si="27"/>
        <v>AW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str">
        <f t="shared" si="27"/>
        <v>AW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str">
        <f t="shared" si="27"/>
        <v>AW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str">
        <f t="shared" si="27"/>
        <v>AW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48" priority="20">
      <formula>$B$18=""</formula>
    </cfRule>
  </conditionalFormatting>
  <conditionalFormatting sqref="C24:F29 B26:B29">
    <cfRule type="expression" dxfId="47" priority="19">
      <formula>$B$25=""</formula>
    </cfRule>
  </conditionalFormatting>
  <conditionalFormatting sqref="C31:F36 B33:B36">
    <cfRule type="expression" dxfId="46" priority="16">
      <formula>$B$32=""</formula>
    </cfRule>
  </conditionalFormatting>
  <conditionalFormatting sqref="C38:F43 B40:B43">
    <cfRule type="expression" dxfId="45" priority="14">
      <formula>$B$39=""</formula>
    </cfRule>
  </conditionalFormatting>
  <conditionalFormatting sqref="C45:F50 B47:B50">
    <cfRule type="expression" dxfId="44" priority="12">
      <formula>$B$46=""</formula>
    </cfRule>
  </conditionalFormatting>
  <conditionalFormatting sqref="B17:B18">
    <cfRule type="expression" dxfId="43" priority="10">
      <formula>$B$18=""</formula>
    </cfRule>
  </conditionalFormatting>
  <conditionalFormatting sqref="B24:B25">
    <cfRule type="expression" dxfId="42" priority="9">
      <formula>$B$25=""</formula>
    </cfRule>
  </conditionalFormatting>
  <conditionalFormatting sqref="B31:B32">
    <cfRule type="expression" dxfId="41" priority="8">
      <formula>$B$32=""</formula>
    </cfRule>
  </conditionalFormatting>
  <conditionalFormatting sqref="B38:B39">
    <cfRule type="expression" dxfId="40" priority="7">
      <formula>$B$39=""</formula>
    </cfRule>
  </conditionalFormatting>
  <conditionalFormatting sqref="B45:B46">
    <cfRule type="expression" dxfId="39" priority="6">
      <formula>$B$46=""</formula>
    </cfRule>
  </conditionalFormatting>
  <conditionalFormatting sqref="D26:D29">
    <cfRule type="expression" dxfId="38" priority="5">
      <formula>$B$18=""</formula>
    </cfRule>
  </conditionalFormatting>
  <conditionalFormatting sqref="D33:D36">
    <cfRule type="expression" dxfId="37" priority="4">
      <formula>$B$18=""</formula>
    </cfRule>
  </conditionalFormatting>
  <conditionalFormatting sqref="D40:D43">
    <cfRule type="expression" dxfId="36" priority="3">
      <formula>$B$18=""</formula>
    </cfRule>
  </conditionalFormatting>
  <conditionalFormatting sqref="D47:D50">
    <cfRule type="expression" dxfId="3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101366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4" priority="14">
      <formula>$B$18=""</formula>
    </cfRule>
  </conditionalFormatting>
  <conditionalFormatting sqref="C24:F29 B26:B29">
    <cfRule type="expression" dxfId="33" priority="13">
      <formula>$B$25=""</formula>
    </cfRule>
  </conditionalFormatting>
  <conditionalFormatting sqref="C31:F36 B33:B36">
    <cfRule type="expression" dxfId="32" priority="12">
      <formula>$B$32=""</formula>
    </cfRule>
  </conditionalFormatting>
  <conditionalFormatting sqref="C38:F43 B40:B43">
    <cfRule type="expression" dxfId="31" priority="11">
      <formula>$B$39=""</formula>
    </cfRule>
  </conditionalFormatting>
  <conditionalFormatting sqref="C45:F50 B47:B50">
    <cfRule type="expression" dxfId="30" priority="10">
      <formula>$B$46=""</formula>
    </cfRule>
  </conditionalFormatting>
  <conditionalFormatting sqref="B17:B18">
    <cfRule type="expression" dxfId="29" priority="9">
      <formula>$B$18=""</formula>
    </cfRule>
  </conditionalFormatting>
  <conditionalFormatting sqref="B24:B25">
    <cfRule type="expression" dxfId="28" priority="8">
      <formula>$B$25=""</formula>
    </cfRule>
  </conditionalFormatting>
  <conditionalFormatting sqref="B31:B32">
    <cfRule type="expression" dxfId="27" priority="7">
      <formula>$B$32=""</formula>
    </cfRule>
  </conditionalFormatting>
  <conditionalFormatting sqref="B38:B39">
    <cfRule type="expression" dxfId="26" priority="6">
      <formula>$B$39=""</formula>
    </cfRule>
  </conditionalFormatting>
  <conditionalFormatting sqref="B45:B46">
    <cfRule type="expression" dxfId="25" priority="5">
      <formula>$B$46=""</formula>
    </cfRule>
  </conditionalFormatting>
  <conditionalFormatting sqref="D26:D29">
    <cfRule type="expression" dxfId="24" priority="4">
      <formula>$B$18=""</formula>
    </cfRule>
  </conditionalFormatting>
  <conditionalFormatting sqref="D33:D36">
    <cfRule type="expression" dxfId="23" priority="3">
      <formula>$B$18=""</formula>
    </cfRule>
  </conditionalFormatting>
  <conditionalFormatting sqref="D40:D43">
    <cfRule type="expression" dxfId="22" priority="2">
      <formula>$B$18=""</formula>
    </cfRule>
  </conditionalFormatting>
  <conditionalFormatting sqref="D47:D50">
    <cfRule type="expression" dxfId="2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101366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CL27" sqref="CL27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ABQ-6</v>
      </c>
      <c r="AI1" s="120" t="s">
        <v>17</v>
      </c>
      <c r="AJ1" s="121" t="s">
        <v>12</v>
      </c>
      <c r="AM1" s="121" t="str">
        <f>AF1</f>
        <v>[A] ABQ-6</v>
      </c>
      <c r="AN1" s="121" t="s">
        <v>17</v>
      </c>
      <c r="AO1" s="121" t="s">
        <v>13</v>
      </c>
      <c r="AR1" s="121" t="str">
        <f>AF2</f>
        <v>[B] ABQ-6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ABQ-6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101366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ABQ-6</v>
      </c>
      <c r="D10" s="243" t="s">
        <v>92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92</v>
      </c>
      <c r="M10" s="114" t="str">
        <f>IFERROR(IF(P10="","",IF((COUNTIF('Cable Info'!$B$11:$C$50,P10)=0),VLOOKUP(P10,'Cable Info (2)'!$B$11:$C$50,2,FALSE),(VLOOKUP(P10,'Cable Info'!$B$11:$C$50,2,FALSE)))),"NO SUCH EXIT")</f>
        <v>ABQ-6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/>
      <c r="V10" s="133" t="s">
        <v>10</v>
      </c>
      <c r="W10" s="133" t="s">
        <v>90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91</v>
      </c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ABQ-6</v>
      </c>
      <c r="D11" s="244" t="s">
        <v>93</v>
      </c>
      <c r="E11" s="260">
        <v>13</v>
      </c>
      <c r="F11" s="105" t="s">
        <v>45</v>
      </c>
      <c r="G11" s="263">
        <v>24</v>
      </c>
      <c r="H11" s="115">
        <f>IF(G11="","",((E11-G11)-1)*(-1))</f>
        <v>12</v>
      </c>
      <c r="I11" s="265">
        <v>13</v>
      </c>
      <c r="J11" s="105" t="s">
        <v>45</v>
      </c>
      <c r="K11" s="268">
        <v>24</v>
      </c>
      <c r="L11" s="247" t="s">
        <v>93</v>
      </c>
      <c r="M11" s="115" t="str">
        <f>IFERROR(IF(P11="","",IF((COUNTIF('Cable Info'!$B$11:$C$50,P11)=0),VLOOKUP(P11,'Cable Info (2)'!$B$11:$C$50,2,FALSE),(VLOOKUP(P11,'Cable Info'!$B$11:$C$50,2,FALSE)))),"NO SUCH EXIT")</f>
        <v>ABQ-6</v>
      </c>
      <c r="N11" s="134"/>
      <c r="O11" s="180"/>
      <c r="P11" s="130" t="s">
        <v>13</v>
      </c>
      <c r="Q11" s="190"/>
      <c r="R11" s="131" t="s">
        <v>60</v>
      </c>
      <c r="S11" s="131" t="s">
        <v>52</v>
      </c>
      <c r="T11" s="137"/>
      <c r="U11" s="137"/>
      <c r="V11" s="133" t="s">
        <v>10</v>
      </c>
      <c r="W11" s="133" t="s">
        <v>90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12</v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 t="s">
        <v>91</v>
      </c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ABQ-6</v>
      </c>
      <c r="D12" s="244" t="s">
        <v>94</v>
      </c>
      <c r="E12" s="259">
        <v>25</v>
      </c>
      <c r="F12" s="105" t="s">
        <v>45</v>
      </c>
      <c r="G12" s="262">
        <v>36</v>
      </c>
      <c r="H12" s="115">
        <f t="shared" ref="H12" si="17">IF(G12="","",((E12-G12)-1)*(-1))</f>
        <v>12</v>
      </c>
      <c r="I12" s="258">
        <v>25</v>
      </c>
      <c r="J12" s="105" t="s">
        <v>45</v>
      </c>
      <c r="K12" s="267">
        <v>36</v>
      </c>
      <c r="L12" s="246" t="s">
        <v>94</v>
      </c>
      <c r="M12" s="115" t="str">
        <f>IFERROR(IF(P12="","",IF((COUNTIF('Cable Info'!$B$11:$C$50,P12)=0),VLOOKUP(P12,'Cable Info (2)'!$B$11:$C$50,2,FALSE),(VLOOKUP(P12,'Cable Info'!$B$11:$C$50,2,FALSE)))),"NO SUCH EXIT")</f>
        <v>ABQ-6</v>
      </c>
      <c r="N12" s="134"/>
      <c r="O12" s="180"/>
      <c r="P12" s="130" t="s">
        <v>13</v>
      </c>
      <c r="Q12" s="190"/>
      <c r="R12" s="131" t="s">
        <v>60</v>
      </c>
      <c r="S12" s="131" t="s">
        <v>52</v>
      </c>
      <c r="T12" s="137"/>
      <c r="U12" s="137"/>
      <c r="V12" s="133" t="s">
        <v>10</v>
      </c>
      <c r="W12" s="133" t="s">
        <v>90</v>
      </c>
      <c r="X12" s="195">
        <f t="shared" ref="X12" si="18">IF(V12="","",IF(R12="","",IF(S12="","",IF(R12="SPLICED",(IF(S12="SPLICE",0,9)),IF(V12=$U$3,(IF(S12="BREAK",12,11)),IF(S12="BREAK",2,1))))))</f>
        <v>0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12</v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 t="s">
        <v>91</v>
      </c>
    </row>
    <row r="13" spans="1:90" x14ac:dyDescent="0.2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ABQ-6</v>
      </c>
      <c r="D13" s="244" t="s">
        <v>95</v>
      </c>
      <c r="E13" s="260">
        <v>37</v>
      </c>
      <c r="F13" s="105" t="s">
        <v>45</v>
      </c>
      <c r="G13" s="263">
        <v>48</v>
      </c>
      <c r="H13" s="115">
        <f t="shared" ref="H13:H76" si="29">IF(G13="","",((E13-G13)-1)*(-1))</f>
        <v>12</v>
      </c>
      <c r="I13" s="265">
        <v>37</v>
      </c>
      <c r="J13" s="105" t="s">
        <v>45</v>
      </c>
      <c r="K13" s="268">
        <v>48</v>
      </c>
      <c r="L13" s="247" t="s">
        <v>95</v>
      </c>
      <c r="M13" s="115" t="str">
        <f>IFERROR(IF(P13="","",IF((COUNTIF('Cable Info'!$B$11:$C$50,P13)=0),VLOOKUP(P13,'Cable Info (2)'!$B$11:$C$50,2,FALSE),(VLOOKUP(P13,'Cable Info'!$B$11:$C$50,2,FALSE)))),"NO SUCH EXIT")</f>
        <v>ABQ-6</v>
      </c>
      <c r="N13" s="134"/>
      <c r="O13" s="180"/>
      <c r="P13" s="130" t="s">
        <v>13</v>
      </c>
      <c r="Q13" s="190"/>
      <c r="R13" s="131" t="s">
        <v>60</v>
      </c>
      <c r="S13" s="131" t="s">
        <v>52</v>
      </c>
      <c r="T13" s="137"/>
      <c r="U13" s="137"/>
      <c r="V13" s="133" t="s">
        <v>10</v>
      </c>
      <c r="W13" s="133" t="s">
        <v>90</v>
      </c>
      <c r="X13" s="195">
        <f t="shared" ref="X13:X76" si="30">IF(V13="","",IF(R13="","",IF(S13="","",IF(R13="SPLICED",(IF(S13="SPLICE",0,9)),IF(V13=$U$3,(IF(S13="BREAK",12,11)),IF(S13="BREAK",2,1))))))</f>
        <v>0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12</v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 t="s">
        <v>91</v>
      </c>
    </row>
    <row r="14" spans="1:90" x14ac:dyDescent="0.2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ABQ-6</v>
      </c>
      <c r="D14" s="244" t="s">
        <v>96</v>
      </c>
      <c r="E14" s="259">
        <v>49</v>
      </c>
      <c r="F14" s="105" t="s">
        <v>45</v>
      </c>
      <c r="G14" s="262">
        <v>60</v>
      </c>
      <c r="H14" s="115">
        <f t="shared" si="29"/>
        <v>12</v>
      </c>
      <c r="I14" s="258">
        <v>49</v>
      </c>
      <c r="J14" s="105" t="s">
        <v>45</v>
      </c>
      <c r="K14" s="267">
        <v>60</v>
      </c>
      <c r="L14" s="246" t="s">
        <v>96</v>
      </c>
      <c r="M14" s="115" t="str">
        <f>IFERROR(IF(P14="","",IF((COUNTIF('Cable Info'!$B$11:$C$50,P14)=0),VLOOKUP(P14,'Cable Info (2)'!$B$11:$C$50,2,FALSE),(VLOOKUP(P14,'Cable Info'!$B$11:$C$50,2,FALSE)))),"NO SUCH EXIT")</f>
        <v>ABQ-6</v>
      </c>
      <c r="N14" s="134"/>
      <c r="O14" s="180"/>
      <c r="P14" s="130" t="s">
        <v>13</v>
      </c>
      <c r="Q14" s="190"/>
      <c r="R14" s="131" t="s">
        <v>60</v>
      </c>
      <c r="S14" s="131" t="s">
        <v>52</v>
      </c>
      <c r="T14" s="137"/>
      <c r="U14" s="137"/>
      <c r="V14" s="133" t="s">
        <v>10</v>
      </c>
      <c r="W14" s="133" t="s">
        <v>90</v>
      </c>
      <c r="X14" s="195">
        <f t="shared" si="30"/>
        <v>0</v>
      </c>
      <c r="Y14" s="252" t="str">
        <f t="shared" si="31"/>
        <v/>
      </c>
      <c r="Z14" s="253" t="str">
        <f t="shared" si="32"/>
        <v/>
      </c>
      <c r="AA14" s="253">
        <f t="shared" si="33"/>
        <v>12</v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 t="s">
        <v>91</v>
      </c>
    </row>
    <row r="15" spans="1:90" x14ac:dyDescent="0.2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ABQ-6</v>
      </c>
      <c r="D15" s="244" t="s">
        <v>97</v>
      </c>
      <c r="E15" s="260">
        <v>61</v>
      </c>
      <c r="F15" s="105" t="s">
        <v>45</v>
      </c>
      <c r="G15" s="263">
        <v>72</v>
      </c>
      <c r="H15" s="115">
        <f t="shared" si="29"/>
        <v>12</v>
      </c>
      <c r="I15" s="265">
        <v>61</v>
      </c>
      <c r="J15" s="105" t="s">
        <v>45</v>
      </c>
      <c r="K15" s="268">
        <v>72</v>
      </c>
      <c r="L15" s="247" t="s">
        <v>97</v>
      </c>
      <c r="M15" s="115" t="str">
        <f>IFERROR(IF(P15="","",IF((COUNTIF('Cable Info'!$B$11:$C$50,P15)=0),VLOOKUP(P15,'Cable Info (2)'!$B$11:$C$50,2,FALSE),(VLOOKUP(P15,'Cable Info'!$B$11:$C$50,2,FALSE)))),"NO SUCH EXIT")</f>
        <v>ABQ-6</v>
      </c>
      <c r="N15" s="134"/>
      <c r="O15" s="180"/>
      <c r="P15" s="130" t="s">
        <v>13</v>
      </c>
      <c r="Q15" s="190"/>
      <c r="R15" s="131" t="s">
        <v>60</v>
      </c>
      <c r="S15" s="131" t="s">
        <v>52</v>
      </c>
      <c r="T15" s="137"/>
      <c r="U15" s="137"/>
      <c r="V15" s="133" t="s">
        <v>10</v>
      </c>
      <c r="W15" s="133" t="s">
        <v>90</v>
      </c>
      <c r="X15" s="195">
        <f t="shared" si="30"/>
        <v>0</v>
      </c>
      <c r="Y15" s="252" t="str">
        <f t="shared" si="31"/>
        <v/>
      </c>
      <c r="Z15" s="253" t="str">
        <f t="shared" si="32"/>
        <v/>
      </c>
      <c r="AA15" s="253">
        <f t="shared" si="33"/>
        <v>12</v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 t="s">
        <v>91</v>
      </c>
    </row>
    <row r="16" spans="1:90" x14ac:dyDescent="0.2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ABQ-6</v>
      </c>
      <c r="D16" s="244" t="s">
        <v>98</v>
      </c>
      <c r="E16" s="259">
        <v>73</v>
      </c>
      <c r="F16" s="105" t="s">
        <v>45</v>
      </c>
      <c r="G16" s="262">
        <v>84</v>
      </c>
      <c r="H16" s="115">
        <f t="shared" si="29"/>
        <v>12</v>
      </c>
      <c r="I16" s="258">
        <v>73</v>
      </c>
      <c r="J16" s="105" t="s">
        <v>45</v>
      </c>
      <c r="K16" s="267">
        <v>84</v>
      </c>
      <c r="L16" s="246" t="s">
        <v>98</v>
      </c>
      <c r="M16" s="115" t="str">
        <f>IFERROR(IF(P16="","",IF((COUNTIF('Cable Info'!$B$11:$C$50,P16)=0),VLOOKUP(P16,'Cable Info (2)'!$B$11:$C$50,2,FALSE),(VLOOKUP(P16,'Cable Info'!$B$11:$C$50,2,FALSE)))),"NO SUCH EXIT")</f>
        <v>ABQ-6</v>
      </c>
      <c r="N16" s="134"/>
      <c r="O16" s="180"/>
      <c r="P16" s="130" t="s">
        <v>13</v>
      </c>
      <c r="Q16" s="190"/>
      <c r="R16" s="131" t="s">
        <v>60</v>
      </c>
      <c r="S16" s="131" t="s">
        <v>52</v>
      </c>
      <c r="T16" s="137"/>
      <c r="U16" s="137"/>
      <c r="V16" s="133" t="s">
        <v>10</v>
      </c>
      <c r="W16" s="133" t="s">
        <v>90</v>
      </c>
      <c r="X16" s="195">
        <f t="shared" si="30"/>
        <v>0</v>
      </c>
      <c r="Y16" s="252" t="str">
        <f t="shared" si="31"/>
        <v/>
      </c>
      <c r="Z16" s="253" t="str">
        <f t="shared" si="32"/>
        <v/>
      </c>
      <c r="AA16" s="253">
        <f t="shared" si="33"/>
        <v>12</v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0" t="s">
        <v>91</v>
      </c>
    </row>
    <row r="17" spans="1:90" x14ac:dyDescent="0.2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ABQ-6</v>
      </c>
      <c r="D17" s="243" t="s">
        <v>99</v>
      </c>
      <c r="E17" s="260">
        <v>85</v>
      </c>
      <c r="F17" s="105" t="s">
        <v>45</v>
      </c>
      <c r="G17" s="263">
        <v>96</v>
      </c>
      <c r="H17" s="115">
        <f t="shared" si="29"/>
        <v>12</v>
      </c>
      <c r="I17" s="265">
        <v>85</v>
      </c>
      <c r="J17" s="105" t="s">
        <v>45</v>
      </c>
      <c r="K17" s="268">
        <v>96</v>
      </c>
      <c r="L17" s="247" t="s">
        <v>99</v>
      </c>
      <c r="M17" s="115" t="str">
        <f>IFERROR(IF(P17="","",IF((COUNTIF('Cable Info'!$B$11:$C$50,P17)=0),VLOOKUP(P17,'Cable Info (2)'!$B$11:$C$50,2,FALSE),(VLOOKUP(P17,'Cable Info'!$B$11:$C$50,2,FALSE)))),"NO SUCH EXIT")</f>
        <v>ABQ-6</v>
      </c>
      <c r="N17" s="134"/>
      <c r="O17" s="180"/>
      <c r="P17" s="130" t="s">
        <v>13</v>
      </c>
      <c r="Q17" s="190"/>
      <c r="R17" s="131" t="s">
        <v>60</v>
      </c>
      <c r="S17" s="131" t="s">
        <v>52</v>
      </c>
      <c r="T17" s="137"/>
      <c r="U17" s="137"/>
      <c r="V17" s="133" t="s">
        <v>10</v>
      </c>
      <c r="W17" s="133" t="s">
        <v>90</v>
      </c>
      <c r="X17" s="195">
        <f t="shared" si="30"/>
        <v>0</v>
      </c>
      <c r="Y17" s="252" t="str">
        <f t="shared" si="31"/>
        <v/>
      </c>
      <c r="Z17" s="253" t="str">
        <f t="shared" si="32"/>
        <v/>
      </c>
      <c r="AA17" s="253">
        <f t="shared" si="33"/>
        <v>12</v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0" t="s">
        <v>91</v>
      </c>
    </row>
    <row r="18" spans="1:90" x14ac:dyDescent="0.2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ABQ-6</v>
      </c>
      <c r="D18" s="244" t="s">
        <v>100</v>
      </c>
      <c r="E18" s="259">
        <v>97</v>
      </c>
      <c r="F18" s="105" t="s">
        <v>45</v>
      </c>
      <c r="G18" s="262">
        <v>108</v>
      </c>
      <c r="H18" s="115">
        <f t="shared" si="29"/>
        <v>12</v>
      </c>
      <c r="I18" s="258">
        <v>97</v>
      </c>
      <c r="J18" s="105" t="s">
        <v>45</v>
      </c>
      <c r="K18" s="267">
        <v>108</v>
      </c>
      <c r="L18" s="246" t="s">
        <v>100</v>
      </c>
      <c r="M18" s="115" t="str">
        <f>IFERROR(IF(P18="","",IF((COUNTIF('Cable Info'!$B$11:$C$50,P18)=0),VLOOKUP(P18,'Cable Info (2)'!$B$11:$C$50,2,FALSE),(VLOOKUP(P18,'Cable Info'!$B$11:$C$50,2,FALSE)))),"NO SUCH EXIT")</f>
        <v>ABQ-6</v>
      </c>
      <c r="N18" s="134"/>
      <c r="O18" s="180"/>
      <c r="P18" s="130" t="s">
        <v>13</v>
      </c>
      <c r="Q18" s="190"/>
      <c r="R18" s="131" t="s">
        <v>60</v>
      </c>
      <c r="S18" s="131" t="s">
        <v>52</v>
      </c>
      <c r="T18" s="137"/>
      <c r="U18" s="137"/>
      <c r="V18" s="133" t="s">
        <v>10</v>
      </c>
      <c r="W18" s="133" t="s">
        <v>90</v>
      </c>
      <c r="X18" s="195">
        <f t="shared" si="30"/>
        <v>0</v>
      </c>
      <c r="Y18" s="252" t="str">
        <f t="shared" si="31"/>
        <v/>
      </c>
      <c r="Z18" s="253" t="str">
        <f t="shared" si="32"/>
        <v/>
      </c>
      <c r="AA18" s="253">
        <f t="shared" si="33"/>
        <v>12</v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0" t="s">
        <v>91</v>
      </c>
    </row>
    <row r="19" spans="1:90" x14ac:dyDescent="0.2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ABQ-6</v>
      </c>
      <c r="D19" s="244" t="s">
        <v>101</v>
      </c>
      <c r="E19" s="260">
        <v>109</v>
      </c>
      <c r="F19" s="105" t="s">
        <v>45</v>
      </c>
      <c r="G19" s="263">
        <v>120</v>
      </c>
      <c r="H19" s="115">
        <f t="shared" si="29"/>
        <v>12</v>
      </c>
      <c r="I19" s="265">
        <v>109</v>
      </c>
      <c r="J19" s="105" t="s">
        <v>45</v>
      </c>
      <c r="K19" s="268">
        <v>120</v>
      </c>
      <c r="L19" s="247" t="s">
        <v>101</v>
      </c>
      <c r="M19" s="115" t="str">
        <f>IFERROR(IF(P19="","",IF((COUNTIF('Cable Info'!$B$11:$C$50,P19)=0),VLOOKUP(P19,'Cable Info (2)'!$B$11:$C$50,2,FALSE),(VLOOKUP(P19,'Cable Info'!$B$11:$C$50,2,FALSE)))),"NO SUCH EXIT")</f>
        <v>ABQ-6</v>
      </c>
      <c r="N19" s="134"/>
      <c r="O19" s="180"/>
      <c r="P19" s="130" t="s">
        <v>13</v>
      </c>
      <c r="Q19" s="190"/>
      <c r="R19" s="131" t="s">
        <v>60</v>
      </c>
      <c r="S19" s="131" t="s">
        <v>52</v>
      </c>
      <c r="T19" s="137"/>
      <c r="U19" s="137"/>
      <c r="V19" s="133" t="s">
        <v>10</v>
      </c>
      <c r="W19" s="133" t="s">
        <v>90</v>
      </c>
      <c r="X19" s="195">
        <f t="shared" si="30"/>
        <v>0</v>
      </c>
      <c r="Y19" s="252" t="str">
        <f t="shared" si="31"/>
        <v/>
      </c>
      <c r="Z19" s="253" t="str">
        <f t="shared" si="32"/>
        <v/>
      </c>
      <c r="AA19" s="253">
        <f t="shared" si="33"/>
        <v>12</v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0" t="s">
        <v>91</v>
      </c>
    </row>
    <row r="20" spans="1:90" x14ac:dyDescent="0.2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ABQ-6</v>
      </c>
      <c r="D20" s="244" t="s">
        <v>102</v>
      </c>
      <c r="E20" s="259">
        <v>121</v>
      </c>
      <c r="F20" s="105" t="s">
        <v>45</v>
      </c>
      <c r="G20" s="262">
        <v>132</v>
      </c>
      <c r="H20" s="115">
        <f t="shared" si="29"/>
        <v>12</v>
      </c>
      <c r="I20" s="258">
        <v>121</v>
      </c>
      <c r="J20" s="105" t="s">
        <v>45</v>
      </c>
      <c r="K20" s="267">
        <v>132</v>
      </c>
      <c r="L20" s="246" t="s">
        <v>102</v>
      </c>
      <c r="M20" s="115" t="str">
        <f>IFERROR(IF(P20="","",IF((COUNTIF('Cable Info'!$B$11:$C$50,P20)=0),VLOOKUP(P20,'Cable Info (2)'!$B$11:$C$50,2,FALSE),(VLOOKUP(P20,'Cable Info'!$B$11:$C$50,2,FALSE)))),"NO SUCH EXIT")</f>
        <v>ABQ-6</v>
      </c>
      <c r="N20" s="134"/>
      <c r="O20" s="180"/>
      <c r="P20" s="130" t="s">
        <v>13</v>
      </c>
      <c r="Q20" s="190"/>
      <c r="R20" s="131" t="s">
        <v>60</v>
      </c>
      <c r="S20" s="131" t="s">
        <v>52</v>
      </c>
      <c r="T20" s="137"/>
      <c r="U20" s="137"/>
      <c r="V20" s="133" t="s">
        <v>10</v>
      </c>
      <c r="W20" s="133" t="s">
        <v>90</v>
      </c>
      <c r="X20" s="195">
        <f t="shared" si="30"/>
        <v>0</v>
      </c>
      <c r="Y20" s="252" t="str">
        <f t="shared" si="31"/>
        <v/>
      </c>
      <c r="Z20" s="253" t="str">
        <f t="shared" si="32"/>
        <v/>
      </c>
      <c r="AA20" s="253">
        <f t="shared" si="33"/>
        <v>12</v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0" t="s">
        <v>91</v>
      </c>
    </row>
    <row r="21" spans="1:90" x14ac:dyDescent="0.2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ABQ-6</v>
      </c>
      <c r="D21" s="244" t="s">
        <v>103</v>
      </c>
      <c r="E21" s="260">
        <v>133</v>
      </c>
      <c r="F21" s="105" t="s">
        <v>45</v>
      </c>
      <c r="G21" s="263">
        <v>144</v>
      </c>
      <c r="H21" s="115">
        <f t="shared" si="29"/>
        <v>12</v>
      </c>
      <c r="I21" s="265">
        <v>133</v>
      </c>
      <c r="J21" s="105" t="s">
        <v>45</v>
      </c>
      <c r="K21" s="268">
        <v>144</v>
      </c>
      <c r="L21" s="247" t="s">
        <v>103</v>
      </c>
      <c r="M21" s="115" t="str">
        <f>IFERROR(IF(P21="","",IF((COUNTIF('Cable Info'!$B$11:$C$50,P21)=0),VLOOKUP(P21,'Cable Info (2)'!$B$11:$C$50,2,FALSE),(VLOOKUP(P21,'Cable Info'!$B$11:$C$50,2,FALSE)))),"NO SUCH EXIT")</f>
        <v>ABQ-6</v>
      </c>
      <c r="N21" s="134"/>
      <c r="O21" s="180"/>
      <c r="P21" s="130" t="s">
        <v>13</v>
      </c>
      <c r="Q21" s="190"/>
      <c r="R21" s="131" t="s">
        <v>60</v>
      </c>
      <c r="S21" s="131" t="s">
        <v>52</v>
      </c>
      <c r="T21" s="137"/>
      <c r="U21" s="137"/>
      <c r="V21" s="133" t="s">
        <v>10</v>
      </c>
      <c r="W21" s="133" t="s">
        <v>90</v>
      </c>
      <c r="X21" s="195">
        <f t="shared" si="30"/>
        <v>0</v>
      </c>
      <c r="Y21" s="252" t="str">
        <f t="shared" si="31"/>
        <v/>
      </c>
      <c r="Z21" s="253" t="str">
        <f t="shared" si="32"/>
        <v/>
      </c>
      <c r="AA21" s="253">
        <f t="shared" si="33"/>
        <v>12</v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0" t="s">
        <v>91</v>
      </c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 t="s">
        <v>12</v>
      </c>
      <c r="C23" s="115" t="str">
        <f>IFERROR(IF(B23="","",IF((COUNTIF('Cable Info'!$B$11:$C$50,B23)=0),VLOOKUP(B23,'Cable Info (2)'!$B$11:$C$50,2,FALSE),(VLOOKUP(B23,'Cable Info'!$B$11:$C$50,2,FALSE)))),"NO SUCH EXIT")</f>
        <v>ABQ-6</v>
      </c>
      <c r="D23" s="244" t="s">
        <v>96</v>
      </c>
      <c r="E23" s="260">
        <v>57</v>
      </c>
      <c r="F23" s="105" t="s">
        <v>45</v>
      </c>
      <c r="G23" s="263">
        <v>58</v>
      </c>
      <c r="H23" s="115">
        <f t="shared" si="29"/>
        <v>2</v>
      </c>
      <c r="I23" s="265">
        <v>49</v>
      </c>
      <c r="J23" s="105" t="s">
        <v>45</v>
      </c>
      <c r="K23" s="268">
        <v>50</v>
      </c>
      <c r="L23" s="247" t="s">
        <v>96</v>
      </c>
      <c r="M23" s="115" t="str">
        <f>IFERROR(IF(P23="","",IF((COUNTIF('Cable Info'!$B$11:$C$50,P23)=0),VLOOKUP(P23,'Cable Info (2)'!$B$11:$C$50,2,FALSE),(VLOOKUP(P23,'Cable Info'!$B$11:$C$50,2,FALSE)))),"NO SUCH EXIT")</f>
        <v>ABQ-6</v>
      </c>
      <c r="N23" s="134"/>
      <c r="O23" s="180"/>
      <c r="P23" s="135" t="s">
        <v>13</v>
      </c>
      <c r="Q23" s="190"/>
      <c r="R23" s="131" t="s">
        <v>60</v>
      </c>
      <c r="S23" s="131" t="s">
        <v>52</v>
      </c>
      <c r="T23" s="137"/>
      <c r="U23" s="137">
        <v>42671</v>
      </c>
      <c r="V23" s="138" t="s">
        <v>10</v>
      </c>
      <c r="W23" s="133" t="s">
        <v>112</v>
      </c>
      <c r="X23" s="195">
        <f t="shared" si="30"/>
        <v>0</v>
      </c>
      <c r="Y23" s="252" t="str">
        <f t="shared" si="31"/>
        <v/>
      </c>
      <c r="Z23" s="253" t="str">
        <f t="shared" si="32"/>
        <v/>
      </c>
      <c r="AA23" s="253">
        <f t="shared" si="33"/>
        <v>2</v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 t="s">
        <v>113</v>
      </c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1"/>
      <c r="S24" s="131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str">
        <f>IF('Cable Info'!N26="","",CONCATENATE('Cable Info'!N26," - ",'Cable Info'!O26))</f>
        <v>25 - AW</v>
      </c>
      <c r="AR27" s="121" t="str">
        <f t="shared" si="36"/>
        <v>25 - AW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str">
        <f>IF('Cable Info'!N27="","",CONCATENATE('Cable Info'!N27," - ",'Cable Info'!O27))</f>
        <v>26 - AW</v>
      </c>
      <c r="AR28" s="121" t="str">
        <f t="shared" si="36"/>
        <v>26 - AW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str">
        <f>IF('Cable Info'!N28="","",CONCATENATE('Cable Info'!N28," - ",'Cable Info'!O28))</f>
        <v>27 - AW</v>
      </c>
      <c r="AR29" s="121" t="str">
        <f t="shared" si="36"/>
        <v>27 - AW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str">
        <f>IF('Cable Info'!N29="","",CONCATENATE('Cable Info'!N29," - ",'Cable Info'!O29))</f>
        <v>28 - AW</v>
      </c>
      <c r="AR30" s="121" t="str">
        <f t="shared" si="36"/>
        <v>28 - AW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str">
        <f>IF('Cable Info'!N30="","",CONCATENATE('Cable Info'!N30," - ",'Cable Info'!O30))</f>
        <v>29 - AW</v>
      </c>
      <c r="AR31" s="121" t="str">
        <f t="shared" si="36"/>
        <v>29 - AW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str">
        <f>IF('Cable Info'!N31="","",CONCATENATE('Cable Info'!N31," - ",'Cable Info'!O31))</f>
        <v>30 - AW</v>
      </c>
      <c r="AR32" s="121" t="str">
        <f t="shared" si="36"/>
        <v>30 - AW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str">
        <f>IF('Cable Info'!N32="","",CONCATENATE('Cable Info'!N32," - ",'Cable Info'!O32))</f>
        <v>31 - AW</v>
      </c>
      <c r="AR33" s="121" t="str">
        <f t="shared" si="36"/>
        <v>31 - AW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str">
        <f>IF('Cable Info'!N33="","",CONCATENATE('Cable Info'!N33," - ",'Cable Info'!O33))</f>
        <v>32 - AW</v>
      </c>
      <c r="AR34" s="121" t="str">
        <f t="shared" si="36"/>
        <v>32 - AW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str">
        <f>IF('Cable Info'!N34="","",CONCATENATE('Cable Info'!N34," - ",'Cable Info'!O34))</f>
        <v>33 - AW</v>
      </c>
      <c r="AR35" s="121" t="str">
        <f t="shared" si="36"/>
        <v>33 - AW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str">
        <f>IF('Cable Info'!N35="","",CONCATENATE('Cable Info'!N35," - ",'Cable Info'!O35))</f>
        <v>34 - AW</v>
      </c>
      <c r="AR36" s="121" t="str">
        <f t="shared" si="36"/>
        <v>34 - AW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str">
        <f>IF('Cable Info'!N36="","",CONCATENATE('Cable Info'!N36," - ",'Cable Info'!O36))</f>
        <v>35 - AW</v>
      </c>
      <c r="AR37" s="121" t="str">
        <f t="shared" si="36"/>
        <v>35 - AW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str">
        <f>IF('Cable Info'!N37="","",CONCATENATE('Cable Info'!N37," - ",'Cable Info'!O37))</f>
        <v>36 - AW</v>
      </c>
      <c r="AR38" s="121" t="str">
        <f t="shared" si="36"/>
        <v>36 - AW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str">
        <f>IF('Cable Info'!N38="","",CONCATENATE('Cable Info'!N38," - ",'Cable Info'!O38))</f>
        <v>37 - AW</v>
      </c>
      <c r="AR39" s="121" t="str">
        <f t="shared" si="36"/>
        <v>37 - AW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str">
        <f>IF('Cable Info'!N39="","",CONCATENATE('Cable Info'!N39," - ",'Cable Info'!O39))</f>
        <v>38 - AW</v>
      </c>
      <c r="AR40" s="121" t="str">
        <f t="shared" si="36"/>
        <v>38 - AW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str">
        <f>IF('Cable Info'!N40="","",CONCATENATE('Cable Info'!N40," - ",'Cable Info'!O40))</f>
        <v>39 - AW</v>
      </c>
      <c r="AR41" s="121" t="str">
        <f t="shared" si="36"/>
        <v>39 - AW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str">
        <f>IF('Cable Info'!N41="","",CONCATENATE('Cable Info'!N41," - ",'Cable Info'!O41))</f>
        <v>40 - AW</v>
      </c>
      <c r="AR42" s="121" t="str">
        <f t="shared" si="36"/>
        <v>40 - AW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str">
        <f>IF('Cable Info'!N42="","",CONCATENATE('Cable Info'!N42," - ",'Cable Info'!O42))</f>
        <v>41 - AW</v>
      </c>
      <c r="AR43" s="121" t="str">
        <f t="shared" si="36"/>
        <v>41 - AW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str">
        <f>IF('Cable Info'!N43="","",CONCATENATE('Cable Info'!N43," - ",'Cable Info'!O43))</f>
        <v>42 - AW</v>
      </c>
      <c r="AR44" s="121" t="str">
        <f t="shared" si="36"/>
        <v>42 - AW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str">
        <f>IF('Cable Info'!N44="","",CONCATENATE('Cable Info'!N44," - ",'Cable Info'!O44))</f>
        <v>43 - AW</v>
      </c>
      <c r="AR45" s="121" t="str">
        <f t="shared" si="36"/>
        <v>43 - AW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str">
        <f>IF('Cable Info'!N45="","",CONCATENATE('Cable Info'!N45," - ",'Cable Info'!O45))</f>
        <v>44 - AW</v>
      </c>
      <c r="AR46" s="121" t="str">
        <f t="shared" si="36"/>
        <v>44 - AW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str">
        <f>IF('Cable Info'!N46="","",CONCATENATE('Cable Info'!N46," - ",'Cable Info'!O46))</f>
        <v>45 - AW</v>
      </c>
      <c r="AR47" s="121" t="str">
        <f t="shared" si="36"/>
        <v>45 - AW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str">
        <f>IF('Cable Info'!N47="","",CONCATENATE('Cable Info'!N47," - ",'Cable Info'!O47))</f>
        <v>46 - AW</v>
      </c>
      <c r="AR48" s="121" t="str">
        <f t="shared" si="36"/>
        <v>46 - AW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str">
        <f>IF('Cable Info'!N48="","",CONCATENATE('Cable Info'!N48," - ",'Cable Info'!O48))</f>
        <v>47 - AW</v>
      </c>
      <c r="AR49" s="121" t="str">
        <f t="shared" si="36"/>
        <v>47 - AW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str">
        <f>IF('Cable Info'!N49="","",CONCATENATE('Cable Info'!N49," - ",'Cable Info'!O49))</f>
        <v>48 - AW</v>
      </c>
      <c r="AR50" s="121" t="str">
        <f t="shared" si="36"/>
        <v>48 - AW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AW</v>
      </c>
      <c r="AM51" s="121" t="str">
        <f t="shared" si="35"/>
        <v>49 - AW</v>
      </c>
      <c r="AO51" s="121" t="str">
        <f>IF('Cable Info'!N50="","",CONCATENATE('Cable Info'!N50," - ",'Cable Info'!O50))</f>
        <v>49 - AW</v>
      </c>
      <c r="AR51" s="121" t="str">
        <f t="shared" si="36"/>
        <v>49 - AW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AW</v>
      </c>
      <c r="AM52" s="121" t="str">
        <f t="shared" si="35"/>
        <v>50 - AW</v>
      </c>
      <c r="AO52" s="121" t="str">
        <f>IF('Cable Info'!N51="","",CONCATENATE('Cable Info'!N51," - ",'Cable Info'!O51))</f>
        <v>50 - AW</v>
      </c>
      <c r="AR52" s="121" t="str">
        <f t="shared" si="36"/>
        <v>50 - AW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AW</v>
      </c>
      <c r="AM53" s="121" t="str">
        <f t="shared" si="35"/>
        <v>51 - AW</v>
      </c>
      <c r="AO53" s="121" t="str">
        <f>IF('Cable Info'!N52="","",CONCATENATE('Cable Info'!N52," - ",'Cable Info'!O52))</f>
        <v>51 - AW</v>
      </c>
      <c r="AR53" s="121" t="str">
        <f t="shared" si="36"/>
        <v>51 - AW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AW</v>
      </c>
      <c r="AM54" s="121" t="str">
        <f t="shared" si="35"/>
        <v>52 - AW</v>
      </c>
      <c r="AO54" s="121" t="str">
        <f>IF('Cable Info'!N53="","",CONCATENATE('Cable Info'!N53," - ",'Cable Info'!O53))</f>
        <v>52 - AW</v>
      </c>
      <c r="AR54" s="121" t="str">
        <f t="shared" si="36"/>
        <v>52 - AW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AW</v>
      </c>
      <c r="AM55" s="121" t="str">
        <f t="shared" si="35"/>
        <v>53 - AW</v>
      </c>
      <c r="AO55" s="121" t="str">
        <f>IF('Cable Info'!N54="","",CONCATENATE('Cable Info'!N54," - ",'Cable Info'!O54))</f>
        <v>53 - AW</v>
      </c>
      <c r="AR55" s="121" t="str">
        <f t="shared" si="36"/>
        <v>53 - AW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AW</v>
      </c>
      <c r="AM56" s="121" t="str">
        <f t="shared" si="35"/>
        <v>54 - AW</v>
      </c>
      <c r="AO56" s="121" t="str">
        <f>IF('Cable Info'!N55="","",CONCATENATE('Cable Info'!N55," - ",'Cable Info'!O55))</f>
        <v>54 - AW</v>
      </c>
      <c r="AR56" s="121" t="str">
        <f t="shared" si="36"/>
        <v>54 - AW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AW</v>
      </c>
      <c r="AM57" s="121" t="str">
        <f t="shared" si="35"/>
        <v>55 - AW</v>
      </c>
      <c r="AO57" s="121" t="str">
        <f>IF('Cable Info'!N56="","",CONCATENATE('Cable Info'!N56," - ",'Cable Info'!O56))</f>
        <v>55 - AW</v>
      </c>
      <c r="AR57" s="121" t="str">
        <f t="shared" si="36"/>
        <v>55 - AW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AW</v>
      </c>
      <c r="AM58" s="121" t="str">
        <f t="shared" si="35"/>
        <v>56 - AW</v>
      </c>
      <c r="AO58" s="121" t="str">
        <f>IF('Cable Info'!N57="","",CONCATENATE('Cable Info'!N57," - ",'Cable Info'!O57))</f>
        <v>56 - AW</v>
      </c>
      <c r="AR58" s="121" t="str">
        <f t="shared" si="36"/>
        <v>56 - AW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AW</v>
      </c>
      <c r="AM59" s="121" t="str">
        <f t="shared" si="35"/>
        <v>57 - AW</v>
      </c>
      <c r="AO59" s="121" t="str">
        <f>IF('Cable Info'!N58="","",CONCATENATE('Cable Info'!N58," - ",'Cable Info'!O58))</f>
        <v>57 - AW</v>
      </c>
      <c r="AR59" s="121" t="str">
        <f t="shared" si="36"/>
        <v>57 - AW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AW</v>
      </c>
      <c r="AM60" s="121" t="str">
        <f t="shared" si="35"/>
        <v>58 - AW</v>
      </c>
      <c r="AO60" s="121" t="str">
        <f>IF('Cable Info'!N59="","",CONCATENATE('Cable Info'!N59," - ",'Cable Info'!O59))</f>
        <v>58 - AW</v>
      </c>
      <c r="AR60" s="121" t="str">
        <f t="shared" si="36"/>
        <v>58 - AW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AW</v>
      </c>
      <c r="AM61" s="121" t="str">
        <f t="shared" si="35"/>
        <v>59 - AW</v>
      </c>
      <c r="AO61" s="121" t="str">
        <f>IF('Cable Info'!N60="","",CONCATENATE('Cable Info'!N60," - ",'Cable Info'!O60))</f>
        <v>59 - AW</v>
      </c>
      <c r="AR61" s="121" t="str">
        <f t="shared" si="36"/>
        <v>59 - AW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AW</v>
      </c>
      <c r="AM62" s="121" t="str">
        <f t="shared" si="35"/>
        <v>60 - AW</v>
      </c>
      <c r="AO62" s="121" t="str">
        <f>IF('Cable Info'!N61="","",CONCATENATE('Cable Info'!N61," - ",'Cable Info'!O61))</f>
        <v>60 - AW</v>
      </c>
      <c r="AR62" s="121" t="str">
        <f t="shared" si="36"/>
        <v>60 - AW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AW</v>
      </c>
      <c r="AM63" s="121" t="str">
        <f t="shared" si="35"/>
        <v>61 - AW</v>
      </c>
      <c r="AO63" s="121" t="str">
        <f>IF('Cable Info'!N62="","",CONCATENATE('Cable Info'!N62," - ",'Cable Info'!O62))</f>
        <v>61 - AW</v>
      </c>
      <c r="AR63" s="121" t="str">
        <f t="shared" si="36"/>
        <v>61 - AW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AW</v>
      </c>
      <c r="AM64" s="121" t="str">
        <f t="shared" si="35"/>
        <v>62 - AW</v>
      </c>
      <c r="AO64" s="121" t="str">
        <f>IF('Cable Info'!N63="","",CONCATENATE('Cable Info'!N63," - ",'Cable Info'!O63))</f>
        <v>62 - AW</v>
      </c>
      <c r="AR64" s="121" t="str">
        <f t="shared" si="36"/>
        <v>62 - AW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AW</v>
      </c>
      <c r="AM65" s="121" t="str">
        <f t="shared" si="35"/>
        <v>63 - AW</v>
      </c>
      <c r="AO65" s="121" t="str">
        <f>IF('Cable Info'!N64="","",CONCATENATE('Cable Info'!N64," - ",'Cable Info'!O64))</f>
        <v>63 - AW</v>
      </c>
      <c r="AR65" s="121" t="str">
        <f t="shared" si="36"/>
        <v>63 - AW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AW</v>
      </c>
      <c r="AM66" s="121" t="str">
        <f t="shared" si="35"/>
        <v>64 - AW</v>
      </c>
      <c r="AO66" s="121" t="str">
        <f>IF('Cable Info'!N65="","",CONCATENATE('Cable Info'!N65," - ",'Cable Info'!O65))</f>
        <v>64 - AW</v>
      </c>
      <c r="AR66" s="121" t="str">
        <f t="shared" si="36"/>
        <v>64 - AW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AW</v>
      </c>
      <c r="AM67" s="121" t="str">
        <f t="shared" si="35"/>
        <v>65 - AW</v>
      </c>
      <c r="AO67" s="121" t="str">
        <f>IF('Cable Info'!N66="","",CONCATENATE('Cable Info'!N66," - ",'Cable Info'!O66))</f>
        <v>65 - AW</v>
      </c>
      <c r="AR67" s="121" t="str">
        <f t="shared" si="36"/>
        <v>65 - AW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AW</v>
      </c>
      <c r="AM68" s="121" t="str">
        <f t="shared" si="35"/>
        <v>66 - AW</v>
      </c>
      <c r="AO68" s="121" t="str">
        <f>IF('Cable Info'!N67="","",CONCATENATE('Cable Info'!N67," - ",'Cable Info'!O67))</f>
        <v>66 - AW</v>
      </c>
      <c r="AR68" s="121" t="str">
        <f t="shared" si="36"/>
        <v>66 - AW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AW</v>
      </c>
      <c r="AM69" s="121" t="str">
        <f t="shared" si="35"/>
        <v>67 - AW</v>
      </c>
      <c r="AO69" s="121" t="str">
        <f>IF('Cable Info'!N68="","",CONCATENATE('Cable Info'!N68," - ",'Cable Info'!O68))</f>
        <v>67 - AW</v>
      </c>
      <c r="AR69" s="121" t="str">
        <f t="shared" si="36"/>
        <v>67 - AW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AW</v>
      </c>
      <c r="AM70" s="121" t="str">
        <f t="shared" si="35"/>
        <v>68 - AW</v>
      </c>
      <c r="AO70" s="121" t="str">
        <f>IF('Cable Info'!N69="","",CONCATENATE('Cable Info'!N69," - ",'Cable Info'!O69))</f>
        <v>68 - AW</v>
      </c>
      <c r="AR70" s="121" t="str">
        <f t="shared" si="36"/>
        <v>68 - AW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AW</v>
      </c>
      <c r="AM71" s="121" t="str">
        <f t="shared" si="35"/>
        <v>69 - AW</v>
      </c>
      <c r="AO71" s="121" t="str">
        <f>IF('Cable Info'!N70="","",CONCATENATE('Cable Info'!N70," - ",'Cable Info'!O70))</f>
        <v>69 - AW</v>
      </c>
      <c r="AR71" s="121" t="str">
        <f t="shared" si="36"/>
        <v>69 - AW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AW</v>
      </c>
      <c r="AM72" s="121" t="str">
        <f t="shared" si="35"/>
        <v>70 - AW</v>
      </c>
      <c r="AO72" s="121" t="str">
        <f>IF('Cable Info'!N71="","",CONCATENATE('Cable Info'!N71," - ",'Cable Info'!O71))</f>
        <v>70 - AW</v>
      </c>
      <c r="AR72" s="121" t="str">
        <f t="shared" si="36"/>
        <v>70 - AW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AW</v>
      </c>
      <c r="AM73" s="121" t="str">
        <f t="shared" si="35"/>
        <v>71 - AW</v>
      </c>
      <c r="AO73" s="121" t="str">
        <f>IF('Cable Info'!N72="","",CONCATENATE('Cable Info'!N72," - ",'Cable Info'!O72))</f>
        <v>71 - AW</v>
      </c>
      <c r="AR73" s="121" t="str">
        <f t="shared" si="36"/>
        <v>71 - AW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AW</v>
      </c>
      <c r="AM74" s="121" t="str">
        <f t="shared" si="35"/>
        <v>72 - AW</v>
      </c>
      <c r="AO74" s="121" t="str">
        <f>IF('Cable Info'!N73="","",CONCATENATE('Cable Info'!N73," - ",'Cable Info'!O73))</f>
        <v>72 - AW</v>
      </c>
      <c r="AR74" s="121" t="str">
        <f t="shared" si="36"/>
        <v>72 - AW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AW</v>
      </c>
      <c r="AM75" s="121" t="str">
        <f t="shared" si="35"/>
        <v>73 - AW</v>
      </c>
      <c r="AO75" s="121" t="str">
        <f>IF('Cable Info'!N74="","",CONCATENATE('Cable Info'!N74," - ",'Cable Info'!O74))</f>
        <v>73 - AW</v>
      </c>
      <c r="AR75" s="121" t="str">
        <f t="shared" si="36"/>
        <v>73 - AW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AW</v>
      </c>
      <c r="AM76" s="121" t="str">
        <f t="shared" si="35"/>
        <v>74 - AW</v>
      </c>
      <c r="AO76" s="121" t="str">
        <f>IF('Cable Info'!N75="","",CONCATENATE('Cable Info'!N75," - ",'Cable Info'!O75))</f>
        <v>74 - AW</v>
      </c>
      <c r="AR76" s="121" t="str">
        <f t="shared" si="36"/>
        <v>74 - AW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AW</v>
      </c>
      <c r="AM77" s="121" t="str">
        <f t="shared" ref="AM77:AM140" si="47">IF(AK77="",AJ77,CONCATENATE(AJ77,"  &lt;=&gt; ",AK77," ",AL77))</f>
        <v>75 - AW</v>
      </c>
      <c r="AO77" s="121" t="str">
        <f>IF('Cable Info'!N76="","",CONCATENATE('Cable Info'!N76," - ",'Cable Info'!O76))</f>
        <v>75 - AW</v>
      </c>
      <c r="AR77" s="121" t="str">
        <f t="shared" ref="AR77:AR140" si="48">IF(AP77="",AO77,CONCATENATE(AO77,"  &lt;=&gt; ",AP77," ",AQ77))</f>
        <v>75 - AW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AW</v>
      </c>
      <c r="AM78" s="121" t="str">
        <f t="shared" si="47"/>
        <v>76 - AW</v>
      </c>
      <c r="AO78" s="121" t="str">
        <f>IF('Cable Info'!N77="","",CONCATENATE('Cable Info'!N77," - ",'Cable Info'!O77))</f>
        <v>76 - AW</v>
      </c>
      <c r="AR78" s="121" t="str">
        <f t="shared" si="48"/>
        <v>76 - AW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AW</v>
      </c>
      <c r="AM79" s="121" t="str">
        <f t="shared" si="47"/>
        <v>77 - AW</v>
      </c>
      <c r="AO79" s="121" t="str">
        <f>IF('Cable Info'!N78="","",CONCATENATE('Cable Info'!N78," - ",'Cable Info'!O78))</f>
        <v>77 - AW</v>
      </c>
      <c r="AR79" s="121" t="str">
        <f t="shared" si="48"/>
        <v>77 - AW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AW</v>
      </c>
      <c r="AM80" s="121" t="str">
        <f t="shared" si="47"/>
        <v>78 - AW</v>
      </c>
      <c r="AO80" s="121" t="str">
        <f>IF('Cable Info'!N79="","",CONCATENATE('Cable Info'!N79," - ",'Cable Info'!O79))</f>
        <v>78 - AW</v>
      </c>
      <c r="AR80" s="121" t="str">
        <f t="shared" si="48"/>
        <v>78 - AW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AW</v>
      </c>
      <c r="AM81" s="121" t="str">
        <f t="shared" si="47"/>
        <v>79 - AW</v>
      </c>
      <c r="AO81" s="121" t="str">
        <f>IF('Cable Info'!N80="","",CONCATENATE('Cable Info'!N80," - ",'Cable Info'!O80))</f>
        <v>79 - AW</v>
      </c>
      <c r="AR81" s="121" t="str">
        <f t="shared" si="48"/>
        <v>79 - AW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AW</v>
      </c>
      <c r="AM82" s="121" t="str">
        <f t="shared" si="47"/>
        <v>80 - AW</v>
      </c>
      <c r="AO82" s="121" t="str">
        <f>IF('Cable Info'!N81="","",CONCATENATE('Cable Info'!N81," - ",'Cable Info'!O81))</f>
        <v>80 - AW</v>
      </c>
      <c r="AR82" s="121" t="str">
        <f t="shared" si="48"/>
        <v>80 - AW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AW</v>
      </c>
      <c r="AM83" s="121" t="str">
        <f t="shared" si="47"/>
        <v>81 - AW</v>
      </c>
      <c r="AO83" s="121" t="str">
        <f>IF('Cable Info'!N82="","",CONCATENATE('Cable Info'!N82," - ",'Cable Info'!O82))</f>
        <v>81 - AW</v>
      </c>
      <c r="AR83" s="121" t="str">
        <f t="shared" si="48"/>
        <v>81 - AW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AW</v>
      </c>
      <c r="AM84" s="121" t="str">
        <f t="shared" si="47"/>
        <v>82 - AW</v>
      </c>
      <c r="AO84" s="121" t="str">
        <f>IF('Cable Info'!N83="","",CONCATENATE('Cable Info'!N83," - ",'Cable Info'!O83))</f>
        <v>82 - AW</v>
      </c>
      <c r="AR84" s="121" t="str">
        <f t="shared" si="48"/>
        <v>82 - AW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AW</v>
      </c>
      <c r="AM85" s="121" t="str">
        <f t="shared" si="47"/>
        <v>83 - AW</v>
      </c>
      <c r="AO85" s="121" t="str">
        <f>IF('Cable Info'!N84="","",CONCATENATE('Cable Info'!N84," - ",'Cable Info'!O84))</f>
        <v>83 - AW</v>
      </c>
      <c r="AR85" s="121" t="str">
        <f t="shared" si="48"/>
        <v>83 - AW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AW</v>
      </c>
      <c r="AM86" s="121" t="str">
        <f t="shared" si="47"/>
        <v>84 - AW</v>
      </c>
      <c r="AO86" s="121" t="str">
        <f>IF('Cable Info'!N85="","",CONCATENATE('Cable Info'!N85," - ",'Cable Info'!O85))</f>
        <v>84 - AW</v>
      </c>
      <c r="AR86" s="121" t="str">
        <f t="shared" si="48"/>
        <v>84 - AW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AW</v>
      </c>
      <c r="AM87" s="121" t="str">
        <f t="shared" si="47"/>
        <v>85 - AW</v>
      </c>
      <c r="AO87" s="121" t="str">
        <f>IF('Cable Info'!N86="","",CONCATENATE('Cable Info'!N86," - ",'Cable Info'!O86))</f>
        <v>85 - AW</v>
      </c>
      <c r="AR87" s="121" t="str">
        <f t="shared" si="48"/>
        <v>85 - AW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AW</v>
      </c>
      <c r="AM88" s="121" t="str">
        <f t="shared" si="47"/>
        <v>86 - AW</v>
      </c>
      <c r="AO88" s="121" t="str">
        <f>IF('Cable Info'!N87="","",CONCATENATE('Cable Info'!N87," - ",'Cable Info'!O87))</f>
        <v>86 - AW</v>
      </c>
      <c r="AR88" s="121" t="str">
        <f t="shared" si="48"/>
        <v>86 - AW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AW</v>
      </c>
      <c r="AM89" s="121" t="str">
        <f t="shared" si="47"/>
        <v>87 - AW</v>
      </c>
      <c r="AO89" s="121" t="str">
        <f>IF('Cable Info'!N88="","",CONCATENATE('Cable Info'!N88," - ",'Cable Info'!O88))</f>
        <v>87 - AW</v>
      </c>
      <c r="AR89" s="121" t="str">
        <f t="shared" si="48"/>
        <v>87 - AW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AW</v>
      </c>
      <c r="AM90" s="121" t="str">
        <f t="shared" si="47"/>
        <v>88 - AW</v>
      </c>
      <c r="AO90" s="121" t="str">
        <f>IF('Cable Info'!N89="","",CONCATENATE('Cable Info'!N89," - ",'Cable Info'!O89))</f>
        <v>88 - AW</v>
      </c>
      <c r="AR90" s="121" t="str">
        <f t="shared" si="48"/>
        <v>88 - AW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AW</v>
      </c>
      <c r="AM91" s="121" t="str">
        <f t="shared" si="47"/>
        <v>89 - AW</v>
      </c>
      <c r="AO91" s="121" t="str">
        <f>IF('Cable Info'!N90="","",CONCATENATE('Cable Info'!N90," - ",'Cable Info'!O90))</f>
        <v>89 - AW</v>
      </c>
      <c r="AR91" s="121" t="str">
        <f t="shared" si="48"/>
        <v>89 - AW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AW</v>
      </c>
      <c r="AM92" s="121" t="str">
        <f t="shared" si="47"/>
        <v>90 - AW</v>
      </c>
      <c r="AO92" s="121" t="str">
        <f>IF('Cable Info'!N91="","",CONCATENATE('Cable Info'!N91," - ",'Cable Info'!O91))</f>
        <v>90 - AW</v>
      </c>
      <c r="AR92" s="121" t="str">
        <f t="shared" si="48"/>
        <v>90 - AW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AW</v>
      </c>
      <c r="AM93" s="121" t="str">
        <f t="shared" si="47"/>
        <v>91 - AW</v>
      </c>
      <c r="AO93" s="121" t="str">
        <f>IF('Cable Info'!N92="","",CONCATENATE('Cable Info'!N92," - ",'Cable Info'!O92))</f>
        <v>91 - AW</v>
      </c>
      <c r="AR93" s="121" t="str">
        <f t="shared" si="48"/>
        <v>91 - AW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AW</v>
      </c>
      <c r="AM94" s="121" t="str">
        <f t="shared" si="47"/>
        <v>92 - AW</v>
      </c>
      <c r="AO94" s="121" t="str">
        <f>IF('Cable Info'!N93="","",CONCATENATE('Cable Info'!N93," - ",'Cable Info'!O93))</f>
        <v>92 - AW</v>
      </c>
      <c r="AR94" s="121" t="str">
        <f t="shared" si="48"/>
        <v>92 - AW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AW</v>
      </c>
      <c r="AM95" s="121" t="str">
        <f t="shared" si="47"/>
        <v>93 - AW</v>
      </c>
      <c r="AO95" s="121" t="str">
        <f>IF('Cable Info'!N94="","",CONCATENATE('Cable Info'!N94," - ",'Cable Info'!O94))</f>
        <v>93 - AW</v>
      </c>
      <c r="AR95" s="121" t="str">
        <f t="shared" si="48"/>
        <v>93 - AW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AW</v>
      </c>
      <c r="AM96" s="121" t="str">
        <f t="shared" si="47"/>
        <v>94 - AW</v>
      </c>
      <c r="AO96" s="121" t="str">
        <f>IF('Cable Info'!N95="","",CONCATENATE('Cable Info'!N95," - ",'Cable Info'!O95))</f>
        <v>94 - AW</v>
      </c>
      <c r="AR96" s="121" t="str">
        <f t="shared" si="48"/>
        <v>94 - AW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AW</v>
      </c>
      <c r="AM97" s="121" t="str">
        <f t="shared" si="47"/>
        <v>95 - AW</v>
      </c>
      <c r="AO97" s="121" t="str">
        <f>IF('Cable Info'!N96="","",CONCATENATE('Cable Info'!N96," - ",'Cable Info'!O96))</f>
        <v>95 - AW</v>
      </c>
      <c r="AR97" s="121" t="str">
        <f t="shared" si="48"/>
        <v>95 - AW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AW</v>
      </c>
      <c r="AM98" s="121" t="str">
        <f t="shared" si="47"/>
        <v>96 - AW</v>
      </c>
      <c r="AO98" s="121" t="str">
        <f>IF('Cable Info'!N97="","",CONCATENATE('Cable Info'!N97," - ",'Cable Info'!O97))</f>
        <v>96 - AW</v>
      </c>
      <c r="AR98" s="121" t="str">
        <f t="shared" si="48"/>
        <v>96 - AW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>97 - AW</v>
      </c>
      <c r="AM99" s="121" t="str">
        <f t="shared" si="47"/>
        <v>97 - AW</v>
      </c>
      <c r="AO99" s="121" t="str">
        <f>IF('Cable Info'!N98="","",CONCATENATE('Cable Info'!N98," - ",'Cable Info'!O98))</f>
        <v>97 - AW</v>
      </c>
      <c r="AR99" s="121" t="str">
        <f t="shared" si="48"/>
        <v>97 - AW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>98 - AW</v>
      </c>
      <c r="AM100" s="121" t="str">
        <f t="shared" si="47"/>
        <v>98 - AW</v>
      </c>
      <c r="AO100" s="121" t="str">
        <f>IF('Cable Info'!N99="","",CONCATENATE('Cable Info'!N99," - ",'Cable Info'!O99))</f>
        <v>98 - AW</v>
      </c>
      <c r="AR100" s="121" t="str">
        <f t="shared" si="48"/>
        <v>98 - AW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>99 - AW</v>
      </c>
      <c r="AM101" s="121" t="str">
        <f t="shared" si="47"/>
        <v>99 - AW</v>
      </c>
      <c r="AO101" s="121" t="str">
        <f>IF('Cable Info'!N100="","",CONCATENATE('Cable Info'!N100," - ",'Cable Info'!O100))</f>
        <v>99 - AW</v>
      </c>
      <c r="AR101" s="121" t="str">
        <f t="shared" si="48"/>
        <v>99 - AW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>100 - AW</v>
      </c>
      <c r="AM102" s="121" t="str">
        <f t="shared" si="47"/>
        <v>100 - AW</v>
      </c>
      <c r="AO102" s="121" t="str">
        <f>IF('Cable Info'!N101="","",CONCATENATE('Cable Info'!N101," - ",'Cable Info'!O101))</f>
        <v>100 - AW</v>
      </c>
      <c r="AR102" s="121" t="str">
        <f t="shared" si="48"/>
        <v>100 - AW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>101 - AW</v>
      </c>
      <c r="AM103" s="121" t="str">
        <f t="shared" si="47"/>
        <v>101 - AW</v>
      </c>
      <c r="AO103" s="121" t="str">
        <f>IF('Cable Info'!N102="","",CONCATENATE('Cable Info'!N102," - ",'Cable Info'!O102))</f>
        <v>101 - AW</v>
      </c>
      <c r="AR103" s="121" t="str">
        <f t="shared" si="48"/>
        <v>101 - AW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>102 - AW</v>
      </c>
      <c r="AM104" s="121" t="str">
        <f t="shared" si="47"/>
        <v>102 - AW</v>
      </c>
      <c r="AO104" s="121" t="str">
        <f>IF('Cable Info'!N103="","",CONCATENATE('Cable Info'!N103," - ",'Cable Info'!O103))</f>
        <v>102 - AW</v>
      </c>
      <c r="AR104" s="121" t="str">
        <f t="shared" si="48"/>
        <v>102 - AW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>103 - AW</v>
      </c>
      <c r="AM105" s="121" t="str">
        <f t="shared" si="47"/>
        <v>103 - AW</v>
      </c>
      <c r="AO105" s="121" t="str">
        <f>IF('Cable Info'!N104="","",CONCATENATE('Cable Info'!N104," - ",'Cable Info'!O104))</f>
        <v>103 - AW</v>
      </c>
      <c r="AR105" s="121" t="str">
        <f t="shared" si="48"/>
        <v>103 - AW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>104 - AW</v>
      </c>
      <c r="AM106" s="121" t="str">
        <f t="shared" si="47"/>
        <v>104 - AW</v>
      </c>
      <c r="AO106" s="121" t="str">
        <f>IF('Cable Info'!N105="","",CONCATENATE('Cable Info'!N105," - ",'Cable Info'!O105))</f>
        <v>104 - AW</v>
      </c>
      <c r="AR106" s="121" t="str">
        <f t="shared" si="48"/>
        <v>104 - AW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>105 - AW</v>
      </c>
      <c r="AM107" s="121" t="str">
        <f t="shared" si="47"/>
        <v>105 - AW</v>
      </c>
      <c r="AO107" s="121" t="str">
        <f>IF('Cable Info'!N106="","",CONCATENATE('Cable Info'!N106," - ",'Cable Info'!O106))</f>
        <v>105 - AW</v>
      </c>
      <c r="AR107" s="121" t="str">
        <f t="shared" si="48"/>
        <v>105 - AW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>106 - AW</v>
      </c>
      <c r="AM108" s="121" t="str">
        <f t="shared" si="47"/>
        <v>106 - AW</v>
      </c>
      <c r="AO108" s="121" t="str">
        <f>IF('Cable Info'!N107="","",CONCATENATE('Cable Info'!N107," - ",'Cable Info'!O107))</f>
        <v>106 - AW</v>
      </c>
      <c r="AR108" s="121" t="str">
        <f t="shared" si="48"/>
        <v>106 - AW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>107 - AW</v>
      </c>
      <c r="AM109" s="121" t="str">
        <f t="shared" si="47"/>
        <v>107 - AW</v>
      </c>
      <c r="AO109" s="121" t="str">
        <f>IF('Cable Info'!N108="","",CONCATENATE('Cable Info'!N108," - ",'Cable Info'!O108))</f>
        <v>107 - AW</v>
      </c>
      <c r="AR109" s="121" t="str">
        <f t="shared" si="48"/>
        <v>107 - AW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>108 - AW</v>
      </c>
      <c r="AM110" s="121" t="str">
        <f t="shared" si="47"/>
        <v>108 - AW</v>
      </c>
      <c r="AO110" s="121" t="str">
        <f>IF('Cable Info'!N109="","",CONCATENATE('Cable Info'!N109," - ",'Cable Info'!O109))</f>
        <v>108 - AW</v>
      </c>
      <c r="AR110" s="121" t="str">
        <f t="shared" si="48"/>
        <v>108 - AW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>109 - AW</v>
      </c>
      <c r="AM111" s="121" t="str">
        <f t="shared" si="47"/>
        <v>109 - AW</v>
      </c>
      <c r="AO111" s="121" t="str">
        <f>IF('Cable Info'!N110="","",CONCATENATE('Cable Info'!N110," - ",'Cable Info'!O110))</f>
        <v>109 - AW</v>
      </c>
      <c r="AR111" s="121" t="str">
        <f t="shared" si="48"/>
        <v>109 - AW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>110 - AW</v>
      </c>
      <c r="AM112" s="121" t="str">
        <f t="shared" si="47"/>
        <v>110 - AW</v>
      </c>
      <c r="AO112" s="121" t="str">
        <f>IF('Cable Info'!N111="","",CONCATENATE('Cable Info'!N111," - ",'Cable Info'!O111))</f>
        <v>110 - AW</v>
      </c>
      <c r="AR112" s="121" t="str">
        <f t="shared" si="48"/>
        <v>110 - AW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>111 - AW</v>
      </c>
      <c r="AM113" s="121" t="str">
        <f t="shared" si="47"/>
        <v>111 - AW</v>
      </c>
      <c r="AO113" s="121" t="str">
        <f>IF('Cable Info'!N112="","",CONCATENATE('Cable Info'!N112," - ",'Cable Info'!O112))</f>
        <v>111 - AW</v>
      </c>
      <c r="AR113" s="121" t="str">
        <f t="shared" si="48"/>
        <v>111 - AW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>112 - AW</v>
      </c>
      <c r="AM114" s="121" t="str">
        <f t="shared" si="47"/>
        <v>112 - AW</v>
      </c>
      <c r="AO114" s="121" t="str">
        <f>IF('Cable Info'!N113="","",CONCATENATE('Cable Info'!N113," - ",'Cable Info'!O113))</f>
        <v>112 - AW</v>
      </c>
      <c r="AR114" s="121" t="str">
        <f t="shared" si="48"/>
        <v>112 - AW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>113 - AW</v>
      </c>
      <c r="AM115" s="121" t="str">
        <f t="shared" si="47"/>
        <v>113 - AW</v>
      </c>
      <c r="AO115" s="121" t="str">
        <f>IF('Cable Info'!N114="","",CONCATENATE('Cable Info'!N114," - ",'Cable Info'!O114))</f>
        <v>113 - AW</v>
      </c>
      <c r="AR115" s="121" t="str">
        <f t="shared" si="48"/>
        <v>113 - AW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>114 - AW</v>
      </c>
      <c r="AM116" s="121" t="str">
        <f t="shared" si="47"/>
        <v>114 - AW</v>
      </c>
      <c r="AO116" s="121" t="str">
        <f>IF('Cable Info'!N115="","",CONCATENATE('Cable Info'!N115," - ",'Cable Info'!O115))</f>
        <v>114 - AW</v>
      </c>
      <c r="AR116" s="121" t="str">
        <f t="shared" si="48"/>
        <v>114 - AW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>115 - AW</v>
      </c>
      <c r="AM117" s="121" t="str">
        <f t="shared" si="47"/>
        <v>115 - AW</v>
      </c>
      <c r="AO117" s="121" t="str">
        <f>IF('Cable Info'!N116="","",CONCATENATE('Cable Info'!N116," - ",'Cable Info'!O116))</f>
        <v>115 - AW</v>
      </c>
      <c r="AR117" s="121" t="str">
        <f t="shared" si="48"/>
        <v>115 - AW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>116 - AW</v>
      </c>
      <c r="AM118" s="121" t="str">
        <f t="shared" si="47"/>
        <v>116 - AW</v>
      </c>
      <c r="AO118" s="121" t="str">
        <f>IF('Cable Info'!N117="","",CONCATENATE('Cable Info'!N117," - ",'Cable Info'!O117))</f>
        <v>116 - AW</v>
      </c>
      <c r="AR118" s="121" t="str">
        <f t="shared" si="48"/>
        <v>116 - AW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>117 - AW</v>
      </c>
      <c r="AM119" s="121" t="str">
        <f t="shared" si="47"/>
        <v>117 - AW</v>
      </c>
      <c r="AO119" s="121" t="str">
        <f>IF('Cable Info'!N118="","",CONCATENATE('Cable Info'!N118," - ",'Cable Info'!O118))</f>
        <v>117 - AW</v>
      </c>
      <c r="AR119" s="121" t="str">
        <f t="shared" si="48"/>
        <v>117 - AW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>118 - AW</v>
      </c>
      <c r="AM120" s="121" t="str">
        <f t="shared" si="47"/>
        <v>118 - AW</v>
      </c>
      <c r="AO120" s="121" t="str">
        <f>IF('Cable Info'!N119="","",CONCATENATE('Cable Info'!N119," - ",'Cable Info'!O119))</f>
        <v>118 - AW</v>
      </c>
      <c r="AR120" s="121" t="str">
        <f t="shared" si="48"/>
        <v>118 - AW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>119 - AW</v>
      </c>
      <c r="AM121" s="121" t="str">
        <f t="shared" si="47"/>
        <v>119 - AW</v>
      </c>
      <c r="AO121" s="121" t="str">
        <f>IF('Cable Info'!N120="","",CONCATENATE('Cable Info'!N120," - ",'Cable Info'!O120))</f>
        <v>119 - AW</v>
      </c>
      <c r="AR121" s="121" t="str">
        <f t="shared" si="48"/>
        <v>119 - AW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>120 - AW</v>
      </c>
      <c r="AM122" s="121" t="str">
        <f t="shared" si="47"/>
        <v>120 - AW</v>
      </c>
      <c r="AO122" s="121" t="str">
        <f>IF('Cable Info'!N121="","",CONCATENATE('Cable Info'!N121," - ",'Cable Info'!O121))</f>
        <v>120 - AW</v>
      </c>
      <c r="AR122" s="121" t="str">
        <f t="shared" si="48"/>
        <v>120 - AW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>121 - AW</v>
      </c>
      <c r="AM123" s="121" t="str">
        <f t="shared" si="47"/>
        <v>121 - AW</v>
      </c>
      <c r="AO123" s="121" t="str">
        <f>IF('Cable Info'!N122="","",CONCATENATE('Cable Info'!N122," - ",'Cable Info'!O122))</f>
        <v>121 - AW</v>
      </c>
      <c r="AR123" s="121" t="str">
        <f t="shared" si="48"/>
        <v>121 - AW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>122 - AW</v>
      </c>
      <c r="AM124" s="121" t="str">
        <f t="shared" si="47"/>
        <v>122 - AW</v>
      </c>
      <c r="AO124" s="121" t="str">
        <f>IF('Cable Info'!N123="","",CONCATENATE('Cable Info'!N123," - ",'Cable Info'!O123))</f>
        <v>122 - AW</v>
      </c>
      <c r="AR124" s="121" t="str">
        <f t="shared" si="48"/>
        <v>122 - AW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>123 - AW</v>
      </c>
      <c r="AM125" s="121" t="str">
        <f t="shared" si="47"/>
        <v>123 - AW</v>
      </c>
      <c r="AO125" s="121" t="str">
        <f>IF('Cable Info'!N124="","",CONCATENATE('Cable Info'!N124," - ",'Cable Info'!O124))</f>
        <v>123 - AW</v>
      </c>
      <c r="AR125" s="121" t="str">
        <f t="shared" si="48"/>
        <v>123 - AW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>124 - AW</v>
      </c>
      <c r="AM126" s="121" t="str">
        <f t="shared" si="47"/>
        <v>124 - AW</v>
      </c>
      <c r="AO126" s="121" t="str">
        <f>IF('Cable Info'!N125="","",CONCATENATE('Cable Info'!N125," - ",'Cable Info'!O125))</f>
        <v>124 - AW</v>
      </c>
      <c r="AR126" s="121" t="str">
        <f t="shared" si="48"/>
        <v>124 - AW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>125 - AW</v>
      </c>
      <c r="AM127" s="121" t="str">
        <f t="shared" si="47"/>
        <v>125 - AW</v>
      </c>
      <c r="AO127" s="121" t="str">
        <f>IF('Cable Info'!N126="","",CONCATENATE('Cable Info'!N126," - ",'Cable Info'!O126))</f>
        <v>125 - AW</v>
      </c>
      <c r="AR127" s="121" t="str">
        <f t="shared" si="48"/>
        <v>125 - AW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>126 - AW</v>
      </c>
      <c r="AM128" s="121" t="str">
        <f t="shared" si="47"/>
        <v>126 - AW</v>
      </c>
      <c r="AO128" s="121" t="str">
        <f>IF('Cable Info'!N127="","",CONCATENATE('Cable Info'!N127," - ",'Cable Info'!O127))</f>
        <v>126 - AW</v>
      </c>
      <c r="AR128" s="121" t="str">
        <f t="shared" si="48"/>
        <v>126 - AW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>127 - AW</v>
      </c>
      <c r="AM129" s="121" t="str">
        <f t="shared" si="47"/>
        <v>127 - AW</v>
      </c>
      <c r="AO129" s="121" t="str">
        <f>IF('Cable Info'!N128="","",CONCATENATE('Cable Info'!N128," - ",'Cable Info'!O128))</f>
        <v>127 - AW</v>
      </c>
      <c r="AR129" s="121" t="str">
        <f t="shared" si="48"/>
        <v>127 - AW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>128 - AW</v>
      </c>
      <c r="AM130" s="121" t="str">
        <f t="shared" si="47"/>
        <v>128 - AW</v>
      </c>
      <c r="AO130" s="121" t="str">
        <f>IF('Cable Info'!N129="","",CONCATENATE('Cable Info'!N129," - ",'Cable Info'!O129))</f>
        <v>128 - AW</v>
      </c>
      <c r="AR130" s="121" t="str">
        <f t="shared" si="48"/>
        <v>128 - AW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>129 - AW</v>
      </c>
      <c r="AM131" s="121" t="str">
        <f t="shared" si="47"/>
        <v>129 - AW</v>
      </c>
      <c r="AO131" s="121" t="str">
        <f>IF('Cable Info'!N130="","",CONCATENATE('Cable Info'!N130," - ",'Cable Info'!O130))</f>
        <v>129 - AW</v>
      </c>
      <c r="AR131" s="121" t="str">
        <f t="shared" si="48"/>
        <v>129 - AW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>130 - AW</v>
      </c>
      <c r="AM132" s="121" t="str">
        <f t="shared" si="47"/>
        <v>130 - AW</v>
      </c>
      <c r="AO132" s="121" t="str">
        <f>IF('Cable Info'!N131="","",CONCATENATE('Cable Info'!N131," - ",'Cable Info'!O131))</f>
        <v>130 - AW</v>
      </c>
      <c r="AR132" s="121" t="str">
        <f t="shared" si="48"/>
        <v>130 - AW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>131 - AW</v>
      </c>
      <c r="AM133" s="121" t="str">
        <f t="shared" si="47"/>
        <v>131 - AW</v>
      </c>
      <c r="AO133" s="121" t="str">
        <f>IF('Cable Info'!N132="","",CONCATENATE('Cable Info'!N132," - ",'Cable Info'!O132))</f>
        <v>131 - AW</v>
      </c>
      <c r="AR133" s="121" t="str">
        <f t="shared" si="48"/>
        <v>131 - AW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>132 - AW</v>
      </c>
      <c r="AM134" s="121" t="str">
        <f t="shared" si="47"/>
        <v>132 - AW</v>
      </c>
      <c r="AO134" s="121" t="str">
        <f>IF('Cable Info'!N133="","",CONCATENATE('Cable Info'!N133," - ",'Cable Info'!O133))</f>
        <v>132 - AW</v>
      </c>
      <c r="AR134" s="121" t="str">
        <f t="shared" si="48"/>
        <v>132 - AW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>133 - AW</v>
      </c>
      <c r="AM135" s="121" t="str">
        <f t="shared" si="47"/>
        <v>133 - AW</v>
      </c>
      <c r="AO135" s="121" t="str">
        <f>IF('Cable Info'!N134="","",CONCATENATE('Cable Info'!N134," - ",'Cable Info'!O134))</f>
        <v>133 - AW</v>
      </c>
      <c r="AR135" s="121" t="str">
        <f t="shared" si="48"/>
        <v>133 - AW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>134 - AW</v>
      </c>
      <c r="AM136" s="121" t="str">
        <f t="shared" si="47"/>
        <v>134 - AW</v>
      </c>
      <c r="AO136" s="121" t="str">
        <f>IF('Cable Info'!N135="","",CONCATENATE('Cable Info'!N135," - ",'Cable Info'!O135))</f>
        <v>134 - AW</v>
      </c>
      <c r="AR136" s="121" t="str">
        <f t="shared" si="48"/>
        <v>134 - AW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>135 - AW</v>
      </c>
      <c r="AM137" s="121" t="str">
        <f t="shared" si="47"/>
        <v>135 - AW</v>
      </c>
      <c r="AO137" s="121" t="str">
        <f>IF('Cable Info'!N136="","",CONCATENATE('Cable Info'!N136," - ",'Cable Info'!O136))</f>
        <v>135 - AW</v>
      </c>
      <c r="AR137" s="121" t="str">
        <f t="shared" si="48"/>
        <v>135 - AW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>136 - AW</v>
      </c>
      <c r="AM138" s="121" t="str">
        <f t="shared" si="47"/>
        <v>136 - AW</v>
      </c>
      <c r="AO138" s="121" t="str">
        <f>IF('Cable Info'!N137="","",CONCATENATE('Cable Info'!N137," - ",'Cable Info'!O137))</f>
        <v>136 - AW</v>
      </c>
      <c r="AR138" s="121" t="str">
        <f t="shared" si="48"/>
        <v>136 - AW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>137 - AW</v>
      </c>
      <c r="AM139" s="121" t="str">
        <f t="shared" si="47"/>
        <v>137 - AW</v>
      </c>
      <c r="AO139" s="121" t="str">
        <f>IF('Cable Info'!N138="","",CONCATENATE('Cable Info'!N138," - ",'Cable Info'!O138))</f>
        <v>137 - AW</v>
      </c>
      <c r="AR139" s="121" t="str">
        <f t="shared" si="48"/>
        <v>137 - AW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>138 - AW</v>
      </c>
      <c r="AM140" s="121" t="str">
        <f t="shared" si="47"/>
        <v>138 - AW</v>
      </c>
      <c r="AO140" s="121" t="str">
        <f>IF('Cable Info'!N139="","",CONCATENATE('Cable Info'!N139," - ",'Cable Info'!O139))</f>
        <v>138 - AW</v>
      </c>
      <c r="AR140" s="121" t="str">
        <f t="shared" si="48"/>
        <v>138 - AW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>139 - AW</v>
      </c>
      <c r="AM141" s="121" t="str">
        <f t="shared" ref="AM141:AM204" si="59">IF(AK141="",AJ141,CONCATENATE(AJ141,"  &lt;=&gt; ",AK141," ",AL141))</f>
        <v>139 - AW</v>
      </c>
      <c r="AO141" s="121" t="str">
        <f>IF('Cable Info'!N140="","",CONCATENATE('Cable Info'!N140," - ",'Cable Info'!O140))</f>
        <v>139 - AW</v>
      </c>
      <c r="AR141" s="121" t="str">
        <f t="shared" ref="AR141:AR204" si="60">IF(AP141="",AO141,CONCATENATE(AO141,"  &lt;=&gt; ",AP141," ",AQ141))</f>
        <v>139 - AW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>140 - AW</v>
      </c>
      <c r="AM142" s="121" t="str">
        <f t="shared" si="59"/>
        <v>140 - AW</v>
      </c>
      <c r="AO142" s="121" t="str">
        <f>IF('Cable Info'!N141="","",CONCATENATE('Cable Info'!N141," - ",'Cable Info'!O141))</f>
        <v>140 - AW</v>
      </c>
      <c r="AR142" s="121" t="str">
        <f t="shared" si="60"/>
        <v>140 - AW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>141 - AW</v>
      </c>
      <c r="AM143" s="121" t="str">
        <f t="shared" si="59"/>
        <v>141 - AW</v>
      </c>
      <c r="AO143" s="121" t="str">
        <f>IF('Cable Info'!N142="","",CONCATENATE('Cable Info'!N142," - ",'Cable Info'!O142))</f>
        <v>141 - AW</v>
      </c>
      <c r="AR143" s="121" t="str">
        <f t="shared" si="60"/>
        <v>141 - AW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>142 - AW</v>
      </c>
      <c r="AM144" s="121" t="str">
        <f t="shared" si="59"/>
        <v>142 - AW</v>
      </c>
      <c r="AO144" s="121" t="str">
        <f>IF('Cable Info'!N143="","",CONCATENATE('Cable Info'!N143," - ",'Cable Info'!O143))</f>
        <v>142 - AW</v>
      </c>
      <c r="AR144" s="121" t="str">
        <f t="shared" si="60"/>
        <v>142 - AW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>143 - AW</v>
      </c>
      <c r="AM145" s="121" t="str">
        <f t="shared" si="59"/>
        <v>143 - AW</v>
      </c>
      <c r="AO145" s="121" t="str">
        <f>IF('Cable Info'!N144="","",CONCATENATE('Cable Info'!N144," - ",'Cable Info'!O144))</f>
        <v>143 - AW</v>
      </c>
      <c r="AR145" s="121" t="str">
        <f t="shared" si="60"/>
        <v>143 - AW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>144 - AW</v>
      </c>
      <c r="AM146" s="121" t="str">
        <f t="shared" si="59"/>
        <v>144 - AW</v>
      </c>
      <c r="AO146" s="121" t="str">
        <f>IF('Cable Info'!N145="","",CONCATENATE('Cable Info'!N145," - ",'Cable Info'!O145))</f>
        <v>144 - AW</v>
      </c>
      <c r="AR146" s="121" t="str">
        <f t="shared" si="60"/>
        <v>144 - AW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AW</v>
      </c>
      <c r="AM380" s="121" t="str">
        <f t="shared" ref="AM380:AM426" si="119">IF(AK380="",AJ380,CONCATENATE(AJ380,"  &lt;=&gt; ",AK380," ",AL380))</f>
        <v>83 - AW</v>
      </c>
      <c r="AO380" s="121" t="str">
        <f>IF('Cable Info'!N84="","",CONCATENATE('Cable Info'!N84," - ",'Cable Info'!O84))</f>
        <v>83 - AW</v>
      </c>
      <c r="AR380" s="121" t="str">
        <f t="shared" ref="AR380:AR426" si="120">IF(AP380="",AO380,CONCATENATE(AO380,"  &lt;=&gt; ",AP380," ",AQ380))</f>
        <v>83 - AW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AW</v>
      </c>
      <c r="AM381" s="121" t="str">
        <f t="shared" si="119"/>
        <v>84 - AW</v>
      </c>
      <c r="AO381" s="121" t="str">
        <f>IF('Cable Info'!N85="","",CONCATENATE('Cable Info'!N85," - ",'Cable Info'!O85))</f>
        <v>84 - AW</v>
      </c>
      <c r="AR381" s="121" t="str">
        <f t="shared" si="120"/>
        <v>84 - AW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AW</v>
      </c>
      <c r="AK382" s="164"/>
      <c r="AL382" s="164"/>
      <c r="AM382" s="164" t="str">
        <f t="shared" si="119"/>
        <v>85 - AW</v>
      </c>
      <c r="AN382" s="164"/>
      <c r="AO382" s="164" t="str">
        <f>IF('Cable Info'!N86="","",CONCATENATE('Cable Info'!N86," - ",'Cable Info'!O86))</f>
        <v>85 - AW</v>
      </c>
      <c r="AP382" s="164"/>
      <c r="AQ382" s="164"/>
      <c r="AR382" s="164" t="str">
        <f t="shared" si="120"/>
        <v>85 - AW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AW</v>
      </c>
      <c r="AK383" s="160"/>
      <c r="AL383" s="160"/>
      <c r="AM383" s="160" t="str">
        <f t="shared" si="119"/>
        <v>86 - AW</v>
      </c>
      <c r="AN383" s="160"/>
      <c r="AO383" s="160" t="str">
        <f>IF('Cable Info'!N87="","",CONCATENATE('Cable Info'!N87," - ",'Cable Info'!O87))</f>
        <v>86 - AW</v>
      </c>
      <c r="AP383" s="160"/>
      <c r="AQ383" s="160"/>
      <c r="AR383" s="160" t="str">
        <f t="shared" si="120"/>
        <v>86 - AW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AW</v>
      </c>
      <c r="AM384" s="121" t="str">
        <f t="shared" si="119"/>
        <v>87 - AW</v>
      </c>
      <c r="AO384" s="121" t="str">
        <f>IF('Cable Info'!N88="","",CONCATENATE('Cable Info'!N88," - ",'Cable Info'!O88))</f>
        <v>87 - AW</v>
      </c>
      <c r="AR384" s="121" t="str">
        <f t="shared" si="120"/>
        <v>87 - AW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AW</v>
      </c>
      <c r="AM385" s="121" t="str">
        <f t="shared" si="119"/>
        <v>88 - AW</v>
      </c>
      <c r="AO385" s="121" t="str">
        <f>IF('Cable Info'!N89="","",CONCATENATE('Cable Info'!N89," - ",'Cable Info'!O89))</f>
        <v>88 - AW</v>
      </c>
      <c r="AR385" s="121" t="str">
        <f t="shared" si="120"/>
        <v>88 - AW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AW</v>
      </c>
      <c r="AM386" s="121" t="str">
        <f t="shared" si="119"/>
        <v>89 - AW</v>
      </c>
      <c r="AO386" s="121" t="str">
        <f>IF('Cable Info'!N90="","",CONCATENATE('Cable Info'!N90," - ",'Cable Info'!O90))</f>
        <v>89 - AW</v>
      </c>
      <c r="AR386" s="121" t="str">
        <f t="shared" si="120"/>
        <v>89 - AW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AW</v>
      </c>
      <c r="AM387" s="121" t="str">
        <f t="shared" si="119"/>
        <v>90 - AW</v>
      </c>
      <c r="AO387" s="121" t="str">
        <f>IF('Cable Info'!N91="","",CONCATENATE('Cable Info'!N91," - ",'Cable Info'!O91))</f>
        <v>90 - AW</v>
      </c>
      <c r="AR387" s="121" t="str">
        <f t="shared" si="120"/>
        <v>90 - AW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AW</v>
      </c>
      <c r="AM388" s="121" t="str">
        <f t="shared" si="119"/>
        <v>91 - AW</v>
      </c>
      <c r="AO388" s="121" t="str">
        <f>IF('Cable Info'!N92="","",CONCATENATE('Cable Info'!N92," - ",'Cable Info'!O92))</f>
        <v>91 - AW</v>
      </c>
      <c r="AR388" s="121" t="str">
        <f t="shared" si="120"/>
        <v>91 - AW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AW</v>
      </c>
      <c r="AM389" s="121" t="str">
        <f t="shared" si="119"/>
        <v>92 - AW</v>
      </c>
      <c r="AO389" s="121" t="str">
        <f>IF('Cable Info'!N93="","",CONCATENATE('Cable Info'!N93," - ",'Cable Info'!O93))</f>
        <v>92 - AW</v>
      </c>
      <c r="AR389" s="121" t="str">
        <f t="shared" si="120"/>
        <v>92 - AW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AW</v>
      </c>
      <c r="AM390" s="121" t="str">
        <f t="shared" si="119"/>
        <v>93 - AW</v>
      </c>
      <c r="AO390" s="121" t="str">
        <f>IF('Cable Info'!N94="","",CONCATENATE('Cable Info'!N94," - ",'Cable Info'!O94))</f>
        <v>93 - AW</v>
      </c>
      <c r="AR390" s="121" t="str">
        <f t="shared" si="120"/>
        <v>93 - AW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AW</v>
      </c>
      <c r="AM391" s="121" t="str">
        <f t="shared" si="119"/>
        <v>94 - AW</v>
      </c>
      <c r="AO391" s="121" t="str">
        <f>IF('Cable Info'!N95="","",CONCATENATE('Cable Info'!N95," - ",'Cable Info'!O95))</f>
        <v>94 - AW</v>
      </c>
      <c r="AR391" s="121" t="str">
        <f t="shared" si="120"/>
        <v>94 - AW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AW</v>
      </c>
      <c r="AM392" s="121" t="str">
        <f t="shared" si="119"/>
        <v>95 - AW</v>
      </c>
      <c r="AO392" s="121" t="str">
        <f>IF('Cable Info'!N96="","",CONCATENATE('Cable Info'!N96," - ",'Cable Info'!O96))</f>
        <v>95 - AW</v>
      </c>
      <c r="AR392" s="121" t="str">
        <f t="shared" si="120"/>
        <v>95 - AW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AW</v>
      </c>
      <c r="AM393" s="121" t="str">
        <f t="shared" si="119"/>
        <v>96 - AW</v>
      </c>
      <c r="AO393" s="121" t="str">
        <f>IF('Cable Info'!N97="","",CONCATENATE('Cable Info'!N97," - ",'Cable Info'!O97))</f>
        <v>96 - AW</v>
      </c>
      <c r="AR393" s="121" t="str">
        <f t="shared" si="120"/>
        <v>96 - AW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>97 - AW</v>
      </c>
      <c r="AM394" s="121" t="str">
        <f t="shared" si="119"/>
        <v>97 - AW</v>
      </c>
      <c r="AO394" s="121" t="str">
        <f>IF('Cable Info'!N98="","",CONCATENATE('Cable Info'!N98," - ",'Cable Info'!O98))</f>
        <v>97 - AW</v>
      </c>
      <c r="AR394" s="121" t="str">
        <f t="shared" si="120"/>
        <v>97 - AW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>98 - AW</v>
      </c>
      <c r="AM395" s="121" t="str">
        <f t="shared" si="119"/>
        <v>98 - AW</v>
      </c>
      <c r="AO395" s="121" t="str">
        <f>IF('Cable Info'!N99="","",CONCATENATE('Cable Info'!N99," - ",'Cable Info'!O99))</f>
        <v>98 - AW</v>
      </c>
      <c r="AR395" s="121" t="str">
        <f t="shared" si="120"/>
        <v>98 - AW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>99 - AW</v>
      </c>
      <c r="AM396" s="121" t="str">
        <f t="shared" si="119"/>
        <v>99 - AW</v>
      </c>
      <c r="AO396" s="121" t="str">
        <f>IF('Cable Info'!N100="","",CONCATENATE('Cable Info'!N100," - ",'Cable Info'!O100))</f>
        <v>99 - AW</v>
      </c>
      <c r="AR396" s="121" t="str">
        <f t="shared" si="120"/>
        <v>99 - AW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>100 - AW</v>
      </c>
      <c r="AM397" s="121" t="str">
        <f t="shared" si="119"/>
        <v>100 - AW</v>
      </c>
      <c r="AO397" s="121" t="str">
        <f>IF('Cable Info'!N101="","",CONCATENATE('Cable Info'!N101," - ",'Cable Info'!O101))</f>
        <v>100 - AW</v>
      </c>
      <c r="AR397" s="121" t="str">
        <f t="shared" si="120"/>
        <v>100 - AW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>101 - AW</v>
      </c>
      <c r="AM398" s="121" t="str">
        <f t="shared" si="119"/>
        <v>101 - AW</v>
      </c>
      <c r="AO398" s="121" t="str">
        <f>IF('Cable Info'!N102="","",CONCATENATE('Cable Info'!N102," - ",'Cable Info'!O102))</f>
        <v>101 - AW</v>
      </c>
      <c r="AR398" s="121" t="str">
        <f t="shared" si="120"/>
        <v>101 - AW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>102 - AW</v>
      </c>
      <c r="AM399" s="121" t="str">
        <f t="shared" si="119"/>
        <v>102 - AW</v>
      </c>
      <c r="AO399" s="121" t="str">
        <f>IF('Cable Info'!N103="","",CONCATENATE('Cable Info'!N103," - ",'Cable Info'!O103))</f>
        <v>102 - AW</v>
      </c>
      <c r="AR399" s="121" t="str">
        <f t="shared" si="120"/>
        <v>102 - AW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>103 - AW</v>
      </c>
      <c r="AM400" s="121" t="str">
        <f t="shared" si="119"/>
        <v>103 - AW</v>
      </c>
      <c r="AO400" s="121" t="str">
        <f>IF('Cable Info'!N104="","",CONCATENATE('Cable Info'!N104," - ",'Cable Info'!O104))</f>
        <v>103 - AW</v>
      </c>
      <c r="AR400" s="121" t="str">
        <f t="shared" si="120"/>
        <v>103 - AW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>104 - AW</v>
      </c>
      <c r="AM401" s="121" t="str">
        <f t="shared" si="119"/>
        <v>104 - AW</v>
      </c>
      <c r="AO401" s="121" t="str">
        <f>IF('Cable Info'!N105="","",CONCATENATE('Cable Info'!N105," - ",'Cable Info'!O105))</f>
        <v>104 - AW</v>
      </c>
      <c r="AR401" s="121" t="str">
        <f t="shared" si="120"/>
        <v>104 - AW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>105 - AW</v>
      </c>
      <c r="AM402" s="121" t="str">
        <f t="shared" si="119"/>
        <v>105 - AW</v>
      </c>
      <c r="AO402" s="121" t="str">
        <f>IF('Cable Info'!N106="","",CONCATENATE('Cable Info'!N106," - ",'Cable Info'!O106))</f>
        <v>105 - AW</v>
      </c>
      <c r="AR402" s="121" t="str">
        <f t="shared" si="120"/>
        <v>105 - AW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>106 - AW</v>
      </c>
      <c r="AM403" s="121" t="str">
        <f t="shared" si="119"/>
        <v>106 - AW</v>
      </c>
      <c r="AO403" s="121" t="str">
        <f>IF('Cable Info'!N107="","",CONCATENATE('Cable Info'!N107," - ",'Cable Info'!O107))</f>
        <v>106 - AW</v>
      </c>
      <c r="AR403" s="121" t="str">
        <f t="shared" si="120"/>
        <v>106 - AW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>107 - AW</v>
      </c>
      <c r="AM404" s="121" t="str">
        <f t="shared" si="119"/>
        <v>107 - AW</v>
      </c>
      <c r="AO404" s="121" t="str">
        <f>IF('Cable Info'!N108="","",CONCATENATE('Cable Info'!N108," - ",'Cable Info'!O108))</f>
        <v>107 - AW</v>
      </c>
      <c r="AR404" s="121" t="str">
        <f t="shared" si="120"/>
        <v>107 - AW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>108 - AW</v>
      </c>
      <c r="AM405" s="121" t="str">
        <f t="shared" si="119"/>
        <v>108 - AW</v>
      </c>
      <c r="AO405" s="121" t="str">
        <f>IF('Cable Info'!N109="","",CONCATENATE('Cable Info'!N109," - ",'Cable Info'!O109))</f>
        <v>108 - AW</v>
      </c>
      <c r="AR405" s="121" t="str">
        <f t="shared" si="120"/>
        <v>108 - AW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>109 - AW</v>
      </c>
      <c r="AM406" s="121" t="str">
        <f t="shared" si="119"/>
        <v>109 - AW</v>
      </c>
      <c r="AO406" s="121" t="str">
        <f>IF('Cable Info'!N110="","",CONCATENATE('Cable Info'!N110," - ",'Cable Info'!O110))</f>
        <v>109 - AW</v>
      </c>
      <c r="AR406" s="121" t="str">
        <f t="shared" si="120"/>
        <v>109 - AW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>110 - AW</v>
      </c>
      <c r="AM407" s="121" t="str">
        <f t="shared" si="119"/>
        <v>110 - AW</v>
      </c>
      <c r="AO407" s="121" t="str">
        <f>IF('Cable Info'!N111="","",CONCATENATE('Cable Info'!N111," - ",'Cable Info'!O111))</f>
        <v>110 - AW</v>
      </c>
      <c r="AR407" s="121" t="str">
        <f t="shared" si="120"/>
        <v>110 - AW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>111 - AW</v>
      </c>
      <c r="AM408" s="121" t="str">
        <f t="shared" si="119"/>
        <v>111 - AW</v>
      </c>
      <c r="AO408" s="121" t="str">
        <f>IF('Cable Info'!N112="","",CONCATENATE('Cable Info'!N112," - ",'Cable Info'!O112))</f>
        <v>111 - AW</v>
      </c>
      <c r="AR408" s="121" t="str">
        <f t="shared" si="120"/>
        <v>111 - AW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>112 - AW</v>
      </c>
      <c r="AM409" s="121" t="str">
        <f t="shared" si="119"/>
        <v>112 - AW</v>
      </c>
      <c r="AO409" s="121" t="str">
        <f>IF('Cable Info'!N113="","",CONCATENATE('Cable Info'!N113," - ",'Cable Info'!O113))</f>
        <v>112 - AW</v>
      </c>
      <c r="AR409" s="121" t="str">
        <f t="shared" si="120"/>
        <v>112 - AW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>113 - AW</v>
      </c>
      <c r="AM410" s="121" t="str">
        <f t="shared" si="119"/>
        <v>113 - AW</v>
      </c>
      <c r="AO410" s="121" t="str">
        <f>IF('Cable Info'!N114="","",CONCATENATE('Cable Info'!N114," - ",'Cable Info'!O114))</f>
        <v>113 - AW</v>
      </c>
      <c r="AR410" s="121" t="str">
        <f t="shared" si="120"/>
        <v>113 - AW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>114 - AW</v>
      </c>
      <c r="AM411" s="121" t="str">
        <f t="shared" si="119"/>
        <v>114 - AW</v>
      </c>
      <c r="AO411" s="121" t="str">
        <f>IF('Cable Info'!N115="","",CONCATENATE('Cable Info'!N115," - ",'Cable Info'!O115))</f>
        <v>114 - AW</v>
      </c>
      <c r="AR411" s="121" t="str">
        <f t="shared" si="120"/>
        <v>114 - AW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>115 - AW</v>
      </c>
      <c r="AM412" s="121" t="str">
        <f t="shared" si="119"/>
        <v>115 - AW</v>
      </c>
      <c r="AO412" s="121" t="str">
        <f>IF('Cable Info'!N116="","",CONCATENATE('Cable Info'!N116," - ",'Cable Info'!O116))</f>
        <v>115 - AW</v>
      </c>
      <c r="AR412" s="121" t="str">
        <f t="shared" si="120"/>
        <v>115 - AW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>116 - AW</v>
      </c>
      <c r="AM413" s="121" t="str">
        <f t="shared" si="119"/>
        <v>116 - AW</v>
      </c>
      <c r="AO413" s="121" t="str">
        <f>IF('Cable Info'!N117="","",CONCATENATE('Cable Info'!N117," - ",'Cable Info'!O117))</f>
        <v>116 - AW</v>
      </c>
      <c r="AR413" s="121" t="str">
        <f t="shared" si="120"/>
        <v>116 - AW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>117 - AW</v>
      </c>
      <c r="AM414" s="121" t="str">
        <f t="shared" si="119"/>
        <v>117 - AW</v>
      </c>
      <c r="AO414" s="121" t="str">
        <f>IF('Cable Info'!N118="","",CONCATENATE('Cable Info'!N118," - ",'Cable Info'!O118))</f>
        <v>117 - AW</v>
      </c>
      <c r="AR414" s="121" t="str">
        <f t="shared" si="120"/>
        <v>117 - AW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>118 - AW</v>
      </c>
      <c r="AM415" s="121" t="str">
        <f t="shared" si="119"/>
        <v>118 - AW</v>
      </c>
      <c r="AO415" s="121" t="str">
        <f>IF('Cable Info'!N119="","",CONCATENATE('Cable Info'!N119," - ",'Cable Info'!O119))</f>
        <v>118 - AW</v>
      </c>
      <c r="AR415" s="121" t="str">
        <f t="shared" si="120"/>
        <v>118 - AW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>119 - AW</v>
      </c>
      <c r="AM416" s="121" t="str">
        <f t="shared" si="119"/>
        <v>119 - AW</v>
      </c>
      <c r="AO416" s="121" t="str">
        <f>IF('Cable Info'!N120="","",CONCATENATE('Cable Info'!N120," - ",'Cable Info'!O120))</f>
        <v>119 - AW</v>
      </c>
      <c r="AR416" s="121" t="str">
        <f t="shared" si="120"/>
        <v>119 - AW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>120 - AW</v>
      </c>
      <c r="AM417" s="121" t="str">
        <f t="shared" si="119"/>
        <v>120 - AW</v>
      </c>
      <c r="AO417" s="121" t="str">
        <f>IF('Cable Info'!N121="","",CONCATENATE('Cable Info'!N121," - ",'Cable Info'!O121))</f>
        <v>120 - AW</v>
      </c>
      <c r="AR417" s="121" t="str">
        <f t="shared" si="120"/>
        <v>120 - AW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>121 - AW</v>
      </c>
      <c r="AM418" s="121" t="str">
        <f t="shared" si="119"/>
        <v>121 - AW</v>
      </c>
      <c r="AO418" s="121" t="str">
        <f>IF('Cable Info'!N122="","",CONCATENATE('Cable Info'!N122," - ",'Cable Info'!O122))</f>
        <v>121 - AW</v>
      </c>
      <c r="AR418" s="121" t="str">
        <f t="shared" si="120"/>
        <v>121 - AW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>122 - AW</v>
      </c>
      <c r="AM419" s="121" t="str">
        <f t="shared" si="119"/>
        <v>122 - AW</v>
      </c>
      <c r="AO419" s="121" t="str">
        <f>IF('Cable Info'!N123="","",CONCATENATE('Cable Info'!N123," - ",'Cable Info'!O123))</f>
        <v>122 - AW</v>
      </c>
      <c r="AR419" s="121" t="str">
        <f t="shared" si="120"/>
        <v>122 - AW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>123 - AW</v>
      </c>
      <c r="AM420" s="121" t="str">
        <f t="shared" si="119"/>
        <v>123 - AW</v>
      </c>
      <c r="AO420" s="121" t="str">
        <f>IF('Cable Info'!N124="","",CONCATENATE('Cable Info'!N124," - ",'Cable Info'!O124))</f>
        <v>123 - AW</v>
      </c>
      <c r="AR420" s="121" t="str">
        <f t="shared" si="120"/>
        <v>123 - AW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>124 - AW</v>
      </c>
      <c r="AM421" s="121" t="str">
        <f t="shared" si="119"/>
        <v>124 - AW</v>
      </c>
      <c r="AO421" s="121" t="str">
        <f>IF('Cable Info'!N125="","",CONCATENATE('Cable Info'!N125," - ",'Cable Info'!O125))</f>
        <v>124 - AW</v>
      </c>
      <c r="AR421" s="121" t="str">
        <f t="shared" si="120"/>
        <v>124 - AW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>125 - AW</v>
      </c>
      <c r="AM422" s="121" t="str">
        <f t="shared" si="119"/>
        <v>125 - AW</v>
      </c>
      <c r="AO422" s="121" t="str">
        <f>IF('Cable Info'!N126="","",CONCATENATE('Cable Info'!N126," - ",'Cable Info'!O126))</f>
        <v>125 - AW</v>
      </c>
      <c r="AR422" s="121" t="str">
        <f t="shared" si="120"/>
        <v>125 - AW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>126 - AW</v>
      </c>
      <c r="AM423" s="121" t="str">
        <f t="shared" si="119"/>
        <v>126 - AW</v>
      </c>
      <c r="AO423" s="121" t="str">
        <f>IF('Cable Info'!N127="","",CONCATENATE('Cable Info'!N127," - ",'Cable Info'!O127))</f>
        <v>126 - AW</v>
      </c>
      <c r="AR423" s="121" t="str">
        <f t="shared" si="120"/>
        <v>126 - AW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>127 - AW</v>
      </c>
      <c r="AM424" s="121" t="str">
        <f t="shared" si="119"/>
        <v>127 - AW</v>
      </c>
      <c r="AO424" s="121" t="str">
        <f>IF('Cable Info'!N128="","",CONCATENATE('Cable Info'!N128," - ",'Cable Info'!O128))</f>
        <v>127 - AW</v>
      </c>
      <c r="AR424" s="121" t="str">
        <f t="shared" si="120"/>
        <v>127 - AW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>128 - AW</v>
      </c>
      <c r="AM425" s="121" t="str">
        <f t="shared" si="119"/>
        <v>128 - AW</v>
      </c>
      <c r="AO425" s="121" t="str">
        <f>IF('Cable Info'!N129="","",CONCATENATE('Cable Info'!N129," - ",'Cable Info'!O129))</f>
        <v>128 - AW</v>
      </c>
      <c r="AR425" s="121" t="str">
        <f t="shared" si="120"/>
        <v>128 - AW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>129 - AW</v>
      </c>
      <c r="AM426" s="121" t="str">
        <f t="shared" si="119"/>
        <v>129 - AW</v>
      </c>
      <c r="AO426" s="121" t="str">
        <f>IF('Cable Info'!N130="","",CONCATENATE('Cable Info'!N130," - ",'Cable Info'!O130))</f>
        <v>129 - AW</v>
      </c>
      <c r="AR426" s="121" t="str">
        <f t="shared" si="120"/>
        <v>129 - AW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>130 - AW</v>
      </c>
      <c r="AM427" s="121" t="str">
        <f t="shared" ref="AM427:AM490" si="125">IF(AK427="",AJ427,CONCATENATE(AJ427,"  &lt;=&gt; ",AK427," ",AL427))</f>
        <v>130 - AW</v>
      </c>
      <c r="AO427" s="121" t="str">
        <f>IF('Cable Info'!N131="","",CONCATENATE('Cable Info'!N131," - ",'Cable Info'!O131))</f>
        <v>130 - AW</v>
      </c>
      <c r="AR427" s="121" t="str">
        <f t="shared" ref="AR427:AR490" si="126">IF(AP427="",AO427,CONCATENATE(AO427,"  &lt;=&gt; ",AP427," ",AQ427))</f>
        <v>130 - AW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>131 - AW</v>
      </c>
      <c r="AM428" s="121" t="str">
        <f t="shared" si="125"/>
        <v>131 - AW</v>
      </c>
      <c r="AO428" s="121" t="str">
        <f>IF('Cable Info'!N132="","",CONCATENATE('Cable Info'!N132," - ",'Cable Info'!O132))</f>
        <v>131 - AW</v>
      </c>
      <c r="AR428" s="121" t="str">
        <f t="shared" si="126"/>
        <v>131 - AW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>132 - AW</v>
      </c>
      <c r="AM429" s="121" t="str">
        <f t="shared" si="125"/>
        <v>132 - AW</v>
      </c>
      <c r="AO429" s="121" t="str">
        <f>IF('Cable Info'!N133="","",CONCATENATE('Cable Info'!N133," - ",'Cable Info'!O133))</f>
        <v>132 - AW</v>
      </c>
      <c r="AR429" s="121" t="str">
        <f t="shared" si="126"/>
        <v>132 - AW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>133 - AW</v>
      </c>
      <c r="AM430" s="121" t="str">
        <f t="shared" si="125"/>
        <v>133 - AW</v>
      </c>
      <c r="AO430" s="121" t="str">
        <f>IF('Cable Info'!N134="","",CONCATENATE('Cable Info'!N134," - ",'Cable Info'!O134))</f>
        <v>133 - AW</v>
      </c>
      <c r="AR430" s="121" t="str">
        <f t="shared" si="126"/>
        <v>133 - AW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>134 - AW</v>
      </c>
      <c r="AM431" s="121" t="str">
        <f t="shared" si="125"/>
        <v>134 - AW</v>
      </c>
      <c r="AO431" s="121" t="str">
        <f>IF('Cable Info'!N135="","",CONCATENATE('Cable Info'!N135," - ",'Cable Info'!O135))</f>
        <v>134 - AW</v>
      </c>
      <c r="AR431" s="121" t="str">
        <f t="shared" si="126"/>
        <v>134 - AW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>135 - AW</v>
      </c>
      <c r="AM432" s="121" t="str">
        <f t="shared" si="125"/>
        <v>135 - AW</v>
      </c>
      <c r="AO432" s="121" t="str">
        <f>IF('Cable Info'!N136="","",CONCATENATE('Cable Info'!N136," - ",'Cable Info'!O136))</f>
        <v>135 - AW</v>
      </c>
      <c r="AR432" s="121" t="str">
        <f t="shared" si="126"/>
        <v>135 - AW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>136 - AW</v>
      </c>
      <c r="AM433" s="121" t="str">
        <f t="shared" si="125"/>
        <v>136 - AW</v>
      </c>
      <c r="AO433" s="121" t="str">
        <f>IF('Cable Info'!N137="","",CONCATENATE('Cable Info'!N137," - ",'Cable Info'!O137))</f>
        <v>136 - AW</v>
      </c>
      <c r="AR433" s="121" t="str">
        <f t="shared" si="126"/>
        <v>136 - AW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>137 - AW</v>
      </c>
      <c r="AM434" s="121" t="str">
        <f t="shared" si="125"/>
        <v>137 - AW</v>
      </c>
      <c r="AO434" s="121" t="str">
        <f>IF('Cable Info'!N138="","",CONCATENATE('Cable Info'!N138," - ",'Cable Info'!O138))</f>
        <v>137 - AW</v>
      </c>
      <c r="AR434" s="121" t="str">
        <f t="shared" si="126"/>
        <v>137 - AW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>138 - AW</v>
      </c>
      <c r="AM435" s="121" t="str">
        <f t="shared" si="125"/>
        <v>138 - AW</v>
      </c>
      <c r="AO435" s="121" t="str">
        <f>IF('Cable Info'!N139="","",CONCATENATE('Cable Info'!N139," - ",'Cable Info'!O139))</f>
        <v>138 - AW</v>
      </c>
      <c r="AR435" s="121" t="str">
        <f t="shared" si="126"/>
        <v>138 - AW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>139 - AW</v>
      </c>
      <c r="AM436" s="121" t="str">
        <f t="shared" si="125"/>
        <v>139 - AW</v>
      </c>
      <c r="AO436" s="121" t="str">
        <f>IF('Cable Info'!N140="","",CONCATENATE('Cable Info'!N140," - ",'Cable Info'!O140))</f>
        <v>139 - AW</v>
      </c>
      <c r="AR436" s="121" t="str">
        <f t="shared" si="126"/>
        <v>139 - AW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>140 - AW</v>
      </c>
      <c r="AM437" s="121" t="str">
        <f t="shared" si="125"/>
        <v>140 - AW</v>
      </c>
      <c r="AO437" s="121" t="str">
        <f>IF('Cable Info'!N141="","",CONCATENATE('Cable Info'!N141," - ",'Cable Info'!O141))</f>
        <v>140 - AW</v>
      </c>
      <c r="AR437" s="121" t="str">
        <f t="shared" si="126"/>
        <v>140 - AW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>141 - AW</v>
      </c>
      <c r="AM438" s="121" t="str">
        <f t="shared" si="125"/>
        <v>141 - AW</v>
      </c>
      <c r="AO438" s="121" t="str">
        <f>IF('Cable Info'!N142="","",CONCATENATE('Cable Info'!N142," - ",'Cable Info'!O142))</f>
        <v>141 - AW</v>
      </c>
      <c r="AR438" s="121" t="str">
        <f t="shared" si="126"/>
        <v>141 - AW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>142 - AW</v>
      </c>
      <c r="AM439" s="121" t="str">
        <f t="shared" si="125"/>
        <v>142 - AW</v>
      </c>
      <c r="AO439" s="121" t="str">
        <f>IF('Cable Info'!N143="","",CONCATENATE('Cable Info'!N143," - ",'Cable Info'!O143))</f>
        <v>142 - AW</v>
      </c>
      <c r="AR439" s="121" t="str">
        <f t="shared" si="126"/>
        <v>142 - AW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>143 - AW</v>
      </c>
      <c r="AM440" s="121" t="str">
        <f t="shared" si="125"/>
        <v>143 - AW</v>
      </c>
      <c r="AO440" s="121" t="str">
        <f>IF('Cable Info'!N144="","",CONCATENATE('Cable Info'!N144," - ",'Cable Info'!O144))</f>
        <v>143 - AW</v>
      </c>
      <c r="AR440" s="121" t="str">
        <f t="shared" si="126"/>
        <v>143 - AW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>144 - AW</v>
      </c>
      <c r="AM441" s="121" t="str">
        <f t="shared" si="125"/>
        <v>144 - AW</v>
      </c>
      <c r="AO441" s="121" t="str">
        <f>IF('Cable Info'!N145="","",CONCATENATE('Cable Info'!N145," - ",'Cable Info'!O145))</f>
        <v>144 - AW</v>
      </c>
      <c r="AR441" s="121" t="str">
        <f t="shared" si="126"/>
        <v>144 - AW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20" priority="19">
      <formula>$Z$9&gt;0</formula>
    </cfRule>
  </conditionalFormatting>
  <conditionalFormatting sqref="E10:G380">
    <cfRule type="expression" dxfId="19" priority="16">
      <formula>$Y10=1</formula>
    </cfRule>
  </conditionalFormatting>
  <conditionalFormatting sqref="I10:K380">
    <cfRule type="expression" dxfId="18" priority="15">
      <formula>$Z10=1</formula>
    </cfRule>
  </conditionalFormatting>
  <conditionalFormatting sqref="E10:K380">
    <cfRule type="expression" dxfId="17" priority="14">
      <formula>$AB10=1</formula>
    </cfRule>
  </conditionalFormatting>
  <conditionalFormatting sqref="R10:W10 T12 B10:P380 T13:U21 T11:U11 R11:S21 V11:W21 R22:W380">
    <cfRule type="expression" dxfId="16" priority="13">
      <formula>$X10=12</formula>
    </cfRule>
  </conditionalFormatting>
  <conditionalFormatting sqref="R10:W10 T12 B10:P380 T13:U21 T11:U11 R11:S21 V11:W21 R22:W380">
    <cfRule type="expression" dxfId="15" priority="10">
      <formula>$X10=1</formula>
    </cfRule>
    <cfRule type="expression" dxfId="14" priority="11">
      <formula>$X10=2</formula>
    </cfRule>
    <cfRule type="expression" dxfId="13" priority="12">
      <formula>$X10=11</formula>
    </cfRule>
  </conditionalFormatting>
  <conditionalFormatting sqref="R10:X10 T12 B10:P380 T13:U21 T11:U11 R11:S21 V11:X21 R22:X380">
    <cfRule type="expression" dxfId="12" priority="9">
      <formula>$X10=9</formula>
    </cfRule>
  </conditionalFormatting>
  <conditionalFormatting sqref="G5:I5">
    <cfRule type="expression" dxfId="11" priority="7">
      <formula>$AB$9&gt;0</formula>
    </cfRule>
  </conditionalFormatting>
  <conditionalFormatting sqref="D6:G6">
    <cfRule type="expression" dxfId="10" priority="6">
      <formula>$Y$9&gt;0</formula>
    </cfRule>
  </conditionalFormatting>
  <conditionalFormatting sqref="U12">
    <cfRule type="expression" dxfId="9" priority="5">
      <formula>$X12=12</formula>
    </cfRule>
  </conditionalFormatting>
  <conditionalFormatting sqref="U12">
    <cfRule type="expression" dxfId="8" priority="2">
      <formula>$X12=1</formula>
    </cfRule>
    <cfRule type="expression" dxfId="7" priority="3">
      <formula>$X12=2</formula>
    </cfRule>
    <cfRule type="expression" dxfId="6" priority="4">
      <formula>$X12=11</formula>
    </cfRule>
  </conditionalFormatting>
  <conditionalFormatting sqref="U12">
    <cfRule type="expression" dxfId="5" priority="1">
      <formula>$X12=9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Normal="100" workbookViewId="0">
      <selection activeCell="AL5" sqref="AL5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Kenneth F. Trujillo</cp:lastModifiedBy>
  <cp:lastPrinted>2013-11-22T22:56:05Z</cp:lastPrinted>
  <dcterms:created xsi:type="dcterms:W3CDTF">1998-05-29T15:48:38Z</dcterms:created>
  <dcterms:modified xsi:type="dcterms:W3CDTF">2016-10-28T21:03:45Z</dcterms:modified>
</cp:coreProperties>
</file>