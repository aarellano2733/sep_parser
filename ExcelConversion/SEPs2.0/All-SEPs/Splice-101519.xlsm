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-140" yWindow="240" windowWidth="24240" windowHeight="1199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Table'!$A$10:$X$314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 s="1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11" i="3"/>
  <c r="H11" i="3"/>
  <c r="M11" i="3"/>
  <c r="X11" i="3"/>
  <c r="Y11" i="3"/>
  <c r="Z11" i="3"/>
  <c r="AA11" i="3"/>
  <c r="C12" i="3"/>
  <c r="H12" i="3"/>
  <c r="M12" i="3"/>
  <c r="X12" i="3"/>
  <c r="Y12" i="3"/>
  <c r="Z12" i="3"/>
  <c r="AA12" i="3"/>
  <c r="C368" i="3"/>
  <c r="H368" i="3"/>
  <c r="M368" i="3"/>
  <c r="X368" i="3"/>
  <c r="Y368" i="3"/>
  <c r="Z368" i="3"/>
  <c r="AA368" i="3"/>
  <c r="AB368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AB12" i="3" l="1"/>
  <c r="AB11" i="3"/>
  <c r="AB15" i="3"/>
  <c r="M379" i="3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B3" i="6" l="1"/>
  <c r="F3" i="6"/>
  <c r="F50" i="2" l="1"/>
  <c r="F43" i="2"/>
  <c r="F36" i="2"/>
  <c r="F29" i="2"/>
  <c r="F22" i="2"/>
  <c r="F15" i="2"/>
  <c r="X379" i="3"/>
  <c r="AB379" i="3"/>
  <c r="AB380" i="3"/>
  <c r="AB381" i="3"/>
  <c r="AB382" i="3"/>
  <c r="H10" i="3" l="1"/>
  <c r="Y379" i="3"/>
  <c r="Y380" i="3"/>
  <c r="Y381" i="3"/>
  <c r="Y382" i="3"/>
  <c r="Y10" i="3"/>
  <c r="Z379" i="3"/>
  <c r="Z380" i="3"/>
  <c r="Z381" i="3"/>
  <c r="Z382" i="3"/>
  <c r="Z10" i="3"/>
  <c r="AA379" i="3"/>
  <c r="AA380" i="3"/>
  <c r="AA381" i="3"/>
  <c r="AA382" i="3"/>
  <c r="AA10" i="3"/>
  <c r="H379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V16" i="2"/>
  <c r="BI16" i="3" s="1"/>
  <c r="BL16" i="3" s="1"/>
  <c r="V17" i="2"/>
  <c r="BI17" i="3" s="1"/>
  <c r="BL17" i="3" s="1"/>
  <c r="V18" i="2"/>
  <c r="BI18" i="3" s="1"/>
  <c r="BL18" i="3" s="1"/>
  <c r="V19" i="2"/>
  <c r="BI19" i="3" s="1"/>
  <c r="BL19" i="3" s="1"/>
  <c r="V20" i="2"/>
  <c r="V21" i="2"/>
  <c r="BI21" i="3" s="1"/>
  <c r="BL21" i="3" s="1"/>
  <c r="V22" i="2"/>
  <c r="BI22" i="3" s="1"/>
  <c r="BL22" i="3" s="1"/>
  <c r="V23" i="2"/>
  <c r="BI23" i="3" s="1"/>
  <c r="BL23" i="3" s="1"/>
  <c r="V24" i="2"/>
  <c r="BI24" i="3" s="1"/>
  <c r="BL24" i="3" s="1"/>
  <c r="V25" i="2"/>
  <c r="BI25" i="3" s="1"/>
  <c r="BL25" i="3" s="1"/>
  <c r="V26" i="2"/>
  <c r="BI26" i="3" s="1"/>
  <c r="BL26" i="3" s="1"/>
  <c r="V27" i="2"/>
  <c r="BI27" i="3" s="1"/>
  <c r="BL27" i="3" s="1"/>
  <c r="V28" i="2"/>
  <c r="BI28" i="3" s="1"/>
  <c r="BL28" i="3" s="1"/>
  <c r="V29" i="2"/>
  <c r="BI29" i="3" s="1"/>
  <c r="BL29" i="3" s="1"/>
  <c r="V30" i="2"/>
  <c r="BI30" i="3" s="1"/>
  <c r="BL30" i="3" s="1"/>
  <c r="V31" i="2"/>
  <c r="BI31" i="3" s="1"/>
  <c r="BL31" i="3" s="1"/>
  <c r="V32" i="2"/>
  <c r="BI32" i="3" s="1"/>
  <c r="BL32" i="3" s="1"/>
  <c r="V33" i="2"/>
  <c r="BI33" i="3" s="1"/>
  <c r="BL33" i="3" s="1"/>
  <c r="V34" i="2"/>
  <c r="BI34" i="3" s="1"/>
  <c r="BL34" i="3" s="1"/>
  <c r="V35" i="2"/>
  <c r="BI35" i="3" s="1"/>
  <c r="BL35" i="3" s="1"/>
  <c r="V36" i="2"/>
  <c r="V37" i="2"/>
  <c r="BI37" i="3" s="1"/>
  <c r="BL37" i="3" s="1"/>
  <c r="V38" i="2"/>
  <c r="BI38" i="3" s="1"/>
  <c r="BL38" i="3" s="1"/>
  <c r="V39" i="2"/>
  <c r="BI39" i="3" s="1"/>
  <c r="BL39" i="3" s="1"/>
  <c r="V40" i="2"/>
  <c r="BI40" i="3" s="1"/>
  <c r="BL40" i="3" s="1"/>
  <c r="V41" i="2"/>
  <c r="BI41" i="3" s="1"/>
  <c r="BL41" i="3" s="1"/>
  <c r="V42" i="2"/>
  <c r="BI42" i="3" s="1"/>
  <c r="BL42" i="3" s="1"/>
  <c r="V43" i="2"/>
  <c r="V44" i="2"/>
  <c r="BI44" i="3" s="1"/>
  <c r="BL44" i="3" s="1"/>
  <c r="V45" i="2"/>
  <c r="BI45" i="3" s="1"/>
  <c r="BL45" i="3" s="1"/>
  <c r="V46" i="2"/>
  <c r="BI46" i="3" s="1"/>
  <c r="BL46" i="3" s="1"/>
  <c r="V47" i="2"/>
  <c r="BI47" i="3" s="1"/>
  <c r="BL47" i="3" s="1"/>
  <c r="V48" i="2"/>
  <c r="BI48" i="3" s="1"/>
  <c r="BL48" i="3" s="1"/>
  <c r="V49" i="2"/>
  <c r="BI49" i="3" s="1"/>
  <c r="BL49" i="3" s="1"/>
  <c r="V50" i="2"/>
  <c r="BI50" i="3" s="1"/>
  <c r="BL50" i="3" s="1"/>
  <c r="V51" i="2"/>
  <c r="BI51" i="3" s="1"/>
  <c r="BL51" i="3" s="1"/>
  <c r="V52" i="2"/>
  <c r="V53" i="2"/>
  <c r="BI53" i="3" s="1"/>
  <c r="BL53" i="3" s="1"/>
  <c r="V54" i="2"/>
  <c r="BI54" i="3" s="1"/>
  <c r="BL54" i="3" s="1"/>
  <c r="V55" i="2"/>
  <c r="BI55" i="3" s="1"/>
  <c r="BL55" i="3" s="1"/>
  <c r="V56" i="2"/>
  <c r="BI56" i="3" s="1"/>
  <c r="BL56" i="3" s="1"/>
  <c r="V57" i="2"/>
  <c r="BI57" i="3" s="1"/>
  <c r="BL57" i="3" s="1"/>
  <c r="V58" i="2"/>
  <c r="BI58" i="3" s="1"/>
  <c r="BL58" i="3" s="1"/>
  <c r="V59" i="2"/>
  <c r="V60" i="2"/>
  <c r="BI60" i="3" s="1"/>
  <c r="BL60" i="3" s="1"/>
  <c r="V61" i="2"/>
  <c r="BI61" i="3" s="1"/>
  <c r="BL61" i="3" s="1"/>
  <c r="V62" i="2"/>
  <c r="BI62" i="3" s="1"/>
  <c r="BL62" i="3" s="1"/>
  <c r="V63" i="2"/>
  <c r="BI63" i="3" s="1"/>
  <c r="BL63" i="3" s="1"/>
  <c r="V64" i="2"/>
  <c r="BI64" i="3" s="1"/>
  <c r="BL64" i="3" s="1"/>
  <c r="V65" i="2"/>
  <c r="BI65" i="3" s="1"/>
  <c r="BL65" i="3" s="1"/>
  <c r="V66" i="2"/>
  <c r="BI66" i="3" s="1"/>
  <c r="BL66" i="3" s="1"/>
  <c r="V67" i="2"/>
  <c r="BI67" i="3" s="1"/>
  <c r="BL67" i="3" s="1"/>
  <c r="V68" i="2"/>
  <c r="V69" i="2"/>
  <c r="BI69" i="3" s="1"/>
  <c r="BL69" i="3" s="1"/>
  <c r="V70" i="2"/>
  <c r="BI70" i="3" s="1"/>
  <c r="BL70" i="3" s="1"/>
  <c r="V71" i="2"/>
  <c r="BI71" i="3" s="1"/>
  <c r="BL71" i="3" s="1"/>
  <c r="V72" i="2"/>
  <c r="BI72" i="3" s="1"/>
  <c r="BL72" i="3" s="1"/>
  <c r="V73" i="2"/>
  <c r="BI73" i="3" s="1"/>
  <c r="BL73" i="3" s="1"/>
  <c r="V74" i="2"/>
  <c r="BI74" i="3" s="1"/>
  <c r="BL74" i="3" s="1"/>
  <c r="V75" i="2"/>
  <c r="V76" i="2"/>
  <c r="BI76" i="3" s="1"/>
  <c r="BL76" i="3" s="1"/>
  <c r="V77" i="2"/>
  <c r="BI77" i="3" s="1"/>
  <c r="BL77" i="3" s="1"/>
  <c r="V78" i="2"/>
  <c r="BI78" i="3" s="1"/>
  <c r="BL78" i="3" s="1"/>
  <c r="V79" i="2"/>
  <c r="BI79" i="3" s="1"/>
  <c r="BL79" i="3" s="1"/>
  <c r="V80" i="2"/>
  <c r="BI80" i="3" s="1"/>
  <c r="BL80" i="3" s="1"/>
  <c r="V81" i="2"/>
  <c r="BI81" i="3" s="1"/>
  <c r="BL81" i="3" s="1"/>
  <c r="V82" i="2"/>
  <c r="BI82" i="3" s="1"/>
  <c r="BL82" i="3" s="1"/>
  <c r="V83" i="2"/>
  <c r="BI83" i="3" s="1"/>
  <c r="BL83" i="3" s="1"/>
  <c r="V84" i="2"/>
  <c r="V85" i="2"/>
  <c r="V86" i="2"/>
  <c r="V87" i="2"/>
  <c r="BI87" i="3" s="1"/>
  <c r="BL87" i="3" s="1"/>
  <c r="V88" i="2"/>
  <c r="BI88" i="3" s="1"/>
  <c r="BL88" i="3" s="1"/>
  <c r="V89" i="2"/>
  <c r="V90" i="2"/>
  <c r="V91" i="2"/>
  <c r="V92" i="2"/>
  <c r="BI92" i="3" s="1"/>
  <c r="BL92" i="3" s="1"/>
  <c r="V93" i="2"/>
  <c r="V94" i="2"/>
  <c r="V95" i="2"/>
  <c r="BI95" i="3" s="1"/>
  <c r="BL95" i="3" s="1"/>
  <c r="V96" i="2"/>
  <c r="BI96" i="3" s="1"/>
  <c r="BL96" i="3" s="1"/>
  <c r="V97" i="2"/>
  <c r="V98" i="2"/>
  <c r="V99" i="2"/>
  <c r="BI99" i="3" s="1"/>
  <c r="BL99" i="3" s="1"/>
  <c r="V100" i="2"/>
  <c r="V101" i="2"/>
  <c r="V102" i="2"/>
  <c r="V103" i="2"/>
  <c r="BI103" i="3" s="1"/>
  <c r="BL103" i="3" s="1"/>
  <c r="V104" i="2"/>
  <c r="BI104" i="3" s="1"/>
  <c r="BL104" i="3" s="1"/>
  <c r="V105" i="2"/>
  <c r="V106" i="2"/>
  <c r="V107" i="2"/>
  <c r="V108" i="2"/>
  <c r="BI108" i="3" s="1"/>
  <c r="BL108" i="3" s="1"/>
  <c r="V109" i="2"/>
  <c r="V110" i="2"/>
  <c r="V111" i="2"/>
  <c r="BI111" i="3" s="1"/>
  <c r="BL111" i="3" s="1"/>
  <c r="V112" i="2"/>
  <c r="BI112" i="3" s="1"/>
  <c r="BL112" i="3" s="1"/>
  <c r="V113" i="2"/>
  <c r="V114" i="2"/>
  <c r="V115" i="2"/>
  <c r="BI115" i="3" s="1"/>
  <c r="BL115" i="3" s="1"/>
  <c r="V116" i="2"/>
  <c r="V117" i="2"/>
  <c r="V118" i="2"/>
  <c r="V119" i="2"/>
  <c r="BI119" i="3" s="1"/>
  <c r="BL119" i="3" s="1"/>
  <c r="V120" i="2"/>
  <c r="BI120" i="3" s="1"/>
  <c r="BL120" i="3" s="1"/>
  <c r="V121" i="2"/>
  <c r="V122" i="2"/>
  <c r="V123" i="2"/>
  <c r="V124" i="2"/>
  <c r="BI124" i="3" s="1"/>
  <c r="BL124" i="3" s="1"/>
  <c r="V125" i="2"/>
  <c r="V126" i="2"/>
  <c r="V127" i="2"/>
  <c r="BI127" i="3" s="1"/>
  <c r="BL127" i="3" s="1"/>
  <c r="V128" i="2"/>
  <c r="BI128" i="3" s="1"/>
  <c r="BL128" i="3" s="1"/>
  <c r="V129" i="2"/>
  <c r="V130" i="2"/>
  <c r="V131" i="2"/>
  <c r="BI131" i="3" s="1"/>
  <c r="BL131" i="3" s="1"/>
  <c r="V132" i="2"/>
  <c r="V133" i="2"/>
  <c r="V134" i="2"/>
  <c r="V135" i="2"/>
  <c r="BI135" i="3" s="1"/>
  <c r="BL135" i="3" s="1"/>
  <c r="V136" i="2"/>
  <c r="BI136" i="3" s="1"/>
  <c r="BL136" i="3" s="1"/>
  <c r="V137" i="2"/>
  <c r="V138" i="2"/>
  <c r="V139" i="2"/>
  <c r="V140" i="2"/>
  <c r="BI140" i="3" s="1"/>
  <c r="BL140" i="3" s="1"/>
  <c r="V141" i="2"/>
  <c r="V142" i="2"/>
  <c r="V143" i="2"/>
  <c r="BI143" i="3" s="1"/>
  <c r="BL143" i="3" s="1"/>
  <c r="V144" i="2"/>
  <c r="BI144" i="3" s="1"/>
  <c r="BL144" i="3" s="1"/>
  <c r="V145" i="2"/>
  <c r="V146" i="2"/>
  <c r="V147" i="2"/>
  <c r="BI147" i="3" s="1"/>
  <c r="BL147" i="3" s="1"/>
  <c r="V148" i="2"/>
  <c r="BI443" i="3" s="1"/>
  <c r="BL443" i="3" s="1"/>
  <c r="V149" i="2"/>
  <c r="V150" i="2"/>
  <c r="V151" i="2"/>
  <c r="BI151" i="3" s="1"/>
  <c r="BL151" i="3" s="1"/>
  <c r="V152" i="2"/>
  <c r="BI152" i="3" s="1"/>
  <c r="BL152" i="3" s="1"/>
  <c r="V153" i="2"/>
  <c r="V154" i="2"/>
  <c r="V155" i="2"/>
  <c r="V156" i="2"/>
  <c r="BI156" i="3" s="1"/>
  <c r="BL156" i="3" s="1"/>
  <c r="V157" i="2"/>
  <c r="V158" i="2"/>
  <c r="V159" i="2"/>
  <c r="BI159" i="3" s="1"/>
  <c r="BL159" i="3" s="1"/>
  <c r="V160" i="2"/>
  <c r="BI160" i="3" s="1"/>
  <c r="BL160" i="3" s="1"/>
  <c r="V161" i="2"/>
  <c r="V162" i="2"/>
  <c r="V163" i="2"/>
  <c r="BI163" i="3" s="1"/>
  <c r="BL163" i="3" s="1"/>
  <c r="V164" i="2"/>
  <c r="V165" i="2"/>
  <c r="V166" i="2"/>
  <c r="V167" i="2"/>
  <c r="BI167" i="3" s="1"/>
  <c r="BL167" i="3" s="1"/>
  <c r="V168" i="2"/>
  <c r="BI168" i="3" s="1"/>
  <c r="BL168" i="3" s="1"/>
  <c r="V169" i="2"/>
  <c r="V170" i="2"/>
  <c r="V171" i="2"/>
  <c r="V172" i="2"/>
  <c r="BI172" i="3" s="1"/>
  <c r="BL172" i="3" s="1"/>
  <c r="V173" i="2"/>
  <c r="V174" i="2"/>
  <c r="V175" i="2"/>
  <c r="BI175" i="3" s="1"/>
  <c r="BL175" i="3" s="1"/>
  <c r="V176" i="2"/>
  <c r="BI176" i="3" s="1"/>
  <c r="BL176" i="3" s="1"/>
  <c r="V177" i="2"/>
  <c r="V178" i="2"/>
  <c r="V179" i="2"/>
  <c r="BI179" i="3" s="1"/>
  <c r="BL179" i="3" s="1"/>
  <c r="V180" i="2"/>
  <c r="V181" i="2"/>
  <c r="V182" i="2"/>
  <c r="V183" i="2"/>
  <c r="BI183" i="3" s="1"/>
  <c r="BL183" i="3" s="1"/>
  <c r="V184" i="2"/>
  <c r="BI184" i="3" s="1"/>
  <c r="BL184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199" i="3" s="1"/>
  <c r="BL199" i="3" s="1"/>
  <c r="V200" i="2"/>
  <c r="BI200" i="3" s="1"/>
  <c r="BL200" i="3" s="1"/>
  <c r="V201" i="2"/>
  <c r="V202" i="2"/>
  <c r="V203" i="2"/>
  <c r="V204" i="2"/>
  <c r="BI204" i="3" s="1"/>
  <c r="BL204" i="3" s="1"/>
  <c r="V205" i="2"/>
  <c r="V206" i="2"/>
  <c r="V207" i="2"/>
  <c r="BI207" i="3" s="1"/>
  <c r="BL207" i="3" s="1"/>
  <c r="V208" i="2"/>
  <c r="BI208" i="3" s="1"/>
  <c r="BL208" i="3" s="1"/>
  <c r="V209" i="2"/>
  <c r="V210" i="2"/>
  <c r="V211" i="2"/>
  <c r="BI211" i="3" s="1"/>
  <c r="BL211" i="3" s="1"/>
  <c r="V212" i="2"/>
  <c r="V213" i="2"/>
  <c r="V214" i="2"/>
  <c r="V215" i="2"/>
  <c r="BI215" i="3" s="1"/>
  <c r="BL215" i="3" s="1"/>
  <c r="V216" i="2"/>
  <c r="BI216" i="3" s="1"/>
  <c r="BL216" i="3" s="1"/>
  <c r="V217" i="2"/>
  <c r="V218" i="2"/>
  <c r="V219" i="2"/>
  <c r="V220" i="2"/>
  <c r="BI220" i="3" s="1"/>
  <c r="BL220" i="3" s="1"/>
  <c r="V221" i="2"/>
  <c r="V222" i="2"/>
  <c r="V223" i="2"/>
  <c r="BI223" i="3" s="1"/>
  <c r="BL223" i="3" s="1"/>
  <c r="V224" i="2"/>
  <c r="BI224" i="3" s="1"/>
  <c r="BL224" i="3" s="1"/>
  <c r="V225" i="2"/>
  <c r="V226" i="2"/>
  <c r="V227" i="2"/>
  <c r="BI227" i="3" s="1"/>
  <c r="BL227" i="3" s="1"/>
  <c r="V228" i="2"/>
  <c r="V229" i="2"/>
  <c r="V230" i="2"/>
  <c r="V231" i="2"/>
  <c r="BI231" i="3" s="1"/>
  <c r="BL231" i="3" s="1"/>
  <c r="V232" i="2"/>
  <c r="BI232" i="3" s="1"/>
  <c r="BL232" i="3" s="1"/>
  <c r="V233" i="2"/>
  <c r="V234" i="2"/>
  <c r="V235" i="2"/>
  <c r="V236" i="2"/>
  <c r="BI236" i="3" s="1"/>
  <c r="BL236" i="3" s="1"/>
  <c r="V237" i="2"/>
  <c r="V238" i="2"/>
  <c r="V239" i="2"/>
  <c r="BI239" i="3" s="1"/>
  <c r="BL239" i="3" s="1"/>
  <c r="V240" i="2"/>
  <c r="BI240" i="3" s="1"/>
  <c r="BL240" i="3" s="1"/>
  <c r="V241" i="2"/>
  <c r="V242" i="2"/>
  <c r="V243" i="2"/>
  <c r="BI243" i="3" s="1"/>
  <c r="BL243" i="3" s="1"/>
  <c r="V244" i="2"/>
  <c r="V245" i="2"/>
  <c r="V246" i="2"/>
  <c r="V247" i="2"/>
  <c r="V248" i="2"/>
  <c r="BI248" i="3" s="1"/>
  <c r="BL248" i="3" s="1"/>
  <c r="V249" i="2"/>
  <c r="V250" i="2"/>
  <c r="V251" i="2"/>
  <c r="V252" i="2"/>
  <c r="BI252" i="3" s="1"/>
  <c r="BL252" i="3" s="1"/>
  <c r="V253" i="2"/>
  <c r="V254" i="2"/>
  <c r="V255" i="2"/>
  <c r="V256" i="2"/>
  <c r="BI256" i="3" s="1"/>
  <c r="BL256" i="3" s="1"/>
  <c r="V257" i="2"/>
  <c r="V258" i="2"/>
  <c r="V259" i="2"/>
  <c r="V260" i="2"/>
  <c r="V261" i="2"/>
  <c r="V262" i="2"/>
  <c r="V263" i="2"/>
  <c r="V264" i="2"/>
  <c r="BI264" i="3" s="1"/>
  <c r="BL264" i="3" s="1"/>
  <c r="V265" i="2"/>
  <c r="V266" i="2"/>
  <c r="V267" i="2"/>
  <c r="V268" i="2"/>
  <c r="BI268" i="3" s="1"/>
  <c r="BL268" i="3" s="1"/>
  <c r="V269" i="2"/>
  <c r="V270" i="2"/>
  <c r="V271" i="2"/>
  <c r="V272" i="2"/>
  <c r="BI272" i="3" s="1"/>
  <c r="BL272" i="3" s="1"/>
  <c r="V273" i="2"/>
  <c r="V274" i="2"/>
  <c r="V275" i="2"/>
  <c r="V276" i="2"/>
  <c r="BI571" i="3" s="1"/>
  <c r="BL571" i="3" s="1"/>
  <c r="V277" i="2"/>
  <c r="V278" i="2"/>
  <c r="V279" i="2"/>
  <c r="V280" i="2"/>
  <c r="BI280" i="3" s="1"/>
  <c r="BL280" i="3" s="1"/>
  <c r="V281" i="2"/>
  <c r="V282" i="2"/>
  <c r="V283" i="2"/>
  <c r="V284" i="2"/>
  <c r="BI284" i="3" s="1"/>
  <c r="BL284" i="3" s="1"/>
  <c r="V285" i="2"/>
  <c r="V286" i="2"/>
  <c r="V287" i="2"/>
  <c r="V288" i="2"/>
  <c r="BI288" i="3" s="1"/>
  <c r="BL288" i="3" s="1"/>
  <c r="V289" i="2"/>
  <c r="V290" i="2"/>
  <c r="V291" i="2"/>
  <c r="V292" i="2"/>
  <c r="V293" i="2"/>
  <c r="V294" i="2"/>
  <c r="V295" i="2"/>
  <c r="V296" i="2"/>
  <c r="BI296" i="3" s="1"/>
  <c r="BL296" i="3" s="1"/>
  <c r="V297" i="2"/>
  <c r="V298" i="2"/>
  <c r="V299" i="2"/>
  <c r="V300" i="2"/>
  <c r="BI300" i="3" s="1"/>
  <c r="BL300" i="3" s="1"/>
  <c r="V301" i="2"/>
  <c r="V302" i="2"/>
  <c r="V303" i="2"/>
  <c r="V304" i="2"/>
  <c r="BI304" i="3" s="1"/>
  <c r="BL304" i="3" s="1"/>
  <c r="V305" i="2"/>
  <c r="V306" i="2"/>
  <c r="V307" i="2"/>
  <c r="V308" i="2"/>
  <c r="V309" i="2"/>
  <c r="V310" i="2"/>
  <c r="V311" i="2"/>
  <c r="V312" i="2"/>
  <c r="BI312" i="3" s="1"/>
  <c r="BL312" i="3" s="1"/>
  <c r="V313" i="2"/>
  <c r="V314" i="2"/>
  <c r="V315" i="2"/>
  <c r="V316" i="2"/>
  <c r="BI316" i="3" s="1"/>
  <c r="BL316" i="3" s="1"/>
  <c r="V317" i="2"/>
  <c r="V318" i="2"/>
  <c r="V319" i="2"/>
  <c r="V320" i="2"/>
  <c r="BI320" i="3" s="1"/>
  <c r="BL320" i="3" s="1"/>
  <c r="V321" i="2"/>
  <c r="V322" i="2"/>
  <c r="V323" i="2"/>
  <c r="V324" i="2"/>
  <c r="V325" i="2"/>
  <c r="V326" i="2"/>
  <c r="V327" i="2"/>
  <c r="V328" i="2"/>
  <c r="BI328" i="3" s="1"/>
  <c r="BL328" i="3" s="1"/>
  <c r="V329" i="2"/>
  <c r="V330" i="2"/>
  <c r="V331" i="2"/>
  <c r="V332" i="2"/>
  <c r="BI332" i="3" s="1"/>
  <c r="BL332" i="3" s="1"/>
  <c r="V333" i="2"/>
  <c r="V334" i="2"/>
  <c r="V335" i="2"/>
  <c r="V336" i="2"/>
  <c r="BI336" i="3" s="1"/>
  <c r="BL336" i="3" s="1"/>
  <c r="V337" i="2"/>
  <c r="V338" i="2"/>
  <c r="V339" i="2"/>
  <c r="V340" i="2"/>
  <c r="V341" i="2"/>
  <c r="V342" i="2"/>
  <c r="V343" i="2"/>
  <c r="V344" i="2"/>
  <c r="BI344" i="3" s="1"/>
  <c r="BL344" i="3" s="1"/>
  <c r="V345" i="2"/>
  <c r="V346" i="2"/>
  <c r="V347" i="2"/>
  <c r="V348" i="2"/>
  <c r="BI348" i="3" s="1"/>
  <c r="BL348" i="3" s="1"/>
  <c r="V349" i="2"/>
  <c r="V350" i="2"/>
  <c r="V351" i="2"/>
  <c r="V352" i="2"/>
  <c r="BI352" i="3" s="1"/>
  <c r="BL352" i="3" s="1"/>
  <c r="V353" i="2"/>
  <c r="V354" i="2"/>
  <c r="V355" i="2"/>
  <c r="V356" i="2"/>
  <c r="V357" i="2"/>
  <c r="V358" i="2"/>
  <c r="V359" i="2"/>
  <c r="V360" i="2"/>
  <c r="BI360" i="3" s="1"/>
  <c r="BL360" i="3" s="1"/>
  <c r="V361" i="2"/>
  <c r="V362" i="2"/>
  <c r="V363" i="2"/>
  <c r="V364" i="2"/>
  <c r="BI364" i="3" s="1"/>
  <c r="BL364" i="3" s="1"/>
  <c r="V365" i="2"/>
  <c r="V366" i="2"/>
  <c r="V367" i="2"/>
  <c r="V368" i="2"/>
  <c r="V369" i="2"/>
  <c r="BI664" i="3" s="1"/>
  <c r="BL664" i="3" s="1"/>
  <c r="V370" i="2"/>
  <c r="BI665" i="3" s="1"/>
  <c r="BL665" i="3" s="1"/>
  <c r="V371" i="2"/>
  <c r="BI666" i="3" s="1"/>
  <c r="BL666" i="3" s="1"/>
  <c r="V372" i="2"/>
  <c r="W372" i="2" s="1"/>
  <c r="V373" i="2"/>
  <c r="BI668" i="3" s="1"/>
  <c r="BL668" i="3" s="1"/>
  <c r="V374" i="2"/>
  <c r="BI669" i="3" s="1"/>
  <c r="BL669" i="3" s="1"/>
  <c r="V375" i="2"/>
  <c r="BI670" i="3" s="1"/>
  <c r="BL670" i="3" s="1"/>
  <c r="V376" i="2"/>
  <c r="V377" i="2"/>
  <c r="BI672" i="3" s="1"/>
  <c r="BL672" i="3" s="1"/>
  <c r="V378" i="2"/>
  <c r="BI673" i="3" s="1"/>
  <c r="BL673" i="3" s="1"/>
  <c r="V379" i="2"/>
  <c r="BI674" i="3" s="1"/>
  <c r="BL674" i="3" s="1"/>
  <c r="V380" i="2"/>
  <c r="V381" i="2"/>
  <c r="BI676" i="3" s="1"/>
  <c r="BL676" i="3" s="1"/>
  <c r="V382" i="2"/>
  <c r="BI677" i="3" s="1"/>
  <c r="BL677" i="3" s="1"/>
  <c r="V383" i="2"/>
  <c r="BI678" i="3" s="1"/>
  <c r="BL678" i="3" s="1"/>
  <c r="V384" i="2"/>
  <c r="V385" i="2"/>
  <c r="BI680" i="3" s="1"/>
  <c r="BL680" i="3" s="1"/>
  <c r="V386" i="2"/>
  <c r="BI681" i="3" s="1"/>
  <c r="BL681" i="3" s="1"/>
  <c r="V387" i="2"/>
  <c r="BI682" i="3" s="1"/>
  <c r="BL682" i="3" s="1"/>
  <c r="V388" i="2"/>
  <c r="W388" i="2" s="1"/>
  <c r="V389" i="2"/>
  <c r="BI684" i="3" s="1"/>
  <c r="BL684" i="3" s="1"/>
  <c r="V390" i="2"/>
  <c r="BI685" i="3" s="1"/>
  <c r="BL685" i="3" s="1"/>
  <c r="V391" i="2"/>
  <c r="BI686" i="3" s="1"/>
  <c r="BL686" i="3" s="1"/>
  <c r="V392" i="2"/>
  <c r="V393" i="2"/>
  <c r="BI688" i="3" s="1"/>
  <c r="BL688" i="3" s="1"/>
  <c r="V394" i="2"/>
  <c r="BI689" i="3" s="1"/>
  <c r="BL689" i="3" s="1"/>
  <c r="V395" i="2"/>
  <c r="W395" i="2" s="1"/>
  <c r="V396" i="2"/>
  <c r="V397" i="2"/>
  <c r="BI692" i="3" s="1"/>
  <c r="BL692" i="3" s="1"/>
  <c r="V398" i="2"/>
  <c r="BI693" i="3" s="1"/>
  <c r="BL693" i="3" s="1"/>
  <c r="V399" i="2"/>
  <c r="BI694" i="3" s="1"/>
  <c r="BL694" i="3" s="1"/>
  <c r="V400" i="2"/>
  <c r="V401" i="2"/>
  <c r="BI696" i="3" s="1"/>
  <c r="BL696" i="3" s="1"/>
  <c r="V402" i="2"/>
  <c r="BI697" i="3" s="1"/>
  <c r="BL697" i="3" s="1"/>
  <c r="V403" i="2"/>
  <c r="BI698" i="3" s="1"/>
  <c r="BL698" i="3" s="1"/>
  <c r="V404" i="2"/>
  <c r="W404" i="2" s="1"/>
  <c r="V405" i="2"/>
  <c r="BI700" i="3" s="1"/>
  <c r="BL700" i="3" s="1"/>
  <c r="V406" i="2"/>
  <c r="BI701" i="3" s="1"/>
  <c r="BL701" i="3" s="1"/>
  <c r="V407" i="2"/>
  <c r="BI702" i="3" s="1"/>
  <c r="BL702" i="3" s="1"/>
  <c r="V408" i="2"/>
  <c r="V409" i="2"/>
  <c r="BI704" i="3" s="1"/>
  <c r="BL704" i="3" s="1"/>
  <c r="V410" i="2"/>
  <c r="BI705" i="3" s="1"/>
  <c r="BL705" i="3" s="1"/>
  <c r="V411" i="2"/>
  <c r="BI706" i="3" s="1"/>
  <c r="BL706" i="3" s="1"/>
  <c r="V412" i="2"/>
  <c r="V413" i="2"/>
  <c r="BI708" i="3" s="1"/>
  <c r="BL708" i="3" s="1"/>
  <c r="V414" i="2"/>
  <c r="BI709" i="3" s="1"/>
  <c r="BL709" i="3" s="1"/>
  <c r="V415" i="2"/>
  <c r="BI710" i="3" s="1"/>
  <c r="BL710" i="3" s="1"/>
  <c r="V416" i="2"/>
  <c r="V417" i="2"/>
  <c r="BI712" i="3" s="1"/>
  <c r="BL712" i="3" s="1"/>
  <c r="V418" i="2"/>
  <c r="BI713" i="3" s="1"/>
  <c r="BL713" i="3" s="1"/>
  <c r="V419" i="2"/>
  <c r="BI714" i="3" s="1"/>
  <c r="BL714" i="3" s="1"/>
  <c r="V420" i="2"/>
  <c r="W420" i="2" s="1"/>
  <c r="V421" i="2"/>
  <c r="BI716" i="3" s="1"/>
  <c r="BL716" i="3" s="1"/>
  <c r="V422" i="2"/>
  <c r="BI717" i="3" s="1"/>
  <c r="BL717" i="3" s="1"/>
  <c r="V423" i="2"/>
  <c r="BI718" i="3" s="1"/>
  <c r="BL718" i="3" s="1"/>
  <c r="V424" i="2"/>
  <c r="V425" i="2"/>
  <c r="BI720" i="3" s="1"/>
  <c r="BL720" i="3" s="1"/>
  <c r="V426" i="2"/>
  <c r="BI721" i="3" s="1"/>
  <c r="BL721" i="3" s="1"/>
  <c r="V427" i="2"/>
  <c r="W427" i="2" s="1"/>
  <c r="V428" i="2"/>
  <c r="V429" i="2"/>
  <c r="BI724" i="3" s="1"/>
  <c r="BL724" i="3" s="1"/>
  <c r="V430" i="2"/>
  <c r="BI725" i="3" s="1"/>
  <c r="BL725" i="3" s="1"/>
  <c r="V431" i="2"/>
  <c r="BI726" i="3" s="1"/>
  <c r="BL726" i="3" s="1"/>
  <c r="V432" i="2"/>
  <c r="V433" i="2"/>
  <c r="BI728" i="3" s="1"/>
  <c r="BL728" i="3" s="1"/>
  <c r="V434" i="2"/>
  <c r="BI729" i="3" s="1"/>
  <c r="BL729" i="3" s="1"/>
  <c r="V435" i="2"/>
  <c r="BI730" i="3" s="1"/>
  <c r="BL730" i="3" s="1"/>
  <c r="V436" i="2"/>
  <c r="W436" i="2" s="1"/>
  <c r="V437" i="2"/>
  <c r="BI732" i="3" s="1"/>
  <c r="BL732" i="3" s="1"/>
  <c r="V438" i="2"/>
  <c r="BI733" i="3" s="1"/>
  <c r="BL733" i="3" s="1"/>
  <c r="V439" i="2"/>
  <c r="BI734" i="3" s="1"/>
  <c r="BL734" i="3" s="1"/>
  <c r="V440" i="2"/>
  <c r="V441" i="2"/>
  <c r="BI736" i="3" s="1"/>
  <c r="BL736" i="3" s="1"/>
  <c r="V442" i="2"/>
  <c r="BI737" i="3" s="1"/>
  <c r="BL737" i="3" s="1"/>
  <c r="V443" i="2"/>
  <c r="BI738" i="3" s="1"/>
  <c r="BL738" i="3" s="1"/>
  <c r="V444" i="2"/>
  <c r="V445" i="2"/>
  <c r="BI740" i="3" s="1"/>
  <c r="BL740" i="3" s="1"/>
  <c r="V446" i="2"/>
  <c r="BI741" i="3" s="1"/>
  <c r="BL741" i="3" s="1"/>
  <c r="V447" i="2"/>
  <c r="BI742" i="3" s="1"/>
  <c r="BL742" i="3" s="1"/>
  <c r="V448" i="2"/>
  <c r="V449" i="2"/>
  <c r="BI744" i="3" s="1"/>
  <c r="BL744" i="3" s="1"/>
  <c r="V450" i="2"/>
  <c r="BI745" i="3" s="1"/>
  <c r="BL745" i="3" s="1"/>
  <c r="V451" i="2"/>
  <c r="BI746" i="3" s="1"/>
  <c r="BL746" i="3" s="1"/>
  <c r="V452" i="2"/>
  <c r="W452" i="2" s="1"/>
  <c r="V453" i="2"/>
  <c r="BI748" i="3" s="1"/>
  <c r="BL748" i="3" s="1"/>
  <c r="V454" i="2"/>
  <c r="BI749" i="3" s="1"/>
  <c r="BL749" i="3" s="1"/>
  <c r="V455" i="2"/>
  <c r="BI750" i="3" s="1"/>
  <c r="BL750" i="3" s="1"/>
  <c r="V456" i="2"/>
  <c r="V457" i="2"/>
  <c r="BI752" i="3" s="1"/>
  <c r="BL752" i="3" s="1"/>
  <c r="V458" i="2"/>
  <c r="BI753" i="3" s="1"/>
  <c r="BL753" i="3" s="1"/>
  <c r="V459" i="2"/>
  <c r="W459" i="2" s="1"/>
  <c r="V460" i="2"/>
  <c r="V461" i="2"/>
  <c r="BI756" i="3" s="1"/>
  <c r="BL756" i="3" s="1"/>
  <c r="V462" i="2"/>
  <c r="BI757" i="3" s="1"/>
  <c r="BL757" i="3" s="1"/>
  <c r="V463" i="2"/>
  <c r="BI758" i="3" s="1"/>
  <c r="BL758" i="3" s="1"/>
  <c r="V464" i="2"/>
  <c r="V465" i="2"/>
  <c r="BI760" i="3" s="1"/>
  <c r="BL760" i="3" s="1"/>
  <c r="V466" i="2"/>
  <c r="BI761" i="3" s="1"/>
  <c r="BL761" i="3" s="1"/>
  <c r="V467" i="2"/>
  <c r="BI762" i="3" s="1"/>
  <c r="BL762" i="3" s="1"/>
  <c r="V468" i="2"/>
  <c r="W468" i="2" s="1"/>
  <c r="V469" i="2"/>
  <c r="BI764" i="3" s="1"/>
  <c r="BL764" i="3" s="1"/>
  <c r="V470" i="2"/>
  <c r="BI765" i="3" s="1"/>
  <c r="BL765" i="3" s="1"/>
  <c r="V471" i="2"/>
  <c r="BI766" i="3" s="1"/>
  <c r="BL766" i="3" s="1"/>
  <c r="V472" i="2"/>
  <c r="V473" i="2"/>
  <c r="BI768" i="3" s="1"/>
  <c r="BL768" i="3" s="1"/>
  <c r="V474" i="2"/>
  <c r="BI769" i="3" s="1"/>
  <c r="BL769" i="3" s="1"/>
  <c r="V475" i="2"/>
  <c r="BI770" i="3" s="1"/>
  <c r="BL770" i="3" s="1"/>
  <c r="V476" i="2"/>
  <c r="V477" i="2"/>
  <c r="BI772" i="3" s="1"/>
  <c r="BL772" i="3" s="1"/>
  <c r="V478" i="2"/>
  <c r="BI773" i="3" s="1"/>
  <c r="BL773" i="3" s="1"/>
  <c r="V479" i="2"/>
  <c r="BI774" i="3" s="1"/>
  <c r="BL774" i="3" s="1"/>
  <c r="V480" i="2"/>
  <c r="V481" i="2"/>
  <c r="BI776" i="3" s="1"/>
  <c r="BL776" i="3" s="1"/>
  <c r="V482" i="2"/>
  <c r="BI777" i="3" s="1"/>
  <c r="BL777" i="3" s="1"/>
  <c r="V483" i="2"/>
  <c r="BI778" i="3" s="1"/>
  <c r="BL778" i="3" s="1"/>
  <c r="V484" i="2"/>
  <c r="W484" i="2" s="1"/>
  <c r="V485" i="2"/>
  <c r="BI780" i="3" s="1"/>
  <c r="BL780" i="3" s="1"/>
  <c r="V486" i="2"/>
  <c r="BI781" i="3" s="1"/>
  <c r="BL781" i="3" s="1"/>
  <c r="V487" i="2"/>
  <c r="BI782" i="3" s="1"/>
  <c r="BL782" i="3" s="1"/>
  <c r="V488" i="2"/>
  <c r="V489" i="2"/>
  <c r="BI784" i="3" s="1"/>
  <c r="BL784" i="3" s="1"/>
  <c r="V490" i="2"/>
  <c r="BI785" i="3" s="1"/>
  <c r="BL785" i="3" s="1"/>
  <c r="V491" i="2"/>
  <c r="W491" i="2" s="1"/>
  <c r="V492" i="2"/>
  <c r="V493" i="2"/>
  <c r="BI788" i="3" s="1"/>
  <c r="BL788" i="3" s="1"/>
  <c r="V494" i="2"/>
  <c r="BI789" i="3" s="1"/>
  <c r="BL789" i="3" s="1"/>
  <c r="V495" i="2"/>
  <c r="BI790" i="3" s="1"/>
  <c r="BL790" i="3" s="1"/>
  <c r="V496" i="2"/>
  <c r="V497" i="2"/>
  <c r="BI792" i="3" s="1"/>
  <c r="BL792" i="3" s="1"/>
  <c r="V498" i="2"/>
  <c r="BI793" i="3" s="1"/>
  <c r="BL793" i="3" s="1"/>
  <c r="V499" i="2"/>
  <c r="BI794" i="3" s="1"/>
  <c r="BL794" i="3" s="1"/>
  <c r="V500" i="2"/>
  <c r="W500" i="2" s="1"/>
  <c r="V501" i="2"/>
  <c r="BI796" i="3" s="1"/>
  <c r="BL796" i="3" s="1"/>
  <c r="V502" i="2"/>
  <c r="BI797" i="3" s="1"/>
  <c r="BL797" i="3" s="1"/>
  <c r="V503" i="2"/>
  <c r="BI798" i="3" s="1"/>
  <c r="BL798" i="3" s="1"/>
  <c r="V504" i="2"/>
  <c r="V505" i="2"/>
  <c r="BI800" i="3" s="1"/>
  <c r="BL800" i="3" s="1"/>
  <c r="V506" i="2"/>
  <c r="BI801" i="3" s="1"/>
  <c r="BL801" i="3" s="1"/>
  <c r="V507" i="2"/>
  <c r="BI802" i="3" s="1"/>
  <c r="BL802" i="3" s="1"/>
  <c r="V508" i="2"/>
  <c r="V509" i="2"/>
  <c r="BI804" i="3" s="1"/>
  <c r="BL804" i="3" s="1"/>
  <c r="V510" i="2"/>
  <c r="BI805" i="3" s="1"/>
  <c r="BL805" i="3" s="1"/>
  <c r="V511" i="2"/>
  <c r="BI806" i="3" s="1"/>
  <c r="BL806" i="3" s="1"/>
  <c r="V512" i="2"/>
  <c r="V513" i="2"/>
  <c r="BI808" i="3" s="1"/>
  <c r="BL808" i="3" s="1"/>
  <c r="V514" i="2"/>
  <c r="BI809" i="3" s="1"/>
  <c r="BL809" i="3" s="1"/>
  <c r="V515" i="2"/>
  <c r="BI810" i="3" s="1"/>
  <c r="BL810" i="3" s="1"/>
  <c r="V516" i="2"/>
  <c r="W516" i="2" s="1"/>
  <c r="V517" i="2"/>
  <c r="BI812" i="3" s="1"/>
  <c r="BL812" i="3" s="1"/>
  <c r="V518" i="2"/>
  <c r="BI813" i="3" s="1"/>
  <c r="BL813" i="3" s="1"/>
  <c r="V519" i="2"/>
  <c r="BI814" i="3" s="1"/>
  <c r="BL814" i="3" s="1"/>
  <c r="V520" i="2"/>
  <c r="V521" i="2"/>
  <c r="BI816" i="3" s="1"/>
  <c r="BL816" i="3" s="1"/>
  <c r="V522" i="2"/>
  <c r="BI817" i="3" s="1"/>
  <c r="BL817" i="3" s="1"/>
  <c r="V523" i="2"/>
  <c r="W523" i="2" s="1"/>
  <c r="V524" i="2"/>
  <c r="V525" i="2"/>
  <c r="BI820" i="3" s="1"/>
  <c r="BL820" i="3" s="1"/>
  <c r="V526" i="2"/>
  <c r="BI821" i="3" s="1"/>
  <c r="BL821" i="3" s="1"/>
  <c r="V527" i="2"/>
  <c r="BI822" i="3" s="1"/>
  <c r="BL822" i="3" s="1"/>
  <c r="V528" i="2"/>
  <c r="V529" i="2"/>
  <c r="BI824" i="3" s="1"/>
  <c r="BL824" i="3" s="1"/>
  <c r="V530" i="2"/>
  <c r="BI825" i="3" s="1"/>
  <c r="BL825" i="3" s="1"/>
  <c r="V531" i="2"/>
  <c r="BI826" i="3" s="1"/>
  <c r="BL826" i="3" s="1"/>
  <c r="V532" i="2"/>
  <c r="W532" i="2" s="1"/>
  <c r="V533" i="2"/>
  <c r="BI828" i="3" s="1"/>
  <c r="BL828" i="3" s="1"/>
  <c r="V534" i="2"/>
  <c r="BI829" i="3" s="1"/>
  <c r="BL829" i="3" s="1"/>
  <c r="V535" i="2"/>
  <c r="BI830" i="3" s="1"/>
  <c r="BL830" i="3" s="1"/>
  <c r="V536" i="2"/>
  <c r="V537" i="2"/>
  <c r="BI832" i="3" s="1"/>
  <c r="BL832" i="3" s="1"/>
  <c r="V538" i="2"/>
  <c r="BI833" i="3" s="1"/>
  <c r="BL833" i="3" s="1"/>
  <c r="V539" i="2"/>
  <c r="BI834" i="3" s="1"/>
  <c r="BL834" i="3" s="1"/>
  <c r="V540" i="2"/>
  <c r="V541" i="2"/>
  <c r="BI836" i="3" s="1"/>
  <c r="BL836" i="3" s="1"/>
  <c r="V542" i="2"/>
  <c r="BI837" i="3" s="1"/>
  <c r="BL837" i="3" s="1"/>
  <c r="V543" i="2"/>
  <c r="BI838" i="3" s="1"/>
  <c r="BL838" i="3" s="1"/>
  <c r="V544" i="2"/>
  <c r="BI839" i="3" s="1"/>
  <c r="BL839" i="3" s="1"/>
  <c r="V545" i="2"/>
  <c r="BI840" i="3" s="1"/>
  <c r="BL840" i="3" s="1"/>
  <c r="V546" i="2"/>
  <c r="BI841" i="3" s="1"/>
  <c r="BL841" i="3" s="1"/>
  <c r="V547" i="2"/>
  <c r="BI842" i="3" s="1"/>
  <c r="BL842" i="3" s="1"/>
  <c r="V548" i="2"/>
  <c r="BI843" i="3" s="1"/>
  <c r="BL843" i="3" s="1"/>
  <c r="V549" i="2"/>
  <c r="BI844" i="3" s="1"/>
  <c r="BL844" i="3" s="1"/>
  <c r="V550" i="2"/>
  <c r="BI845" i="3" s="1"/>
  <c r="BL845" i="3" s="1"/>
  <c r="V551" i="2"/>
  <c r="BI846" i="3" s="1"/>
  <c r="BL846" i="3" s="1"/>
  <c r="V552" i="2"/>
  <c r="BI847" i="3" s="1"/>
  <c r="BL847" i="3" s="1"/>
  <c r="V553" i="2"/>
  <c r="BI848" i="3" s="1"/>
  <c r="BL848" i="3" s="1"/>
  <c r="V554" i="2"/>
  <c r="BI849" i="3" s="1"/>
  <c r="BL849" i="3" s="1"/>
  <c r="V555" i="2"/>
  <c r="BI850" i="3" s="1"/>
  <c r="BL850" i="3" s="1"/>
  <c r="V556" i="2"/>
  <c r="BI851" i="3" s="1"/>
  <c r="BL851" i="3" s="1"/>
  <c r="V557" i="2"/>
  <c r="BI852" i="3" s="1"/>
  <c r="BL852" i="3" s="1"/>
  <c r="V558" i="2"/>
  <c r="BI853" i="3" s="1"/>
  <c r="BL853" i="3" s="1"/>
  <c r="V559" i="2"/>
  <c r="BI854" i="3" s="1"/>
  <c r="BL854" i="3" s="1"/>
  <c r="V560" i="2"/>
  <c r="BI855" i="3" s="1"/>
  <c r="BL855" i="3" s="1"/>
  <c r="V561" i="2"/>
  <c r="BI856" i="3" s="1"/>
  <c r="BL856" i="3" s="1"/>
  <c r="V562" i="2"/>
  <c r="BI857" i="3" s="1"/>
  <c r="BL857" i="3" s="1"/>
  <c r="V563" i="2"/>
  <c r="BI858" i="3" s="1"/>
  <c r="BL858" i="3" s="1"/>
  <c r="V564" i="2"/>
  <c r="BI859" i="3" s="1"/>
  <c r="BL859" i="3" s="1"/>
  <c r="V565" i="2"/>
  <c r="BI860" i="3" s="1"/>
  <c r="BL860" i="3" s="1"/>
  <c r="V566" i="2"/>
  <c r="BI861" i="3" s="1"/>
  <c r="BL861" i="3" s="1"/>
  <c r="V567" i="2"/>
  <c r="BI862" i="3" s="1"/>
  <c r="BL862" i="3" s="1"/>
  <c r="V568" i="2"/>
  <c r="BI863" i="3" s="1"/>
  <c r="BL863" i="3" s="1"/>
  <c r="V569" i="2"/>
  <c r="BI864" i="3" s="1"/>
  <c r="BL864" i="3" s="1"/>
  <c r="V570" i="2"/>
  <c r="BI865" i="3" s="1"/>
  <c r="BL865" i="3" s="1"/>
  <c r="V571" i="2"/>
  <c r="BI866" i="3" s="1"/>
  <c r="BL866" i="3" s="1"/>
  <c r="V572" i="2"/>
  <c r="BI867" i="3" s="1"/>
  <c r="BL867" i="3" s="1"/>
  <c r="V573" i="2"/>
  <c r="BI868" i="3" s="1"/>
  <c r="BL868" i="3" s="1"/>
  <c r="V574" i="2"/>
  <c r="BI869" i="3" s="1"/>
  <c r="BL869" i="3" s="1"/>
  <c r="V575" i="2"/>
  <c r="BI870" i="3" s="1"/>
  <c r="BL870" i="3" s="1"/>
  <c r="V576" i="2"/>
  <c r="BI871" i="3" s="1"/>
  <c r="BL871" i="3" s="1"/>
  <c r="V577" i="2"/>
  <c r="BI872" i="3" s="1"/>
  <c r="BL872" i="3" s="1"/>
  <c r="V578" i="2"/>
  <c r="BI873" i="3" s="1"/>
  <c r="BL873" i="3" s="1"/>
  <c r="V579" i="2"/>
  <c r="BI874" i="3" s="1"/>
  <c r="BL874" i="3" s="1"/>
  <c r="V580" i="2"/>
  <c r="BI875" i="3" s="1"/>
  <c r="BL875" i="3" s="1"/>
  <c r="V581" i="2"/>
  <c r="BI876" i="3" s="1"/>
  <c r="BL876" i="3" s="1"/>
  <c r="V582" i="2"/>
  <c r="BI877" i="3" s="1"/>
  <c r="BL877" i="3" s="1"/>
  <c r="V583" i="2"/>
  <c r="BI878" i="3" s="1"/>
  <c r="BL878" i="3" s="1"/>
  <c r="V584" i="2"/>
  <c r="BI879" i="3" s="1"/>
  <c r="BL879" i="3" s="1"/>
  <c r="V585" i="2"/>
  <c r="BI880" i="3" s="1"/>
  <c r="BL880" i="3" s="1"/>
  <c r="V586" i="2"/>
  <c r="BI881" i="3" s="1"/>
  <c r="BL881" i="3" s="1"/>
  <c r="V587" i="2"/>
  <c r="W587" i="2" s="1"/>
  <c r="V588" i="2"/>
  <c r="BI883" i="3" s="1"/>
  <c r="BL883" i="3" s="1"/>
  <c r="V589" i="2"/>
  <c r="BI884" i="3" s="1"/>
  <c r="BL884" i="3" s="1"/>
  <c r="V590" i="2"/>
  <c r="BI885" i="3" s="1"/>
  <c r="BL885" i="3" s="1"/>
  <c r="V591" i="2"/>
  <c r="BI886" i="3" s="1"/>
  <c r="BL886" i="3" s="1"/>
  <c r="V592" i="2"/>
  <c r="BI887" i="3" s="1"/>
  <c r="BL887" i="3" s="1"/>
  <c r="V593" i="2"/>
  <c r="BI888" i="3" s="1"/>
  <c r="BL888" i="3" s="1"/>
  <c r="V594" i="2"/>
  <c r="BI889" i="3" s="1"/>
  <c r="BL889" i="3" s="1"/>
  <c r="V595" i="2"/>
  <c r="BI890" i="3" s="1"/>
  <c r="BL890" i="3" s="1"/>
  <c r="V596" i="2"/>
  <c r="W596" i="2" s="1"/>
  <c r="V597" i="2"/>
  <c r="BI892" i="3" s="1"/>
  <c r="BL892" i="3" s="1"/>
  <c r="V598" i="2"/>
  <c r="BI893" i="3" s="1"/>
  <c r="BL893" i="3" s="1"/>
  <c r="V599" i="2"/>
  <c r="BI894" i="3" s="1"/>
  <c r="BL894" i="3" s="1"/>
  <c r="V600" i="2"/>
  <c r="BI895" i="3" s="1"/>
  <c r="BL895" i="3" s="1"/>
  <c r="V601" i="2"/>
  <c r="BI896" i="3" s="1"/>
  <c r="BL896" i="3" s="1"/>
  <c r="V602" i="2"/>
  <c r="BI897" i="3" s="1"/>
  <c r="BL897" i="3" s="1"/>
  <c r="V603" i="2"/>
  <c r="BI898" i="3" s="1"/>
  <c r="BL898" i="3" s="1"/>
  <c r="V604" i="2"/>
  <c r="BI899" i="3" s="1"/>
  <c r="BL899" i="3" s="1"/>
  <c r="V605" i="2"/>
  <c r="BI900" i="3" s="1"/>
  <c r="BL900" i="3" s="1"/>
  <c r="V606" i="2"/>
  <c r="BI901" i="3" s="1"/>
  <c r="BL901" i="3" s="1"/>
  <c r="V607" i="2"/>
  <c r="BI902" i="3" s="1"/>
  <c r="BL902" i="3" s="1"/>
  <c r="V608" i="2"/>
  <c r="BI903" i="3" s="1"/>
  <c r="BL903" i="3" s="1"/>
  <c r="V609" i="2"/>
  <c r="BI904" i="3" s="1"/>
  <c r="BL904" i="3" s="1"/>
  <c r="V610" i="2"/>
  <c r="BI905" i="3" s="1"/>
  <c r="BL905" i="3" s="1"/>
  <c r="V611" i="2"/>
  <c r="BI906" i="3" s="1"/>
  <c r="BL906" i="3" s="1"/>
  <c r="V612" i="2"/>
  <c r="BI907" i="3" s="1"/>
  <c r="BL907" i="3" s="1"/>
  <c r="V613" i="2"/>
  <c r="BI908" i="3" s="1"/>
  <c r="BL908" i="3" s="1"/>
  <c r="V614" i="2"/>
  <c r="BI909" i="3" s="1"/>
  <c r="BL909" i="3" s="1"/>
  <c r="V615" i="2"/>
  <c r="BI910" i="3" s="1"/>
  <c r="BL910" i="3" s="1"/>
  <c r="V616" i="2"/>
  <c r="BI911" i="3" s="1"/>
  <c r="BL911" i="3" s="1"/>
  <c r="V617" i="2"/>
  <c r="BI912" i="3" s="1"/>
  <c r="BL912" i="3" s="1"/>
  <c r="V618" i="2"/>
  <c r="BI913" i="3" s="1"/>
  <c r="BL913" i="3" s="1"/>
  <c r="V619" i="2"/>
  <c r="BI914" i="3" s="1"/>
  <c r="BL914" i="3" s="1"/>
  <c r="V620" i="2"/>
  <c r="BI915" i="3" s="1"/>
  <c r="BL915" i="3" s="1"/>
  <c r="V621" i="2"/>
  <c r="BI916" i="3" s="1"/>
  <c r="BL916" i="3" s="1"/>
  <c r="V622" i="2"/>
  <c r="BI917" i="3" s="1"/>
  <c r="BL917" i="3" s="1"/>
  <c r="V623" i="2"/>
  <c r="BI918" i="3" s="1"/>
  <c r="BL918" i="3" s="1"/>
  <c r="V624" i="2"/>
  <c r="BI919" i="3" s="1"/>
  <c r="BL919" i="3" s="1"/>
  <c r="V625" i="2"/>
  <c r="BI920" i="3" s="1"/>
  <c r="BL920" i="3" s="1"/>
  <c r="V626" i="2"/>
  <c r="BI921" i="3" s="1"/>
  <c r="BL921" i="3" s="1"/>
  <c r="V627" i="2"/>
  <c r="BI922" i="3" s="1"/>
  <c r="BL922" i="3" s="1"/>
  <c r="V628" i="2"/>
  <c r="BI923" i="3" s="1"/>
  <c r="BL923" i="3" s="1"/>
  <c r="V629" i="2"/>
  <c r="BI924" i="3" s="1"/>
  <c r="BL924" i="3" s="1"/>
  <c r="V630" i="2"/>
  <c r="BI925" i="3" s="1"/>
  <c r="BL925" i="3" s="1"/>
  <c r="V631" i="2"/>
  <c r="BI926" i="3" s="1"/>
  <c r="BL926" i="3" s="1"/>
  <c r="V632" i="2"/>
  <c r="BI927" i="3" s="1"/>
  <c r="BL927" i="3" s="1"/>
  <c r="V633" i="2"/>
  <c r="BI928" i="3" s="1"/>
  <c r="BL928" i="3" s="1"/>
  <c r="V634" i="2"/>
  <c r="BI929" i="3" s="1"/>
  <c r="BL929" i="3" s="1"/>
  <c r="V635" i="2"/>
  <c r="BI930" i="3" s="1"/>
  <c r="BL930" i="3" s="1"/>
  <c r="V636" i="2"/>
  <c r="BI931" i="3" s="1"/>
  <c r="BL931" i="3" s="1"/>
  <c r="V637" i="2"/>
  <c r="BI932" i="3" s="1"/>
  <c r="BL932" i="3" s="1"/>
  <c r="V638" i="2"/>
  <c r="BI933" i="3" s="1"/>
  <c r="BL933" i="3" s="1"/>
  <c r="V639" i="2"/>
  <c r="BI934" i="3" s="1"/>
  <c r="BL934" i="3" s="1"/>
  <c r="V640" i="2"/>
  <c r="BI935" i="3" s="1"/>
  <c r="BL935" i="3" s="1"/>
  <c r="V641" i="2"/>
  <c r="BI936" i="3" s="1"/>
  <c r="BL936" i="3" s="1"/>
  <c r="V642" i="2"/>
  <c r="BI937" i="3" s="1"/>
  <c r="BL937" i="3" s="1"/>
  <c r="V643" i="2"/>
  <c r="BI938" i="3" s="1"/>
  <c r="BL938" i="3" s="1"/>
  <c r="V644" i="2"/>
  <c r="BI939" i="3" s="1"/>
  <c r="BL939" i="3" s="1"/>
  <c r="V645" i="2"/>
  <c r="BI940" i="3" s="1"/>
  <c r="BL940" i="3" s="1"/>
  <c r="V646" i="2"/>
  <c r="BI941" i="3" s="1"/>
  <c r="BL941" i="3" s="1"/>
  <c r="V647" i="2"/>
  <c r="BI942" i="3" s="1"/>
  <c r="BL942" i="3" s="1"/>
  <c r="V648" i="2"/>
  <c r="BI943" i="3" s="1"/>
  <c r="BL943" i="3" s="1"/>
  <c r="V649" i="2"/>
  <c r="BI944" i="3" s="1"/>
  <c r="BL944" i="3" s="1"/>
  <c r="V650" i="2"/>
  <c r="BI945" i="3" s="1"/>
  <c r="BL945" i="3" s="1"/>
  <c r="V651" i="2"/>
  <c r="W651" i="2" s="1"/>
  <c r="V652" i="2"/>
  <c r="BI947" i="3" s="1"/>
  <c r="BL947" i="3" s="1"/>
  <c r="V653" i="2"/>
  <c r="BI948" i="3" s="1"/>
  <c r="BL948" i="3" s="1"/>
  <c r="V654" i="2"/>
  <c r="BI949" i="3" s="1"/>
  <c r="BL949" i="3" s="1"/>
  <c r="V655" i="2"/>
  <c r="BI950" i="3" s="1"/>
  <c r="BL950" i="3" s="1"/>
  <c r="V656" i="2"/>
  <c r="BI951" i="3" s="1"/>
  <c r="BL951" i="3" s="1"/>
  <c r="V657" i="2"/>
  <c r="BI952" i="3" s="1"/>
  <c r="BL952" i="3" s="1"/>
  <c r="V658" i="2"/>
  <c r="BI953" i="3" s="1"/>
  <c r="BL953" i="3" s="1"/>
  <c r="V659" i="2"/>
  <c r="BI954" i="3" s="1"/>
  <c r="BL954" i="3" s="1"/>
  <c r="V660" i="2"/>
  <c r="W660" i="2" s="1"/>
  <c r="V661" i="2"/>
  <c r="BI956" i="3" s="1"/>
  <c r="BL956" i="3" s="1"/>
  <c r="V662" i="2"/>
  <c r="BI957" i="3" s="1"/>
  <c r="BL957" i="3" s="1"/>
  <c r="V663" i="2"/>
  <c r="BI958" i="3" s="1"/>
  <c r="BL958" i="3" s="1"/>
  <c r="V664" i="2"/>
  <c r="BI959" i="3" s="1"/>
  <c r="BL959" i="3" s="1"/>
  <c r="V665" i="2"/>
  <c r="BI960" i="3" s="1"/>
  <c r="BL960" i="3" s="1"/>
  <c r="V666" i="2"/>
  <c r="BI961" i="3" s="1"/>
  <c r="BL961" i="3" s="1"/>
  <c r="V667" i="2"/>
  <c r="BI962" i="3" s="1"/>
  <c r="BL962" i="3" s="1"/>
  <c r="V668" i="2"/>
  <c r="BI963" i="3" s="1"/>
  <c r="BL963" i="3" s="1"/>
  <c r="V669" i="2"/>
  <c r="BI964" i="3" s="1"/>
  <c r="BL964" i="3" s="1"/>
  <c r="V670" i="2"/>
  <c r="BI965" i="3" s="1"/>
  <c r="BL965" i="3" s="1"/>
  <c r="V671" i="2"/>
  <c r="BI966" i="3" s="1"/>
  <c r="BL966" i="3" s="1"/>
  <c r="V672" i="2"/>
  <c r="BI967" i="3" s="1"/>
  <c r="BL967" i="3" s="1"/>
  <c r="V673" i="2"/>
  <c r="BI968" i="3" s="1"/>
  <c r="BL968" i="3" s="1"/>
  <c r="V674" i="2"/>
  <c r="BI969" i="3" s="1"/>
  <c r="BL969" i="3" s="1"/>
  <c r="V675" i="2"/>
  <c r="BI970" i="3" s="1"/>
  <c r="BL970" i="3" s="1"/>
  <c r="V676" i="2"/>
  <c r="BI971" i="3" s="1"/>
  <c r="BL971" i="3" s="1"/>
  <c r="V677" i="2"/>
  <c r="BI972" i="3" s="1"/>
  <c r="BL972" i="3" s="1"/>
  <c r="V678" i="2"/>
  <c r="BI973" i="3" s="1"/>
  <c r="BL973" i="3" s="1"/>
  <c r="V679" i="2"/>
  <c r="BI974" i="3" s="1"/>
  <c r="BL974" i="3" s="1"/>
  <c r="V680" i="2"/>
  <c r="BI975" i="3" s="1"/>
  <c r="BL975" i="3" s="1"/>
  <c r="V681" i="2"/>
  <c r="BI976" i="3" s="1"/>
  <c r="BL976" i="3" s="1"/>
  <c r="V682" i="2"/>
  <c r="BI977" i="3" s="1"/>
  <c r="BL977" i="3" s="1"/>
  <c r="V683" i="2"/>
  <c r="BI978" i="3" s="1"/>
  <c r="BL978" i="3" s="1"/>
  <c r="V684" i="2"/>
  <c r="BI979" i="3" s="1"/>
  <c r="BL979" i="3" s="1"/>
  <c r="V685" i="2"/>
  <c r="BI980" i="3" s="1"/>
  <c r="BL980" i="3" s="1"/>
  <c r="V686" i="2"/>
  <c r="BI981" i="3" s="1"/>
  <c r="BL981" i="3" s="1"/>
  <c r="V687" i="2"/>
  <c r="BI982" i="3" s="1"/>
  <c r="BL982" i="3" s="1"/>
  <c r="V688" i="2"/>
  <c r="BI983" i="3" s="1"/>
  <c r="BL983" i="3" s="1"/>
  <c r="V689" i="2"/>
  <c r="BI984" i="3" s="1"/>
  <c r="BL984" i="3" s="1"/>
  <c r="V690" i="2"/>
  <c r="BI985" i="3" s="1"/>
  <c r="BL985" i="3" s="1"/>
  <c r="V691" i="2"/>
  <c r="BI986" i="3" s="1"/>
  <c r="BL986" i="3" s="1"/>
  <c r="V692" i="2"/>
  <c r="BI987" i="3" s="1"/>
  <c r="BL987" i="3" s="1"/>
  <c r="V693" i="2"/>
  <c r="BI988" i="3" s="1"/>
  <c r="BL988" i="3" s="1"/>
  <c r="V694" i="2"/>
  <c r="BI989" i="3" s="1"/>
  <c r="BL989" i="3" s="1"/>
  <c r="V695" i="2"/>
  <c r="BI990" i="3" s="1"/>
  <c r="BL990" i="3" s="1"/>
  <c r="V696" i="2"/>
  <c r="BI991" i="3" s="1"/>
  <c r="BL991" i="3" s="1"/>
  <c r="V697" i="2"/>
  <c r="BI992" i="3" s="1"/>
  <c r="BL992" i="3" s="1"/>
  <c r="V698" i="2"/>
  <c r="BI993" i="3" s="1"/>
  <c r="BL993" i="3" s="1"/>
  <c r="V699" i="2"/>
  <c r="BI994" i="3" s="1"/>
  <c r="BL994" i="3" s="1"/>
  <c r="V700" i="2"/>
  <c r="BI995" i="3" s="1"/>
  <c r="BL995" i="3" s="1"/>
  <c r="V701" i="2"/>
  <c r="BI996" i="3" s="1"/>
  <c r="BL996" i="3" s="1"/>
  <c r="V702" i="2"/>
  <c r="BI997" i="3" s="1"/>
  <c r="BL997" i="3" s="1"/>
  <c r="V703" i="2"/>
  <c r="BI998" i="3" s="1"/>
  <c r="BL998" i="3" s="1"/>
  <c r="V704" i="2"/>
  <c r="BI999" i="3" s="1"/>
  <c r="BL999" i="3" s="1"/>
  <c r="V705" i="2"/>
  <c r="BI1000" i="3" s="1"/>
  <c r="BL1000" i="3" s="1"/>
  <c r="V706" i="2"/>
  <c r="BI1001" i="3" s="1"/>
  <c r="BL1001" i="3" s="1"/>
  <c r="V707" i="2"/>
  <c r="BI1002" i="3" s="1"/>
  <c r="BL1002" i="3" s="1"/>
  <c r="V708" i="2"/>
  <c r="BI1003" i="3" s="1"/>
  <c r="BL1003" i="3" s="1"/>
  <c r="V709" i="2"/>
  <c r="BI1004" i="3" s="1"/>
  <c r="BL1004" i="3" s="1"/>
  <c r="V710" i="2"/>
  <c r="BI1005" i="3" s="1"/>
  <c r="BL1005" i="3" s="1"/>
  <c r="V711" i="2"/>
  <c r="BI1006" i="3" s="1"/>
  <c r="BL1006" i="3" s="1"/>
  <c r="V712" i="2"/>
  <c r="BI1007" i="3" s="1"/>
  <c r="BL1007" i="3" s="1"/>
  <c r="V713" i="2"/>
  <c r="BI1008" i="3" s="1"/>
  <c r="BL1008" i="3" s="1"/>
  <c r="V714" i="2"/>
  <c r="BI1009" i="3" s="1"/>
  <c r="BL1009" i="3" s="1"/>
  <c r="V715" i="2"/>
  <c r="W715" i="2" s="1"/>
  <c r="V716" i="2"/>
  <c r="BI1011" i="3" s="1"/>
  <c r="BL1011" i="3" s="1"/>
  <c r="V717" i="2"/>
  <c r="BI1012" i="3" s="1"/>
  <c r="BL1012" i="3" s="1"/>
  <c r="V718" i="2"/>
  <c r="BI1013" i="3" s="1"/>
  <c r="BL1013" i="3" s="1"/>
  <c r="V719" i="2"/>
  <c r="BI1014" i="3" s="1"/>
  <c r="BL1014" i="3" s="1"/>
  <c r="V720" i="2"/>
  <c r="BI1015" i="3" s="1"/>
  <c r="BL1015" i="3" s="1"/>
  <c r="V721" i="2"/>
  <c r="BI1016" i="3" s="1"/>
  <c r="BL1016" i="3" s="1"/>
  <c r="V722" i="2"/>
  <c r="BI1017" i="3" s="1"/>
  <c r="BL1017" i="3" s="1"/>
  <c r="V723" i="2"/>
  <c r="BI1018" i="3" s="1"/>
  <c r="BL1018" i="3" s="1"/>
  <c r="V724" i="2"/>
  <c r="W724" i="2" s="1"/>
  <c r="V725" i="2"/>
  <c r="BI1020" i="3" s="1"/>
  <c r="BL1020" i="3" s="1"/>
  <c r="V726" i="2"/>
  <c r="BI1021" i="3" s="1"/>
  <c r="BL1021" i="3" s="1"/>
  <c r="V727" i="2"/>
  <c r="BI1022" i="3" s="1"/>
  <c r="BL1022" i="3" s="1"/>
  <c r="V728" i="2"/>
  <c r="BI1023" i="3" s="1"/>
  <c r="BL1023" i="3" s="1"/>
  <c r="V729" i="2"/>
  <c r="BI1024" i="3" s="1"/>
  <c r="BL1024" i="3" s="1"/>
  <c r="V730" i="2"/>
  <c r="BI1025" i="3" s="1"/>
  <c r="BL1025" i="3" s="1"/>
  <c r="V731" i="2"/>
  <c r="BI1026" i="3" s="1"/>
  <c r="BL1026" i="3" s="1"/>
  <c r="V732" i="2"/>
  <c r="BI1027" i="3" s="1"/>
  <c r="BL1027" i="3" s="1"/>
  <c r="V733" i="2"/>
  <c r="BI1028" i="3" s="1"/>
  <c r="BL1028" i="3" s="1"/>
  <c r="V734" i="2"/>
  <c r="BI1029" i="3" s="1"/>
  <c r="BL1029" i="3" s="1"/>
  <c r="V735" i="2"/>
  <c r="BI1030" i="3" s="1"/>
  <c r="BL1030" i="3" s="1"/>
  <c r="V736" i="2"/>
  <c r="BI1031" i="3" s="1"/>
  <c r="BL1031" i="3" s="1"/>
  <c r="V737" i="2"/>
  <c r="BI1032" i="3" s="1"/>
  <c r="BL1032" i="3" s="1"/>
  <c r="V738" i="2"/>
  <c r="BI1033" i="3" s="1"/>
  <c r="BL1033" i="3" s="1"/>
  <c r="V739" i="2"/>
  <c r="BI1034" i="3" s="1"/>
  <c r="BL1034" i="3" s="1"/>
  <c r="V740" i="2"/>
  <c r="BI1035" i="3" s="1"/>
  <c r="BL1035" i="3" s="1"/>
  <c r="V741" i="2"/>
  <c r="BI1036" i="3" s="1"/>
  <c r="BL1036" i="3" s="1"/>
  <c r="V742" i="2"/>
  <c r="BI1037" i="3" s="1"/>
  <c r="BL1037" i="3" s="1"/>
  <c r="V743" i="2"/>
  <c r="BI1038" i="3" s="1"/>
  <c r="BL1038" i="3" s="1"/>
  <c r="V744" i="2"/>
  <c r="BI1039" i="3" s="1"/>
  <c r="BL1039" i="3" s="1"/>
  <c r="V745" i="2"/>
  <c r="BI1040" i="3" s="1"/>
  <c r="BL1040" i="3" s="1"/>
  <c r="V746" i="2"/>
  <c r="BI1041" i="3" s="1"/>
  <c r="BL1041" i="3" s="1"/>
  <c r="V747" i="2"/>
  <c r="BI1042" i="3" s="1"/>
  <c r="BL1042" i="3" s="1"/>
  <c r="V748" i="2"/>
  <c r="BI1043" i="3" s="1"/>
  <c r="BL1043" i="3" s="1"/>
  <c r="V749" i="2"/>
  <c r="BI1044" i="3" s="1"/>
  <c r="BL1044" i="3" s="1"/>
  <c r="V750" i="2"/>
  <c r="BI1045" i="3" s="1"/>
  <c r="BL1045" i="3" s="1"/>
  <c r="V751" i="2"/>
  <c r="BI1046" i="3" s="1"/>
  <c r="BL1046" i="3" s="1"/>
  <c r="V752" i="2"/>
  <c r="BI1047" i="3" s="1"/>
  <c r="BL1047" i="3" s="1"/>
  <c r="V753" i="2"/>
  <c r="BI1048" i="3" s="1"/>
  <c r="BL1048" i="3" s="1"/>
  <c r="V754" i="2"/>
  <c r="BI1049" i="3" s="1"/>
  <c r="BL1049" i="3" s="1"/>
  <c r="V755" i="2"/>
  <c r="BI1050" i="3" s="1"/>
  <c r="BL1050" i="3" s="1"/>
  <c r="V756" i="2"/>
  <c r="BI1051" i="3" s="1"/>
  <c r="BL1051" i="3" s="1"/>
  <c r="V757" i="2"/>
  <c r="BI1052" i="3" s="1"/>
  <c r="BL1052" i="3" s="1"/>
  <c r="V758" i="2"/>
  <c r="BI1053" i="3" s="1"/>
  <c r="BL1053" i="3" s="1"/>
  <c r="V759" i="2"/>
  <c r="BI1054" i="3" s="1"/>
  <c r="BL1054" i="3" s="1"/>
  <c r="V760" i="2"/>
  <c r="BI1055" i="3" s="1"/>
  <c r="BL1055" i="3" s="1"/>
  <c r="V761" i="2"/>
  <c r="BI1056" i="3" s="1"/>
  <c r="BL1056" i="3" s="1"/>
  <c r="V762" i="2"/>
  <c r="BI1057" i="3" s="1"/>
  <c r="BL1057" i="3" s="1"/>
  <c r="V763" i="2"/>
  <c r="BI1058" i="3" s="1"/>
  <c r="BL1058" i="3" s="1"/>
  <c r="V764" i="2"/>
  <c r="BI1059" i="3" s="1"/>
  <c r="BL1059" i="3" s="1"/>
  <c r="V765" i="2"/>
  <c r="BI1060" i="3" s="1"/>
  <c r="BL1060" i="3" s="1"/>
  <c r="V766" i="2"/>
  <c r="BI1061" i="3" s="1"/>
  <c r="BL1061" i="3" s="1"/>
  <c r="V767" i="2"/>
  <c r="BI1062" i="3" s="1"/>
  <c r="BL1062" i="3" s="1"/>
  <c r="V768" i="2"/>
  <c r="BI1063" i="3" s="1"/>
  <c r="BL1063" i="3" s="1"/>
  <c r="V769" i="2"/>
  <c r="BI1064" i="3" s="1"/>
  <c r="BL1064" i="3" s="1"/>
  <c r="V770" i="2"/>
  <c r="BI1065" i="3" s="1"/>
  <c r="BL1065" i="3" s="1"/>
  <c r="V771" i="2"/>
  <c r="BI1066" i="3" s="1"/>
  <c r="BL1066" i="3" s="1"/>
  <c r="V772" i="2"/>
  <c r="BI1067" i="3" s="1"/>
  <c r="BL1067" i="3" s="1"/>
  <c r="V773" i="2"/>
  <c r="BI1068" i="3" s="1"/>
  <c r="BL1068" i="3" s="1"/>
  <c r="V774" i="2"/>
  <c r="BI1069" i="3" s="1"/>
  <c r="BL1069" i="3" s="1"/>
  <c r="V775" i="2"/>
  <c r="BI1070" i="3" s="1"/>
  <c r="BL1070" i="3" s="1"/>
  <c r="V776" i="2"/>
  <c r="BI1071" i="3" s="1"/>
  <c r="BL1071" i="3" s="1"/>
  <c r="V777" i="2"/>
  <c r="BI1072" i="3" s="1"/>
  <c r="BL1072" i="3" s="1"/>
  <c r="V778" i="2"/>
  <c r="BI1073" i="3" s="1"/>
  <c r="BL1073" i="3" s="1"/>
  <c r="V779" i="2"/>
  <c r="W779" i="2" s="1"/>
  <c r="V780" i="2"/>
  <c r="BI1075" i="3" s="1"/>
  <c r="BL1075" i="3" s="1"/>
  <c r="V781" i="2"/>
  <c r="BI1076" i="3" s="1"/>
  <c r="BL1076" i="3" s="1"/>
  <c r="V782" i="2"/>
  <c r="BI1077" i="3" s="1"/>
  <c r="BL1077" i="3" s="1"/>
  <c r="V783" i="2"/>
  <c r="BI1078" i="3" s="1"/>
  <c r="BL1078" i="3" s="1"/>
  <c r="V784" i="2"/>
  <c r="BI1079" i="3" s="1"/>
  <c r="BL1079" i="3" s="1"/>
  <c r="V785" i="2"/>
  <c r="BI1080" i="3" s="1"/>
  <c r="BL1080" i="3" s="1"/>
  <c r="V786" i="2"/>
  <c r="BI1081" i="3" s="1"/>
  <c r="BL1081" i="3" s="1"/>
  <c r="V787" i="2"/>
  <c r="BI1082" i="3" s="1"/>
  <c r="BL1082" i="3" s="1"/>
  <c r="V788" i="2"/>
  <c r="W788" i="2" s="1"/>
  <c r="V789" i="2"/>
  <c r="BI1084" i="3" s="1"/>
  <c r="BL1084" i="3" s="1"/>
  <c r="V790" i="2"/>
  <c r="BI1085" i="3" s="1"/>
  <c r="BL1085" i="3" s="1"/>
  <c r="V791" i="2"/>
  <c r="BI1086" i="3" s="1"/>
  <c r="BL1086" i="3" s="1"/>
  <c r="V792" i="2"/>
  <c r="BI1087" i="3" s="1"/>
  <c r="BL1087" i="3" s="1"/>
  <c r="V793" i="2"/>
  <c r="BI1088" i="3" s="1"/>
  <c r="BL1088" i="3" s="1"/>
  <c r="V794" i="2"/>
  <c r="BI1089" i="3" s="1"/>
  <c r="BL1089" i="3" s="1"/>
  <c r="V795" i="2"/>
  <c r="BI1090" i="3" s="1"/>
  <c r="BL1090" i="3" s="1"/>
  <c r="V796" i="2"/>
  <c r="BI1091" i="3" s="1"/>
  <c r="BL1091" i="3" s="1"/>
  <c r="V797" i="2"/>
  <c r="BI1092" i="3" s="1"/>
  <c r="BL1092" i="3" s="1"/>
  <c r="V798" i="2"/>
  <c r="BI1093" i="3" s="1"/>
  <c r="BL1093" i="3" s="1"/>
  <c r="V799" i="2"/>
  <c r="BI1094" i="3" s="1"/>
  <c r="BL1094" i="3" s="1"/>
  <c r="V800" i="2"/>
  <c r="BI1095" i="3" s="1"/>
  <c r="BL1095" i="3" s="1"/>
  <c r="V801" i="2"/>
  <c r="BI1096" i="3" s="1"/>
  <c r="BL1096" i="3" s="1"/>
  <c r="V802" i="2"/>
  <c r="BI1097" i="3" s="1"/>
  <c r="BL1097" i="3" s="1"/>
  <c r="V803" i="2"/>
  <c r="BI1098" i="3" s="1"/>
  <c r="BL1098" i="3" s="1"/>
  <c r="V804" i="2"/>
  <c r="BI1099" i="3" s="1"/>
  <c r="BL1099" i="3" s="1"/>
  <c r="V805" i="2"/>
  <c r="BI1100" i="3" s="1"/>
  <c r="BL1100" i="3" s="1"/>
  <c r="V806" i="2"/>
  <c r="BI1101" i="3" s="1"/>
  <c r="BL1101" i="3" s="1"/>
  <c r="V807" i="2"/>
  <c r="BI1102" i="3" s="1"/>
  <c r="BL1102" i="3" s="1"/>
  <c r="V808" i="2"/>
  <c r="BI1103" i="3" s="1"/>
  <c r="BL1103" i="3" s="1"/>
  <c r="V809" i="2"/>
  <c r="BI1104" i="3" s="1"/>
  <c r="BL1104" i="3" s="1"/>
  <c r="V810" i="2"/>
  <c r="BI1105" i="3" s="1"/>
  <c r="BL1105" i="3" s="1"/>
  <c r="V811" i="2"/>
  <c r="BI1106" i="3" s="1"/>
  <c r="BL1106" i="3" s="1"/>
  <c r="V812" i="2"/>
  <c r="BI1107" i="3" s="1"/>
  <c r="BL1107" i="3" s="1"/>
  <c r="V813" i="2"/>
  <c r="BI1108" i="3" s="1"/>
  <c r="BL1108" i="3" s="1"/>
  <c r="V814" i="2"/>
  <c r="BI1109" i="3" s="1"/>
  <c r="BL1109" i="3" s="1"/>
  <c r="V815" i="2"/>
  <c r="BI1110" i="3" s="1"/>
  <c r="BL1110" i="3" s="1"/>
  <c r="V816" i="2"/>
  <c r="BI1111" i="3" s="1"/>
  <c r="BL1111" i="3" s="1"/>
  <c r="V817" i="2"/>
  <c r="BI1112" i="3" s="1"/>
  <c r="BL1112" i="3" s="1"/>
  <c r="V818" i="2"/>
  <c r="BI1113" i="3" s="1"/>
  <c r="BL1113" i="3" s="1"/>
  <c r="V819" i="2"/>
  <c r="BI1114" i="3" s="1"/>
  <c r="BL1114" i="3" s="1"/>
  <c r="V820" i="2"/>
  <c r="BI1115" i="3" s="1"/>
  <c r="BL1115" i="3" s="1"/>
  <c r="V821" i="2"/>
  <c r="BI1116" i="3" s="1"/>
  <c r="BL1116" i="3" s="1"/>
  <c r="V822" i="2"/>
  <c r="BI1117" i="3" s="1"/>
  <c r="BL1117" i="3" s="1"/>
  <c r="V823" i="2"/>
  <c r="BI1118" i="3" s="1"/>
  <c r="BL1118" i="3" s="1"/>
  <c r="V824" i="2"/>
  <c r="BI1119" i="3" s="1"/>
  <c r="BL1119" i="3" s="1"/>
  <c r="V825" i="2"/>
  <c r="BI1120" i="3" s="1"/>
  <c r="BL1120" i="3" s="1"/>
  <c r="V826" i="2"/>
  <c r="BI1121" i="3" s="1"/>
  <c r="BL1121" i="3" s="1"/>
  <c r="V827" i="2"/>
  <c r="BI1122" i="3" s="1"/>
  <c r="BL1122" i="3" s="1"/>
  <c r="V828" i="2"/>
  <c r="BI1123" i="3" s="1"/>
  <c r="BL1123" i="3" s="1"/>
  <c r="V829" i="2"/>
  <c r="BI1124" i="3" s="1"/>
  <c r="BL1124" i="3" s="1"/>
  <c r="V830" i="2"/>
  <c r="BI1125" i="3" s="1"/>
  <c r="BL1125" i="3" s="1"/>
  <c r="V831" i="2"/>
  <c r="BI1126" i="3" s="1"/>
  <c r="BL1126" i="3" s="1"/>
  <c r="V832" i="2"/>
  <c r="BI1127" i="3" s="1"/>
  <c r="BL1127" i="3" s="1"/>
  <c r="V833" i="2"/>
  <c r="BI1128" i="3" s="1"/>
  <c r="BL1128" i="3" s="1"/>
  <c r="V834" i="2"/>
  <c r="BI1129" i="3" s="1"/>
  <c r="BL1129" i="3" s="1"/>
  <c r="V835" i="2"/>
  <c r="BI1130" i="3" s="1"/>
  <c r="BL1130" i="3" s="1"/>
  <c r="V836" i="2"/>
  <c r="BI1131" i="3" s="1"/>
  <c r="BL1131" i="3" s="1"/>
  <c r="V837" i="2"/>
  <c r="BI1132" i="3" s="1"/>
  <c r="BL1132" i="3" s="1"/>
  <c r="V838" i="2"/>
  <c r="BI1133" i="3" s="1"/>
  <c r="BL1133" i="3" s="1"/>
  <c r="V839" i="2"/>
  <c r="BI1134" i="3" s="1"/>
  <c r="BL1134" i="3" s="1"/>
  <c r="V840" i="2"/>
  <c r="BI1135" i="3" s="1"/>
  <c r="BL1135" i="3" s="1"/>
  <c r="V841" i="2"/>
  <c r="BI1136" i="3" s="1"/>
  <c r="BL1136" i="3" s="1"/>
  <c r="V842" i="2"/>
  <c r="BI1137" i="3" s="1"/>
  <c r="BL1137" i="3" s="1"/>
  <c r="V843" i="2"/>
  <c r="W843" i="2" s="1"/>
  <c r="V844" i="2"/>
  <c r="BI1139" i="3" s="1"/>
  <c r="BL1139" i="3" s="1"/>
  <c r="V845" i="2"/>
  <c r="BI1140" i="3" s="1"/>
  <c r="BL1140" i="3" s="1"/>
  <c r="V846" i="2"/>
  <c r="BI1141" i="3" s="1"/>
  <c r="BL1141" i="3" s="1"/>
  <c r="V847" i="2"/>
  <c r="BI1142" i="3" s="1"/>
  <c r="BL1142" i="3" s="1"/>
  <c r="V848" i="2"/>
  <c r="BI1143" i="3" s="1"/>
  <c r="BL1143" i="3" s="1"/>
  <c r="V849" i="2"/>
  <c r="BI1144" i="3" s="1"/>
  <c r="BL1144" i="3" s="1"/>
  <c r="V850" i="2"/>
  <c r="BI1145" i="3" s="1"/>
  <c r="BL1145" i="3" s="1"/>
  <c r="V851" i="2"/>
  <c r="BI1146" i="3" s="1"/>
  <c r="BL1146" i="3" s="1"/>
  <c r="V852" i="2"/>
  <c r="W852" i="2" s="1"/>
  <c r="V853" i="2"/>
  <c r="BI1148" i="3" s="1"/>
  <c r="BL1148" i="3" s="1"/>
  <c r="V854" i="2"/>
  <c r="BI1149" i="3" s="1"/>
  <c r="BL1149" i="3" s="1"/>
  <c r="V855" i="2"/>
  <c r="BI1150" i="3" s="1"/>
  <c r="BL1150" i="3" s="1"/>
  <c r="V856" i="2"/>
  <c r="BI1151" i="3" s="1"/>
  <c r="BL1151" i="3" s="1"/>
  <c r="V857" i="2"/>
  <c r="BI1152" i="3" s="1"/>
  <c r="BL1152" i="3" s="1"/>
  <c r="V858" i="2"/>
  <c r="BI1153" i="3" s="1"/>
  <c r="BL1153" i="3" s="1"/>
  <c r="V859" i="2"/>
  <c r="BI1154" i="3" s="1"/>
  <c r="BL1154" i="3" s="1"/>
  <c r="V860" i="2"/>
  <c r="BI1155" i="3" s="1"/>
  <c r="BL1155" i="3" s="1"/>
  <c r="V861" i="2"/>
  <c r="BI1156" i="3" s="1"/>
  <c r="BL1156" i="3" s="1"/>
  <c r="V862" i="2"/>
  <c r="BI1157" i="3" s="1"/>
  <c r="BL1157" i="3" s="1"/>
  <c r="V863" i="2"/>
  <c r="BI1158" i="3" s="1"/>
  <c r="BL1158" i="3" s="1"/>
  <c r="V864" i="2"/>
  <c r="BI1159" i="3" s="1"/>
  <c r="BL1159" i="3" s="1"/>
  <c r="V865" i="2"/>
  <c r="BI1160" i="3" s="1"/>
  <c r="BL1160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T16" i="2"/>
  <c r="BD16" i="3" s="1"/>
  <c r="BG16" i="3" s="1"/>
  <c r="T17" i="2"/>
  <c r="BD17" i="3" s="1"/>
  <c r="BG17" i="3" s="1"/>
  <c r="T18" i="2"/>
  <c r="BD18" i="3" s="1"/>
  <c r="BG18" i="3" s="1"/>
  <c r="T19" i="2"/>
  <c r="T20" i="2"/>
  <c r="BD20" i="3" s="1"/>
  <c r="BG20" i="3" s="1"/>
  <c r="T21" i="2"/>
  <c r="T22" i="2"/>
  <c r="T23" i="2"/>
  <c r="T24" i="2"/>
  <c r="BD24" i="3" s="1"/>
  <c r="BG24" i="3" s="1"/>
  <c r="T25" i="2"/>
  <c r="BD25" i="3" s="1"/>
  <c r="BG25" i="3" s="1"/>
  <c r="T26" i="2"/>
  <c r="BD26" i="3" s="1"/>
  <c r="BG26" i="3" s="1"/>
  <c r="T27" i="2"/>
  <c r="T28" i="2"/>
  <c r="BD28" i="3" s="1"/>
  <c r="BG28" i="3" s="1"/>
  <c r="T29" i="2"/>
  <c r="BD29" i="3" s="1"/>
  <c r="BG29" i="3" s="1"/>
  <c r="T30" i="2"/>
  <c r="BD30" i="3" s="1"/>
  <c r="BG30" i="3" s="1"/>
  <c r="T31" i="2"/>
  <c r="BD31" i="3" s="1"/>
  <c r="BG31" i="3" s="1"/>
  <c r="T32" i="2"/>
  <c r="BD32" i="3" s="1"/>
  <c r="BG32" i="3" s="1"/>
  <c r="T33" i="2"/>
  <c r="BD33" i="3" s="1"/>
  <c r="BG33" i="3" s="1"/>
  <c r="T34" i="2"/>
  <c r="BD34" i="3" s="1"/>
  <c r="BG34" i="3" s="1"/>
  <c r="T35" i="2"/>
  <c r="BD35" i="3" s="1"/>
  <c r="BG35" i="3" s="1"/>
  <c r="T36" i="2"/>
  <c r="BD36" i="3" s="1"/>
  <c r="BG36" i="3" s="1"/>
  <c r="T37" i="2"/>
  <c r="BD37" i="3" s="1"/>
  <c r="BG37" i="3" s="1"/>
  <c r="T38" i="2"/>
  <c r="BD38" i="3" s="1"/>
  <c r="BG38" i="3" s="1"/>
  <c r="T39" i="2"/>
  <c r="T40" i="2"/>
  <c r="BD40" i="3" s="1"/>
  <c r="BG40" i="3" s="1"/>
  <c r="T41" i="2"/>
  <c r="BD41" i="3" s="1"/>
  <c r="BG41" i="3" s="1"/>
  <c r="T42" i="2"/>
  <c r="BD42" i="3" s="1"/>
  <c r="BG42" i="3" s="1"/>
  <c r="T43" i="2"/>
  <c r="T44" i="2"/>
  <c r="BD44" i="3" s="1"/>
  <c r="BG44" i="3" s="1"/>
  <c r="T45" i="2"/>
  <c r="BD45" i="3" s="1"/>
  <c r="BG45" i="3" s="1"/>
  <c r="T46" i="2"/>
  <c r="BD46" i="3" s="1"/>
  <c r="BG46" i="3" s="1"/>
  <c r="T47" i="2"/>
  <c r="BD47" i="3" s="1"/>
  <c r="BG47" i="3" s="1"/>
  <c r="T48" i="2"/>
  <c r="BD48" i="3" s="1"/>
  <c r="BG48" i="3" s="1"/>
  <c r="T49" i="2"/>
  <c r="BD49" i="3" s="1"/>
  <c r="BG49" i="3" s="1"/>
  <c r="T50" i="2"/>
  <c r="BD50" i="3" s="1"/>
  <c r="BG50" i="3" s="1"/>
  <c r="T51" i="2"/>
  <c r="BD51" i="3" s="1"/>
  <c r="BG51" i="3" s="1"/>
  <c r="T52" i="2"/>
  <c r="BD52" i="3" s="1"/>
  <c r="BG52" i="3" s="1"/>
  <c r="T53" i="2"/>
  <c r="BD53" i="3" s="1"/>
  <c r="BG53" i="3" s="1"/>
  <c r="T54" i="2"/>
  <c r="BD54" i="3" s="1"/>
  <c r="BG54" i="3" s="1"/>
  <c r="T55" i="2"/>
  <c r="T56" i="2"/>
  <c r="BD56" i="3" s="1"/>
  <c r="BG56" i="3" s="1"/>
  <c r="T57" i="2"/>
  <c r="BD57" i="3" s="1"/>
  <c r="BG57" i="3" s="1"/>
  <c r="T58" i="2"/>
  <c r="BD58" i="3" s="1"/>
  <c r="BG58" i="3" s="1"/>
  <c r="T59" i="2"/>
  <c r="T60" i="2"/>
  <c r="BD60" i="3" s="1"/>
  <c r="BG60" i="3" s="1"/>
  <c r="T61" i="2"/>
  <c r="BD61" i="3" s="1"/>
  <c r="BG61" i="3" s="1"/>
  <c r="T62" i="2"/>
  <c r="BD62" i="3" s="1"/>
  <c r="BG62" i="3" s="1"/>
  <c r="T63" i="2"/>
  <c r="BD63" i="3" s="1"/>
  <c r="BG63" i="3" s="1"/>
  <c r="T64" i="2"/>
  <c r="BD64" i="3" s="1"/>
  <c r="BG64" i="3" s="1"/>
  <c r="T65" i="2"/>
  <c r="BD65" i="3" s="1"/>
  <c r="BG65" i="3" s="1"/>
  <c r="T66" i="2"/>
  <c r="BD66" i="3" s="1"/>
  <c r="BG66" i="3" s="1"/>
  <c r="T67" i="2"/>
  <c r="BD67" i="3" s="1"/>
  <c r="BG67" i="3" s="1"/>
  <c r="T68" i="2"/>
  <c r="BD68" i="3" s="1"/>
  <c r="BG68" i="3" s="1"/>
  <c r="T69" i="2"/>
  <c r="BD69" i="3" s="1"/>
  <c r="BG69" i="3" s="1"/>
  <c r="T70" i="2"/>
  <c r="BD70" i="3" s="1"/>
  <c r="BG70" i="3" s="1"/>
  <c r="T71" i="2"/>
  <c r="T72" i="2"/>
  <c r="BD72" i="3" s="1"/>
  <c r="BG72" i="3" s="1"/>
  <c r="T73" i="2"/>
  <c r="BD73" i="3" s="1"/>
  <c r="BG73" i="3" s="1"/>
  <c r="T74" i="2"/>
  <c r="BD74" i="3" s="1"/>
  <c r="BG74" i="3" s="1"/>
  <c r="T75" i="2"/>
  <c r="T76" i="2"/>
  <c r="BD76" i="3" s="1"/>
  <c r="BG76" i="3" s="1"/>
  <c r="T77" i="2"/>
  <c r="BD77" i="3" s="1"/>
  <c r="BG77" i="3" s="1"/>
  <c r="T78" i="2"/>
  <c r="BD78" i="3" s="1"/>
  <c r="BG78" i="3" s="1"/>
  <c r="T79" i="2"/>
  <c r="BD79" i="3" s="1"/>
  <c r="BG79" i="3" s="1"/>
  <c r="T80" i="2"/>
  <c r="BD80" i="3" s="1"/>
  <c r="BG80" i="3" s="1"/>
  <c r="T81" i="2"/>
  <c r="BD81" i="3" s="1"/>
  <c r="BG81" i="3" s="1"/>
  <c r="T82" i="2"/>
  <c r="BD82" i="3" s="1"/>
  <c r="BG82" i="3" s="1"/>
  <c r="T83" i="2"/>
  <c r="BD83" i="3" s="1"/>
  <c r="BG83" i="3" s="1"/>
  <c r="T84" i="2"/>
  <c r="BD84" i="3" s="1"/>
  <c r="BG84" i="3" s="1"/>
  <c r="T85" i="2"/>
  <c r="BD85" i="3" s="1"/>
  <c r="BG85" i="3" s="1"/>
  <c r="T86" i="2"/>
  <c r="BD86" i="3" s="1"/>
  <c r="BG86" i="3" s="1"/>
  <c r="T87" i="2"/>
  <c r="T88" i="2"/>
  <c r="BD88" i="3" s="1"/>
  <c r="BG88" i="3" s="1"/>
  <c r="T89" i="2"/>
  <c r="BD89" i="3" s="1"/>
  <c r="BG89" i="3" s="1"/>
  <c r="T90" i="2"/>
  <c r="BD90" i="3" s="1"/>
  <c r="BG90" i="3" s="1"/>
  <c r="T91" i="2"/>
  <c r="T92" i="2"/>
  <c r="BD92" i="3" s="1"/>
  <c r="BG92" i="3" s="1"/>
  <c r="T93" i="2"/>
  <c r="BD93" i="3" s="1"/>
  <c r="BG93" i="3" s="1"/>
  <c r="T94" i="2"/>
  <c r="BD94" i="3" s="1"/>
  <c r="BG94" i="3" s="1"/>
  <c r="T95" i="2"/>
  <c r="T96" i="2"/>
  <c r="BD96" i="3" s="1"/>
  <c r="BG96" i="3" s="1"/>
  <c r="T97" i="2"/>
  <c r="BD97" i="3" s="1"/>
  <c r="BG97" i="3" s="1"/>
  <c r="T98" i="2"/>
  <c r="BD98" i="3" s="1"/>
  <c r="BG98" i="3" s="1"/>
  <c r="T99" i="2"/>
  <c r="T100" i="2"/>
  <c r="BD100" i="3" s="1"/>
  <c r="BG100" i="3" s="1"/>
  <c r="T101" i="2"/>
  <c r="BD101" i="3" s="1"/>
  <c r="BG101" i="3" s="1"/>
  <c r="T102" i="2"/>
  <c r="BD102" i="3" s="1"/>
  <c r="BG102" i="3" s="1"/>
  <c r="T103" i="2"/>
  <c r="T104" i="2"/>
  <c r="BD104" i="3" s="1"/>
  <c r="BG104" i="3" s="1"/>
  <c r="T105" i="2"/>
  <c r="BD105" i="3" s="1"/>
  <c r="BG105" i="3" s="1"/>
  <c r="T106" i="2"/>
  <c r="BD106" i="3" s="1"/>
  <c r="BG106" i="3" s="1"/>
  <c r="T107" i="2"/>
  <c r="T108" i="2"/>
  <c r="BD108" i="3" s="1"/>
  <c r="BG108" i="3" s="1"/>
  <c r="T109" i="2"/>
  <c r="BD109" i="3" s="1"/>
  <c r="BG109" i="3" s="1"/>
  <c r="T110" i="2"/>
  <c r="BD110" i="3" s="1"/>
  <c r="BG110" i="3" s="1"/>
  <c r="T111" i="2"/>
  <c r="BD111" i="3" s="1"/>
  <c r="BG111" i="3" s="1"/>
  <c r="T112" i="2"/>
  <c r="BD112" i="3" s="1"/>
  <c r="BG112" i="3" s="1"/>
  <c r="T113" i="2"/>
  <c r="BD113" i="3" s="1"/>
  <c r="BG113" i="3" s="1"/>
  <c r="T114" i="2"/>
  <c r="BD114" i="3" s="1"/>
  <c r="BG114" i="3" s="1"/>
  <c r="T115" i="2"/>
  <c r="T116" i="2"/>
  <c r="BD116" i="3" s="1"/>
  <c r="BG116" i="3" s="1"/>
  <c r="T117" i="2"/>
  <c r="BD117" i="3" s="1"/>
  <c r="BG117" i="3" s="1"/>
  <c r="T118" i="2"/>
  <c r="BD118" i="3" s="1"/>
  <c r="BG118" i="3" s="1"/>
  <c r="T119" i="2"/>
  <c r="T120" i="2"/>
  <c r="BD120" i="3" s="1"/>
  <c r="BG120" i="3" s="1"/>
  <c r="T121" i="2"/>
  <c r="BD121" i="3" s="1"/>
  <c r="BG121" i="3" s="1"/>
  <c r="T122" i="2"/>
  <c r="BD122" i="3" s="1"/>
  <c r="BG122" i="3" s="1"/>
  <c r="T123" i="2"/>
  <c r="T124" i="2"/>
  <c r="BD124" i="3" s="1"/>
  <c r="BG124" i="3" s="1"/>
  <c r="T125" i="2"/>
  <c r="BD125" i="3" s="1"/>
  <c r="BG125" i="3" s="1"/>
  <c r="T126" i="2"/>
  <c r="BD126" i="3" s="1"/>
  <c r="BG126" i="3" s="1"/>
  <c r="T127" i="2"/>
  <c r="T128" i="2"/>
  <c r="BD128" i="3" s="1"/>
  <c r="BG128" i="3" s="1"/>
  <c r="T129" i="2"/>
  <c r="BD129" i="3" s="1"/>
  <c r="BG129" i="3" s="1"/>
  <c r="T130" i="2"/>
  <c r="BD130" i="3" s="1"/>
  <c r="BG130" i="3" s="1"/>
  <c r="T131" i="2"/>
  <c r="T132" i="2"/>
  <c r="BD132" i="3" s="1"/>
  <c r="BG132" i="3" s="1"/>
  <c r="T133" i="2"/>
  <c r="BD133" i="3" s="1"/>
  <c r="BG133" i="3" s="1"/>
  <c r="T134" i="2"/>
  <c r="BD134" i="3" s="1"/>
  <c r="BG134" i="3" s="1"/>
  <c r="T135" i="2"/>
  <c r="T136" i="2"/>
  <c r="BD136" i="3" s="1"/>
  <c r="BG136" i="3" s="1"/>
  <c r="T137" i="2"/>
  <c r="BD137" i="3" s="1"/>
  <c r="BG137" i="3" s="1"/>
  <c r="T138" i="2"/>
  <c r="BD138" i="3" s="1"/>
  <c r="BG138" i="3" s="1"/>
  <c r="T139" i="2"/>
  <c r="T140" i="2"/>
  <c r="BD140" i="3" s="1"/>
  <c r="BG140" i="3" s="1"/>
  <c r="T141" i="2"/>
  <c r="BD141" i="3" s="1"/>
  <c r="BG141" i="3" s="1"/>
  <c r="T142" i="2"/>
  <c r="BD142" i="3" s="1"/>
  <c r="BG142" i="3" s="1"/>
  <c r="T143" i="2"/>
  <c r="BD143" i="3" s="1"/>
  <c r="BG143" i="3" s="1"/>
  <c r="T144" i="2"/>
  <c r="BD144" i="3" s="1"/>
  <c r="BG144" i="3" s="1"/>
  <c r="T145" i="2"/>
  <c r="BD145" i="3" s="1"/>
  <c r="BG145" i="3" s="1"/>
  <c r="T146" i="2"/>
  <c r="BD146" i="3" s="1"/>
  <c r="BG146" i="3" s="1"/>
  <c r="T147" i="2"/>
  <c r="T148" i="2"/>
  <c r="BD148" i="3" s="1"/>
  <c r="BG148" i="3" s="1"/>
  <c r="T149" i="2"/>
  <c r="BD149" i="3" s="1"/>
  <c r="BG149" i="3" s="1"/>
  <c r="T150" i="2"/>
  <c r="BD150" i="3" s="1"/>
  <c r="BG150" i="3" s="1"/>
  <c r="T151" i="2"/>
  <c r="T152" i="2"/>
  <c r="BD152" i="3" s="1"/>
  <c r="BG152" i="3" s="1"/>
  <c r="T153" i="2"/>
  <c r="BD153" i="3" s="1"/>
  <c r="BG153" i="3" s="1"/>
  <c r="T154" i="2"/>
  <c r="BD154" i="3" s="1"/>
  <c r="BG154" i="3" s="1"/>
  <c r="T155" i="2"/>
  <c r="T156" i="2"/>
  <c r="BD156" i="3" s="1"/>
  <c r="BG156" i="3" s="1"/>
  <c r="T157" i="2"/>
  <c r="BD157" i="3" s="1"/>
  <c r="BG157" i="3" s="1"/>
  <c r="T158" i="2"/>
  <c r="BD158" i="3" s="1"/>
  <c r="BG158" i="3" s="1"/>
  <c r="T159" i="2"/>
  <c r="T160" i="2"/>
  <c r="BD160" i="3" s="1"/>
  <c r="BG160" i="3" s="1"/>
  <c r="T161" i="2"/>
  <c r="BD161" i="3" s="1"/>
  <c r="BG161" i="3" s="1"/>
  <c r="T162" i="2"/>
  <c r="BD162" i="3" s="1"/>
  <c r="BG162" i="3" s="1"/>
  <c r="T163" i="2"/>
  <c r="T164" i="2"/>
  <c r="BD164" i="3" s="1"/>
  <c r="BG164" i="3" s="1"/>
  <c r="T165" i="2"/>
  <c r="BD165" i="3" s="1"/>
  <c r="BG165" i="3" s="1"/>
  <c r="T166" i="2"/>
  <c r="BD166" i="3" s="1"/>
  <c r="BG166" i="3" s="1"/>
  <c r="T167" i="2"/>
  <c r="T168" i="2"/>
  <c r="BD168" i="3" s="1"/>
  <c r="BG168" i="3" s="1"/>
  <c r="T169" i="2"/>
  <c r="BD169" i="3" s="1"/>
  <c r="BG169" i="3" s="1"/>
  <c r="T170" i="2"/>
  <c r="BD170" i="3" s="1"/>
  <c r="BG170" i="3" s="1"/>
  <c r="T171" i="2"/>
  <c r="T172" i="2"/>
  <c r="BD172" i="3" s="1"/>
  <c r="BG172" i="3" s="1"/>
  <c r="T173" i="2"/>
  <c r="BD173" i="3" s="1"/>
  <c r="BG173" i="3" s="1"/>
  <c r="T174" i="2"/>
  <c r="BD174" i="3" s="1"/>
  <c r="BG174" i="3" s="1"/>
  <c r="T175" i="2"/>
  <c r="BD175" i="3" s="1"/>
  <c r="BG175" i="3" s="1"/>
  <c r="T176" i="2"/>
  <c r="BD176" i="3" s="1"/>
  <c r="BG176" i="3" s="1"/>
  <c r="T177" i="2"/>
  <c r="BD177" i="3" s="1"/>
  <c r="BG177" i="3" s="1"/>
  <c r="T178" i="2"/>
  <c r="BD178" i="3" s="1"/>
  <c r="BG178" i="3" s="1"/>
  <c r="T179" i="2"/>
  <c r="T180" i="2"/>
  <c r="BD180" i="3" s="1"/>
  <c r="BG180" i="3" s="1"/>
  <c r="T181" i="2"/>
  <c r="BD181" i="3" s="1"/>
  <c r="BG181" i="3" s="1"/>
  <c r="T182" i="2"/>
  <c r="BD182" i="3" s="1"/>
  <c r="BG182" i="3" s="1"/>
  <c r="T183" i="2"/>
  <c r="T184" i="2"/>
  <c r="BD184" i="3" s="1"/>
  <c r="BG184" i="3" s="1"/>
  <c r="T185" i="2"/>
  <c r="BD185" i="3" s="1"/>
  <c r="BG185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7" i="3" s="1"/>
  <c r="BG197" i="3" s="1"/>
  <c r="T198" i="2"/>
  <c r="BD198" i="3" s="1"/>
  <c r="BG198" i="3" s="1"/>
  <c r="T199" i="2"/>
  <c r="T200" i="2"/>
  <c r="BD200" i="3" s="1"/>
  <c r="BG200" i="3" s="1"/>
  <c r="T201" i="2"/>
  <c r="BD201" i="3" s="1"/>
  <c r="BG201" i="3" s="1"/>
  <c r="T202" i="2"/>
  <c r="BD202" i="3" s="1"/>
  <c r="BG202" i="3" s="1"/>
  <c r="T203" i="2"/>
  <c r="T204" i="2"/>
  <c r="BD204" i="3" s="1"/>
  <c r="BG204" i="3" s="1"/>
  <c r="T205" i="2"/>
  <c r="BD205" i="3" s="1"/>
  <c r="BG205" i="3" s="1"/>
  <c r="T206" i="2"/>
  <c r="BD206" i="3" s="1"/>
  <c r="BG206" i="3" s="1"/>
  <c r="T207" i="2"/>
  <c r="BD207" i="3" s="1"/>
  <c r="BG207" i="3" s="1"/>
  <c r="T208" i="2"/>
  <c r="BD208" i="3" s="1"/>
  <c r="BG208" i="3" s="1"/>
  <c r="T209" i="2"/>
  <c r="BD209" i="3" s="1"/>
  <c r="BG209" i="3" s="1"/>
  <c r="T210" i="2"/>
  <c r="BD210" i="3" s="1"/>
  <c r="BG210" i="3" s="1"/>
  <c r="T211" i="2"/>
  <c r="T212" i="2"/>
  <c r="BD212" i="3" s="1"/>
  <c r="BG212" i="3" s="1"/>
  <c r="T213" i="2"/>
  <c r="BD213" i="3" s="1"/>
  <c r="BG213" i="3" s="1"/>
  <c r="T214" i="2"/>
  <c r="BD214" i="3" s="1"/>
  <c r="BG214" i="3" s="1"/>
  <c r="T215" i="2"/>
  <c r="T216" i="2"/>
  <c r="BD216" i="3" s="1"/>
  <c r="BG216" i="3" s="1"/>
  <c r="T217" i="2"/>
  <c r="BD217" i="3" s="1"/>
  <c r="BG217" i="3" s="1"/>
  <c r="T218" i="2"/>
  <c r="BD218" i="3" s="1"/>
  <c r="BG218" i="3" s="1"/>
  <c r="T219" i="2"/>
  <c r="T220" i="2"/>
  <c r="BD220" i="3" s="1"/>
  <c r="BG220" i="3" s="1"/>
  <c r="T221" i="2"/>
  <c r="BD221" i="3" s="1"/>
  <c r="BG221" i="3" s="1"/>
  <c r="T222" i="2"/>
  <c r="BD222" i="3" s="1"/>
  <c r="BG222" i="3" s="1"/>
  <c r="T223" i="2"/>
  <c r="T224" i="2"/>
  <c r="BD224" i="3" s="1"/>
  <c r="BG224" i="3" s="1"/>
  <c r="T225" i="2"/>
  <c r="BD225" i="3" s="1"/>
  <c r="BG225" i="3" s="1"/>
  <c r="T226" i="2"/>
  <c r="BD226" i="3" s="1"/>
  <c r="BG226" i="3" s="1"/>
  <c r="T227" i="2"/>
  <c r="T228" i="2"/>
  <c r="BD228" i="3" s="1"/>
  <c r="BG228" i="3" s="1"/>
  <c r="T229" i="2"/>
  <c r="BD229" i="3" s="1"/>
  <c r="BG229" i="3" s="1"/>
  <c r="T230" i="2"/>
  <c r="BD230" i="3" s="1"/>
  <c r="BG230" i="3" s="1"/>
  <c r="T231" i="2"/>
  <c r="T232" i="2"/>
  <c r="BD232" i="3" s="1"/>
  <c r="BG232" i="3" s="1"/>
  <c r="T233" i="2"/>
  <c r="BD233" i="3" s="1"/>
  <c r="BG233" i="3" s="1"/>
  <c r="T234" i="2"/>
  <c r="BD234" i="3" s="1"/>
  <c r="BG234" i="3" s="1"/>
  <c r="T235" i="2"/>
  <c r="T236" i="2"/>
  <c r="BD236" i="3" s="1"/>
  <c r="BG236" i="3" s="1"/>
  <c r="T237" i="2"/>
  <c r="BD237" i="3" s="1"/>
  <c r="BG237" i="3" s="1"/>
  <c r="T238" i="2"/>
  <c r="BD238" i="3" s="1"/>
  <c r="BG238" i="3" s="1"/>
  <c r="T239" i="2"/>
  <c r="BD239" i="3" s="1"/>
  <c r="BG239" i="3" s="1"/>
  <c r="T240" i="2"/>
  <c r="BD240" i="3" s="1"/>
  <c r="BG240" i="3" s="1"/>
  <c r="T241" i="2"/>
  <c r="BD241" i="3" s="1"/>
  <c r="BG241" i="3" s="1"/>
  <c r="T242" i="2"/>
  <c r="BD242" i="3" s="1"/>
  <c r="BG242" i="3" s="1"/>
  <c r="T243" i="2"/>
  <c r="T244" i="2"/>
  <c r="BD244" i="3" s="1"/>
  <c r="BG244" i="3" s="1"/>
  <c r="T245" i="2"/>
  <c r="BD245" i="3" s="1"/>
  <c r="BG245" i="3" s="1"/>
  <c r="T246" i="2"/>
  <c r="BD246" i="3" s="1"/>
  <c r="BG246" i="3" s="1"/>
  <c r="T247" i="2"/>
  <c r="T248" i="2"/>
  <c r="BD248" i="3" s="1"/>
  <c r="BG248" i="3" s="1"/>
  <c r="T249" i="2"/>
  <c r="BD249" i="3" s="1"/>
  <c r="BG249" i="3" s="1"/>
  <c r="T250" i="2"/>
  <c r="BD250" i="3" s="1"/>
  <c r="BG250" i="3" s="1"/>
  <c r="T251" i="2"/>
  <c r="T252" i="2"/>
  <c r="BD252" i="3" s="1"/>
  <c r="BG252" i="3" s="1"/>
  <c r="T253" i="2"/>
  <c r="BD253" i="3" s="1"/>
  <c r="BG253" i="3" s="1"/>
  <c r="T254" i="2"/>
  <c r="BD254" i="3" s="1"/>
  <c r="BG254" i="3" s="1"/>
  <c r="T255" i="2"/>
  <c r="T256" i="2"/>
  <c r="BD256" i="3" s="1"/>
  <c r="BG256" i="3" s="1"/>
  <c r="T257" i="2"/>
  <c r="BD257" i="3" s="1"/>
  <c r="BG257" i="3" s="1"/>
  <c r="T258" i="2"/>
  <c r="BD258" i="3" s="1"/>
  <c r="BG258" i="3" s="1"/>
  <c r="T259" i="2"/>
  <c r="T260" i="2"/>
  <c r="BD260" i="3" s="1"/>
  <c r="BG260" i="3" s="1"/>
  <c r="T261" i="2"/>
  <c r="BD261" i="3" s="1"/>
  <c r="BG261" i="3" s="1"/>
  <c r="T262" i="2"/>
  <c r="BD262" i="3" s="1"/>
  <c r="BG262" i="3" s="1"/>
  <c r="T263" i="2"/>
  <c r="T264" i="2"/>
  <c r="BD264" i="3" s="1"/>
  <c r="BG264" i="3" s="1"/>
  <c r="T265" i="2"/>
  <c r="BD265" i="3" s="1"/>
  <c r="BG265" i="3" s="1"/>
  <c r="T266" i="2"/>
  <c r="BD266" i="3" s="1"/>
  <c r="BG266" i="3" s="1"/>
  <c r="T267" i="2"/>
  <c r="T268" i="2"/>
  <c r="BD268" i="3" s="1"/>
  <c r="BG268" i="3" s="1"/>
  <c r="T269" i="2"/>
  <c r="BD269" i="3" s="1"/>
  <c r="BG269" i="3" s="1"/>
  <c r="T270" i="2"/>
  <c r="BD270" i="3" s="1"/>
  <c r="BG270" i="3" s="1"/>
  <c r="T271" i="2"/>
  <c r="BD271" i="3" s="1"/>
  <c r="BG271" i="3" s="1"/>
  <c r="T272" i="2"/>
  <c r="BD272" i="3" s="1"/>
  <c r="BG272" i="3" s="1"/>
  <c r="T273" i="2"/>
  <c r="BD273" i="3" s="1"/>
  <c r="BG273" i="3" s="1"/>
  <c r="T274" i="2"/>
  <c r="BD274" i="3" s="1"/>
  <c r="BG274" i="3" s="1"/>
  <c r="T275" i="2"/>
  <c r="T276" i="2"/>
  <c r="BD276" i="3" s="1"/>
  <c r="BG276" i="3" s="1"/>
  <c r="T277" i="2"/>
  <c r="BD277" i="3" s="1"/>
  <c r="BG277" i="3" s="1"/>
  <c r="T278" i="2"/>
  <c r="BD278" i="3" s="1"/>
  <c r="BG278" i="3" s="1"/>
  <c r="T279" i="2"/>
  <c r="T280" i="2"/>
  <c r="BD280" i="3" s="1"/>
  <c r="BG280" i="3" s="1"/>
  <c r="T281" i="2"/>
  <c r="BD281" i="3" s="1"/>
  <c r="BG281" i="3" s="1"/>
  <c r="T282" i="2"/>
  <c r="BD282" i="3" s="1"/>
  <c r="BG282" i="3" s="1"/>
  <c r="T283" i="2"/>
  <c r="T284" i="2"/>
  <c r="BD284" i="3" s="1"/>
  <c r="BG284" i="3" s="1"/>
  <c r="T285" i="2"/>
  <c r="BD285" i="3" s="1"/>
  <c r="BG285" i="3" s="1"/>
  <c r="T286" i="2"/>
  <c r="BD286" i="3" s="1"/>
  <c r="BG286" i="3" s="1"/>
  <c r="T287" i="2"/>
  <c r="T288" i="2"/>
  <c r="BD288" i="3" s="1"/>
  <c r="BG288" i="3" s="1"/>
  <c r="T289" i="2"/>
  <c r="BD289" i="3" s="1"/>
  <c r="BG289" i="3" s="1"/>
  <c r="T290" i="2"/>
  <c r="BD290" i="3" s="1"/>
  <c r="BG290" i="3" s="1"/>
  <c r="T291" i="2"/>
  <c r="T292" i="2"/>
  <c r="BD292" i="3" s="1"/>
  <c r="BG292" i="3" s="1"/>
  <c r="T293" i="2"/>
  <c r="BD293" i="3" s="1"/>
  <c r="BG293" i="3" s="1"/>
  <c r="T294" i="2"/>
  <c r="BD294" i="3" s="1"/>
  <c r="BG294" i="3" s="1"/>
  <c r="T295" i="2"/>
  <c r="T296" i="2"/>
  <c r="BD296" i="3" s="1"/>
  <c r="BG296" i="3" s="1"/>
  <c r="T297" i="2"/>
  <c r="BD297" i="3" s="1"/>
  <c r="BG297" i="3" s="1"/>
  <c r="T298" i="2"/>
  <c r="BD298" i="3" s="1"/>
  <c r="BG298" i="3" s="1"/>
  <c r="T299" i="2"/>
  <c r="T300" i="2"/>
  <c r="BD300" i="3" s="1"/>
  <c r="BG300" i="3" s="1"/>
  <c r="T301" i="2"/>
  <c r="BD301" i="3" s="1"/>
  <c r="BG301" i="3" s="1"/>
  <c r="T302" i="2"/>
  <c r="BD302" i="3" s="1"/>
  <c r="BG302" i="3" s="1"/>
  <c r="T303" i="2"/>
  <c r="BD303" i="3" s="1"/>
  <c r="BG303" i="3" s="1"/>
  <c r="T304" i="2"/>
  <c r="BD304" i="3" s="1"/>
  <c r="BG304" i="3" s="1"/>
  <c r="T305" i="2"/>
  <c r="BD305" i="3" s="1"/>
  <c r="BG305" i="3" s="1"/>
  <c r="T306" i="2"/>
  <c r="BD306" i="3" s="1"/>
  <c r="BG306" i="3" s="1"/>
  <c r="T307" i="2"/>
  <c r="T308" i="2"/>
  <c r="BD308" i="3" s="1"/>
  <c r="BG308" i="3" s="1"/>
  <c r="T309" i="2"/>
  <c r="BD309" i="3" s="1"/>
  <c r="BG309" i="3" s="1"/>
  <c r="T310" i="2"/>
  <c r="BD310" i="3" s="1"/>
  <c r="BG310" i="3" s="1"/>
  <c r="T311" i="2"/>
  <c r="T312" i="2"/>
  <c r="BD312" i="3" s="1"/>
  <c r="BG312" i="3" s="1"/>
  <c r="T313" i="2"/>
  <c r="BD313" i="3" s="1"/>
  <c r="BG313" i="3" s="1"/>
  <c r="T314" i="2"/>
  <c r="BD314" i="3" s="1"/>
  <c r="BG314" i="3" s="1"/>
  <c r="T315" i="2"/>
  <c r="T316" i="2"/>
  <c r="BD316" i="3" s="1"/>
  <c r="BG316" i="3" s="1"/>
  <c r="T317" i="2"/>
  <c r="BD317" i="3" s="1"/>
  <c r="BG317" i="3" s="1"/>
  <c r="T318" i="2"/>
  <c r="BD318" i="3" s="1"/>
  <c r="BG318" i="3" s="1"/>
  <c r="T319" i="2"/>
  <c r="T320" i="2"/>
  <c r="BD320" i="3" s="1"/>
  <c r="BG320" i="3" s="1"/>
  <c r="T321" i="2"/>
  <c r="BD321" i="3" s="1"/>
  <c r="BG321" i="3" s="1"/>
  <c r="T322" i="2"/>
  <c r="BD322" i="3" s="1"/>
  <c r="BG322" i="3" s="1"/>
  <c r="T323" i="2"/>
  <c r="T324" i="2"/>
  <c r="BD324" i="3" s="1"/>
  <c r="BG324" i="3" s="1"/>
  <c r="T325" i="2"/>
  <c r="BD325" i="3" s="1"/>
  <c r="BG325" i="3" s="1"/>
  <c r="T326" i="2"/>
  <c r="BD326" i="3" s="1"/>
  <c r="BG326" i="3" s="1"/>
  <c r="T327" i="2"/>
  <c r="T328" i="2"/>
  <c r="BD328" i="3" s="1"/>
  <c r="BG328" i="3" s="1"/>
  <c r="T329" i="2"/>
  <c r="BD329" i="3" s="1"/>
  <c r="BG329" i="3" s="1"/>
  <c r="T330" i="2"/>
  <c r="BD330" i="3" s="1"/>
  <c r="BG330" i="3" s="1"/>
  <c r="T331" i="2"/>
  <c r="T332" i="2"/>
  <c r="BD332" i="3" s="1"/>
  <c r="BG332" i="3" s="1"/>
  <c r="T333" i="2"/>
  <c r="BD333" i="3" s="1"/>
  <c r="BG333" i="3" s="1"/>
  <c r="T334" i="2"/>
  <c r="BD334" i="3" s="1"/>
  <c r="BG334" i="3" s="1"/>
  <c r="T335" i="2"/>
  <c r="BD335" i="3" s="1"/>
  <c r="BG335" i="3" s="1"/>
  <c r="T336" i="2"/>
  <c r="BD336" i="3" s="1"/>
  <c r="BG336" i="3" s="1"/>
  <c r="T337" i="2"/>
  <c r="BD337" i="3" s="1"/>
  <c r="BG337" i="3" s="1"/>
  <c r="T338" i="2"/>
  <c r="BD338" i="3" s="1"/>
  <c r="BG338" i="3" s="1"/>
  <c r="T339" i="2"/>
  <c r="T340" i="2"/>
  <c r="BD340" i="3" s="1"/>
  <c r="BG340" i="3" s="1"/>
  <c r="T341" i="2"/>
  <c r="BD341" i="3" s="1"/>
  <c r="BG341" i="3" s="1"/>
  <c r="T342" i="2"/>
  <c r="BD342" i="3" s="1"/>
  <c r="BG342" i="3" s="1"/>
  <c r="T343" i="2"/>
  <c r="T344" i="2"/>
  <c r="BD344" i="3" s="1"/>
  <c r="BG344" i="3" s="1"/>
  <c r="T345" i="2"/>
  <c r="BD345" i="3" s="1"/>
  <c r="BG345" i="3" s="1"/>
  <c r="T346" i="2"/>
  <c r="BD346" i="3" s="1"/>
  <c r="BG346" i="3" s="1"/>
  <c r="T347" i="2"/>
  <c r="T348" i="2"/>
  <c r="BD348" i="3" s="1"/>
  <c r="BG348" i="3" s="1"/>
  <c r="T349" i="2"/>
  <c r="BD349" i="3" s="1"/>
  <c r="BG349" i="3" s="1"/>
  <c r="T350" i="2"/>
  <c r="BD350" i="3" s="1"/>
  <c r="BG350" i="3" s="1"/>
  <c r="T351" i="2"/>
  <c r="T352" i="2"/>
  <c r="BD352" i="3" s="1"/>
  <c r="BG352" i="3" s="1"/>
  <c r="T353" i="2"/>
  <c r="BD353" i="3" s="1"/>
  <c r="BG353" i="3" s="1"/>
  <c r="T354" i="2"/>
  <c r="BD354" i="3" s="1"/>
  <c r="BG354" i="3" s="1"/>
  <c r="T355" i="2"/>
  <c r="T356" i="2"/>
  <c r="BD356" i="3" s="1"/>
  <c r="BG356" i="3" s="1"/>
  <c r="T357" i="2"/>
  <c r="BD357" i="3" s="1"/>
  <c r="BG357" i="3" s="1"/>
  <c r="T358" i="2"/>
  <c r="BD358" i="3" s="1"/>
  <c r="BG358" i="3" s="1"/>
  <c r="T359" i="2"/>
  <c r="T360" i="2"/>
  <c r="BD360" i="3" s="1"/>
  <c r="BG360" i="3" s="1"/>
  <c r="T361" i="2"/>
  <c r="BD361" i="3" s="1"/>
  <c r="BG361" i="3" s="1"/>
  <c r="T362" i="2"/>
  <c r="BD362" i="3" s="1"/>
  <c r="BG362" i="3" s="1"/>
  <c r="T363" i="2"/>
  <c r="T364" i="2"/>
  <c r="BD364" i="3" s="1"/>
  <c r="BG364" i="3" s="1"/>
  <c r="T365" i="2"/>
  <c r="BD365" i="3" s="1"/>
  <c r="BG365" i="3" s="1"/>
  <c r="T366" i="2"/>
  <c r="BD366" i="3" s="1"/>
  <c r="BG366" i="3" s="1"/>
  <c r="T367" i="2"/>
  <c r="BD367" i="3" s="1"/>
  <c r="BG367" i="3" s="1"/>
  <c r="T368" i="2"/>
  <c r="T369" i="2"/>
  <c r="T370" i="2"/>
  <c r="T371" i="2"/>
  <c r="BD666" i="3" s="1"/>
  <c r="BG666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8" i="3" s="1"/>
  <c r="BG678" i="3" s="1"/>
  <c r="T384" i="2"/>
  <c r="T385" i="2"/>
  <c r="T386" i="2"/>
  <c r="T387" i="2"/>
  <c r="BD682" i="3" s="1"/>
  <c r="BG682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8" i="3" s="1"/>
  <c r="BG698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0" i="3" s="1"/>
  <c r="BG710" i="3" s="1"/>
  <c r="T416" i="2"/>
  <c r="T417" i="2"/>
  <c r="T418" i="2"/>
  <c r="T419" i="2"/>
  <c r="BD714" i="3" s="1"/>
  <c r="BG714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0" i="3" s="1"/>
  <c r="BG730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2" i="3" s="1"/>
  <c r="BG742" i="3" s="1"/>
  <c r="T448" i="2"/>
  <c r="T449" i="2"/>
  <c r="T450" i="2"/>
  <c r="T451" i="2"/>
  <c r="BD746" i="3" s="1"/>
  <c r="BG746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8" i="3" s="1"/>
  <c r="BG758" i="3" s="1"/>
  <c r="T464" i="2"/>
  <c r="T465" i="2"/>
  <c r="T466" i="2"/>
  <c r="T467" i="2"/>
  <c r="BD762" i="3" s="1"/>
  <c r="BG762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4" i="3" s="1"/>
  <c r="BG774" i="3" s="1"/>
  <c r="T480" i="2"/>
  <c r="T481" i="2"/>
  <c r="T482" i="2"/>
  <c r="T483" i="2"/>
  <c r="BD778" i="3" s="1"/>
  <c r="BG778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0" i="3" s="1"/>
  <c r="BG790" i="3" s="1"/>
  <c r="T496" i="2"/>
  <c r="T497" i="2"/>
  <c r="T498" i="2"/>
  <c r="T499" i="2"/>
  <c r="BD794" i="3" s="1"/>
  <c r="BG794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6" i="3" s="1"/>
  <c r="BG806" i="3" s="1"/>
  <c r="T512" i="2"/>
  <c r="T513" i="2"/>
  <c r="T514" i="2"/>
  <c r="T515" i="2"/>
  <c r="BD810" i="3" s="1"/>
  <c r="BG810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6" i="3" s="1"/>
  <c r="BG826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8" i="3" s="1"/>
  <c r="BG838" i="3" s="1"/>
  <c r="T544" i="2"/>
  <c r="T545" i="2"/>
  <c r="T546" i="2"/>
  <c r="T547" i="2"/>
  <c r="BD842" i="3" s="1"/>
  <c r="BG842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8" i="3" s="1"/>
  <c r="BG858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0" i="3" s="1"/>
  <c r="BG870" i="3" s="1"/>
  <c r="T576" i="2"/>
  <c r="T577" i="2"/>
  <c r="T578" i="2"/>
  <c r="T579" i="2"/>
  <c r="BD874" i="3" s="1"/>
  <c r="BG874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6" i="3" s="1"/>
  <c r="BG886" i="3" s="1"/>
  <c r="T592" i="2"/>
  <c r="T593" i="2"/>
  <c r="T594" i="2"/>
  <c r="T595" i="2"/>
  <c r="BD890" i="3" s="1"/>
  <c r="BG890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2" i="3" s="1"/>
  <c r="BG902" i="3" s="1"/>
  <c r="T608" i="2"/>
  <c r="T609" i="2"/>
  <c r="T610" i="2"/>
  <c r="T611" i="2"/>
  <c r="BD906" i="3" s="1"/>
  <c r="BG906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8" i="3" s="1"/>
  <c r="BG918" i="3" s="1"/>
  <c r="T624" i="2"/>
  <c r="T625" i="2"/>
  <c r="T626" i="2"/>
  <c r="T627" i="2"/>
  <c r="BD922" i="3" s="1"/>
  <c r="BG922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4" i="3" s="1"/>
  <c r="BG934" i="3" s="1"/>
  <c r="T640" i="2"/>
  <c r="T641" i="2"/>
  <c r="T642" i="2"/>
  <c r="T643" i="2"/>
  <c r="BD938" i="3" s="1"/>
  <c r="BG938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4" i="3" s="1"/>
  <c r="BG954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6" i="3" s="1"/>
  <c r="BG966" i="3" s="1"/>
  <c r="T672" i="2"/>
  <c r="T673" i="2"/>
  <c r="T674" i="2"/>
  <c r="T675" i="2"/>
  <c r="BD970" i="3" s="1"/>
  <c r="BG970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6" i="3" s="1"/>
  <c r="BG986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8" i="3" s="1"/>
  <c r="BG998" i="3" s="1"/>
  <c r="T704" i="2"/>
  <c r="T705" i="2"/>
  <c r="T706" i="2"/>
  <c r="T707" i="2"/>
  <c r="BD1002" i="3" s="1"/>
  <c r="BG1002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4" i="3" s="1"/>
  <c r="BG1014" i="3" s="1"/>
  <c r="T720" i="2"/>
  <c r="T721" i="2"/>
  <c r="T722" i="2"/>
  <c r="T723" i="2"/>
  <c r="BD1018" i="3" s="1"/>
  <c r="BG1018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0" i="3" s="1"/>
  <c r="BG1030" i="3" s="1"/>
  <c r="T736" i="2"/>
  <c r="T737" i="2"/>
  <c r="T738" i="2"/>
  <c r="T739" i="2"/>
  <c r="BD1034" i="3" s="1"/>
  <c r="BG1034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6" i="3" s="1"/>
  <c r="BG1046" i="3" s="1"/>
  <c r="T752" i="2"/>
  <c r="T753" i="2"/>
  <c r="T754" i="2"/>
  <c r="T755" i="2"/>
  <c r="BD1050" i="3" s="1"/>
  <c r="BG1050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2" i="3" s="1"/>
  <c r="BG1062" i="3" s="1"/>
  <c r="T768" i="2"/>
  <c r="T769" i="2"/>
  <c r="T770" i="2"/>
  <c r="T771" i="2"/>
  <c r="BD1066" i="3" s="1"/>
  <c r="BG1066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2" i="3" s="1"/>
  <c r="BG1082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4" i="3" s="1"/>
  <c r="BG1094" i="3" s="1"/>
  <c r="T800" i="2"/>
  <c r="T801" i="2"/>
  <c r="T802" i="2"/>
  <c r="T803" i="2"/>
  <c r="BD1098" i="3" s="1"/>
  <c r="BG1098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4" i="3" s="1"/>
  <c r="BG1114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6" i="3" s="1"/>
  <c r="BG1126" i="3" s="1"/>
  <c r="T832" i="2"/>
  <c r="T833" i="2"/>
  <c r="T834" i="2"/>
  <c r="T835" i="2"/>
  <c r="BD1130" i="3" s="1"/>
  <c r="BG1130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2" i="3" s="1"/>
  <c r="BG1142" i="3" s="1"/>
  <c r="T848" i="2"/>
  <c r="T849" i="2"/>
  <c r="T850" i="2"/>
  <c r="T851" i="2"/>
  <c r="BD1146" i="3" s="1"/>
  <c r="BG1146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8" i="3" s="1"/>
  <c r="BG1158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O314" i="2" l="1"/>
  <c r="AO314" i="3" s="1"/>
  <c r="AR314" i="3" s="1"/>
  <c r="AO912" i="3"/>
  <c r="AR912" i="3" s="1"/>
  <c r="AO237" i="3"/>
  <c r="AR237" i="3" s="1"/>
  <c r="O364" i="2"/>
  <c r="O356" i="2"/>
  <c r="AO356" i="3" s="1"/>
  <c r="AR356" i="3" s="1"/>
  <c r="O348" i="2"/>
  <c r="O344" i="2"/>
  <c r="AO344" i="3" s="1"/>
  <c r="AR344" i="3" s="1"/>
  <c r="O340" i="2"/>
  <c r="O336" i="2"/>
  <c r="AO336" i="3" s="1"/>
  <c r="AR336" i="3" s="1"/>
  <c r="O332" i="2"/>
  <c r="O328" i="2"/>
  <c r="AO623" i="3" s="1"/>
  <c r="AR623" i="3" s="1"/>
  <c r="O324" i="2"/>
  <c r="O320" i="2"/>
  <c r="AO320" i="3" s="1"/>
  <c r="AR320" i="3" s="1"/>
  <c r="O316" i="2"/>
  <c r="O312" i="2"/>
  <c r="AO312" i="3" s="1"/>
  <c r="AR312" i="3" s="1"/>
  <c r="O308" i="2"/>
  <c r="O304" i="2"/>
  <c r="AO304" i="3" s="1"/>
  <c r="AR304" i="3" s="1"/>
  <c r="O300" i="2"/>
  <c r="AO300" i="3" s="1"/>
  <c r="AR300" i="3" s="1"/>
  <c r="O296" i="2"/>
  <c r="AO591" i="3" s="1"/>
  <c r="AR591" i="3" s="1"/>
  <c r="O292" i="2"/>
  <c r="O288" i="2"/>
  <c r="AO288" i="3" s="1"/>
  <c r="AR288" i="3" s="1"/>
  <c r="O284" i="2"/>
  <c r="AO284" i="3" s="1"/>
  <c r="AR284" i="3" s="1"/>
  <c r="O276" i="2"/>
  <c r="AO276" i="3" s="1"/>
  <c r="AR276" i="3" s="1"/>
  <c r="O272" i="2"/>
  <c r="O268" i="2"/>
  <c r="AO268" i="3" s="1"/>
  <c r="AR268" i="3" s="1"/>
  <c r="O264" i="2"/>
  <c r="AO264" i="3" s="1"/>
  <c r="AR264" i="3" s="1"/>
  <c r="O260" i="2"/>
  <c r="AO555" i="3" s="1"/>
  <c r="AR555" i="3" s="1"/>
  <c r="O252" i="2"/>
  <c r="O248" i="2"/>
  <c r="AO248" i="3" s="1"/>
  <c r="AR248" i="3" s="1"/>
  <c r="O244" i="2"/>
  <c r="AO244" i="3" s="1"/>
  <c r="AR244" i="3" s="1"/>
  <c r="O240" i="2"/>
  <c r="AO240" i="3" s="1"/>
  <c r="AR240" i="3" s="1"/>
  <c r="O236" i="2"/>
  <c r="O232" i="2"/>
  <c r="AO232" i="3" s="1"/>
  <c r="AR232" i="3" s="1"/>
  <c r="O228" i="2"/>
  <c r="AO228" i="3" s="1"/>
  <c r="AR228" i="3" s="1"/>
  <c r="O224" i="2"/>
  <c r="AO519" i="3" s="1"/>
  <c r="AR519" i="3" s="1"/>
  <c r="O220" i="2"/>
  <c r="O216" i="2"/>
  <c r="AO216" i="3" s="1"/>
  <c r="AR216" i="3" s="1"/>
  <c r="O212" i="2"/>
  <c r="AO212" i="3" s="1"/>
  <c r="AR212" i="3" s="1"/>
  <c r="O208" i="2"/>
  <c r="AO208" i="3" s="1"/>
  <c r="AR208" i="3" s="1"/>
  <c r="O204" i="2"/>
  <c r="O200" i="2"/>
  <c r="AO200" i="3" s="1"/>
  <c r="AR200" i="3" s="1"/>
  <c r="O196" i="2"/>
  <c r="AO491" i="3" s="1"/>
  <c r="AR491" i="3" s="1"/>
  <c r="O192" i="2"/>
  <c r="AO192" i="3" s="1"/>
  <c r="AR192" i="3" s="1"/>
  <c r="O188" i="2"/>
  <c r="AO483" i="3" s="1"/>
  <c r="AR483" i="3" s="1"/>
  <c r="O184" i="2"/>
  <c r="AO479" i="3" s="1"/>
  <c r="AR479" i="3" s="1"/>
  <c r="O180" i="2"/>
  <c r="O176" i="2"/>
  <c r="AO176" i="3" s="1"/>
  <c r="AR176" i="3" s="1"/>
  <c r="O172" i="2"/>
  <c r="AO172" i="3" s="1"/>
  <c r="AR172" i="3" s="1"/>
  <c r="O168" i="2"/>
  <c r="O164" i="2"/>
  <c r="AO164" i="3" s="1"/>
  <c r="AR164" i="3" s="1"/>
  <c r="O160" i="2"/>
  <c r="AO160" i="3" s="1"/>
  <c r="AR160" i="3" s="1"/>
  <c r="O156" i="2"/>
  <c r="AO156" i="3" s="1"/>
  <c r="AR156" i="3" s="1"/>
  <c r="O152" i="2"/>
  <c r="O148" i="2"/>
  <c r="O144" i="2"/>
  <c r="AO439" i="3" s="1"/>
  <c r="AR439" i="3" s="1"/>
  <c r="O140" i="2"/>
  <c r="AO140" i="3" s="1"/>
  <c r="AR140" i="3" s="1"/>
  <c r="O136" i="2"/>
  <c r="O132" i="2"/>
  <c r="AO132" i="3" s="1"/>
  <c r="AR132" i="3" s="1"/>
  <c r="O128" i="2"/>
  <c r="O124" i="2"/>
  <c r="AO124" i="3" s="1"/>
  <c r="AR124" i="3" s="1"/>
  <c r="O120" i="2"/>
  <c r="AO415" i="3" s="1"/>
  <c r="AR415" i="3" s="1"/>
  <c r="O116" i="2"/>
  <c r="O112" i="2"/>
  <c r="AO112" i="3" s="1"/>
  <c r="AR112" i="3" s="1"/>
  <c r="O108" i="2"/>
  <c r="AO108" i="3" s="1"/>
  <c r="AR108" i="3" s="1"/>
  <c r="O104" i="2"/>
  <c r="O100" i="2"/>
  <c r="AO100" i="3" s="1"/>
  <c r="AR100" i="3" s="1"/>
  <c r="O96" i="2"/>
  <c r="AO391" i="3" s="1"/>
  <c r="AR391" i="3" s="1"/>
  <c r="O92" i="2"/>
  <c r="O84" i="2"/>
  <c r="AO379" i="3" s="1"/>
  <c r="AR379" i="3" s="1"/>
  <c r="O80" i="2"/>
  <c r="AO80" i="3" s="1"/>
  <c r="AR80" i="3" s="1"/>
  <c r="O76" i="2"/>
  <c r="AO76" i="3" s="1"/>
  <c r="AR76" i="3" s="1"/>
  <c r="O72" i="2"/>
  <c r="AO72" i="3" s="1"/>
  <c r="AR72" i="3" s="1"/>
  <c r="O68" i="2"/>
  <c r="AO68" i="3" s="1"/>
  <c r="AR68" i="3" s="1"/>
  <c r="O64" i="2"/>
  <c r="AO64" i="3" s="1"/>
  <c r="AR64" i="3" s="1"/>
  <c r="O60" i="2"/>
  <c r="AO60" i="3" s="1"/>
  <c r="AR60" i="3" s="1"/>
  <c r="O56" i="2"/>
  <c r="AO56" i="3" s="1"/>
  <c r="AR56" i="3" s="1"/>
  <c r="O52" i="2"/>
  <c r="AO52" i="3" s="1"/>
  <c r="AR52" i="3" s="1"/>
  <c r="O48" i="2"/>
  <c r="AO48" i="3" s="1"/>
  <c r="AR48" i="3" s="1"/>
  <c r="O44" i="2"/>
  <c r="AO44" i="3" s="1"/>
  <c r="AR44" i="3" s="1"/>
  <c r="O40" i="2"/>
  <c r="AO40" i="3" s="1"/>
  <c r="AR40" i="3" s="1"/>
  <c r="O36" i="2"/>
  <c r="AO36" i="3" s="1"/>
  <c r="AR36" i="3" s="1"/>
  <c r="O28" i="2"/>
  <c r="AO28" i="3" s="1"/>
  <c r="AR28" i="3" s="1"/>
  <c r="O24" i="2"/>
  <c r="AO24" i="3" s="1"/>
  <c r="AR24" i="3" s="1"/>
  <c r="O20" i="2"/>
  <c r="AO20" i="3" s="1"/>
  <c r="AR20" i="3" s="1"/>
  <c r="Q71" i="2"/>
  <c r="AT71" i="3" s="1"/>
  <c r="AW71" i="3" s="1"/>
  <c r="Q39" i="2"/>
  <c r="AT39" i="3" s="1"/>
  <c r="AW39" i="3" s="1"/>
  <c r="S363" i="2"/>
  <c r="AY363" i="3" s="1"/>
  <c r="BB363" i="3" s="1"/>
  <c r="S355" i="2"/>
  <c r="AY355" i="3" s="1"/>
  <c r="BB355" i="3" s="1"/>
  <c r="S347" i="2"/>
  <c r="AY347" i="3" s="1"/>
  <c r="BB347" i="3" s="1"/>
  <c r="S339" i="2"/>
  <c r="S331" i="2"/>
  <c r="AY331" i="3" s="1"/>
  <c r="BB331" i="3" s="1"/>
  <c r="S323" i="2"/>
  <c r="S315" i="2"/>
  <c r="AY315" i="3" s="1"/>
  <c r="BB315" i="3" s="1"/>
  <c r="S307" i="2"/>
  <c r="AY307" i="3" s="1"/>
  <c r="BB307" i="3" s="1"/>
  <c r="S299" i="2"/>
  <c r="AY299" i="3" s="1"/>
  <c r="BB299" i="3" s="1"/>
  <c r="S291" i="2"/>
  <c r="AY291" i="3" s="1"/>
  <c r="BB291" i="3" s="1"/>
  <c r="S283" i="2"/>
  <c r="AY283" i="3" s="1"/>
  <c r="BB283" i="3" s="1"/>
  <c r="S267" i="2"/>
  <c r="AY267" i="3" s="1"/>
  <c r="BB267" i="3" s="1"/>
  <c r="S259" i="2"/>
  <c r="AY259" i="3" s="1"/>
  <c r="BB259" i="3" s="1"/>
  <c r="S235" i="2"/>
  <c r="AY235" i="3" s="1"/>
  <c r="BB235" i="3" s="1"/>
  <c r="S227" i="2"/>
  <c r="AY227" i="3" s="1"/>
  <c r="BB227" i="3" s="1"/>
  <c r="S211" i="2"/>
  <c r="S203" i="2"/>
  <c r="AY203" i="3" s="1"/>
  <c r="BB203" i="3" s="1"/>
  <c r="S195" i="2"/>
  <c r="AY377" i="3" s="1"/>
  <c r="BB377" i="3" s="1"/>
  <c r="S179" i="2"/>
  <c r="AY179" i="3" s="1"/>
  <c r="BB179" i="3" s="1"/>
  <c r="S171" i="2"/>
  <c r="AY171" i="3" s="1"/>
  <c r="BB171" i="3" s="1"/>
  <c r="S155" i="2"/>
  <c r="S147" i="2"/>
  <c r="AY147" i="3" s="1"/>
  <c r="BB147" i="3" s="1"/>
  <c r="S139" i="2"/>
  <c r="AY139" i="3" s="1"/>
  <c r="BB139" i="3" s="1"/>
  <c r="S123" i="2"/>
  <c r="AY123" i="3" s="1"/>
  <c r="BB123" i="3" s="1"/>
  <c r="S115" i="2"/>
  <c r="AY115" i="3" s="1"/>
  <c r="BB115" i="3" s="1"/>
  <c r="S107" i="2"/>
  <c r="AY107" i="3" s="1"/>
  <c r="BB107" i="3" s="1"/>
  <c r="S99" i="2"/>
  <c r="S91" i="2"/>
  <c r="AY91" i="3" s="1"/>
  <c r="BB91" i="3" s="1"/>
  <c r="S83" i="2"/>
  <c r="AY83" i="3" s="1"/>
  <c r="BB83" i="3" s="1"/>
  <c r="S75" i="2"/>
  <c r="AY75" i="3" s="1"/>
  <c r="BB75" i="3" s="1"/>
  <c r="S59" i="2"/>
  <c r="AY59" i="3" s="1"/>
  <c r="BB59" i="3" s="1"/>
  <c r="S43" i="2"/>
  <c r="AY43" i="3" s="1"/>
  <c r="BB43" i="3" s="1"/>
  <c r="S35" i="2"/>
  <c r="AY35" i="3" s="1"/>
  <c r="BB35" i="3" s="1"/>
  <c r="S27" i="2"/>
  <c r="AY27" i="3"/>
  <c r="BB27" i="3" s="1"/>
  <c r="S23" i="2"/>
  <c r="AY23" i="3" s="1"/>
  <c r="BB23" i="3" s="1"/>
  <c r="S19" i="2"/>
  <c r="AY19" i="3" s="1"/>
  <c r="BB19" i="3" s="1"/>
  <c r="S15" i="2"/>
  <c r="S11" i="2"/>
  <c r="AY12" i="3" s="1"/>
  <c r="BB12" i="3" s="1"/>
  <c r="U363" i="2"/>
  <c r="BD363" i="3"/>
  <c r="BG363" i="3" s="1"/>
  <c r="U359" i="2"/>
  <c r="BD359" i="3"/>
  <c r="BG359" i="3" s="1"/>
  <c r="BD650" i="3"/>
  <c r="BG650" i="3" s="1"/>
  <c r="BD355" i="3"/>
  <c r="BG355" i="3" s="1"/>
  <c r="BD646" i="3"/>
  <c r="BG646" i="3" s="1"/>
  <c r="BD351" i="3"/>
  <c r="BG351" i="3" s="1"/>
  <c r="U347" i="2"/>
  <c r="BD347" i="3"/>
  <c r="BG347" i="3" s="1"/>
  <c r="U343" i="2"/>
  <c r="BD343" i="3"/>
  <c r="BG343" i="3" s="1"/>
  <c r="BD634" i="3"/>
  <c r="BG634" i="3" s="1"/>
  <c r="BD339" i="3"/>
  <c r="BG339" i="3" s="1"/>
  <c r="U331" i="2"/>
  <c r="BD331" i="3"/>
  <c r="BG331" i="3" s="1"/>
  <c r="U327" i="2"/>
  <c r="BD327" i="3"/>
  <c r="BG327" i="3" s="1"/>
  <c r="BD618" i="3"/>
  <c r="BG618" i="3" s="1"/>
  <c r="BD323" i="3"/>
  <c r="BG323" i="3" s="1"/>
  <c r="BD614" i="3"/>
  <c r="BG614" i="3" s="1"/>
  <c r="BD319" i="3"/>
  <c r="BG319" i="3" s="1"/>
  <c r="U315" i="2"/>
  <c r="BD315" i="3"/>
  <c r="BG315" i="3" s="1"/>
  <c r="U311" i="2"/>
  <c r="BD311" i="3"/>
  <c r="BG311" i="3" s="1"/>
  <c r="BD602" i="3"/>
  <c r="BG602" i="3" s="1"/>
  <c r="BD307" i="3"/>
  <c r="BG307" i="3" s="1"/>
  <c r="U299" i="2"/>
  <c r="BD299" i="3"/>
  <c r="BG299" i="3" s="1"/>
  <c r="U295" i="2"/>
  <c r="BD295" i="3"/>
  <c r="BG295" i="3" s="1"/>
  <c r="BD586" i="3"/>
  <c r="BG586" i="3" s="1"/>
  <c r="BD291" i="3"/>
  <c r="BG291" i="3" s="1"/>
  <c r="BD582" i="3"/>
  <c r="BG582" i="3" s="1"/>
  <c r="BD287" i="3"/>
  <c r="BG287" i="3" s="1"/>
  <c r="U283" i="2"/>
  <c r="BD283" i="3"/>
  <c r="BG283" i="3" s="1"/>
  <c r="U279" i="2"/>
  <c r="BD279" i="3"/>
  <c r="BG279" i="3" s="1"/>
  <c r="BD570" i="3"/>
  <c r="BG570" i="3" s="1"/>
  <c r="BD275" i="3"/>
  <c r="BG275" i="3" s="1"/>
  <c r="U267" i="2"/>
  <c r="BD267" i="3"/>
  <c r="BG267" i="3" s="1"/>
  <c r="U263" i="2"/>
  <c r="BD263" i="3"/>
  <c r="BG263" i="3" s="1"/>
  <c r="BD554" i="3"/>
  <c r="BG554" i="3" s="1"/>
  <c r="BD259" i="3"/>
  <c r="BG259" i="3" s="1"/>
  <c r="BD550" i="3"/>
  <c r="BG550" i="3" s="1"/>
  <c r="BD255" i="3"/>
  <c r="BG255" i="3" s="1"/>
  <c r="U251" i="2"/>
  <c r="BD251" i="3"/>
  <c r="BG251" i="3" s="1"/>
  <c r="U247" i="2"/>
  <c r="BD247" i="3"/>
  <c r="BG247" i="3" s="1"/>
  <c r="BD538" i="3"/>
  <c r="BG538" i="3" s="1"/>
  <c r="BD243" i="3"/>
  <c r="BG243" i="3" s="1"/>
  <c r="U235" i="2"/>
  <c r="BD235" i="3"/>
  <c r="BG235" i="3" s="1"/>
  <c r="U231" i="2"/>
  <c r="BD231" i="3"/>
  <c r="BG231" i="3" s="1"/>
  <c r="BD522" i="3"/>
  <c r="BG522" i="3" s="1"/>
  <c r="BD227" i="3"/>
  <c r="BG227" i="3" s="1"/>
  <c r="BD518" i="3"/>
  <c r="BG518" i="3" s="1"/>
  <c r="BD223" i="3"/>
  <c r="BG223" i="3" s="1"/>
  <c r="U219" i="2"/>
  <c r="BD219" i="3"/>
  <c r="BG219" i="3" s="1"/>
  <c r="U215" i="2"/>
  <c r="BD215" i="3"/>
  <c r="BG215" i="3" s="1"/>
  <c r="BD506" i="3"/>
  <c r="BG506" i="3" s="1"/>
  <c r="BD211" i="3"/>
  <c r="BG211" i="3" s="1"/>
  <c r="U203" i="2"/>
  <c r="BD203" i="3"/>
  <c r="BG203" i="3" s="1"/>
  <c r="U199" i="2"/>
  <c r="BD199" i="3"/>
  <c r="BG199" i="3" s="1"/>
  <c r="BD490" i="3"/>
  <c r="BG490" i="3" s="1"/>
  <c r="BD195" i="3"/>
  <c r="BG195" i="3" s="1"/>
  <c r="BD377" i="3"/>
  <c r="BG377" i="3" s="1"/>
  <c r="BD486" i="3"/>
  <c r="BG486" i="3" s="1"/>
  <c r="BD191" i="3"/>
  <c r="BG191" i="3" s="1"/>
  <c r="BD373" i="3"/>
  <c r="BG373" i="3" s="1"/>
  <c r="U187" i="2"/>
  <c r="BD187" i="3"/>
  <c r="BG187" i="3" s="1"/>
  <c r="BD369" i="3"/>
  <c r="BG369" i="3" s="1"/>
  <c r="U183" i="2"/>
  <c r="BD183" i="3"/>
  <c r="BG183" i="3" s="1"/>
  <c r="BD474" i="3"/>
  <c r="BG474" i="3" s="1"/>
  <c r="BD179" i="3"/>
  <c r="BG179" i="3" s="1"/>
  <c r="U171" i="2"/>
  <c r="BD171" i="3"/>
  <c r="BG171" i="3" s="1"/>
  <c r="U167" i="2"/>
  <c r="BD167" i="3"/>
  <c r="BG167" i="3" s="1"/>
  <c r="BD458" i="3"/>
  <c r="BG458" i="3" s="1"/>
  <c r="BD163" i="3"/>
  <c r="BG163" i="3" s="1"/>
  <c r="BD454" i="3"/>
  <c r="BG454" i="3" s="1"/>
  <c r="BD159" i="3"/>
  <c r="BG159" i="3" s="1"/>
  <c r="U155" i="2"/>
  <c r="BD155" i="3"/>
  <c r="BG155" i="3" s="1"/>
  <c r="U151" i="2"/>
  <c r="BD151" i="3"/>
  <c r="BG151" i="3" s="1"/>
  <c r="BD442" i="3"/>
  <c r="BG442" i="3" s="1"/>
  <c r="BD147" i="3"/>
  <c r="BG147" i="3" s="1"/>
  <c r="U139" i="2"/>
  <c r="BD139" i="3"/>
  <c r="BG139" i="3" s="1"/>
  <c r="U135" i="2"/>
  <c r="BD135" i="3"/>
  <c r="BG135" i="3" s="1"/>
  <c r="BD426" i="3"/>
  <c r="BG426" i="3" s="1"/>
  <c r="BD131" i="3"/>
  <c r="BG131" i="3" s="1"/>
  <c r="BD422" i="3"/>
  <c r="BG422" i="3" s="1"/>
  <c r="BD127" i="3"/>
  <c r="BG127" i="3" s="1"/>
  <c r="U123" i="2"/>
  <c r="BD123" i="3"/>
  <c r="BG123" i="3" s="1"/>
  <c r="U119" i="2"/>
  <c r="BD119" i="3"/>
  <c r="BG119" i="3" s="1"/>
  <c r="BD410" i="3"/>
  <c r="BG410" i="3" s="1"/>
  <c r="BD115" i="3"/>
  <c r="BG115" i="3" s="1"/>
  <c r="U107" i="2"/>
  <c r="BD107" i="3"/>
  <c r="BG107" i="3" s="1"/>
  <c r="U103" i="2"/>
  <c r="BD103" i="3"/>
  <c r="BG103" i="3" s="1"/>
  <c r="BD394" i="3"/>
  <c r="BG394" i="3" s="1"/>
  <c r="BD99" i="3"/>
  <c r="BG99" i="3" s="1"/>
  <c r="BD390" i="3"/>
  <c r="BG390" i="3" s="1"/>
  <c r="BD95" i="3"/>
  <c r="BG95" i="3" s="1"/>
  <c r="U91" i="2"/>
  <c r="BD91" i="3"/>
  <c r="BG91" i="3" s="1"/>
  <c r="U87" i="2"/>
  <c r="BD87" i="3"/>
  <c r="BG87" i="3" s="1"/>
  <c r="U75" i="2"/>
  <c r="BD75" i="3"/>
  <c r="BG75" i="3" s="1"/>
  <c r="U71" i="2"/>
  <c r="BD71" i="3"/>
  <c r="BG71" i="3" s="1"/>
  <c r="U59" i="2"/>
  <c r="BD59" i="3"/>
  <c r="BG59" i="3" s="1"/>
  <c r="U55" i="2"/>
  <c r="BD55" i="3"/>
  <c r="BG55" i="3" s="1"/>
  <c r="U43" i="2"/>
  <c r="BD43" i="3"/>
  <c r="BG43" i="3" s="1"/>
  <c r="U39" i="2"/>
  <c r="BD39" i="3"/>
  <c r="BG39" i="3" s="1"/>
  <c r="U27" i="2"/>
  <c r="BD27" i="3"/>
  <c r="BG27" i="3" s="1"/>
  <c r="U23" i="2"/>
  <c r="BD23" i="3"/>
  <c r="BG23" i="3" s="1"/>
  <c r="U19" i="2"/>
  <c r="BD19" i="3"/>
  <c r="BG19" i="3" s="1"/>
  <c r="U11" i="2"/>
  <c r="BD12" i="3"/>
  <c r="BG12" i="3" s="1"/>
  <c r="U751" i="2"/>
  <c r="U623" i="2"/>
  <c r="U495" i="2"/>
  <c r="U367" i="2"/>
  <c r="U239" i="2"/>
  <c r="U111" i="2"/>
  <c r="BI662" i="3"/>
  <c r="BL662" i="3" s="1"/>
  <c r="BI367" i="3"/>
  <c r="BL367" i="3" s="1"/>
  <c r="W363" i="2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W331" i="2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W299" i="2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W267" i="2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W235" i="2"/>
  <c r="BI235" i="3"/>
  <c r="BL235" i="3" s="1"/>
  <c r="W219" i="2"/>
  <c r="BI219" i="3"/>
  <c r="BL219" i="3" s="1"/>
  <c r="W203" i="2"/>
  <c r="BI203" i="3"/>
  <c r="BL203" i="3" s="1"/>
  <c r="BI195" i="3"/>
  <c r="BL195" i="3" s="1"/>
  <c r="BI377" i="3"/>
  <c r="BL377" i="3" s="1"/>
  <c r="BI191" i="3"/>
  <c r="BL191" i="3" s="1"/>
  <c r="BI373" i="3"/>
  <c r="BL373" i="3" s="1"/>
  <c r="W187" i="2"/>
  <c r="BI187" i="3"/>
  <c r="BL187" i="3" s="1"/>
  <c r="BI369" i="3"/>
  <c r="BL369" i="3" s="1"/>
  <c r="W171" i="2"/>
  <c r="BI171" i="3"/>
  <c r="BL171" i="3" s="1"/>
  <c r="W155" i="2"/>
  <c r="BI155" i="3"/>
  <c r="BL155" i="3" s="1"/>
  <c r="W139" i="2"/>
  <c r="BI139" i="3"/>
  <c r="BL139" i="3" s="1"/>
  <c r="W123" i="2"/>
  <c r="BI123" i="3"/>
  <c r="BL123" i="3" s="1"/>
  <c r="W107" i="2"/>
  <c r="BI107" i="3"/>
  <c r="BL107" i="3" s="1"/>
  <c r="W91" i="2"/>
  <c r="BI91" i="3"/>
  <c r="BL91" i="3" s="1"/>
  <c r="W75" i="2"/>
  <c r="BI75" i="3"/>
  <c r="BL75" i="3" s="1"/>
  <c r="W59" i="2"/>
  <c r="BI59" i="3"/>
  <c r="BL59" i="3" s="1"/>
  <c r="W43" i="2"/>
  <c r="BI43" i="3"/>
  <c r="BL43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0" i="3"/>
  <c r="BG1110" i="3" s="1"/>
  <c r="BD982" i="3"/>
  <c r="BG982" i="3" s="1"/>
  <c r="BD854" i="3"/>
  <c r="BG854" i="3" s="1"/>
  <c r="BD726" i="3"/>
  <c r="BG726" i="3" s="1"/>
  <c r="BD598" i="3"/>
  <c r="BG598" i="3" s="1"/>
  <c r="BD470" i="3"/>
  <c r="BG470" i="3" s="1"/>
  <c r="BI1138" i="3"/>
  <c r="BL1138" i="3" s="1"/>
  <c r="BI1010" i="3"/>
  <c r="BL1010" i="3" s="1"/>
  <c r="BI882" i="3"/>
  <c r="BL882" i="3" s="1"/>
  <c r="BI754" i="3"/>
  <c r="BL754" i="3" s="1"/>
  <c r="BI626" i="3"/>
  <c r="BL626" i="3" s="1"/>
  <c r="BI498" i="3"/>
  <c r="BL498" i="3" s="1"/>
  <c r="O367" i="2"/>
  <c r="O363" i="2"/>
  <c r="AO363" i="3" s="1"/>
  <c r="AR363" i="3" s="1"/>
  <c r="O359" i="2"/>
  <c r="AO359" i="3" s="1"/>
  <c r="AR359" i="3" s="1"/>
  <c r="O355" i="2"/>
  <c r="AO650" i="3" s="1"/>
  <c r="AR650" i="3" s="1"/>
  <c r="O351" i="2"/>
  <c r="AO351" i="3" s="1"/>
  <c r="AR351" i="3" s="1"/>
  <c r="O347" i="2"/>
  <c r="O343" i="2"/>
  <c r="AO343" i="3" s="1"/>
  <c r="AR343" i="3" s="1"/>
  <c r="O339" i="2"/>
  <c r="AO634" i="3" s="1"/>
  <c r="AR634" i="3" s="1"/>
  <c r="O335" i="2"/>
  <c r="O331" i="2"/>
  <c r="AO331" i="3" s="1"/>
  <c r="AR331" i="3" s="1"/>
  <c r="O327" i="2"/>
  <c r="AO327" i="3" s="1"/>
  <c r="AR327" i="3" s="1"/>
  <c r="O323" i="2"/>
  <c r="AO618" i="3" s="1"/>
  <c r="AR618" i="3" s="1"/>
  <c r="O319" i="2"/>
  <c r="AO319" i="3" s="1"/>
  <c r="AR319" i="3" s="1"/>
  <c r="O315" i="2"/>
  <c r="O311" i="2"/>
  <c r="AO311" i="3" s="1"/>
  <c r="AR311" i="3" s="1"/>
  <c r="O307" i="2"/>
  <c r="AO602" i="3" s="1"/>
  <c r="AR602" i="3" s="1"/>
  <c r="O303" i="2"/>
  <c r="AO303" i="3" s="1"/>
  <c r="AR303" i="3" s="1"/>
  <c r="O299" i="2"/>
  <c r="AO299" i="3" s="1"/>
  <c r="AR299" i="3" s="1"/>
  <c r="O295" i="2"/>
  <c r="AO590" i="3" s="1"/>
  <c r="AR590" i="3" s="1"/>
  <c r="O291" i="2"/>
  <c r="AO586" i="3" s="1"/>
  <c r="AR586" i="3" s="1"/>
  <c r="O287" i="2"/>
  <c r="AO287" i="3" s="1"/>
  <c r="AR287" i="3" s="1"/>
  <c r="O283" i="2"/>
  <c r="O279" i="2"/>
  <c r="AO279" i="3" s="1"/>
  <c r="AR279" i="3" s="1"/>
  <c r="O275" i="2"/>
  <c r="AO570" i="3" s="1"/>
  <c r="AR570" i="3" s="1"/>
  <c r="O271" i="2"/>
  <c r="O267" i="2"/>
  <c r="AO267" i="3" s="1"/>
  <c r="AR267" i="3" s="1"/>
  <c r="O263" i="2"/>
  <c r="AO558" i="3" s="1"/>
  <c r="AR558" i="3" s="1"/>
  <c r="O259" i="2"/>
  <c r="AO554" i="3" s="1"/>
  <c r="AR554" i="3" s="1"/>
  <c r="O255" i="2"/>
  <c r="AO255" i="3" s="1"/>
  <c r="AR255" i="3" s="1"/>
  <c r="O251" i="2"/>
  <c r="AO251" i="3" s="1"/>
  <c r="AR251" i="3" s="1"/>
  <c r="O247" i="2"/>
  <c r="AO247" i="3" s="1"/>
  <c r="AR247" i="3" s="1"/>
  <c r="O243" i="2"/>
  <c r="AO538" i="3" s="1"/>
  <c r="AR538" i="3" s="1"/>
  <c r="O239" i="2"/>
  <c r="O235" i="2"/>
  <c r="AO235" i="3" s="1"/>
  <c r="AR235" i="3" s="1"/>
  <c r="O231" i="2"/>
  <c r="AO231" i="3" s="1"/>
  <c r="AR231" i="3" s="1"/>
  <c r="O227" i="2"/>
  <c r="AO522" i="3" s="1"/>
  <c r="AR522" i="3" s="1"/>
  <c r="O223" i="2"/>
  <c r="AO223" i="3" s="1"/>
  <c r="AR223" i="3" s="1"/>
  <c r="O219" i="2"/>
  <c r="O215" i="2"/>
  <c r="AO215" i="3" s="1"/>
  <c r="AR215" i="3" s="1"/>
  <c r="O211" i="2"/>
  <c r="AO506" i="3" s="1"/>
  <c r="AR506" i="3" s="1"/>
  <c r="O207" i="2"/>
  <c r="O203" i="2"/>
  <c r="AO203" i="3" s="1"/>
  <c r="AR203" i="3" s="1"/>
  <c r="O199" i="2"/>
  <c r="AO199" i="3" s="1"/>
  <c r="AR199" i="3" s="1"/>
  <c r="O195" i="2"/>
  <c r="O191" i="2"/>
  <c r="AO191" i="3" s="1"/>
  <c r="AR191" i="3" s="1"/>
  <c r="O187" i="2"/>
  <c r="AO187" i="3" s="1"/>
  <c r="AR187" i="3" s="1"/>
  <c r="O183" i="2"/>
  <c r="O179" i="2"/>
  <c r="O175" i="2"/>
  <c r="AO175" i="3" s="1"/>
  <c r="AR175" i="3" s="1"/>
  <c r="O171" i="2"/>
  <c r="AO171" i="3" s="1"/>
  <c r="AR171" i="3" s="1"/>
  <c r="O167" i="2"/>
  <c r="AO167" i="3" s="1"/>
  <c r="AR167" i="3" s="1"/>
  <c r="O163" i="2"/>
  <c r="AO458" i="3" s="1"/>
  <c r="AR458" i="3" s="1"/>
  <c r="O159" i="2"/>
  <c r="AO159" i="3" s="1"/>
  <c r="AR159" i="3" s="1"/>
  <c r="O155" i="2"/>
  <c r="AO155" i="3" s="1"/>
  <c r="AR155" i="3" s="1"/>
  <c r="O151" i="2"/>
  <c r="O147" i="2"/>
  <c r="O143" i="2"/>
  <c r="AO143" i="3" s="1"/>
  <c r="AR143" i="3" s="1"/>
  <c r="O139" i="2"/>
  <c r="AO139" i="3" s="1"/>
  <c r="AR139" i="3" s="1"/>
  <c r="O135" i="2"/>
  <c r="AO135" i="3" s="1"/>
  <c r="AR135" i="3" s="1"/>
  <c r="O131" i="2"/>
  <c r="O127" i="2"/>
  <c r="AO127" i="3" s="1"/>
  <c r="AR127" i="3" s="1"/>
  <c r="O123" i="2"/>
  <c r="AO418" i="3" s="1"/>
  <c r="AR418" i="3" s="1"/>
  <c r="O119" i="2"/>
  <c r="O115" i="2"/>
  <c r="O111" i="2"/>
  <c r="AO111" i="3" s="1"/>
  <c r="AR111" i="3" s="1"/>
  <c r="O107" i="2"/>
  <c r="O103" i="2"/>
  <c r="AO103" i="3" s="1"/>
  <c r="AR103" i="3" s="1"/>
  <c r="O99" i="2"/>
  <c r="AO394" i="3" s="1"/>
  <c r="AR394" i="3" s="1"/>
  <c r="O95" i="2"/>
  <c r="AO95" i="3" s="1"/>
  <c r="AR95" i="3" s="1"/>
  <c r="O91" i="2"/>
  <c r="AO91" i="3" s="1"/>
  <c r="AR91" i="3" s="1"/>
  <c r="O87" i="2"/>
  <c r="O83" i="2"/>
  <c r="AO83" i="3" s="1"/>
  <c r="AR83" i="3" s="1"/>
  <c r="O79" i="2"/>
  <c r="AO79" i="3" s="1"/>
  <c r="AR79" i="3" s="1"/>
  <c r="O75" i="2"/>
  <c r="AO75" i="3" s="1"/>
  <c r="AR75" i="3" s="1"/>
  <c r="O71" i="2"/>
  <c r="AO71" i="3" s="1"/>
  <c r="AR71" i="3" s="1"/>
  <c r="O67" i="2"/>
  <c r="AO67" i="3" s="1"/>
  <c r="AR67" i="3" s="1"/>
  <c r="O63" i="2"/>
  <c r="AO63" i="3" s="1"/>
  <c r="AR63" i="3" s="1"/>
  <c r="O59" i="2"/>
  <c r="AO59" i="3" s="1"/>
  <c r="AR59" i="3" s="1"/>
  <c r="O55" i="2"/>
  <c r="AO55" i="3" s="1"/>
  <c r="AR55" i="3" s="1"/>
  <c r="O51" i="2"/>
  <c r="AO51" i="3" s="1"/>
  <c r="AR51" i="3" s="1"/>
  <c r="O47" i="2"/>
  <c r="AO47" i="3" s="1"/>
  <c r="AR47" i="3" s="1"/>
  <c r="O43" i="2"/>
  <c r="AO43" i="3" s="1"/>
  <c r="AR43" i="3" s="1"/>
  <c r="O39" i="2"/>
  <c r="AO39" i="3" s="1"/>
  <c r="AR39" i="3" s="1"/>
  <c r="O35" i="2"/>
  <c r="AO35" i="3" s="1"/>
  <c r="AR35" i="3" s="1"/>
  <c r="O31" i="2"/>
  <c r="AO31" i="3" s="1"/>
  <c r="AR31" i="3" s="1"/>
  <c r="O27" i="2"/>
  <c r="AO27" i="3" s="1"/>
  <c r="AR27" i="3" s="1"/>
  <c r="O23" i="2"/>
  <c r="AO23" i="3" s="1"/>
  <c r="AR23" i="3" s="1"/>
  <c r="O19" i="2"/>
  <c r="AO19" i="3" s="1"/>
  <c r="AR19" i="3" s="1"/>
  <c r="O15" i="2"/>
  <c r="O11" i="2"/>
  <c r="AO12" i="3" s="1"/>
  <c r="AR12" i="3" s="1"/>
  <c r="Q70" i="2"/>
  <c r="AT70" i="3" s="1"/>
  <c r="AW70" i="3" s="1"/>
  <c r="Q66" i="2"/>
  <c r="AT66" i="3" s="1"/>
  <c r="AW66" i="3" s="1"/>
  <c r="Q62" i="2"/>
  <c r="AT62" i="3" s="1"/>
  <c r="AW62" i="3" s="1"/>
  <c r="Q58" i="2"/>
  <c r="AT58" i="3" s="1"/>
  <c r="AW58" i="3" s="1"/>
  <c r="Q54" i="2"/>
  <c r="AT54" i="3" s="1"/>
  <c r="AW54" i="3" s="1"/>
  <c r="Q50" i="2"/>
  <c r="AT50" i="3" s="1"/>
  <c r="AW50" i="3" s="1"/>
  <c r="Q46" i="2"/>
  <c r="AT46" i="3" s="1"/>
  <c r="AW46" i="3" s="1"/>
  <c r="Q42" i="2"/>
  <c r="AT42" i="3" s="1"/>
  <c r="AW42" i="3" s="1"/>
  <c r="Q38" i="2"/>
  <c r="AT38" i="3" s="1"/>
  <c r="AW38" i="3" s="1"/>
  <c r="Q34" i="2"/>
  <c r="AT34" i="3"/>
  <c r="AW34" i="3" s="1"/>
  <c r="Q30" i="2"/>
  <c r="AT30" i="3" s="1"/>
  <c r="AW30" i="3" s="1"/>
  <c r="Q26" i="2"/>
  <c r="AT26" i="3" s="1"/>
  <c r="AW26" i="3" s="1"/>
  <c r="Q22" i="2"/>
  <c r="AT22" i="3" s="1"/>
  <c r="AW22" i="3" s="1"/>
  <c r="Q14" i="2"/>
  <c r="AT15" i="3" s="1"/>
  <c r="AW15" i="3" s="1"/>
  <c r="S22" i="2"/>
  <c r="AY22" i="3" s="1"/>
  <c r="BB22" i="3" s="1"/>
  <c r="S14" i="2"/>
  <c r="AY15" i="3" s="1"/>
  <c r="BB15" i="3" s="1"/>
  <c r="BD194" i="3"/>
  <c r="BG194" i="3" s="1"/>
  <c r="BD376" i="3"/>
  <c r="BG376" i="3" s="1"/>
  <c r="BD190" i="3"/>
  <c r="BG190" i="3" s="1"/>
  <c r="BD372" i="3"/>
  <c r="BG372" i="3" s="1"/>
  <c r="BD186" i="3"/>
  <c r="BG186" i="3" s="1"/>
  <c r="BD368" i="3"/>
  <c r="BG368" i="3" s="1"/>
  <c r="U22" i="2"/>
  <c r="BD22" i="3"/>
  <c r="BG22" i="3" s="1"/>
  <c r="U14" i="2"/>
  <c r="BD15" i="3"/>
  <c r="BG15" i="3" s="1"/>
  <c r="U847" i="2"/>
  <c r="U719" i="2"/>
  <c r="U591" i="2"/>
  <c r="U463" i="2"/>
  <c r="U335" i="2"/>
  <c r="U207" i="2"/>
  <c r="U79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368" i="3"/>
  <c r="BL368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8" i="3"/>
  <c r="BG1078" i="3" s="1"/>
  <c r="BD950" i="3"/>
  <c r="BG950" i="3" s="1"/>
  <c r="BD822" i="3"/>
  <c r="BG822" i="3" s="1"/>
  <c r="BD694" i="3"/>
  <c r="BG694" i="3" s="1"/>
  <c r="BD566" i="3"/>
  <c r="BG566" i="3" s="1"/>
  <c r="BD438" i="3"/>
  <c r="BG438" i="3" s="1"/>
  <c r="BI1083" i="3"/>
  <c r="BL1083" i="3" s="1"/>
  <c r="BI955" i="3"/>
  <c r="BL955" i="3" s="1"/>
  <c r="BI827" i="3"/>
  <c r="BL827" i="3" s="1"/>
  <c r="BI699" i="3"/>
  <c r="BL699" i="3" s="1"/>
  <c r="O366" i="2"/>
  <c r="AO366" i="3" s="1"/>
  <c r="AR366" i="3" s="1"/>
  <c r="O362" i="2"/>
  <c r="AO362" i="3" s="1"/>
  <c r="AR362" i="3" s="1"/>
  <c r="O358" i="2"/>
  <c r="AO358" i="3" s="1"/>
  <c r="AR358" i="3" s="1"/>
  <c r="O354" i="2"/>
  <c r="O350" i="2"/>
  <c r="AO350" i="3" s="1"/>
  <c r="AR350" i="3" s="1"/>
  <c r="O346" i="2"/>
  <c r="O342" i="2"/>
  <c r="O338" i="2"/>
  <c r="O334" i="2"/>
  <c r="AO629" i="3" s="1"/>
  <c r="AR629" i="3" s="1"/>
  <c r="O330" i="2"/>
  <c r="O326" i="2"/>
  <c r="AO326" i="3" s="1"/>
  <c r="AR326" i="3" s="1"/>
  <c r="O322" i="2"/>
  <c r="O318" i="2"/>
  <c r="AO318" i="3" s="1"/>
  <c r="AR318" i="3" s="1"/>
  <c r="O306" i="2"/>
  <c r="O302" i="2"/>
  <c r="O298" i="2"/>
  <c r="AO298" i="3" s="1"/>
  <c r="AR298" i="3" s="1"/>
  <c r="O294" i="2"/>
  <c r="AO589" i="3" s="1"/>
  <c r="AR589" i="3" s="1"/>
  <c r="O290" i="2"/>
  <c r="O286" i="2"/>
  <c r="AO286" i="3" s="1"/>
  <c r="AR286" i="3" s="1"/>
  <c r="O282" i="2"/>
  <c r="AO282" i="3" s="1"/>
  <c r="AR282" i="3" s="1"/>
  <c r="O278" i="2"/>
  <c r="AO278" i="3" s="1"/>
  <c r="AR278" i="3" s="1"/>
  <c r="O274" i="2"/>
  <c r="AO274" i="3" s="1"/>
  <c r="AR274" i="3" s="1"/>
  <c r="O270" i="2"/>
  <c r="O266" i="2"/>
  <c r="O262" i="2"/>
  <c r="AO557" i="3" s="1"/>
  <c r="AR557" i="3" s="1"/>
  <c r="O258" i="2"/>
  <c r="O254" i="2"/>
  <c r="AO254" i="3" s="1"/>
  <c r="AR254" i="3" s="1"/>
  <c r="O250" i="2"/>
  <c r="O246" i="2"/>
  <c r="AO246" i="3" s="1"/>
  <c r="AR246" i="3" s="1"/>
  <c r="O242" i="2"/>
  <c r="O238" i="2"/>
  <c r="O234" i="2"/>
  <c r="AO234" i="3" s="1"/>
  <c r="AR234" i="3" s="1"/>
  <c r="O230" i="2"/>
  <c r="AO230" i="3" s="1"/>
  <c r="AR230" i="3" s="1"/>
  <c r="O226" i="2"/>
  <c r="O222" i="2"/>
  <c r="AO222" i="3" s="1"/>
  <c r="AR222" i="3" s="1"/>
  <c r="O218" i="2"/>
  <c r="AO218" i="3" s="1"/>
  <c r="AR218" i="3" s="1"/>
  <c r="O214" i="2"/>
  <c r="AO214" i="3" s="1"/>
  <c r="AR214" i="3" s="1"/>
  <c r="O210" i="2"/>
  <c r="AO210" i="3" s="1"/>
  <c r="AR210" i="3" s="1"/>
  <c r="O206" i="2"/>
  <c r="O202" i="2"/>
  <c r="O198" i="2"/>
  <c r="AO493" i="3" s="1"/>
  <c r="AR493" i="3" s="1"/>
  <c r="O194" i="2"/>
  <c r="O190" i="2"/>
  <c r="AO190" i="3" s="1"/>
  <c r="AR190" i="3" s="1"/>
  <c r="O186" i="2"/>
  <c r="AO186" i="3" s="1"/>
  <c r="AR186" i="3" s="1"/>
  <c r="O182" i="2"/>
  <c r="O178" i="2"/>
  <c r="AO178" i="3" s="1"/>
  <c r="AR178" i="3" s="1"/>
  <c r="O174" i="2"/>
  <c r="AO174" i="3" s="1"/>
  <c r="AR174" i="3" s="1"/>
  <c r="O170" i="2"/>
  <c r="AO170" i="3" s="1"/>
  <c r="AR170" i="3" s="1"/>
  <c r="O166" i="2"/>
  <c r="AO461" i="3" s="1"/>
  <c r="AR461" i="3" s="1"/>
  <c r="O162" i="2"/>
  <c r="AO162" i="3" s="1"/>
  <c r="AR162" i="3" s="1"/>
  <c r="O118" i="2"/>
  <c r="AO413" i="3" s="1"/>
  <c r="AR413" i="3" s="1"/>
  <c r="Q365" i="2"/>
  <c r="Q361" i="2"/>
  <c r="AT361" i="3" s="1"/>
  <c r="AW361" i="3" s="1"/>
  <c r="Q357" i="2"/>
  <c r="AT357" i="3" s="1"/>
  <c r="AW357" i="3" s="1"/>
  <c r="Q353" i="2"/>
  <c r="AT353" i="3" s="1"/>
  <c r="AW353" i="3" s="1"/>
  <c r="Q349" i="2"/>
  <c r="AT349" i="3" s="1"/>
  <c r="AW349" i="3" s="1"/>
  <c r="Q345" i="2"/>
  <c r="AT345" i="3" s="1"/>
  <c r="AW345" i="3" s="1"/>
  <c r="Q341" i="2"/>
  <c r="AT341" i="3" s="1"/>
  <c r="AW341" i="3" s="1"/>
  <c r="Q337" i="2"/>
  <c r="AT337" i="3" s="1"/>
  <c r="AW337" i="3" s="1"/>
  <c r="Q333" i="2"/>
  <c r="Q329" i="2"/>
  <c r="AT329" i="3" s="1"/>
  <c r="AW329" i="3" s="1"/>
  <c r="Q325" i="2"/>
  <c r="AT325" i="3" s="1"/>
  <c r="AW325" i="3" s="1"/>
  <c r="Q321" i="2"/>
  <c r="AT321" i="3" s="1"/>
  <c r="AW321" i="3" s="1"/>
  <c r="Q317" i="2"/>
  <c r="AT317" i="3" s="1"/>
  <c r="AW317" i="3" s="1"/>
  <c r="Q313" i="2"/>
  <c r="AT313" i="3" s="1"/>
  <c r="AW313" i="3" s="1"/>
  <c r="Q309" i="2"/>
  <c r="AT309" i="3" s="1"/>
  <c r="AW309" i="3" s="1"/>
  <c r="Q305" i="2"/>
  <c r="Q301" i="2"/>
  <c r="Q297" i="2"/>
  <c r="Q293" i="2"/>
  <c r="AT293" i="3" s="1"/>
  <c r="AW293" i="3" s="1"/>
  <c r="Q289" i="2"/>
  <c r="AT289" i="3" s="1"/>
  <c r="AW289" i="3" s="1"/>
  <c r="Q285" i="2"/>
  <c r="AT285" i="3" s="1"/>
  <c r="AW285" i="3" s="1"/>
  <c r="Q281" i="2"/>
  <c r="AT281" i="3" s="1"/>
  <c r="AW281" i="3" s="1"/>
  <c r="Q277" i="2"/>
  <c r="AT277" i="3" s="1"/>
  <c r="AW277" i="3" s="1"/>
  <c r="Q273" i="2"/>
  <c r="AT273" i="3" s="1"/>
  <c r="AW273" i="3" s="1"/>
  <c r="Q269" i="2"/>
  <c r="Q265" i="2"/>
  <c r="AT265" i="3" s="1"/>
  <c r="AW265" i="3" s="1"/>
  <c r="Q261" i="2"/>
  <c r="AT261" i="3" s="1"/>
  <c r="AW261" i="3" s="1"/>
  <c r="Q257" i="2"/>
  <c r="AT257" i="3" s="1"/>
  <c r="AW257" i="3" s="1"/>
  <c r="Q253" i="2"/>
  <c r="AT253" i="3" s="1"/>
  <c r="AW253" i="3" s="1"/>
  <c r="Q249" i="2"/>
  <c r="Q245" i="2"/>
  <c r="AT245" i="3" s="1"/>
  <c r="AW245" i="3" s="1"/>
  <c r="Q241" i="2"/>
  <c r="Q237" i="2"/>
  <c r="Q233" i="2"/>
  <c r="AT233" i="3" s="1"/>
  <c r="AW233" i="3" s="1"/>
  <c r="Q229" i="2"/>
  <c r="AT229" i="3" s="1"/>
  <c r="AW229" i="3" s="1"/>
  <c r="Q225" i="2"/>
  <c r="Q221" i="2"/>
  <c r="AT221" i="3" s="1"/>
  <c r="AW221" i="3" s="1"/>
  <c r="Q217" i="2"/>
  <c r="AT217" i="3" s="1"/>
  <c r="AW217" i="3" s="1"/>
  <c r="Q213" i="2"/>
  <c r="AT213" i="3" s="1"/>
  <c r="AW213" i="3" s="1"/>
  <c r="Q209" i="2"/>
  <c r="AT209" i="3" s="1"/>
  <c r="AW209" i="3" s="1"/>
  <c r="Q205" i="2"/>
  <c r="Q201" i="2"/>
  <c r="AT201" i="3" s="1"/>
  <c r="AW201" i="3" s="1"/>
  <c r="Q197" i="2"/>
  <c r="AT197" i="3" s="1"/>
  <c r="AW197" i="3" s="1"/>
  <c r="Q193" i="2"/>
  <c r="AT193" i="3" s="1"/>
  <c r="AW193" i="3" s="1"/>
  <c r="Q189" i="2"/>
  <c r="Q185" i="2"/>
  <c r="AT185" i="3" s="1"/>
  <c r="AW185" i="3" s="1"/>
  <c r="Q181" i="2"/>
  <c r="AT181" i="3" s="1"/>
  <c r="AW181" i="3" s="1"/>
  <c r="Q177" i="2"/>
  <c r="Q173" i="2"/>
  <c r="AT173" i="3" s="1"/>
  <c r="AW173" i="3" s="1"/>
  <c r="Q169" i="2"/>
  <c r="Q165" i="2"/>
  <c r="AT165" i="3" s="1"/>
  <c r="AW165" i="3" s="1"/>
  <c r="Q161" i="2"/>
  <c r="Q157" i="2"/>
  <c r="AT157" i="3" s="1"/>
  <c r="AW157" i="3" s="1"/>
  <c r="Q153" i="2"/>
  <c r="AT448" i="3" s="1"/>
  <c r="AW448" i="3" s="1"/>
  <c r="Q149" i="2"/>
  <c r="AT149" i="3" s="1"/>
  <c r="AW149" i="3" s="1"/>
  <c r="Q145" i="2"/>
  <c r="AT145" i="3" s="1"/>
  <c r="AW145" i="3" s="1"/>
  <c r="Q141" i="2"/>
  <c r="Q137" i="2"/>
  <c r="AT137" i="3" s="1"/>
  <c r="AW137" i="3" s="1"/>
  <c r="Q133" i="2"/>
  <c r="AT133" i="3" s="1"/>
  <c r="AW133" i="3" s="1"/>
  <c r="Q129" i="2"/>
  <c r="Q125" i="2"/>
  <c r="AT125" i="3" s="1"/>
  <c r="AW125" i="3" s="1"/>
  <c r="Q121" i="2"/>
  <c r="AT121" i="3" s="1"/>
  <c r="AW121" i="3" s="1"/>
  <c r="Q117" i="2"/>
  <c r="Q113" i="2"/>
  <c r="Q109" i="2"/>
  <c r="AT109" i="3" s="1"/>
  <c r="AW109" i="3" s="1"/>
  <c r="Q105" i="2"/>
  <c r="AT105" i="3" s="1"/>
  <c r="AW105" i="3" s="1"/>
  <c r="Q101" i="2"/>
  <c r="Q97" i="2"/>
  <c r="Q93" i="2"/>
  <c r="AT93" i="3" s="1"/>
  <c r="AW93" i="3" s="1"/>
  <c r="Q89" i="2"/>
  <c r="AT89" i="3" s="1"/>
  <c r="AW89" i="3" s="1"/>
  <c r="Q85" i="2"/>
  <c r="Q81" i="2"/>
  <c r="AT81" i="3" s="1"/>
  <c r="AW81" i="3" s="1"/>
  <c r="Q77" i="2"/>
  <c r="AT77" i="3" s="1"/>
  <c r="AW77" i="3" s="1"/>
  <c r="Q73" i="2"/>
  <c r="AT73" i="3" s="1"/>
  <c r="AW73" i="3" s="1"/>
  <c r="Q69" i="2"/>
  <c r="AT69" i="3" s="1"/>
  <c r="AW69" i="3" s="1"/>
  <c r="Q65" i="2"/>
  <c r="AT65" i="3" s="1"/>
  <c r="AW65" i="3" s="1"/>
  <c r="Q61" i="2"/>
  <c r="AT61" i="3" s="1"/>
  <c r="AW61" i="3" s="1"/>
  <c r="Q57" i="2"/>
  <c r="AT57" i="3" s="1"/>
  <c r="AW57" i="3" s="1"/>
  <c r="Q53" i="2"/>
  <c r="AT53" i="3" s="1"/>
  <c r="AW53" i="3" s="1"/>
  <c r="Q49" i="2"/>
  <c r="AT49" i="3" s="1"/>
  <c r="AW49" i="3" s="1"/>
  <c r="Q45" i="2"/>
  <c r="AT45" i="3" s="1"/>
  <c r="AW45" i="3" s="1"/>
  <c r="Q41" i="2"/>
  <c r="AT41" i="3" s="1"/>
  <c r="AW41" i="3" s="1"/>
  <c r="Q37" i="2"/>
  <c r="AT37" i="3" s="1"/>
  <c r="AW37" i="3" s="1"/>
  <c r="Q33" i="2"/>
  <c r="AT33" i="3" s="1"/>
  <c r="AW33" i="3" s="1"/>
  <c r="Q29" i="2"/>
  <c r="AT29" i="3" s="1"/>
  <c r="AW29" i="3" s="1"/>
  <c r="Q25" i="2"/>
  <c r="AT25" i="3" s="1"/>
  <c r="AW25" i="3" s="1"/>
  <c r="Q21" i="2"/>
  <c r="AT21" i="3" s="1"/>
  <c r="AW21" i="3" s="1"/>
  <c r="Q17" i="2"/>
  <c r="AT17" i="3" s="1"/>
  <c r="AW17" i="3" s="1"/>
  <c r="Q13" i="2"/>
  <c r="AT14" i="3" s="1"/>
  <c r="AW14" i="3" s="1"/>
  <c r="S25" i="2"/>
  <c r="AY25" i="3"/>
  <c r="BB25" i="3" s="1"/>
  <c r="S21" i="2"/>
  <c r="AY21" i="3" s="1"/>
  <c r="BB21" i="3" s="1"/>
  <c r="S17" i="2"/>
  <c r="AY17" i="3" s="1"/>
  <c r="BB17" i="3" s="1"/>
  <c r="S13" i="2"/>
  <c r="AY14" i="3" s="1"/>
  <c r="BB14" i="3" s="1"/>
  <c r="BD193" i="3"/>
  <c r="BG193" i="3" s="1"/>
  <c r="BD375" i="3"/>
  <c r="BG375" i="3" s="1"/>
  <c r="BD189" i="3"/>
  <c r="BG189" i="3" s="1"/>
  <c r="BD371" i="3"/>
  <c r="BG371" i="3" s="1"/>
  <c r="U21" i="2"/>
  <c r="BD21" i="3"/>
  <c r="BG21" i="3" s="1"/>
  <c r="U303" i="2"/>
  <c r="U175" i="2"/>
  <c r="U47" i="2"/>
  <c r="BI660" i="3"/>
  <c r="BL660" i="3" s="1"/>
  <c r="BI365" i="3"/>
  <c r="BL365" i="3" s="1"/>
  <c r="BI656" i="3"/>
  <c r="BL656" i="3" s="1"/>
  <c r="BI361" i="3"/>
  <c r="BL361" i="3" s="1"/>
  <c r="BI652" i="3"/>
  <c r="BL652" i="3" s="1"/>
  <c r="BI357" i="3"/>
  <c r="BL357" i="3" s="1"/>
  <c r="BI648" i="3"/>
  <c r="BL648" i="3" s="1"/>
  <c r="BI353" i="3"/>
  <c r="BL353" i="3" s="1"/>
  <c r="BI644" i="3"/>
  <c r="BL644" i="3" s="1"/>
  <c r="BI349" i="3"/>
  <c r="BL349" i="3" s="1"/>
  <c r="BI640" i="3"/>
  <c r="BL640" i="3" s="1"/>
  <c r="BI345" i="3"/>
  <c r="BL345" i="3" s="1"/>
  <c r="BI636" i="3"/>
  <c r="BL636" i="3" s="1"/>
  <c r="BI341" i="3"/>
  <c r="BL341" i="3" s="1"/>
  <c r="BI632" i="3"/>
  <c r="BL632" i="3" s="1"/>
  <c r="BI337" i="3"/>
  <c r="BL337" i="3" s="1"/>
  <c r="BI628" i="3"/>
  <c r="BL628" i="3" s="1"/>
  <c r="BI333" i="3"/>
  <c r="BL333" i="3" s="1"/>
  <c r="BI624" i="3"/>
  <c r="BL624" i="3" s="1"/>
  <c r="BI329" i="3"/>
  <c r="BL329" i="3" s="1"/>
  <c r="BI620" i="3"/>
  <c r="BL620" i="3" s="1"/>
  <c r="BI325" i="3"/>
  <c r="BL325" i="3" s="1"/>
  <c r="BI616" i="3"/>
  <c r="BL616" i="3" s="1"/>
  <c r="BI321" i="3"/>
  <c r="BL321" i="3" s="1"/>
  <c r="BI612" i="3"/>
  <c r="BL612" i="3" s="1"/>
  <c r="BI317" i="3"/>
  <c r="BL317" i="3" s="1"/>
  <c r="BI608" i="3"/>
  <c r="BL608" i="3" s="1"/>
  <c r="BI313" i="3"/>
  <c r="BL313" i="3" s="1"/>
  <c r="BI604" i="3"/>
  <c r="BL604" i="3" s="1"/>
  <c r="BI309" i="3"/>
  <c r="BL309" i="3" s="1"/>
  <c r="BI600" i="3"/>
  <c r="BL600" i="3" s="1"/>
  <c r="BI305" i="3"/>
  <c r="BL305" i="3" s="1"/>
  <c r="BI596" i="3"/>
  <c r="BL596" i="3" s="1"/>
  <c r="BI301" i="3"/>
  <c r="BL301" i="3" s="1"/>
  <c r="BI592" i="3"/>
  <c r="BL592" i="3" s="1"/>
  <c r="BI297" i="3"/>
  <c r="BL297" i="3" s="1"/>
  <c r="BI588" i="3"/>
  <c r="BL588" i="3" s="1"/>
  <c r="BI293" i="3"/>
  <c r="BL293" i="3" s="1"/>
  <c r="BI584" i="3"/>
  <c r="BL584" i="3" s="1"/>
  <c r="BI289" i="3"/>
  <c r="BL289" i="3" s="1"/>
  <c r="BI580" i="3"/>
  <c r="BL580" i="3" s="1"/>
  <c r="BI285" i="3"/>
  <c r="BL285" i="3" s="1"/>
  <c r="BI576" i="3"/>
  <c r="BL576" i="3" s="1"/>
  <c r="BI281" i="3"/>
  <c r="BL281" i="3" s="1"/>
  <c r="BI572" i="3"/>
  <c r="BL572" i="3" s="1"/>
  <c r="BI277" i="3"/>
  <c r="BL277" i="3" s="1"/>
  <c r="BI568" i="3"/>
  <c r="BL568" i="3" s="1"/>
  <c r="BI273" i="3"/>
  <c r="BL273" i="3" s="1"/>
  <c r="BI564" i="3"/>
  <c r="BL564" i="3" s="1"/>
  <c r="BI269" i="3"/>
  <c r="BL269" i="3" s="1"/>
  <c r="BI560" i="3"/>
  <c r="BL560" i="3" s="1"/>
  <c r="BI265" i="3"/>
  <c r="BL265" i="3" s="1"/>
  <c r="BI556" i="3"/>
  <c r="BL556" i="3" s="1"/>
  <c r="BI261" i="3"/>
  <c r="BL261" i="3" s="1"/>
  <c r="BI552" i="3"/>
  <c r="BL552" i="3" s="1"/>
  <c r="BI257" i="3"/>
  <c r="BL257" i="3" s="1"/>
  <c r="BI548" i="3"/>
  <c r="BL548" i="3" s="1"/>
  <c r="BI253" i="3"/>
  <c r="BL253" i="3" s="1"/>
  <c r="BI544" i="3"/>
  <c r="BL544" i="3" s="1"/>
  <c r="BI249" i="3"/>
  <c r="BL249" i="3" s="1"/>
  <c r="BI540" i="3"/>
  <c r="BL540" i="3" s="1"/>
  <c r="BI245" i="3"/>
  <c r="BL245" i="3" s="1"/>
  <c r="BI536" i="3"/>
  <c r="BL536" i="3" s="1"/>
  <c r="BI241" i="3"/>
  <c r="BL241" i="3" s="1"/>
  <c r="BI532" i="3"/>
  <c r="BL532" i="3" s="1"/>
  <c r="BI237" i="3"/>
  <c r="BL237" i="3" s="1"/>
  <c r="BI528" i="3"/>
  <c r="BL528" i="3" s="1"/>
  <c r="BI233" i="3"/>
  <c r="BL233" i="3" s="1"/>
  <c r="BI524" i="3"/>
  <c r="BL524" i="3" s="1"/>
  <c r="BI229" i="3"/>
  <c r="BL229" i="3" s="1"/>
  <c r="BI520" i="3"/>
  <c r="BL520" i="3" s="1"/>
  <c r="BI225" i="3"/>
  <c r="BL225" i="3" s="1"/>
  <c r="BI516" i="3"/>
  <c r="BL516" i="3" s="1"/>
  <c r="BI221" i="3"/>
  <c r="BL221" i="3" s="1"/>
  <c r="BI512" i="3"/>
  <c r="BL512" i="3" s="1"/>
  <c r="BI217" i="3"/>
  <c r="BL217" i="3" s="1"/>
  <c r="BI508" i="3"/>
  <c r="BL508" i="3" s="1"/>
  <c r="BI213" i="3"/>
  <c r="BL213" i="3" s="1"/>
  <c r="BI504" i="3"/>
  <c r="BL504" i="3" s="1"/>
  <c r="BI209" i="3"/>
  <c r="BL209" i="3" s="1"/>
  <c r="BI500" i="3"/>
  <c r="BL500" i="3" s="1"/>
  <c r="BI205" i="3"/>
  <c r="BL205" i="3" s="1"/>
  <c r="BI496" i="3"/>
  <c r="BL496" i="3" s="1"/>
  <c r="BI201" i="3"/>
  <c r="BL201" i="3" s="1"/>
  <c r="BI492" i="3"/>
  <c r="BL492" i="3" s="1"/>
  <c r="BI197" i="3"/>
  <c r="BL197" i="3" s="1"/>
  <c r="BI488" i="3"/>
  <c r="BL488" i="3" s="1"/>
  <c r="BI193" i="3"/>
  <c r="BL193" i="3" s="1"/>
  <c r="BI375" i="3"/>
  <c r="BL375" i="3" s="1"/>
  <c r="BI484" i="3"/>
  <c r="BL484" i="3" s="1"/>
  <c r="BI189" i="3"/>
  <c r="BL189" i="3" s="1"/>
  <c r="BI371" i="3"/>
  <c r="BL371" i="3" s="1"/>
  <c r="BI480" i="3"/>
  <c r="BL480" i="3" s="1"/>
  <c r="BI185" i="3"/>
  <c r="BL185" i="3" s="1"/>
  <c r="BI476" i="3"/>
  <c r="BL476" i="3" s="1"/>
  <c r="BI181" i="3"/>
  <c r="BL181" i="3" s="1"/>
  <c r="BI472" i="3"/>
  <c r="BL472" i="3" s="1"/>
  <c r="BI177" i="3"/>
  <c r="BL177" i="3" s="1"/>
  <c r="BI468" i="3"/>
  <c r="BL468" i="3" s="1"/>
  <c r="BI173" i="3"/>
  <c r="BL173" i="3" s="1"/>
  <c r="BI464" i="3"/>
  <c r="BL464" i="3" s="1"/>
  <c r="BI169" i="3"/>
  <c r="BL169" i="3" s="1"/>
  <c r="BI460" i="3"/>
  <c r="BL460" i="3" s="1"/>
  <c r="BI165" i="3"/>
  <c r="BL165" i="3" s="1"/>
  <c r="BI456" i="3"/>
  <c r="BL456" i="3" s="1"/>
  <c r="BI161" i="3"/>
  <c r="BL161" i="3" s="1"/>
  <c r="BI452" i="3"/>
  <c r="BL452" i="3" s="1"/>
  <c r="BI157" i="3"/>
  <c r="BL157" i="3" s="1"/>
  <c r="BI448" i="3"/>
  <c r="BL448" i="3" s="1"/>
  <c r="BI153" i="3"/>
  <c r="BL153" i="3" s="1"/>
  <c r="BI444" i="3"/>
  <c r="BL444" i="3" s="1"/>
  <c r="BI149" i="3"/>
  <c r="BL149" i="3" s="1"/>
  <c r="BI440" i="3"/>
  <c r="BL440" i="3" s="1"/>
  <c r="BI145" i="3"/>
  <c r="BL145" i="3" s="1"/>
  <c r="BI436" i="3"/>
  <c r="BL436" i="3" s="1"/>
  <c r="BI141" i="3"/>
  <c r="BL141" i="3" s="1"/>
  <c r="BI432" i="3"/>
  <c r="BL432" i="3" s="1"/>
  <c r="BI137" i="3"/>
  <c r="BL137" i="3" s="1"/>
  <c r="BI428" i="3"/>
  <c r="BL428" i="3" s="1"/>
  <c r="BI133" i="3"/>
  <c r="BL133" i="3" s="1"/>
  <c r="BI424" i="3"/>
  <c r="BL424" i="3" s="1"/>
  <c r="BI129" i="3"/>
  <c r="BL129" i="3" s="1"/>
  <c r="BI420" i="3"/>
  <c r="BL420" i="3" s="1"/>
  <c r="BI125" i="3"/>
  <c r="BL125" i="3" s="1"/>
  <c r="BI416" i="3"/>
  <c r="BL416" i="3" s="1"/>
  <c r="BI121" i="3"/>
  <c r="BL121" i="3" s="1"/>
  <c r="BI412" i="3"/>
  <c r="BL412" i="3" s="1"/>
  <c r="BI117" i="3"/>
  <c r="BL117" i="3" s="1"/>
  <c r="BI408" i="3"/>
  <c r="BL408" i="3" s="1"/>
  <c r="BI113" i="3"/>
  <c r="BL113" i="3" s="1"/>
  <c r="BI404" i="3"/>
  <c r="BL404" i="3" s="1"/>
  <c r="BI109" i="3"/>
  <c r="BL109" i="3" s="1"/>
  <c r="BI400" i="3"/>
  <c r="BL400" i="3" s="1"/>
  <c r="BI105" i="3"/>
  <c r="BL105" i="3" s="1"/>
  <c r="BI396" i="3"/>
  <c r="BL396" i="3" s="1"/>
  <c r="BI101" i="3"/>
  <c r="BL101" i="3" s="1"/>
  <c r="BI392" i="3"/>
  <c r="BL392" i="3" s="1"/>
  <c r="BI97" i="3"/>
  <c r="BL97" i="3" s="1"/>
  <c r="BI388" i="3"/>
  <c r="BL388" i="3" s="1"/>
  <c r="BI93" i="3"/>
  <c r="BL93" i="3" s="1"/>
  <c r="BI384" i="3"/>
  <c r="BL384" i="3" s="1"/>
  <c r="BI89" i="3"/>
  <c r="BL89" i="3" s="1"/>
  <c r="BI380" i="3"/>
  <c r="BL380" i="3" s="1"/>
  <c r="BI85" i="3"/>
  <c r="BL85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2" i="3"/>
  <c r="BG662" i="3" s="1"/>
  <c r="BD534" i="3"/>
  <c r="BG534" i="3" s="1"/>
  <c r="BD406" i="3"/>
  <c r="BG406" i="3" s="1"/>
  <c r="BI1074" i="3"/>
  <c r="BL1074" i="3" s="1"/>
  <c r="BI946" i="3"/>
  <c r="BL946" i="3" s="1"/>
  <c r="BI818" i="3"/>
  <c r="BL818" i="3" s="1"/>
  <c r="BI690" i="3"/>
  <c r="BL690" i="3" s="1"/>
  <c r="BI562" i="3"/>
  <c r="BL562" i="3" s="1"/>
  <c r="BI434" i="3"/>
  <c r="BL434" i="3" s="1"/>
  <c r="O365" i="2"/>
  <c r="AO365" i="3" s="1"/>
  <c r="AR365" i="3" s="1"/>
  <c r="O357" i="2"/>
  <c r="AO652" i="3" s="1"/>
  <c r="AR652" i="3" s="1"/>
  <c r="O353" i="2"/>
  <c r="AO353" i="3" s="1"/>
  <c r="AR353" i="3" s="1"/>
  <c r="O341" i="2"/>
  <c r="AO636" i="3" s="1"/>
  <c r="AR636" i="3" s="1"/>
  <c r="O337" i="2"/>
  <c r="O325" i="2"/>
  <c r="AO325" i="3" s="1"/>
  <c r="AR325" i="3" s="1"/>
  <c r="O317" i="2"/>
  <c r="AO317" i="3" s="1"/>
  <c r="AR317" i="3" s="1"/>
  <c r="O313" i="2"/>
  <c r="AO313" i="3" s="1"/>
  <c r="AR313" i="3" s="1"/>
  <c r="O309" i="2"/>
  <c r="O293" i="2"/>
  <c r="AO293" i="3" s="1"/>
  <c r="AR293" i="3" s="1"/>
  <c r="O289" i="2"/>
  <c r="O277" i="2"/>
  <c r="AO277" i="3" s="1"/>
  <c r="AR277" i="3" s="1"/>
  <c r="O273" i="2"/>
  <c r="O261" i="2"/>
  <c r="AO261" i="3" s="1"/>
  <c r="AR261" i="3" s="1"/>
  <c r="O257" i="2"/>
  <c r="O245" i="2"/>
  <c r="O233" i="2"/>
  <c r="O221" i="2"/>
  <c r="AO516" i="3" s="1"/>
  <c r="AR516" i="3" s="1"/>
  <c r="O217" i="2"/>
  <c r="AO217" i="3" s="1"/>
  <c r="AR217" i="3" s="1"/>
  <c r="O213" i="2"/>
  <c r="AO213" i="3" s="1"/>
  <c r="AR213" i="3" s="1"/>
  <c r="O201" i="2"/>
  <c r="O189" i="2"/>
  <c r="O185" i="2"/>
  <c r="AO480" i="3" s="1"/>
  <c r="AR480" i="3" s="1"/>
  <c r="O181" i="2"/>
  <c r="AO181" i="3" s="1"/>
  <c r="AR181" i="3" s="1"/>
  <c r="O169" i="2"/>
  <c r="AO464" i="3" s="1"/>
  <c r="AR464" i="3" s="1"/>
  <c r="O165" i="2"/>
  <c r="AO165" i="3" s="1"/>
  <c r="AR165" i="3" s="1"/>
  <c r="O153" i="2"/>
  <c r="AO448" i="3" s="1"/>
  <c r="AR448" i="3" s="1"/>
  <c r="O149" i="2"/>
  <c r="AO149" i="3" s="1"/>
  <c r="AR149" i="3" s="1"/>
  <c r="O141" i="2"/>
  <c r="AO436" i="3" s="1"/>
  <c r="AR436" i="3" s="1"/>
  <c r="O137" i="2"/>
  <c r="AO137" i="3" s="1"/>
  <c r="AR137" i="3" s="1"/>
  <c r="O133" i="2"/>
  <c r="AO428" i="3" s="1"/>
  <c r="AR428" i="3" s="1"/>
  <c r="O121" i="2"/>
  <c r="AO121" i="3" s="1"/>
  <c r="AR121" i="3" s="1"/>
  <c r="O117" i="2"/>
  <c r="AO412" i="3" s="1"/>
  <c r="AR412" i="3" s="1"/>
  <c r="O113" i="2"/>
  <c r="AO113" i="3" s="1"/>
  <c r="AR113" i="3" s="1"/>
  <c r="O109" i="2"/>
  <c r="AO109" i="3" s="1"/>
  <c r="AR109" i="3" s="1"/>
  <c r="O105" i="2"/>
  <c r="AO105" i="3" s="1"/>
  <c r="AR105" i="3" s="1"/>
  <c r="O101" i="2"/>
  <c r="AO396" i="3" s="1"/>
  <c r="AR396" i="3" s="1"/>
  <c r="O93" i="2"/>
  <c r="AO93" i="3" s="1"/>
  <c r="AR93" i="3" s="1"/>
  <c r="O89" i="2"/>
  <c r="AO384" i="3" s="1"/>
  <c r="AR384" i="3" s="1"/>
  <c r="O85" i="2"/>
  <c r="AO85" i="3" s="1"/>
  <c r="AR85" i="3" s="1"/>
  <c r="O77" i="2"/>
  <c r="AO77" i="3" s="1"/>
  <c r="AR77" i="3" s="1"/>
  <c r="O73" i="2"/>
  <c r="AO73" i="3" s="1"/>
  <c r="AR73" i="3" s="1"/>
  <c r="O69" i="2"/>
  <c r="AO69" i="3" s="1"/>
  <c r="AR69" i="3" s="1"/>
  <c r="O61" i="2"/>
  <c r="AO61" i="3" s="1"/>
  <c r="AR61" i="3" s="1"/>
  <c r="O53" i="2"/>
  <c r="AO53" i="3" s="1"/>
  <c r="AR53" i="3" s="1"/>
  <c r="O49" i="2"/>
  <c r="AO49" i="3" s="1"/>
  <c r="AR49" i="3" s="1"/>
  <c r="O45" i="2"/>
  <c r="AO45" i="3" s="1"/>
  <c r="AR45" i="3" s="1"/>
  <c r="O41" i="2"/>
  <c r="AO41" i="3" s="1"/>
  <c r="AR41" i="3" s="1"/>
  <c r="O37" i="2"/>
  <c r="AO37" i="3" s="1"/>
  <c r="AR37" i="3" s="1"/>
  <c r="O29" i="2"/>
  <c r="AO29" i="3" s="1"/>
  <c r="AR29" i="3" s="1"/>
  <c r="O25" i="2"/>
  <c r="AO25" i="3" s="1"/>
  <c r="AR25" i="3" s="1"/>
  <c r="O13" i="2"/>
  <c r="AO14" i="3" s="1"/>
  <c r="AR14" i="3" s="1"/>
  <c r="Q72" i="2"/>
  <c r="AT72" i="3" s="1"/>
  <c r="AW72" i="3" s="1"/>
  <c r="Q68" i="2"/>
  <c r="AT68" i="3" s="1"/>
  <c r="AW68" i="3" s="1"/>
  <c r="Q64" i="2"/>
  <c r="AT64" i="3" s="1"/>
  <c r="AW64" i="3" s="1"/>
  <c r="Q60" i="2"/>
  <c r="AT60" i="3" s="1"/>
  <c r="AW60" i="3" s="1"/>
  <c r="Q56" i="2"/>
  <c r="AT56" i="3" s="1"/>
  <c r="AW56" i="3" s="1"/>
  <c r="Q52" i="2"/>
  <c r="AT52" i="3" s="1"/>
  <c r="AW52" i="3" s="1"/>
  <c r="Q48" i="2"/>
  <c r="AT48" i="3" s="1"/>
  <c r="AW48" i="3" s="1"/>
  <c r="Q44" i="2"/>
  <c r="AT44" i="3" s="1"/>
  <c r="AW44" i="3" s="1"/>
  <c r="Q40" i="2"/>
  <c r="AT40" i="3" s="1"/>
  <c r="AW40" i="3" s="1"/>
  <c r="Q36" i="2"/>
  <c r="AT36" i="3" s="1"/>
  <c r="AW36" i="3" s="1"/>
  <c r="Q32" i="2"/>
  <c r="AT32" i="3" s="1"/>
  <c r="AW32" i="3" s="1"/>
  <c r="Q28" i="2"/>
  <c r="AT28" i="3" s="1"/>
  <c r="AW28" i="3" s="1"/>
  <c r="Q24" i="2"/>
  <c r="AT24" i="3" s="1"/>
  <c r="AW24" i="3" s="1"/>
  <c r="Q20" i="2"/>
  <c r="AT20" i="3" s="1"/>
  <c r="AW20" i="3" s="1"/>
  <c r="Q16" i="2"/>
  <c r="AT16" i="3" s="1"/>
  <c r="AW16" i="3" s="1"/>
  <c r="S360" i="2"/>
  <c r="AY360" i="3"/>
  <c r="BB360" i="3" s="1"/>
  <c r="S352" i="2"/>
  <c r="S344" i="2"/>
  <c r="AY344" i="3" s="1"/>
  <c r="BB344" i="3" s="1"/>
  <c r="S336" i="2"/>
  <c r="S328" i="2"/>
  <c r="AY328" i="3"/>
  <c r="BB328" i="3" s="1"/>
  <c r="S320" i="2"/>
  <c r="AY320" i="3" s="1"/>
  <c r="BB320" i="3" s="1"/>
  <c r="S312" i="2"/>
  <c r="AY312" i="3" s="1"/>
  <c r="BB312" i="3" s="1"/>
  <c r="S304" i="2"/>
  <c r="S296" i="2"/>
  <c r="AY296" i="3"/>
  <c r="BB296" i="3" s="1"/>
  <c r="S288" i="2"/>
  <c r="AY288" i="3" s="1"/>
  <c r="BB288" i="3" s="1"/>
  <c r="S280" i="2"/>
  <c r="AY280" i="3" s="1"/>
  <c r="BB280" i="3" s="1"/>
  <c r="S272" i="2"/>
  <c r="AY272" i="3" s="1"/>
  <c r="BB272" i="3" s="1"/>
  <c r="S264" i="2"/>
  <c r="AY264" i="3"/>
  <c r="BB264" i="3" s="1"/>
  <c r="S256" i="2"/>
  <c r="S248" i="2"/>
  <c r="AY248" i="3" s="1"/>
  <c r="BB248" i="3" s="1"/>
  <c r="S240" i="2"/>
  <c r="AY240" i="3" s="1"/>
  <c r="BB240" i="3" s="1"/>
  <c r="S232" i="2"/>
  <c r="AY232" i="3"/>
  <c r="BB232" i="3" s="1"/>
  <c r="S224" i="2"/>
  <c r="AY224" i="3" s="1"/>
  <c r="BB224" i="3" s="1"/>
  <c r="S216" i="2"/>
  <c r="AY216" i="3" s="1"/>
  <c r="BB216" i="3" s="1"/>
  <c r="S208" i="2"/>
  <c r="AY208" i="3" s="1"/>
  <c r="BB208" i="3" s="1"/>
  <c r="S200" i="2"/>
  <c r="AY200" i="3"/>
  <c r="BB200" i="3" s="1"/>
  <c r="S192" i="2"/>
  <c r="S184" i="2"/>
  <c r="S176" i="2"/>
  <c r="S168" i="2"/>
  <c r="AY168" i="3" s="1"/>
  <c r="BB168" i="3" s="1"/>
  <c r="S160" i="2"/>
  <c r="S152" i="2"/>
  <c r="S144" i="2"/>
  <c r="S136" i="2"/>
  <c r="AY136" i="3" s="1"/>
  <c r="BB136" i="3" s="1"/>
  <c r="S128" i="2"/>
  <c r="S120" i="2"/>
  <c r="S112" i="2"/>
  <c r="S104" i="2"/>
  <c r="AY104" i="3" s="1"/>
  <c r="BB104" i="3" s="1"/>
  <c r="S96" i="2"/>
  <c r="AY96" i="3" s="1"/>
  <c r="BB96" i="3" s="1"/>
  <c r="S88" i="2"/>
  <c r="S80" i="2"/>
  <c r="AY80" i="3" s="1"/>
  <c r="BB80" i="3" s="1"/>
  <c r="S72" i="2"/>
  <c r="AY72" i="3" s="1"/>
  <c r="BB72" i="3" s="1"/>
  <c r="S64" i="2"/>
  <c r="AY64" i="3" s="1"/>
  <c r="BB64" i="3" s="1"/>
  <c r="S56" i="2"/>
  <c r="AY56" i="3" s="1"/>
  <c r="BB56" i="3" s="1"/>
  <c r="S48" i="2"/>
  <c r="AY48" i="3" s="1"/>
  <c r="BB48" i="3" s="1"/>
  <c r="S40" i="2"/>
  <c r="AY40" i="3" s="1"/>
  <c r="BB40" i="3" s="1"/>
  <c r="S32" i="2"/>
  <c r="AY32" i="3" s="1"/>
  <c r="BB32" i="3" s="1"/>
  <c r="S20" i="2"/>
  <c r="AY20" i="3" s="1"/>
  <c r="BB20" i="3" s="1"/>
  <c r="BD196" i="3"/>
  <c r="BG196" i="3" s="1"/>
  <c r="BD378" i="3"/>
  <c r="BG378" i="3" s="1"/>
  <c r="BD192" i="3"/>
  <c r="BG192" i="3" s="1"/>
  <c r="BD374" i="3"/>
  <c r="BG374" i="3" s="1"/>
  <c r="BD188" i="3"/>
  <c r="BG188" i="3" s="1"/>
  <c r="BD370" i="3"/>
  <c r="BG370" i="3" s="1"/>
  <c r="U271" i="2"/>
  <c r="U143" i="2"/>
  <c r="U15" i="2"/>
  <c r="W356" i="2"/>
  <c r="BI356" i="3"/>
  <c r="BL356" i="3" s="1"/>
  <c r="W340" i="2"/>
  <c r="BI340" i="3"/>
  <c r="BL340" i="3" s="1"/>
  <c r="W324" i="2"/>
  <c r="BI324" i="3"/>
  <c r="BL324" i="3" s="1"/>
  <c r="W308" i="2"/>
  <c r="BI308" i="3"/>
  <c r="BL308" i="3" s="1"/>
  <c r="W292" i="2"/>
  <c r="BI292" i="3"/>
  <c r="BL292" i="3" s="1"/>
  <c r="W276" i="2"/>
  <c r="BI276" i="3"/>
  <c r="BL276" i="3" s="1"/>
  <c r="W260" i="2"/>
  <c r="BI260" i="3"/>
  <c r="BL260" i="3" s="1"/>
  <c r="W244" i="2"/>
  <c r="BI244" i="3"/>
  <c r="BL244" i="3" s="1"/>
  <c r="W228" i="2"/>
  <c r="BI228" i="3"/>
  <c r="BL228" i="3" s="1"/>
  <c r="W212" i="2"/>
  <c r="BI212" i="3"/>
  <c r="BL212" i="3" s="1"/>
  <c r="W196" i="2"/>
  <c r="BI196" i="3"/>
  <c r="BL196" i="3" s="1"/>
  <c r="BI378" i="3"/>
  <c r="BL378" i="3" s="1"/>
  <c r="BI192" i="3"/>
  <c r="BL192" i="3" s="1"/>
  <c r="BI374" i="3"/>
  <c r="BL374" i="3" s="1"/>
  <c r="BI188" i="3"/>
  <c r="BL188" i="3" s="1"/>
  <c r="BI370" i="3"/>
  <c r="BL370" i="3" s="1"/>
  <c r="W180" i="2"/>
  <c r="BI180" i="3"/>
  <c r="BL180" i="3" s="1"/>
  <c r="W164" i="2"/>
  <c r="BI164" i="3"/>
  <c r="BL164" i="3" s="1"/>
  <c r="W148" i="2"/>
  <c r="BI148" i="3"/>
  <c r="BL148" i="3" s="1"/>
  <c r="W132" i="2"/>
  <c r="BI132" i="3"/>
  <c r="BL132" i="3" s="1"/>
  <c r="W116" i="2"/>
  <c r="BI116" i="3"/>
  <c r="BL116" i="3" s="1"/>
  <c r="W100" i="2"/>
  <c r="BI100" i="3"/>
  <c r="BL100" i="3" s="1"/>
  <c r="W84" i="2"/>
  <c r="BI84" i="3"/>
  <c r="BL84" i="3" s="1"/>
  <c r="W68" i="2"/>
  <c r="BI68" i="3"/>
  <c r="BL68" i="3" s="1"/>
  <c r="W52" i="2"/>
  <c r="BI52" i="3"/>
  <c r="BL52" i="3" s="1"/>
  <c r="W36" i="2"/>
  <c r="BI36" i="3"/>
  <c r="BL36" i="3" s="1"/>
  <c r="W20" i="2"/>
  <c r="BI20" i="3"/>
  <c r="BL20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0" i="3"/>
  <c r="BG630" i="3" s="1"/>
  <c r="BD502" i="3"/>
  <c r="BG502" i="3" s="1"/>
  <c r="BI1147" i="3"/>
  <c r="BL1147" i="3" s="1"/>
  <c r="BI1019" i="3"/>
  <c r="BL1019" i="3" s="1"/>
  <c r="BI891" i="3"/>
  <c r="BL891" i="3" s="1"/>
  <c r="BI763" i="3"/>
  <c r="BL763" i="3" s="1"/>
  <c r="BI635" i="3"/>
  <c r="BL635" i="3" s="1"/>
  <c r="BI507" i="3"/>
  <c r="BL507" i="3" s="1"/>
  <c r="BI379" i="3"/>
  <c r="BL379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1" i="3"/>
  <c r="BB1111" i="3" s="1"/>
  <c r="AY983" i="3"/>
  <c r="BB983" i="3" s="1"/>
  <c r="AY855" i="3"/>
  <c r="BB855" i="3" s="1"/>
  <c r="AY727" i="3"/>
  <c r="BB727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59" i="3"/>
  <c r="BB1159" i="3" s="1"/>
  <c r="AY1095" i="3"/>
  <c r="BB1095" i="3" s="1"/>
  <c r="AY1031" i="3"/>
  <c r="BB1031" i="3" s="1"/>
  <c r="AY967" i="3"/>
  <c r="BB967" i="3" s="1"/>
  <c r="AY903" i="3"/>
  <c r="BB903" i="3" s="1"/>
  <c r="AY839" i="3"/>
  <c r="BB839" i="3" s="1"/>
  <c r="AY775" i="3"/>
  <c r="BB775" i="3" s="1"/>
  <c r="AY711" i="3"/>
  <c r="BB711" i="3" s="1"/>
  <c r="AY583" i="3"/>
  <c r="BB583" i="3" s="1"/>
  <c r="BD1134" i="3"/>
  <c r="BG1134" i="3" s="1"/>
  <c r="BD1102" i="3"/>
  <c r="BG1102" i="3" s="1"/>
  <c r="BD1070" i="3"/>
  <c r="BG1070" i="3" s="1"/>
  <c r="BD1038" i="3"/>
  <c r="BG1038" i="3" s="1"/>
  <c r="BD1006" i="3"/>
  <c r="BG1006" i="3" s="1"/>
  <c r="BD974" i="3"/>
  <c r="BG974" i="3" s="1"/>
  <c r="BD942" i="3"/>
  <c r="BG942" i="3" s="1"/>
  <c r="BD910" i="3"/>
  <c r="BG910" i="3" s="1"/>
  <c r="BD878" i="3"/>
  <c r="BG878" i="3" s="1"/>
  <c r="BD846" i="3"/>
  <c r="BG846" i="3" s="1"/>
  <c r="BD814" i="3"/>
  <c r="BG814" i="3" s="1"/>
  <c r="BD782" i="3"/>
  <c r="BG782" i="3" s="1"/>
  <c r="BD750" i="3"/>
  <c r="BG750" i="3" s="1"/>
  <c r="BD718" i="3"/>
  <c r="BG718" i="3" s="1"/>
  <c r="BD686" i="3"/>
  <c r="BG686" i="3" s="1"/>
  <c r="BD654" i="3"/>
  <c r="BG654" i="3" s="1"/>
  <c r="BD622" i="3"/>
  <c r="BG622" i="3" s="1"/>
  <c r="BD590" i="3"/>
  <c r="BG590" i="3" s="1"/>
  <c r="BD558" i="3"/>
  <c r="BG558" i="3" s="1"/>
  <c r="BD526" i="3"/>
  <c r="BG526" i="3" s="1"/>
  <c r="BD494" i="3"/>
  <c r="BG494" i="3" s="1"/>
  <c r="BD462" i="3"/>
  <c r="BG462" i="3" s="1"/>
  <c r="BD430" i="3"/>
  <c r="BG430" i="3" s="1"/>
  <c r="BD398" i="3"/>
  <c r="BG398" i="3" s="1"/>
  <c r="Q18" i="2"/>
  <c r="AT18" i="3" s="1"/>
  <c r="AW18" i="3" s="1"/>
  <c r="Q10" i="2"/>
  <c r="S18" i="2"/>
  <c r="AY18" i="3" s="1"/>
  <c r="BB18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3" i="3"/>
  <c r="BB1143" i="3" s="1"/>
  <c r="AY1079" i="3"/>
  <c r="BB1079" i="3" s="1"/>
  <c r="AY1015" i="3"/>
  <c r="BB1015" i="3" s="1"/>
  <c r="AY951" i="3"/>
  <c r="BB951" i="3" s="1"/>
  <c r="AY887" i="3"/>
  <c r="BB887" i="3" s="1"/>
  <c r="AY823" i="3"/>
  <c r="BB823" i="3" s="1"/>
  <c r="AY759" i="3"/>
  <c r="BB759" i="3" s="1"/>
  <c r="AY695" i="3"/>
  <c r="BB695" i="3" s="1"/>
  <c r="AY503" i="3"/>
  <c r="BB503" i="3" s="1"/>
  <c r="BI795" i="3"/>
  <c r="BL795" i="3" s="1"/>
  <c r="BI731" i="3"/>
  <c r="BL731" i="3" s="1"/>
  <c r="BI667" i="3"/>
  <c r="BL667" i="3" s="1"/>
  <c r="BI603" i="3"/>
  <c r="BL603" i="3" s="1"/>
  <c r="BI539" i="3"/>
  <c r="BL539" i="3" s="1"/>
  <c r="BI475" i="3"/>
  <c r="BL475" i="3" s="1"/>
  <c r="BI411" i="3"/>
  <c r="BL411" i="3" s="1"/>
  <c r="W237" i="2"/>
  <c r="W173" i="2"/>
  <c r="W109" i="2"/>
  <c r="AY1047" i="3"/>
  <c r="BB1047" i="3" s="1"/>
  <c r="AY919" i="3"/>
  <c r="BB919" i="3" s="1"/>
  <c r="AY791" i="3"/>
  <c r="BB791" i="3" s="1"/>
  <c r="AY663" i="3"/>
  <c r="BB663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7" i="3"/>
  <c r="BB1127" i="3" s="1"/>
  <c r="AY1063" i="3"/>
  <c r="BB1063" i="3" s="1"/>
  <c r="AY999" i="3"/>
  <c r="BB999" i="3" s="1"/>
  <c r="AY935" i="3"/>
  <c r="BB935" i="3" s="1"/>
  <c r="AY871" i="3"/>
  <c r="BB871" i="3" s="1"/>
  <c r="AY807" i="3"/>
  <c r="BB807" i="3" s="1"/>
  <c r="AY743" i="3"/>
  <c r="BB743" i="3" s="1"/>
  <c r="AY679" i="3"/>
  <c r="BB679" i="3" s="1"/>
  <c r="AY615" i="3"/>
  <c r="BB615" i="3" s="1"/>
  <c r="BD1150" i="3"/>
  <c r="BG1150" i="3" s="1"/>
  <c r="BD1118" i="3"/>
  <c r="BG1118" i="3" s="1"/>
  <c r="BD1086" i="3"/>
  <c r="BG1086" i="3" s="1"/>
  <c r="BD1054" i="3"/>
  <c r="BG1054" i="3" s="1"/>
  <c r="BD1022" i="3"/>
  <c r="BG1022" i="3" s="1"/>
  <c r="BD990" i="3"/>
  <c r="BG990" i="3" s="1"/>
  <c r="BD958" i="3"/>
  <c r="BG958" i="3" s="1"/>
  <c r="BD926" i="3"/>
  <c r="BG926" i="3" s="1"/>
  <c r="BD894" i="3"/>
  <c r="BG894" i="3" s="1"/>
  <c r="BD862" i="3"/>
  <c r="BG862" i="3" s="1"/>
  <c r="BD830" i="3"/>
  <c r="BG830" i="3" s="1"/>
  <c r="BD798" i="3"/>
  <c r="BG798" i="3" s="1"/>
  <c r="BD766" i="3"/>
  <c r="BG766" i="3" s="1"/>
  <c r="BD734" i="3"/>
  <c r="BG734" i="3" s="1"/>
  <c r="BD702" i="3"/>
  <c r="BG702" i="3" s="1"/>
  <c r="BD670" i="3"/>
  <c r="BG670" i="3" s="1"/>
  <c r="BD638" i="3"/>
  <c r="BG638" i="3" s="1"/>
  <c r="BD606" i="3"/>
  <c r="BG606" i="3" s="1"/>
  <c r="BD574" i="3"/>
  <c r="BG574" i="3" s="1"/>
  <c r="BD542" i="3"/>
  <c r="BG542" i="3" s="1"/>
  <c r="BD510" i="3"/>
  <c r="BG510" i="3" s="1"/>
  <c r="BD478" i="3"/>
  <c r="BG478" i="3" s="1"/>
  <c r="BD446" i="3"/>
  <c r="BG446" i="3" s="1"/>
  <c r="BD414" i="3"/>
  <c r="BG414" i="3" s="1"/>
  <c r="BD382" i="3"/>
  <c r="BG382" i="3" s="1"/>
  <c r="BD5" i="3"/>
  <c r="BG5" i="3" s="1"/>
  <c r="BI786" i="3"/>
  <c r="BL786" i="3" s="1"/>
  <c r="BI722" i="3"/>
  <c r="BL722" i="3" s="1"/>
  <c r="BI658" i="3"/>
  <c r="BL658" i="3" s="1"/>
  <c r="BI594" i="3"/>
  <c r="BL594" i="3" s="1"/>
  <c r="BI530" i="3"/>
  <c r="BL530" i="3" s="1"/>
  <c r="BI466" i="3"/>
  <c r="BL466" i="3" s="1"/>
  <c r="BI402" i="3"/>
  <c r="BL402" i="3" s="1"/>
  <c r="O813" i="2"/>
  <c r="AO1108" i="3" s="1"/>
  <c r="AR1108" i="3" s="1"/>
  <c r="O641" i="2"/>
  <c r="AO936" i="3" s="1"/>
  <c r="AR936" i="3" s="1"/>
  <c r="O729" i="2"/>
  <c r="AO1024" i="3" s="1"/>
  <c r="AR1024" i="3" s="1"/>
  <c r="O745" i="2"/>
  <c r="AO1040" i="3" s="1"/>
  <c r="AR1040" i="3" s="1"/>
  <c r="O521" i="2"/>
  <c r="AO816" i="3" s="1"/>
  <c r="AR816" i="3" s="1"/>
  <c r="O470" i="2"/>
  <c r="AO765" i="3" s="1"/>
  <c r="AR765" i="3" s="1"/>
  <c r="O825" i="2"/>
  <c r="AO1120" i="3" s="1"/>
  <c r="AR1120" i="3" s="1"/>
  <c r="O509" i="2"/>
  <c r="AO804" i="3" s="1"/>
  <c r="AR804" i="3" s="1"/>
  <c r="O859" i="2"/>
  <c r="AO1154" i="3" s="1"/>
  <c r="AR1154" i="3" s="1"/>
  <c r="O765" i="2"/>
  <c r="AO1060" i="3" s="1"/>
  <c r="AR1060" i="3" s="1"/>
  <c r="O673" i="2"/>
  <c r="AO968" i="3" s="1"/>
  <c r="AR968" i="3" s="1"/>
  <c r="O557" i="2"/>
  <c r="AO852" i="3" s="1"/>
  <c r="AR852" i="3" s="1"/>
  <c r="O457" i="2"/>
  <c r="AO752" i="3" s="1"/>
  <c r="AR752" i="3" s="1"/>
  <c r="O781" i="2"/>
  <c r="AO1076" i="3" s="1"/>
  <c r="AR1076" i="3" s="1"/>
  <c r="O685" i="2"/>
  <c r="AO980" i="3" s="1"/>
  <c r="AR980" i="3" s="1"/>
  <c r="O581" i="2"/>
  <c r="AO876" i="3" s="1"/>
  <c r="AR876" i="3" s="1"/>
  <c r="O485" i="2"/>
  <c r="AO780" i="3" s="1"/>
  <c r="AR780" i="3" s="1"/>
  <c r="AO704" i="3"/>
  <c r="AR704" i="3" s="1"/>
  <c r="AO532" i="3"/>
  <c r="AR532" i="3" s="1"/>
  <c r="O836" i="2"/>
  <c r="AO1131" i="3" s="1"/>
  <c r="AR1131" i="3" s="1"/>
  <c r="O783" i="2"/>
  <c r="AO1078" i="3" s="1"/>
  <c r="AR1078" i="3" s="1"/>
  <c r="O749" i="2"/>
  <c r="AO1044" i="3" s="1"/>
  <c r="AR1044" i="3" s="1"/>
  <c r="O697" i="2"/>
  <c r="AO992" i="3" s="1"/>
  <c r="AR992" i="3" s="1"/>
  <c r="O645" i="2"/>
  <c r="AO940" i="3" s="1"/>
  <c r="AR940" i="3" s="1"/>
  <c r="O589" i="2"/>
  <c r="AO884" i="3" s="1"/>
  <c r="AR884" i="3" s="1"/>
  <c r="O537" i="2"/>
  <c r="AO832" i="3" s="1"/>
  <c r="AR832" i="3" s="1"/>
  <c r="O489" i="2"/>
  <c r="AO784" i="3" s="1"/>
  <c r="AR784" i="3" s="1"/>
  <c r="O441" i="2"/>
  <c r="AO736" i="3" s="1"/>
  <c r="AR736" i="3" s="1"/>
  <c r="O385" i="2"/>
  <c r="AO680" i="3" s="1"/>
  <c r="AR680" i="3" s="1"/>
  <c r="O333" i="2"/>
  <c r="O241" i="2"/>
  <c r="AO536" i="3" s="1"/>
  <c r="AR536" i="3" s="1"/>
  <c r="O193" i="2"/>
  <c r="AO488" i="3" s="1"/>
  <c r="AR488" i="3" s="1"/>
  <c r="AO720" i="3"/>
  <c r="AR720" i="3" s="1"/>
  <c r="O857" i="2"/>
  <c r="AO1152" i="3" s="1"/>
  <c r="AR1152" i="3" s="1"/>
  <c r="O801" i="2"/>
  <c r="AO1096" i="3" s="1"/>
  <c r="AR1096" i="3" s="1"/>
  <c r="O764" i="2"/>
  <c r="AO1059" i="3" s="1"/>
  <c r="AR1059" i="3" s="1"/>
  <c r="O713" i="2"/>
  <c r="AO1008" i="3" s="1"/>
  <c r="AR1008" i="3" s="1"/>
  <c r="O669" i="2"/>
  <c r="AO964" i="3" s="1"/>
  <c r="AR964" i="3" s="1"/>
  <c r="O613" i="2"/>
  <c r="AO908" i="3" s="1"/>
  <c r="AR908" i="3" s="1"/>
  <c r="O553" i="2"/>
  <c r="AO848" i="3" s="1"/>
  <c r="AR848" i="3" s="1"/>
  <c r="O508" i="2"/>
  <c r="AO803" i="3" s="1"/>
  <c r="AR803" i="3" s="1"/>
  <c r="O453" i="2"/>
  <c r="AO748" i="3" s="1"/>
  <c r="AR748" i="3" s="1"/>
  <c r="O397" i="2"/>
  <c r="AO692" i="3" s="1"/>
  <c r="AR692" i="3" s="1"/>
  <c r="O345" i="2"/>
  <c r="AO640" i="3" s="1"/>
  <c r="AR640" i="3" s="1"/>
  <c r="O297" i="2"/>
  <c r="AO297" i="3" s="1"/>
  <c r="AR297" i="3" s="1"/>
  <c r="O256" i="2"/>
  <c r="O209" i="2"/>
  <c r="AO504" i="3" s="1"/>
  <c r="AR504" i="3" s="1"/>
  <c r="O161" i="2"/>
  <c r="AO674" i="3"/>
  <c r="AR674" i="3" s="1"/>
  <c r="AO1081" i="3"/>
  <c r="AR1081" i="3" s="1"/>
  <c r="AO953" i="3"/>
  <c r="AR953" i="3" s="1"/>
  <c r="AO825" i="3"/>
  <c r="AR825" i="3" s="1"/>
  <c r="AO697" i="3"/>
  <c r="AR697" i="3" s="1"/>
  <c r="AO1097" i="3"/>
  <c r="AR1097" i="3" s="1"/>
  <c r="AO969" i="3"/>
  <c r="AR969" i="3" s="1"/>
  <c r="AO841" i="3"/>
  <c r="AR841" i="3" s="1"/>
  <c r="AO713" i="3"/>
  <c r="AR713" i="3" s="1"/>
  <c r="O837" i="2"/>
  <c r="AO1132" i="3" s="1"/>
  <c r="AR1132" i="3" s="1"/>
  <c r="O805" i="2"/>
  <c r="AO1100" i="3" s="1"/>
  <c r="AR1100" i="3" s="1"/>
  <c r="O777" i="2"/>
  <c r="AO1072" i="3" s="1"/>
  <c r="AR1072" i="3" s="1"/>
  <c r="AO1145" i="3"/>
  <c r="AR1145" i="3" s="1"/>
  <c r="AO1017" i="3"/>
  <c r="AR1017" i="3" s="1"/>
  <c r="AO889" i="3"/>
  <c r="AR889" i="3" s="1"/>
  <c r="AO761" i="3"/>
  <c r="AR761" i="3" s="1"/>
  <c r="O518" i="2"/>
  <c r="AO813" i="3" s="1"/>
  <c r="AR813" i="3" s="1"/>
  <c r="O310" i="2"/>
  <c r="AO605" i="3" s="1"/>
  <c r="AR605" i="3" s="1"/>
  <c r="AO1033" i="3"/>
  <c r="AR1033" i="3" s="1"/>
  <c r="AO905" i="3"/>
  <c r="AR905" i="3" s="1"/>
  <c r="AO777" i="3"/>
  <c r="AR777" i="3" s="1"/>
  <c r="AT1128" i="3"/>
  <c r="AW1128" i="3" s="1"/>
  <c r="AT1064" i="3"/>
  <c r="AW1064" i="3" s="1"/>
  <c r="AT1000" i="3"/>
  <c r="AW1000" i="3" s="1"/>
  <c r="AT904" i="3"/>
  <c r="AW904" i="3" s="1"/>
  <c r="AT840" i="3"/>
  <c r="AW840" i="3" s="1"/>
  <c r="AT776" i="3"/>
  <c r="AW776" i="3" s="1"/>
  <c r="AT744" i="3"/>
  <c r="AW744" i="3" s="1"/>
  <c r="AT680" i="3"/>
  <c r="AW680" i="3" s="1"/>
  <c r="AT584" i="3"/>
  <c r="AW584" i="3" s="1"/>
  <c r="AT1152" i="3"/>
  <c r="AW1152" i="3" s="1"/>
  <c r="AT1120" i="3"/>
  <c r="AW1120" i="3" s="1"/>
  <c r="AT1088" i="3"/>
  <c r="AW1088" i="3" s="1"/>
  <c r="AT1056" i="3"/>
  <c r="AW1056" i="3" s="1"/>
  <c r="AT1024" i="3"/>
  <c r="AW1024" i="3" s="1"/>
  <c r="AT992" i="3"/>
  <c r="AW992" i="3" s="1"/>
  <c r="AT960" i="3"/>
  <c r="AW960" i="3" s="1"/>
  <c r="AT928" i="3"/>
  <c r="AW928" i="3" s="1"/>
  <c r="AT896" i="3"/>
  <c r="AW896" i="3" s="1"/>
  <c r="AT864" i="3"/>
  <c r="AW864" i="3" s="1"/>
  <c r="AT832" i="3"/>
  <c r="AW832" i="3" s="1"/>
  <c r="AT800" i="3"/>
  <c r="AW800" i="3" s="1"/>
  <c r="AT768" i="3"/>
  <c r="AW768" i="3" s="1"/>
  <c r="AT736" i="3"/>
  <c r="AW736" i="3" s="1"/>
  <c r="AT704" i="3"/>
  <c r="AW704" i="3" s="1"/>
  <c r="AT672" i="3"/>
  <c r="AW672" i="3" s="1"/>
  <c r="AT416" i="3"/>
  <c r="AW416" i="3" s="1"/>
  <c r="AT1160" i="3"/>
  <c r="AW1160" i="3" s="1"/>
  <c r="AT1096" i="3"/>
  <c r="AW1096" i="3" s="1"/>
  <c r="AT1032" i="3"/>
  <c r="AW1032" i="3" s="1"/>
  <c r="AT968" i="3"/>
  <c r="AW968" i="3" s="1"/>
  <c r="AT936" i="3"/>
  <c r="AW936" i="3" s="1"/>
  <c r="AT872" i="3"/>
  <c r="AW872" i="3" s="1"/>
  <c r="AT808" i="3"/>
  <c r="AW808" i="3" s="1"/>
  <c r="AT712" i="3"/>
  <c r="AW712" i="3" s="1"/>
  <c r="AT1136" i="3"/>
  <c r="AW1136" i="3" s="1"/>
  <c r="AT1104" i="3"/>
  <c r="AW1104" i="3" s="1"/>
  <c r="AT1072" i="3"/>
  <c r="AW1072" i="3" s="1"/>
  <c r="AT1040" i="3"/>
  <c r="AW1040" i="3" s="1"/>
  <c r="AT1008" i="3"/>
  <c r="AW1008" i="3" s="1"/>
  <c r="AT976" i="3"/>
  <c r="AW976" i="3" s="1"/>
  <c r="AT944" i="3"/>
  <c r="AW944" i="3" s="1"/>
  <c r="AT912" i="3"/>
  <c r="AW912" i="3" s="1"/>
  <c r="AT880" i="3"/>
  <c r="AW880" i="3" s="1"/>
  <c r="AT848" i="3"/>
  <c r="AW848" i="3" s="1"/>
  <c r="AT816" i="3"/>
  <c r="AW816" i="3" s="1"/>
  <c r="AT784" i="3"/>
  <c r="AW784" i="3" s="1"/>
  <c r="AT752" i="3"/>
  <c r="AW752" i="3" s="1"/>
  <c r="AT720" i="3"/>
  <c r="AW720" i="3" s="1"/>
  <c r="AT688" i="3"/>
  <c r="AW688" i="3" s="1"/>
  <c r="AT656" i="3"/>
  <c r="AW656" i="3" s="1"/>
  <c r="AT1144" i="3"/>
  <c r="AW1144" i="3" s="1"/>
  <c r="AT1112" i="3"/>
  <c r="AW1112" i="3" s="1"/>
  <c r="AT1080" i="3"/>
  <c r="AW1080" i="3" s="1"/>
  <c r="AT1048" i="3"/>
  <c r="AW1048" i="3" s="1"/>
  <c r="AT1016" i="3"/>
  <c r="AW1016" i="3" s="1"/>
  <c r="AT984" i="3"/>
  <c r="AW984" i="3" s="1"/>
  <c r="AT952" i="3"/>
  <c r="AW952" i="3" s="1"/>
  <c r="AT920" i="3"/>
  <c r="AW920" i="3" s="1"/>
  <c r="AT888" i="3"/>
  <c r="AW888" i="3" s="1"/>
  <c r="AT856" i="3"/>
  <c r="AW856" i="3" s="1"/>
  <c r="AT824" i="3"/>
  <c r="AW824" i="3" s="1"/>
  <c r="AT792" i="3"/>
  <c r="AW792" i="3" s="1"/>
  <c r="AT760" i="3"/>
  <c r="AW760" i="3" s="1"/>
  <c r="AT728" i="3"/>
  <c r="AW728" i="3" s="1"/>
  <c r="AT696" i="3"/>
  <c r="AW696" i="3" s="1"/>
  <c r="AT664" i="3"/>
  <c r="AW664" i="3" s="1"/>
  <c r="O16" i="2"/>
  <c r="AO16" i="3" s="1"/>
  <c r="AR16" i="3" s="1"/>
  <c r="O280" i="2"/>
  <c r="AO575" i="3" s="1"/>
  <c r="AR575" i="3" s="1"/>
  <c r="O21" i="2"/>
  <c r="AO21" i="3" s="1"/>
  <c r="AR21" i="3" s="1"/>
  <c r="O5" i="2"/>
  <c r="AO5" i="3" s="1"/>
  <c r="AR5" i="3" s="1"/>
  <c r="O845" i="2"/>
  <c r="AO1140" i="3" s="1"/>
  <c r="AR1140" i="3" s="1"/>
  <c r="O833" i="2"/>
  <c r="AO1128" i="3" s="1"/>
  <c r="AR1128" i="3" s="1"/>
  <c r="O809" i="2"/>
  <c r="AO1104" i="3" s="1"/>
  <c r="AR1104" i="3" s="1"/>
  <c r="O797" i="2"/>
  <c r="AO1092" i="3" s="1"/>
  <c r="AR1092" i="3" s="1"/>
  <c r="O769" i="2"/>
  <c r="AO1064" i="3" s="1"/>
  <c r="AR1064" i="3" s="1"/>
  <c r="O761" i="2"/>
  <c r="AO1056" i="3" s="1"/>
  <c r="AR1056" i="3" s="1"/>
  <c r="O741" i="2"/>
  <c r="AO1036" i="3" s="1"/>
  <c r="AR1036" i="3" s="1"/>
  <c r="O709" i="2"/>
  <c r="AO1004" i="3" s="1"/>
  <c r="AR1004" i="3" s="1"/>
  <c r="O681" i="2"/>
  <c r="AO976" i="3" s="1"/>
  <c r="AR976" i="3" s="1"/>
  <c r="O664" i="2"/>
  <c r="AO959" i="3" s="1"/>
  <c r="AR959" i="3" s="1"/>
  <c r="O637" i="2"/>
  <c r="AO932" i="3" s="1"/>
  <c r="AR932" i="3" s="1"/>
  <c r="O605" i="2"/>
  <c r="AO900" i="3" s="1"/>
  <c r="AR900" i="3" s="1"/>
  <c r="O577" i="2"/>
  <c r="AO872" i="3" s="1"/>
  <c r="AR872" i="3" s="1"/>
  <c r="O545" i="2"/>
  <c r="AO840" i="3" s="1"/>
  <c r="AR840" i="3" s="1"/>
  <c r="O505" i="2"/>
  <c r="AO800" i="3" s="1"/>
  <c r="AR800" i="3" s="1"/>
  <c r="O477" i="2"/>
  <c r="AO772" i="3" s="1"/>
  <c r="AR772" i="3" s="1"/>
  <c r="O449" i="2"/>
  <c r="AO744" i="3" s="1"/>
  <c r="AR744" i="3" s="1"/>
  <c r="O421" i="2"/>
  <c r="AO716" i="3" s="1"/>
  <c r="AR716" i="3" s="1"/>
  <c r="O389" i="2"/>
  <c r="AO684" i="3" s="1"/>
  <c r="AR684" i="3" s="1"/>
  <c r="O377" i="2"/>
  <c r="AO672" i="3" s="1"/>
  <c r="AR672" i="3" s="1"/>
  <c r="O352" i="2"/>
  <c r="O329" i="2"/>
  <c r="O305" i="2"/>
  <c r="AO600" i="3" s="1"/>
  <c r="AR600" i="3" s="1"/>
  <c r="O285" i="2"/>
  <c r="O269" i="2"/>
  <c r="AO564" i="3" s="1"/>
  <c r="AR564" i="3" s="1"/>
  <c r="O253" i="2"/>
  <c r="O229" i="2"/>
  <c r="AO524" i="3" s="1"/>
  <c r="AR524" i="3" s="1"/>
  <c r="O205" i="2"/>
  <c r="O177" i="2"/>
  <c r="AO472" i="3" s="1"/>
  <c r="AR472" i="3" s="1"/>
  <c r="O157" i="2"/>
  <c r="O129" i="2"/>
  <c r="AO424" i="3" s="1"/>
  <c r="AR424" i="3" s="1"/>
  <c r="O88" i="2"/>
  <c r="O65" i="2"/>
  <c r="AO65" i="3" s="1"/>
  <c r="AR65" i="3" s="1"/>
  <c r="AO1129" i="3"/>
  <c r="AR1129" i="3" s="1"/>
  <c r="AO1065" i="3"/>
  <c r="AR1065" i="3" s="1"/>
  <c r="AO1001" i="3"/>
  <c r="AR1001" i="3" s="1"/>
  <c r="AO937" i="3"/>
  <c r="AR937" i="3" s="1"/>
  <c r="AO873" i="3"/>
  <c r="AR873" i="3" s="1"/>
  <c r="AO809" i="3"/>
  <c r="AR809" i="3" s="1"/>
  <c r="AO745" i="3"/>
  <c r="AR745" i="3" s="1"/>
  <c r="AO681" i="3"/>
  <c r="AR681" i="3" s="1"/>
  <c r="AO489" i="3"/>
  <c r="AR489" i="3" s="1"/>
  <c r="O32" i="2"/>
  <c r="AO32" i="3" s="1"/>
  <c r="AR32" i="3" s="1"/>
  <c r="O360" i="2"/>
  <c r="AO360" i="3" s="1"/>
  <c r="AR360" i="3" s="1"/>
  <c r="O33" i="2"/>
  <c r="AO33" i="3" s="1"/>
  <c r="AR33" i="3" s="1"/>
  <c r="O17" i="2"/>
  <c r="AO17" i="3" s="1"/>
  <c r="AR17" i="3" s="1"/>
  <c r="O865" i="2"/>
  <c r="AO1160" i="3" s="1"/>
  <c r="AR1160" i="3" s="1"/>
  <c r="O841" i="2"/>
  <c r="AO1136" i="3" s="1"/>
  <c r="AR1136" i="3" s="1"/>
  <c r="O829" i="2"/>
  <c r="AO1124" i="3" s="1"/>
  <c r="AR1124" i="3" s="1"/>
  <c r="O808" i="2"/>
  <c r="AO1103" i="3" s="1"/>
  <c r="AR1103" i="3" s="1"/>
  <c r="O768" i="2"/>
  <c r="AO1063" i="3" s="1"/>
  <c r="AR1063" i="3" s="1"/>
  <c r="O760" i="2"/>
  <c r="AO1055" i="3" s="1"/>
  <c r="AR1055" i="3" s="1"/>
  <c r="O733" i="2"/>
  <c r="AO1028" i="3" s="1"/>
  <c r="AR1028" i="3" s="1"/>
  <c r="O705" i="2"/>
  <c r="AO1000" i="3" s="1"/>
  <c r="AR1000" i="3" s="1"/>
  <c r="O677" i="2"/>
  <c r="AO972" i="3" s="1"/>
  <c r="AR972" i="3" s="1"/>
  <c r="O653" i="2"/>
  <c r="AO948" i="3" s="1"/>
  <c r="AR948" i="3" s="1"/>
  <c r="O621" i="2"/>
  <c r="AO916" i="3" s="1"/>
  <c r="AR916" i="3" s="1"/>
  <c r="O601" i="2"/>
  <c r="AO896" i="3" s="1"/>
  <c r="AR896" i="3" s="1"/>
  <c r="O569" i="2"/>
  <c r="AO864" i="3" s="1"/>
  <c r="AR864" i="3" s="1"/>
  <c r="O541" i="2"/>
  <c r="AO836" i="3" s="1"/>
  <c r="AR836" i="3" s="1"/>
  <c r="O517" i="2"/>
  <c r="AO812" i="3" s="1"/>
  <c r="AR812" i="3" s="1"/>
  <c r="O493" i="2"/>
  <c r="AO788" i="3" s="1"/>
  <c r="AR788" i="3" s="1"/>
  <c r="O473" i="2"/>
  <c r="AO768" i="3" s="1"/>
  <c r="AR768" i="3" s="1"/>
  <c r="O445" i="2"/>
  <c r="AO740" i="3" s="1"/>
  <c r="AR740" i="3" s="1"/>
  <c r="O417" i="2"/>
  <c r="AO712" i="3" s="1"/>
  <c r="AR712" i="3" s="1"/>
  <c r="O388" i="2"/>
  <c r="AO683" i="3" s="1"/>
  <c r="AR683" i="3" s="1"/>
  <c r="O361" i="2"/>
  <c r="O349" i="2"/>
  <c r="AO644" i="3" s="1"/>
  <c r="AR644" i="3" s="1"/>
  <c r="O321" i="2"/>
  <c r="AO616" i="3" s="1"/>
  <c r="AR616" i="3" s="1"/>
  <c r="O301" i="2"/>
  <c r="AO596" i="3" s="1"/>
  <c r="AR596" i="3" s="1"/>
  <c r="O281" i="2"/>
  <c r="O265" i="2"/>
  <c r="O249" i="2"/>
  <c r="AO544" i="3" s="1"/>
  <c r="AR544" i="3" s="1"/>
  <c r="O225" i="2"/>
  <c r="O197" i="2"/>
  <c r="O173" i="2"/>
  <c r="AO468" i="3" s="1"/>
  <c r="AR468" i="3" s="1"/>
  <c r="O145" i="2"/>
  <c r="AO440" i="3" s="1"/>
  <c r="AR440" i="3" s="1"/>
  <c r="O125" i="2"/>
  <c r="O97" i="2"/>
  <c r="O81" i="2"/>
  <c r="AO81" i="3" s="1"/>
  <c r="AR81" i="3" s="1"/>
  <c r="O57" i="2"/>
  <c r="AO57" i="3" s="1"/>
  <c r="AR57" i="3" s="1"/>
  <c r="AO7" i="3"/>
  <c r="AR7" i="3" s="1"/>
  <c r="AO1113" i="3"/>
  <c r="AR1113" i="3" s="1"/>
  <c r="AO1049" i="3"/>
  <c r="AR1049" i="3" s="1"/>
  <c r="AO985" i="3"/>
  <c r="AR985" i="3" s="1"/>
  <c r="AO921" i="3"/>
  <c r="AR921" i="3" s="1"/>
  <c r="AO857" i="3"/>
  <c r="AR857" i="3" s="1"/>
  <c r="AO793" i="3"/>
  <c r="AR793" i="3" s="1"/>
  <c r="AO729" i="3"/>
  <c r="AR729" i="3" s="1"/>
  <c r="AO665" i="3"/>
  <c r="AR665" i="3" s="1"/>
  <c r="Q859" i="2"/>
  <c r="AT1154" i="3" s="1"/>
  <c r="AW1154" i="3" s="1"/>
  <c r="Q851" i="2"/>
  <c r="AT1146" i="3" s="1"/>
  <c r="AW1146" i="3" s="1"/>
  <c r="Q839" i="2"/>
  <c r="AT1134" i="3" s="1"/>
  <c r="AW1134" i="3" s="1"/>
  <c r="Q831" i="2"/>
  <c r="AT1126" i="3" s="1"/>
  <c r="AW1126" i="3" s="1"/>
  <c r="Q823" i="2"/>
  <c r="AT1118" i="3" s="1"/>
  <c r="AW1118" i="3" s="1"/>
  <c r="Q815" i="2"/>
  <c r="AT1110" i="3" s="1"/>
  <c r="AW1110" i="3" s="1"/>
  <c r="Q803" i="2"/>
  <c r="AT1098" i="3" s="1"/>
  <c r="AW1098" i="3" s="1"/>
  <c r="Q795" i="2"/>
  <c r="AT1090" i="3" s="1"/>
  <c r="AW1090" i="3" s="1"/>
  <c r="Q787" i="2"/>
  <c r="AT1082" i="3" s="1"/>
  <c r="AW1082" i="3" s="1"/>
  <c r="Q779" i="2"/>
  <c r="AT1074" i="3" s="1"/>
  <c r="AW1074" i="3" s="1"/>
  <c r="Q771" i="2"/>
  <c r="AT1066" i="3" s="1"/>
  <c r="AW1066" i="3" s="1"/>
  <c r="Q763" i="2"/>
  <c r="AT1058" i="3" s="1"/>
  <c r="AW1058" i="3" s="1"/>
  <c r="Q755" i="2"/>
  <c r="AT1050" i="3" s="1"/>
  <c r="AW1050" i="3" s="1"/>
  <c r="Q747" i="2"/>
  <c r="AT1042" i="3" s="1"/>
  <c r="AW1042" i="3" s="1"/>
  <c r="Q739" i="2"/>
  <c r="AT1034" i="3" s="1"/>
  <c r="AW1034" i="3" s="1"/>
  <c r="Q731" i="2"/>
  <c r="AT1026" i="3" s="1"/>
  <c r="AW1026" i="3" s="1"/>
  <c r="Q723" i="2"/>
  <c r="AT1018" i="3" s="1"/>
  <c r="AW1018" i="3" s="1"/>
  <c r="Q715" i="2"/>
  <c r="AT1010" i="3" s="1"/>
  <c r="AW1010" i="3" s="1"/>
  <c r="Q707" i="2"/>
  <c r="AT1002" i="3" s="1"/>
  <c r="AW1002" i="3" s="1"/>
  <c r="Q695" i="2"/>
  <c r="AT990" i="3" s="1"/>
  <c r="AW990" i="3" s="1"/>
  <c r="Q687" i="2"/>
  <c r="AT982" i="3" s="1"/>
  <c r="AW982" i="3" s="1"/>
  <c r="Q679" i="2"/>
  <c r="AT974" i="3" s="1"/>
  <c r="AW974" i="3" s="1"/>
  <c r="Q671" i="2"/>
  <c r="AT966" i="3" s="1"/>
  <c r="AW966" i="3" s="1"/>
  <c r="Q663" i="2"/>
  <c r="AT958" i="3" s="1"/>
  <c r="AW958" i="3" s="1"/>
  <c r="Q655" i="2"/>
  <c r="AT950" i="3" s="1"/>
  <c r="AW950" i="3" s="1"/>
  <c r="Q647" i="2"/>
  <c r="AT942" i="3" s="1"/>
  <c r="AW942" i="3" s="1"/>
  <c r="Q639" i="2"/>
  <c r="AT934" i="3" s="1"/>
  <c r="AW934" i="3" s="1"/>
  <c r="Q631" i="2"/>
  <c r="AT926" i="3" s="1"/>
  <c r="AW926" i="3" s="1"/>
  <c r="Q627" i="2"/>
  <c r="AT922" i="3" s="1"/>
  <c r="AW922" i="3" s="1"/>
  <c r="Q623" i="2"/>
  <c r="AT918" i="3" s="1"/>
  <c r="AW918" i="3" s="1"/>
  <c r="Q619" i="2"/>
  <c r="AT914" i="3" s="1"/>
  <c r="AW914" i="3" s="1"/>
  <c r="Q615" i="2"/>
  <c r="AT910" i="3" s="1"/>
  <c r="AW910" i="3" s="1"/>
  <c r="Q611" i="2"/>
  <c r="AT906" i="3" s="1"/>
  <c r="AW906" i="3" s="1"/>
  <c r="Q607" i="2"/>
  <c r="AT902" i="3" s="1"/>
  <c r="AW902" i="3" s="1"/>
  <c r="Q603" i="2"/>
  <c r="AT898" i="3" s="1"/>
  <c r="AW898" i="3" s="1"/>
  <c r="Q599" i="2"/>
  <c r="AT894" i="3" s="1"/>
  <c r="AW894" i="3" s="1"/>
  <c r="Q595" i="2"/>
  <c r="AT890" i="3" s="1"/>
  <c r="AW890" i="3" s="1"/>
  <c r="Q591" i="2"/>
  <c r="AT886" i="3" s="1"/>
  <c r="AW886" i="3" s="1"/>
  <c r="Q587" i="2"/>
  <c r="AT882" i="3" s="1"/>
  <c r="AW882" i="3" s="1"/>
  <c r="Q583" i="2"/>
  <c r="AT878" i="3" s="1"/>
  <c r="AW878" i="3" s="1"/>
  <c r="Q579" i="2"/>
  <c r="AT874" i="3" s="1"/>
  <c r="AW874" i="3" s="1"/>
  <c r="Q575" i="2"/>
  <c r="AT870" i="3" s="1"/>
  <c r="AW870" i="3" s="1"/>
  <c r="Q567" i="2"/>
  <c r="AT862" i="3" s="1"/>
  <c r="AW862" i="3" s="1"/>
  <c r="Q563" i="2"/>
  <c r="AT858" i="3" s="1"/>
  <c r="AW858" i="3" s="1"/>
  <c r="Q559" i="2"/>
  <c r="AT854" i="3" s="1"/>
  <c r="AW854" i="3" s="1"/>
  <c r="Q555" i="2"/>
  <c r="AT850" i="3" s="1"/>
  <c r="AW850" i="3" s="1"/>
  <c r="Q551" i="2"/>
  <c r="AT846" i="3" s="1"/>
  <c r="AW846" i="3" s="1"/>
  <c r="Q547" i="2"/>
  <c r="AT842" i="3" s="1"/>
  <c r="AW842" i="3" s="1"/>
  <c r="Q543" i="2"/>
  <c r="AT838" i="3" s="1"/>
  <c r="AW838" i="3" s="1"/>
  <c r="Q539" i="2"/>
  <c r="AT834" i="3" s="1"/>
  <c r="AW834" i="3" s="1"/>
  <c r="Q535" i="2"/>
  <c r="AT830" i="3" s="1"/>
  <c r="AW830" i="3" s="1"/>
  <c r="Q531" i="2"/>
  <c r="AT826" i="3" s="1"/>
  <c r="AW826" i="3" s="1"/>
  <c r="Q527" i="2"/>
  <c r="AT822" i="3" s="1"/>
  <c r="AW822" i="3" s="1"/>
  <c r="Q523" i="2"/>
  <c r="AT818" i="3" s="1"/>
  <c r="AW818" i="3" s="1"/>
  <c r="Q519" i="2"/>
  <c r="AT814" i="3" s="1"/>
  <c r="AW814" i="3" s="1"/>
  <c r="Q515" i="2"/>
  <c r="AT810" i="3" s="1"/>
  <c r="AW810" i="3" s="1"/>
  <c r="Q511" i="2"/>
  <c r="AT806" i="3" s="1"/>
  <c r="AW806" i="3" s="1"/>
  <c r="Q507" i="2"/>
  <c r="AT802" i="3" s="1"/>
  <c r="AW802" i="3" s="1"/>
  <c r="Q503" i="2"/>
  <c r="AT798" i="3" s="1"/>
  <c r="AW798" i="3" s="1"/>
  <c r="Q499" i="2"/>
  <c r="AT794" i="3" s="1"/>
  <c r="AW794" i="3" s="1"/>
  <c r="Q495" i="2"/>
  <c r="AT790" i="3" s="1"/>
  <c r="AW790" i="3" s="1"/>
  <c r="Q491" i="2"/>
  <c r="AT786" i="3" s="1"/>
  <c r="AW786" i="3" s="1"/>
  <c r="Q487" i="2"/>
  <c r="AT782" i="3" s="1"/>
  <c r="AW782" i="3" s="1"/>
  <c r="Q483" i="2"/>
  <c r="AT778" i="3" s="1"/>
  <c r="AW778" i="3" s="1"/>
  <c r="Q479" i="2"/>
  <c r="AT774" i="3" s="1"/>
  <c r="AW774" i="3" s="1"/>
  <c r="Q475" i="2"/>
  <c r="AT770" i="3" s="1"/>
  <c r="AW770" i="3" s="1"/>
  <c r="Q471" i="2"/>
  <c r="AT766" i="3" s="1"/>
  <c r="AW766" i="3" s="1"/>
  <c r="Q467" i="2"/>
  <c r="AT762" i="3" s="1"/>
  <c r="AW762" i="3" s="1"/>
  <c r="Q463" i="2"/>
  <c r="AT758" i="3" s="1"/>
  <c r="AW758" i="3" s="1"/>
  <c r="Q459" i="2"/>
  <c r="AT754" i="3" s="1"/>
  <c r="AW754" i="3" s="1"/>
  <c r="Q455" i="2"/>
  <c r="AT750" i="3" s="1"/>
  <c r="AW750" i="3" s="1"/>
  <c r="Q451" i="2"/>
  <c r="AT746" i="3" s="1"/>
  <c r="AW746" i="3" s="1"/>
  <c r="Q447" i="2"/>
  <c r="AT742" i="3" s="1"/>
  <c r="AW742" i="3" s="1"/>
  <c r="Q443" i="2"/>
  <c r="AT738" i="3" s="1"/>
  <c r="AW738" i="3" s="1"/>
  <c r="Q439" i="2"/>
  <c r="AT734" i="3" s="1"/>
  <c r="AW734" i="3" s="1"/>
  <c r="Q435" i="2"/>
  <c r="AT730" i="3" s="1"/>
  <c r="AW730" i="3" s="1"/>
  <c r="Q431" i="2"/>
  <c r="AT726" i="3" s="1"/>
  <c r="AW726" i="3" s="1"/>
  <c r="Q427" i="2"/>
  <c r="AT722" i="3" s="1"/>
  <c r="AW722" i="3" s="1"/>
  <c r="Q423" i="2"/>
  <c r="AT718" i="3" s="1"/>
  <c r="AW718" i="3" s="1"/>
  <c r="Q419" i="2"/>
  <c r="AT714" i="3" s="1"/>
  <c r="AW714" i="3" s="1"/>
  <c r="Q415" i="2"/>
  <c r="AT710" i="3" s="1"/>
  <c r="AW710" i="3" s="1"/>
  <c r="Q411" i="2"/>
  <c r="AT706" i="3" s="1"/>
  <c r="AW706" i="3" s="1"/>
  <c r="Q407" i="2"/>
  <c r="AT702" i="3" s="1"/>
  <c r="AW702" i="3" s="1"/>
  <c r="Q403" i="2"/>
  <c r="AT698" i="3" s="1"/>
  <c r="AW698" i="3" s="1"/>
  <c r="Q399" i="2"/>
  <c r="AT694" i="3" s="1"/>
  <c r="AW694" i="3" s="1"/>
  <c r="Q395" i="2"/>
  <c r="AT690" i="3" s="1"/>
  <c r="AW690" i="3" s="1"/>
  <c r="Q391" i="2"/>
  <c r="AT686" i="3" s="1"/>
  <c r="AW686" i="3" s="1"/>
  <c r="Q387" i="2"/>
  <c r="AT682" i="3" s="1"/>
  <c r="AW682" i="3" s="1"/>
  <c r="Q383" i="2"/>
  <c r="AT678" i="3" s="1"/>
  <c r="AW678" i="3" s="1"/>
  <c r="Q379" i="2"/>
  <c r="AT674" i="3" s="1"/>
  <c r="AW674" i="3" s="1"/>
  <c r="Q375" i="2"/>
  <c r="AT670" i="3" s="1"/>
  <c r="AW670" i="3" s="1"/>
  <c r="Q371" i="2"/>
  <c r="AT666" i="3" s="1"/>
  <c r="AW666" i="3" s="1"/>
  <c r="Q367" i="2"/>
  <c r="AT367" i="3" s="1"/>
  <c r="AW367" i="3" s="1"/>
  <c r="Q363" i="2"/>
  <c r="AT363" i="3" s="1"/>
  <c r="AW363" i="3" s="1"/>
  <c r="Q359" i="2"/>
  <c r="AT359" i="3" s="1"/>
  <c r="AW359" i="3" s="1"/>
  <c r="Q355" i="2"/>
  <c r="AT355" i="3" s="1"/>
  <c r="AW355" i="3" s="1"/>
  <c r="Q351" i="2"/>
  <c r="AT351" i="3" s="1"/>
  <c r="AW351" i="3" s="1"/>
  <c r="Q347" i="2"/>
  <c r="AT347" i="3" s="1"/>
  <c r="AW347" i="3" s="1"/>
  <c r="Q343" i="2"/>
  <c r="AT638" i="3" s="1"/>
  <c r="AW638" i="3" s="1"/>
  <c r="Q339" i="2"/>
  <c r="AT339" i="3" s="1"/>
  <c r="AW339" i="3" s="1"/>
  <c r="Q335" i="2"/>
  <c r="AT335" i="3" s="1"/>
  <c r="AW335" i="3" s="1"/>
  <c r="Q331" i="2"/>
  <c r="AT331" i="3" s="1"/>
  <c r="AW331" i="3" s="1"/>
  <c r="Q327" i="2"/>
  <c r="AT327" i="3" s="1"/>
  <c r="AW327" i="3" s="1"/>
  <c r="Q323" i="2"/>
  <c r="AT323" i="3" s="1"/>
  <c r="AW323" i="3" s="1"/>
  <c r="Q319" i="2"/>
  <c r="AT319" i="3" s="1"/>
  <c r="AW319" i="3" s="1"/>
  <c r="Q315" i="2"/>
  <c r="AT315" i="3" s="1"/>
  <c r="AW315" i="3" s="1"/>
  <c r="Q311" i="2"/>
  <c r="AT606" i="3" s="1"/>
  <c r="AW606" i="3" s="1"/>
  <c r="Q307" i="2"/>
  <c r="AT307" i="3" s="1"/>
  <c r="AW307" i="3" s="1"/>
  <c r="Q303" i="2"/>
  <c r="AT303" i="3" s="1"/>
  <c r="AW303" i="3" s="1"/>
  <c r="Q299" i="2"/>
  <c r="AT299" i="3" s="1"/>
  <c r="AW299" i="3" s="1"/>
  <c r="Q295" i="2"/>
  <c r="AT295" i="3" s="1"/>
  <c r="AW295" i="3" s="1"/>
  <c r="Q291" i="2"/>
  <c r="AT291" i="3" s="1"/>
  <c r="AW291" i="3" s="1"/>
  <c r="Q287" i="2"/>
  <c r="AT287" i="3" s="1"/>
  <c r="AW287" i="3" s="1"/>
  <c r="Q283" i="2"/>
  <c r="AT283" i="3" s="1"/>
  <c r="AW283" i="3" s="1"/>
  <c r="Q279" i="2"/>
  <c r="AT574" i="3" s="1"/>
  <c r="AW574" i="3" s="1"/>
  <c r="Q275" i="2"/>
  <c r="AT275" i="3" s="1"/>
  <c r="AW275" i="3" s="1"/>
  <c r="Q271" i="2"/>
  <c r="AT271" i="3" s="1"/>
  <c r="AW271" i="3" s="1"/>
  <c r="Q267" i="2"/>
  <c r="AT267" i="3" s="1"/>
  <c r="AW267" i="3" s="1"/>
  <c r="Q263" i="2"/>
  <c r="AT263" i="3" s="1"/>
  <c r="AW263" i="3" s="1"/>
  <c r="Q259" i="2"/>
  <c r="AT259" i="3" s="1"/>
  <c r="AW259" i="3" s="1"/>
  <c r="Q255" i="2"/>
  <c r="AT255" i="3" s="1"/>
  <c r="AW255" i="3" s="1"/>
  <c r="Q251" i="2"/>
  <c r="AT251" i="3" s="1"/>
  <c r="AW251" i="3" s="1"/>
  <c r="Q247" i="2"/>
  <c r="AT542" i="3" s="1"/>
  <c r="AW542" i="3" s="1"/>
  <c r="Q243" i="2"/>
  <c r="AT243" i="3" s="1"/>
  <c r="AW243" i="3" s="1"/>
  <c r="Q239" i="2"/>
  <c r="AT239" i="3" s="1"/>
  <c r="AW239" i="3" s="1"/>
  <c r="Q235" i="2"/>
  <c r="AT235" i="3" s="1"/>
  <c r="AW235" i="3" s="1"/>
  <c r="Q231" i="2"/>
  <c r="AT231" i="3" s="1"/>
  <c r="AW231" i="3" s="1"/>
  <c r="Q227" i="2"/>
  <c r="AT227" i="3" s="1"/>
  <c r="AW227" i="3" s="1"/>
  <c r="Q223" i="2"/>
  <c r="AT223" i="3" s="1"/>
  <c r="AW223" i="3" s="1"/>
  <c r="Q219" i="2"/>
  <c r="AT219" i="3" s="1"/>
  <c r="AW219" i="3" s="1"/>
  <c r="Q215" i="2"/>
  <c r="AT510" i="3" s="1"/>
  <c r="AW510" i="3" s="1"/>
  <c r="Q211" i="2"/>
  <c r="AT211" i="3" s="1"/>
  <c r="AW211" i="3" s="1"/>
  <c r="Q207" i="2"/>
  <c r="AT207" i="3" s="1"/>
  <c r="AW207" i="3" s="1"/>
  <c r="Q203" i="2"/>
  <c r="AT203" i="3" s="1"/>
  <c r="AW203" i="3" s="1"/>
  <c r="Q199" i="2"/>
  <c r="AT199" i="3" s="1"/>
  <c r="AW199" i="3" s="1"/>
  <c r="Q195" i="2"/>
  <c r="AT195" i="3" s="1"/>
  <c r="AW195" i="3" s="1"/>
  <c r="Q191" i="2"/>
  <c r="AT191" i="3" s="1"/>
  <c r="AW191" i="3" s="1"/>
  <c r="Q187" i="2"/>
  <c r="AT187" i="3" s="1"/>
  <c r="AW187" i="3" s="1"/>
  <c r="Q183" i="2"/>
  <c r="AT183" i="3" s="1"/>
  <c r="AW183" i="3" s="1"/>
  <c r="Q179" i="2"/>
  <c r="AT474" i="3" s="1"/>
  <c r="AW474" i="3" s="1"/>
  <c r="Q175" i="2"/>
  <c r="AT175" i="3" s="1"/>
  <c r="AW175" i="3" s="1"/>
  <c r="Q171" i="2"/>
  <c r="AT466" i="3" s="1"/>
  <c r="AW466" i="3" s="1"/>
  <c r="Q167" i="2"/>
  <c r="AT167" i="3" s="1"/>
  <c r="AW167" i="3" s="1"/>
  <c r="Q163" i="2"/>
  <c r="AT163" i="3" s="1"/>
  <c r="AW163" i="3" s="1"/>
  <c r="Q159" i="2"/>
  <c r="AT159" i="3" s="1"/>
  <c r="AW159" i="3" s="1"/>
  <c r="Q155" i="2"/>
  <c r="AT450" i="3" s="1"/>
  <c r="AW450" i="3" s="1"/>
  <c r="Q151" i="2"/>
  <c r="AT151" i="3" s="1"/>
  <c r="AW151" i="3" s="1"/>
  <c r="Q147" i="2"/>
  <c r="AT442" i="3" s="1"/>
  <c r="AW442" i="3" s="1"/>
  <c r="Q143" i="2"/>
  <c r="Q139" i="2"/>
  <c r="AT434" i="3" s="1"/>
  <c r="AW434" i="3" s="1"/>
  <c r="Q135" i="2"/>
  <c r="Q131" i="2"/>
  <c r="AT426" i="3" s="1"/>
  <c r="AW426" i="3" s="1"/>
  <c r="Q127" i="2"/>
  <c r="Q123" i="2"/>
  <c r="AT418" i="3" s="1"/>
  <c r="AW418" i="3" s="1"/>
  <c r="Q119" i="2"/>
  <c r="Q115" i="2"/>
  <c r="AT410" i="3" s="1"/>
  <c r="AW410" i="3" s="1"/>
  <c r="Q111" i="2"/>
  <c r="Q107" i="2"/>
  <c r="Q103" i="2"/>
  <c r="Q99" i="2"/>
  <c r="AT394" i="3" s="1"/>
  <c r="AW394" i="3" s="1"/>
  <c r="Q95" i="2"/>
  <c r="Q91" i="2"/>
  <c r="AT386" i="3" s="1"/>
  <c r="AW386" i="3" s="1"/>
  <c r="Q87" i="2"/>
  <c r="Q83" i="2"/>
  <c r="AT83" i="3" s="1"/>
  <c r="AW83" i="3" s="1"/>
  <c r="Q79" i="2"/>
  <c r="AT79" i="3" s="1"/>
  <c r="AW79" i="3" s="1"/>
  <c r="Q75" i="2"/>
  <c r="AT75" i="3" s="1"/>
  <c r="AW75" i="3" s="1"/>
  <c r="Q67" i="2"/>
  <c r="AT67" i="3" s="1"/>
  <c r="AW67" i="3" s="1"/>
  <c r="Q63" i="2"/>
  <c r="AT63" i="3" s="1"/>
  <c r="AW63" i="3" s="1"/>
  <c r="Q59" i="2"/>
  <c r="AT59" i="3" s="1"/>
  <c r="AW59" i="3" s="1"/>
  <c r="Q55" i="2"/>
  <c r="AT55" i="3" s="1"/>
  <c r="AW55" i="3" s="1"/>
  <c r="Q51" i="2"/>
  <c r="AT51" i="3" s="1"/>
  <c r="AW51" i="3" s="1"/>
  <c r="Q47" i="2"/>
  <c r="AT47" i="3" s="1"/>
  <c r="AW47" i="3" s="1"/>
  <c r="Q43" i="2"/>
  <c r="AT43" i="3" s="1"/>
  <c r="AW43" i="3" s="1"/>
  <c r="Q35" i="2"/>
  <c r="AT35" i="3" s="1"/>
  <c r="AW35" i="3" s="1"/>
  <c r="Q31" i="2"/>
  <c r="AT31" i="3" s="1"/>
  <c r="AW31" i="3" s="1"/>
  <c r="Q27" i="2"/>
  <c r="AT27" i="3" s="1"/>
  <c r="AW27" i="3" s="1"/>
  <c r="Q23" i="2"/>
  <c r="AT23" i="3" s="1"/>
  <c r="AW23" i="3" s="1"/>
  <c r="Q19" i="2"/>
  <c r="AT19" i="3" s="1"/>
  <c r="AW19" i="3" s="1"/>
  <c r="Q15" i="2"/>
  <c r="Q11" i="2"/>
  <c r="AT12" i="3" s="1"/>
  <c r="AW12" i="3" s="1"/>
  <c r="Q3" i="2"/>
  <c r="AT3" i="3" s="1"/>
  <c r="AW3" i="3" s="1"/>
  <c r="Q863" i="2"/>
  <c r="AT1158" i="3" s="1"/>
  <c r="AW1158" i="3" s="1"/>
  <c r="Q855" i="2"/>
  <c r="AT1150" i="3" s="1"/>
  <c r="AW1150" i="3" s="1"/>
  <c r="Q847" i="2"/>
  <c r="AT1142" i="3" s="1"/>
  <c r="AW1142" i="3" s="1"/>
  <c r="Q843" i="2"/>
  <c r="AT1138" i="3" s="1"/>
  <c r="AW1138" i="3" s="1"/>
  <c r="Q835" i="2"/>
  <c r="AT1130" i="3" s="1"/>
  <c r="AW1130" i="3" s="1"/>
  <c r="Q827" i="2"/>
  <c r="AT1122" i="3" s="1"/>
  <c r="AW1122" i="3" s="1"/>
  <c r="Q819" i="2"/>
  <c r="AT1114" i="3"/>
  <c r="AW1114" i="3" s="1"/>
  <c r="Q811" i="2"/>
  <c r="AT1106" i="3" s="1"/>
  <c r="AW1106" i="3" s="1"/>
  <c r="Q807" i="2"/>
  <c r="AT1102" i="3" s="1"/>
  <c r="AW1102" i="3" s="1"/>
  <c r="Q799" i="2"/>
  <c r="AT1094" i="3" s="1"/>
  <c r="AW1094" i="3" s="1"/>
  <c r="Q791" i="2"/>
  <c r="AT1086" i="3" s="1"/>
  <c r="AW1086" i="3" s="1"/>
  <c r="Q783" i="2"/>
  <c r="AT1078" i="3" s="1"/>
  <c r="AW1078" i="3" s="1"/>
  <c r="Q775" i="2"/>
  <c r="AT1070" i="3" s="1"/>
  <c r="AW1070" i="3" s="1"/>
  <c r="Q767" i="2"/>
  <c r="AT1062" i="3" s="1"/>
  <c r="AW1062" i="3" s="1"/>
  <c r="Q759" i="2"/>
  <c r="AT1054" i="3" s="1"/>
  <c r="AW1054" i="3" s="1"/>
  <c r="Q751" i="2"/>
  <c r="AT1046" i="3" s="1"/>
  <c r="AW1046" i="3" s="1"/>
  <c r="Q743" i="2"/>
  <c r="AT1038" i="3" s="1"/>
  <c r="AW1038" i="3" s="1"/>
  <c r="Q735" i="2"/>
  <c r="AT1030" i="3" s="1"/>
  <c r="AW1030" i="3" s="1"/>
  <c r="Q727" i="2"/>
  <c r="AT1022" i="3" s="1"/>
  <c r="AW1022" i="3" s="1"/>
  <c r="Q719" i="2"/>
  <c r="AT1014" i="3" s="1"/>
  <c r="AW1014" i="3" s="1"/>
  <c r="Q711" i="2"/>
  <c r="AT1006" i="3" s="1"/>
  <c r="AW1006" i="3" s="1"/>
  <c r="Q703" i="2"/>
  <c r="AT998" i="3" s="1"/>
  <c r="AW998" i="3" s="1"/>
  <c r="Q699" i="2"/>
  <c r="AT994" i="3" s="1"/>
  <c r="AW994" i="3" s="1"/>
  <c r="Q691" i="2"/>
  <c r="AT986" i="3" s="1"/>
  <c r="AW986" i="3" s="1"/>
  <c r="Q683" i="2"/>
  <c r="AT978" i="3" s="1"/>
  <c r="AW978" i="3" s="1"/>
  <c r="Q675" i="2"/>
  <c r="AT970" i="3" s="1"/>
  <c r="AW970" i="3" s="1"/>
  <c r="Q667" i="2"/>
  <c r="AT962" i="3" s="1"/>
  <c r="AW962" i="3" s="1"/>
  <c r="Q659" i="2"/>
  <c r="AT954" i="3" s="1"/>
  <c r="AW954" i="3" s="1"/>
  <c r="Q651" i="2"/>
  <c r="AT946" i="3" s="1"/>
  <c r="AW946" i="3" s="1"/>
  <c r="Q643" i="2"/>
  <c r="AT938" i="3" s="1"/>
  <c r="AW938" i="3" s="1"/>
  <c r="Q635" i="2"/>
  <c r="AT930" i="3" s="1"/>
  <c r="AW930" i="3" s="1"/>
  <c r="Q571" i="2"/>
  <c r="AT866" i="3" s="1"/>
  <c r="AW866" i="3" s="1"/>
  <c r="Q864" i="2"/>
  <c r="AT1159" i="3" s="1"/>
  <c r="AW1159" i="3" s="1"/>
  <c r="Q860" i="2"/>
  <c r="AT1155" i="3" s="1"/>
  <c r="AW1155" i="3" s="1"/>
  <c r="Q856" i="2"/>
  <c r="AT1151" i="3" s="1"/>
  <c r="AW1151" i="3" s="1"/>
  <c r="Q852" i="2"/>
  <c r="AT1147" i="3" s="1"/>
  <c r="AW1147" i="3" s="1"/>
  <c r="Q848" i="2"/>
  <c r="AT1143" i="3" s="1"/>
  <c r="AW1143" i="3" s="1"/>
  <c r="Q844" i="2"/>
  <c r="AT1139" i="3" s="1"/>
  <c r="AW1139" i="3" s="1"/>
  <c r="Q840" i="2"/>
  <c r="AT1135" i="3"/>
  <c r="AW1135" i="3" s="1"/>
  <c r="Q836" i="2"/>
  <c r="AT1131" i="3" s="1"/>
  <c r="AW1131" i="3" s="1"/>
  <c r="Q832" i="2"/>
  <c r="AT1127" i="3" s="1"/>
  <c r="AW1127" i="3" s="1"/>
  <c r="Q828" i="2"/>
  <c r="AT1123" i="3" s="1"/>
  <c r="AW1123" i="3" s="1"/>
  <c r="Q824" i="2"/>
  <c r="AT1119" i="3" s="1"/>
  <c r="AW1119" i="3" s="1"/>
  <c r="Q820" i="2"/>
  <c r="AT1115" i="3" s="1"/>
  <c r="AW1115" i="3" s="1"/>
  <c r="Q816" i="2"/>
  <c r="AT1111" i="3" s="1"/>
  <c r="AW1111" i="3" s="1"/>
  <c r="Q812" i="2"/>
  <c r="AT1107" i="3" s="1"/>
  <c r="AW1107" i="3" s="1"/>
  <c r="Q808" i="2"/>
  <c r="AT1103" i="3" s="1"/>
  <c r="AW1103" i="3" s="1"/>
  <c r="Q804" i="2"/>
  <c r="AT1099" i="3" s="1"/>
  <c r="AW1099" i="3" s="1"/>
  <c r="Q800" i="2"/>
  <c r="AT1095" i="3" s="1"/>
  <c r="AW1095" i="3" s="1"/>
  <c r="Q796" i="2"/>
  <c r="AT1091" i="3" s="1"/>
  <c r="AW1091" i="3" s="1"/>
  <c r="Q792" i="2"/>
  <c r="AT1087" i="3" s="1"/>
  <c r="AW1087" i="3" s="1"/>
  <c r="Q788" i="2"/>
  <c r="AT1083" i="3" s="1"/>
  <c r="AW1083" i="3" s="1"/>
  <c r="Q784" i="2"/>
  <c r="AT1079" i="3" s="1"/>
  <c r="AW1079" i="3" s="1"/>
  <c r="Q780" i="2"/>
  <c r="AT1075" i="3" s="1"/>
  <c r="AW1075" i="3" s="1"/>
  <c r="Q776" i="2"/>
  <c r="AT1071" i="3" s="1"/>
  <c r="AW1071" i="3" s="1"/>
  <c r="Q772" i="2"/>
  <c r="AT1067" i="3" s="1"/>
  <c r="AW1067" i="3" s="1"/>
  <c r="Q768" i="2"/>
  <c r="AT1063" i="3" s="1"/>
  <c r="AW1063" i="3" s="1"/>
  <c r="Q764" i="2"/>
  <c r="AT1059" i="3" s="1"/>
  <c r="AW1059" i="3" s="1"/>
  <c r="Q760" i="2"/>
  <c r="AT1055" i="3" s="1"/>
  <c r="AW1055" i="3" s="1"/>
  <c r="Q756" i="2"/>
  <c r="AT1051" i="3" s="1"/>
  <c r="AW1051" i="3" s="1"/>
  <c r="Q752" i="2"/>
  <c r="AT1047" i="3" s="1"/>
  <c r="AW1047" i="3" s="1"/>
  <c r="Q748" i="2"/>
  <c r="AT1043" i="3" s="1"/>
  <c r="AW1043" i="3" s="1"/>
  <c r="Q744" i="2"/>
  <c r="AT1039" i="3" s="1"/>
  <c r="AW1039" i="3" s="1"/>
  <c r="Q740" i="2"/>
  <c r="AT1035" i="3" s="1"/>
  <c r="AW1035" i="3" s="1"/>
  <c r="Q736" i="2"/>
  <c r="AT1031" i="3" s="1"/>
  <c r="AW1031" i="3" s="1"/>
  <c r="Q732" i="2"/>
  <c r="AT1027" i="3" s="1"/>
  <c r="AW1027" i="3" s="1"/>
  <c r="Q728" i="2"/>
  <c r="AT1023" i="3" s="1"/>
  <c r="AW1023" i="3" s="1"/>
  <c r="Q724" i="2"/>
  <c r="AT1019" i="3" s="1"/>
  <c r="AW1019" i="3" s="1"/>
  <c r="Q720" i="2"/>
  <c r="AT1015" i="3" s="1"/>
  <c r="AW1015" i="3" s="1"/>
  <c r="Q716" i="2"/>
  <c r="AT1011" i="3" s="1"/>
  <c r="AW1011" i="3" s="1"/>
  <c r="Q712" i="2"/>
  <c r="AT1007" i="3"/>
  <c r="AW1007" i="3" s="1"/>
  <c r="Q708" i="2"/>
  <c r="AT1003" i="3" s="1"/>
  <c r="AW1003" i="3" s="1"/>
  <c r="Q704" i="2"/>
  <c r="AT999" i="3" s="1"/>
  <c r="AW999" i="3" s="1"/>
  <c r="Q700" i="2"/>
  <c r="AT995" i="3" s="1"/>
  <c r="AW995" i="3" s="1"/>
  <c r="Q696" i="2"/>
  <c r="AT991" i="3" s="1"/>
  <c r="AW991" i="3" s="1"/>
  <c r="Q692" i="2"/>
  <c r="AT987" i="3" s="1"/>
  <c r="AW987" i="3" s="1"/>
  <c r="Q688" i="2"/>
  <c r="AT983" i="3" s="1"/>
  <c r="AW983" i="3" s="1"/>
  <c r="Q684" i="2"/>
  <c r="AT979" i="3" s="1"/>
  <c r="AW979" i="3" s="1"/>
  <c r="Q680" i="2"/>
  <c r="AT975" i="3" s="1"/>
  <c r="AW975" i="3" s="1"/>
  <c r="Q676" i="2"/>
  <c r="AT971" i="3" s="1"/>
  <c r="AW971" i="3" s="1"/>
  <c r="Q672" i="2"/>
  <c r="AT967" i="3" s="1"/>
  <c r="AW967" i="3" s="1"/>
  <c r="Q668" i="2"/>
  <c r="AT963" i="3" s="1"/>
  <c r="AW963" i="3" s="1"/>
  <c r="Q664" i="2"/>
  <c r="AT959" i="3" s="1"/>
  <c r="AW959" i="3" s="1"/>
  <c r="Q660" i="2"/>
  <c r="AT955" i="3" s="1"/>
  <c r="AW955" i="3" s="1"/>
  <c r="Q656" i="2"/>
  <c r="AT951" i="3" s="1"/>
  <c r="AW951" i="3" s="1"/>
  <c r="Q652" i="2"/>
  <c r="AT947" i="3" s="1"/>
  <c r="AW947" i="3" s="1"/>
  <c r="Q648" i="2"/>
  <c r="AT943" i="3" s="1"/>
  <c r="AW943" i="3" s="1"/>
  <c r="Q644" i="2"/>
  <c r="AT939" i="3" s="1"/>
  <c r="AW939" i="3" s="1"/>
  <c r="Q640" i="2"/>
  <c r="AT935" i="3" s="1"/>
  <c r="AW935" i="3" s="1"/>
  <c r="Q636" i="2"/>
  <c r="AT931" i="3" s="1"/>
  <c r="AW931" i="3" s="1"/>
  <c r="Q632" i="2"/>
  <c r="AT927" i="3" s="1"/>
  <c r="AW927" i="3" s="1"/>
  <c r="Q628" i="2"/>
  <c r="AT923" i="3" s="1"/>
  <c r="AW923" i="3" s="1"/>
  <c r="Q624" i="2"/>
  <c r="AT919" i="3" s="1"/>
  <c r="AW919" i="3" s="1"/>
  <c r="Q620" i="2"/>
  <c r="AT915" i="3" s="1"/>
  <c r="AW915" i="3" s="1"/>
  <c r="Q616" i="2"/>
  <c r="AT911" i="3" s="1"/>
  <c r="AW911" i="3" s="1"/>
  <c r="Q612" i="2"/>
  <c r="AT907" i="3" s="1"/>
  <c r="AW907" i="3" s="1"/>
  <c r="Q608" i="2"/>
  <c r="AT903" i="3" s="1"/>
  <c r="AW903" i="3" s="1"/>
  <c r="Q604" i="2"/>
  <c r="AT899" i="3" s="1"/>
  <c r="AW899" i="3" s="1"/>
  <c r="Q600" i="2"/>
  <c r="AT895" i="3" s="1"/>
  <c r="AW895" i="3" s="1"/>
  <c r="Q596" i="2"/>
  <c r="AT891" i="3" s="1"/>
  <c r="AW891" i="3" s="1"/>
  <c r="Q592" i="2"/>
  <c r="AT887" i="3" s="1"/>
  <c r="AW887" i="3" s="1"/>
  <c r="Q588" i="2"/>
  <c r="AT883" i="3" s="1"/>
  <c r="AW883" i="3" s="1"/>
  <c r="Q584" i="2"/>
  <c r="AT879" i="3"/>
  <c r="AW879" i="3" s="1"/>
  <c r="Q580" i="2"/>
  <c r="AT875" i="3" s="1"/>
  <c r="AW875" i="3" s="1"/>
  <c r="Q576" i="2"/>
  <c r="AT871" i="3" s="1"/>
  <c r="AW871" i="3" s="1"/>
  <c r="Q572" i="2"/>
  <c r="AT867" i="3" s="1"/>
  <c r="AW867" i="3" s="1"/>
  <c r="Q568" i="2"/>
  <c r="AT863" i="3" s="1"/>
  <c r="AW863" i="3" s="1"/>
  <c r="Q564" i="2"/>
  <c r="AT859" i="3" s="1"/>
  <c r="AW859" i="3" s="1"/>
  <c r="Q560" i="2"/>
  <c r="AT855" i="3" s="1"/>
  <c r="AW855" i="3" s="1"/>
  <c r="Q556" i="2"/>
  <c r="AT851" i="3" s="1"/>
  <c r="AW851" i="3" s="1"/>
  <c r="Q552" i="2"/>
  <c r="AT847" i="3" s="1"/>
  <c r="AW847" i="3" s="1"/>
  <c r="Q548" i="2"/>
  <c r="AT843" i="3" s="1"/>
  <c r="AW843" i="3" s="1"/>
  <c r="Q540" i="2"/>
  <c r="AT835" i="3" s="1"/>
  <c r="AW835" i="3" s="1"/>
  <c r="Q532" i="2"/>
  <c r="AT827" i="3" s="1"/>
  <c r="AW827" i="3" s="1"/>
  <c r="Q524" i="2"/>
  <c r="AT819" i="3" s="1"/>
  <c r="AW819" i="3" s="1"/>
  <c r="Q516" i="2"/>
  <c r="AT811" i="3" s="1"/>
  <c r="AW811" i="3" s="1"/>
  <c r="Q508" i="2"/>
  <c r="AT803" i="3" s="1"/>
  <c r="AW803" i="3" s="1"/>
  <c r="Q500" i="2"/>
  <c r="AT795" i="3" s="1"/>
  <c r="AW795" i="3" s="1"/>
  <c r="Q492" i="2"/>
  <c r="AT787" i="3" s="1"/>
  <c r="AW787" i="3" s="1"/>
  <c r="Q484" i="2"/>
  <c r="AT779" i="3" s="1"/>
  <c r="AW779" i="3" s="1"/>
  <c r="Q476" i="2"/>
  <c r="AT771" i="3" s="1"/>
  <c r="AW771" i="3" s="1"/>
  <c r="Q468" i="2"/>
  <c r="AT763" i="3" s="1"/>
  <c r="AW763" i="3" s="1"/>
  <c r="Q460" i="2"/>
  <c r="AT755" i="3" s="1"/>
  <c r="AW755" i="3" s="1"/>
  <c r="Q452" i="2"/>
  <c r="AT747" i="3" s="1"/>
  <c r="AW747" i="3" s="1"/>
  <c r="Q444" i="2"/>
  <c r="AT739" i="3" s="1"/>
  <c r="AW739" i="3" s="1"/>
  <c r="Q436" i="2"/>
  <c r="AT731" i="3" s="1"/>
  <c r="AW731" i="3" s="1"/>
  <c r="Q428" i="2"/>
  <c r="AT723" i="3" s="1"/>
  <c r="AW723" i="3" s="1"/>
  <c r="Q420" i="2"/>
  <c r="AT715" i="3" s="1"/>
  <c r="AW715" i="3" s="1"/>
  <c r="Q412" i="2"/>
  <c r="AT707" i="3" s="1"/>
  <c r="AW707" i="3" s="1"/>
  <c r="Q404" i="2"/>
  <c r="AT699" i="3" s="1"/>
  <c r="AW699" i="3" s="1"/>
  <c r="Q396" i="2"/>
  <c r="AT691" i="3" s="1"/>
  <c r="AW691" i="3" s="1"/>
  <c r="Q388" i="2"/>
  <c r="AT683" i="3" s="1"/>
  <c r="AW683" i="3" s="1"/>
  <c r="Q380" i="2"/>
  <c r="AT675" i="3" s="1"/>
  <c r="AW675" i="3" s="1"/>
  <c r="Q372" i="2"/>
  <c r="AT667" i="3" s="1"/>
  <c r="AW667" i="3" s="1"/>
  <c r="Q364" i="2"/>
  <c r="Q356" i="2"/>
  <c r="Q348" i="2"/>
  <c r="Q340" i="2"/>
  <c r="Q332" i="2"/>
  <c r="Q324" i="2"/>
  <c r="Q316" i="2"/>
  <c r="Q308" i="2"/>
  <c r="Q300" i="2"/>
  <c r="Q292" i="2"/>
  <c r="Q284" i="2"/>
  <c r="Q276" i="2"/>
  <c r="Q268" i="2"/>
  <c r="Q260" i="2"/>
  <c r="AT555" i="3" s="1"/>
  <c r="AW555" i="3" s="1"/>
  <c r="Q252" i="2"/>
  <c r="Q244" i="2"/>
  <c r="Q236" i="2"/>
  <c r="Q228" i="2"/>
  <c r="Q220" i="2"/>
  <c r="Q212" i="2"/>
  <c r="Q204" i="2"/>
  <c r="Q196" i="2"/>
  <c r="AT378" i="3" s="1"/>
  <c r="AW378" i="3" s="1"/>
  <c r="Q188" i="2"/>
  <c r="AT483" i="3" s="1"/>
  <c r="AW483" i="3" s="1"/>
  <c r="Q180" i="2"/>
  <c r="Q172" i="2"/>
  <c r="Q164" i="2"/>
  <c r="Q156" i="2"/>
  <c r="Q148" i="2"/>
  <c r="Q140" i="2"/>
  <c r="Q136" i="2"/>
  <c r="AT431" i="3" s="1"/>
  <c r="AW431" i="3" s="1"/>
  <c r="Q128" i="2"/>
  <c r="AT423" i="3" s="1"/>
  <c r="AW423" i="3" s="1"/>
  <c r="Q120" i="2"/>
  <c r="AT415" i="3" s="1"/>
  <c r="AW415" i="3" s="1"/>
  <c r="Q112" i="2"/>
  <c r="AT407" i="3" s="1"/>
  <c r="AW407" i="3" s="1"/>
  <c r="Q104" i="2"/>
  <c r="AT399" i="3" s="1"/>
  <c r="AW399" i="3" s="1"/>
  <c r="Q96" i="2"/>
  <c r="AT391" i="3" s="1"/>
  <c r="AW391" i="3" s="1"/>
  <c r="Q88" i="2"/>
  <c r="AT383" i="3" s="1"/>
  <c r="AW383" i="3" s="1"/>
  <c r="Q80" i="2"/>
  <c r="AT80" i="3" s="1"/>
  <c r="AW80" i="3" s="1"/>
  <c r="Q76" i="2"/>
  <c r="AT76" i="3" s="1"/>
  <c r="AW76" i="3" s="1"/>
  <c r="AT1156" i="3"/>
  <c r="AW1156" i="3" s="1"/>
  <c r="AT1148" i="3"/>
  <c r="AW1148" i="3" s="1"/>
  <c r="AT1140" i="3"/>
  <c r="AW1140" i="3" s="1"/>
  <c r="AT1132" i="3"/>
  <c r="AW1132" i="3" s="1"/>
  <c r="AT1124" i="3"/>
  <c r="AW1124" i="3" s="1"/>
  <c r="AT1116" i="3"/>
  <c r="AW1116" i="3" s="1"/>
  <c r="AT1108" i="3"/>
  <c r="AW1108" i="3" s="1"/>
  <c r="AT1100" i="3"/>
  <c r="AW1100" i="3" s="1"/>
  <c r="AT1092" i="3"/>
  <c r="AW1092" i="3" s="1"/>
  <c r="AT1084" i="3"/>
  <c r="AW1084" i="3" s="1"/>
  <c r="AT1076" i="3"/>
  <c r="AW1076" i="3" s="1"/>
  <c r="AT1068" i="3"/>
  <c r="AW1068" i="3" s="1"/>
  <c r="AT1060" i="3"/>
  <c r="AW1060" i="3" s="1"/>
  <c r="AT1052" i="3"/>
  <c r="AW1052" i="3" s="1"/>
  <c r="AT1044" i="3"/>
  <c r="AW1044" i="3" s="1"/>
  <c r="AT1036" i="3"/>
  <c r="AW1036" i="3" s="1"/>
  <c r="AT1028" i="3"/>
  <c r="AW1028" i="3" s="1"/>
  <c r="AT1020" i="3"/>
  <c r="AW1020" i="3" s="1"/>
  <c r="AT1012" i="3"/>
  <c r="AW1012" i="3" s="1"/>
  <c r="AT1004" i="3"/>
  <c r="AW1004" i="3" s="1"/>
  <c r="AT996" i="3"/>
  <c r="AW996" i="3" s="1"/>
  <c r="AT988" i="3"/>
  <c r="AW988" i="3" s="1"/>
  <c r="AT980" i="3"/>
  <c r="AW980" i="3" s="1"/>
  <c r="AT972" i="3"/>
  <c r="AW972" i="3" s="1"/>
  <c r="AT964" i="3"/>
  <c r="AW964" i="3" s="1"/>
  <c r="AT956" i="3"/>
  <c r="AW956" i="3" s="1"/>
  <c r="AT948" i="3"/>
  <c r="AW948" i="3" s="1"/>
  <c r="AT940" i="3"/>
  <c r="AW940" i="3" s="1"/>
  <c r="AT932" i="3"/>
  <c r="AW932" i="3" s="1"/>
  <c r="AT924" i="3"/>
  <c r="AW924" i="3" s="1"/>
  <c r="AT916" i="3"/>
  <c r="AW916" i="3" s="1"/>
  <c r="AT908" i="3"/>
  <c r="AW908" i="3" s="1"/>
  <c r="AT900" i="3"/>
  <c r="AW900" i="3" s="1"/>
  <c r="AT892" i="3"/>
  <c r="AW892" i="3" s="1"/>
  <c r="AT884" i="3"/>
  <c r="AW884" i="3" s="1"/>
  <c r="AT876" i="3"/>
  <c r="AW876" i="3" s="1"/>
  <c r="AT868" i="3"/>
  <c r="AW868" i="3" s="1"/>
  <c r="AT860" i="3"/>
  <c r="AW860" i="3" s="1"/>
  <c r="AT852" i="3"/>
  <c r="AW852" i="3" s="1"/>
  <c r="AT844" i="3"/>
  <c r="AW844" i="3" s="1"/>
  <c r="AT836" i="3"/>
  <c r="AW836" i="3" s="1"/>
  <c r="AT828" i="3"/>
  <c r="AW828" i="3" s="1"/>
  <c r="AT820" i="3"/>
  <c r="AW820" i="3" s="1"/>
  <c r="AT812" i="3"/>
  <c r="AW812" i="3" s="1"/>
  <c r="AT804" i="3"/>
  <c r="AW804" i="3" s="1"/>
  <c r="AT796" i="3"/>
  <c r="AW796" i="3" s="1"/>
  <c r="AT788" i="3"/>
  <c r="AW788" i="3" s="1"/>
  <c r="AT780" i="3"/>
  <c r="AW780" i="3" s="1"/>
  <c r="AT772" i="3"/>
  <c r="AW772" i="3" s="1"/>
  <c r="AT764" i="3"/>
  <c r="AW764" i="3" s="1"/>
  <c r="AT756" i="3"/>
  <c r="AW756" i="3" s="1"/>
  <c r="AT748" i="3"/>
  <c r="AW748" i="3" s="1"/>
  <c r="AT740" i="3"/>
  <c r="AW740" i="3" s="1"/>
  <c r="AT732" i="3"/>
  <c r="AW732" i="3" s="1"/>
  <c r="AT724" i="3"/>
  <c r="AW724" i="3" s="1"/>
  <c r="AT716" i="3"/>
  <c r="AW716" i="3" s="1"/>
  <c r="AT708" i="3"/>
  <c r="AW708" i="3" s="1"/>
  <c r="AT700" i="3"/>
  <c r="AW700" i="3" s="1"/>
  <c r="AT692" i="3"/>
  <c r="AW692" i="3" s="1"/>
  <c r="AT684" i="3"/>
  <c r="AW684" i="3" s="1"/>
  <c r="AT676" i="3"/>
  <c r="AW676" i="3" s="1"/>
  <c r="AT668" i="3"/>
  <c r="AW668" i="3" s="1"/>
  <c r="AT652" i="3"/>
  <c r="AW652" i="3" s="1"/>
  <c r="AT620" i="3"/>
  <c r="AW620" i="3" s="1"/>
  <c r="AT604" i="3"/>
  <c r="AW604" i="3" s="1"/>
  <c r="AT572" i="3"/>
  <c r="AW572" i="3" s="1"/>
  <c r="AT540" i="3"/>
  <c r="AW540" i="3" s="1"/>
  <c r="AT508" i="3"/>
  <c r="AW508" i="3" s="1"/>
  <c r="AT484" i="3"/>
  <c r="AW484" i="3" s="1"/>
  <c r="AT444" i="3"/>
  <c r="AW444" i="3" s="1"/>
  <c r="AT388" i="3"/>
  <c r="AW388" i="3" s="1"/>
  <c r="Q544" i="2"/>
  <c r="AT839" i="3" s="1"/>
  <c r="AW839" i="3" s="1"/>
  <c r="Q536" i="2"/>
  <c r="AT831" i="3" s="1"/>
  <c r="AW831" i="3" s="1"/>
  <c r="Q528" i="2"/>
  <c r="AT823" i="3" s="1"/>
  <c r="AW823" i="3" s="1"/>
  <c r="Q520" i="2"/>
  <c r="AT815" i="3" s="1"/>
  <c r="AW815" i="3" s="1"/>
  <c r="Q512" i="2"/>
  <c r="AT807" i="3" s="1"/>
  <c r="AW807" i="3" s="1"/>
  <c r="Q504" i="2"/>
  <c r="AT799" i="3" s="1"/>
  <c r="AW799" i="3" s="1"/>
  <c r="Q496" i="2"/>
  <c r="AT791" i="3" s="1"/>
  <c r="AW791" i="3" s="1"/>
  <c r="Q488" i="2"/>
  <c r="AT783" i="3" s="1"/>
  <c r="AW783" i="3" s="1"/>
  <c r="Q480" i="2"/>
  <c r="AT775" i="3" s="1"/>
  <c r="AW775" i="3" s="1"/>
  <c r="Q472" i="2"/>
  <c r="AT767" i="3" s="1"/>
  <c r="AW767" i="3" s="1"/>
  <c r="Q464" i="2"/>
  <c r="AT759" i="3" s="1"/>
  <c r="AW759" i="3" s="1"/>
  <c r="Q456" i="2"/>
  <c r="AT751" i="3" s="1"/>
  <c r="AW751" i="3" s="1"/>
  <c r="Q448" i="2"/>
  <c r="AT743" i="3" s="1"/>
  <c r="AW743" i="3" s="1"/>
  <c r="Q440" i="2"/>
  <c r="AT735" i="3" s="1"/>
  <c r="AW735" i="3" s="1"/>
  <c r="Q432" i="2"/>
  <c r="AT727" i="3" s="1"/>
  <c r="AW727" i="3" s="1"/>
  <c r="Q424" i="2"/>
  <c r="AT719" i="3" s="1"/>
  <c r="AW719" i="3" s="1"/>
  <c r="Q416" i="2"/>
  <c r="AT711" i="3" s="1"/>
  <c r="AW711" i="3" s="1"/>
  <c r="Q408" i="2"/>
  <c r="AT703" i="3" s="1"/>
  <c r="AW703" i="3" s="1"/>
  <c r="Q400" i="2"/>
  <c r="AT695" i="3" s="1"/>
  <c r="AW695" i="3" s="1"/>
  <c r="Q392" i="2"/>
  <c r="AT687" i="3" s="1"/>
  <c r="AW687" i="3" s="1"/>
  <c r="Q384" i="2"/>
  <c r="AT679" i="3" s="1"/>
  <c r="AW679" i="3" s="1"/>
  <c r="Q376" i="2"/>
  <c r="AT671" i="3" s="1"/>
  <c r="AW671" i="3" s="1"/>
  <c r="Q368" i="2"/>
  <c r="AT663" i="3" s="1"/>
  <c r="AW663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AT487" i="3" s="1"/>
  <c r="AW487" i="3" s="1"/>
  <c r="Q184" i="2"/>
  <c r="Q176" i="2"/>
  <c r="Q168" i="2"/>
  <c r="Q160" i="2"/>
  <c r="Q152" i="2"/>
  <c r="Q144" i="2"/>
  <c r="AT439" i="3" s="1"/>
  <c r="AW439" i="3" s="1"/>
  <c r="Q132" i="2"/>
  <c r="AT132" i="3" s="1"/>
  <c r="AW132" i="3" s="1"/>
  <c r="Q124" i="2"/>
  <c r="Q116" i="2"/>
  <c r="Q108" i="2"/>
  <c r="Q100" i="2"/>
  <c r="Q92" i="2"/>
  <c r="Q84" i="2"/>
  <c r="Q862" i="2"/>
  <c r="AT1157" i="3" s="1"/>
  <c r="AW1157" i="3" s="1"/>
  <c r="Q858" i="2"/>
  <c r="AT1153" i="3" s="1"/>
  <c r="AW1153" i="3" s="1"/>
  <c r="Q854" i="2"/>
  <c r="AT1149" i="3" s="1"/>
  <c r="AW1149" i="3" s="1"/>
  <c r="Q850" i="2"/>
  <c r="AT1145" i="3" s="1"/>
  <c r="AW1145" i="3" s="1"/>
  <c r="Q846" i="2"/>
  <c r="AT1141" i="3" s="1"/>
  <c r="AW1141" i="3" s="1"/>
  <c r="Q842" i="2"/>
  <c r="AT1137" i="3" s="1"/>
  <c r="AW1137" i="3" s="1"/>
  <c r="Q838" i="2"/>
  <c r="AT1133" i="3" s="1"/>
  <c r="AW1133" i="3" s="1"/>
  <c r="Q834" i="2"/>
  <c r="AT1129" i="3" s="1"/>
  <c r="AW1129" i="3" s="1"/>
  <c r="Q830" i="2"/>
  <c r="AT1125" i="3" s="1"/>
  <c r="AW1125" i="3" s="1"/>
  <c r="Q826" i="2"/>
  <c r="AT1121" i="3" s="1"/>
  <c r="AW1121" i="3" s="1"/>
  <c r="Q822" i="2"/>
  <c r="AT1117" i="3" s="1"/>
  <c r="AW1117" i="3" s="1"/>
  <c r="Q818" i="2"/>
  <c r="AT1113" i="3" s="1"/>
  <c r="AW1113" i="3" s="1"/>
  <c r="Q814" i="2"/>
  <c r="AT1109" i="3" s="1"/>
  <c r="AW1109" i="3" s="1"/>
  <c r="Q810" i="2"/>
  <c r="AT1105" i="3" s="1"/>
  <c r="AW1105" i="3" s="1"/>
  <c r="Q806" i="2"/>
  <c r="AT1101" i="3"/>
  <c r="AW1101" i="3" s="1"/>
  <c r="Q802" i="2"/>
  <c r="AT1097" i="3" s="1"/>
  <c r="AW1097" i="3" s="1"/>
  <c r="Q798" i="2"/>
  <c r="AT1093" i="3" s="1"/>
  <c r="AW1093" i="3" s="1"/>
  <c r="Q794" i="2"/>
  <c r="AT1089" i="3" s="1"/>
  <c r="AW1089" i="3" s="1"/>
  <c r="Q790" i="2"/>
  <c r="AT1085" i="3" s="1"/>
  <c r="AW1085" i="3" s="1"/>
  <c r="Q786" i="2"/>
  <c r="AT1081" i="3" s="1"/>
  <c r="AW1081" i="3" s="1"/>
  <c r="Q782" i="2"/>
  <c r="AT1077" i="3" s="1"/>
  <c r="AW1077" i="3" s="1"/>
  <c r="Q778" i="2"/>
  <c r="AT1073" i="3" s="1"/>
  <c r="AW1073" i="3" s="1"/>
  <c r="Q774" i="2"/>
  <c r="AT1069" i="3" s="1"/>
  <c r="AW1069" i="3" s="1"/>
  <c r="Q770" i="2"/>
  <c r="AT1065" i="3" s="1"/>
  <c r="AW1065" i="3" s="1"/>
  <c r="Q766" i="2"/>
  <c r="AT1061" i="3" s="1"/>
  <c r="AW1061" i="3" s="1"/>
  <c r="Q762" i="2"/>
  <c r="AT1057" i="3" s="1"/>
  <c r="AW1057" i="3" s="1"/>
  <c r="Q758" i="2"/>
  <c r="AT1053" i="3" s="1"/>
  <c r="AW1053" i="3" s="1"/>
  <c r="Q754" i="2"/>
  <c r="AT1049" i="3" s="1"/>
  <c r="AW1049" i="3" s="1"/>
  <c r="Q750" i="2"/>
  <c r="AT1045" i="3" s="1"/>
  <c r="AW1045" i="3" s="1"/>
  <c r="Q746" i="2"/>
  <c r="AT1041" i="3" s="1"/>
  <c r="AW1041" i="3" s="1"/>
  <c r="Q742" i="2"/>
  <c r="AT1037" i="3" s="1"/>
  <c r="AW1037" i="3" s="1"/>
  <c r="Q738" i="2"/>
  <c r="AT1033" i="3" s="1"/>
  <c r="AW1033" i="3" s="1"/>
  <c r="Q734" i="2"/>
  <c r="AT1029" i="3" s="1"/>
  <c r="AW1029" i="3" s="1"/>
  <c r="Q730" i="2"/>
  <c r="AT1025" i="3" s="1"/>
  <c r="AW1025" i="3" s="1"/>
  <c r="Q726" i="2"/>
  <c r="AT1021" i="3" s="1"/>
  <c r="AW1021" i="3" s="1"/>
  <c r="Q722" i="2"/>
  <c r="AT1017" i="3" s="1"/>
  <c r="AW1017" i="3" s="1"/>
  <c r="Q718" i="2"/>
  <c r="AT1013" i="3" s="1"/>
  <c r="AW1013" i="3" s="1"/>
  <c r="Q714" i="2"/>
  <c r="AT1009" i="3" s="1"/>
  <c r="AW1009" i="3" s="1"/>
  <c r="Q710" i="2"/>
  <c r="AT1005" i="3" s="1"/>
  <c r="AW1005" i="3" s="1"/>
  <c r="Q706" i="2"/>
  <c r="AT1001" i="3" s="1"/>
  <c r="AW1001" i="3" s="1"/>
  <c r="Q702" i="2"/>
  <c r="AT997" i="3" s="1"/>
  <c r="AW997" i="3" s="1"/>
  <c r="Q698" i="2"/>
  <c r="AT993" i="3" s="1"/>
  <c r="AW993" i="3" s="1"/>
  <c r="Q694" i="2"/>
  <c r="AT989" i="3" s="1"/>
  <c r="AW989" i="3" s="1"/>
  <c r="Q690" i="2"/>
  <c r="AT985" i="3" s="1"/>
  <c r="AW985" i="3" s="1"/>
  <c r="Q686" i="2"/>
  <c r="AT981" i="3" s="1"/>
  <c r="AW981" i="3" s="1"/>
  <c r="Q682" i="2"/>
  <c r="AT977" i="3" s="1"/>
  <c r="AW977" i="3" s="1"/>
  <c r="Q678" i="2"/>
  <c r="AT973" i="3" s="1"/>
  <c r="AW973" i="3" s="1"/>
  <c r="Q674" i="2"/>
  <c r="AT969" i="3" s="1"/>
  <c r="AW969" i="3" s="1"/>
  <c r="Q670" i="2"/>
  <c r="AT965" i="3" s="1"/>
  <c r="AW965" i="3" s="1"/>
  <c r="Q666" i="2"/>
  <c r="AT961" i="3" s="1"/>
  <c r="AW961" i="3" s="1"/>
  <c r="Q662" i="2"/>
  <c r="AT957" i="3" s="1"/>
  <c r="AW957" i="3" s="1"/>
  <c r="Q658" i="2"/>
  <c r="AT953" i="3" s="1"/>
  <c r="AW953" i="3" s="1"/>
  <c r="Q654" i="2"/>
  <c r="AT949" i="3" s="1"/>
  <c r="AW949" i="3" s="1"/>
  <c r="Q650" i="2"/>
  <c r="AT945" i="3" s="1"/>
  <c r="AW945" i="3" s="1"/>
  <c r="Q646" i="2"/>
  <c r="AT941" i="3" s="1"/>
  <c r="AW941" i="3" s="1"/>
  <c r="Q642" i="2"/>
  <c r="AT937" i="3" s="1"/>
  <c r="AW937" i="3" s="1"/>
  <c r="Q638" i="2"/>
  <c r="AT933" i="3" s="1"/>
  <c r="AW933" i="3" s="1"/>
  <c r="Q634" i="2"/>
  <c r="AT929" i="3" s="1"/>
  <c r="AW929" i="3" s="1"/>
  <c r="Q630" i="2"/>
  <c r="AT925" i="3" s="1"/>
  <c r="AW925" i="3" s="1"/>
  <c r="Q626" i="2"/>
  <c r="AT921" i="3" s="1"/>
  <c r="AW921" i="3" s="1"/>
  <c r="Q622" i="2"/>
  <c r="AT917" i="3" s="1"/>
  <c r="AW917" i="3" s="1"/>
  <c r="Q618" i="2"/>
  <c r="AT913" i="3" s="1"/>
  <c r="AW913" i="3" s="1"/>
  <c r="Q614" i="2"/>
  <c r="AT909" i="3" s="1"/>
  <c r="AW909" i="3" s="1"/>
  <c r="Q610" i="2"/>
  <c r="AT905" i="3" s="1"/>
  <c r="AW905" i="3" s="1"/>
  <c r="Q606" i="2"/>
  <c r="AT901" i="3" s="1"/>
  <c r="AW901" i="3" s="1"/>
  <c r="Q602" i="2"/>
  <c r="AT897" i="3" s="1"/>
  <c r="AW897" i="3" s="1"/>
  <c r="Q598" i="2"/>
  <c r="AT893" i="3" s="1"/>
  <c r="AW893" i="3" s="1"/>
  <c r="Q594" i="2"/>
  <c r="AT889" i="3" s="1"/>
  <c r="AW889" i="3" s="1"/>
  <c r="Q590" i="2"/>
  <c r="AT885" i="3"/>
  <c r="AW885" i="3" s="1"/>
  <c r="Q586" i="2"/>
  <c r="AT881" i="3" s="1"/>
  <c r="AW881" i="3" s="1"/>
  <c r="Q582" i="2"/>
  <c r="AT877" i="3" s="1"/>
  <c r="AW877" i="3" s="1"/>
  <c r="Q578" i="2"/>
  <c r="AT873" i="3" s="1"/>
  <c r="AW873" i="3" s="1"/>
  <c r="Q574" i="2"/>
  <c r="AT869" i="3" s="1"/>
  <c r="AW869" i="3" s="1"/>
  <c r="Q570" i="2"/>
  <c r="AT865" i="3" s="1"/>
  <c r="AW865" i="3" s="1"/>
  <c r="Q566" i="2"/>
  <c r="AT861" i="3" s="1"/>
  <c r="AW861" i="3" s="1"/>
  <c r="Q562" i="2"/>
  <c r="AT857" i="3" s="1"/>
  <c r="AW857" i="3" s="1"/>
  <c r="Q558" i="2"/>
  <c r="AT853" i="3" s="1"/>
  <c r="AW853" i="3" s="1"/>
  <c r="Q554" i="2"/>
  <c r="AT849" i="3" s="1"/>
  <c r="AW849" i="3" s="1"/>
  <c r="Q550" i="2"/>
  <c r="AT845" i="3" s="1"/>
  <c r="AW845" i="3" s="1"/>
  <c r="Q546" i="2"/>
  <c r="AT841" i="3" s="1"/>
  <c r="AW841" i="3" s="1"/>
  <c r="Q542" i="2"/>
  <c r="AT837" i="3" s="1"/>
  <c r="AW837" i="3" s="1"/>
  <c r="Q538" i="2"/>
  <c r="AT833" i="3" s="1"/>
  <c r="AW833" i="3" s="1"/>
  <c r="Q534" i="2"/>
  <c r="AT829" i="3" s="1"/>
  <c r="AW829" i="3" s="1"/>
  <c r="Q530" i="2"/>
  <c r="AT825" i="3" s="1"/>
  <c r="AW825" i="3" s="1"/>
  <c r="Q526" i="2"/>
  <c r="AT821" i="3" s="1"/>
  <c r="AW821" i="3" s="1"/>
  <c r="Q522" i="2"/>
  <c r="AT817" i="3" s="1"/>
  <c r="AW817" i="3" s="1"/>
  <c r="Q518" i="2"/>
  <c r="AT813" i="3" s="1"/>
  <c r="AW813" i="3" s="1"/>
  <c r="Q514" i="2"/>
  <c r="AT809" i="3" s="1"/>
  <c r="AW809" i="3" s="1"/>
  <c r="Q510" i="2"/>
  <c r="AT805" i="3" s="1"/>
  <c r="AW805" i="3" s="1"/>
  <c r="Q506" i="2"/>
  <c r="AT801" i="3" s="1"/>
  <c r="AW801" i="3" s="1"/>
  <c r="Q502" i="2"/>
  <c r="AT797" i="3" s="1"/>
  <c r="AW797" i="3" s="1"/>
  <c r="Q498" i="2"/>
  <c r="AT793" i="3" s="1"/>
  <c r="AW793" i="3" s="1"/>
  <c r="Q494" i="2"/>
  <c r="AT789" i="3" s="1"/>
  <c r="AW789" i="3" s="1"/>
  <c r="Q490" i="2"/>
  <c r="AT785" i="3" s="1"/>
  <c r="AW785" i="3" s="1"/>
  <c r="Q486" i="2"/>
  <c r="AT781" i="3"/>
  <c r="AW781" i="3" s="1"/>
  <c r="Q482" i="2"/>
  <c r="AT777" i="3" s="1"/>
  <c r="AW777" i="3" s="1"/>
  <c r="Q478" i="2"/>
  <c r="AT773" i="3" s="1"/>
  <c r="AW773" i="3" s="1"/>
  <c r="Q474" i="2"/>
  <c r="AT769" i="3" s="1"/>
  <c r="AW769" i="3" s="1"/>
  <c r="Q470" i="2"/>
  <c r="AT765" i="3" s="1"/>
  <c r="AW765" i="3" s="1"/>
  <c r="Q466" i="2"/>
  <c r="AT761" i="3" s="1"/>
  <c r="AW761" i="3" s="1"/>
  <c r="Q462" i="2"/>
  <c r="AT757" i="3" s="1"/>
  <c r="AW757" i="3" s="1"/>
  <c r="Q458" i="2"/>
  <c r="AT753" i="3" s="1"/>
  <c r="AW753" i="3" s="1"/>
  <c r="Q454" i="2"/>
  <c r="AT749" i="3" s="1"/>
  <c r="AW749" i="3" s="1"/>
  <c r="Q450" i="2"/>
  <c r="AT745" i="3" s="1"/>
  <c r="AW745" i="3" s="1"/>
  <c r="Q446" i="2"/>
  <c r="AT741" i="3" s="1"/>
  <c r="AW741" i="3" s="1"/>
  <c r="Q442" i="2"/>
  <c r="AT737" i="3" s="1"/>
  <c r="AW737" i="3" s="1"/>
  <c r="Q438" i="2"/>
  <c r="AT733" i="3" s="1"/>
  <c r="AW733" i="3" s="1"/>
  <c r="Q434" i="2"/>
  <c r="AT729" i="3" s="1"/>
  <c r="AW729" i="3" s="1"/>
  <c r="Q430" i="2"/>
  <c r="AT725" i="3" s="1"/>
  <c r="AW725" i="3" s="1"/>
  <c r="Q426" i="2"/>
  <c r="AT721" i="3" s="1"/>
  <c r="AW721" i="3" s="1"/>
  <c r="Q422" i="2"/>
  <c r="AT717" i="3" s="1"/>
  <c r="AW717" i="3" s="1"/>
  <c r="Q418" i="2"/>
  <c r="AT713" i="3" s="1"/>
  <c r="AW713" i="3" s="1"/>
  <c r="Q414" i="2"/>
  <c r="AT709" i="3" s="1"/>
  <c r="AW709" i="3" s="1"/>
  <c r="Q410" i="2"/>
  <c r="AT705" i="3" s="1"/>
  <c r="AW705" i="3" s="1"/>
  <c r="Q406" i="2"/>
  <c r="AT701" i="3" s="1"/>
  <c r="AW701" i="3" s="1"/>
  <c r="Q402" i="2"/>
  <c r="AT697" i="3" s="1"/>
  <c r="AW697" i="3" s="1"/>
  <c r="Q398" i="2"/>
  <c r="AT693" i="3" s="1"/>
  <c r="AW693" i="3" s="1"/>
  <c r="Q394" i="2"/>
  <c r="AT689" i="3" s="1"/>
  <c r="AW689" i="3" s="1"/>
  <c r="Q390" i="2"/>
  <c r="AT685" i="3" s="1"/>
  <c r="AW685" i="3" s="1"/>
  <c r="Q386" i="2"/>
  <c r="AT681" i="3" s="1"/>
  <c r="AW681" i="3" s="1"/>
  <c r="Q382" i="2"/>
  <c r="AT677" i="3" s="1"/>
  <c r="AW677" i="3" s="1"/>
  <c r="Q378" i="2"/>
  <c r="AT673" i="3" s="1"/>
  <c r="AW673" i="3" s="1"/>
  <c r="Q374" i="2"/>
  <c r="AT669" i="3" s="1"/>
  <c r="AW669" i="3" s="1"/>
  <c r="Q370" i="2"/>
  <c r="AT665" i="3" s="1"/>
  <c r="AW665" i="3" s="1"/>
  <c r="Q366" i="2"/>
  <c r="Q362" i="2"/>
  <c r="Q358" i="2"/>
  <c r="AT358" i="3" s="1"/>
  <c r="AW358" i="3" s="1"/>
  <c r="Q354" i="2"/>
  <c r="Q350" i="2"/>
  <c r="AT350" i="3" s="1"/>
  <c r="AW350" i="3" s="1"/>
  <c r="Q346" i="2"/>
  <c r="Q342" i="2"/>
  <c r="Q338" i="2"/>
  <c r="Q334" i="2"/>
  <c r="AT334" i="3" s="1"/>
  <c r="AW334" i="3" s="1"/>
  <c r="Q330" i="2"/>
  <c r="Q326" i="2"/>
  <c r="Q322" i="2"/>
  <c r="Q318" i="2"/>
  <c r="AT318" i="3" s="1"/>
  <c r="AW318" i="3" s="1"/>
  <c r="Q314" i="2"/>
  <c r="Q310" i="2"/>
  <c r="AT310" i="3" s="1"/>
  <c r="AW310" i="3" s="1"/>
  <c r="Q306" i="2"/>
  <c r="AT306" i="3" s="1"/>
  <c r="AW306" i="3" s="1"/>
  <c r="Q302" i="2"/>
  <c r="AT302" i="3" s="1"/>
  <c r="AW302" i="3" s="1"/>
  <c r="AT597" i="3"/>
  <c r="AW597" i="3" s="1"/>
  <c r="Q298" i="2"/>
  <c r="AT298" i="3" s="1"/>
  <c r="AW298" i="3" s="1"/>
  <c r="Q294" i="2"/>
  <c r="AT294" i="3" s="1"/>
  <c r="AW294" i="3" s="1"/>
  <c r="Q290" i="2"/>
  <c r="AT290" i="3" s="1"/>
  <c r="AW290" i="3" s="1"/>
  <c r="Q286" i="2"/>
  <c r="AT286" i="3" s="1"/>
  <c r="AW286" i="3" s="1"/>
  <c r="Q282" i="2"/>
  <c r="AT282" i="3" s="1"/>
  <c r="AW282" i="3" s="1"/>
  <c r="Q278" i="2"/>
  <c r="AT278" i="3" s="1"/>
  <c r="AW278" i="3" s="1"/>
  <c r="Q274" i="2"/>
  <c r="AT274" i="3" s="1"/>
  <c r="AW274" i="3" s="1"/>
  <c r="Q270" i="2"/>
  <c r="AT270" i="3" s="1"/>
  <c r="AW270" i="3" s="1"/>
  <c r="AT565" i="3"/>
  <c r="AW565" i="3" s="1"/>
  <c r="Q266" i="2"/>
  <c r="AT266" i="3" s="1"/>
  <c r="AW266" i="3" s="1"/>
  <c r="Q262" i="2"/>
  <c r="AT262" i="3" s="1"/>
  <c r="AW262" i="3" s="1"/>
  <c r="Q258" i="2"/>
  <c r="AT258" i="3" s="1"/>
  <c r="AW258" i="3" s="1"/>
  <c r="Q254" i="2"/>
  <c r="AT254" i="3" s="1"/>
  <c r="AW254" i="3" s="1"/>
  <c r="Q250" i="2"/>
  <c r="AT250" i="3" s="1"/>
  <c r="AW250" i="3" s="1"/>
  <c r="Q246" i="2"/>
  <c r="AT246" i="3" s="1"/>
  <c r="AW246" i="3" s="1"/>
  <c r="Q242" i="2"/>
  <c r="AT242" i="3" s="1"/>
  <c r="AW242" i="3" s="1"/>
  <c r="Q238" i="2"/>
  <c r="AT238" i="3" s="1"/>
  <c r="AW238" i="3" s="1"/>
  <c r="AT533" i="3"/>
  <c r="AW533" i="3" s="1"/>
  <c r="Q234" i="2"/>
  <c r="AT234" i="3" s="1"/>
  <c r="AW234" i="3" s="1"/>
  <c r="Q230" i="2"/>
  <c r="AT230" i="3" s="1"/>
  <c r="AW230" i="3" s="1"/>
  <c r="Q226" i="2"/>
  <c r="AT226" i="3" s="1"/>
  <c r="AW226" i="3" s="1"/>
  <c r="Q222" i="2"/>
  <c r="AT222" i="3" s="1"/>
  <c r="AW222" i="3" s="1"/>
  <c r="Q218" i="2"/>
  <c r="AT218" i="3" s="1"/>
  <c r="AW218" i="3" s="1"/>
  <c r="Q214" i="2"/>
  <c r="AT214" i="3" s="1"/>
  <c r="AW214" i="3" s="1"/>
  <c r="Q210" i="2"/>
  <c r="AT210" i="3" s="1"/>
  <c r="AW210" i="3" s="1"/>
  <c r="Q206" i="2"/>
  <c r="AT206" i="3" s="1"/>
  <c r="AW206" i="3" s="1"/>
  <c r="AT501" i="3"/>
  <c r="AW501" i="3" s="1"/>
  <c r="Q202" i="2"/>
  <c r="AT202" i="3" s="1"/>
  <c r="AW202" i="3" s="1"/>
  <c r="Q198" i="2"/>
  <c r="AT198" i="3" s="1"/>
  <c r="AW198" i="3" s="1"/>
  <c r="Q194" i="2"/>
  <c r="AT194" i="3" s="1"/>
  <c r="AW194" i="3" s="1"/>
  <c r="Q190" i="2"/>
  <c r="AT190" i="3" s="1"/>
  <c r="AW190" i="3" s="1"/>
  <c r="Q186" i="2"/>
  <c r="AT186" i="3" s="1"/>
  <c r="AW186" i="3" s="1"/>
  <c r="Q182" i="2"/>
  <c r="AT182" i="3" s="1"/>
  <c r="AW182" i="3" s="1"/>
  <c r="Q178" i="2"/>
  <c r="AT178" i="3" s="1"/>
  <c r="AW178" i="3" s="1"/>
  <c r="Q174" i="2"/>
  <c r="AT174" i="3" s="1"/>
  <c r="AW174" i="3" s="1"/>
  <c r="AT469" i="3"/>
  <c r="AW469" i="3" s="1"/>
  <c r="Q170" i="2"/>
  <c r="AT170" i="3" s="1"/>
  <c r="AW170" i="3" s="1"/>
  <c r="Q166" i="2"/>
  <c r="AT166" i="3" s="1"/>
  <c r="AW166" i="3" s="1"/>
  <c r="Q162" i="2"/>
  <c r="AT162" i="3" s="1"/>
  <c r="AW162" i="3" s="1"/>
  <c r="Q158" i="2"/>
  <c r="AT158" i="3" s="1"/>
  <c r="AW158" i="3" s="1"/>
  <c r="Q154" i="2"/>
  <c r="AT154" i="3" s="1"/>
  <c r="AW154" i="3" s="1"/>
  <c r="Q150" i="2"/>
  <c r="AT150" i="3" s="1"/>
  <c r="AW150" i="3" s="1"/>
  <c r="Q146" i="2"/>
  <c r="AT146" i="3" s="1"/>
  <c r="AW146" i="3" s="1"/>
  <c r="Q142" i="2"/>
  <c r="AT437" i="3" s="1"/>
  <c r="AW437" i="3" s="1"/>
  <c r="Q138" i="2"/>
  <c r="AT138" i="3" s="1"/>
  <c r="AW138" i="3" s="1"/>
  <c r="Q134" i="2"/>
  <c r="AT429" i="3" s="1"/>
  <c r="AW429" i="3" s="1"/>
  <c r="Q130" i="2"/>
  <c r="Q126" i="2"/>
  <c r="AT421" i="3" s="1"/>
  <c r="AW421" i="3" s="1"/>
  <c r="Q122" i="2"/>
  <c r="Q118" i="2"/>
  <c r="AT413" i="3" s="1"/>
  <c r="AW413" i="3" s="1"/>
  <c r="Q114" i="2"/>
  <c r="Q110" i="2"/>
  <c r="AT405" i="3" s="1"/>
  <c r="AW405" i="3" s="1"/>
  <c r="Q106" i="2"/>
  <c r="AT106" i="3" s="1"/>
  <c r="AW106" i="3" s="1"/>
  <c r="Q102" i="2"/>
  <c r="AT397" i="3" s="1"/>
  <c r="AW397" i="3" s="1"/>
  <c r="Q98" i="2"/>
  <c r="Q94" i="2"/>
  <c r="AT389" i="3" s="1"/>
  <c r="AW389" i="3" s="1"/>
  <c r="Q90" i="2"/>
  <c r="Q86" i="2"/>
  <c r="AT381" i="3" s="1"/>
  <c r="AW381" i="3" s="1"/>
  <c r="Q82" i="2"/>
  <c r="AT82" i="3" s="1"/>
  <c r="AW82" i="3" s="1"/>
  <c r="Q78" i="2"/>
  <c r="AT78" i="3" s="1"/>
  <c r="AW78" i="3" s="1"/>
  <c r="Q74" i="2"/>
  <c r="AT74" i="3" s="1"/>
  <c r="AW74" i="3" s="1"/>
  <c r="AJ2" i="3"/>
  <c r="AM2" i="3" s="1"/>
  <c r="O2" i="2"/>
  <c r="AO2" i="3" s="1"/>
  <c r="AR2" i="3" s="1"/>
  <c r="O158" i="2"/>
  <c r="AO453" i="3" s="1"/>
  <c r="AR453" i="3" s="1"/>
  <c r="O146" i="2"/>
  <c r="O106" i="2"/>
  <c r="O94" i="2"/>
  <c r="O78" i="2"/>
  <c r="AO78" i="3" s="1"/>
  <c r="AR78" i="3" s="1"/>
  <c r="O66" i="2"/>
  <c r="AO66" i="3" s="1"/>
  <c r="AR66" i="3" s="1"/>
  <c r="O54" i="2"/>
  <c r="AO54" i="3" s="1"/>
  <c r="AR54" i="3" s="1"/>
  <c r="O46" i="2"/>
  <c r="AO46" i="3" s="1"/>
  <c r="AR46" i="3" s="1"/>
  <c r="O34" i="2"/>
  <c r="AO34" i="3" s="1"/>
  <c r="AR34" i="3" s="1"/>
  <c r="O22" i="2"/>
  <c r="AO22" i="3" s="1"/>
  <c r="AR22" i="3" s="1"/>
  <c r="O10" i="2"/>
  <c r="AO1153" i="3"/>
  <c r="AR1153" i="3" s="1"/>
  <c r="AO1137" i="3"/>
  <c r="AR1137" i="3" s="1"/>
  <c r="AO1121" i="3"/>
  <c r="AR1121" i="3" s="1"/>
  <c r="AO1105" i="3"/>
  <c r="AR1105" i="3" s="1"/>
  <c r="AO1089" i="3"/>
  <c r="AR1089" i="3" s="1"/>
  <c r="AO1073" i="3"/>
  <c r="AR1073" i="3" s="1"/>
  <c r="AO1057" i="3"/>
  <c r="AR1057" i="3" s="1"/>
  <c r="AO1041" i="3"/>
  <c r="AR1041" i="3" s="1"/>
  <c r="AO1025" i="3"/>
  <c r="AR1025" i="3" s="1"/>
  <c r="AO1009" i="3"/>
  <c r="AR1009" i="3" s="1"/>
  <c r="AO993" i="3"/>
  <c r="AR993" i="3" s="1"/>
  <c r="AO977" i="3"/>
  <c r="AR977" i="3" s="1"/>
  <c r="AO961" i="3"/>
  <c r="AR961" i="3" s="1"/>
  <c r="AO945" i="3"/>
  <c r="AR945" i="3" s="1"/>
  <c r="AO929" i="3"/>
  <c r="AR929" i="3" s="1"/>
  <c r="AO913" i="3"/>
  <c r="AR913" i="3" s="1"/>
  <c r="AO897" i="3"/>
  <c r="AR897" i="3" s="1"/>
  <c r="AO881" i="3"/>
  <c r="AR881" i="3" s="1"/>
  <c r="AO865" i="3"/>
  <c r="AR865" i="3" s="1"/>
  <c r="AO849" i="3"/>
  <c r="AR849" i="3" s="1"/>
  <c r="AO833" i="3"/>
  <c r="AR833" i="3" s="1"/>
  <c r="AO817" i="3"/>
  <c r="AR817" i="3" s="1"/>
  <c r="AO801" i="3"/>
  <c r="AR801" i="3" s="1"/>
  <c r="AO785" i="3"/>
  <c r="AR785" i="3" s="1"/>
  <c r="AO769" i="3"/>
  <c r="AR769" i="3" s="1"/>
  <c r="AO753" i="3"/>
  <c r="AR753" i="3" s="1"/>
  <c r="AO737" i="3"/>
  <c r="AR737" i="3" s="1"/>
  <c r="AO721" i="3"/>
  <c r="AR721" i="3" s="1"/>
  <c r="AO705" i="3"/>
  <c r="AR705" i="3" s="1"/>
  <c r="AO689" i="3"/>
  <c r="AR689" i="3" s="1"/>
  <c r="AO673" i="3"/>
  <c r="AR673" i="3" s="1"/>
  <c r="O154" i="2"/>
  <c r="O150" i="2"/>
  <c r="AO445" i="3" s="1"/>
  <c r="AR445" i="3" s="1"/>
  <c r="O142" i="2"/>
  <c r="AO437" i="3" s="1"/>
  <c r="AR437" i="3" s="1"/>
  <c r="O138" i="2"/>
  <c r="O134" i="2"/>
  <c r="AO429" i="3" s="1"/>
  <c r="AR429" i="3" s="1"/>
  <c r="O130" i="2"/>
  <c r="AO425" i="3" s="1"/>
  <c r="AR425" i="3" s="1"/>
  <c r="O126" i="2"/>
  <c r="AO421" i="3" s="1"/>
  <c r="AR421" i="3" s="1"/>
  <c r="O122" i="2"/>
  <c r="O114" i="2"/>
  <c r="O110" i="2"/>
  <c r="AO405" i="3" s="1"/>
  <c r="AR405" i="3" s="1"/>
  <c r="O102" i="2"/>
  <c r="O98" i="2"/>
  <c r="O90" i="2"/>
  <c r="AO385" i="3" s="1"/>
  <c r="AR385" i="3" s="1"/>
  <c r="O86" i="2"/>
  <c r="O82" i="2"/>
  <c r="AO82" i="3" s="1"/>
  <c r="AR82" i="3" s="1"/>
  <c r="O74" i="2"/>
  <c r="AO74" i="3" s="1"/>
  <c r="AR74" i="3" s="1"/>
  <c r="O70" i="2"/>
  <c r="AO70" i="3" s="1"/>
  <c r="AR70" i="3" s="1"/>
  <c r="O62" i="2"/>
  <c r="AO62" i="3" s="1"/>
  <c r="AR62" i="3" s="1"/>
  <c r="O58" i="2"/>
  <c r="AO58" i="3" s="1"/>
  <c r="AR58" i="3" s="1"/>
  <c r="O50" i="2"/>
  <c r="AO50" i="3" s="1"/>
  <c r="AR50" i="3" s="1"/>
  <c r="O42" i="2"/>
  <c r="AO42" i="3" s="1"/>
  <c r="AR42" i="3" s="1"/>
  <c r="O38" i="2"/>
  <c r="AO38" i="3" s="1"/>
  <c r="AR38" i="3" s="1"/>
  <c r="O30" i="2"/>
  <c r="AO30" i="3" s="1"/>
  <c r="AR30" i="3" s="1"/>
  <c r="O26" i="2"/>
  <c r="AO26" i="3" s="1"/>
  <c r="AR26" i="3" s="1"/>
  <c r="O18" i="2"/>
  <c r="AO18" i="3" s="1"/>
  <c r="AR18" i="3" s="1"/>
  <c r="O14" i="2"/>
  <c r="AO15" i="3" s="1"/>
  <c r="AR15" i="3" s="1"/>
  <c r="O6" i="2"/>
  <c r="AO6" i="3" s="1"/>
  <c r="AR6" i="3" s="1"/>
  <c r="O726" i="2"/>
  <c r="AO1021" i="3" s="1"/>
  <c r="AR1021" i="3" s="1"/>
  <c r="AO1157" i="3"/>
  <c r="AR1157" i="3" s="1"/>
  <c r="AO1141" i="3"/>
  <c r="AR1141" i="3" s="1"/>
  <c r="AO1125" i="3"/>
  <c r="AR1125" i="3" s="1"/>
  <c r="AO1109" i="3"/>
  <c r="AR1109" i="3" s="1"/>
  <c r="AO1093" i="3"/>
  <c r="AR1093" i="3" s="1"/>
  <c r="AO1077" i="3"/>
  <c r="AR1077" i="3" s="1"/>
  <c r="AO1061" i="3"/>
  <c r="AR1061" i="3" s="1"/>
  <c r="AO1045" i="3"/>
  <c r="AR1045" i="3" s="1"/>
  <c r="AO1029" i="3"/>
  <c r="AR1029" i="3" s="1"/>
  <c r="AO1013" i="3"/>
  <c r="AR1013" i="3" s="1"/>
  <c r="AO997" i="3"/>
  <c r="AR997" i="3" s="1"/>
  <c r="AO981" i="3"/>
  <c r="AR981" i="3" s="1"/>
  <c r="AO965" i="3"/>
  <c r="AR965" i="3" s="1"/>
  <c r="AO949" i="3"/>
  <c r="AR949" i="3" s="1"/>
  <c r="AO933" i="3"/>
  <c r="AR933" i="3" s="1"/>
  <c r="AO917" i="3"/>
  <c r="AR917" i="3" s="1"/>
  <c r="AO901" i="3"/>
  <c r="AR901" i="3" s="1"/>
  <c r="AO885" i="3"/>
  <c r="AR885" i="3" s="1"/>
  <c r="AO869" i="3"/>
  <c r="AR869" i="3" s="1"/>
  <c r="AO853" i="3"/>
  <c r="AR853" i="3" s="1"/>
  <c r="AO837" i="3"/>
  <c r="AR837" i="3" s="1"/>
  <c r="AO821" i="3"/>
  <c r="AR821" i="3" s="1"/>
  <c r="AO805" i="3"/>
  <c r="AR805" i="3" s="1"/>
  <c r="AO789" i="3"/>
  <c r="AR789" i="3" s="1"/>
  <c r="AO773" i="3"/>
  <c r="AR773" i="3" s="1"/>
  <c r="AO757" i="3"/>
  <c r="AR757" i="3" s="1"/>
  <c r="AO741" i="3"/>
  <c r="AR741" i="3" s="1"/>
  <c r="AO725" i="3"/>
  <c r="AR725" i="3" s="1"/>
  <c r="AO709" i="3"/>
  <c r="AR709" i="3" s="1"/>
  <c r="AO693" i="3"/>
  <c r="AR693" i="3" s="1"/>
  <c r="AO677" i="3"/>
  <c r="AR677" i="3" s="1"/>
  <c r="AO1149" i="3"/>
  <c r="AR1149" i="3" s="1"/>
  <c r="AO1133" i="3"/>
  <c r="AR1133" i="3" s="1"/>
  <c r="AO1117" i="3"/>
  <c r="AR1117" i="3" s="1"/>
  <c r="AO1101" i="3"/>
  <c r="AR1101" i="3" s="1"/>
  <c r="AO1085" i="3"/>
  <c r="AR1085" i="3" s="1"/>
  <c r="AO1069" i="3"/>
  <c r="AR1069" i="3" s="1"/>
  <c r="AO1053" i="3"/>
  <c r="AR1053" i="3" s="1"/>
  <c r="AO1037" i="3"/>
  <c r="AR1037" i="3" s="1"/>
  <c r="AO1005" i="3"/>
  <c r="AR1005" i="3" s="1"/>
  <c r="AO989" i="3"/>
  <c r="AR989" i="3" s="1"/>
  <c r="AO973" i="3"/>
  <c r="AR973" i="3" s="1"/>
  <c r="AO957" i="3"/>
  <c r="AR957" i="3" s="1"/>
  <c r="AO941" i="3"/>
  <c r="AR941" i="3" s="1"/>
  <c r="AO925" i="3"/>
  <c r="AR925" i="3" s="1"/>
  <c r="AO909" i="3"/>
  <c r="AR909" i="3" s="1"/>
  <c r="AO893" i="3"/>
  <c r="AR893" i="3" s="1"/>
  <c r="AO877" i="3"/>
  <c r="AR877" i="3" s="1"/>
  <c r="AO861" i="3"/>
  <c r="AR861" i="3" s="1"/>
  <c r="AO845" i="3"/>
  <c r="AR845" i="3" s="1"/>
  <c r="AO829" i="3"/>
  <c r="AR829" i="3" s="1"/>
  <c r="AO797" i="3"/>
  <c r="AR797" i="3" s="1"/>
  <c r="AO781" i="3"/>
  <c r="AR781" i="3" s="1"/>
  <c r="AO749" i="3"/>
  <c r="AR749" i="3" s="1"/>
  <c r="AO733" i="3"/>
  <c r="AR733" i="3" s="1"/>
  <c r="AO717" i="3"/>
  <c r="AR717" i="3" s="1"/>
  <c r="AO701" i="3"/>
  <c r="AR701" i="3" s="1"/>
  <c r="AO685" i="3"/>
  <c r="AR685" i="3" s="1"/>
  <c r="AO669" i="3"/>
  <c r="AR669" i="3" s="1"/>
  <c r="AO621" i="3"/>
  <c r="AR621" i="3" s="1"/>
  <c r="AO8" i="3"/>
  <c r="AR8" i="3" s="1"/>
  <c r="AO4" i="3"/>
  <c r="AR4" i="3" s="1"/>
  <c r="AO1158" i="3"/>
  <c r="AR1158" i="3" s="1"/>
  <c r="AO1150" i="3"/>
  <c r="AR1150" i="3" s="1"/>
  <c r="AO1146" i="3"/>
  <c r="AR1146" i="3" s="1"/>
  <c r="AO1142" i="3"/>
  <c r="AR1142" i="3" s="1"/>
  <c r="AO1138" i="3"/>
  <c r="AR1138" i="3" s="1"/>
  <c r="AO1134" i="3"/>
  <c r="AR1134" i="3" s="1"/>
  <c r="AO1130" i="3"/>
  <c r="AR1130" i="3" s="1"/>
  <c r="AO1126" i="3"/>
  <c r="AR1126" i="3" s="1"/>
  <c r="AO1122" i="3"/>
  <c r="AR1122" i="3" s="1"/>
  <c r="AO1118" i="3"/>
  <c r="AR1118" i="3" s="1"/>
  <c r="AO1114" i="3"/>
  <c r="AR1114" i="3" s="1"/>
  <c r="AO1110" i="3"/>
  <c r="AR1110" i="3" s="1"/>
  <c r="AO1106" i="3"/>
  <c r="AR1106" i="3" s="1"/>
  <c r="AO1102" i="3"/>
  <c r="AR1102" i="3" s="1"/>
  <c r="AO1098" i="3"/>
  <c r="AR1098" i="3" s="1"/>
  <c r="AO1094" i="3"/>
  <c r="AR1094" i="3" s="1"/>
  <c r="AO1090" i="3"/>
  <c r="AR1090" i="3" s="1"/>
  <c r="AO1086" i="3"/>
  <c r="AR1086" i="3" s="1"/>
  <c r="AO1082" i="3"/>
  <c r="AR1082" i="3" s="1"/>
  <c r="AO1074" i="3"/>
  <c r="AR1074" i="3" s="1"/>
  <c r="AO1070" i="3"/>
  <c r="AR1070" i="3" s="1"/>
  <c r="AO1066" i="3"/>
  <c r="AR1066" i="3" s="1"/>
  <c r="AO1062" i="3"/>
  <c r="AR1062" i="3" s="1"/>
  <c r="AO1058" i="3"/>
  <c r="AR1058" i="3" s="1"/>
  <c r="AO1054" i="3"/>
  <c r="AR1054" i="3" s="1"/>
  <c r="AO1050" i="3"/>
  <c r="AR1050" i="3" s="1"/>
  <c r="AO1046" i="3"/>
  <c r="AR1046" i="3" s="1"/>
  <c r="AO1042" i="3"/>
  <c r="AR1042" i="3" s="1"/>
  <c r="AO1038" i="3"/>
  <c r="AR1038" i="3" s="1"/>
  <c r="AO1034" i="3"/>
  <c r="AR1034" i="3" s="1"/>
  <c r="AO1030" i="3"/>
  <c r="AR1030" i="3" s="1"/>
  <c r="AO1026" i="3"/>
  <c r="AR1026" i="3" s="1"/>
  <c r="AO1022" i="3"/>
  <c r="AR1022" i="3" s="1"/>
  <c r="AO1018" i="3"/>
  <c r="AR1018" i="3" s="1"/>
  <c r="AO1014" i="3"/>
  <c r="AR1014" i="3" s="1"/>
  <c r="AO1010" i="3"/>
  <c r="AR1010" i="3" s="1"/>
  <c r="AO1006" i="3"/>
  <c r="AR1006" i="3" s="1"/>
  <c r="AO1002" i="3"/>
  <c r="AR1002" i="3" s="1"/>
  <c r="AO998" i="3"/>
  <c r="AR998" i="3" s="1"/>
  <c r="AO994" i="3"/>
  <c r="AR994" i="3" s="1"/>
  <c r="AO990" i="3"/>
  <c r="AR990" i="3" s="1"/>
  <c r="AO986" i="3"/>
  <c r="AR986" i="3" s="1"/>
  <c r="AO982" i="3"/>
  <c r="AR982" i="3" s="1"/>
  <c r="AO978" i="3"/>
  <c r="AR978" i="3" s="1"/>
  <c r="AO974" i="3"/>
  <c r="AR974" i="3" s="1"/>
  <c r="AO970" i="3"/>
  <c r="AR970" i="3" s="1"/>
  <c r="AO966" i="3"/>
  <c r="AR966" i="3" s="1"/>
  <c r="AO962" i="3"/>
  <c r="AR962" i="3" s="1"/>
  <c r="AO958" i="3"/>
  <c r="AR958" i="3" s="1"/>
  <c r="AO954" i="3"/>
  <c r="AR954" i="3" s="1"/>
  <c r="AO950" i="3"/>
  <c r="AR950" i="3" s="1"/>
  <c r="AO946" i="3"/>
  <c r="AR946" i="3" s="1"/>
  <c r="AO942" i="3"/>
  <c r="AR942" i="3" s="1"/>
  <c r="AO938" i="3"/>
  <c r="AR938" i="3" s="1"/>
  <c r="AO934" i="3"/>
  <c r="AR934" i="3" s="1"/>
  <c r="AO930" i="3"/>
  <c r="AR930" i="3" s="1"/>
  <c r="AO926" i="3"/>
  <c r="AR926" i="3" s="1"/>
  <c r="AO922" i="3"/>
  <c r="AR922" i="3" s="1"/>
  <c r="AO918" i="3"/>
  <c r="AR918" i="3" s="1"/>
  <c r="AO914" i="3"/>
  <c r="AR914" i="3" s="1"/>
  <c r="AO910" i="3"/>
  <c r="AR910" i="3" s="1"/>
  <c r="AO906" i="3"/>
  <c r="AR906" i="3" s="1"/>
  <c r="AO902" i="3"/>
  <c r="AR902" i="3" s="1"/>
  <c r="AO898" i="3"/>
  <c r="AR898" i="3" s="1"/>
  <c r="AO894" i="3"/>
  <c r="AR894" i="3" s="1"/>
  <c r="AO890" i="3"/>
  <c r="AR890" i="3" s="1"/>
  <c r="AO886" i="3"/>
  <c r="AR886" i="3" s="1"/>
  <c r="AO882" i="3"/>
  <c r="AR882" i="3" s="1"/>
  <c r="AO878" i="3"/>
  <c r="AR878" i="3" s="1"/>
  <c r="AO874" i="3"/>
  <c r="AR874" i="3" s="1"/>
  <c r="AO870" i="3"/>
  <c r="AR870" i="3" s="1"/>
  <c r="AO866" i="3"/>
  <c r="AR866" i="3" s="1"/>
  <c r="AO862" i="3"/>
  <c r="AR862" i="3" s="1"/>
  <c r="AO858" i="3"/>
  <c r="AR858" i="3" s="1"/>
  <c r="AO854" i="3"/>
  <c r="AR854" i="3" s="1"/>
  <c r="AO850" i="3"/>
  <c r="AR850" i="3" s="1"/>
  <c r="AO846" i="3"/>
  <c r="AR846" i="3" s="1"/>
  <c r="AO842" i="3"/>
  <c r="AR842" i="3" s="1"/>
  <c r="AO838" i="3"/>
  <c r="AR838" i="3" s="1"/>
  <c r="AO834" i="3"/>
  <c r="AR834" i="3" s="1"/>
  <c r="AO830" i="3"/>
  <c r="AR830" i="3" s="1"/>
  <c r="AO826" i="3"/>
  <c r="AR826" i="3" s="1"/>
  <c r="AO822" i="3"/>
  <c r="AR822" i="3" s="1"/>
  <c r="AO818" i="3"/>
  <c r="AR818" i="3" s="1"/>
  <c r="AO814" i="3"/>
  <c r="AR814" i="3" s="1"/>
  <c r="AO810" i="3"/>
  <c r="AR810" i="3" s="1"/>
  <c r="AO806" i="3"/>
  <c r="AR806" i="3" s="1"/>
  <c r="AO802" i="3"/>
  <c r="AR802" i="3" s="1"/>
  <c r="AO798" i="3"/>
  <c r="AR798" i="3" s="1"/>
  <c r="AO794" i="3"/>
  <c r="AR794" i="3" s="1"/>
  <c r="AO790" i="3"/>
  <c r="AR790" i="3" s="1"/>
  <c r="AO786" i="3"/>
  <c r="AR786" i="3" s="1"/>
  <c r="AO782" i="3"/>
  <c r="AR782" i="3" s="1"/>
  <c r="AO778" i="3"/>
  <c r="AR778" i="3" s="1"/>
  <c r="AO774" i="3"/>
  <c r="AR774" i="3" s="1"/>
  <c r="AO770" i="3"/>
  <c r="AR770" i="3" s="1"/>
  <c r="AO766" i="3"/>
  <c r="AR766" i="3" s="1"/>
  <c r="AO762" i="3"/>
  <c r="AR762" i="3" s="1"/>
  <c r="AO758" i="3"/>
  <c r="AR758" i="3" s="1"/>
  <c r="AO754" i="3"/>
  <c r="AR754" i="3" s="1"/>
  <c r="AO750" i="3"/>
  <c r="AR750" i="3" s="1"/>
  <c r="AO746" i="3"/>
  <c r="AR746" i="3" s="1"/>
  <c r="AO742" i="3"/>
  <c r="AR742" i="3" s="1"/>
  <c r="AO738" i="3"/>
  <c r="AR738" i="3" s="1"/>
  <c r="AO734" i="3"/>
  <c r="AR734" i="3" s="1"/>
  <c r="AO730" i="3"/>
  <c r="AR730" i="3" s="1"/>
  <c r="AO726" i="3"/>
  <c r="AR726" i="3" s="1"/>
  <c r="AO722" i="3"/>
  <c r="AR722" i="3" s="1"/>
  <c r="AO718" i="3"/>
  <c r="AR718" i="3" s="1"/>
  <c r="AO714" i="3"/>
  <c r="AR714" i="3" s="1"/>
  <c r="AO710" i="3"/>
  <c r="AR710" i="3" s="1"/>
  <c r="AO706" i="3"/>
  <c r="AR706" i="3" s="1"/>
  <c r="AO702" i="3"/>
  <c r="AR702" i="3" s="1"/>
  <c r="AO698" i="3"/>
  <c r="AR698" i="3" s="1"/>
  <c r="AO694" i="3"/>
  <c r="AR694" i="3" s="1"/>
  <c r="AO690" i="3"/>
  <c r="AR690" i="3" s="1"/>
  <c r="AO686" i="3"/>
  <c r="AR686" i="3" s="1"/>
  <c r="AO682" i="3"/>
  <c r="AR682" i="3" s="1"/>
  <c r="AO678" i="3"/>
  <c r="AR678" i="3" s="1"/>
  <c r="AO670" i="3"/>
  <c r="AR670" i="3" s="1"/>
  <c r="AO666" i="3"/>
  <c r="AR666" i="3" s="1"/>
  <c r="AO434" i="3"/>
  <c r="AR434" i="3" s="1"/>
  <c r="AO9" i="3"/>
  <c r="AR9" i="3" s="1"/>
  <c r="AO1159" i="3"/>
  <c r="AR1159" i="3" s="1"/>
  <c r="AO1155" i="3"/>
  <c r="AR1155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9" i="3"/>
  <c r="AR1079" i="3" s="1"/>
  <c r="AO1075" i="3"/>
  <c r="AR1075" i="3" s="1"/>
  <c r="AO1071" i="3"/>
  <c r="AR1071" i="3" s="1"/>
  <c r="AO1067" i="3"/>
  <c r="AR1067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79" i="3"/>
  <c r="AR679" i="3" s="1"/>
  <c r="AO675" i="3"/>
  <c r="AR675" i="3" s="1"/>
  <c r="AO671" i="3"/>
  <c r="AR671" i="3" s="1"/>
  <c r="AO667" i="3"/>
  <c r="AR667" i="3" s="1"/>
  <c r="AO663" i="3"/>
  <c r="AR663" i="3" s="1"/>
  <c r="AO631" i="3"/>
  <c r="AR631" i="3" s="1"/>
  <c r="AO543" i="3"/>
  <c r="AR543" i="3" s="1"/>
  <c r="AO1156" i="3"/>
  <c r="AR1156" i="3" s="1"/>
  <c r="AO1148" i="3"/>
  <c r="AR1148" i="3" s="1"/>
  <c r="AO1144" i="3"/>
  <c r="AR1144" i="3" s="1"/>
  <c r="AO1116" i="3"/>
  <c r="AR1116" i="3" s="1"/>
  <c r="AO1112" i="3"/>
  <c r="AR1112" i="3" s="1"/>
  <c r="AO1088" i="3"/>
  <c r="AR1088" i="3" s="1"/>
  <c r="AO1084" i="3"/>
  <c r="AR1084" i="3" s="1"/>
  <c r="AO1080" i="3"/>
  <c r="AR1080" i="3" s="1"/>
  <c r="AO1068" i="3"/>
  <c r="AR1068" i="3" s="1"/>
  <c r="AO1052" i="3"/>
  <c r="AR1052" i="3" s="1"/>
  <c r="AO1048" i="3"/>
  <c r="AR1048" i="3" s="1"/>
  <c r="AO1032" i="3"/>
  <c r="AR1032" i="3" s="1"/>
  <c r="AO1020" i="3"/>
  <c r="AR1020" i="3" s="1"/>
  <c r="AO1016" i="3"/>
  <c r="AR1016" i="3" s="1"/>
  <c r="AO1012" i="3"/>
  <c r="AR1012" i="3" s="1"/>
  <c r="AO996" i="3"/>
  <c r="AR996" i="3" s="1"/>
  <c r="AO988" i="3"/>
  <c r="AR988" i="3" s="1"/>
  <c r="AO984" i="3"/>
  <c r="AR984" i="3" s="1"/>
  <c r="AO960" i="3"/>
  <c r="AR960" i="3" s="1"/>
  <c r="AO956" i="3"/>
  <c r="AR956" i="3" s="1"/>
  <c r="AO952" i="3"/>
  <c r="AR952" i="3" s="1"/>
  <c r="AO944" i="3"/>
  <c r="AR944" i="3" s="1"/>
  <c r="AO928" i="3"/>
  <c r="AR928" i="3" s="1"/>
  <c r="AO924" i="3"/>
  <c r="AR924" i="3" s="1"/>
  <c r="AO920" i="3"/>
  <c r="AR920" i="3" s="1"/>
  <c r="AO904" i="3"/>
  <c r="AR904" i="3" s="1"/>
  <c r="AO892" i="3"/>
  <c r="AR892" i="3" s="1"/>
  <c r="AO888" i="3"/>
  <c r="AR888" i="3" s="1"/>
  <c r="AO880" i="3"/>
  <c r="AR880" i="3" s="1"/>
  <c r="AO868" i="3"/>
  <c r="AR868" i="3" s="1"/>
  <c r="AO860" i="3"/>
  <c r="AR860" i="3" s="1"/>
  <c r="AO856" i="3"/>
  <c r="AR856" i="3" s="1"/>
  <c r="AO844" i="3"/>
  <c r="AR844" i="3" s="1"/>
  <c r="AO828" i="3"/>
  <c r="AR828" i="3" s="1"/>
  <c r="AO824" i="3"/>
  <c r="AR824" i="3" s="1"/>
  <c r="AO820" i="3"/>
  <c r="AR820" i="3" s="1"/>
  <c r="AO808" i="3"/>
  <c r="AR808" i="3" s="1"/>
  <c r="AO796" i="3"/>
  <c r="AR796" i="3" s="1"/>
  <c r="AO792" i="3"/>
  <c r="AR792" i="3" s="1"/>
  <c r="AO776" i="3"/>
  <c r="AR776" i="3" s="1"/>
  <c r="AO764" i="3"/>
  <c r="AR764" i="3" s="1"/>
  <c r="AO760" i="3"/>
  <c r="AR760" i="3" s="1"/>
  <c r="AO756" i="3"/>
  <c r="AR756" i="3" s="1"/>
  <c r="AO732" i="3"/>
  <c r="AR732" i="3" s="1"/>
  <c r="AO728" i="3"/>
  <c r="AR728" i="3" s="1"/>
  <c r="AO724" i="3"/>
  <c r="AR724" i="3" s="1"/>
  <c r="AO708" i="3"/>
  <c r="AR708" i="3" s="1"/>
  <c r="AO700" i="3"/>
  <c r="AR700" i="3" s="1"/>
  <c r="AO696" i="3"/>
  <c r="AR696" i="3" s="1"/>
  <c r="AO688" i="3"/>
  <c r="AR688" i="3" s="1"/>
  <c r="AO676" i="3"/>
  <c r="AR676" i="3" s="1"/>
  <c r="AO668" i="3"/>
  <c r="AR668" i="3" s="1"/>
  <c r="AO664" i="3"/>
  <c r="AR664" i="3" s="1"/>
  <c r="AO648" i="3"/>
  <c r="AR648" i="3" s="1"/>
  <c r="S863" i="2"/>
  <c r="AY1158" i="3" s="1"/>
  <c r="BB1158" i="3" s="1"/>
  <c r="S859" i="2"/>
  <c r="AY1154" i="3"/>
  <c r="BB1154" i="3" s="1"/>
  <c r="S855" i="2"/>
  <c r="AY1150" i="3"/>
  <c r="BB1150" i="3" s="1"/>
  <c r="S851" i="2"/>
  <c r="AY1146" i="3"/>
  <c r="BB1146" i="3" s="1"/>
  <c r="S847" i="2"/>
  <c r="AY1142" i="3" s="1"/>
  <c r="BB1142" i="3" s="1"/>
  <c r="S843" i="2"/>
  <c r="AY1138" i="3" s="1"/>
  <c r="BB1138" i="3" s="1"/>
  <c r="S839" i="2"/>
  <c r="AY1134" i="3" s="1"/>
  <c r="BB1134" i="3" s="1"/>
  <c r="S835" i="2"/>
  <c r="AY1130" i="3"/>
  <c r="BB1130" i="3" s="1"/>
  <c r="S831" i="2"/>
  <c r="AY1126" i="3" s="1"/>
  <c r="BB1126" i="3" s="1"/>
  <c r="S827" i="2"/>
  <c r="AY1122" i="3" s="1"/>
  <c r="BB1122" i="3" s="1"/>
  <c r="S823" i="2"/>
  <c r="AY1118" i="3"/>
  <c r="BB1118" i="3" s="1"/>
  <c r="S819" i="2"/>
  <c r="AY1114" i="3"/>
  <c r="BB1114" i="3" s="1"/>
  <c r="S815" i="2"/>
  <c r="AY1110" i="3" s="1"/>
  <c r="BB1110" i="3" s="1"/>
  <c r="S811" i="2"/>
  <c r="AY1106" i="3" s="1"/>
  <c r="BB1106" i="3" s="1"/>
  <c r="S807" i="2"/>
  <c r="AY1102" i="3" s="1"/>
  <c r="BB1102" i="3" s="1"/>
  <c r="S803" i="2"/>
  <c r="AY1098" i="3"/>
  <c r="BB1098" i="3" s="1"/>
  <c r="S799" i="2"/>
  <c r="AY1094" i="3" s="1"/>
  <c r="BB1094" i="3" s="1"/>
  <c r="S795" i="2"/>
  <c r="AY1090" i="3" s="1"/>
  <c r="BB1090" i="3" s="1"/>
  <c r="S791" i="2"/>
  <c r="AY1086" i="3"/>
  <c r="BB1086" i="3" s="1"/>
  <c r="S787" i="2"/>
  <c r="AY1082" i="3" s="1"/>
  <c r="BB1082" i="3" s="1"/>
  <c r="S783" i="2"/>
  <c r="AY1078" i="3" s="1"/>
  <c r="BB1078" i="3" s="1"/>
  <c r="S779" i="2"/>
  <c r="AY1074" i="3"/>
  <c r="BB1074" i="3" s="1"/>
  <c r="S775" i="2"/>
  <c r="AY1070" i="3" s="1"/>
  <c r="BB1070" i="3" s="1"/>
  <c r="S771" i="2"/>
  <c r="AY1066" i="3" s="1"/>
  <c r="BB1066" i="3" s="1"/>
  <c r="S767" i="2"/>
  <c r="AY1062" i="3" s="1"/>
  <c r="BB1062" i="3" s="1"/>
  <c r="S763" i="2"/>
  <c r="AY1058" i="3" s="1"/>
  <c r="BB1058" i="3" s="1"/>
  <c r="S759" i="2"/>
  <c r="AY1054" i="3" s="1"/>
  <c r="BB1054" i="3" s="1"/>
  <c r="S755" i="2"/>
  <c r="AY1050" i="3" s="1"/>
  <c r="BB1050" i="3" s="1"/>
  <c r="S751" i="2"/>
  <c r="AY1046" i="3" s="1"/>
  <c r="BB1046" i="3" s="1"/>
  <c r="S747" i="2"/>
  <c r="AY1042" i="3" s="1"/>
  <c r="BB1042" i="3" s="1"/>
  <c r="S743" i="2"/>
  <c r="AY1038" i="3" s="1"/>
  <c r="BB1038" i="3" s="1"/>
  <c r="S739" i="2"/>
  <c r="AY1034" i="3" s="1"/>
  <c r="BB1034" i="3" s="1"/>
  <c r="S735" i="2"/>
  <c r="AY1030" i="3" s="1"/>
  <c r="BB1030" i="3" s="1"/>
  <c r="S731" i="2"/>
  <c r="AY1026" i="3" s="1"/>
  <c r="BB1026" i="3" s="1"/>
  <c r="S727" i="2"/>
  <c r="AY1022" i="3" s="1"/>
  <c r="BB1022" i="3" s="1"/>
  <c r="S723" i="2"/>
  <c r="AY1018" i="3" s="1"/>
  <c r="BB1018" i="3" s="1"/>
  <c r="S719" i="2"/>
  <c r="AY1014" i="3" s="1"/>
  <c r="BB1014" i="3" s="1"/>
  <c r="S715" i="2"/>
  <c r="AY1010" i="3" s="1"/>
  <c r="BB1010" i="3" s="1"/>
  <c r="S711" i="2"/>
  <c r="AY1006" i="3" s="1"/>
  <c r="BB1006" i="3" s="1"/>
  <c r="S707" i="2"/>
  <c r="AY1002" i="3"/>
  <c r="BB1002" i="3" s="1"/>
  <c r="S703" i="2"/>
  <c r="AY998" i="3" s="1"/>
  <c r="BB998" i="3" s="1"/>
  <c r="S699" i="2"/>
  <c r="AY994" i="3" s="1"/>
  <c r="BB994" i="3" s="1"/>
  <c r="S695" i="2"/>
  <c r="AY990" i="3"/>
  <c r="BB990" i="3" s="1"/>
  <c r="S691" i="2"/>
  <c r="AY986" i="3" s="1"/>
  <c r="BB986" i="3" s="1"/>
  <c r="S687" i="2"/>
  <c r="AY982" i="3" s="1"/>
  <c r="BB982" i="3" s="1"/>
  <c r="S683" i="2"/>
  <c r="AY978" i="3" s="1"/>
  <c r="BB978" i="3" s="1"/>
  <c r="S679" i="2"/>
  <c r="AY974" i="3" s="1"/>
  <c r="BB974" i="3" s="1"/>
  <c r="S675" i="2"/>
  <c r="AY970" i="3" s="1"/>
  <c r="BB970" i="3" s="1"/>
  <c r="S671" i="2"/>
  <c r="AY966" i="3" s="1"/>
  <c r="BB966" i="3" s="1"/>
  <c r="S667" i="2"/>
  <c r="AY962" i="3" s="1"/>
  <c r="BB962" i="3" s="1"/>
  <c r="S663" i="2"/>
  <c r="AY958" i="3" s="1"/>
  <c r="BB958" i="3" s="1"/>
  <c r="S659" i="2"/>
  <c r="AY954" i="3" s="1"/>
  <c r="BB954" i="3" s="1"/>
  <c r="S655" i="2"/>
  <c r="AY950" i="3" s="1"/>
  <c r="BB950" i="3" s="1"/>
  <c r="S651" i="2"/>
  <c r="AY946" i="3" s="1"/>
  <c r="BB946" i="3" s="1"/>
  <c r="S647" i="2"/>
  <c r="AY942" i="3" s="1"/>
  <c r="BB942" i="3" s="1"/>
  <c r="S643" i="2"/>
  <c r="AY938" i="3" s="1"/>
  <c r="BB938" i="3" s="1"/>
  <c r="S639" i="2"/>
  <c r="AY934" i="3" s="1"/>
  <c r="BB934" i="3" s="1"/>
  <c r="S635" i="2"/>
  <c r="AY930" i="3" s="1"/>
  <c r="BB930" i="3" s="1"/>
  <c r="S631" i="2"/>
  <c r="AY926" i="3" s="1"/>
  <c r="BB926" i="3" s="1"/>
  <c r="S627" i="2"/>
  <c r="AY922" i="3"/>
  <c r="BB922" i="3" s="1"/>
  <c r="S623" i="2"/>
  <c r="AY918" i="3" s="1"/>
  <c r="BB918" i="3" s="1"/>
  <c r="S619" i="2"/>
  <c r="AY914" i="3" s="1"/>
  <c r="BB914" i="3" s="1"/>
  <c r="S615" i="2"/>
  <c r="AY910" i="3" s="1"/>
  <c r="BB910" i="3" s="1"/>
  <c r="S611" i="2"/>
  <c r="AY906" i="3" s="1"/>
  <c r="BB906" i="3" s="1"/>
  <c r="S607" i="2"/>
  <c r="AY902" i="3" s="1"/>
  <c r="BB902" i="3" s="1"/>
  <c r="S603" i="2"/>
  <c r="AY898" i="3"/>
  <c r="BB898" i="3" s="1"/>
  <c r="S599" i="2"/>
  <c r="AY894" i="3" s="1"/>
  <c r="BB894" i="3" s="1"/>
  <c r="S595" i="2"/>
  <c r="AY890" i="3" s="1"/>
  <c r="BB890" i="3" s="1"/>
  <c r="S591" i="2"/>
  <c r="AY886" i="3" s="1"/>
  <c r="BB886" i="3" s="1"/>
  <c r="S587" i="2"/>
  <c r="AY882" i="3" s="1"/>
  <c r="BB882" i="3" s="1"/>
  <c r="S583" i="2"/>
  <c r="AY878" i="3" s="1"/>
  <c r="BB878" i="3" s="1"/>
  <c r="S579" i="2"/>
  <c r="AY874" i="3" s="1"/>
  <c r="BB874" i="3" s="1"/>
  <c r="S575" i="2"/>
  <c r="AY870" i="3" s="1"/>
  <c r="BB870" i="3" s="1"/>
  <c r="S571" i="2"/>
  <c r="AY866" i="3" s="1"/>
  <c r="BB866" i="3" s="1"/>
  <c r="S567" i="2"/>
  <c r="AY862" i="3" s="1"/>
  <c r="BB862" i="3" s="1"/>
  <c r="S563" i="2"/>
  <c r="AY858" i="3" s="1"/>
  <c r="BB858" i="3" s="1"/>
  <c r="S559" i="2"/>
  <c r="AY854" i="3" s="1"/>
  <c r="BB854" i="3" s="1"/>
  <c r="S555" i="2"/>
  <c r="AY850" i="3"/>
  <c r="BB850" i="3" s="1"/>
  <c r="S551" i="2"/>
  <c r="AY846" i="3" s="1"/>
  <c r="BB846" i="3" s="1"/>
  <c r="S547" i="2"/>
  <c r="AY842" i="3" s="1"/>
  <c r="BB842" i="3" s="1"/>
  <c r="S543" i="2"/>
  <c r="AY838" i="3" s="1"/>
  <c r="BB838" i="3" s="1"/>
  <c r="S535" i="2"/>
  <c r="AY830" i="3" s="1"/>
  <c r="BB830" i="3" s="1"/>
  <c r="S455" i="2"/>
  <c r="AY750" i="3" s="1"/>
  <c r="BB750" i="3" s="1"/>
  <c r="S439" i="2"/>
  <c r="AY734" i="3" s="1"/>
  <c r="BB734" i="3" s="1"/>
  <c r="S431" i="2"/>
  <c r="AY726" i="3" s="1"/>
  <c r="BB726" i="3" s="1"/>
  <c r="S407" i="2"/>
  <c r="AY702" i="3" s="1"/>
  <c r="BB702" i="3" s="1"/>
  <c r="S399" i="2"/>
  <c r="AY694" i="3" s="1"/>
  <c r="BB694" i="3" s="1"/>
  <c r="S383" i="2"/>
  <c r="AY678" i="3"/>
  <c r="BB678" i="3" s="1"/>
  <c r="S375" i="2"/>
  <c r="AY670" i="3" s="1"/>
  <c r="BB670" i="3" s="1"/>
  <c r="S319" i="2"/>
  <c r="AY614" i="3" s="1"/>
  <c r="BB614" i="3" s="1"/>
  <c r="S311" i="2"/>
  <c r="AY311" i="3" s="1"/>
  <c r="BB311" i="3" s="1"/>
  <c r="S279" i="2"/>
  <c r="AY279" i="3" s="1"/>
  <c r="BB279" i="3" s="1"/>
  <c r="S239" i="2"/>
  <c r="AY534" i="3" s="1"/>
  <c r="BB534" i="3" s="1"/>
  <c r="S231" i="2"/>
  <c r="S215" i="2"/>
  <c r="AY215" i="3" s="1"/>
  <c r="BB215" i="3" s="1"/>
  <c r="S207" i="2"/>
  <c r="S199" i="2"/>
  <c r="S183" i="2"/>
  <c r="AY183" i="3" s="1"/>
  <c r="BB183" i="3" s="1"/>
  <c r="S175" i="2"/>
  <c r="AY470" i="3" s="1"/>
  <c r="BB470" i="3" s="1"/>
  <c r="S151" i="2"/>
  <c r="AY151" i="3" s="1"/>
  <c r="BB151" i="3" s="1"/>
  <c r="S143" i="2"/>
  <c r="AY143" i="3" s="1"/>
  <c r="BB143" i="3" s="1"/>
  <c r="S127" i="2"/>
  <c r="AY127" i="3" s="1"/>
  <c r="BB127" i="3" s="1"/>
  <c r="S119" i="2"/>
  <c r="AY119" i="3" s="1"/>
  <c r="BB119" i="3" s="1"/>
  <c r="S63" i="2"/>
  <c r="AY63" i="3" s="1"/>
  <c r="BB63" i="3" s="1"/>
  <c r="S55" i="2"/>
  <c r="AY55" i="3" s="1"/>
  <c r="BB55" i="3" s="1"/>
  <c r="S860" i="2"/>
  <c r="AY1155" i="3" s="1"/>
  <c r="BB1155" i="3" s="1"/>
  <c r="S852" i="2"/>
  <c r="AY1147" i="3" s="1"/>
  <c r="BB1147" i="3" s="1"/>
  <c r="S844" i="2"/>
  <c r="AY1139" i="3" s="1"/>
  <c r="BB1139" i="3" s="1"/>
  <c r="S836" i="2"/>
  <c r="AY1131" i="3" s="1"/>
  <c r="BB1131" i="3" s="1"/>
  <c r="S828" i="2"/>
  <c r="AY1123" i="3"/>
  <c r="BB1123" i="3" s="1"/>
  <c r="S820" i="2"/>
  <c r="AY1115" i="3" s="1"/>
  <c r="BB1115" i="3" s="1"/>
  <c r="S812" i="2"/>
  <c r="AY1107" i="3" s="1"/>
  <c r="BB1107" i="3" s="1"/>
  <c r="S804" i="2"/>
  <c r="AY1099" i="3" s="1"/>
  <c r="BB1099" i="3" s="1"/>
  <c r="S796" i="2"/>
  <c r="AY1091" i="3" s="1"/>
  <c r="BB1091" i="3" s="1"/>
  <c r="S788" i="2"/>
  <c r="AY1083" i="3" s="1"/>
  <c r="BB1083" i="3" s="1"/>
  <c r="S780" i="2"/>
  <c r="AY1075" i="3" s="1"/>
  <c r="BB1075" i="3" s="1"/>
  <c r="S772" i="2"/>
  <c r="AY1067" i="3" s="1"/>
  <c r="BB1067" i="3" s="1"/>
  <c r="S764" i="2"/>
  <c r="AY1059" i="3"/>
  <c r="BB1059" i="3" s="1"/>
  <c r="S756" i="2"/>
  <c r="AY1051" i="3" s="1"/>
  <c r="BB1051" i="3" s="1"/>
  <c r="S748" i="2"/>
  <c r="AY1043" i="3" s="1"/>
  <c r="BB1043" i="3" s="1"/>
  <c r="S740" i="2"/>
  <c r="AY1035" i="3" s="1"/>
  <c r="BB1035" i="3" s="1"/>
  <c r="S732" i="2"/>
  <c r="AY1027" i="3" s="1"/>
  <c r="BB1027" i="3" s="1"/>
  <c r="S724" i="2"/>
  <c r="AY1019" i="3" s="1"/>
  <c r="BB1019" i="3" s="1"/>
  <c r="S716" i="2"/>
  <c r="AY1011" i="3" s="1"/>
  <c r="BB1011" i="3" s="1"/>
  <c r="S708" i="2"/>
  <c r="AY1003" i="3" s="1"/>
  <c r="BB1003" i="3" s="1"/>
  <c r="S700" i="2"/>
  <c r="AY995" i="3"/>
  <c r="BB995" i="3" s="1"/>
  <c r="S692" i="2"/>
  <c r="AY987" i="3" s="1"/>
  <c r="BB987" i="3" s="1"/>
  <c r="S684" i="2"/>
  <c r="AY979" i="3" s="1"/>
  <c r="BB979" i="3" s="1"/>
  <c r="S676" i="2"/>
  <c r="AY971" i="3" s="1"/>
  <c r="BB971" i="3" s="1"/>
  <c r="S668" i="2"/>
  <c r="AY963" i="3" s="1"/>
  <c r="BB963" i="3" s="1"/>
  <c r="S660" i="2"/>
  <c r="AY955" i="3" s="1"/>
  <c r="BB955" i="3" s="1"/>
  <c r="S652" i="2"/>
  <c r="AY947" i="3" s="1"/>
  <c r="BB947" i="3" s="1"/>
  <c r="S644" i="2"/>
  <c r="AY939" i="3" s="1"/>
  <c r="BB939" i="3" s="1"/>
  <c r="S636" i="2"/>
  <c r="AY931" i="3"/>
  <c r="BB931" i="3" s="1"/>
  <c r="S628" i="2"/>
  <c r="AY923" i="3" s="1"/>
  <c r="BB923" i="3" s="1"/>
  <c r="S620" i="2"/>
  <c r="AY915" i="3" s="1"/>
  <c r="BB915" i="3" s="1"/>
  <c r="S612" i="2"/>
  <c r="AY907" i="3" s="1"/>
  <c r="BB907" i="3" s="1"/>
  <c r="S604" i="2"/>
  <c r="AY899" i="3" s="1"/>
  <c r="BB899" i="3" s="1"/>
  <c r="S596" i="2"/>
  <c r="AY891" i="3" s="1"/>
  <c r="BB891" i="3" s="1"/>
  <c r="S588" i="2"/>
  <c r="AY883" i="3" s="1"/>
  <c r="BB883" i="3" s="1"/>
  <c r="S580" i="2"/>
  <c r="AY875" i="3" s="1"/>
  <c r="BB875" i="3" s="1"/>
  <c r="S572" i="2"/>
  <c r="AY867" i="3"/>
  <c r="BB867" i="3" s="1"/>
  <c r="S564" i="2"/>
  <c r="AY859" i="3" s="1"/>
  <c r="BB859" i="3" s="1"/>
  <c r="S556" i="2"/>
  <c r="AY851" i="3" s="1"/>
  <c r="BB851" i="3" s="1"/>
  <c r="S548" i="2"/>
  <c r="AY843" i="3" s="1"/>
  <c r="BB843" i="3" s="1"/>
  <c r="S540" i="2"/>
  <c r="AY835" i="3" s="1"/>
  <c r="BB835" i="3" s="1"/>
  <c r="S532" i="2"/>
  <c r="AY827" i="3" s="1"/>
  <c r="BB827" i="3" s="1"/>
  <c r="S524" i="2"/>
  <c r="AY819" i="3" s="1"/>
  <c r="BB819" i="3" s="1"/>
  <c r="S516" i="2"/>
  <c r="AY811" i="3" s="1"/>
  <c r="BB811" i="3" s="1"/>
  <c r="S508" i="2"/>
  <c r="AY803" i="3"/>
  <c r="BB803" i="3" s="1"/>
  <c r="S500" i="2"/>
  <c r="AY795" i="3" s="1"/>
  <c r="BB795" i="3" s="1"/>
  <c r="S492" i="2"/>
  <c r="AY787" i="3" s="1"/>
  <c r="BB787" i="3" s="1"/>
  <c r="S484" i="2"/>
  <c r="AY779" i="3" s="1"/>
  <c r="BB779" i="3" s="1"/>
  <c r="S476" i="2"/>
  <c r="AY771" i="3" s="1"/>
  <c r="BB771" i="3" s="1"/>
  <c r="S468" i="2"/>
  <c r="AY763" i="3" s="1"/>
  <c r="BB763" i="3" s="1"/>
  <c r="S460" i="2"/>
  <c r="AY755" i="3" s="1"/>
  <c r="BB755" i="3" s="1"/>
  <c r="S452" i="2"/>
  <c r="AY747" i="3" s="1"/>
  <c r="BB747" i="3" s="1"/>
  <c r="S444" i="2"/>
  <c r="AY739" i="3"/>
  <c r="BB739" i="3" s="1"/>
  <c r="S436" i="2"/>
  <c r="AY731" i="3" s="1"/>
  <c r="BB731" i="3" s="1"/>
  <c r="S428" i="2"/>
  <c r="AY723" i="3" s="1"/>
  <c r="BB723" i="3" s="1"/>
  <c r="S420" i="2"/>
  <c r="AY715" i="3" s="1"/>
  <c r="BB715" i="3" s="1"/>
  <c r="S412" i="2"/>
  <c r="AY707" i="3" s="1"/>
  <c r="BB707" i="3" s="1"/>
  <c r="S404" i="2"/>
  <c r="AY699" i="3" s="1"/>
  <c r="BB699" i="3" s="1"/>
  <c r="S396" i="2"/>
  <c r="AY691" i="3" s="1"/>
  <c r="BB691" i="3" s="1"/>
  <c r="S388" i="2"/>
  <c r="AY683" i="3" s="1"/>
  <c r="BB683" i="3" s="1"/>
  <c r="S380" i="2"/>
  <c r="AY675" i="3"/>
  <c r="BB675" i="3" s="1"/>
  <c r="S372" i="2"/>
  <c r="AY667" i="3" s="1"/>
  <c r="BB667" i="3" s="1"/>
  <c r="S364" i="2"/>
  <c r="AY364" i="3" s="1"/>
  <c r="BB364" i="3" s="1"/>
  <c r="S356" i="2"/>
  <c r="AY356" i="3" s="1"/>
  <c r="BB356" i="3" s="1"/>
  <c r="S348" i="2"/>
  <c r="AY348" i="3" s="1"/>
  <c r="BB348" i="3" s="1"/>
  <c r="S340" i="2"/>
  <c r="AY340" i="3" s="1"/>
  <c r="BB340" i="3" s="1"/>
  <c r="S332" i="2"/>
  <c r="AY332" i="3" s="1"/>
  <c r="BB332" i="3" s="1"/>
  <c r="S324" i="2"/>
  <c r="AY324" i="3" s="1"/>
  <c r="BB324" i="3" s="1"/>
  <c r="S316" i="2"/>
  <c r="AY316" i="3" s="1"/>
  <c r="BB316" i="3" s="1"/>
  <c r="AY611" i="3"/>
  <c r="BB611" i="3" s="1"/>
  <c r="S308" i="2"/>
  <c r="AY308" i="3" s="1"/>
  <c r="BB308" i="3" s="1"/>
  <c r="S300" i="2"/>
  <c r="AY595" i="3" s="1"/>
  <c r="BB595" i="3" s="1"/>
  <c r="S292" i="2"/>
  <c r="AY292" i="3" s="1"/>
  <c r="BB292" i="3" s="1"/>
  <c r="S284" i="2"/>
  <c r="AY284" i="3" s="1"/>
  <c r="BB284" i="3" s="1"/>
  <c r="S276" i="2"/>
  <c r="AY276" i="3" s="1"/>
  <c r="BB276" i="3" s="1"/>
  <c r="S268" i="2"/>
  <c r="AY563" i="3" s="1"/>
  <c r="BB563" i="3" s="1"/>
  <c r="S260" i="2"/>
  <c r="AY260" i="3" s="1"/>
  <c r="BB260" i="3" s="1"/>
  <c r="S252" i="2"/>
  <c r="AY252" i="3" s="1"/>
  <c r="BB252" i="3" s="1"/>
  <c r="AY547" i="3"/>
  <c r="BB547" i="3" s="1"/>
  <c r="S228" i="2"/>
  <c r="AY228" i="3" s="1"/>
  <c r="BB228" i="3" s="1"/>
  <c r="S220" i="2"/>
  <c r="AY220" i="3" s="1"/>
  <c r="BB220" i="3" s="1"/>
  <c r="S204" i="2"/>
  <c r="AY204" i="3" s="1"/>
  <c r="BB204" i="3" s="1"/>
  <c r="S180" i="2"/>
  <c r="AY180" i="3" s="1"/>
  <c r="BB180" i="3" s="1"/>
  <c r="S172" i="2"/>
  <c r="AY172" i="3" s="1"/>
  <c r="BB172" i="3" s="1"/>
  <c r="S148" i="2"/>
  <c r="AY148" i="3" s="1"/>
  <c r="BB148" i="3" s="1"/>
  <c r="S140" i="2"/>
  <c r="AY140" i="3" s="1"/>
  <c r="BB140" i="3" s="1"/>
  <c r="S124" i="2"/>
  <c r="AY124" i="3" s="1"/>
  <c r="BB124" i="3" s="1"/>
  <c r="AY419" i="3"/>
  <c r="BB419" i="3" s="1"/>
  <c r="S100" i="2"/>
  <c r="AY100" i="3" s="1"/>
  <c r="BB100" i="3" s="1"/>
  <c r="S92" i="2"/>
  <c r="AY387" i="3" s="1"/>
  <c r="BB387" i="3" s="1"/>
  <c r="S76" i="2"/>
  <c r="AY76" i="3" s="1"/>
  <c r="BB76" i="3" s="1"/>
  <c r="S60" i="2"/>
  <c r="AY60" i="3" s="1"/>
  <c r="BB60" i="3" s="1"/>
  <c r="S44" i="2"/>
  <c r="AY44" i="3" s="1"/>
  <c r="BB44" i="3" s="1"/>
  <c r="S16" i="2"/>
  <c r="AY16" i="3" s="1"/>
  <c r="BB16" i="3" s="1"/>
  <c r="S12" i="2"/>
  <c r="AY13" i="3" s="1"/>
  <c r="BB13" i="3" s="1"/>
  <c r="S4" i="2"/>
  <c r="AY4" i="3" s="1"/>
  <c r="BB4" i="3" s="1"/>
  <c r="S861" i="2"/>
  <c r="AY1156" i="3" s="1"/>
  <c r="BB1156" i="3" s="1"/>
  <c r="S853" i="2"/>
  <c r="AY1148" i="3" s="1"/>
  <c r="BB1148" i="3" s="1"/>
  <c r="S845" i="2"/>
  <c r="AY1140" i="3" s="1"/>
  <c r="BB1140" i="3" s="1"/>
  <c r="S837" i="2"/>
  <c r="AY1132" i="3" s="1"/>
  <c r="BB1132" i="3" s="1"/>
  <c r="S825" i="2"/>
  <c r="AY1120" i="3" s="1"/>
  <c r="BB1120" i="3" s="1"/>
  <c r="S817" i="2"/>
  <c r="AY1112" i="3" s="1"/>
  <c r="BB1112" i="3" s="1"/>
  <c r="S809" i="2"/>
  <c r="AY1104" i="3" s="1"/>
  <c r="BB1104" i="3" s="1"/>
  <c r="S801" i="2"/>
  <c r="AY1096" i="3" s="1"/>
  <c r="BB1096" i="3" s="1"/>
  <c r="S793" i="2"/>
  <c r="AY1088" i="3" s="1"/>
  <c r="BB1088" i="3" s="1"/>
  <c r="S785" i="2"/>
  <c r="AY1080" i="3" s="1"/>
  <c r="BB1080" i="3" s="1"/>
  <c r="S773" i="2"/>
  <c r="AY1068" i="3" s="1"/>
  <c r="BB1068" i="3" s="1"/>
  <c r="S765" i="2"/>
  <c r="AY1060" i="3" s="1"/>
  <c r="BB1060" i="3" s="1"/>
  <c r="S757" i="2"/>
  <c r="AY1052" i="3" s="1"/>
  <c r="BB1052" i="3" s="1"/>
  <c r="S749" i="2"/>
  <c r="AY1044" i="3" s="1"/>
  <c r="BB1044" i="3" s="1"/>
  <c r="S741" i="2"/>
  <c r="AY1036" i="3" s="1"/>
  <c r="BB1036" i="3" s="1"/>
  <c r="S733" i="2"/>
  <c r="AY1028" i="3" s="1"/>
  <c r="BB1028" i="3" s="1"/>
  <c r="S725" i="2"/>
  <c r="AY1020" i="3" s="1"/>
  <c r="BB1020" i="3" s="1"/>
  <c r="S713" i="2"/>
  <c r="AY1008" i="3" s="1"/>
  <c r="BB1008" i="3" s="1"/>
  <c r="S705" i="2"/>
  <c r="AY1000" i="3" s="1"/>
  <c r="BB1000" i="3" s="1"/>
  <c r="S701" i="2"/>
  <c r="AY996" i="3" s="1"/>
  <c r="BB996" i="3" s="1"/>
  <c r="S693" i="2"/>
  <c r="AY988" i="3" s="1"/>
  <c r="BB988" i="3" s="1"/>
  <c r="S689" i="2"/>
  <c r="AY984" i="3" s="1"/>
  <c r="BB984" i="3" s="1"/>
  <c r="S681" i="2"/>
  <c r="AY976" i="3" s="1"/>
  <c r="BB976" i="3" s="1"/>
  <c r="S677" i="2"/>
  <c r="AY972" i="3" s="1"/>
  <c r="BB972" i="3" s="1"/>
  <c r="S673" i="2"/>
  <c r="AY968" i="3" s="1"/>
  <c r="BB968" i="3" s="1"/>
  <c r="S669" i="2"/>
  <c r="AY964" i="3" s="1"/>
  <c r="BB964" i="3" s="1"/>
  <c r="S665" i="2"/>
  <c r="AY960" i="3" s="1"/>
  <c r="BB960" i="3" s="1"/>
  <c r="S661" i="2"/>
  <c r="AY956" i="3" s="1"/>
  <c r="BB956" i="3" s="1"/>
  <c r="S657" i="2"/>
  <c r="AY952" i="3" s="1"/>
  <c r="BB952" i="3" s="1"/>
  <c r="S653" i="2"/>
  <c r="AY948" i="3" s="1"/>
  <c r="BB948" i="3" s="1"/>
  <c r="S649" i="2"/>
  <c r="AY944" i="3" s="1"/>
  <c r="BB944" i="3" s="1"/>
  <c r="S645" i="2"/>
  <c r="AY940" i="3" s="1"/>
  <c r="BB940" i="3" s="1"/>
  <c r="S641" i="2"/>
  <c r="AY936" i="3" s="1"/>
  <c r="BB936" i="3" s="1"/>
  <c r="S637" i="2"/>
  <c r="AY932" i="3" s="1"/>
  <c r="BB932" i="3" s="1"/>
  <c r="S633" i="2"/>
  <c r="AY928" i="3" s="1"/>
  <c r="BB928" i="3" s="1"/>
  <c r="S629" i="2"/>
  <c r="AY924" i="3" s="1"/>
  <c r="BB924" i="3" s="1"/>
  <c r="S625" i="2"/>
  <c r="AY920" i="3" s="1"/>
  <c r="BB920" i="3" s="1"/>
  <c r="S621" i="2"/>
  <c r="AY916" i="3" s="1"/>
  <c r="BB916" i="3" s="1"/>
  <c r="S617" i="2"/>
  <c r="AY912" i="3" s="1"/>
  <c r="BB912" i="3" s="1"/>
  <c r="S613" i="2"/>
  <c r="AY908" i="3" s="1"/>
  <c r="BB908" i="3" s="1"/>
  <c r="S609" i="2"/>
  <c r="AY904" i="3" s="1"/>
  <c r="BB904" i="3" s="1"/>
  <c r="S605" i="2"/>
  <c r="AY900" i="3" s="1"/>
  <c r="BB900" i="3" s="1"/>
  <c r="S601" i="2"/>
  <c r="AY896" i="3" s="1"/>
  <c r="BB896" i="3" s="1"/>
  <c r="S597" i="2"/>
  <c r="AY892" i="3" s="1"/>
  <c r="BB892" i="3" s="1"/>
  <c r="S593" i="2"/>
  <c r="AY888" i="3" s="1"/>
  <c r="BB888" i="3" s="1"/>
  <c r="S589" i="2"/>
  <c r="AY884" i="3" s="1"/>
  <c r="BB884" i="3" s="1"/>
  <c r="S585" i="2"/>
  <c r="AY880" i="3" s="1"/>
  <c r="BB880" i="3" s="1"/>
  <c r="S581" i="2"/>
  <c r="AY876" i="3" s="1"/>
  <c r="BB876" i="3" s="1"/>
  <c r="S577" i="2"/>
  <c r="AY872" i="3" s="1"/>
  <c r="BB872" i="3" s="1"/>
  <c r="S569" i="2"/>
  <c r="AY864" i="3" s="1"/>
  <c r="BB864" i="3" s="1"/>
  <c r="S565" i="2"/>
  <c r="AY860" i="3" s="1"/>
  <c r="BB860" i="3" s="1"/>
  <c r="S561" i="2"/>
  <c r="AY856" i="3" s="1"/>
  <c r="BB856" i="3" s="1"/>
  <c r="S557" i="2"/>
  <c r="AY852" i="3" s="1"/>
  <c r="BB852" i="3" s="1"/>
  <c r="S553" i="2"/>
  <c r="AY848" i="3" s="1"/>
  <c r="BB848" i="3" s="1"/>
  <c r="S549" i="2"/>
  <c r="AY844" i="3" s="1"/>
  <c r="BB844" i="3" s="1"/>
  <c r="S545" i="2"/>
  <c r="AY840" i="3" s="1"/>
  <c r="BB840" i="3" s="1"/>
  <c r="S541" i="2"/>
  <c r="AY836" i="3" s="1"/>
  <c r="BB836" i="3" s="1"/>
  <c r="S537" i="2"/>
  <c r="AY832" i="3" s="1"/>
  <c r="BB832" i="3" s="1"/>
  <c r="S533" i="2"/>
  <c r="AY828" i="3" s="1"/>
  <c r="BB828" i="3" s="1"/>
  <c r="S529" i="2"/>
  <c r="AY824" i="3" s="1"/>
  <c r="BB824" i="3" s="1"/>
  <c r="S525" i="2"/>
  <c r="AY820" i="3" s="1"/>
  <c r="BB820" i="3" s="1"/>
  <c r="S521" i="2"/>
  <c r="AY816" i="3" s="1"/>
  <c r="BB816" i="3" s="1"/>
  <c r="S517" i="2"/>
  <c r="AY812" i="3" s="1"/>
  <c r="BB812" i="3" s="1"/>
  <c r="S513" i="2"/>
  <c r="AY808" i="3" s="1"/>
  <c r="BB808" i="3" s="1"/>
  <c r="S509" i="2"/>
  <c r="AY804" i="3" s="1"/>
  <c r="BB804" i="3" s="1"/>
  <c r="S505" i="2"/>
  <c r="AY800" i="3" s="1"/>
  <c r="BB800" i="3" s="1"/>
  <c r="S501" i="2"/>
  <c r="AY796" i="3" s="1"/>
  <c r="BB796" i="3" s="1"/>
  <c r="S497" i="2"/>
  <c r="AY792" i="3" s="1"/>
  <c r="BB792" i="3" s="1"/>
  <c r="S493" i="2"/>
  <c r="AY788" i="3" s="1"/>
  <c r="BB788" i="3" s="1"/>
  <c r="S489" i="2"/>
  <c r="AY784" i="3" s="1"/>
  <c r="BB784" i="3" s="1"/>
  <c r="S485" i="2"/>
  <c r="AY780" i="3" s="1"/>
  <c r="BB780" i="3" s="1"/>
  <c r="S481" i="2"/>
  <c r="AY776" i="3" s="1"/>
  <c r="BB776" i="3" s="1"/>
  <c r="S477" i="2"/>
  <c r="AY772" i="3" s="1"/>
  <c r="BB772" i="3" s="1"/>
  <c r="S473" i="2"/>
  <c r="AY768" i="3" s="1"/>
  <c r="BB768" i="3" s="1"/>
  <c r="S469" i="2"/>
  <c r="AY764" i="3" s="1"/>
  <c r="BB764" i="3" s="1"/>
  <c r="S465" i="2"/>
  <c r="AY760" i="3" s="1"/>
  <c r="BB760" i="3" s="1"/>
  <c r="S461" i="2"/>
  <c r="AY756" i="3" s="1"/>
  <c r="BB756" i="3" s="1"/>
  <c r="S457" i="2"/>
  <c r="AY752" i="3" s="1"/>
  <c r="BB752" i="3" s="1"/>
  <c r="S453" i="2"/>
  <c r="AY748" i="3" s="1"/>
  <c r="BB748" i="3" s="1"/>
  <c r="S449" i="2"/>
  <c r="AY744" i="3" s="1"/>
  <c r="BB744" i="3" s="1"/>
  <c r="S445" i="2"/>
  <c r="AY740" i="3" s="1"/>
  <c r="BB740" i="3" s="1"/>
  <c r="S441" i="2"/>
  <c r="AY736" i="3" s="1"/>
  <c r="BB736" i="3" s="1"/>
  <c r="S437" i="2"/>
  <c r="AY732" i="3" s="1"/>
  <c r="BB732" i="3" s="1"/>
  <c r="S433" i="2"/>
  <c r="AY728" i="3" s="1"/>
  <c r="BB728" i="3" s="1"/>
  <c r="S429" i="2"/>
  <c r="AY724" i="3" s="1"/>
  <c r="BB724" i="3" s="1"/>
  <c r="S425" i="2"/>
  <c r="AY720" i="3" s="1"/>
  <c r="BB720" i="3" s="1"/>
  <c r="S421" i="2"/>
  <c r="AY716" i="3" s="1"/>
  <c r="BB716" i="3" s="1"/>
  <c r="S417" i="2"/>
  <c r="AY712" i="3" s="1"/>
  <c r="BB712" i="3" s="1"/>
  <c r="S413" i="2"/>
  <c r="AY708" i="3" s="1"/>
  <c r="BB708" i="3" s="1"/>
  <c r="S409" i="2"/>
  <c r="AY704" i="3" s="1"/>
  <c r="BB704" i="3" s="1"/>
  <c r="S405" i="2"/>
  <c r="AY700" i="3" s="1"/>
  <c r="BB700" i="3" s="1"/>
  <c r="S401" i="2"/>
  <c r="AY696" i="3" s="1"/>
  <c r="BB696" i="3" s="1"/>
  <c r="S397" i="2"/>
  <c r="AY692" i="3" s="1"/>
  <c r="BB692" i="3" s="1"/>
  <c r="S393" i="2"/>
  <c r="AY688" i="3" s="1"/>
  <c r="BB688" i="3" s="1"/>
  <c r="S389" i="2"/>
  <c r="AY684" i="3" s="1"/>
  <c r="BB684" i="3" s="1"/>
  <c r="S385" i="2"/>
  <c r="AY680" i="3" s="1"/>
  <c r="BB680" i="3" s="1"/>
  <c r="S381" i="2"/>
  <c r="AY676" i="3" s="1"/>
  <c r="BB676" i="3" s="1"/>
  <c r="S377" i="2"/>
  <c r="AY672" i="3" s="1"/>
  <c r="BB672" i="3" s="1"/>
  <c r="S373" i="2"/>
  <c r="AY668" i="3" s="1"/>
  <c r="BB668" i="3" s="1"/>
  <c r="S369" i="2"/>
  <c r="AY664" i="3" s="1"/>
  <c r="BB664" i="3" s="1"/>
  <c r="S365" i="2"/>
  <c r="S361" i="2"/>
  <c r="AY656" i="3" s="1"/>
  <c r="BB656" i="3" s="1"/>
  <c r="S357" i="2"/>
  <c r="S353" i="2"/>
  <c r="S349" i="2"/>
  <c r="S345" i="2"/>
  <c r="AY640" i="3" s="1"/>
  <c r="BB640" i="3" s="1"/>
  <c r="S341" i="2"/>
  <c r="S337" i="2"/>
  <c r="S333" i="2"/>
  <c r="S329" i="2"/>
  <c r="AY624" i="3" s="1"/>
  <c r="BB624" i="3" s="1"/>
  <c r="S325" i="2"/>
  <c r="S321" i="2"/>
  <c r="S317" i="2"/>
  <c r="S313" i="2"/>
  <c r="AY608" i="3" s="1"/>
  <c r="BB608" i="3" s="1"/>
  <c r="S309" i="2"/>
  <c r="S305" i="2"/>
  <c r="S301" i="2"/>
  <c r="S297" i="2"/>
  <c r="S293" i="2"/>
  <c r="S289" i="2"/>
  <c r="S285" i="2"/>
  <c r="S281" i="2"/>
  <c r="AY576" i="3" s="1"/>
  <c r="BB576" i="3" s="1"/>
  <c r="S277" i="2"/>
  <c r="S273" i="2"/>
  <c r="S269" i="2"/>
  <c r="S265" i="2"/>
  <c r="AY560" i="3" s="1"/>
  <c r="BB560" i="3" s="1"/>
  <c r="S261" i="2"/>
  <c r="S257" i="2"/>
  <c r="S253" i="2"/>
  <c r="S249" i="2"/>
  <c r="S245" i="2"/>
  <c r="S241" i="2"/>
  <c r="S237" i="2"/>
  <c r="S233" i="2"/>
  <c r="AY528" i="3" s="1"/>
  <c r="BB528" i="3" s="1"/>
  <c r="S229" i="2"/>
  <c r="S225" i="2"/>
  <c r="S221" i="2"/>
  <c r="S217" i="2"/>
  <c r="AY512" i="3" s="1"/>
  <c r="BB512" i="3" s="1"/>
  <c r="S213" i="2"/>
  <c r="S527" i="2"/>
  <c r="AY822" i="3" s="1"/>
  <c r="BB822" i="3" s="1"/>
  <c r="S443" i="2"/>
  <c r="AY738" i="3" s="1"/>
  <c r="BB738" i="3" s="1"/>
  <c r="S275" i="2"/>
  <c r="S163" i="2"/>
  <c r="AY458" i="3" s="1"/>
  <c r="BB458" i="3" s="1"/>
  <c r="S47" i="2"/>
  <c r="AY47" i="3" s="1"/>
  <c r="BB47" i="3" s="1"/>
  <c r="S531" i="2"/>
  <c r="AY826" i="3" s="1"/>
  <c r="BB826" i="3" s="1"/>
  <c r="AY810" i="3"/>
  <c r="BB810" i="3" s="1"/>
  <c r="AY794" i="3"/>
  <c r="BB794" i="3" s="1"/>
  <c r="AY778" i="3"/>
  <c r="BB778" i="3" s="1"/>
  <c r="AY762" i="3"/>
  <c r="BB762" i="3" s="1"/>
  <c r="AY746" i="3"/>
  <c r="BB746" i="3" s="1"/>
  <c r="AY730" i="3"/>
  <c r="BB730" i="3" s="1"/>
  <c r="AY714" i="3"/>
  <c r="BB714" i="3" s="1"/>
  <c r="AY698" i="3"/>
  <c r="BB698" i="3" s="1"/>
  <c r="AY682" i="3"/>
  <c r="BB682" i="3" s="1"/>
  <c r="AY666" i="3"/>
  <c r="BB666" i="3" s="1"/>
  <c r="S507" i="2"/>
  <c r="AY802" i="3" s="1"/>
  <c r="BB802" i="3" s="1"/>
  <c r="S463" i="2"/>
  <c r="AY758" i="3" s="1"/>
  <c r="BB758" i="3" s="1"/>
  <c r="S359" i="2"/>
  <c r="S303" i="2"/>
  <c r="AY598" i="3" s="1"/>
  <c r="BB598" i="3" s="1"/>
  <c r="S243" i="2"/>
  <c r="S187" i="2"/>
  <c r="S131" i="2"/>
  <c r="AY131" i="3" s="1"/>
  <c r="BB131" i="3" s="1"/>
  <c r="S67" i="2"/>
  <c r="AY67" i="3" s="1"/>
  <c r="BB67" i="3" s="1"/>
  <c r="AY1151" i="3"/>
  <c r="BB1151" i="3" s="1"/>
  <c r="AY1135" i="3"/>
  <c r="BB1135" i="3" s="1"/>
  <c r="AY1119" i="3"/>
  <c r="BB1119" i="3" s="1"/>
  <c r="AY1103" i="3"/>
  <c r="BB1103" i="3" s="1"/>
  <c r="AY1087" i="3"/>
  <c r="BB1087" i="3" s="1"/>
  <c r="AY1071" i="3"/>
  <c r="BB1071" i="3" s="1"/>
  <c r="AY1055" i="3"/>
  <c r="BB1055" i="3" s="1"/>
  <c r="AY1039" i="3"/>
  <c r="BB1039" i="3" s="1"/>
  <c r="AY1023" i="3"/>
  <c r="BB1023" i="3" s="1"/>
  <c r="AY1007" i="3"/>
  <c r="BB1007" i="3" s="1"/>
  <c r="AY991" i="3"/>
  <c r="BB991" i="3" s="1"/>
  <c r="AY975" i="3"/>
  <c r="BB975" i="3" s="1"/>
  <c r="AY959" i="3"/>
  <c r="BB959" i="3" s="1"/>
  <c r="AY943" i="3"/>
  <c r="BB943" i="3" s="1"/>
  <c r="AY927" i="3"/>
  <c r="BB927" i="3" s="1"/>
  <c r="AY911" i="3"/>
  <c r="BB911" i="3" s="1"/>
  <c r="AY895" i="3"/>
  <c r="BB895" i="3" s="1"/>
  <c r="AY879" i="3"/>
  <c r="BB879" i="3" s="1"/>
  <c r="AY863" i="3"/>
  <c r="BB863" i="3" s="1"/>
  <c r="AY847" i="3"/>
  <c r="BB847" i="3" s="1"/>
  <c r="AY831" i="3"/>
  <c r="BB831" i="3" s="1"/>
  <c r="AY815" i="3"/>
  <c r="BB815" i="3" s="1"/>
  <c r="AY799" i="3"/>
  <c r="BB799" i="3" s="1"/>
  <c r="AY783" i="3"/>
  <c r="BB783" i="3" s="1"/>
  <c r="AY767" i="3"/>
  <c r="BB767" i="3" s="1"/>
  <c r="AY751" i="3"/>
  <c r="BB751" i="3" s="1"/>
  <c r="AY735" i="3"/>
  <c r="BB735" i="3" s="1"/>
  <c r="AY719" i="3"/>
  <c r="BB719" i="3" s="1"/>
  <c r="AY703" i="3"/>
  <c r="BB703" i="3" s="1"/>
  <c r="AY687" i="3"/>
  <c r="BB687" i="3" s="1"/>
  <c r="AY671" i="3"/>
  <c r="BB671" i="3" s="1"/>
  <c r="AY655" i="3"/>
  <c r="BB655" i="3" s="1"/>
  <c r="AY639" i="3"/>
  <c r="BB639" i="3" s="1"/>
  <c r="AY623" i="3"/>
  <c r="BB623" i="3" s="1"/>
  <c r="AY607" i="3"/>
  <c r="BB607" i="3" s="1"/>
  <c r="AY591" i="3"/>
  <c r="BB591" i="3" s="1"/>
  <c r="AY575" i="3"/>
  <c r="BB575" i="3" s="1"/>
  <c r="AY559" i="3"/>
  <c r="BB559" i="3" s="1"/>
  <c r="AY543" i="3"/>
  <c r="BB543" i="3" s="1"/>
  <c r="AY527" i="3"/>
  <c r="BB527" i="3" s="1"/>
  <c r="AY511" i="3"/>
  <c r="BB511" i="3" s="1"/>
  <c r="AY495" i="3"/>
  <c r="BB495" i="3" s="1"/>
  <c r="AY431" i="3"/>
  <c r="BB431" i="3" s="1"/>
  <c r="S519" i="2"/>
  <c r="AY814" i="3" s="1"/>
  <c r="BB814" i="3" s="1"/>
  <c r="S503" i="2"/>
  <c r="AY798" i="3" s="1"/>
  <c r="BB798" i="3" s="1"/>
  <c r="S495" i="2"/>
  <c r="AY790" i="3" s="1"/>
  <c r="BB790" i="3" s="1"/>
  <c r="S479" i="2"/>
  <c r="AY774" i="3" s="1"/>
  <c r="BB774" i="3" s="1"/>
  <c r="S471" i="2"/>
  <c r="AY766" i="3" s="1"/>
  <c r="BB766" i="3" s="1"/>
  <c r="AY710" i="3"/>
  <c r="BB710" i="3" s="1"/>
  <c r="S415" i="2"/>
  <c r="AY646" i="3"/>
  <c r="BB646" i="3" s="1"/>
  <c r="S351" i="2"/>
  <c r="AY351" i="3" s="1"/>
  <c r="BB351" i="3" s="1"/>
  <c r="S343" i="2"/>
  <c r="S327" i="2"/>
  <c r="AY590" i="3"/>
  <c r="BB590" i="3" s="1"/>
  <c r="S295" i="2"/>
  <c r="AY295" i="3" s="1"/>
  <c r="BB295" i="3" s="1"/>
  <c r="S271" i="2"/>
  <c r="S263" i="2"/>
  <c r="AY263" i="3" s="1"/>
  <c r="BB263" i="3" s="1"/>
  <c r="S255" i="2"/>
  <c r="S247" i="2"/>
  <c r="S159" i="2"/>
  <c r="AY159" i="3" s="1"/>
  <c r="BB159" i="3" s="1"/>
  <c r="S95" i="2"/>
  <c r="S87" i="2"/>
  <c r="S71" i="2"/>
  <c r="AY71" i="3" s="1"/>
  <c r="BB71" i="3" s="1"/>
  <c r="S39" i="2"/>
  <c r="AY39" i="3" s="1"/>
  <c r="BB39" i="3" s="1"/>
  <c r="S244" i="2"/>
  <c r="S236" i="2"/>
  <c r="S212" i="2"/>
  <c r="AY212" i="3" s="1"/>
  <c r="BB212" i="3" s="1"/>
  <c r="S196" i="2"/>
  <c r="S188" i="2"/>
  <c r="S164" i="2"/>
  <c r="S156" i="2"/>
  <c r="AY156" i="3" s="1"/>
  <c r="BB156" i="3" s="1"/>
  <c r="S132" i="2"/>
  <c r="S116" i="2"/>
  <c r="AY116" i="3" s="1"/>
  <c r="BB116" i="3" s="1"/>
  <c r="S108" i="2"/>
  <c r="S84" i="2"/>
  <c r="AY84" i="3" s="1"/>
  <c r="BB84" i="3" s="1"/>
  <c r="AY379" i="3"/>
  <c r="BB379" i="3" s="1"/>
  <c r="S68" i="2"/>
  <c r="AY68" i="3" s="1"/>
  <c r="BB68" i="3" s="1"/>
  <c r="S52" i="2"/>
  <c r="AY52" i="3" s="1"/>
  <c r="BB52" i="3" s="1"/>
  <c r="S36" i="2"/>
  <c r="AY36" i="3" s="1"/>
  <c r="BB36" i="3" s="1"/>
  <c r="S28" i="2"/>
  <c r="AY28" i="3" s="1"/>
  <c r="BB28" i="3" s="1"/>
  <c r="S24" i="2"/>
  <c r="AY24" i="3" s="1"/>
  <c r="BB24" i="3" s="1"/>
  <c r="S8" i="2"/>
  <c r="AY8" i="3" s="1"/>
  <c r="BB8" i="3" s="1"/>
  <c r="S865" i="2"/>
  <c r="AY1160" i="3" s="1"/>
  <c r="BB1160" i="3" s="1"/>
  <c r="S857" i="2"/>
  <c r="AY1152" i="3" s="1"/>
  <c r="BB1152" i="3" s="1"/>
  <c r="S849" i="2"/>
  <c r="AY1144" i="3" s="1"/>
  <c r="BB1144" i="3" s="1"/>
  <c r="S841" i="2"/>
  <c r="AY1136" i="3" s="1"/>
  <c r="BB1136" i="3" s="1"/>
  <c r="S833" i="2"/>
  <c r="AY1128" i="3" s="1"/>
  <c r="BB1128" i="3" s="1"/>
  <c r="S829" i="2"/>
  <c r="AY1124" i="3"/>
  <c r="BB1124" i="3" s="1"/>
  <c r="S821" i="2"/>
  <c r="AY1116" i="3" s="1"/>
  <c r="BB1116" i="3" s="1"/>
  <c r="S813" i="2"/>
  <c r="AY1108" i="3" s="1"/>
  <c r="BB1108" i="3" s="1"/>
  <c r="S805" i="2"/>
  <c r="AY1100" i="3" s="1"/>
  <c r="BB1100" i="3" s="1"/>
  <c r="S797" i="2"/>
  <c r="AY1092" i="3" s="1"/>
  <c r="BB1092" i="3" s="1"/>
  <c r="S789" i="2"/>
  <c r="AY1084" i="3" s="1"/>
  <c r="BB1084" i="3" s="1"/>
  <c r="S781" i="2"/>
  <c r="AY1076" i="3" s="1"/>
  <c r="BB1076" i="3" s="1"/>
  <c r="S777" i="2"/>
  <c r="AY1072" i="3" s="1"/>
  <c r="BB1072" i="3" s="1"/>
  <c r="S769" i="2"/>
  <c r="AY1064" i="3"/>
  <c r="BB1064" i="3" s="1"/>
  <c r="S761" i="2"/>
  <c r="AY1056" i="3" s="1"/>
  <c r="BB1056" i="3" s="1"/>
  <c r="S753" i="2"/>
  <c r="AY1048" i="3" s="1"/>
  <c r="BB1048" i="3" s="1"/>
  <c r="S745" i="2"/>
  <c r="AY1040" i="3" s="1"/>
  <c r="BB1040" i="3" s="1"/>
  <c r="S737" i="2"/>
  <c r="AY1032" i="3" s="1"/>
  <c r="BB1032" i="3" s="1"/>
  <c r="S729" i="2"/>
  <c r="AY1024" i="3" s="1"/>
  <c r="BB1024" i="3" s="1"/>
  <c r="S721" i="2"/>
  <c r="AY1016" i="3" s="1"/>
  <c r="BB1016" i="3" s="1"/>
  <c r="S717" i="2"/>
  <c r="AY1012" i="3" s="1"/>
  <c r="BB1012" i="3" s="1"/>
  <c r="S709" i="2"/>
  <c r="AY1004" i="3"/>
  <c r="BB1004" i="3" s="1"/>
  <c r="S697" i="2"/>
  <c r="AY992" i="3" s="1"/>
  <c r="BB992" i="3" s="1"/>
  <c r="S685" i="2"/>
  <c r="AY980" i="3" s="1"/>
  <c r="BB980" i="3" s="1"/>
  <c r="S573" i="2"/>
  <c r="AY868" i="3" s="1"/>
  <c r="BB868" i="3" s="1"/>
  <c r="S219" i="2"/>
  <c r="S103" i="2"/>
  <c r="AY398" i="3" s="1"/>
  <c r="BB398" i="3" s="1"/>
  <c r="S487" i="2"/>
  <c r="AY782" i="3" s="1"/>
  <c r="BB782" i="3" s="1"/>
  <c r="S447" i="2"/>
  <c r="AY742" i="3" s="1"/>
  <c r="BB742" i="3" s="1"/>
  <c r="S391" i="2"/>
  <c r="AY686" i="3" s="1"/>
  <c r="BB686" i="3" s="1"/>
  <c r="S335" i="2"/>
  <c r="S287" i="2"/>
  <c r="S223" i="2"/>
  <c r="AY223" i="3" s="1"/>
  <c r="BB223" i="3" s="1"/>
  <c r="S167" i="2"/>
  <c r="S111" i="2"/>
  <c r="AY406" i="3" s="1"/>
  <c r="BB406" i="3" s="1"/>
  <c r="S51" i="2"/>
  <c r="AY51" i="3" s="1"/>
  <c r="BB51" i="3" s="1"/>
  <c r="AY650" i="3"/>
  <c r="BB650" i="3" s="1"/>
  <c r="AY586" i="3"/>
  <c r="BB586" i="3" s="1"/>
  <c r="AY522" i="3"/>
  <c r="BB522" i="3" s="1"/>
  <c r="AY490" i="3"/>
  <c r="BB490" i="3" s="1"/>
  <c r="AY410" i="3"/>
  <c r="BB410" i="3" s="1"/>
  <c r="S511" i="2"/>
  <c r="AY806" i="3" s="1"/>
  <c r="BB806" i="3" s="1"/>
  <c r="S423" i="2"/>
  <c r="AY718" i="3" s="1"/>
  <c r="BB718" i="3" s="1"/>
  <c r="S367" i="2"/>
  <c r="S251" i="2"/>
  <c r="AY546" i="3" s="1"/>
  <c r="BB546" i="3" s="1"/>
  <c r="S191" i="2"/>
  <c r="AY373" i="3" s="1"/>
  <c r="BB373" i="3" s="1"/>
  <c r="S135" i="2"/>
  <c r="S79" i="2"/>
  <c r="AY79" i="3" s="1"/>
  <c r="BB79" i="3" s="1"/>
  <c r="S31" i="2"/>
  <c r="AY31" i="3" s="1"/>
  <c r="BB31" i="3" s="1"/>
  <c r="AY834" i="3"/>
  <c r="BB834" i="3" s="1"/>
  <c r="AY818" i="3"/>
  <c r="BB818" i="3" s="1"/>
  <c r="AY786" i="3"/>
  <c r="BB786" i="3" s="1"/>
  <c r="AY770" i="3"/>
  <c r="BB770" i="3" s="1"/>
  <c r="AY754" i="3"/>
  <c r="BB754" i="3" s="1"/>
  <c r="AY722" i="3"/>
  <c r="BB722" i="3" s="1"/>
  <c r="AY706" i="3"/>
  <c r="BB706" i="3" s="1"/>
  <c r="AY690" i="3"/>
  <c r="BB690" i="3" s="1"/>
  <c r="AY674" i="3"/>
  <c r="BB674" i="3" s="1"/>
  <c r="AY658" i="3"/>
  <c r="BB658" i="3" s="1"/>
  <c r="AY626" i="3"/>
  <c r="BB626" i="3" s="1"/>
  <c r="AY610" i="3"/>
  <c r="BB610" i="3" s="1"/>
  <c r="AY578" i="3"/>
  <c r="BB578" i="3" s="1"/>
  <c r="AY530" i="3"/>
  <c r="BB530" i="3" s="1"/>
  <c r="AY434" i="3"/>
  <c r="BB434" i="3" s="1"/>
  <c r="AY418" i="3"/>
  <c r="BB418" i="3" s="1"/>
  <c r="AY386" i="3"/>
  <c r="BB386" i="3" s="1"/>
  <c r="S209" i="2"/>
  <c r="AY209" i="3" s="1"/>
  <c r="BB209" i="3" s="1"/>
  <c r="S205" i="2"/>
  <c r="AY205" i="3" s="1"/>
  <c r="BB205" i="3" s="1"/>
  <c r="S201" i="2"/>
  <c r="AY201" i="3" s="1"/>
  <c r="BB201" i="3" s="1"/>
  <c r="S197" i="2"/>
  <c r="AY197" i="3" s="1"/>
  <c r="BB197" i="3" s="1"/>
  <c r="S193" i="2"/>
  <c r="AY193" i="3" s="1"/>
  <c r="BB193" i="3" s="1"/>
  <c r="S189" i="2"/>
  <c r="AY189" i="3" s="1"/>
  <c r="BB189" i="3" s="1"/>
  <c r="AY484" i="3"/>
  <c r="BB484" i="3" s="1"/>
  <c r="S185" i="2"/>
  <c r="AY185" i="3" s="1"/>
  <c r="BB185" i="3" s="1"/>
  <c r="S181" i="2"/>
  <c r="S177" i="2"/>
  <c r="AY472" i="3" s="1"/>
  <c r="BB472" i="3" s="1"/>
  <c r="S173" i="2"/>
  <c r="AY173" i="3" s="1"/>
  <c r="BB173" i="3" s="1"/>
  <c r="S169" i="2"/>
  <c r="AY169" i="3" s="1"/>
  <c r="BB169" i="3" s="1"/>
  <c r="S165" i="2"/>
  <c r="AY165" i="3" s="1"/>
  <c r="BB165" i="3" s="1"/>
  <c r="S161" i="2"/>
  <c r="S157" i="2"/>
  <c r="AY157" i="3" s="1"/>
  <c r="BB157" i="3" s="1"/>
  <c r="AY452" i="3"/>
  <c r="BB452" i="3" s="1"/>
  <c r="S153" i="2"/>
  <c r="AY153" i="3" s="1"/>
  <c r="BB153" i="3" s="1"/>
  <c r="S149" i="2"/>
  <c r="S145" i="2"/>
  <c r="AY145" i="3" s="1"/>
  <c r="BB145" i="3" s="1"/>
  <c r="S141" i="2"/>
  <c r="AY141" i="3" s="1"/>
  <c r="BB141" i="3" s="1"/>
  <c r="S137" i="2"/>
  <c r="AY137" i="3" s="1"/>
  <c r="BB137" i="3" s="1"/>
  <c r="S133" i="2"/>
  <c r="AY133" i="3" s="1"/>
  <c r="BB133" i="3" s="1"/>
  <c r="S129" i="2"/>
  <c r="AY129" i="3" s="1"/>
  <c r="BB129" i="3" s="1"/>
  <c r="S125" i="2"/>
  <c r="AY125" i="3" s="1"/>
  <c r="BB125" i="3" s="1"/>
  <c r="AY420" i="3"/>
  <c r="BB420" i="3" s="1"/>
  <c r="S121" i="2"/>
  <c r="AY121" i="3" s="1"/>
  <c r="BB121" i="3" s="1"/>
  <c r="S117" i="2"/>
  <c r="S113" i="2"/>
  <c r="S109" i="2"/>
  <c r="AY109" i="3" s="1"/>
  <c r="BB109" i="3" s="1"/>
  <c r="S105" i="2"/>
  <c r="AY105" i="3" s="1"/>
  <c r="BB105" i="3" s="1"/>
  <c r="S101" i="2"/>
  <c r="AY101" i="3" s="1"/>
  <c r="BB101" i="3" s="1"/>
  <c r="S97" i="2"/>
  <c r="AY392" i="3" s="1"/>
  <c r="BB392" i="3" s="1"/>
  <c r="S93" i="2"/>
  <c r="AY93" i="3" s="1"/>
  <c r="BB93" i="3" s="1"/>
  <c r="AY388" i="3"/>
  <c r="BB388" i="3" s="1"/>
  <c r="S89" i="2"/>
  <c r="AY89" i="3" s="1"/>
  <c r="BB89" i="3" s="1"/>
  <c r="S85" i="2"/>
  <c r="AY85" i="3" s="1"/>
  <c r="BB85" i="3" s="1"/>
  <c r="S81" i="2"/>
  <c r="AY81" i="3" s="1"/>
  <c r="BB81" i="3" s="1"/>
  <c r="S77" i="2"/>
  <c r="AY77" i="3" s="1"/>
  <c r="BB77" i="3" s="1"/>
  <c r="S73" i="2"/>
  <c r="AY73" i="3" s="1"/>
  <c r="BB73" i="3" s="1"/>
  <c r="S69" i="2"/>
  <c r="AY69" i="3" s="1"/>
  <c r="BB69" i="3" s="1"/>
  <c r="S65" i="2"/>
  <c r="AY65" i="3" s="1"/>
  <c r="BB65" i="3" s="1"/>
  <c r="S61" i="2"/>
  <c r="AY61" i="3" s="1"/>
  <c r="BB61" i="3" s="1"/>
  <c r="S57" i="2"/>
  <c r="AY57" i="3" s="1"/>
  <c r="BB57" i="3" s="1"/>
  <c r="S53" i="2"/>
  <c r="AY53" i="3" s="1"/>
  <c r="BB53" i="3" s="1"/>
  <c r="S49" i="2"/>
  <c r="AY49" i="3" s="1"/>
  <c r="BB49" i="3" s="1"/>
  <c r="S45" i="2"/>
  <c r="AY45" i="3" s="1"/>
  <c r="BB45" i="3" s="1"/>
  <c r="S41" i="2"/>
  <c r="AY41" i="3" s="1"/>
  <c r="BB41" i="3" s="1"/>
  <c r="S37" i="2"/>
  <c r="AY37" i="3" s="1"/>
  <c r="BB37" i="3" s="1"/>
  <c r="S33" i="2"/>
  <c r="AY33" i="3" s="1"/>
  <c r="BB33" i="3" s="1"/>
  <c r="S29" i="2"/>
  <c r="AY29" i="3" s="1"/>
  <c r="BB29" i="3" s="1"/>
  <c r="S862" i="2"/>
  <c r="AY1157" i="3" s="1"/>
  <c r="BB1157" i="3" s="1"/>
  <c r="S858" i="2"/>
  <c r="AY1153" i="3" s="1"/>
  <c r="BB1153" i="3" s="1"/>
  <c r="S854" i="2"/>
  <c r="AY1149" i="3"/>
  <c r="BB1149" i="3" s="1"/>
  <c r="S850" i="2"/>
  <c r="AY1145" i="3" s="1"/>
  <c r="BB1145" i="3" s="1"/>
  <c r="S846" i="2"/>
  <c r="AY1141" i="3" s="1"/>
  <c r="BB1141" i="3" s="1"/>
  <c r="S842" i="2"/>
  <c r="AY1137" i="3" s="1"/>
  <c r="BB1137" i="3" s="1"/>
  <c r="S838" i="2"/>
  <c r="AY1133" i="3" s="1"/>
  <c r="BB1133" i="3" s="1"/>
  <c r="S834" i="2"/>
  <c r="AY1129" i="3" s="1"/>
  <c r="BB1129" i="3" s="1"/>
  <c r="S830" i="2"/>
  <c r="AY1125" i="3" s="1"/>
  <c r="BB1125" i="3" s="1"/>
  <c r="S826" i="2"/>
  <c r="AY1121" i="3" s="1"/>
  <c r="BB1121" i="3" s="1"/>
  <c r="S822" i="2"/>
  <c r="AY1117" i="3"/>
  <c r="BB1117" i="3" s="1"/>
  <c r="S818" i="2"/>
  <c r="AY1113" i="3" s="1"/>
  <c r="BB1113" i="3" s="1"/>
  <c r="S814" i="2"/>
  <c r="AY1109" i="3" s="1"/>
  <c r="BB1109" i="3" s="1"/>
  <c r="S810" i="2"/>
  <c r="AY1105" i="3" s="1"/>
  <c r="BB1105" i="3" s="1"/>
  <c r="S806" i="2"/>
  <c r="AY1101" i="3" s="1"/>
  <c r="BB1101" i="3" s="1"/>
  <c r="S802" i="2"/>
  <c r="AY1097" i="3" s="1"/>
  <c r="BB1097" i="3" s="1"/>
  <c r="S798" i="2"/>
  <c r="AY1093" i="3" s="1"/>
  <c r="BB1093" i="3" s="1"/>
  <c r="S794" i="2"/>
  <c r="AY1089" i="3" s="1"/>
  <c r="BB1089" i="3" s="1"/>
  <c r="S790" i="2"/>
  <c r="AY1085" i="3"/>
  <c r="BB1085" i="3" s="1"/>
  <c r="S786" i="2"/>
  <c r="AY1081" i="3" s="1"/>
  <c r="BB1081" i="3" s="1"/>
  <c r="S782" i="2"/>
  <c r="AY1077" i="3" s="1"/>
  <c r="BB1077" i="3" s="1"/>
  <c r="S778" i="2"/>
  <c r="AY1073" i="3" s="1"/>
  <c r="BB1073" i="3" s="1"/>
  <c r="S774" i="2"/>
  <c r="AY1069" i="3" s="1"/>
  <c r="BB1069" i="3" s="1"/>
  <c r="S770" i="2"/>
  <c r="AY1065" i="3" s="1"/>
  <c r="BB1065" i="3" s="1"/>
  <c r="S766" i="2"/>
  <c r="AY1061" i="3" s="1"/>
  <c r="BB1061" i="3" s="1"/>
  <c r="S762" i="2"/>
  <c r="AY1057" i="3" s="1"/>
  <c r="BB1057" i="3" s="1"/>
  <c r="S758" i="2"/>
  <c r="AY1053" i="3"/>
  <c r="BB1053" i="3" s="1"/>
  <c r="S754" i="2"/>
  <c r="AY1049" i="3" s="1"/>
  <c r="BB1049" i="3" s="1"/>
  <c r="S750" i="2"/>
  <c r="AY1045" i="3" s="1"/>
  <c r="BB1045" i="3" s="1"/>
  <c r="S746" i="2"/>
  <c r="AY1041" i="3" s="1"/>
  <c r="BB1041" i="3" s="1"/>
  <c r="S742" i="2"/>
  <c r="AY1037" i="3" s="1"/>
  <c r="BB1037" i="3" s="1"/>
  <c r="S738" i="2"/>
  <c r="AY1033" i="3" s="1"/>
  <c r="BB1033" i="3" s="1"/>
  <c r="S734" i="2"/>
  <c r="AY1029" i="3" s="1"/>
  <c r="BB1029" i="3" s="1"/>
  <c r="S730" i="2"/>
  <c r="AY1025" i="3" s="1"/>
  <c r="BB1025" i="3" s="1"/>
  <c r="S726" i="2"/>
  <c r="AY1021" i="3"/>
  <c r="BB1021" i="3" s="1"/>
  <c r="S722" i="2"/>
  <c r="AY1017" i="3" s="1"/>
  <c r="BB1017" i="3" s="1"/>
  <c r="S718" i="2"/>
  <c r="AY1013" i="3" s="1"/>
  <c r="BB1013" i="3" s="1"/>
  <c r="S714" i="2"/>
  <c r="AY1009" i="3" s="1"/>
  <c r="BB1009" i="3" s="1"/>
  <c r="S710" i="2"/>
  <c r="AY1005" i="3" s="1"/>
  <c r="BB1005" i="3" s="1"/>
  <c r="S706" i="2"/>
  <c r="AY1001" i="3" s="1"/>
  <c r="BB1001" i="3" s="1"/>
  <c r="S702" i="2"/>
  <c r="AY997" i="3" s="1"/>
  <c r="BB997" i="3" s="1"/>
  <c r="S698" i="2"/>
  <c r="AY993" i="3" s="1"/>
  <c r="BB993" i="3" s="1"/>
  <c r="S694" i="2"/>
  <c r="AY989" i="3"/>
  <c r="BB989" i="3" s="1"/>
  <c r="S690" i="2"/>
  <c r="AY985" i="3" s="1"/>
  <c r="BB985" i="3" s="1"/>
  <c r="S686" i="2"/>
  <c r="AY981" i="3" s="1"/>
  <c r="BB981" i="3" s="1"/>
  <c r="S682" i="2"/>
  <c r="AY977" i="3" s="1"/>
  <c r="BB977" i="3" s="1"/>
  <c r="S678" i="2"/>
  <c r="AY973" i="3" s="1"/>
  <c r="BB973" i="3" s="1"/>
  <c r="S674" i="2"/>
  <c r="AY969" i="3" s="1"/>
  <c r="BB969" i="3" s="1"/>
  <c r="S670" i="2"/>
  <c r="AY965" i="3" s="1"/>
  <c r="BB965" i="3" s="1"/>
  <c r="S666" i="2"/>
  <c r="AY961" i="3" s="1"/>
  <c r="BB961" i="3" s="1"/>
  <c r="S662" i="2"/>
  <c r="AY957" i="3"/>
  <c r="BB957" i="3" s="1"/>
  <c r="S658" i="2"/>
  <c r="AY953" i="3" s="1"/>
  <c r="BB953" i="3" s="1"/>
  <c r="S654" i="2"/>
  <c r="AY949" i="3" s="1"/>
  <c r="BB949" i="3" s="1"/>
  <c r="S650" i="2"/>
  <c r="AY945" i="3" s="1"/>
  <c r="BB945" i="3" s="1"/>
  <c r="S646" i="2"/>
  <c r="AY941" i="3" s="1"/>
  <c r="BB941" i="3" s="1"/>
  <c r="S642" i="2"/>
  <c r="AY937" i="3" s="1"/>
  <c r="BB937" i="3" s="1"/>
  <c r="S638" i="2"/>
  <c r="AY933" i="3" s="1"/>
  <c r="BB933" i="3" s="1"/>
  <c r="S634" i="2"/>
  <c r="AY929" i="3" s="1"/>
  <c r="BB929" i="3" s="1"/>
  <c r="S630" i="2"/>
  <c r="AY925" i="3"/>
  <c r="BB925" i="3" s="1"/>
  <c r="S626" i="2"/>
  <c r="AY921" i="3" s="1"/>
  <c r="BB921" i="3" s="1"/>
  <c r="S622" i="2"/>
  <c r="AY917" i="3" s="1"/>
  <c r="BB917" i="3" s="1"/>
  <c r="S618" i="2"/>
  <c r="AY913" i="3" s="1"/>
  <c r="BB913" i="3" s="1"/>
  <c r="S614" i="2"/>
  <c r="AY909" i="3" s="1"/>
  <c r="BB909" i="3" s="1"/>
  <c r="S610" i="2"/>
  <c r="AY905" i="3" s="1"/>
  <c r="BB905" i="3" s="1"/>
  <c r="S606" i="2"/>
  <c r="AY901" i="3" s="1"/>
  <c r="BB901" i="3" s="1"/>
  <c r="S602" i="2"/>
  <c r="AY897" i="3" s="1"/>
  <c r="BB897" i="3" s="1"/>
  <c r="S598" i="2"/>
  <c r="AY893" i="3"/>
  <c r="BB893" i="3" s="1"/>
  <c r="S594" i="2"/>
  <c r="AY889" i="3" s="1"/>
  <c r="BB889" i="3" s="1"/>
  <c r="S590" i="2"/>
  <c r="AY885" i="3" s="1"/>
  <c r="BB885" i="3" s="1"/>
  <c r="S586" i="2"/>
  <c r="AY881" i="3" s="1"/>
  <c r="BB881" i="3" s="1"/>
  <c r="S582" i="2"/>
  <c r="AY877" i="3" s="1"/>
  <c r="BB877" i="3" s="1"/>
  <c r="S578" i="2"/>
  <c r="AY873" i="3" s="1"/>
  <c r="BB873" i="3" s="1"/>
  <c r="S574" i="2"/>
  <c r="AY869" i="3" s="1"/>
  <c r="BB869" i="3" s="1"/>
  <c r="S570" i="2"/>
  <c r="AY865" i="3" s="1"/>
  <c r="BB865" i="3" s="1"/>
  <c r="S566" i="2"/>
  <c r="AY861" i="3"/>
  <c r="BB861" i="3" s="1"/>
  <c r="S562" i="2"/>
  <c r="AY857" i="3" s="1"/>
  <c r="BB857" i="3" s="1"/>
  <c r="S558" i="2"/>
  <c r="AY853" i="3" s="1"/>
  <c r="BB853" i="3" s="1"/>
  <c r="S554" i="2"/>
  <c r="AY849" i="3" s="1"/>
  <c r="BB849" i="3" s="1"/>
  <c r="S550" i="2"/>
  <c r="AY845" i="3" s="1"/>
  <c r="BB845" i="3" s="1"/>
  <c r="S546" i="2"/>
  <c r="AY841" i="3" s="1"/>
  <c r="BB841" i="3" s="1"/>
  <c r="S542" i="2"/>
  <c r="AY837" i="3" s="1"/>
  <c r="BB837" i="3" s="1"/>
  <c r="S538" i="2"/>
  <c r="AY833" i="3" s="1"/>
  <c r="BB833" i="3" s="1"/>
  <c r="S534" i="2"/>
  <c r="AY829" i="3"/>
  <c r="BB829" i="3" s="1"/>
  <c r="S530" i="2"/>
  <c r="AY825" i="3" s="1"/>
  <c r="BB825" i="3" s="1"/>
  <c r="S526" i="2"/>
  <c r="AY821" i="3" s="1"/>
  <c r="BB821" i="3" s="1"/>
  <c r="S522" i="2"/>
  <c r="AY817" i="3" s="1"/>
  <c r="BB817" i="3" s="1"/>
  <c r="S518" i="2"/>
  <c r="AY813" i="3" s="1"/>
  <c r="BB813" i="3" s="1"/>
  <c r="S514" i="2"/>
  <c r="AY809" i="3" s="1"/>
  <c r="BB809" i="3" s="1"/>
  <c r="S510" i="2"/>
  <c r="AY805" i="3" s="1"/>
  <c r="BB805" i="3" s="1"/>
  <c r="S506" i="2"/>
  <c r="AY801" i="3" s="1"/>
  <c r="BB801" i="3" s="1"/>
  <c r="S502" i="2"/>
  <c r="AY797" i="3"/>
  <c r="BB797" i="3" s="1"/>
  <c r="S498" i="2"/>
  <c r="AY793" i="3" s="1"/>
  <c r="BB793" i="3" s="1"/>
  <c r="S494" i="2"/>
  <c r="AY789" i="3" s="1"/>
  <c r="BB789" i="3" s="1"/>
  <c r="S490" i="2"/>
  <c r="AY785" i="3" s="1"/>
  <c r="BB785" i="3" s="1"/>
  <c r="S486" i="2"/>
  <c r="AY781" i="3" s="1"/>
  <c r="BB781" i="3" s="1"/>
  <c r="S482" i="2"/>
  <c r="AY777" i="3" s="1"/>
  <c r="BB777" i="3" s="1"/>
  <c r="S478" i="2"/>
  <c r="AY773" i="3" s="1"/>
  <c r="BB773" i="3" s="1"/>
  <c r="S474" i="2"/>
  <c r="AY769" i="3" s="1"/>
  <c r="BB769" i="3" s="1"/>
  <c r="S470" i="2"/>
  <c r="AY765" i="3"/>
  <c r="BB765" i="3" s="1"/>
  <c r="S466" i="2"/>
  <c r="AY761" i="3" s="1"/>
  <c r="BB761" i="3" s="1"/>
  <c r="S462" i="2"/>
  <c r="AY757" i="3" s="1"/>
  <c r="BB757" i="3" s="1"/>
  <c r="S458" i="2"/>
  <c r="AY753" i="3" s="1"/>
  <c r="BB753" i="3" s="1"/>
  <c r="S454" i="2"/>
  <c r="AY749" i="3" s="1"/>
  <c r="BB749" i="3" s="1"/>
  <c r="S450" i="2"/>
  <c r="AY745" i="3" s="1"/>
  <c r="BB745" i="3" s="1"/>
  <c r="S446" i="2"/>
  <c r="AY741" i="3" s="1"/>
  <c r="BB741" i="3" s="1"/>
  <c r="S442" i="2"/>
  <c r="AY737" i="3" s="1"/>
  <c r="BB737" i="3" s="1"/>
  <c r="S438" i="2"/>
  <c r="AY733" i="3"/>
  <c r="BB733" i="3" s="1"/>
  <c r="S434" i="2"/>
  <c r="AY729" i="3" s="1"/>
  <c r="BB729" i="3" s="1"/>
  <c r="S430" i="2"/>
  <c r="AY725" i="3" s="1"/>
  <c r="BB725" i="3" s="1"/>
  <c r="S426" i="2"/>
  <c r="AY721" i="3" s="1"/>
  <c r="BB721" i="3" s="1"/>
  <c r="S422" i="2"/>
  <c r="AY717" i="3" s="1"/>
  <c r="BB717" i="3" s="1"/>
  <c r="S418" i="2"/>
  <c r="AY713" i="3" s="1"/>
  <c r="BB713" i="3" s="1"/>
  <c r="S414" i="2"/>
  <c r="AY709" i="3" s="1"/>
  <c r="BB709" i="3" s="1"/>
  <c r="S410" i="2"/>
  <c r="AY705" i="3" s="1"/>
  <c r="BB705" i="3" s="1"/>
  <c r="S406" i="2"/>
  <c r="AY701" i="3"/>
  <c r="BB701" i="3" s="1"/>
  <c r="S402" i="2"/>
  <c r="AY697" i="3" s="1"/>
  <c r="BB697" i="3" s="1"/>
  <c r="S398" i="2"/>
  <c r="AY693" i="3" s="1"/>
  <c r="BB693" i="3" s="1"/>
  <c r="S394" i="2"/>
  <c r="AY689" i="3" s="1"/>
  <c r="BB689" i="3" s="1"/>
  <c r="S390" i="2"/>
  <c r="AY685" i="3" s="1"/>
  <c r="BB685" i="3" s="1"/>
  <c r="S386" i="2"/>
  <c r="AY681" i="3" s="1"/>
  <c r="BB681" i="3" s="1"/>
  <c r="S382" i="2"/>
  <c r="AY677" i="3" s="1"/>
  <c r="BB677" i="3" s="1"/>
  <c r="S378" i="2"/>
  <c r="AY673" i="3" s="1"/>
  <c r="BB673" i="3" s="1"/>
  <c r="S374" i="2"/>
  <c r="AY669" i="3"/>
  <c r="BB669" i="3" s="1"/>
  <c r="S370" i="2"/>
  <c r="AY665" i="3" s="1"/>
  <c r="BB665" i="3" s="1"/>
  <c r="S366" i="2"/>
  <c r="AY366" i="3" s="1"/>
  <c r="BB366" i="3" s="1"/>
  <c r="S362" i="2"/>
  <c r="AY362" i="3" s="1"/>
  <c r="BB362" i="3" s="1"/>
  <c r="S358" i="2"/>
  <c r="AY358" i="3" s="1"/>
  <c r="BB358" i="3" s="1"/>
  <c r="S354" i="2"/>
  <c r="AY354" i="3" s="1"/>
  <c r="BB354" i="3" s="1"/>
  <c r="S350" i="2"/>
  <c r="AY350" i="3" s="1"/>
  <c r="BB350" i="3" s="1"/>
  <c r="S346" i="2"/>
  <c r="AY346" i="3" s="1"/>
  <c r="BB346" i="3" s="1"/>
  <c r="S342" i="2"/>
  <c r="AY342" i="3" s="1"/>
  <c r="BB342" i="3" s="1"/>
  <c r="AY637" i="3"/>
  <c r="BB637" i="3" s="1"/>
  <c r="S338" i="2"/>
  <c r="AY338" i="3" s="1"/>
  <c r="BB338" i="3" s="1"/>
  <c r="S334" i="2"/>
  <c r="AY334" i="3" s="1"/>
  <c r="BB334" i="3" s="1"/>
  <c r="S330" i="2"/>
  <c r="AY330" i="3" s="1"/>
  <c r="BB330" i="3" s="1"/>
  <c r="S326" i="2"/>
  <c r="AY326" i="3" s="1"/>
  <c r="BB326" i="3" s="1"/>
  <c r="S322" i="2"/>
  <c r="AY322" i="3" s="1"/>
  <c r="BB322" i="3" s="1"/>
  <c r="S318" i="2"/>
  <c r="AY318" i="3" s="1"/>
  <c r="BB318" i="3" s="1"/>
  <c r="S314" i="2"/>
  <c r="AY314" i="3" s="1"/>
  <c r="BB314" i="3" s="1"/>
  <c r="S310" i="2"/>
  <c r="AY310" i="3" s="1"/>
  <c r="BB310" i="3" s="1"/>
  <c r="AY605" i="3"/>
  <c r="BB605" i="3" s="1"/>
  <c r="S306" i="2"/>
  <c r="AY306" i="3" s="1"/>
  <c r="BB306" i="3" s="1"/>
  <c r="S302" i="2"/>
  <c r="AY302" i="3" s="1"/>
  <c r="BB302" i="3" s="1"/>
  <c r="S298" i="2"/>
  <c r="AY298" i="3" s="1"/>
  <c r="BB298" i="3" s="1"/>
  <c r="S294" i="2"/>
  <c r="AY294" i="3" s="1"/>
  <c r="BB294" i="3" s="1"/>
  <c r="S290" i="2"/>
  <c r="AY290" i="3" s="1"/>
  <c r="BB290" i="3" s="1"/>
  <c r="S286" i="2"/>
  <c r="AY286" i="3" s="1"/>
  <c r="BB286" i="3" s="1"/>
  <c r="S282" i="2"/>
  <c r="AY282" i="3" s="1"/>
  <c r="BB282" i="3" s="1"/>
  <c r="S278" i="2"/>
  <c r="AY278" i="3" s="1"/>
  <c r="BB278" i="3" s="1"/>
  <c r="AY573" i="3"/>
  <c r="BB573" i="3" s="1"/>
  <c r="S274" i="2"/>
  <c r="AY274" i="3" s="1"/>
  <c r="BB274" i="3" s="1"/>
  <c r="S270" i="2"/>
  <c r="AY270" i="3" s="1"/>
  <c r="BB270" i="3" s="1"/>
  <c r="S266" i="2"/>
  <c r="AY266" i="3" s="1"/>
  <c r="BB266" i="3" s="1"/>
  <c r="S262" i="2"/>
  <c r="AY262" i="3" s="1"/>
  <c r="BB262" i="3" s="1"/>
  <c r="S258" i="2"/>
  <c r="AY258" i="3" s="1"/>
  <c r="BB258" i="3" s="1"/>
  <c r="S254" i="2"/>
  <c r="AY254" i="3" s="1"/>
  <c r="BB254" i="3" s="1"/>
  <c r="S250" i="2"/>
  <c r="AY250" i="3" s="1"/>
  <c r="BB250" i="3" s="1"/>
  <c r="S246" i="2"/>
  <c r="AY246" i="3" s="1"/>
  <c r="BB246" i="3" s="1"/>
  <c r="AY541" i="3"/>
  <c r="BB541" i="3" s="1"/>
  <c r="S242" i="2"/>
  <c r="AY242" i="3" s="1"/>
  <c r="BB242" i="3" s="1"/>
  <c r="S238" i="2"/>
  <c r="AY238" i="3" s="1"/>
  <c r="BB238" i="3" s="1"/>
  <c r="S234" i="2"/>
  <c r="AY234" i="3" s="1"/>
  <c r="BB234" i="3" s="1"/>
  <c r="S230" i="2"/>
  <c r="AY230" i="3" s="1"/>
  <c r="BB230" i="3" s="1"/>
  <c r="S226" i="2"/>
  <c r="AY226" i="3" s="1"/>
  <c r="BB226" i="3" s="1"/>
  <c r="S222" i="2"/>
  <c r="AY222" i="3" s="1"/>
  <c r="BB222" i="3" s="1"/>
  <c r="S218" i="2"/>
  <c r="AY218" i="3" s="1"/>
  <c r="BB218" i="3" s="1"/>
  <c r="S214" i="2"/>
  <c r="AY214" i="3" s="1"/>
  <c r="BB214" i="3" s="1"/>
  <c r="AY509" i="3"/>
  <c r="BB509" i="3" s="1"/>
  <c r="S210" i="2"/>
  <c r="AY210" i="3" s="1"/>
  <c r="BB210" i="3" s="1"/>
  <c r="S206" i="2"/>
  <c r="AY501" i="3" s="1"/>
  <c r="BB501" i="3" s="1"/>
  <c r="S202" i="2"/>
  <c r="AY202" i="3" s="1"/>
  <c r="BB202" i="3" s="1"/>
  <c r="S198" i="2"/>
  <c r="AY198" i="3" s="1"/>
  <c r="BB198" i="3" s="1"/>
  <c r="S194" i="2"/>
  <c r="AY376" i="3" s="1"/>
  <c r="BB376" i="3" s="1"/>
  <c r="S190" i="2"/>
  <c r="S186" i="2"/>
  <c r="AY368" i="3" s="1"/>
  <c r="BB368" i="3" s="1"/>
  <c r="S182" i="2"/>
  <c r="AY182" i="3" s="1"/>
  <c r="BB182" i="3" s="1"/>
  <c r="AY477" i="3"/>
  <c r="BB477" i="3" s="1"/>
  <c r="S178" i="2"/>
  <c r="AY178" i="3" s="1"/>
  <c r="BB178" i="3" s="1"/>
  <c r="S174" i="2"/>
  <c r="AY174" i="3" s="1"/>
  <c r="BB174" i="3" s="1"/>
  <c r="S170" i="2"/>
  <c r="AY170" i="3" s="1"/>
  <c r="BB170" i="3" s="1"/>
  <c r="S166" i="2"/>
  <c r="AY166" i="3" s="1"/>
  <c r="BB166" i="3" s="1"/>
  <c r="S162" i="2"/>
  <c r="AY162" i="3" s="1"/>
  <c r="BB162" i="3" s="1"/>
  <c r="S158" i="2"/>
  <c r="AY158" i="3" s="1"/>
  <c r="BB158" i="3" s="1"/>
  <c r="S154" i="2"/>
  <c r="AY154" i="3" s="1"/>
  <c r="BB154" i="3" s="1"/>
  <c r="S150" i="2"/>
  <c r="AY150" i="3" s="1"/>
  <c r="BB150" i="3" s="1"/>
  <c r="AY445" i="3"/>
  <c r="BB445" i="3" s="1"/>
  <c r="S146" i="2"/>
  <c r="S142" i="2"/>
  <c r="AY142" i="3" s="1"/>
  <c r="BB142" i="3" s="1"/>
  <c r="S138" i="2"/>
  <c r="AY138" i="3" s="1"/>
  <c r="BB138" i="3" s="1"/>
  <c r="S134" i="2"/>
  <c r="AY134" i="3" s="1"/>
  <c r="BB134" i="3" s="1"/>
  <c r="S130" i="2"/>
  <c r="S126" i="2"/>
  <c r="AY126" i="3" s="1"/>
  <c r="BB126" i="3" s="1"/>
  <c r="S122" i="2"/>
  <c r="AY122" i="3" s="1"/>
  <c r="BB122" i="3" s="1"/>
  <c r="S118" i="2"/>
  <c r="AY118" i="3" s="1"/>
  <c r="BB118" i="3" s="1"/>
  <c r="AY413" i="3"/>
  <c r="BB413" i="3" s="1"/>
  <c r="S114" i="2"/>
  <c r="AY114" i="3" s="1"/>
  <c r="BB114" i="3" s="1"/>
  <c r="S110" i="2"/>
  <c r="AY110" i="3" s="1"/>
  <c r="BB110" i="3" s="1"/>
  <c r="S106" i="2"/>
  <c r="AY106" i="3" s="1"/>
  <c r="BB106" i="3" s="1"/>
  <c r="S102" i="2"/>
  <c r="AY102" i="3" s="1"/>
  <c r="BB102" i="3" s="1"/>
  <c r="S98" i="2"/>
  <c r="AY98" i="3" s="1"/>
  <c r="BB98" i="3" s="1"/>
  <c r="S94" i="2"/>
  <c r="AY94" i="3" s="1"/>
  <c r="BB94" i="3" s="1"/>
  <c r="S90" i="2"/>
  <c r="AY90" i="3" s="1"/>
  <c r="BB90" i="3" s="1"/>
  <c r="S86" i="2"/>
  <c r="AY86" i="3" s="1"/>
  <c r="BB86" i="3" s="1"/>
  <c r="AY381" i="3"/>
  <c r="BB381" i="3" s="1"/>
  <c r="S82" i="2"/>
  <c r="AY82" i="3" s="1"/>
  <c r="BB82" i="3" s="1"/>
  <c r="S78" i="2"/>
  <c r="AY78" i="3" s="1"/>
  <c r="BB78" i="3" s="1"/>
  <c r="S74" i="2"/>
  <c r="AY74" i="3" s="1"/>
  <c r="BB74" i="3" s="1"/>
  <c r="S70" i="2"/>
  <c r="AY70" i="3" s="1"/>
  <c r="BB70" i="3" s="1"/>
  <c r="S66" i="2"/>
  <c r="AY66" i="3" s="1"/>
  <c r="BB66" i="3" s="1"/>
  <c r="S62" i="2"/>
  <c r="AY62" i="3" s="1"/>
  <c r="BB62" i="3" s="1"/>
  <c r="S58" i="2"/>
  <c r="AY58" i="3" s="1"/>
  <c r="BB58" i="3" s="1"/>
  <c r="S54" i="2"/>
  <c r="AY54" i="3" s="1"/>
  <c r="BB54" i="3" s="1"/>
  <c r="S50" i="2"/>
  <c r="AY50" i="3" s="1"/>
  <c r="BB50" i="3" s="1"/>
  <c r="S46" i="2"/>
  <c r="AY46" i="3" s="1"/>
  <c r="BB46" i="3" s="1"/>
  <c r="S42" i="2"/>
  <c r="AY42" i="3" s="1"/>
  <c r="BB42" i="3" s="1"/>
  <c r="S38" i="2"/>
  <c r="AY38" i="3" s="1"/>
  <c r="BB38" i="3" s="1"/>
  <c r="S34" i="2"/>
  <c r="AY34" i="3" s="1"/>
  <c r="BB34" i="3" s="1"/>
  <c r="S30" i="2"/>
  <c r="AY30" i="3" s="1"/>
  <c r="BB30" i="3" s="1"/>
  <c r="S26" i="2"/>
  <c r="AY26" i="3" s="1"/>
  <c r="BB26" i="3" s="1"/>
  <c r="U865" i="2"/>
  <c r="BD1160" i="3"/>
  <c r="BG1160" i="3" s="1"/>
  <c r="U861" i="2"/>
  <c r="BD1156" i="3"/>
  <c r="BG1156" i="3" s="1"/>
  <c r="U857" i="2"/>
  <c r="BD1152" i="3"/>
  <c r="BG1152" i="3" s="1"/>
  <c r="U853" i="2"/>
  <c r="BD1148" i="3"/>
  <c r="BG1148" i="3" s="1"/>
  <c r="U849" i="2"/>
  <c r="BD1144" i="3"/>
  <c r="BG1144" i="3" s="1"/>
  <c r="U845" i="2"/>
  <c r="BD1140" i="3"/>
  <c r="BG1140" i="3" s="1"/>
  <c r="U841" i="2"/>
  <c r="BD1136" i="3"/>
  <c r="BG1136" i="3" s="1"/>
  <c r="U837" i="2"/>
  <c r="BD1132" i="3"/>
  <c r="BG1132" i="3" s="1"/>
  <c r="U833" i="2"/>
  <c r="BD1128" i="3"/>
  <c r="BG1128" i="3" s="1"/>
  <c r="U829" i="2"/>
  <c r="BD1124" i="3"/>
  <c r="BG1124" i="3" s="1"/>
  <c r="U825" i="2"/>
  <c r="BD1120" i="3"/>
  <c r="BG1120" i="3" s="1"/>
  <c r="U821" i="2"/>
  <c r="BD1116" i="3"/>
  <c r="BG1116" i="3" s="1"/>
  <c r="U817" i="2"/>
  <c r="BD1112" i="3"/>
  <c r="BG1112" i="3" s="1"/>
  <c r="U813" i="2"/>
  <c r="BD1108" i="3"/>
  <c r="BG1108" i="3" s="1"/>
  <c r="U809" i="2"/>
  <c r="BD1104" i="3"/>
  <c r="BG1104" i="3" s="1"/>
  <c r="U805" i="2"/>
  <c r="BD1100" i="3"/>
  <c r="BG1100" i="3" s="1"/>
  <c r="U801" i="2"/>
  <c r="BD1096" i="3"/>
  <c r="BG1096" i="3" s="1"/>
  <c r="U797" i="2"/>
  <c r="BD1092" i="3"/>
  <c r="BG1092" i="3" s="1"/>
  <c r="U793" i="2"/>
  <c r="BD1088" i="3"/>
  <c r="BG1088" i="3" s="1"/>
  <c r="U789" i="2"/>
  <c r="BD1084" i="3"/>
  <c r="BG1084" i="3" s="1"/>
  <c r="U785" i="2"/>
  <c r="BD1080" i="3"/>
  <c r="BG1080" i="3" s="1"/>
  <c r="U781" i="2"/>
  <c r="BD1076" i="3"/>
  <c r="BG1076" i="3" s="1"/>
  <c r="U777" i="2"/>
  <c r="BD1072" i="3"/>
  <c r="BG1072" i="3" s="1"/>
  <c r="U701" i="2"/>
  <c r="BD996" i="3"/>
  <c r="BG996" i="3" s="1"/>
  <c r="U121" i="2"/>
  <c r="BD416" i="3"/>
  <c r="BG416" i="3" s="1"/>
  <c r="U113" i="2"/>
  <c r="BD408" i="3"/>
  <c r="BG408" i="3" s="1"/>
  <c r="U105" i="2"/>
  <c r="BD400" i="3"/>
  <c r="BG400" i="3" s="1"/>
  <c r="U97" i="2"/>
  <c r="BD392" i="3"/>
  <c r="BG392" i="3" s="1"/>
  <c r="U89" i="2"/>
  <c r="BD384" i="3"/>
  <c r="BG384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7" i="3"/>
  <c r="BG1157" i="3" s="1"/>
  <c r="U858" i="2"/>
  <c r="BD1153" i="3"/>
  <c r="BG1153" i="3" s="1"/>
  <c r="U854" i="2"/>
  <c r="BD1149" i="3"/>
  <c r="BG1149" i="3" s="1"/>
  <c r="U850" i="2"/>
  <c r="BD1145" i="3"/>
  <c r="BG1145" i="3" s="1"/>
  <c r="U846" i="2"/>
  <c r="BD1141" i="3"/>
  <c r="BG1141" i="3" s="1"/>
  <c r="U842" i="2"/>
  <c r="BD1137" i="3"/>
  <c r="BG1137" i="3" s="1"/>
  <c r="U838" i="2"/>
  <c r="BD1133" i="3"/>
  <c r="BG1133" i="3" s="1"/>
  <c r="U834" i="2"/>
  <c r="BD1129" i="3"/>
  <c r="BG1129" i="3" s="1"/>
  <c r="U830" i="2"/>
  <c r="BD1125" i="3"/>
  <c r="BG1125" i="3" s="1"/>
  <c r="U826" i="2"/>
  <c r="BD1121" i="3"/>
  <c r="BG1121" i="3" s="1"/>
  <c r="U822" i="2"/>
  <c r="BD1117" i="3"/>
  <c r="BG1117" i="3" s="1"/>
  <c r="U818" i="2"/>
  <c r="BD1113" i="3"/>
  <c r="BG1113" i="3" s="1"/>
  <c r="U814" i="2"/>
  <c r="BD1109" i="3"/>
  <c r="BG1109" i="3" s="1"/>
  <c r="U810" i="2"/>
  <c r="BD1105" i="3"/>
  <c r="BG1105" i="3" s="1"/>
  <c r="U806" i="2"/>
  <c r="BD1101" i="3"/>
  <c r="BG1101" i="3" s="1"/>
  <c r="U802" i="2"/>
  <c r="BD1097" i="3"/>
  <c r="BG1097" i="3" s="1"/>
  <c r="U798" i="2"/>
  <c r="BD1093" i="3"/>
  <c r="BG1093" i="3" s="1"/>
  <c r="U794" i="2"/>
  <c r="BD1089" i="3"/>
  <c r="BG1089" i="3" s="1"/>
  <c r="U790" i="2"/>
  <c r="BD1085" i="3"/>
  <c r="BG1085" i="3" s="1"/>
  <c r="U786" i="2"/>
  <c r="BD1081" i="3"/>
  <c r="BG1081" i="3" s="1"/>
  <c r="U782" i="2"/>
  <c r="BD1077" i="3"/>
  <c r="BG1077" i="3" s="1"/>
  <c r="U778" i="2"/>
  <c r="BD1073" i="3"/>
  <c r="BG1073" i="3" s="1"/>
  <c r="U774" i="2"/>
  <c r="BD1069" i="3"/>
  <c r="BG1069" i="3" s="1"/>
  <c r="U770" i="2"/>
  <c r="BD1065" i="3"/>
  <c r="BG1065" i="3" s="1"/>
  <c r="U766" i="2"/>
  <c r="BD1061" i="3"/>
  <c r="BG1061" i="3" s="1"/>
  <c r="U762" i="2"/>
  <c r="BD1057" i="3"/>
  <c r="BG1057" i="3" s="1"/>
  <c r="U758" i="2"/>
  <c r="BD1053" i="3"/>
  <c r="BG1053" i="3" s="1"/>
  <c r="U754" i="2"/>
  <c r="BD1049" i="3"/>
  <c r="BG1049" i="3" s="1"/>
  <c r="U750" i="2"/>
  <c r="BD1045" i="3"/>
  <c r="BG1045" i="3" s="1"/>
  <c r="U746" i="2"/>
  <c r="BD1041" i="3"/>
  <c r="BG1041" i="3" s="1"/>
  <c r="U742" i="2"/>
  <c r="BD1037" i="3"/>
  <c r="BG1037" i="3" s="1"/>
  <c r="U738" i="2"/>
  <c r="BD1033" i="3"/>
  <c r="BG1033" i="3" s="1"/>
  <c r="U734" i="2"/>
  <c r="BD1029" i="3"/>
  <c r="BG1029" i="3" s="1"/>
  <c r="U730" i="2"/>
  <c r="BD1025" i="3"/>
  <c r="BG1025" i="3" s="1"/>
  <c r="U726" i="2"/>
  <c r="BD1021" i="3"/>
  <c r="BG1021" i="3" s="1"/>
  <c r="U722" i="2"/>
  <c r="BD1017" i="3"/>
  <c r="BG1017" i="3" s="1"/>
  <c r="U718" i="2"/>
  <c r="BD1013" i="3"/>
  <c r="BG1013" i="3" s="1"/>
  <c r="U714" i="2"/>
  <c r="BD1009" i="3"/>
  <c r="BG1009" i="3" s="1"/>
  <c r="U710" i="2"/>
  <c r="BD1005" i="3"/>
  <c r="BG1005" i="3" s="1"/>
  <c r="U706" i="2"/>
  <c r="BD1001" i="3"/>
  <c r="BG1001" i="3" s="1"/>
  <c r="U702" i="2"/>
  <c r="BD997" i="3"/>
  <c r="BG997" i="3" s="1"/>
  <c r="U698" i="2"/>
  <c r="BD993" i="3"/>
  <c r="BG993" i="3" s="1"/>
  <c r="U694" i="2"/>
  <c r="BD989" i="3"/>
  <c r="BG989" i="3" s="1"/>
  <c r="U690" i="2"/>
  <c r="BD985" i="3"/>
  <c r="BG985" i="3" s="1"/>
  <c r="U686" i="2"/>
  <c r="BD981" i="3"/>
  <c r="BG981" i="3" s="1"/>
  <c r="U682" i="2"/>
  <c r="BD977" i="3"/>
  <c r="BG977" i="3" s="1"/>
  <c r="U678" i="2"/>
  <c r="BD973" i="3"/>
  <c r="BG973" i="3" s="1"/>
  <c r="U674" i="2"/>
  <c r="BD969" i="3"/>
  <c r="BG969" i="3" s="1"/>
  <c r="U670" i="2"/>
  <c r="BD965" i="3"/>
  <c r="BG965" i="3" s="1"/>
  <c r="U666" i="2"/>
  <c r="BD961" i="3"/>
  <c r="BG961" i="3" s="1"/>
  <c r="U662" i="2"/>
  <c r="BD957" i="3"/>
  <c r="BG957" i="3" s="1"/>
  <c r="U658" i="2"/>
  <c r="BD953" i="3"/>
  <c r="BG953" i="3" s="1"/>
  <c r="U654" i="2"/>
  <c r="BD949" i="3"/>
  <c r="BG949" i="3" s="1"/>
  <c r="U650" i="2"/>
  <c r="BD945" i="3"/>
  <c r="BG945" i="3" s="1"/>
  <c r="U646" i="2"/>
  <c r="BD941" i="3"/>
  <c r="BG941" i="3" s="1"/>
  <c r="U642" i="2"/>
  <c r="BD937" i="3"/>
  <c r="BG937" i="3" s="1"/>
  <c r="U638" i="2"/>
  <c r="BD933" i="3"/>
  <c r="BG933" i="3" s="1"/>
  <c r="U634" i="2"/>
  <c r="BD929" i="3"/>
  <c r="BG929" i="3" s="1"/>
  <c r="U630" i="2"/>
  <c r="BD925" i="3"/>
  <c r="BG925" i="3" s="1"/>
  <c r="U626" i="2"/>
  <c r="BD921" i="3"/>
  <c r="BG921" i="3" s="1"/>
  <c r="U622" i="2"/>
  <c r="BD917" i="3"/>
  <c r="BG917" i="3" s="1"/>
  <c r="U618" i="2"/>
  <c r="BD913" i="3"/>
  <c r="BG913" i="3" s="1"/>
  <c r="U614" i="2"/>
  <c r="BD909" i="3"/>
  <c r="BG909" i="3" s="1"/>
  <c r="U610" i="2"/>
  <c r="BD905" i="3"/>
  <c r="BG905" i="3" s="1"/>
  <c r="U606" i="2"/>
  <c r="BD901" i="3"/>
  <c r="BG901" i="3" s="1"/>
  <c r="U602" i="2"/>
  <c r="BD897" i="3"/>
  <c r="BG897" i="3" s="1"/>
  <c r="U598" i="2"/>
  <c r="BD893" i="3"/>
  <c r="BG893" i="3" s="1"/>
  <c r="U594" i="2"/>
  <c r="BD889" i="3"/>
  <c r="BG889" i="3" s="1"/>
  <c r="U590" i="2"/>
  <c r="BD885" i="3"/>
  <c r="BG885" i="3" s="1"/>
  <c r="U586" i="2"/>
  <c r="BD881" i="3"/>
  <c r="BG881" i="3" s="1"/>
  <c r="U582" i="2"/>
  <c r="BD877" i="3"/>
  <c r="BG877" i="3" s="1"/>
  <c r="U578" i="2"/>
  <c r="BD873" i="3"/>
  <c r="BG873" i="3" s="1"/>
  <c r="U574" i="2"/>
  <c r="BD869" i="3"/>
  <c r="BG869" i="3" s="1"/>
  <c r="U570" i="2"/>
  <c r="BD865" i="3"/>
  <c r="BG865" i="3" s="1"/>
  <c r="U566" i="2"/>
  <c r="BD861" i="3"/>
  <c r="BG861" i="3" s="1"/>
  <c r="U562" i="2"/>
  <c r="BD857" i="3"/>
  <c r="BG857" i="3" s="1"/>
  <c r="U558" i="2"/>
  <c r="BD853" i="3"/>
  <c r="BG853" i="3" s="1"/>
  <c r="U554" i="2"/>
  <c r="BD849" i="3"/>
  <c r="BG849" i="3" s="1"/>
  <c r="U550" i="2"/>
  <c r="BD845" i="3"/>
  <c r="BG845" i="3" s="1"/>
  <c r="U546" i="2"/>
  <c r="BD841" i="3"/>
  <c r="BG841" i="3" s="1"/>
  <c r="U542" i="2"/>
  <c r="BD837" i="3"/>
  <c r="BG837" i="3" s="1"/>
  <c r="U538" i="2"/>
  <c r="BD833" i="3"/>
  <c r="BG833" i="3" s="1"/>
  <c r="U534" i="2"/>
  <c r="BD829" i="3"/>
  <c r="BG829" i="3" s="1"/>
  <c r="U530" i="2"/>
  <c r="BD825" i="3"/>
  <c r="BG825" i="3" s="1"/>
  <c r="U526" i="2"/>
  <c r="BD821" i="3"/>
  <c r="BG821" i="3" s="1"/>
  <c r="U522" i="2"/>
  <c r="BD817" i="3"/>
  <c r="BG817" i="3" s="1"/>
  <c r="U518" i="2"/>
  <c r="BD813" i="3"/>
  <c r="BG813" i="3" s="1"/>
  <c r="U514" i="2"/>
  <c r="BD809" i="3"/>
  <c r="BG809" i="3" s="1"/>
  <c r="U510" i="2"/>
  <c r="BD805" i="3"/>
  <c r="BG805" i="3" s="1"/>
  <c r="U506" i="2"/>
  <c r="BD801" i="3"/>
  <c r="BG801" i="3" s="1"/>
  <c r="U502" i="2"/>
  <c r="BD797" i="3"/>
  <c r="BG797" i="3" s="1"/>
  <c r="U498" i="2"/>
  <c r="BD793" i="3"/>
  <c r="BG793" i="3" s="1"/>
  <c r="U494" i="2"/>
  <c r="BD789" i="3"/>
  <c r="BG789" i="3" s="1"/>
  <c r="U490" i="2"/>
  <c r="BD785" i="3"/>
  <c r="BG785" i="3" s="1"/>
  <c r="U486" i="2"/>
  <c r="BD781" i="3"/>
  <c r="BG781" i="3" s="1"/>
  <c r="U482" i="2"/>
  <c r="BD777" i="3"/>
  <c r="BG777" i="3" s="1"/>
  <c r="U478" i="2"/>
  <c r="BD773" i="3"/>
  <c r="BG773" i="3" s="1"/>
  <c r="U474" i="2"/>
  <c r="BD769" i="3"/>
  <c r="BG769" i="3" s="1"/>
  <c r="U470" i="2"/>
  <c r="BD765" i="3"/>
  <c r="BG765" i="3" s="1"/>
  <c r="U466" i="2"/>
  <c r="BD761" i="3"/>
  <c r="BG761" i="3" s="1"/>
  <c r="U462" i="2"/>
  <c r="BD757" i="3"/>
  <c r="BG757" i="3" s="1"/>
  <c r="U458" i="2"/>
  <c r="BD753" i="3"/>
  <c r="BG753" i="3" s="1"/>
  <c r="U454" i="2"/>
  <c r="BD749" i="3"/>
  <c r="BG749" i="3" s="1"/>
  <c r="U450" i="2"/>
  <c r="BD745" i="3"/>
  <c r="BG745" i="3" s="1"/>
  <c r="U446" i="2"/>
  <c r="BD741" i="3"/>
  <c r="BG741" i="3" s="1"/>
  <c r="U442" i="2"/>
  <c r="BD737" i="3"/>
  <c r="BG737" i="3" s="1"/>
  <c r="U438" i="2"/>
  <c r="BD733" i="3"/>
  <c r="BG733" i="3" s="1"/>
  <c r="U434" i="2"/>
  <c r="BD729" i="3"/>
  <c r="BG729" i="3" s="1"/>
  <c r="U430" i="2"/>
  <c r="BD725" i="3"/>
  <c r="BG725" i="3" s="1"/>
  <c r="U426" i="2"/>
  <c r="BD721" i="3"/>
  <c r="BG721" i="3" s="1"/>
  <c r="U422" i="2"/>
  <c r="BD717" i="3"/>
  <c r="BG717" i="3" s="1"/>
  <c r="U418" i="2"/>
  <c r="BD713" i="3"/>
  <c r="BG713" i="3" s="1"/>
  <c r="U414" i="2"/>
  <c r="BD709" i="3"/>
  <c r="BG709" i="3" s="1"/>
  <c r="U410" i="2"/>
  <c r="BD705" i="3"/>
  <c r="BG705" i="3" s="1"/>
  <c r="U406" i="2"/>
  <c r="BD701" i="3"/>
  <c r="BG701" i="3" s="1"/>
  <c r="U402" i="2"/>
  <c r="BD697" i="3"/>
  <c r="BG697" i="3" s="1"/>
  <c r="U398" i="2"/>
  <c r="BD693" i="3"/>
  <c r="BG693" i="3" s="1"/>
  <c r="U394" i="2"/>
  <c r="BD689" i="3"/>
  <c r="BG689" i="3" s="1"/>
  <c r="U390" i="2"/>
  <c r="BD685" i="3"/>
  <c r="BG685" i="3" s="1"/>
  <c r="U386" i="2"/>
  <c r="BD681" i="3"/>
  <c r="BG681" i="3" s="1"/>
  <c r="U382" i="2"/>
  <c r="BD677" i="3"/>
  <c r="BG677" i="3" s="1"/>
  <c r="U378" i="2"/>
  <c r="BD673" i="3"/>
  <c r="BG673" i="3" s="1"/>
  <c r="U374" i="2"/>
  <c r="BD669" i="3"/>
  <c r="BG669" i="3" s="1"/>
  <c r="U370" i="2"/>
  <c r="BD665" i="3"/>
  <c r="BG665" i="3" s="1"/>
  <c r="U366" i="2"/>
  <c r="BD661" i="3"/>
  <c r="BG661" i="3" s="1"/>
  <c r="U362" i="2"/>
  <c r="BD657" i="3"/>
  <c r="BG657" i="3" s="1"/>
  <c r="U358" i="2"/>
  <c r="BD653" i="3"/>
  <c r="BG653" i="3" s="1"/>
  <c r="U354" i="2"/>
  <c r="BD649" i="3"/>
  <c r="BG649" i="3" s="1"/>
  <c r="U350" i="2"/>
  <c r="BD645" i="3"/>
  <c r="BG645" i="3" s="1"/>
  <c r="U346" i="2"/>
  <c r="BD641" i="3"/>
  <c r="BG641" i="3" s="1"/>
  <c r="U342" i="2"/>
  <c r="BD637" i="3"/>
  <c r="BG637" i="3" s="1"/>
  <c r="U338" i="2"/>
  <c r="BD633" i="3"/>
  <c r="BG633" i="3" s="1"/>
  <c r="U773" i="2"/>
  <c r="BD1068" i="3"/>
  <c r="BG1068" i="3" s="1"/>
  <c r="U769" i="2"/>
  <c r="BD1064" i="3"/>
  <c r="BG1064" i="3" s="1"/>
  <c r="U765" i="2"/>
  <c r="BD1060" i="3"/>
  <c r="BG1060" i="3" s="1"/>
  <c r="U761" i="2"/>
  <c r="BD1056" i="3"/>
  <c r="BG1056" i="3" s="1"/>
  <c r="U757" i="2"/>
  <c r="BD1052" i="3"/>
  <c r="BG1052" i="3" s="1"/>
  <c r="U753" i="2"/>
  <c r="BD1048" i="3"/>
  <c r="BG1048" i="3" s="1"/>
  <c r="U749" i="2"/>
  <c r="BD1044" i="3"/>
  <c r="BG1044" i="3" s="1"/>
  <c r="U745" i="2"/>
  <c r="BD1040" i="3"/>
  <c r="BG1040" i="3" s="1"/>
  <c r="U741" i="2"/>
  <c r="BD1036" i="3"/>
  <c r="BG1036" i="3" s="1"/>
  <c r="U737" i="2"/>
  <c r="BD1032" i="3"/>
  <c r="BG1032" i="3" s="1"/>
  <c r="U733" i="2"/>
  <c r="BD1028" i="3"/>
  <c r="BG1028" i="3" s="1"/>
  <c r="U729" i="2"/>
  <c r="BD1024" i="3"/>
  <c r="BG1024" i="3" s="1"/>
  <c r="U725" i="2"/>
  <c r="BD1020" i="3"/>
  <c r="BG1020" i="3" s="1"/>
  <c r="U721" i="2"/>
  <c r="BD1016" i="3"/>
  <c r="BG1016" i="3" s="1"/>
  <c r="U717" i="2"/>
  <c r="BD1012" i="3"/>
  <c r="BG1012" i="3" s="1"/>
  <c r="U713" i="2"/>
  <c r="BD1008" i="3"/>
  <c r="BG1008" i="3" s="1"/>
  <c r="U709" i="2"/>
  <c r="BD1004" i="3"/>
  <c r="BG1004" i="3" s="1"/>
  <c r="U705" i="2"/>
  <c r="BD1000" i="3"/>
  <c r="BG1000" i="3" s="1"/>
  <c r="U697" i="2"/>
  <c r="BD992" i="3"/>
  <c r="BG992" i="3" s="1"/>
  <c r="U693" i="2"/>
  <c r="BD988" i="3"/>
  <c r="BG988" i="3" s="1"/>
  <c r="U689" i="2"/>
  <c r="BD984" i="3"/>
  <c r="BG984" i="3" s="1"/>
  <c r="U685" i="2"/>
  <c r="BD980" i="3"/>
  <c r="BG980" i="3" s="1"/>
  <c r="U681" i="2"/>
  <c r="BD976" i="3"/>
  <c r="BG976" i="3" s="1"/>
  <c r="U677" i="2"/>
  <c r="BD972" i="3"/>
  <c r="BG972" i="3" s="1"/>
  <c r="U673" i="2"/>
  <c r="BD968" i="3"/>
  <c r="BG968" i="3" s="1"/>
  <c r="U669" i="2"/>
  <c r="BD964" i="3"/>
  <c r="BG964" i="3" s="1"/>
  <c r="U665" i="2"/>
  <c r="BD960" i="3"/>
  <c r="BG960" i="3" s="1"/>
  <c r="U661" i="2"/>
  <c r="BD956" i="3"/>
  <c r="BG956" i="3" s="1"/>
  <c r="U657" i="2"/>
  <c r="BD952" i="3"/>
  <c r="BG952" i="3" s="1"/>
  <c r="U653" i="2"/>
  <c r="BD948" i="3"/>
  <c r="BG948" i="3" s="1"/>
  <c r="U649" i="2"/>
  <c r="BD944" i="3"/>
  <c r="BG944" i="3" s="1"/>
  <c r="U645" i="2"/>
  <c r="BD940" i="3"/>
  <c r="BG940" i="3" s="1"/>
  <c r="U641" i="2"/>
  <c r="BD936" i="3"/>
  <c r="BG936" i="3" s="1"/>
  <c r="U637" i="2"/>
  <c r="BD932" i="3"/>
  <c r="BG932" i="3" s="1"/>
  <c r="U633" i="2"/>
  <c r="BD928" i="3"/>
  <c r="BG928" i="3" s="1"/>
  <c r="U629" i="2"/>
  <c r="BD924" i="3"/>
  <c r="BG924" i="3" s="1"/>
  <c r="U625" i="2"/>
  <c r="BD920" i="3"/>
  <c r="BG920" i="3" s="1"/>
  <c r="U621" i="2"/>
  <c r="BD916" i="3"/>
  <c r="BG916" i="3" s="1"/>
  <c r="U617" i="2"/>
  <c r="BD912" i="3"/>
  <c r="BG912" i="3" s="1"/>
  <c r="U613" i="2"/>
  <c r="BD908" i="3"/>
  <c r="BG908" i="3" s="1"/>
  <c r="U609" i="2"/>
  <c r="BD904" i="3"/>
  <c r="BG904" i="3" s="1"/>
  <c r="U605" i="2"/>
  <c r="BD900" i="3"/>
  <c r="BG900" i="3" s="1"/>
  <c r="U601" i="2"/>
  <c r="BD896" i="3"/>
  <c r="BG896" i="3" s="1"/>
  <c r="U597" i="2"/>
  <c r="BD892" i="3"/>
  <c r="BG892" i="3" s="1"/>
  <c r="U593" i="2"/>
  <c r="BD888" i="3"/>
  <c r="BG888" i="3" s="1"/>
  <c r="U589" i="2"/>
  <c r="BD884" i="3"/>
  <c r="BG884" i="3" s="1"/>
  <c r="U585" i="2"/>
  <c r="BD880" i="3"/>
  <c r="BG880" i="3" s="1"/>
  <c r="U581" i="2"/>
  <c r="BD876" i="3"/>
  <c r="BG876" i="3" s="1"/>
  <c r="U577" i="2"/>
  <c r="BD872" i="3"/>
  <c r="BG872" i="3" s="1"/>
  <c r="U573" i="2"/>
  <c r="BD868" i="3"/>
  <c r="BG868" i="3" s="1"/>
  <c r="U569" i="2"/>
  <c r="BD864" i="3"/>
  <c r="BG864" i="3" s="1"/>
  <c r="U565" i="2"/>
  <c r="BD860" i="3"/>
  <c r="BG860" i="3" s="1"/>
  <c r="U561" i="2"/>
  <c r="BD856" i="3"/>
  <c r="BG856" i="3" s="1"/>
  <c r="U557" i="2"/>
  <c r="BD852" i="3"/>
  <c r="BG852" i="3" s="1"/>
  <c r="U553" i="2"/>
  <c r="BD848" i="3"/>
  <c r="BG848" i="3" s="1"/>
  <c r="U549" i="2"/>
  <c r="BD844" i="3"/>
  <c r="BG844" i="3" s="1"/>
  <c r="U545" i="2"/>
  <c r="BD840" i="3"/>
  <c r="BG840" i="3" s="1"/>
  <c r="U541" i="2"/>
  <c r="BD836" i="3"/>
  <c r="BG836" i="3" s="1"/>
  <c r="U537" i="2"/>
  <c r="BD832" i="3"/>
  <c r="BG832" i="3" s="1"/>
  <c r="U533" i="2"/>
  <c r="BD828" i="3"/>
  <c r="BG828" i="3" s="1"/>
  <c r="U529" i="2"/>
  <c r="BD824" i="3"/>
  <c r="BG824" i="3" s="1"/>
  <c r="U525" i="2"/>
  <c r="BD820" i="3"/>
  <c r="BG820" i="3" s="1"/>
  <c r="U521" i="2"/>
  <c r="BD816" i="3"/>
  <c r="BG816" i="3" s="1"/>
  <c r="U517" i="2"/>
  <c r="BD812" i="3"/>
  <c r="BG812" i="3" s="1"/>
  <c r="U513" i="2"/>
  <c r="BD808" i="3"/>
  <c r="BG808" i="3" s="1"/>
  <c r="U509" i="2"/>
  <c r="BD804" i="3"/>
  <c r="BG804" i="3" s="1"/>
  <c r="U505" i="2"/>
  <c r="BD800" i="3"/>
  <c r="BG800" i="3" s="1"/>
  <c r="U501" i="2"/>
  <c r="BD796" i="3"/>
  <c r="BG796" i="3" s="1"/>
  <c r="U497" i="2"/>
  <c r="BD792" i="3"/>
  <c r="BG792" i="3" s="1"/>
  <c r="U493" i="2"/>
  <c r="BD788" i="3"/>
  <c r="BG788" i="3" s="1"/>
  <c r="U489" i="2"/>
  <c r="BD784" i="3"/>
  <c r="BG784" i="3" s="1"/>
  <c r="U485" i="2"/>
  <c r="BD780" i="3"/>
  <c r="BG780" i="3" s="1"/>
  <c r="U481" i="2"/>
  <c r="BD776" i="3"/>
  <c r="BG776" i="3" s="1"/>
  <c r="U477" i="2"/>
  <c r="BD772" i="3"/>
  <c r="BG772" i="3" s="1"/>
  <c r="U473" i="2"/>
  <c r="BD768" i="3"/>
  <c r="BG768" i="3" s="1"/>
  <c r="U469" i="2"/>
  <c r="BD764" i="3"/>
  <c r="BG764" i="3" s="1"/>
  <c r="U465" i="2"/>
  <c r="BD760" i="3"/>
  <c r="BG760" i="3" s="1"/>
  <c r="U461" i="2"/>
  <c r="BD756" i="3"/>
  <c r="BG756" i="3" s="1"/>
  <c r="U457" i="2"/>
  <c r="BD752" i="3"/>
  <c r="BG752" i="3" s="1"/>
  <c r="U453" i="2"/>
  <c r="BD748" i="3"/>
  <c r="BG748" i="3" s="1"/>
  <c r="U449" i="2"/>
  <c r="BD744" i="3"/>
  <c r="BG744" i="3" s="1"/>
  <c r="U445" i="2"/>
  <c r="BD740" i="3"/>
  <c r="BG740" i="3" s="1"/>
  <c r="U441" i="2"/>
  <c r="BD736" i="3"/>
  <c r="BG736" i="3" s="1"/>
  <c r="U437" i="2"/>
  <c r="BD732" i="3"/>
  <c r="BG732" i="3" s="1"/>
  <c r="U433" i="2"/>
  <c r="BD728" i="3"/>
  <c r="BG728" i="3" s="1"/>
  <c r="U429" i="2"/>
  <c r="BD724" i="3"/>
  <c r="BG724" i="3" s="1"/>
  <c r="U425" i="2"/>
  <c r="BD720" i="3"/>
  <c r="BG720" i="3" s="1"/>
  <c r="U421" i="2"/>
  <c r="BD716" i="3"/>
  <c r="BG716" i="3" s="1"/>
  <c r="U417" i="2"/>
  <c r="BD712" i="3"/>
  <c r="BG712" i="3" s="1"/>
  <c r="U413" i="2"/>
  <c r="BD708" i="3"/>
  <c r="BG708" i="3" s="1"/>
  <c r="U409" i="2"/>
  <c r="BD704" i="3"/>
  <c r="BG704" i="3" s="1"/>
  <c r="U405" i="2"/>
  <c r="BD700" i="3"/>
  <c r="BG700" i="3" s="1"/>
  <c r="U401" i="2"/>
  <c r="BD696" i="3"/>
  <c r="BG696" i="3" s="1"/>
  <c r="U397" i="2"/>
  <c r="BD692" i="3"/>
  <c r="BG692" i="3" s="1"/>
  <c r="U393" i="2"/>
  <c r="BD688" i="3"/>
  <c r="BG688" i="3" s="1"/>
  <c r="U389" i="2"/>
  <c r="BD684" i="3"/>
  <c r="BG684" i="3" s="1"/>
  <c r="U385" i="2"/>
  <c r="BD680" i="3"/>
  <c r="BG680" i="3" s="1"/>
  <c r="U381" i="2"/>
  <c r="BD676" i="3"/>
  <c r="BG676" i="3" s="1"/>
  <c r="U377" i="2"/>
  <c r="BD672" i="3"/>
  <c r="BG672" i="3" s="1"/>
  <c r="U373" i="2"/>
  <c r="BD668" i="3"/>
  <c r="BG668" i="3" s="1"/>
  <c r="U369" i="2"/>
  <c r="BD664" i="3"/>
  <c r="BG664" i="3" s="1"/>
  <c r="U365" i="2"/>
  <c r="BD660" i="3"/>
  <c r="BG660" i="3" s="1"/>
  <c r="U361" i="2"/>
  <c r="BD656" i="3"/>
  <c r="BG656" i="3" s="1"/>
  <c r="U357" i="2"/>
  <c r="BD652" i="3"/>
  <c r="BG652" i="3" s="1"/>
  <c r="U353" i="2"/>
  <c r="BD648" i="3"/>
  <c r="BG648" i="3" s="1"/>
  <c r="U349" i="2"/>
  <c r="BD644" i="3"/>
  <c r="BG644" i="3" s="1"/>
  <c r="U345" i="2"/>
  <c r="BD640" i="3"/>
  <c r="BG640" i="3" s="1"/>
  <c r="U341" i="2"/>
  <c r="BD636" i="3"/>
  <c r="BG636" i="3" s="1"/>
  <c r="U337" i="2"/>
  <c r="BD632" i="3"/>
  <c r="BG632" i="3" s="1"/>
  <c r="U333" i="2"/>
  <c r="BD628" i="3"/>
  <c r="BG628" i="3" s="1"/>
  <c r="U329" i="2"/>
  <c r="BD624" i="3"/>
  <c r="BG624" i="3" s="1"/>
  <c r="U325" i="2"/>
  <c r="BD620" i="3"/>
  <c r="BG620" i="3" s="1"/>
  <c r="U321" i="2"/>
  <c r="BD616" i="3"/>
  <c r="BG616" i="3" s="1"/>
  <c r="U317" i="2"/>
  <c r="BD612" i="3"/>
  <c r="BG612" i="3" s="1"/>
  <c r="U313" i="2"/>
  <c r="BD608" i="3"/>
  <c r="BG608" i="3" s="1"/>
  <c r="U309" i="2"/>
  <c r="BD604" i="3"/>
  <c r="BG604" i="3" s="1"/>
  <c r="U305" i="2"/>
  <c r="BD600" i="3"/>
  <c r="BG600" i="3" s="1"/>
  <c r="U301" i="2"/>
  <c r="BD596" i="3"/>
  <c r="BG596" i="3" s="1"/>
  <c r="U297" i="2"/>
  <c r="BD592" i="3"/>
  <c r="BG592" i="3" s="1"/>
  <c r="U293" i="2"/>
  <c r="BD588" i="3"/>
  <c r="BG588" i="3" s="1"/>
  <c r="U289" i="2"/>
  <c r="BD584" i="3"/>
  <c r="BG584" i="3" s="1"/>
  <c r="U285" i="2"/>
  <c r="BD580" i="3"/>
  <c r="BG580" i="3" s="1"/>
  <c r="U281" i="2"/>
  <c r="BD576" i="3"/>
  <c r="BG576" i="3" s="1"/>
  <c r="U277" i="2"/>
  <c r="BD572" i="3"/>
  <c r="BG572" i="3" s="1"/>
  <c r="U273" i="2"/>
  <c r="BD568" i="3"/>
  <c r="BG568" i="3" s="1"/>
  <c r="U269" i="2"/>
  <c r="BD564" i="3"/>
  <c r="BG564" i="3" s="1"/>
  <c r="U265" i="2"/>
  <c r="BD560" i="3"/>
  <c r="BG560" i="3" s="1"/>
  <c r="U261" i="2"/>
  <c r="BD556" i="3"/>
  <c r="BG556" i="3" s="1"/>
  <c r="U257" i="2"/>
  <c r="BD552" i="3"/>
  <c r="BG552" i="3" s="1"/>
  <c r="U253" i="2"/>
  <c r="BD548" i="3"/>
  <c r="BG548" i="3" s="1"/>
  <c r="U249" i="2"/>
  <c r="BD544" i="3"/>
  <c r="BG544" i="3" s="1"/>
  <c r="U245" i="2"/>
  <c r="BD540" i="3"/>
  <c r="BG540" i="3" s="1"/>
  <c r="U241" i="2"/>
  <c r="BD536" i="3"/>
  <c r="BG536" i="3" s="1"/>
  <c r="U237" i="2"/>
  <c r="BD532" i="3"/>
  <c r="BG532" i="3" s="1"/>
  <c r="U233" i="2"/>
  <c r="BD528" i="3"/>
  <c r="BG528" i="3" s="1"/>
  <c r="U229" i="2"/>
  <c r="BD524" i="3"/>
  <c r="BG524" i="3" s="1"/>
  <c r="U225" i="2"/>
  <c r="BD520" i="3"/>
  <c r="BG520" i="3" s="1"/>
  <c r="U221" i="2"/>
  <c r="BD516" i="3"/>
  <c r="BG516" i="3" s="1"/>
  <c r="U217" i="2"/>
  <c r="BD512" i="3"/>
  <c r="BG512" i="3" s="1"/>
  <c r="U213" i="2"/>
  <c r="BD508" i="3"/>
  <c r="BG508" i="3" s="1"/>
  <c r="U209" i="2"/>
  <c r="BD504" i="3"/>
  <c r="BG504" i="3" s="1"/>
  <c r="U205" i="2"/>
  <c r="BD500" i="3"/>
  <c r="BG500" i="3" s="1"/>
  <c r="U201" i="2"/>
  <c r="BD496" i="3"/>
  <c r="BG496" i="3" s="1"/>
  <c r="U197" i="2"/>
  <c r="BD492" i="3"/>
  <c r="BG492" i="3" s="1"/>
  <c r="U193" i="2"/>
  <c r="BD488" i="3"/>
  <c r="BG488" i="3" s="1"/>
  <c r="U189" i="2"/>
  <c r="BD484" i="3"/>
  <c r="BG484" i="3" s="1"/>
  <c r="U185" i="2"/>
  <c r="BD480" i="3"/>
  <c r="BG480" i="3" s="1"/>
  <c r="U181" i="2"/>
  <c r="BD476" i="3"/>
  <c r="BG476" i="3" s="1"/>
  <c r="U177" i="2"/>
  <c r="BD472" i="3"/>
  <c r="BG472" i="3" s="1"/>
  <c r="U173" i="2"/>
  <c r="BD468" i="3"/>
  <c r="BG468" i="3" s="1"/>
  <c r="U169" i="2"/>
  <c r="BD464" i="3"/>
  <c r="BG464" i="3" s="1"/>
  <c r="U165" i="2"/>
  <c r="BD460" i="3"/>
  <c r="BG460" i="3" s="1"/>
  <c r="U161" i="2"/>
  <c r="BD456" i="3"/>
  <c r="BG456" i="3" s="1"/>
  <c r="U157" i="2"/>
  <c r="BD452" i="3"/>
  <c r="BG452" i="3" s="1"/>
  <c r="U153" i="2"/>
  <c r="BD448" i="3"/>
  <c r="BG448" i="3" s="1"/>
  <c r="U149" i="2"/>
  <c r="BD444" i="3"/>
  <c r="BG444" i="3" s="1"/>
  <c r="U145" i="2"/>
  <c r="BD440" i="3"/>
  <c r="BG440" i="3" s="1"/>
  <c r="U141" i="2"/>
  <c r="BD436" i="3"/>
  <c r="BG436" i="3" s="1"/>
  <c r="U137" i="2"/>
  <c r="BD432" i="3"/>
  <c r="BG432" i="3" s="1"/>
  <c r="U133" i="2"/>
  <c r="BD428" i="3"/>
  <c r="BG428" i="3" s="1"/>
  <c r="U129" i="2"/>
  <c r="BD424" i="3"/>
  <c r="BG424" i="3" s="1"/>
  <c r="U125" i="2"/>
  <c r="BD420" i="3"/>
  <c r="BG420" i="3" s="1"/>
  <c r="U117" i="2"/>
  <c r="BD412" i="3"/>
  <c r="BG412" i="3" s="1"/>
  <c r="U109" i="2"/>
  <c r="BD404" i="3"/>
  <c r="BG404" i="3" s="1"/>
  <c r="U101" i="2"/>
  <c r="BD396" i="3"/>
  <c r="BG396" i="3" s="1"/>
  <c r="U93" i="2"/>
  <c r="BD388" i="3"/>
  <c r="BG388" i="3" s="1"/>
  <c r="U85" i="2"/>
  <c r="BD380" i="3"/>
  <c r="BG380" i="3" s="1"/>
  <c r="U77" i="2"/>
  <c r="U69" i="2"/>
  <c r="U61" i="2"/>
  <c r="U53" i="2"/>
  <c r="U45" i="2"/>
  <c r="U37" i="2"/>
  <c r="U29" i="2"/>
  <c r="U25" i="2"/>
  <c r="U13" i="2"/>
  <c r="U334" i="2"/>
  <c r="BD629" i="3"/>
  <c r="BG629" i="3" s="1"/>
  <c r="U326" i="2"/>
  <c r="BD621" i="3"/>
  <c r="BG621" i="3" s="1"/>
  <c r="U318" i="2"/>
  <c r="BD613" i="3"/>
  <c r="BG613" i="3" s="1"/>
  <c r="U310" i="2"/>
  <c r="BD605" i="3"/>
  <c r="BG605" i="3" s="1"/>
  <c r="U302" i="2"/>
  <c r="BD597" i="3"/>
  <c r="BG597" i="3" s="1"/>
  <c r="U294" i="2"/>
  <c r="BD589" i="3"/>
  <c r="BG589" i="3" s="1"/>
  <c r="U286" i="2"/>
  <c r="BD581" i="3"/>
  <c r="BG581" i="3" s="1"/>
  <c r="U278" i="2"/>
  <c r="BD573" i="3"/>
  <c r="BG573" i="3" s="1"/>
  <c r="U270" i="2"/>
  <c r="BD565" i="3"/>
  <c r="BG565" i="3" s="1"/>
  <c r="U262" i="2"/>
  <c r="BD557" i="3"/>
  <c r="BG557" i="3" s="1"/>
  <c r="U254" i="2"/>
  <c r="BD549" i="3"/>
  <c r="BG549" i="3" s="1"/>
  <c r="U246" i="2"/>
  <c r="BD541" i="3"/>
  <c r="BG541" i="3" s="1"/>
  <c r="U238" i="2"/>
  <c r="BD533" i="3"/>
  <c r="BG533" i="3" s="1"/>
  <c r="U230" i="2"/>
  <c r="BD525" i="3"/>
  <c r="BG525" i="3" s="1"/>
  <c r="U222" i="2"/>
  <c r="BD517" i="3"/>
  <c r="BG517" i="3" s="1"/>
  <c r="U214" i="2"/>
  <c r="BD509" i="3"/>
  <c r="BG509" i="3" s="1"/>
  <c r="U206" i="2"/>
  <c r="BD501" i="3"/>
  <c r="BG501" i="3" s="1"/>
  <c r="U198" i="2"/>
  <c r="BD493" i="3"/>
  <c r="BG493" i="3" s="1"/>
  <c r="U190" i="2"/>
  <c r="BD485" i="3"/>
  <c r="BG485" i="3" s="1"/>
  <c r="U182" i="2"/>
  <c r="BD477" i="3"/>
  <c r="BG477" i="3" s="1"/>
  <c r="U174" i="2"/>
  <c r="BD469" i="3"/>
  <c r="BG469" i="3" s="1"/>
  <c r="U166" i="2"/>
  <c r="BD461" i="3"/>
  <c r="BG461" i="3" s="1"/>
  <c r="U158" i="2"/>
  <c r="BD453" i="3"/>
  <c r="BG453" i="3" s="1"/>
  <c r="U150" i="2"/>
  <c r="BD445" i="3"/>
  <c r="BG445" i="3" s="1"/>
  <c r="U142" i="2"/>
  <c r="BD437" i="3"/>
  <c r="BG437" i="3" s="1"/>
  <c r="U134" i="2"/>
  <c r="BD429" i="3"/>
  <c r="BG429" i="3" s="1"/>
  <c r="U126" i="2"/>
  <c r="BD421" i="3"/>
  <c r="BG421" i="3" s="1"/>
  <c r="U118" i="2"/>
  <c r="BD413" i="3"/>
  <c r="BG413" i="3" s="1"/>
  <c r="U110" i="2"/>
  <c r="BD405" i="3"/>
  <c r="BG405" i="3" s="1"/>
  <c r="U102" i="2"/>
  <c r="BD397" i="3"/>
  <c r="BG397" i="3" s="1"/>
  <c r="U94" i="2"/>
  <c r="BD389" i="3"/>
  <c r="BG389" i="3" s="1"/>
  <c r="U86" i="2"/>
  <c r="BD381" i="3"/>
  <c r="BG381" i="3" s="1"/>
  <c r="U78" i="2"/>
  <c r="U70" i="2"/>
  <c r="U62" i="2"/>
  <c r="U54" i="2"/>
  <c r="U46" i="2"/>
  <c r="U38" i="2"/>
  <c r="BD1154" i="3"/>
  <c r="BG1154" i="3" s="1"/>
  <c r="BD1138" i="3"/>
  <c r="BG1138" i="3" s="1"/>
  <c r="BD1122" i="3"/>
  <c r="BG1122" i="3" s="1"/>
  <c r="BD1106" i="3"/>
  <c r="BG1106" i="3" s="1"/>
  <c r="BD1090" i="3"/>
  <c r="BG1090" i="3" s="1"/>
  <c r="BD1074" i="3"/>
  <c r="BG1074" i="3" s="1"/>
  <c r="BD1058" i="3"/>
  <c r="BG1058" i="3" s="1"/>
  <c r="BD1042" i="3"/>
  <c r="BG1042" i="3" s="1"/>
  <c r="BD1026" i="3"/>
  <c r="BG1026" i="3" s="1"/>
  <c r="BD1010" i="3"/>
  <c r="BG1010" i="3" s="1"/>
  <c r="BD994" i="3"/>
  <c r="BG994" i="3" s="1"/>
  <c r="BD978" i="3"/>
  <c r="BG978" i="3" s="1"/>
  <c r="BD962" i="3"/>
  <c r="BG962" i="3" s="1"/>
  <c r="BD946" i="3"/>
  <c r="BG946" i="3" s="1"/>
  <c r="BD930" i="3"/>
  <c r="BG930" i="3" s="1"/>
  <c r="BD914" i="3"/>
  <c r="BG914" i="3" s="1"/>
  <c r="BD898" i="3"/>
  <c r="BG898" i="3" s="1"/>
  <c r="BD882" i="3"/>
  <c r="BG882" i="3" s="1"/>
  <c r="BD866" i="3"/>
  <c r="BG866" i="3" s="1"/>
  <c r="BD850" i="3"/>
  <c r="BG850" i="3" s="1"/>
  <c r="BD834" i="3"/>
  <c r="BG834" i="3" s="1"/>
  <c r="BD818" i="3"/>
  <c r="BG818" i="3" s="1"/>
  <c r="BD802" i="3"/>
  <c r="BG802" i="3" s="1"/>
  <c r="BD786" i="3"/>
  <c r="BG786" i="3" s="1"/>
  <c r="BD770" i="3"/>
  <c r="BG770" i="3" s="1"/>
  <c r="BD754" i="3"/>
  <c r="BG754" i="3" s="1"/>
  <c r="BD738" i="3"/>
  <c r="BG738" i="3" s="1"/>
  <c r="BD722" i="3"/>
  <c r="BG722" i="3" s="1"/>
  <c r="BD706" i="3"/>
  <c r="BG706" i="3" s="1"/>
  <c r="BD690" i="3"/>
  <c r="BG690" i="3" s="1"/>
  <c r="BD674" i="3"/>
  <c r="BG674" i="3" s="1"/>
  <c r="BD658" i="3"/>
  <c r="BG658" i="3" s="1"/>
  <c r="BD642" i="3"/>
  <c r="BG642" i="3" s="1"/>
  <c r="BD626" i="3"/>
  <c r="BG626" i="3" s="1"/>
  <c r="BD610" i="3"/>
  <c r="BG610" i="3" s="1"/>
  <c r="BD594" i="3"/>
  <c r="BG594" i="3" s="1"/>
  <c r="BD578" i="3"/>
  <c r="BG578" i="3" s="1"/>
  <c r="BD562" i="3"/>
  <c r="BG562" i="3" s="1"/>
  <c r="BD546" i="3"/>
  <c r="BG546" i="3" s="1"/>
  <c r="BD530" i="3"/>
  <c r="BG530" i="3" s="1"/>
  <c r="BD514" i="3"/>
  <c r="BG514" i="3" s="1"/>
  <c r="BD498" i="3"/>
  <c r="BG498" i="3" s="1"/>
  <c r="BD482" i="3"/>
  <c r="BG482" i="3" s="1"/>
  <c r="BD466" i="3"/>
  <c r="BG466" i="3" s="1"/>
  <c r="BD450" i="3"/>
  <c r="BG450" i="3" s="1"/>
  <c r="BD434" i="3"/>
  <c r="BG434" i="3" s="1"/>
  <c r="BD418" i="3"/>
  <c r="BG418" i="3" s="1"/>
  <c r="BD402" i="3"/>
  <c r="BG402" i="3" s="1"/>
  <c r="BD386" i="3"/>
  <c r="BG386" i="3" s="1"/>
  <c r="U330" i="2"/>
  <c r="BD625" i="3"/>
  <c r="BG625" i="3" s="1"/>
  <c r="U322" i="2"/>
  <c r="BD617" i="3"/>
  <c r="BG617" i="3" s="1"/>
  <c r="U314" i="2"/>
  <c r="BD609" i="3"/>
  <c r="BG609" i="3" s="1"/>
  <c r="U306" i="2"/>
  <c r="BD601" i="3"/>
  <c r="BG601" i="3" s="1"/>
  <c r="U298" i="2"/>
  <c r="BD593" i="3"/>
  <c r="BG593" i="3" s="1"/>
  <c r="U290" i="2"/>
  <c r="BD585" i="3"/>
  <c r="BG585" i="3" s="1"/>
  <c r="U282" i="2"/>
  <c r="BD577" i="3"/>
  <c r="BG577" i="3" s="1"/>
  <c r="U274" i="2"/>
  <c r="BD569" i="3"/>
  <c r="BG569" i="3" s="1"/>
  <c r="U266" i="2"/>
  <c r="BD561" i="3"/>
  <c r="BG561" i="3" s="1"/>
  <c r="U258" i="2"/>
  <c r="BD553" i="3"/>
  <c r="BG553" i="3" s="1"/>
  <c r="U250" i="2"/>
  <c r="BD545" i="3"/>
  <c r="BG545" i="3" s="1"/>
  <c r="U242" i="2"/>
  <c r="BD537" i="3"/>
  <c r="BG537" i="3" s="1"/>
  <c r="U234" i="2"/>
  <c r="BD529" i="3"/>
  <c r="BG529" i="3" s="1"/>
  <c r="U226" i="2"/>
  <c r="BD521" i="3"/>
  <c r="BG521" i="3" s="1"/>
  <c r="U218" i="2"/>
  <c r="BD513" i="3"/>
  <c r="BG513" i="3" s="1"/>
  <c r="U210" i="2"/>
  <c r="BD505" i="3"/>
  <c r="BG505" i="3" s="1"/>
  <c r="U202" i="2"/>
  <c r="BD497" i="3"/>
  <c r="BG497" i="3" s="1"/>
  <c r="U194" i="2"/>
  <c r="BD489" i="3"/>
  <c r="BG489" i="3" s="1"/>
  <c r="U186" i="2"/>
  <c r="BD481" i="3"/>
  <c r="BG481" i="3" s="1"/>
  <c r="U178" i="2"/>
  <c r="BD473" i="3"/>
  <c r="BG473" i="3" s="1"/>
  <c r="U170" i="2"/>
  <c r="BD465" i="3"/>
  <c r="BG465" i="3" s="1"/>
  <c r="U162" i="2"/>
  <c r="BD457" i="3"/>
  <c r="BG457" i="3" s="1"/>
  <c r="U154" i="2"/>
  <c r="BD449" i="3"/>
  <c r="BG449" i="3" s="1"/>
  <c r="U146" i="2"/>
  <c r="BD441" i="3"/>
  <c r="BG441" i="3" s="1"/>
  <c r="U138" i="2"/>
  <c r="BD433" i="3"/>
  <c r="BG433" i="3" s="1"/>
  <c r="U130" i="2"/>
  <c r="BD425" i="3"/>
  <c r="BG425" i="3" s="1"/>
  <c r="U122" i="2"/>
  <c r="BD417" i="3"/>
  <c r="BG417" i="3" s="1"/>
  <c r="U114" i="2"/>
  <c r="BD409" i="3"/>
  <c r="BG409" i="3" s="1"/>
  <c r="U106" i="2"/>
  <c r="BD401" i="3"/>
  <c r="BG401" i="3" s="1"/>
  <c r="U98" i="2"/>
  <c r="BD393" i="3"/>
  <c r="BG393" i="3" s="1"/>
  <c r="U90" i="2"/>
  <c r="BD385" i="3"/>
  <c r="BG385" i="3" s="1"/>
  <c r="U82" i="2"/>
  <c r="U74" i="2"/>
  <c r="U66" i="2"/>
  <c r="U58" i="2"/>
  <c r="U50" i="2"/>
  <c r="U42" i="2"/>
  <c r="U34" i="2"/>
  <c r="U30" i="2"/>
  <c r="U26" i="2"/>
  <c r="U864" i="2"/>
  <c r="BD1159" i="3"/>
  <c r="BG1159" i="3" s="1"/>
  <c r="U860" i="2"/>
  <c r="BD1155" i="3"/>
  <c r="BG1155" i="3" s="1"/>
  <c r="U856" i="2"/>
  <c r="BD1151" i="3"/>
  <c r="BG1151" i="3" s="1"/>
  <c r="U852" i="2"/>
  <c r="BD1147" i="3"/>
  <c r="BG1147" i="3" s="1"/>
  <c r="U848" i="2"/>
  <c r="BD1143" i="3"/>
  <c r="BG1143" i="3" s="1"/>
  <c r="U844" i="2"/>
  <c r="BD1139" i="3"/>
  <c r="BG1139" i="3" s="1"/>
  <c r="U840" i="2"/>
  <c r="BD1135" i="3"/>
  <c r="BG1135" i="3" s="1"/>
  <c r="U836" i="2"/>
  <c r="BD1131" i="3"/>
  <c r="BG1131" i="3" s="1"/>
  <c r="U832" i="2"/>
  <c r="BD1127" i="3"/>
  <c r="BG1127" i="3" s="1"/>
  <c r="U828" i="2"/>
  <c r="BD1123" i="3"/>
  <c r="BG1123" i="3" s="1"/>
  <c r="U824" i="2"/>
  <c r="BD1119" i="3"/>
  <c r="BG1119" i="3" s="1"/>
  <c r="U820" i="2"/>
  <c r="BD1115" i="3"/>
  <c r="BG1115" i="3" s="1"/>
  <c r="U816" i="2"/>
  <c r="BD1111" i="3"/>
  <c r="BG1111" i="3" s="1"/>
  <c r="U812" i="2"/>
  <c r="BD1107" i="3"/>
  <c r="BG1107" i="3" s="1"/>
  <c r="U808" i="2"/>
  <c r="BD1103" i="3"/>
  <c r="BG1103" i="3" s="1"/>
  <c r="U804" i="2"/>
  <c r="BD1099" i="3"/>
  <c r="BG1099" i="3" s="1"/>
  <c r="U800" i="2"/>
  <c r="BD1095" i="3"/>
  <c r="BG1095" i="3" s="1"/>
  <c r="U796" i="2"/>
  <c r="BD1091" i="3"/>
  <c r="BG1091" i="3" s="1"/>
  <c r="U792" i="2"/>
  <c r="BD1087" i="3"/>
  <c r="BG1087" i="3" s="1"/>
  <c r="U788" i="2"/>
  <c r="BD1083" i="3"/>
  <c r="BG1083" i="3" s="1"/>
  <c r="U784" i="2"/>
  <c r="BD1079" i="3"/>
  <c r="BG1079" i="3" s="1"/>
  <c r="U780" i="2"/>
  <c r="BD1075" i="3"/>
  <c r="BG1075" i="3" s="1"/>
  <c r="U776" i="2"/>
  <c r="BD1071" i="3"/>
  <c r="BG1071" i="3" s="1"/>
  <c r="U772" i="2"/>
  <c r="BD1067" i="3"/>
  <c r="BG1067" i="3" s="1"/>
  <c r="U768" i="2"/>
  <c r="BD1063" i="3"/>
  <c r="BG1063" i="3" s="1"/>
  <c r="U764" i="2"/>
  <c r="BD1059" i="3"/>
  <c r="BG1059" i="3" s="1"/>
  <c r="U760" i="2"/>
  <c r="BD1055" i="3"/>
  <c r="BG1055" i="3" s="1"/>
  <c r="U756" i="2"/>
  <c r="BD1051" i="3"/>
  <c r="BG1051" i="3" s="1"/>
  <c r="U752" i="2"/>
  <c r="BD1047" i="3"/>
  <c r="BG1047" i="3" s="1"/>
  <c r="U748" i="2"/>
  <c r="BD1043" i="3"/>
  <c r="BG1043" i="3" s="1"/>
  <c r="U744" i="2"/>
  <c r="BD1039" i="3"/>
  <c r="BG1039" i="3" s="1"/>
  <c r="U740" i="2"/>
  <c r="BD1035" i="3"/>
  <c r="BG1035" i="3" s="1"/>
  <c r="U736" i="2"/>
  <c r="BD1031" i="3"/>
  <c r="BG1031" i="3" s="1"/>
  <c r="U732" i="2"/>
  <c r="BD1027" i="3"/>
  <c r="BG1027" i="3" s="1"/>
  <c r="U728" i="2"/>
  <c r="BD1023" i="3"/>
  <c r="BG1023" i="3" s="1"/>
  <c r="U724" i="2"/>
  <c r="BD1019" i="3"/>
  <c r="BG1019" i="3" s="1"/>
  <c r="U720" i="2"/>
  <c r="BD1015" i="3"/>
  <c r="BG1015" i="3" s="1"/>
  <c r="U716" i="2"/>
  <c r="BD1011" i="3"/>
  <c r="BG1011" i="3" s="1"/>
  <c r="U712" i="2"/>
  <c r="BD1007" i="3"/>
  <c r="BG1007" i="3" s="1"/>
  <c r="U708" i="2"/>
  <c r="BD1003" i="3"/>
  <c r="BG1003" i="3" s="1"/>
  <c r="U704" i="2"/>
  <c r="BD999" i="3"/>
  <c r="BG999" i="3" s="1"/>
  <c r="U700" i="2"/>
  <c r="BD995" i="3"/>
  <c r="BG995" i="3" s="1"/>
  <c r="U696" i="2"/>
  <c r="BD991" i="3"/>
  <c r="BG991" i="3" s="1"/>
  <c r="U692" i="2"/>
  <c r="BD987" i="3"/>
  <c r="BG987" i="3" s="1"/>
  <c r="U688" i="2"/>
  <c r="BD983" i="3"/>
  <c r="BG983" i="3" s="1"/>
  <c r="U684" i="2"/>
  <c r="BD979" i="3"/>
  <c r="BG979" i="3" s="1"/>
  <c r="U680" i="2"/>
  <c r="BD975" i="3"/>
  <c r="BG975" i="3" s="1"/>
  <c r="U676" i="2"/>
  <c r="BD971" i="3"/>
  <c r="BG971" i="3" s="1"/>
  <c r="U672" i="2"/>
  <c r="BD967" i="3"/>
  <c r="BG967" i="3" s="1"/>
  <c r="U668" i="2"/>
  <c r="BD963" i="3"/>
  <c r="BG963" i="3" s="1"/>
  <c r="U664" i="2"/>
  <c r="BD959" i="3"/>
  <c r="BG959" i="3" s="1"/>
  <c r="U660" i="2"/>
  <c r="BD955" i="3"/>
  <c r="BG955" i="3" s="1"/>
  <c r="U656" i="2"/>
  <c r="BD951" i="3"/>
  <c r="BG951" i="3" s="1"/>
  <c r="U652" i="2"/>
  <c r="BD947" i="3"/>
  <c r="BG947" i="3" s="1"/>
  <c r="U648" i="2"/>
  <c r="BD943" i="3"/>
  <c r="BG943" i="3" s="1"/>
  <c r="U644" i="2"/>
  <c r="BD939" i="3"/>
  <c r="BG939" i="3" s="1"/>
  <c r="U640" i="2"/>
  <c r="BD935" i="3"/>
  <c r="BG935" i="3" s="1"/>
  <c r="U636" i="2"/>
  <c r="BD931" i="3"/>
  <c r="BG931" i="3" s="1"/>
  <c r="U632" i="2"/>
  <c r="BD927" i="3"/>
  <c r="BG927" i="3" s="1"/>
  <c r="U628" i="2"/>
  <c r="BD923" i="3"/>
  <c r="BG923" i="3" s="1"/>
  <c r="U624" i="2"/>
  <c r="BD919" i="3"/>
  <c r="BG919" i="3" s="1"/>
  <c r="U620" i="2"/>
  <c r="BD915" i="3"/>
  <c r="BG915" i="3" s="1"/>
  <c r="U616" i="2"/>
  <c r="BD911" i="3"/>
  <c r="BG911" i="3" s="1"/>
  <c r="U612" i="2"/>
  <c r="BD907" i="3"/>
  <c r="BG907" i="3" s="1"/>
  <c r="U608" i="2"/>
  <c r="BD903" i="3"/>
  <c r="BG903" i="3" s="1"/>
  <c r="U604" i="2"/>
  <c r="BD899" i="3"/>
  <c r="BG899" i="3" s="1"/>
  <c r="U600" i="2"/>
  <c r="BD895" i="3"/>
  <c r="BG895" i="3" s="1"/>
  <c r="U596" i="2"/>
  <c r="BD891" i="3"/>
  <c r="BG891" i="3" s="1"/>
  <c r="U592" i="2"/>
  <c r="BD887" i="3"/>
  <c r="BG887" i="3" s="1"/>
  <c r="U588" i="2"/>
  <c r="BD883" i="3"/>
  <c r="BG883" i="3" s="1"/>
  <c r="U584" i="2"/>
  <c r="BD879" i="3"/>
  <c r="BG879" i="3" s="1"/>
  <c r="U580" i="2"/>
  <c r="BD875" i="3"/>
  <c r="BG875" i="3" s="1"/>
  <c r="U576" i="2"/>
  <c r="BD871" i="3"/>
  <c r="BG871" i="3" s="1"/>
  <c r="U572" i="2"/>
  <c r="BD867" i="3"/>
  <c r="BG867" i="3" s="1"/>
  <c r="U568" i="2"/>
  <c r="BD863" i="3"/>
  <c r="BG863" i="3" s="1"/>
  <c r="U564" i="2"/>
  <c r="BD859" i="3"/>
  <c r="BG859" i="3" s="1"/>
  <c r="U560" i="2"/>
  <c r="BD855" i="3"/>
  <c r="BG855" i="3" s="1"/>
  <c r="U556" i="2"/>
  <c r="BD851" i="3"/>
  <c r="BG851" i="3" s="1"/>
  <c r="U552" i="2"/>
  <c r="BD847" i="3"/>
  <c r="BG847" i="3" s="1"/>
  <c r="U548" i="2"/>
  <c r="BD843" i="3"/>
  <c r="BG843" i="3" s="1"/>
  <c r="U544" i="2"/>
  <c r="BD839" i="3"/>
  <c r="BG839" i="3" s="1"/>
  <c r="U540" i="2"/>
  <c r="BD835" i="3"/>
  <c r="BG835" i="3" s="1"/>
  <c r="U536" i="2"/>
  <c r="BD831" i="3"/>
  <c r="BG831" i="3" s="1"/>
  <c r="U532" i="2"/>
  <c r="BD827" i="3"/>
  <c r="BG827" i="3" s="1"/>
  <c r="U528" i="2"/>
  <c r="BD823" i="3"/>
  <c r="BG823" i="3" s="1"/>
  <c r="U524" i="2"/>
  <c r="BD819" i="3"/>
  <c r="BG819" i="3" s="1"/>
  <c r="U520" i="2"/>
  <c r="BD815" i="3"/>
  <c r="BG815" i="3" s="1"/>
  <c r="U516" i="2"/>
  <c r="BD811" i="3"/>
  <c r="BG811" i="3" s="1"/>
  <c r="U512" i="2"/>
  <c r="BD807" i="3"/>
  <c r="BG807" i="3" s="1"/>
  <c r="U508" i="2"/>
  <c r="BD803" i="3"/>
  <c r="BG803" i="3" s="1"/>
  <c r="U504" i="2"/>
  <c r="BD799" i="3"/>
  <c r="BG799" i="3" s="1"/>
  <c r="U500" i="2"/>
  <c r="BD795" i="3"/>
  <c r="BG795" i="3" s="1"/>
  <c r="U496" i="2"/>
  <c r="BD791" i="3"/>
  <c r="BG791" i="3" s="1"/>
  <c r="U492" i="2"/>
  <c r="BD787" i="3"/>
  <c r="BG787" i="3" s="1"/>
  <c r="U488" i="2"/>
  <c r="BD783" i="3"/>
  <c r="BG783" i="3" s="1"/>
  <c r="U484" i="2"/>
  <c r="BD779" i="3"/>
  <c r="BG779" i="3" s="1"/>
  <c r="U480" i="2"/>
  <c r="BD775" i="3"/>
  <c r="BG775" i="3" s="1"/>
  <c r="U476" i="2"/>
  <c r="BD771" i="3"/>
  <c r="BG771" i="3" s="1"/>
  <c r="U472" i="2"/>
  <c r="BD767" i="3"/>
  <c r="BG767" i="3" s="1"/>
  <c r="U468" i="2"/>
  <c r="BD763" i="3"/>
  <c r="BG763" i="3" s="1"/>
  <c r="U464" i="2"/>
  <c r="BD759" i="3"/>
  <c r="BG759" i="3" s="1"/>
  <c r="U460" i="2"/>
  <c r="BD755" i="3"/>
  <c r="BG755" i="3" s="1"/>
  <c r="U456" i="2"/>
  <c r="BD751" i="3"/>
  <c r="BG751" i="3" s="1"/>
  <c r="U452" i="2"/>
  <c r="BD747" i="3"/>
  <c r="BG747" i="3" s="1"/>
  <c r="U448" i="2"/>
  <c r="BD743" i="3"/>
  <c r="BG743" i="3" s="1"/>
  <c r="U444" i="2"/>
  <c r="BD739" i="3"/>
  <c r="BG739" i="3" s="1"/>
  <c r="U440" i="2"/>
  <c r="BD735" i="3"/>
  <c r="BG735" i="3" s="1"/>
  <c r="U436" i="2"/>
  <c r="BD731" i="3"/>
  <c r="BG731" i="3" s="1"/>
  <c r="U432" i="2"/>
  <c r="BD727" i="3"/>
  <c r="BG727" i="3" s="1"/>
  <c r="U428" i="2"/>
  <c r="BD723" i="3"/>
  <c r="BG723" i="3" s="1"/>
  <c r="U424" i="2"/>
  <c r="BD719" i="3"/>
  <c r="BG719" i="3" s="1"/>
  <c r="U420" i="2"/>
  <c r="BD715" i="3"/>
  <c r="BG715" i="3" s="1"/>
  <c r="U416" i="2"/>
  <c r="BD711" i="3"/>
  <c r="BG711" i="3" s="1"/>
  <c r="U412" i="2"/>
  <c r="BD707" i="3"/>
  <c r="BG707" i="3" s="1"/>
  <c r="U408" i="2"/>
  <c r="BD703" i="3"/>
  <c r="BG703" i="3" s="1"/>
  <c r="U404" i="2"/>
  <c r="BD699" i="3"/>
  <c r="BG699" i="3" s="1"/>
  <c r="U400" i="2"/>
  <c r="BD695" i="3"/>
  <c r="BG695" i="3" s="1"/>
  <c r="U396" i="2"/>
  <c r="BD691" i="3"/>
  <c r="BG691" i="3" s="1"/>
  <c r="U392" i="2"/>
  <c r="BD687" i="3"/>
  <c r="BG687" i="3" s="1"/>
  <c r="U388" i="2"/>
  <c r="BD683" i="3"/>
  <c r="BG683" i="3" s="1"/>
  <c r="U384" i="2"/>
  <c r="BD679" i="3"/>
  <c r="BG679" i="3" s="1"/>
  <c r="U380" i="2"/>
  <c r="BD675" i="3"/>
  <c r="BG675" i="3" s="1"/>
  <c r="U376" i="2"/>
  <c r="BD671" i="3"/>
  <c r="BG671" i="3" s="1"/>
  <c r="U372" i="2"/>
  <c r="BD667" i="3"/>
  <c r="BG667" i="3" s="1"/>
  <c r="U368" i="2"/>
  <c r="BD663" i="3"/>
  <c r="BG663" i="3" s="1"/>
  <c r="U364" i="2"/>
  <c r="BD659" i="3"/>
  <c r="BG659" i="3" s="1"/>
  <c r="U360" i="2"/>
  <c r="BD655" i="3"/>
  <c r="BG655" i="3" s="1"/>
  <c r="U356" i="2"/>
  <c r="BD651" i="3"/>
  <c r="BG651" i="3" s="1"/>
  <c r="U352" i="2"/>
  <c r="BD647" i="3"/>
  <c r="BG647" i="3" s="1"/>
  <c r="U348" i="2"/>
  <c r="BD643" i="3"/>
  <c r="BG643" i="3" s="1"/>
  <c r="U344" i="2"/>
  <c r="BD639" i="3"/>
  <c r="BG639" i="3" s="1"/>
  <c r="U340" i="2"/>
  <c r="BD635" i="3"/>
  <c r="BG635" i="3" s="1"/>
  <c r="U336" i="2"/>
  <c r="BD631" i="3"/>
  <c r="BG631" i="3" s="1"/>
  <c r="U332" i="2"/>
  <c r="BD627" i="3"/>
  <c r="BG627" i="3" s="1"/>
  <c r="U328" i="2"/>
  <c r="BD623" i="3"/>
  <c r="BG623" i="3" s="1"/>
  <c r="U324" i="2"/>
  <c r="BD619" i="3"/>
  <c r="BG619" i="3" s="1"/>
  <c r="U320" i="2"/>
  <c r="BD615" i="3"/>
  <c r="BG615" i="3" s="1"/>
  <c r="U316" i="2"/>
  <c r="BD611" i="3"/>
  <c r="BG611" i="3" s="1"/>
  <c r="U312" i="2"/>
  <c r="BD607" i="3"/>
  <c r="BG607" i="3" s="1"/>
  <c r="U308" i="2"/>
  <c r="BD603" i="3"/>
  <c r="BG603" i="3" s="1"/>
  <c r="U304" i="2"/>
  <c r="BD599" i="3"/>
  <c r="BG599" i="3" s="1"/>
  <c r="U300" i="2"/>
  <c r="BD595" i="3"/>
  <c r="BG595" i="3" s="1"/>
  <c r="U296" i="2"/>
  <c r="BD591" i="3"/>
  <c r="BG591" i="3" s="1"/>
  <c r="U292" i="2"/>
  <c r="BD587" i="3"/>
  <c r="BG587" i="3" s="1"/>
  <c r="U288" i="2"/>
  <c r="BD583" i="3"/>
  <c r="BG583" i="3" s="1"/>
  <c r="U284" i="2"/>
  <c r="BD579" i="3"/>
  <c r="BG579" i="3" s="1"/>
  <c r="U280" i="2"/>
  <c r="BD575" i="3"/>
  <c r="BG575" i="3" s="1"/>
  <c r="U276" i="2"/>
  <c r="BD571" i="3"/>
  <c r="BG571" i="3" s="1"/>
  <c r="U272" i="2"/>
  <c r="BD567" i="3"/>
  <c r="BG567" i="3" s="1"/>
  <c r="U268" i="2"/>
  <c r="BD563" i="3"/>
  <c r="BG563" i="3" s="1"/>
  <c r="U264" i="2"/>
  <c r="BD559" i="3"/>
  <c r="BG559" i="3" s="1"/>
  <c r="U260" i="2"/>
  <c r="BD555" i="3"/>
  <c r="BG555" i="3" s="1"/>
  <c r="U256" i="2"/>
  <c r="BD551" i="3"/>
  <c r="BG551" i="3" s="1"/>
  <c r="U252" i="2"/>
  <c r="BD547" i="3"/>
  <c r="BG547" i="3" s="1"/>
  <c r="U248" i="2"/>
  <c r="BD543" i="3"/>
  <c r="BG543" i="3" s="1"/>
  <c r="U244" i="2"/>
  <c r="BD539" i="3"/>
  <c r="BG539" i="3" s="1"/>
  <c r="U240" i="2"/>
  <c r="BD535" i="3"/>
  <c r="BG535" i="3" s="1"/>
  <c r="U236" i="2"/>
  <c r="BD531" i="3"/>
  <c r="BG531" i="3" s="1"/>
  <c r="U232" i="2"/>
  <c r="BD527" i="3"/>
  <c r="BG527" i="3" s="1"/>
  <c r="U228" i="2"/>
  <c r="BD523" i="3"/>
  <c r="BG523" i="3" s="1"/>
  <c r="U224" i="2"/>
  <c r="BD519" i="3"/>
  <c r="BG519" i="3" s="1"/>
  <c r="U220" i="2"/>
  <c r="BD515" i="3"/>
  <c r="BG515" i="3" s="1"/>
  <c r="U216" i="2"/>
  <c r="BD511" i="3"/>
  <c r="BG511" i="3" s="1"/>
  <c r="U212" i="2"/>
  <c r="BD507" i="3"/>
  <c r="BG507" i="3" s="1"/>
  <c r="U208" i="2"/>
  <c r="BD503" i="3"/>
  <c r="BG503" i="3" s="1"/>
  <c r="U204" i="2"/>
  <c r="BD499" i="3"/>
  <c r="BG499" i="3" s="1"/>
  <c r="U200" i="2"/>
  <c r="BD495" i="3"/>
  <c r="BG495" i="3" s="1"/>
  <c r="U196" i="2"/>
  <c r="BD491" i="3"/>
  <c r="BG491" i="3" s="1"/>
  <c r="U192" i="2"/>
  <c r="BD487" i="3"/>
  <c r="BG487" i="3" s="1"/>
  <c r="U188" i="2"/>
  <c r="BD483" i="3"/>
  <c r="BG483" i="3" s="1"/>
  <c r="U184" i="2"/>
  <c r="BD479" i="3"/>
  <c r="BG479" i="3" s="1"/>
  <c r="U180" i="2"/>
  <c r="BD475" i="3"/>
  <c r="BG475" i="3" s="1"/>
  <c r="U176" i="2"/>
  <c r="BD471" i="3"/>
  <c r="BG471" i="3" s="1"/>
  <c r="U172" i="2"/>
  <c r="BD467" i="3"/>
  <c r="BG467" i="3" s="1"/>
  <c r="U168" i="2"/>
  <c r="BD463" i="3"/>
  <c r="BG463" i="3" s="1"/>
  <c r="U164" i="2"/>
  <c r="BD459" i="3"/>
  <c r="BG459" i="3" s="1"/>
  <c r="U160" i="2"/>
  <c r="BD455" i="3"/>
  <c r="BG455" i="3" s="1"/>
  <c r="U156" i="2"/>
  <c r="BD451" i="3"/>
  <c r="BG451" i="3" s="1"/>
  <c r="U152" i="2"/>
  <c r="BD447" i="3"/>
  <c r="BG447" i="3" s="1"/>
  <c r="U148" i="2"/>
  <c r="BD443" i="3"/>
  <c r="BG443" i="3" s="1"/>
  <c r="U144" i="2"/>
  <c r="BD439" i="3"/>
  <c r="BG439" i="3" s="1"/>
  <c r="U140" i="2"/>
  <c r="BD435" i="3"/>
  <c r="BG435" i="3" s="1"/>
  <c r="U136" i="2"/>
  <c r="BD431" i="3"/>
  <c r="BG431" i="3" s="1"/>
  <c r="U132" i="2"/>
  <c r="BD427" i="3"/>
  <c r="BG427" i="3" s="1"/>
  <c r="U128" i="2"/>
  <c r="BD423" i="3"/>
  <c r="BG423" i="3" s="1"/>
  <c r="U124" i="2"/>
  <c r="BD419" i="3"/>
  <c r="BG419" i="3" s="1"/>
  <c r="U120" i="2"/>
  <c r="BD415" i="3"/>
  <c r="BG415" i="3" s="1"/>
  <c r="U116" i="2"/>
  <c r="BD411" i="3"/>
  <c r="BG411" i="3" s="1"/>
  <c r="U112" i="2"/>
  <c r="BD407" i="3"/>
  <c r="BG407" i="3" s="1"/>
  <c r="U108" i="2"/>
  <c r="BD403" i="3"/>
  <c r="BG403" i="3" s="1"/>
  <c r="U104" i="2"/>
  <c r="BD399" i="3"/>
  <c r="BG399" i="3" s="1"/>
  <c r="U100" i="2"/>
  <c r="BD395" i="3"/>
  <c r="BG395" i="3" s="1"/>
  <c r="U96" i="2"/>
  <c r="BD391" i="3"/>
  <c r="BG391" i="3" s="1"/>
  <c r="U92" i="2"/>
  <c r="BD387" i="3"/>
  <c r="BG387" i="3" s="1"/>
  <c r="U88" i="2"/>
  <c r="BD383" i="3"/>
  <c r="BG383" i="3" s="1"/>
  <c r="U84" i="2"/>
  <c r="BD379" i="3"/>
  <c r="BG379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2" i="3"/>
  <c r="BL522" i="3" s="1"/>
  <c r="BI518" i="3"/>
  <c r="BL518" i="3" s="1"/>
  <c r="W223" i="2"/>
  <c r="BI510" i="3"/>
  <c r="BL510" i="3" s="1"/>
  <c r="W215" i="2"/>
  <c r="W195" i="2"/>
  <c r="BI490" i="3"/>
  <c r="BL490" i="3" s="1"/>
  <c r="BI486" i="3"/>
  <c r="BL486" i="3" s="1"/>
  <c r="W191" i="2"/>
  <c r="BI478" i="3"/>
  <c r="BL478" i="3" s="1"/>
  <c r="W183" i="2"/>
  <c r="W163" i="2"/>
  <c r="BI458" i="3"/>
  <c r="BL458" i="3" s="1"/>
  <c r="BI454" i="3"/>
  <c r="BL454" i="3" s="1"/>
  <c r="W159" i="2"/>
  <c r="BI446" i="3"/>
  <c r="BL446" i="3" s="1"/>
  <c r="W151" i="2"/>
  <c r="W131" i="2"/>
  <c r="BI426" i="3"/>
  <c r="BL426" i="3" s="1"/>
  <c r="BI422" i="3"/>
  <c r="BL422" i="3" s="1"/>
  <c r="W127" i="2"/>
  <c r="BI414" i="3"/>
  <c r="BL414" i="3" s="1"/>
  <c r="W119" i="2"/>
  <c r="W99" i="2"/>
  <c r="BI394" i="3"/>
  <c r="BL394" i="3" s="1"/>
  <c r="BI390" i="3"/>
  <c r="BL390" i="3" s="1"/>
  <c r="W95" i="2"/>
  <c r="BI382" i="3"/>
  <c r="BL382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1" i="3"/>
  <c r="BL811" i="3" s="1"/>
  <c r="BI779" i="3"/>
  <c r="BL779" i="3" s="1"/>
  <c r="BI747" i="3"/>
  <c r="BL747" i="3" s="1"/>
  <c r="BI715" i="3"/>
  <c r="BL715" i="3" s="1"/>
  <c r="BI683" i="3"/>
  <c r="BL683" i="3" s="1"/>
  <c r="BI651" i="3"/>
  <c r="BL651" i="3" s="1"/>
  <c r="BI619" i="3"/>
  <c r="BL619" i="3" s="1"/>
  <c r="BI587" i="3"/>
  <c r="BL587" i="3" s="1"/>
  <c r="BI555" i="3"/>
  <c r="BL555" i="3" s="1"/>
  <c r="BI523" i="3"/>
  <c r="BL523" i="3" s="1"/>
  <c r="BI491" i="3"/>
  <c r="BL491" i="3" s="1"/>
  <c r="BI459" i="3"/>
  <c r="BL459" i="3" s="1"/>
  <c r="BI427" i="3"/>
  <c r="BL427" i="3" s="1"/>
  <c r="BI395" i="3"/>
  <c r="BL395" i="3" s="1"/>
  <c r="BI4" i="3"/>
  <c r="BL4" i="3" s="1"/>
  <c r="W26" i="2"/>
  <c r="BI10" i="3"/>
  <c r="BL10" i="3" s="1"/>
  <c r="W10" i="2"/>
  <c r="W243" i="2"/>
  <c r="BI538" i="3"/>
  <c r="BL538" i="3" s="1"/>
  <c r="BI534" i="3"/>
  <c r="BL534" i="3" s="1"/>
  <c r="W239" i="2"/>
  <c r="BI526" i="3"/>
  <c r="BL526" i="3" s="1"/>
  <c r="W231" i="2"/>
  <c r="W211" i="2"/>
  <c r="BI506" i="3"/>
  <c r="BL506" i="3" s="1"/>
  <c r="BI502" i="3"/>
  <c r="BL502" i="3" s="1"/>
  <c r="W207" i="2"/>
  <c r="BI494" i="3"/>
  <c r="BL494" i="3" s="1"/>
  <c r="W199" i="2"/>
  <c r="W179" i="2"/>
  <c r="BI474" i="3"/>
  <c r="BL474" i="3" s="1"/>
  <c r="BI470" i="3"/>
  <c r="BL470" i="3" s="1"/>
  <c r="W175" i="2"/>
  <c r="BI462" i="3"/>
  <c r="BL462" i="3" s="1"/>
  <c r="W167" i="2"/>
  <c r="W147" i="2"/>
  <c r="BI442" i="3"/>
  <c r="BL442" i="3" s="1"/>
  <c r="BI438" i="3"/>
  <c r="BL438" i="3" s="1"/>
  <c r="W143" i="2"/>
  <c r="BI430" i="3"/>
  <c r="BL430" i="3" s="1"/>
  <c r="W135" i="2"/>
  <c r="W115" i="2"/>
  <c r="BI410" i="3"/>
  <c r="BL410" i="3" s="1"/>
  <c r="BI406" i="3"/>
  <c r="BL406" i="3" s="1"/>
  <c r="W111" i="2"/>
  <c r="BI398" i="3"/>
  <c r="BL398" i="3" s="1"/>
  <c r="W103" i="2"/>
  <c r="W83" i="2"/>
  <c r="W79" i="2"/>
  <c r="W71" i="2"/>
  <c r="W63" i="2"/>
  <c r="W55" i="2"/>
  <c r="W39" i="2"/>
  <c r="W31" i="2"/>
  <c r="W23" i="2"/>
  <c r="BI835" i="3"/>
  <c r="BL835" i="3" s="1"/>
  <c r="W540" i="2"/>
  <c r="BI831" i="3"/>
  <c r="BL831" i="3" s="1"/>
  <c r="W536" i="2"/>
  <c r="BI823" i="3"/>
  <c r="BL823" i="3" s="1"/>
  <c r="W528" i="2"/>
  <c r="BI819" i="3"/>
  <c r="BL819" i="3" s="1"/>
  <c r="W524" i="2"/>
  <c r="BI815" i="3"/>
  <c r="BL815" i="3" s="1"/>
  <c r="W520" i="2"/>
  <c r="BI807" i="3"/>
  <c r="BL807" i="3" s="1"/>
  <c r="W512" i="2"/>
  <c r="BI803" i="3"/>
  <c r="BL803" i="3" s="1"/>
  <c r="W508" i="2"/>
  <c r="BI799" i="3"/>
  <c r="BL799" i="3" s="1"/>
  <c r="W504" i="2"/>
  <c r="BI791" i="3"/>
  <c r="BL791" i="3" s="1"/>
  <c r="W496" i="2"/>
  <c r="BI787" i="3"/>
  <c r="BL787" i="3" s="1"/>
  <c r="W492" i="2"/>
  <c r="BI783" i="3"/>
  <c r="BL783" i="3" s="1"/>
  <c r="W488" i="2"/>
  <c r="BI775" i="3"/>
  <c r="BL775" i="3" s="1"/>
  <c r="W480" i="2"/>
  <c r="BI771" i="3"/>
  <c r="BL771" i="3" s="1"/>
  <c r="W476" i="2"/>
  <c r="BI767" i="3"/>
  <c r="BL767" i="3" s="1"/>
  <c r="W472" i="2"/>
  <c r="BI759" i="3"/>
  <c r="BL759" i="3" s="1"/>
  <c r="W464" i="2"/>
  <c r="BI755" i="3"/>
  <c r="BL755" i="3" s="1"/>
  <c r="W460" i="2"/>
  <c r="BI751" i="3"/>
  <c r="BL751" i="3" s="1"/>
  <c r="W456" i="2"/>
  <c r="BI743" i="3"/>
  <c r="BL743" i="3" s="1"/>
  <c r="W448" i="2"/>
  <c r="BI739" i="3"/>
  <c r="BL739" i="3" s="1"/>
  <c r="W444" i="2"/>
  <c r="BI735" i="3"/>
  <c r="BL735" i="3" s="1"/>
  <c r="W440" i="2"/>
  <c r="BI727" i="3"/>
  <c r="BL727" i="3" s="1"/>
  <c r="W432" i="2"/>
  <c r="BI723" i="3"/>
  <c r="BL723" i="3" s="1"/>
  <c r="W428" i="2"/>
  <c r="BI719" i="3"/>
  <c r="BL719" i="3" s="1"/>
  <c r="W424" i="2"/>
  <c r="BI711" i="3"/>
  <c r="BL711" i="3" s="1"/>
  <c r="W416" i="2"/>
  <c r="BI707" i="3"/>
  <c r="BL707" i="3" s="1"/>
  <c r="W412" i="2"/>
  <c r="BI703" i="3"/>
  <c r="BL703" i="3" s="1"/>
  <c r="W408" i="2"/>
  <c r="BI695" i="3"/>
  <c r="BL695" i="3" s="1"/>
  <c r="W400" i="2"/>
  <c r="BI691" i="3"/>
  <c r="BL691" i="3" s="1"/>
  <c r="W396" i="2"/>
  <c r="BI687" i="3"/>
  <c r="BL687" i="3" s="1"/>
  <c r="W392" i="2"/>
  <c r="BI679" i="3"/>
  <c r="BL679" i="3" s="1"/>
  <c r="W384" i="2"/>
  <c r="BI675" i="3"/>
  <c r="BL675" i="3" s="1"/>
  <c r="W380" i="2"/>
  <c r="BI671" i="3"/>
  <c r="BL671" i="3" s="1"/>
  <c r="W376" i="2"/>
  <c r="BI663" i="3"/>
  <c r="BL663" i="3" s="1"/>
  <c r="W368" i="2"/>
  <c r="BI659" i="3"/>
  <c r="BL659" i="3" s="1"/>
  <c r="W364" i="2"/>
  <c r="BI655" i="3"/>
  <c r="BL655" i="3" s="1"/>
  <c r="W360" i="2"/>
  <c r="BI647" i="3"/>
  <c r="BL647" i="3" s="1"/>
  <c r="W352" i="2"/>
  <c r="BI643" i="3"/>
  <c r="BL643" i="3" s="1"/>
  <c r="W348" i="2"/>
  <c r="BI639" i="3"/>
  <c r="BL639" i="3" s="1"/>
  <c r="W344" i="2"/>
  <c r="BI631" i="3"/>
  <c r="BL631" i="3" s="1"/>
  <c r="W336" i="2"/>
  <c r="BI627" i="3"/>
  <c r="BL627" i="3" s="1"/>
  <c r="W332" i="2"/>
  <c r="BI623" i="3"/>
  <c r="BL623" i="3" s="1"/>
  <c r="W328" i="2"/>
  <c r="BI615" i="3"/>
  <c r="BL615" i="3" s="1"/>
  <c r="W320" i="2"/>
  <c r="BI611" i="3"/>
  <c r="BL611" i="3" s="1"/>
  <c r="W316" i="2"/>
  <c r="BI607" i="3"/>
  <c r="BL607" i="3" s="1"/>
  <c r="W312" i="2"/>
  <c r="BI599" i="3"/>
  <c r="BL599" i="3" s="1"/>
  <c r="W304" i="2"/>
  <c r="BI595" i="3"/>
  <c r="BL595" i="3" s="1"/>
  <c r="W300" i="2"/>
  <c r="BI591" i="3"/>
  <c r="BL591" i="3" s="1"/>
  <c r="W296" i="2"/>
  <c r="BI583" i="3"/>
  <c r="BL583" i="3" s="1"/>
  <c r="W288" i="2"/>
  <c r="BI579" i="3"/>
  <c r="BL579" i="3" s="1"/>
  <c r="W284" i="2"/>
  <c r="BI575" i="3"/>
  <c r="BL575" i="3" s="1"/>
  <c r="W280" i="2"/>
  <c r="BI567" i="3"/>
  <c r="BL567" i="3" s="1"/>
  <c r="W272" i="2"/>
  <c r="BI563" i="3"/>
  <c r="BL563" i="3" s="1"/>
  <c r="W268" i="2"/>
  <c r="BI559" i="3"/>
  <c r="BL559" i="3" s="1"/>
  <c r="W264" i="2"/>
  <c r="BI551" i="3"/>
  <c r="BL551" i="3" s="1"/>
  <c r="W256" i="2"/>
  <c r="BI547" i="3"/>
  <c r="BL547" i="3" s="1"/>
  <c r="W252" i="2"/>
  <c r="BI543" i="3"/>
  <c r="BL543" i="3" s="1"/>
  <c r="W248" i="2"/>
  <c r="BI535" i="3"/>
  <c r="BL535" i="3" s="1"/>
  <c r="W240" i="2"/>
  <c r="BI531" i="3"/>
  <c r="BL531" i="3" s="1"/>
  <c r="W236" i="2"/>
  <c r="BI527" i="3"/>
  <c r="BL527" i="3" s="1"/>
  <c r="W232" i="2"/>
  <c r="BI519" i="3"/>
  <c r="BL519" i="3" s="1"/>
  <c r="W224" i="2"/>
  <c r="BI515" i="3"/>
  <c r="BL515" i="3" s="1"/>
  <c r="W220" i="2"/>
  <c r="BI511" i="3"/>
  <c r="BL511" i="3" s="1"/>
  <c r="W216" i="2"/>
  <c r="BI503" i="3"/>
  <c r="BL503" i="3" s="1"/>
  <c r="W208" i="2"/>
  <c r="BI499" i="3"/>
  <c r="BL499" i="3" s="1"/>
  <c r="W204" i="2"/>
  <c r="BI495" i="3"/>
  <c r="BL495" i="3" s="1"/>
  <c r="W200" i="2"/>
  <c r="BI487" i="3"/>
  <c r="BL487" i="3" s="1"/>
  <c r="W192" i="2"/>
  <c r="BI483" i="3"/>
  <c r="BL483" i="3" s="1"/>
  <c r="W188" i="2"/>
  <c r="BI479" i="3"/>
  <c r="BL479" i="3" s="1"/>
  <c r="W184" i="2"/>
  <c r="BI471" i="3"/>
  <c r="BL471" i="3" s="1"/>
  <c r="W176" i="2"/>
  <c r="BI467" i="3"/>
  <c r="BL467" i="3" s="1"/>
  <c r="W172" i="2"/>
  <c r="BI463" i="3"/>
  <c r="BL463" i="3" s="1"/>
  <c r="W168" i="2"/>
  <c r="BI455" i="3"/>
  <c r="BL455" i="3" s="1"/>
  <c r="W160" i="2"/>
  <c r="BI451" i="3"/>
  <c r="BL451" i="3" s="1"/>
  <c r="W156" i="2"/>
  <c r="BI447" i="3"/>
  <c r="BL447" i="3" s="1"/>
  <c r="W152" i="2"/>
  <c r="BI439" i="3"/>
  <c r="BL439" i="3" s="1"/>
  <c r="W144" i="2"/>
  <c r="BI435" i="3"/>
  <c r="BL435" i="3" s="1"/>
  <c r="W140" i="2"/>
  <c r="BI431" i="3"/>
  <c r="BL431" i="3" s="1"/>
  <c r="W136" i="2"/>
  <c r="BI423" i="3"/>
  <c r="BL423" i="3" s="1"/>
  <c r="W128" i="2"/>
  <c r="BI419" i="3"/>
  <c r="BL419" i="3" s="1"/>
  <c r="W124" i="2"/>
  <c r="BI415" i="3"/>
  <c r="BL415" i="3" s="1"/>
  <c r="W120" i="2"/>
  <c r="BI407" i="3"/>
  <c r="BL407" i="3" s="1"/>
  <c r="W112" i="2"/>
  <c r="BI403" i="3"/>
  <c r="BL403" i="3" s="1"/>
  <c r="W108" i="2"/>
  <c r="BI399" i="3"/>
  <c r="BL399" i="3" s="1"/>
  <c r="W104" i="2"/>
  <c r="BI391" i="3"/>
  <c r="BL391" i="3" s="1"/>
  <c r="W96" i="2"/>
  <c r="BI387" i="3"/>
  <c r="BL387" i="3" s="1"/>
  <c r="W92" i="2"/>
  <c r="BI383" i="3"/>
  <c r="BL383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4" i="3"/>
  <c r="BL514" i="3" s="1"/>
  <c r="BI482" i="3"/>
  <c r="BL482" i="3" s="1"/>
  <c r="BI450" i="3"/>
  <c r="BL450" i="3" s="1"/>
  <c r="BI418" i="3"/>
  <c r="BL418" i="3" s="1"/>
  <c r="BI386" i="3"/>
  <c r="BL386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598" i="3" l="1"/>
  <c r="AR598" i="3" s="1"/>
  <c r="AO503" i="3"/>
  <c r="AR503" i="3" s="1"/>
  <c r="AT453" i="3"/>
  <c r="AW453" i="3" s="1"/>
  <c r="AT517" i="3"/>
  <c r="AW517" i="3" s="1"/>
  <c r="AT581" i="3"/>
  <c r="AW581" i="3" s="1"/>
  <c r="AT480" i="3"/>
  <c r="AW480" i="3" s="1"/>
  <c r="AT485" i="3"/>
  <c r="AW485" i="3" s="1"/>
  <c r="AT549" i="3"/>
  <c r="AW549" i="3" s="1"/>
  <c r="AT629" i="3"/>
  <c r="AW629" i="3" s="1"/>
  <c r="AT400" i="3"/>
  <c r="AW400" i="3" s="1"/>
  <c r="AT461" i="3"/>
  <c r="AW461" i="3" s="1"/>
  <c r="AT493" i="3"/>
  <c r="AW493" i="3" s="1"/>
  <c r="AT525" i="3"/>
  <c r="AW525" i="3" s="1"/>
  <c r="AT557" i="3"/>
  <c r="AW557" i="3" s="1"/>
  <c r="AT589" i="3"/>
  <c r="AW589" i="3" s="1"/>
  <c r="AT476" i="3"/>
  <c r="AW476" i="3" s="1"/>
  <c r="AT524" i="3"/>
  <c r="AW524" i="3" s="1"/>
  <c r="AT588" i="3"/>
  <c r="AW588" i="3" s="1"/>
  <c r="AT636" i="3"/>
  <c r="AW636" i="3" s="1"/>
  <c r="AT445" i="3"/>
  <c r="AW445" i="3" s="1"/>
  <c r="AT477" i="3"/>
  <c r="AW477" i="3" s="1"/>
  <c r="AT509" i="3"/>
  <c r="AW509" i="3" s="1"/>
  <c r="AT541" i="3"/>
  <c r="AW541" i="3" s="1"/>
  <c r="AT573" i="3"/>
  <c r="AW573" i="3" s="1"/>
  <c r="AT605" i="3"/>
  <c r="AW605" i="3" s="1"/>
  <c r="AT428" i="3"/>
  <c r="AW428" i="3" s="1"/>
  <c r="AT492" i="3"/>
  <c r="AW492" i="3" s="1"/>
  <c r="AT556" i="3"/>
  <c r="AW556" i="3" s="1"/>
  <c r="AT612" i="3"/>
  <c r="AW612" i="3" s="1"/>
  <c r="AO407" i="3"/>
  <c r="AR407" i="3" s="1"/>
  <c r="AO549" i="3"/>
  <c r="AR549" i="3" s="1"/>
  <c r="AO400" i="3"/>
  <c r="AR400" i="3" s="1"/>
  <c r="AO198" i="3"/>
  <c r="AR198" i="3" s="1"/>
  <c r="AO646" i="3"/>
  <c r="AR646" i="3" s="1"/>
  <c r="AO476" i="3"/>
  <c r="AR476" i="3" s="1"/>
  <c r="AO471" i="3"/>
  <c r="AR471" i="3" s="1"/>
  <c r="AO607" i="3"/>
  <c r="AR607" i="3" s="1"/>
  <c r="AO512" i="3"/>
  <c r="AR512" i="3" s="1"/>
  <c r="AO559" i="3"/>
  <c r="AR559" i="3" s="1"/>
  <c r="AO510" i="3"/>
  <c r="AR510" i="3" s="1"/>
  <c r="AT404" i="3"/>
  <c r="AW404" i="3" s="1"/>
  <c r="AT580" i="3"/>
  <c r="AW580" i="3" s="1"/>
  <c r="AT420" i="3"/>
  <c r="AW420" i="3" s="1"/>
  <c r="AT468" i="3"/>
  <c r="AW468" i="3" s="1"/>
  <c r="AT548" i="3"/>
  <c r="AW548" i="3" s="1"/>
  <c r="AT616" i="3"/>
  <c r="AW616" i="3" s="1"/>
  <c r="AT452" i="3"/>
  <c r="AW452" i="3" s="1"/>
  <c r="AT441" i="3"/>
  <c r="AW441" i="3" s="1"/>
  <c r="AT449" i="3"/>
  <c r="AW449" i="3" s="1"/>
  <c r="AT457" i="3"/>
  <c r="AW457" i="3" s="1"/>
  <c r="AT465" i="3"/>
  <c r="AW465" i="3" s="1"/>
  <c r="AT473" i="3"/>
  <c r="AW473" i="3" s="1"/>
  <c r="AT481" i="3"/>
  <c r="AW481" i="3" s="1"/>
  <c r="AT489" i="3"/>
  <c r="AW489" i="3" s="1"/>
  <c r="AT497" i="3"/>
  <c r="AW497" i="3" s="1"/>
  <c r="AT505" i="3"/>
  <c r="AW505" i="3" s="1"/>
  <c r="AT513" i="3"/>
  <c r="AW513" i="3" s="1"/>
  <c r="AT521" i="3"/>
  <c r="AW521" i="3" s="1"/>
  <c r="AT529" i="3"/>
  <c r="AW529" i="3" s="1"/>
  <c r="AT537" i="3"/>
  <c r="AW537" i="3" s="1"/>
  <c r="AT545" i="3"/>
  <c r="AW545" i="3" s="1"/>
  <c r="AT553" i="3"/>
  <c r="AW553" i="3" s="1"/>
  <c r="AT561" i="3"/>
  <c r="AW561" i="3" s="1"/>
  <c r="AT569" i="3"/>
  <c r="AW569" i="3" s="1"/>
  <c r="AT577" i="3"/>
  <c r="AW577" i="3" s="1"/>
  <c r="AT585" i="3"/>
  <c r="AW585" i="3" s="1"/>
  <c r="AT593" i="3"/>
  <c r="AW593" i="3" s="1"/>
  <c r="AT601" i="3"/>
  <c r="AW601" i="3" s="1"/>
  <c r="AT653" i="3"/>
  <c r="AW653" i="3" s="1"/>
  <c r="AT516" i="3"/>
  <c r="AW516" i="3" s="1"/>
  <c r="AT644" i="3"/>
  <c r="AW644" i="3" s="1"/>
  <c r="AT260" i="3"/>
  <c r="AW260" i="3" s="1"/>
  <c r="AO518" i="3"/>
  <c r="AR518" i="3" s="1"/>
  <c r="AO163" i="3"/>
  <c r="AR163" i="3" s="1"/>
  <c r="AO615" i="3"/>
  <c r="AR615" i="3" s="1"/>
  <c r="AO614" i="3"/>
  <c r="AR614" i="3" s="1"/>
  <c r="AO609" i="3"/>
  <c r="AR609" i="3" s="1"/>
  <c r="AO422" i="3"/>
  <c r="AR422" i="3" s="1"/>
  <c r="AO427" i="3"/>
  <c r="AR427" i="3" s="1"/>
  <c r="AO511" i="3"/>
  <c r="AR511" i="3" s="1"/>
  <c r="AO579" i="3"/>
  <c r="AR579" i="3" s="1"/>
  <c r="AO526" i="3"/>
  <c r="AR526" i="3" s="1"/>
  <c r="AO509" i="3"/>
  <c r="AR509" i="3" s="1"/>
  <c r="AO523" i="3"/>
  <c r="AR523" i="3" s="1"/>
  <c r="AO595" i="3"/>
  <c r="AR595" i="3" s="1"/>
  <c r="AO438" i="3"/>
  <c r="AR438" i="3" s="1"/>
  <c r="AO574" i="3"/>
  <c r="AR574" i="3" s="1"/>
  <c r="AO541" i="3"/>
  <c r="AR541" i="3" s="1"/>
  <c r="AO613" i="3"/>
  <c r="AR613" i="3" s="1"/>
  <c r="AO487" i="3"/>
  <c r="AR487" i="3" s="1"/>
  <c r="AO469" i="3"/>
  <c r="AR469" i="3" s="1"/>
  <c r="AO133" i="3"/>
  <c r="AR133" i="3" s="1"/>
  <c r="AO341" i="3"/>
  <c r="AR341" i="3" s="1"/>
  <c r="AO294" i="3"/>
  <c r="AR294" i="3" s="1"/>
  <c r="AO295" i="3"/>
  <c r="AR295" i="3" s="1"/>
  <c r="AO374" i="3"/>
  <c r="AR374" i="3" s="1"/>
  <c r="AO388" i="3"/>
  <c r="AR388" i="3" s="1"/>
  <c r="AO651" i="3"/>
  <c r="AR651" i="3" s="1"/>
  <c r="AO638" i="3"/>
  <c r="AR638" i="3" s="1"/>
  <c r="AO645" i="3"/>
  <c r="AR645" i="3" s="1"/>
  <c r="AO529" i="3"/>
  <c r="AR529" i="3" s="1"/>
  <c r="AO145" i="3"/>
  <c r="AR145" i="3" s="1"/>
  <c r="AT342" i="3"/>
  <c r="AW342" i="3" s="1"/>
  <c r="AT637" i="3"/>
  <c r="AW637" i="3" s="1"/>
  <c r="AT160" i="3"/>
  <c r="AW160" i="3" s="1"/>
  <c r="AT455" i="3"/>
  <c r="AW455" i="3" s="1"/>
  <c r="AT224" i="3"/>
  <c r="AW224" i="3" s="1"/>
  <c r="AT519" i="3"/>
  <c r="AW519" i="3" s="1"/>
  <c r="AT256" i="3"/>
  <c r="AW256" i="3" s="1"/>
  <c r="AT551" i="3"/>
  <c r="AW551" i="3" s="1"/>
  <c r="AT288" i="3"/>
  <c r="AW288" i="3" s="1"/>
  <c r="AT583" i="3"/>
  <c r="AW583" i="3" s="1"/>
  <c r="AT320" i="3"/>
  <c r="AW320" i="3" s="1"/>
  <c r="AT615" i="3"/>
  <c r="AW615" i="3" s="1"/>
  <c r="AT352" i="3"/>
  <c r="AW352" i="3" s="1"/>
  <c r="AT647" i="3"/>
  <c r="AW647" i="3" s="1"/>
  <c r="AT164" i="3"/>
  <c r="AW164" i="3" s="1"/>
  <c r="AT459" i="3"/>
  <c r="AW459" i="3" s="1"/>
  <c r="AT196" i="3"/>
  <c r="AW196" i="3" s="1"/>
  <c r="AT491" i="3"/>
  <c r="AW491" i="3" s="1"/>
  <c r="AT228" i="3"/>
  <c r="AW228" i="3" s="1"/>
  <c r="AT523" i="3"/>
  <c r="AW523" i="3" s="1"/>
  <c r="AT292" i="3"/>
  <c r="AW292" i="3" s="1"/>
  <c r="AT587" i="3"/>
  <c r="AW587" i="3" s="1"/>
  <c r="AT324" i="3"/>
  <c r="AW324" i="3" s="1"/>
  <c r="AT619" i="3"/>
  <c r="AW619" i="3" s="1"/>
  <c r="AT356" i="3"/>
  <c r="AW356" i="3" s="1"/>
  <c r="AT651" i="3"/>
  <c r="AW651" i="3" s="1"/>
  <c r="AT169" i="3"/>
  <c r="AW169" i="3" s="1"/>
  <c r="AT464" i="3"/>
  <c r="AW464" i="3" s="1"/>
  <c r="AT249" i="3"/>
  <c r="AW249" i="3" s="1"/>
  <c r="AT544" i="3"/>
  <c r="AW544" i="3" s="1"/>
  <c r="AT297" i="3"/>
  <c r="AW297" i="3" s="1"/>
  <c r="AT592" i="3"/>
  <c r="AW592" i="3" s="1"/>
  <c r="AT168" i="3"/>
  <c r="AW168" i="3" s="1"/>
  <c r="AT463" i="3"/>
  <c r="AW463" i="3" s="1"/>
  <c r="AT200" i="3"/>
  <c r="AW200" i="3" s="1"/>
  <c r="AT495" i="3"/>
  <c r="AW495" i="3" s="1"/>
  <c r="AT232" i="3"/>
  <c r="AW232" i="3" s="1"/>
  <c r="AT527" i="3"/>
  <c r="AW527" i="3" s="1"/>
  <c r="AT264" i="3"/>
  <c r="AW264" i="3" s="1"/>
  <c r="AT559" i="3"/>
  <c r="AW559" i="3" s="1"/>
  <c r="AT296" i="3"/>
  <c r="AW296" i="3" s="1"/>
  <c r="AT591" i="3"/>
  <c r="AW591" i="3" s="1"/>
  <c r="AT328" i="3"/>
  <c r="AW328" i="3" s="1"/>
  <c r="AT623" i="3"/>
  <c r="AW623" i="3" s="1"/>
  <c r="AT360" i="3"/>
  <c r="AW360" i="3" s="1"/>
  <c r="AT655" i="3"/>
  <c r="AW655" i="3" s="1"/>
  <c r="AT172" i="3"/>
  <c r="AW172" i="3" s="1"/>
  <c r="AT467" i="3"/>
  <c r="AW467" i="3" s="1"/>
  <c r="AT204" i="3"/>
  <c r="AW204" i="3" s="1"/>
  <c r="AT499" i="3"/>
  <c r="AW499" i="3" s="1"/>
  <c r="AT236" i="3"/>
  <c r="AW236" i="3" s="1"/>
  <c r="AT531" i="3"/>
  <c r="AW531" i="3" s="1"/>
  <c r="AT268" i="3"/>
  <c r="AW268" i="3" s="1"/>
  <c r="AT563" i="3"/>
  <c r="AW563" i="3" s="1"/>
  <c r="AT300" i="3"/>
  <c r="AW300" i="3" s="1"/>
  <c r="AT595" i="3"/>
  <c r="AW595" i="3" s="1"/>
  <c r="AT332" i="3"/>
  <c r="AW332" i="3" s="1"/>
  <c r="AT627" i="3"/>
  <c r="AW627" i="3" s="1"/>
  <c r="AT364" i="3"/>
  <c r="AW364" i="3" s="1"/>
  <c r="AT659" i="3"/>
  <c r="AW659" i="3" s="1"/>
  <c r="AT402" i="3"/>
  <c r="AW402" i="3" s="1"/>
  <c r="AT107" i="3"/>
  <c r="AW107" i="3" s="1"/>
  <c r="AT528" i="3"/>
  <c r="AW528" i="3" s="1"/>
  <c r="AT608" i="3"/>
  <c r="AW608" i="3" s="1"/>
  <c r="AT114" i="3"/>
  <c r="AW114" i="3" s="1"/>
  <c r="AT409" i="3"/>
  <c r="AW409" i="3" s="1"/>
  <c r="AT176" i="3"/>
  <c r="AW176" i="3" s="1"/>
  <c r="AT471" i="3"/>
  <c r="AW471" i="3" s="1"/>
  <c r="AT208" i="3"/>
  <c r="AW208" i="3" s="1"/>
  <c r="AT503" i="3"/>
  <c r="AW503" i="3" s="1"/>
  <c r="AT240" i="3"/>
  <c r="AW240" i="3" s="1"/>
  <c r="AT535" i="3"/>
  <c r="AW535" i="3" s="1"/>
  <c r="AT272" i="3"/>
  <c r="AW272" i="3" s="1"/>
  <c r="AT567" i="3"/>
  <c r="AW567" i="3" s="1"/>
  <c r="AT304" i="3"/>
  <c r="AW304" i="3" s="1"/>
  <c r="AT599" i="3"/>
  <c r="AW599" i="3" s="1"/>
  <c r="AT336" i="3"/>
  <c r="AW336" i="3" s="1"/>
  <c r="AT631" i="3"/>
  <c r="AW631" i="3" s="1"/>
  <c r="AT148" i="3"/>
  <c r="AW148" i="3" s="1"/>
  <c r="AT443" i="3"/>
  <c r="AW443" i="3" s="1"/>
  <c r="AT180" i="3"/>
  <c r="AW180" i="3" s="1"/>
  <c r="AT475" i="3"/>
  <c r="AW475" i="3" s="1"/>
  <c r="AT212" i="3"/>
  <c r="AW212" i="3" s="1"/>
  <c r="AT507" i="3"/>
  <c r="AW507" i="3" s="1"/>
  <c r="AT244" i="3"/>
  <c r="AW244" i="3" s="1"/>
  <c r="AT539" i="3"/>
  <c r="AW539" i="3" s="1"/>
  <c r="AT276" i="3"/>
  <c r="AW276" i="3" s="1"/>
  <c r="AT571" i="3"/>
  <c r="AW571" i="3" s="1"/>
  <c r="AT308" i="3"/>
  <c r="AW308" i="3" s="1"/>
  <c r="AT603" i="3"/>
  <c r="AW603" i="3" s="1"/>
  <c r="AT340" i="3"/>
  <c r="AW340" i="3" s="1"/>
  <c r="AT635" i="3"/>
  <c r="AW635" i="3" s="1"/>
  <c r="AT424" i="3"/>
  <c r="AW424" i="3" s="1"/>
  <c r="AT129" i="3"/>
  <c r="AW129" i="3" s="1"/>
  <c r="AT225" i="3"/>
  <c r="AW225" i="3" s="1"/>
  <c r="AT520" i="3"/>
  <c r="AW520" i="3" s="1"/>
  <c r="AT305" i="3"/>
  <c r="AW305" i="3" s="1"/>
  <c r="AT600" i="3"/>
  <c r="AW600" i="3" s="1"/>
  <c r="AT326" i="3"/>
  <c r="AW326" i="3" s="1"/>
  <c r="AT621" i="3"/>
  <c r="AW621" i="3" s="1"/>
  <c r="AT633" i="3"/>
  <c r="AW633" i="3" s="1"/>
  <c r="AT338" i="3"/>
  <c r="AW338" i="3" s="1"/>
  <c r="AT366" i="3"/>
  <c r="AW366" i="3" s="1"/>
  <c r="AT661" i="3"/>
  <c r="AW661" i="3" s="1"/>
  <c r="AT152" i="3"/>
  <c r="AW152" i="3" s="1"/>
  <c r="AT447" i="3"/>
  <c r="AW447" i="3" s="1"/>
  <c r="AT184" i="3"/>
  <c r="AW184" i="3" s="1"/>
  <c r="AT479" i="3"/>
  <c r="AW479" i="3" s="1"/>
  <c r="AT216" i="3"/>
  <c r="AW216" i="3" s="1"/>
  <c r="AT511" i="3"/>
  <c r="AW511" i="3" s="1"/>
  <c r="AT248" i="3"/>
  <c r="AW248" i="3" s="1"/>
  <c r="AT543" i="3"/>
  <c r="AW543" i="3" s="1"/>
  <c r="AT280" i="3"/>
  <c r="AW280" i="3" s="1"/>
  <c r="AT575" i="3"/>
  <c r="AW575" i="3" s="1"/>
  <c r="AT312" i="3"/>
  <c r="AW312" i="3" s="1"/>
  <c r="AT607" i="3"/>
  <c r="AW607" i="3" s="1"/>
  <c r="AT344" i="3"/>
  <c r="AW344" i="3" s="1"/>
  <c r="AT639" i="3"/>
  <c r="AW639" i="3" s="1"/>
  <c r="AT156" i="3"/>
  <c r="AW156" i="3" s="1"/>
  <c r="AT451" i="3"/>
  <c r="AW451" i="3" s="1"/>
  <c r="AT220" i="3"/>
  <c r="AW220" i="3" s="1"/>
  <c r="AT515" i="3"/>
  <c r="AW515" i="3" s="1"/>
  <c r="AT252" i="3"/>
  <c r="AW252" i="3" s="1"/>
  <c r="AT547" i="3"/>
  <c r="AW547" i="3" s="1"/>
  <c r="AT284" i="3"/>
  <c r="AW284" i="3" s="1"/>
  <c r="AT579" i="3"/>
  <c r="AW579" i="3" s="1"/>
  <c r="AT316" i="3"/>
  <c r="AW316" i="3" s="1"/>
  <c r="AT611" i="3"/>
  <c r="AW611" i="3" s="1"/>
  <c r="AT348" i="3"/>
  <c r="AW348" i="3" s="1"/>
  <c r="AT643" i="3"/>
  <c r="AW643" i="3" s="1"/>
  <c r="AT440" i="3"/>
  <c r="AW440" i="3" s="1"/>
  <c r="AT85" i="3"/>
  <c r="AW85" i="3" s="1"/>
  <c r="AT380" i="3"/>
  <c r="AW380" i="3" s="1"/>
  <c r="AT101" i="3"/>
  <c r="AW101" i="3" s="1"/>
  <c r="AT396" i="3"/>
  <c r="AW396" i="3" s="1"/>
  <c r="AT117" i="3"/>
  <c r="AW117" i="3" s="1"/>
  <c r="AT412" i="3"/>
  <c r="AW412" i="3" s="1"/>
  <c r="AT91" i="3"/>
  <c r="AW91" i="3" s="1"/>
  <c r="AT372" i="3"/>
  <c r="AW372" i="3" s="1"/>
  <c r="AT362" i="3"/>
  <c r="AW362" i="3" s="1"/>
  <c r="AT657" i="3"/>
  <c r="AW657" i="3" s="1"/>
  <c r="AT322" i="3"/>
  <c r="AW322" i="3" s="1"/>
  <c r="AT617" i="3"/>
  <c r="AW617" i="3" s="1"/>
  <c r="AT354" i="3"/>
  <c r="AW354" i="3" s="1"/>
  <c r="AT649" i="3"/>
  <c r="AW649" i="3" s="1"/>
  <c r="AT84" i="3"/>
  <c r="AW84" i="3" s="1"/>
  <c r="AT379" i="3"/>
  <c r="AW379" i="3" s="1"/>
  <c r="AT314" i="3"/>
  <c r="AW314" i="3" s="1"/>
  <c r="AT609" i="3"/>
  <c r="AW609" i="3" s="1"/>
  <c r="AT346" i="3"/>
  <c r="AW346" i="3" s="1"/>
  <c r="AT641" i="3"/>
  <c r="AW641" i="3" s="1"/>
  <c r="AT460" i="3"/>
  <c r="AW460" i="3" s="1"/>
  <c r="AT408" i="3"/>
  <c r="AW408" i="3" s="1"/>
  <c r="AT113" i="3"/>
  <c r="AW113" i="3" s="1"/>
  <c r="AT141" i="3"/>
  <c r="AW141" i="3" s="1"/>
  <c r="AT436" i="3"/>
  <c r="AW436" i="3" s="1"/>
  <c r="AT371" i="3"/>
  <c r="AW371" i="3" s="1"/>
  <c r="AT189" i="3"/>
  <c r="AW189" i="3" s="1"/>
  <c r="AT205" i="3"/>
  <c r="AW205" i="3" s="1"/>
  <c r="AT500" i="3"/>
  <c r="AW500" i="3" s="1"/>
  <c r="AT237" i="3"/>
  <c r="AW237" i="3" s="1"/>
  <c r="AT532" i="3"/>
  <c r="AW532" i="3" s="1"/>
  <c r="AT269" i="3"/>
  <c r="AW269" i="3" s="1"/>
  <c r="AT564" i="3"/>
  <c r="AW564" i="3" s="1"/>
  <c r="AT301" i="3"/>
  <c r="AW301" i="3" s="1"/>
  <c r="AT596" i="3"/>
  <c r="AW596" i="3" s="1"/>
  <c r="AT333" i="3"/>
  <c r="AW333" i="3" s="1"/>
  <c r="AT628" i="3"/>
  <c r="AW628" i="3" s="1"/>
  <c r="AT365" i="3"/>
  <c r="AW365" i="3" s="1"/>
  <c r="AT660" i="3"/>
  <c r="AW660" i="3" s="1"/>
  <c r="AT330" i="3"/>
  <c r="AW330" i="3" s="1"/>
  <c r="AT625" i="3"/>
  <c r="AW625" i="3" s="1"/>
  <c r="AT613" i="3"/>
  <c r="AW613" i="3" s="1"/>
  <c r="AT645" i="3"/>
  <c r="AW645" i="3" s="1"/>
  <c r="AT192" i="3"/>
  <c r="AW192" i="3" s="1"/>
  <c r="AT374" i="3"/>
  <c r="AW374" i="3" s="1"/>
  <c r="AT188" i="3"/>
  <c r="AW188" i="3" s="1"/>
  <c r="AT370" i="3"/>
  <c r="AW370" i="3" s="1"/>
  <c r="AT97" i="3"/>
  <c r="AW97" i="3" s="1"/>
  <c r="AT392" i="3"/>
  <c r="AW392" i="3" s="1"/>
  <c r="AT161" i="3"/>
  <c r="AW161" i="3" s="1"/>
  <c r="AT456" i="3"/>
  <c r="AW456" i="3" s="1"/>
  <c r="AT177" i="3"/>
  <c r="AW177" i="3" s="1"/>
  <c r="AT472" i="3"/>
  <c r="AW472" i="3" s="1"/>
  <c r="AT241" i="3"/>
  <c r="AW241" i="3" s="1"/>
  <c r="AT536" i="3"/>
  <c r="AW536" i="3" s="1"/>
  <c r="AT123" i="3"/>
  <c r="AW123" i="3" s="1"/>
  <c r="AT139" i="3"/>
  <c r="AW139" i="3" s="1"/>
  <c r="AO569" i="3"/>
  <c r="AR569" i="3" s="1"/>
  <c r="AO89" i="3"/>
  <c r="AR89" i="3" s="1"/>
  <c r="AO118" i="3"/>
  <c r="AR118" i="3" s="1"/>
  <c r="AO368" i="3"/>
  <c r="AR368" i="3" s="1"/>
  <c r="AO334" i="3"/>
  <c r="AR334" i="3" s="1"/>
  <c r="AO99" i="3"/>
  <c r="AR99" i="3" s="1"/>
  <c r="AO263" i="3"/>
  <c r="AR263" i="3" s="1"/>
  <c r="AO144" i="3"/>
  <c r="AR144" i="3" s="1"/>
  <c r="AO380" i="3"/>
  <c r="AR380" i="3" s="1"/>
  <c r="AO508" i="3"/>
  <c r="AR508" i="3" s="1"/>
  <c r="AO660" i="3"/>
  <c r="AR660" i="3" s="1"/>
  <c r="AO435" i="3"/>
  <c r="AR435" i="3" s="1"/>
  <c r="AO582" i="3"/>
  <c r="AR582" i="3" s="1"/>
  <c r="AO432" i="3"/>
  <c r="AR432" i="3" s="1"/>
  <c r="AO450" i="3"/>
  <c r="AR450" i="3" s="1"/>
  <c r="AO654" i="3"/>
  <c r="AR654" i="3" s="1"/>
  <c r="AO460" i="3"/>
  <c r="AR460" i="3" s="1"/>
  <c r="AO444" i="3"/>
  <c r="AR444" i="3" s="1"/>
  <c r="AO588" i="3"/>
  <c r="AR588" i="3" s="1"/>
  <c r="AO583" i="3"/>
  <c r="AR583" i="3" s="1"/>
  <c r="AO486" i="3"/>
  <c r="AR486" i="3" s="1"/>
  <c r="AO546" i="3"/>
  <c r="AR546" i="3" s="1"/>
  <c r="AO485" i="3"/>
  <c r="AR485" i="3" s="1"/>
  <c r="AO661" i="3"/>
  <c r="AR661" i="3" s="1"/>
  <c r="AO481" i="3"/>
  <c r="AR481" i="3" s="1"/>
  <c r="AO185" i="3"/>
  <c r="AR185" i="3" s="1"/>
  <c r="AO372" i="3"/>
  <c r="AR372" i="3" s="1"/>
  <c r="AO620" i="3"/>
  <c r="AR620" i="3" s="1"/>
  <c r="AO403" i="3"/>
  <c r="AR403" i="3" s="1"/>
  <c r="AO467" i="3"/>
  <c r="AR467" i="3" s="1"/>
  <c r="AO535" i="3"/>
  <c r="AR535" i="3" s="1"/>
  <c r="AO571" i="3"/>
  <c r="AR571" i="3" s="1"/>
  <c r="AO599" i="3"/>
  <c r="AR599" i="3" s="1"/>
  <c r="AO639" i="3"/>
  <c r="AR639" i="3" s="1"/>
  <c r="AO462" i="3"/>
  <c r="AR462" i="3" s="1"/>
  <c r="AO622" i="3"/>
  <c r="AR622" i="3" s="1"/>
  <c r="AO525" i="3"/>
  <c r="AR525" i="3" s="1"/>
  <c r="AO473" i="3"/>
  <c r="AR473" i="3" s="1"/>
  <c r="AO457" i="3"/>
  <c r="AR457" i="3" s="1"/>
  <c r="AO141" i="3"/>
  <c r="AR141" i="3" s="1"/>
  <c r="AO357" i="3"/>
  <c r="AR357" i="3" s="1"/>
  <c r="AO262" i="3"/>
  <c r="AR262" i="3" s="1"/>
  <c r="AO123" i="3"/>
  <c r="AR123" i="3" s="1"/>
  <c r="AO184" i="3"/>
  <c r="AR184" i="3" s="1"/>
  <c r="AO260" i="3"/>
  <c r="AR260" i="3" s="1"/>
  <c r="AO328" i="3"/>
  <c r="AR328" i="3" s="1"/>
  <c r="AO345" i="3"/>
  <c r="AR345" i="3" s="1"/>
  <c r="AO572" i="3"/>
  <c r="AR572" i="3" s="1"/>
  <c r="AO494" i="3"/>
  <c r="AR494" i="3" s="1"/>
  <c r="AO542" i="3"/>
  <c r="AR542" i="3" s="1"/>
  <c r="AO101" i="3"/>
  <c r="AR101" i="3" s="1"/>
  <c r="AO221" i="3"/>
  <c r="AR221" i="3" s="1"/>
  <c r="AO369" i="3"/>
  <c r="AR369" i="3" s="1"/>
  <c r="AO224" i="3"/>
  <c r="AR224" i="3" s="1"/>
  <c r="AO296" i="3"/>
  <c r="AR296" i="3" s="1"/>
  <c r="AY194" i="3"/>
  <c r="BB194" i="3" s="1"/>
  <c r="AY426" i="3"/>
  <c r="BB426" i="3" s="1"/>
  <c r="AY429" i="3"/>
  <c r="BB429" i="3" s="1"/>
  <c r="AY493" i="3"/>
  <c r="BB493" i="3" s="1"/>
  <c r="AY557" i="3"/>
  <c r="BB557" i="3" s="1"/>
  <c r="AY621" i="3"/>
  <c r="BB621" i="3" s="1"/>
  <c r="AY562" i="3"/>
  <c r="BB562" i="3" s="1"/>
  <c r="AY642" i="3"/>
  <c r="BB642" i="3" s="1"/>
  <c r="AY442" i="3"/>
  <c r="BB442" i="3" s="1"/>
  <c r="AY602" i="3"/>
  <c r="BB602" i="3" s="1"/>
  <c r="AY454" i="3"/>
  <c r="BB454" i="3" s="1"/>
  <c r="AY558" i="3"/>
  <c r="BB558" i="3" s="1"/>
  <c r="AY399" i="3"/>
  <c r="BB399" i="3" s="1"/>
  <c r="AY475" i="3"/>
  <c r="BB475" i="3" s="1"/>
  <c r="AY643" i="3"/>
  <c r="BB643" i="3" s="1"/>
  <c r="AY414" i="3"/>
  <c r="BB414" i="3" s="1"/>
  <c r="AY397" i="3"/>
  <c r="BB397" i="3" s="1"/>
  <c r="AY461" i="3"/>
  <c r="BB461" i="3" s="1"/>
  <c r="AY525" i="3"/>
  <c r="BB525" i="3" s="1"/>
  <c r="AY589" i="3"/>
  <c r="BB589" i="3" s="1"/>
  <c r="AY653" i="3"/>
  <c r="BB653" i="3" s="1"/>
  <c r="AY404" i="3"/>
  <c r="BB404" i="3" s="1"/>
  <c r="AY428" i="3"/>
  <c r="BB428" i="3" s="1"/>
  <c r="AY468" i="3"/>
  <c r="BB468" i="3" s="1"/>
  <c r="AY492" i="3"/>
  <c r="BB492" i="3" s="1"/>
  <c r="AY466" i="3"/>
  <c r="BB466" i="3" s="1"/>
  <c r="AY579" i="3"/>
  <c r="BB579" i="3" s="1"/>
  <c r="AY478" i="3"/>
  <c r="BB478" i="3" s="1"/>
  <c r="AY535" i="3"/>
  <c r="BB535" i="3" s="1"/>
  <c r="AY567" i="3"/>
  <c r="BB567" i="3" s="1"/>
  <c r="AY313" i="3"/>
  <c r="BB313" i="3" s="1"/>
  <c r="AY372" i="3"/>
  <c r="BB372" i="3" s="1"/>
  <c r="AY190" i="3"/>
  <c r="BB190" i="3" s="1"/>
  <c r="AY176" i="3"/>
  <c r="BB176" i="3" s="1"/>
  <c r="AY471" i="3"/>
  <c r="BB471" i="3" s="1"/>
  <c r="AY352" i="3"/>
  <c r="BB352" i="3" s="1"/>
  <c r="AY647" i="3"/>
  <c r="BB647" i="3" s="1"/>
  <c r="AY155" i="3"/>
  <c r="BB155" i="3" s="1"/>
  <c r="AY450" i="3"/>
  <c r="BB450" i="3" s="1"/>
  <c r="AY206" i="3"/>
  <c r="BB206" i="3" s="1"/>
  <c r="AY268" i="3"/>
  <c r="BB268" i="3" s="1"/>
  <c r="AY177" i="3"/>
  <c r="BB177" i="3" s="1"/>
  <c r="AY405" i="3"/>
  <c r="BB405" i="3" s="1"/>
  <c r="AY425" i="3"/>
  <c r="BB425" i="3" s="1"/>
  <c r="AY130" i="3"/>
  <c r="BB130" i="3" s="1"/>
  <c r="AY437" i="3"/>
  <c r="BB437" i="3" s="1"/>
  <c r="AY469" i="3"/>
  <c r="BB469" i="3" s="1"/>
  <c r="AY533" i="3"/>
  <c r="BB533" i="3" s="1"/>
  <c r="AY565" i="3"/>
  <c r="BB565" i="3" s="1"/>
  <c r="AY597" i="3"/>
  <c r="BB597" i="3" s="1"/>
  <c r="AY629" i="3"/>
  <c r="BB629" i="3" s="1"/>
  <c r="AY661" i="3"/>
  <c r="BB661" i="3" s="1"/>
  <c r="AY396" i="3"/>
  <c r="BB396" i="3" s="1"/>
  <c r="AY181" i="3"/>
  <c r="BB181" i="3" s="1"/>
  <c r="AY476" i="3"/>
  <c r="BB476" i="3" s="1"/>
  <c r="AY500" i="3"/>
  <c r="BB500" i="3" s="1"/>
  <c r="AY402" i="3"/>
  <c r="BB402" i="3" s="1"/>
  <c r="AY498" i="3"/>
  <c r="BB498" i="3" s="1"/>
  <c r="AY594" i="3"/>
  <c r="BB594" i="3" s="1"/>
  <c r="AY443" i="3"/>
  <c r="BB443" i="3" s="1"/>
  <c r="AY627" i="3"/>
  <c r="BB627" i="3" s="1"/>
  <c r="AY199" i="3"/>
  <c r="BB199" i="3" s="1"/>
  <c r="AY494" i="3"/>
  <c r="BB494" i="3" s="1"/>
  <c r="AY336" i="3"/>
  <c r="BB336" i="3" s="1"/>
  <c r="AY631" i="3"/>
  <c r="BB631" i="3" s="1"/>
  <c r="AY375" i="3"/>
  <c r="BB375" i="3" s="1"/>
  <c r="AY99" i="3"/>
  <c r="BB99" i="3" s="1"/>
  <c r="AY394" i="3"/>
  <c r="BB394" i="3" s="1"/>
  <c r="AY211" i="3"/>
  <c r="BB211" i="3" s="1"/>
  <c r="AY506" i="3"/>
  <c r="BB506" i="3" s="1"/>
  <c r="AY300" i="3"/>
  <c r="BB300" i="3" s="1"/>
  <c r="AY233" i="3"/>
  <c r="BB233" i="3" s="1"/>
  <c r="AY408" i="3"/>
  <c r="BB408" i="3" s="1"/>
  <c r="AY113" i="3"/>
  <c r="BB113" i="3" s="1"/>
  <c r="AY149" i="3"/>
  <c r="BB149" i="3" s="1"/>
  <c r="AY444" i="3"/>
  <c r="BB444" i="3" s="1"/>
  <c r="AY456" i="3"/>
  <c r="BB456" i="3" s="1"/>
  <c r="AY161" i="3"/>
  <c r="BB161" i="3" s="1"/>
  <c r="AY531" i="3"/>
  <c r="BB531" i="3" s="1"/>
  <c r="AY236" i="3"/>
  <c r="BB236" i="3" s="1"/>
  <c r="AY374" i="3"/>
  <c r="BB374" i="3" s="1"/>
  <c r="AY192" i="3"/>
  <c r="BB192" i="3" s="1"/>
  <c r="AY487" i="3"/>
  <c r="BB487" i="3" s="1"/>
  <c r="AY256" i="3"/>
  <c r="BB256" i="3" s="1"/>
  <c r="AY551" i="3"/>
  <c r="BB551" i="3" s="1"/>
  <c r="AY339" i="3"/>
  <c r="BB339" i="3" s="1"/>
  <c r="AY634" i="3"/>
  <c r="BB634" i="3" s="1"/>
  <c r="AY92" i="3"/>
  <c r="BB92" i="3" s="1"/>
  <c r="AY389" i="3"/>
  <c r="BB389" i="3" s="1"/>
  <c r="AY421" i="3"/>
  <c r="BB421" i="3" s="1"/>
  <c r="AY441" i="3"/>
  <c r="BB441" i="3" s="1"/>
  <c r="AY146" i="3"/>
  <c r="BB146" i="3" s="1"/>
  <c r="AY453" i="3"/>
  <c r="BB453" i="3" s="1"/>
  <c r="AY485" i="3"/>
  <c r="BB485" i="3" s="1"/>
  <c r="AY517" i="3"/>
  <c r="BB517" i="3" s="1"/>
  <c r="AY549" i="3"/>
  <c r="BB549" i="3" s="1"/>
  <c r="AY581" i="3"/>
  <c r="BB581" i="3" s="1"/>
  <c r="AY613" i="3"/>
  <c r="BB613" i="3" s="1"/>
  <c r="AY645" i="3"/>
  <c r="BB645" i="3" s="1"/>
  <c r="AY380" i="3"/>
  <c r="BB380" i="3" s="1"/>
  <c r="AY117" i="3"/>
  <c r="BB117" i="3" s="1"/>
  <c r="AY412" i="3"/>
  <c r="BB412" i="3" s="1"/>
  <c r="AY436" i="3"/>
  <c r="BB436" i="3" s="1"/>
  <c r="AY460" i="3"/>
  <c r="BB460" i="3" s="1"/>
  <c r="AY554" i="3"/>
  <c r="BB554" i="3" s="1"/>
  <c r="AY370" i="3"/>
  <c r="BB370" i="3" s="1"/>
  <c r="AY483" i="3"/>
  <c r="BB483" i="3" s="1"/>
  <c r="AY188" i="3"/>
  <c r="BB188" i="3" s="1"/>
  <c r="AY95" i="3"/>
  <c r="BB95" i="3" s="1"/>
  <c r="AY390" i="3"/>
  <c r="BB390" i="3" s="1"/>
  <c r="AY544" i="3"/>
  <c r="BB544" i="3" s="1"/>
  <c r="AY249" i="3"/>
  <c r="BB249" i="3" s="1"/>
  <c r="AY592" i="3"/>
  <c r="BB592" i="3" s="1"/>
  <c r="AY297" i="3"/>
  <c r="BB297" i="3" s="1"/>
  <c r="AY515" i="3"/>
  <c r="BB515" i="3" s="1"/>
  <c r="AY659" i="3"/>
  <c r="BB659" i="3" s="1"/>
  <c r="AY438" i="3"/>
  <c r="BB438" i="3" s="1"/>
  <c r="AY606" i="3"/>
  <c r="BB606" i="3" s="1"/>
  <c r="AY519" i="3"/>
  <c r="BB519" i="3" s="1"/>
  <c r="AY304" i="3"/>
  <c r="BB304" i="3" s="1"/>
  <c r="AY599" i="3"/>
  <c r="BB599" i="3" s="1"/>
  <c r="AY323" i="3"/>
  <c r="BB323" i="3" s="1"/>
  <c r="AY618" i="3"/>
  <c r="BB618" i="3" s="1"/>
  <c r="AY97" i="3"/>
  <c r="BB97" i="3" s="1"/>
  <c r="AY361" i="3"/>
  <c r="BB361" i="3" s="1"/>
  <c r="AY507" i="3"/>
  <c r="BB507" i="3" s="1"/>
  <c r="AY395" i="3"/>
  <c r="BB395" i="3" s="1"/>
  <c r="AY435" i="3"/>
  <c r="BB435" i="3" s="1"/>
  <c r="AY467" i="3"/>
  <c r="BB467" i="3" s="1"/>
  <c r="AY499" i="3"/>
  <c r="BB499" i="3" s="1"/>
  <c r="AY523" i="3"/>
  <c r="BB523" i="3" s="1"/>
  <c r="AY555" i="3"/>
  <c r="BB555" i="3" s="1"/>
  <c r="AY571" i="3"/>
  <c r="BB571" i="3" s="1"/>
  <c r="AY587" i="3"/>
  <c r="BB587" i="3" s="1"/>
  <c r="AY603" i="3"/>
  <c r="BB603" i="3" s="1"/>
  <c r="AY619" i="3"/>
  <c r="BB619" i="3" s="1"/>
  <c r="AY635" i="3"/>
  <c r="BB635" i="3" s="1"/>
  <c r="AY651" i="3"/>
  <c r="BB651" i="3" s="1"/>
  <c r="AY422" i="3"/>
  <c r="BB422" i="3" s="1"/>
  <c r="AY446" i="3"/>
  <c r="BB446" i="3" s="1"/>
  <c r="AY510" i="3"/>
  <c r="BB510" i="3" s="1"/>
  <c r="AY574" i="3"/>
  <c r="BB574" i="3" s="1"/>
  <c r="AY163" i="3"/>
  <c r="BB163" i="3" s="1"/>
  <c r="AY195" i="3"/>
  <c r="BB195" i="3" s="1"/>
  <c r="AY371" i="3"/>
  <c r="BB371" i="3" s="1"/>
  <c r="AO305" i="3"/>
  <c r="AR305" i="3" s="1"/>
  <c r="AO459" i="3"/>
  <c r="AR459" i="3" s="1"/>
  <c r="AO507" i="3"/>
  <c r="AR507" i="3" s="1"/>
  <c r="AO527" i="3"/>
  <c r="AR527" i="3" s="1"/>
  <c r="AO517" i="3"/>
  <c r="AR517" i="3" s="1"/>
  <c r="AO593" i="3"/>
  <c r="AR593" i="3" s="1"/>
  <c r="AO404" i="3"/>
  <c r="AR404" i="3" s="1"/>
  <c r="AO608" i="3"/>
  <c r="AR608" i="3" s="1"/>
  <c r="AO419" i="3"/>
  <c r="AR419" i="3" s="1"/>
  <c r="AO563" i="3"/>
  <c r="AR563" i="3" s="1"/>
  <c r="AO398" i="3"/>
  <c r="AR398" i="3" s="1"/>
  <c r="AO470" i="3"/>
  <c r="AR470" i="3" s="1"/>
  <c r="AO653" i="3"/>
  <c r="AR653" i="3" s="1"/>
  <c r="AO465" i="3"/>
  <c r="AR465" i="3" s="1"/>
  <c r="AO657" i="3"/>
  <c r="AR657" i="3" s="1"/>
  <c r="AO408" i="3"/>
  <c r="AR408" i="3" s="1"/>
  <c r="AO117" i="3"/>
  <c r="AR117" i="3" s="1"/>
  <c r="AO169" i="3"/>
  <c r="AR169" i="3" s="1"/>
  <c r="AO373" i="3"/>
  <c r="AR373" i="3" s="1"/>
  <c r="AO229" i="3"/>
  <c r="AR229" i="3" s="1"/>
  <c r="AO158" i="3"/>
  <c r="AR158" i="3" s="1"/>
  <c r="AO416" i="3"/>
  <c r="AR416" i="3" s="1"/>
  <c r="AO386" i="3"/>
  <c r="AR386" i="3" s="1"/>
  <c r="AO466" i="3"/>
  <c r="AR466" i="3" s="1"/>
  <c r="AO556" i="3"/>
  <c r="AR556" i="3" s="1"/>
  <c r="AO395" i="3"/>
  <c r="AR395" i="3" s="1"/>
  <c r="AO495" i="3"/>
  <c r="AR495" i="3" s="1"/>
  <c r="AO482" i="3"/>
  <c r="AR482" i="3" s="1"/>
  <c r="AO550" i="3"/>
  <c r="AR550" i="3" s="1"/>
  <c r="AO606" i="3"/>
  <c r="AR606" i="3" s="1"/>
  <c r="AO573" i="3"/>
  <c r="AR573" i="3" s="1"/>
  <c r="AO581" i="3"/>
  <c r="AR581" i="3" s="1"/>
  <c r="AO655" i="3"/>
  <c r="AR655" i="3" s="1"/>
  <c r="AO153" i="3"/>
  <c r="AR153" i="3" s="1"/>
  <c r="AO166" i="3"/>
  <c r="AR166" i="3" s="1"/>
  <c r="AO120" i="3"/>
  <c r="AR120" i="3" s="1"/>
  <c r="AO142" i="3"/>
  <c r="AR142" i="3" s="1"/>
  <c r="AO283" i="3"/>
  <c r="AR283" i="3" s="1"/>
  <c r="AO578" i="3"/>
  <c r="AR578" i="3" s="1"/>
  <c r="AO347" i="3"/>
  <c r="AR347" i="3" s="1"/>
  <c r="AO642" i="3"/>
  <c r="AR642" i="3" s="1"/>
  <c r="AO389" i="3"/>
  <c r="AR389" i="3" s="1"/>
  <c r="AO94" i="3"/>
  <c r="AR94" i="3" s="1"/>
  <c r="AO452" i="3"/>
  <c r="AR452" i="3" s="1"/>
  <c r="AO157" i="3"/>
  <c r="AR157" i="3" s="1"/>
  <c r="AO329" i="3"/>
  <c r="AR329" i="3" s="1"/>
  <c r="AO624" i="3"/>
  <c r="AR624" i="3" s="1"/>
  <c r="AO238" i="3"/>
  <c r="AR238" i="3" s="1"/>
  <c r="AO533" i="3"/>
  <c r="AR533" i="3" s="1"/>
  <c r="AO207" i="3"/>
  <c r="AR207" i="3" s="1"/>
  <c r="AO502" i="3"/>
  <c r="AR502" i="3" s="1"/>
  <c r="AO271" i="3"/>
  <c r="AR271" i="3" s="1"/>
  <c r="AO566" i="3"/>
  <c r="AR566" i="3" s="1"/>
  <c r="AO447" i="3"/>
  <c r="AR447" i="3" s="1"/>
  <c r="AO152" i="3"/>
  <c r="AR152" i="3" s="1"/>
  <c r="AO236" i="3"/>
  <c r="AR236" i="3" s="1"/>
  <c r="AO531" i="3"/>
  <c r="AR531" i="3" s="1"/>
  <c r="AO308" i="3"/>
  <c r="AR308" i="3" s="1"/>
  <c r="AO603" i="3"/>
  <c r="AR603" i="3" s="1"/>
  <c r="AO539" i="3"/>
  <c r="AR539" i="3" s="1"/>
  <c r="AO315" i="3"/>
  <c r="AR315" i="3" s="1"/>
  <c r="AO610" i="3"/>
  <c r="AR610" i="3" s="1"/>
  <c r="AO128" i="3"/>
  <c r="AR128" i="3" s="1"/>
  <c r="AO423" i="3"/>
  <c r="AR423" i="3" s="1"/>
  <c r="AO196" i="3"/>
  <c r="AR196" i="3" s="1"/>
  <c r="AO378" i="3"/>
  <c r="AR378" i="3" s="1"/>
  <c r="AO332" i="3"/>
  <c r="AR332" i="3" s="1"/>
  <c r="AO627" i="3"/>
  <c r="AR627" i="3" s="1"/>
  <c r="AO131" i="3"/>
  <c r="AR131" i="3" s="1"/>
  <c r="AO426" i="3"/>
  <c r="AR426" i="3" s="1"/>
  <c r="AO219" i="3"/>
  <c r="AR219" i="3" s="1"/>
  <c r="AO514" i="3"/>
  <c r="AR514" i="3" s="1"/>
  <c r="AO316" i="3"/>
  <c r="AR316" i="3" s="1"/>
  <c r="AO611" i="3"/>
  <c r="AR611" i="3" s="1"/>
  <c r="AO348" i="3"/>
  <c r="AR348" i="3" s="1"/>
  <c r="AO643" i="3"/>
  <c r="AR643" i="3" s="1"/>
  <c r="AO492" i="3"/>
  <c r="AR492" i="3" s="1"/>
  <c r="AO197" i="3"/>
  <c r="AR197" i="3" s="1"/>
  <c r="AO548" i="3"/>
  <c r="AR548" i="3" s="1"/>
  <c r="AO253" i="3"/>
  <c r="AR253" i="3" s="1"/>
  <c r="AO302" i="3"/>
  <c r="AR302" i="3" s="1"/>
  <c r="AO597" i="3"/>
  <c r="AR597" i="3" s="1"/>
  <c r="AO107" i="3"/>
  <c r="AR107" i="3" s="1"/>
  <c r="AO402" i="3"/>
  <c r="AR402" i="3" s="1"/>
  <c r="AO335" i="3"/>
  <c r="AR335" i="3" s="1"/>
  <c r="AO630" i="3"/>
  <c r="AR630" i="3" s="1"/>
  <c r="AO204" i="3"/>
  <c r="AR204" i="3" s="1"/>
  <c r="AO499" i="3"/>
  <c r="AR499" i="3" s="1"/>
  <c r="AO272" i="3"/>
  <c r="AR272" i="3" s="1"/>
  <c r="AO567" i="3"/>
  <c r="AR567" i="3" s="1"/>
  <c r="AO340" i="3"/>
  <c r="AR340" i="3" s="1"/>
  <c r="AO635" i="3"/>
  <c r="AR635" i="3" s="1"/>
  <c r="AO540" i="3"/>
  <c r="AR540" i="3" s="1"/>
  <c r="AO245" i="3"/>
  <c r="AR245" i="3" s="1"/>
  <c r="AO206" i="3"/>
  <c r="AR206" i="3" s="1"/>
  <c r="AO501" i="3"/>
  <c r="AR501" i="3" s="1"/>
  <c r="AO270" i="3"/>
  <c r="AR270" i="3" s="1"/>
  <c r="AO565" i="3"/>
  <c r="AR565" i="3" s="1"/>
  <c r="AO342" i="3"/>
  <c r="AR342" i="3" s="1"/>
  <c r="AO637" i="3"/>
  <c r="AR637" i="3" s="1"/>
  <c r="AO239" i="3"/>
  <c r="AR239" i="3" s="1"/>
  <c r="AO534" i="3"/>
  <c r="AR534" i="3" s="1"/>
  <c r="AO367" i="3"/>
  <c r="AR367" i="3" s="1"/>
  <c r="AO662" i="3"/>
  <c r="AR662" i="3" s="1"/>
  <c r="AO92" i="3"/>
  <c r="AR92" i="3" s="1"/>
  <c r="AO387" i="3"/>
  <c r="AR387" i="3" s="1"/>
  <c r="AO220" i="3"/>
  <c r="AR220" i="3" s="1"/>
  <c r="AO515" i="3"/>
  <c r="AR515" i="3" s="1"/>
  <c r="AO252" i="3"/>
  <c r="AR252" i="3" s="1"/>
  <c r="AO547" i="3"/>
  <c r="AR547" i="3" s="1"/>
  <c r="AO292" i="3"/>
  <c r="AR292" i="3" s="1"/>
  <c r="AO587" i="3"/>
  <c r="AR587" i="3" s="1"/>
  <c r="AO324" i="3"/>
  <c r="AR324" i="3" s="1"/>
  <c r="AO619" i="3"/>
  <c r="AR619" i="3" s="1"/>
  <c r="AO364" i="3"/>
  <c r="AR364" i="3" s="1"/>
  <c r="AO659" i="3"/>
  <c r="AR659" i="3" s="1"/>
  <c r="AO406" i="3"/>
  <c r="AR406" i="3" s="1"/>
  <c r="AO430" i="3"/>
  <c r="AR430" i="3" s="1"/>
  <c r="AO612" i="3"/>
  <c r="AR612" i="3" s="1"/>
  <c r="AO84" i="3"/>
  <c r="AR84" i="3" s="1"/>
  <c r="AO241" i="3"/>
  <c r="AR241" i="3" s="1"/>
  <c r="AO349" i="3"/>
  <c r="AR349" i="3" s="1"/>
  <c r="AO310" i="3"/>
  <c r="AR310" i="3" s="1"/>
  <c r="AO451" i="3"/>
  <c r="AR451" i="3" s="1"/>
  <c r="AO505" i="3"/>
  <c r="AR505" i="3" s="1"/>
  <c r="AO375" i="3"/>
  <c r="AR375" i="3" s="1"/>
  <c r="AO129" i="3"/>
  <c r="AR129" i="3" s="1"/>
  <c r="AO209" i="3"/>
  <c r="AR209" i="3" s="1"/>
  <c r="AO110" i="3"/>
  <c r="AR110" i="3" s="1"/>
  <c r="AY237" i="3"/>
  <c r="BB237" i="3" s="1"/>
  <c r="AY532" i="3"/>
  <c r="BB532" i="3" s="1"/>
  <c r="AY269" i="3"/>
  <c r="BB269" i="3" s="1"/>
  <c r="AY564" i="3"/>
  <c r="BB564" i="3" s="1"/>
  <c r="AY301" i="3"/>
  <c r="BB301" i="3" s="1"/>
  <c r="AY596" i="3"/>
  <c r="BB596" i="3" s="1"/>
  <c r="AY333" i="3"/>
  <c r="BB333" i="3" s="1"/>
  <c r="AY628" i="3"/>
  <c r="BB628" i="3" s="1"/>
  <c r="AY365" i="3"/>
  <c r="BB365" i="3" s="1"/>
  <c r="AY660" i="3"/>
  <c r="BB660" i="3" s="1"/>
  <c r="AY207" i="3"/>
  <c r="BB207" i="3" s="1"/>
  <c r="AY502" i="3"/>
  <c r="BB502" i="3" s="1"/>
  <c r="AY160" i="3"/>
  <c r="BB160" i="3" s="1"/>
  <c r="AY455" i="3"/>
  <c r="BB455" i="3" s="1"/>
  <c r="AY239" i="3"/>
  <c r="BB239" i="3" s="1"/>
  <c r="AY241" i="3"/>
  <c r="BB241" i="3" s="1"/>
  <c r="AY536" i="3"/>
  <c r="BB536" i="3" s="1"/>
  <c r="AY273" i="3"/>
  <c r="BB273" i="3" s="1"/>
  <c r="AY568" i="3"/>
  <c r="BB568" i="3" s="1"/>
  <c r="AY321" i="3"/>
  <c r="BB321" i="3" s="1"/>
  <c r="AY616" i="3"/>
  <c r="BB616" i="3" s="1"/>
  <c r="AY353" i="3"/>
  <c r="BB353" i="3" s="1"/>
  <c r="AY648" i="3"/>
  <c r="BB648" i="3" s="1"/>
  <c r="AY391" i="3"/>
  <c r="BB391" i="3" s="1"/>
  <c r="AY111" i="3"/>
  <c r="BB111" i="3" s="1"/>
  <c r="AY303" i="3"/>
  <c r="BB303" i="3" s="1"/>
  <c r="AY11" i="3"/>
  <c r="BB11" i="3" s="1"/>
  <c r="AY319" i="3"/>
  <c r="BB319" i="3" s="1"/>
  <c r="AY385" i="3"/>
  <c r="BB385" i="3" s="1"/>
  <c r="AY393" i="3"/>
  <c r="BB393" i="3" s="1"/>
  <c r="AY401" i="3"/>
  <c r="BB401" i="3" s="1"/>
  <c r="AY409" i="3"/>
  <c r="BB409" i="3" s="1"/>
  <c r="AY417" i="3"/>
  <c r="BB417" i="3" s="1"/>
  <c r="AY433" i="3"/>
  <c r="BB433" i="3" s="1"/>
  <c r="AY449" i="3"/>
  <c r="BB449" i="3" s="1"/>
  <c r="AY457" i="3"/>
  <c r="BB457" i="3" s="1"/>
  <c r="AY465" i="3"/>
  <c r="BB465" i="3" s="1"/>
  <c r="AY473" i="3"/>
  <c r="BB473" i="3" s="1"/>
  <c r="AY481" i="3"/>
  <c r="BB481" i="3" s="1"/>
  <c r="AY489" i="3"/>
  <c r="BB489" i="3" s="1"/>
  <c r="AY497" i="3"/>
  <c r="BB497" i="3" s="1"/>
  <c r="AY505" i="3"/>
  <c r="BB505" i="3" s="1"/>
  <c r="AY513" i="3"/>
  <c r="BB513" i="3" s="1"/>
  <c r="AY521" i="3"/>
  <c r="BB521" i="3" s="1"/>
  <c r="AY529" i="3"/>
  <c r="BB529" i="3" s="1"/>
  <c r="AY537" i="3"/>
  <c r="BB537" i="3" s="1"/>
  <c r="AY545" i="3"/>
  <c r="BB545" i="3" s="1"/>
  <c r="AY553" i="3"/>
  <c r="BB553" i="3" s="1"/>
  <c r="AY561" i="3"/>
  <c r="BB561" i="3" s="1"/>
  <c r="AY569" i="3"/>
  <c r="BB569" i="3" s="1"/>
  <c r="AY577" i="3"/>
  <c r="BB577" i="3" s="1"/>
  <c r="AY585" i="3"/>
  <c r="BB585" i="3" s="1"/>
  <c r="AY593" i="3"/>
  <c r="BB593" i="3" s="1"/>
  <c r="AY601" i="3"/>
  <c r="BB601" i="3" s="1"/>
  <c r="AY609" i="3"/>
  <c r="BB609" i="3" s="1"/>
  <c r="AY617" i="3"/>
  <c r="BB617" i="3" s="1"/>
  <c r="AY625" i="3"/>
  <c r="BB625" i="3" s="1"/>
  <c r="AY633" i="3"/>
  <c r="BB633" i="3" s="1"/>
  <c r="AY641" i="3"/>
  <c r="BB641" i="3" s="1"/>
  <c r="AY649" i="3"/>
  <c r="BB649" i="3" s="1"/>
  <c r="AY657" i="3"/>
  <c r="BB657" i="3" s="1"/>
  <c r="AY384" i="3"/>
  <c r="BB384" i="3" s="1"/>
  <c r="AY400" i="3"/>
  <c r="BB400" i="3" s="1"/>
  <c r="AY416" i="3"/>
  <c r="BB416" i="3" s="1"/>
  <c r="AY424" i="3"/>
  <c r="BB424" i="3" s="1"/>
  <c r="AY432" i="3"/>
  <c r="BB432" i="3" s="1"/>
  <c r="AY440" i="3"/>
  <c r="BB440" i="3" s="1"/>
  <c r="AY448" i="3"/>
  <c r="BB448" i="3" s="1"/>
  <c r="AY464" i="3"/>
  <c r="BB464" i="3" s="1"/>
  <c r="AY480" i="3"/>
  <c r="BB480" i="3" s="1"/>
  <c r="AY488" i="3"/>
  <c r="BB488" i="3" s="1"/>
  <c r="AY496" i="3"/>
  <c r="BB496" i="3" s="1"/>
  <c r="AY504" i="3"/>
  <c r="BB504" i="3" s="1"/>
  <c r="AY430" i="3"/>
  <c r="BB430" i="3" s="1"/>
  <c r="AY135" i="3"/>
  <c r="BB135" i="3" s="1"/>
  <c r="AY167" i="3"/>
  <c r="BB167" i="3" s="1"/>
  <c r="AY462" i="3"/>
  <c r="BB462" i="3" s="1"/>
  <c r="AY514" i="3"/>
  <c r="BB514" i="3" s="1"/>
  <c r="AY219" i="3"/>
  <c r="BB219" i="3" s="1"/>
  <c r="AY108" i="3"/>
  <c r="BB108" i="3" s="1"/>
  <c r="AY403" i="3"/>
  <c r="BB403" i="3" s="1"/>
  <c r="AY451" i="3"/>
  <c r="BB451" i="3" s="1"/>
  <c r="AY87" i="3"/>
  <c r="BB87" i="3" s="1"/>
  <c r="AY382" i="3"/>
  <c r="BB382" i="3" s="1"/>
  <c r="AY327" i="3"/>
  <c r="BB327" i="3" s="1"/>
  <c r="AY622" i="3"/>
  <c r="BB622" i="3" s="1"/>
  <c r="AY463" i="3"/>
  <c r="BB463" i="3" s="1"/>
  <c r="AY213" i="3"/>
  <c r="BB213" i="3" s="1"/>
  <c r="AY508" i="3"/>
  <c r="BB508" i="3" s="1"/>
  <c r="AY524" i="3"/>
  <c r="BB524" i="3" s="1"/>
  <c r="AY229" i="3"/>
  <c r="BB229" i="3" s="1"/>
  <c r="AY245" i="3"/>
  <c r="BB245" i="3" s="1"/>
  <c r="AY540" i="3"/>
  <c r="BB540" i="3" s="1"/>
  <c r="AY556" i="3"/>
  <c r="BB556" i="3" s="1"/>
  <c r="AY261" i="3"/>
  <c r="BB261" i="3" s="1"/>
  <c r="AY277" i="3"/>
  <c r="BB277" i="3" s="1"/>
  <c r="AY572" i="3"/>
  <c r="BB572" i="3" s="1"/>
  <c r="AY588" i="3"/>
  <c r="BB588" i="3" s="1"/>
  <c r="AY293" i="3"/>
  <c r="BB293" i="3" s="1"/>
  <c r="AY309" i="3"/>
  <c r="BB309" i="3" s="1"/>
  <c r="AY604" i="3"/>
  <c r="BB604" i="3" s="1"/>
  <c r="AY620" i="3"/>
  <c r="BB620" i="3" s="1"/>
  <c r="AY325" i="3"/>
  <c r="BB325" i="3" s="1"/>
  <c r="AY341" i="3"/>
  <c r="BB341" i="3" s="1"/>
  <c r="AY636" i="3"/>
  <c r="BB636" i="3" s="1"/>
  <c r="AY652" i="3"/>
  <c r="BB652" i="3" s="1"/>
  <c r="AY357" i="3"/>
  <c r="BB357" i="3" s="1"/>
  <c r="AY407" i="3"/>
  <c r="BB407" i="3" s="1"/>
  <c r="AY112" i="3"/>
  <c r="BB112" i="3" s="1"/>
  <c r="AY439" i="3"/>
  <c r="BB439" i="3" s="1"/>
  <c r="AY144" i="3"/>
  <c r="BB144" i="3" s="1"/>
  <c r="AY265" i="3"/>
  <c r="BB265" i="3" s="1"/>
  <c r="AY329" i="3"/>
  <c r="BB329" i="3" s="1"/>
  <c r="AY582" i="3"/>
  <c r="BB582" i="3" s="1"/>
  <c r="AY287" i="3"/>
  <c r="BB287" i="3" s="1"/>
  <c r="AY164" i="3"/>
  <c r="BB164" i="3" s="1"/>
  <c r="AY459" i="3"/>
  <c r="BB459" i="3" s="1"/>
  <c r="AY255" i="3"/>
  <c r="BB255" i="3" s="1"/>
  <c r="AY550" i="3"/>
  <c r="BB550" i="3" s="1"/>
  <c r="AY221" i="3"/>
  <c r="BB221" i="3" s="1"/>
  <c r="AY516" i="3"/>
  <c r="BB516" i="3" s="1"/>
  <c r="AY253" i="3"/>
  <c r="BB253" i="3" s="1"/>
  <c r="AY548" i="3"/>
  <c r="BB548" i="3" s="1"/>
  <c r="AY285" i="3"/>
  <c r="BB285" i="3" s="1"/>
  <c r="AY580" i="3"/>
  <c r="BB580" i="3" s="1"/>
  <c r="AY317" i="3"/>
  <c r="BB317" i="3" s="1"/>
  <c r="AY612" i="3"/>
  <c r="BB612" i="3" s="1"/>
  <c r="AY349" i="3"/>
  <c r="BB349" i="3" s="1"/>
  <c r="AY644" i="3"/>
  <c r="BB644" i="3" s="1"/>
  <c r="AY423" i="3"/>
  <c r="BB423" i="3" s="1"/>
  <c r="AY128" i="3"/>
  <c r="BB128" i="3" s="1"/>
  <c r="AY662" i="3"/>
  <c r="BB662" i="3" s="1"/>
  <c r="AY367" i="3"/>
  <c r="BB367" i="3" s="1"/>
  <c r="AY630" i="3"/>
  <c r="BB630" i="3" s="1"/>
  <c r="AY335" i="3"/>
  <c r="BB335" i="3" s="1"/>
  <c r="AY132" i="3"/>
  <c r="BB132" i="3" s="1"/>
  <c r="AY427" i="3"/>
  <c r="BB427" i="3" s="1"/>
  <c r="AY225" i="3"/>
  <c r="BB225" i="3" s="1"/>
  <c r="AY520" i="3"/>
  <c r="BB520" i="3" s="1"/>
  <c r="AY257" i="3"/>
  <c r="BB257" i="3" s="1"/>
  <c r="AY552" i="3"/>
  <c r="BB552" i="3" s="1"/>
  <c r="AY289" i="3"/>
  <c r="BB289" i="3" s="1"/>
  <c r="AY584" i="3"/>
  <c r="BB584" i="3" s="1"/>
  <c r="AY305" i="3"/>
  <c r="BB305" i="3" s="1"/>
  <c r="AY600" i="3"/>
  <c r="BB600" i="3" s="1"/>
  <c r="AY337" i="3"/>
  <c r="BB337" i="3" s="1"/>
  <c r="AY632" i="3"/>
  <c r="BB632" i="3" s="1"/>
  <c r="AY486" i="3"/>
  <c r="BB486" i="3" s="1"/>
  <c r="AY191" i="3"/>
  <c r="BB191" i="3" s="1"/>
  <c r="AY474" i="3"/>
  <c r="BB474" i="3" s="1"/>
  <c r="AY411" i="3"/>
  <c r="BB411" i="3" s="1"/>
  <c r="AY196" i="3"/>
  <c r="BB196" i="3" s="1"/>
  <c r="AY491" i="3"/>
  <c r="BB491" i="3" s="1"/>
  <c r="AY244" i="3"/>
  <c r="BB244" i="3" s="1"/>
  <c r="AY539" i="3"/>
  <c r="BB539" i="3" s="1"/>
  <c r="AY247" i="3"/>
  <c r="BB247" i="3" s="1"/>
  <c r="AY542" i="3"/>
  <c r="BB542" i="3" s="1"/>
  <c r="AY271" i="3"/>
  <c r="BB271" i="3" s="1"/>
  <c r="AY566" i="3"/>
  <c r="BB566" i="3" s="1"/>
  <c r="AY343" i="3"/>
  <c r="BB343" i="3" s="1"/>
  <c r="AY638" i="3"/>
  <c r="BB638" i="3" s="1"/>
  <c r="AY482" i="3"/>
  <c r="BB482" i="3" s="1"/>
  <c r="AY187" i="3"/>
  <c r="BB187" i="3" s="1"/>
  <c r="AY369" i="3"/>
  <c r="BB369" i="3" s="1"/>
  <c r="AY570" i="3"/>
  <c r="BB570" i="3" s="1"/>
  <c r="AY275" i="3"/>
  <c r="BB275" i="3" s="1"/>
  <c r="AY526" i="3"/>
  <c r="BB526" i="3" s="1"/>
  <c r="AY231" i="3"/>
  <c r="BB231" i="3" s="1"/>
  <c r="AY88" i="3"/>
  <c r="BB88" i="3" s="1"/>
  <c r="AY383" i="3"/>
  <c r="BB383" i="3" s="1"/>
  <c r="AY120" i="3"/>
  <c r="BB120" i="3" s="1"/>
  <c r="AY415" i="3"/>
  <c r="BB415" i="3" s="1"/>
  <c r="AY152" i="3"/>
  <c r="BB152" i="3" s="1"/>
  <c r="AY447" i="3"/>
  <c r="BB447" i="3" s="1"/>
  <c r="AY184" i="3"/>
  <c r="BB184" i="3" s="1"/>
  <c r="AY479" i="3"/>
  <c r="BB479" i="3" s="1"/>
  <c r="AY378" i="3"/>
  <c r="BB378" i="3" s="1"/>
  <c r="AY186" i="3"/>
  <c r="BB186" i="3" s="1"/>
  <c r="AY103" i="3"/>
  <c r="BB103" i="3" s="1"/>
  <c r="AY518" i="3"/>
  <c r="BB518" i="3" s="1"/>
  <c r="AY251" i="3"/>
  <c r="BB251" i="3" s="1"/>
  <c r="AY175" i="3"/>
  <c r="BB175" i="3" s="1"/>
  <c r="AY217" i="3"/>
  <c r="BB217" i="3" s="1"/>
  <c r="AY281" i="3"/>
  <c r="BB281" i="3" s="1"/>
  <c r="AY345" i="3"/>
  <c r="BB345" i="3" s="1"/>
  <c r="AY538" i="3"/>
  <c r="BB538" i="3" s="1"/>
  <c r="AY243" i="3"/>
  <c r="BB243" i="3" s="1"/>
  <c r="AY654" i="3"/>
  <c r="BB654" i="3" s="1"/>
  <c r="AY359" i="3"/>
  <c r="BB359" i="3" s="1"/>
  <c r="AT387" i="3"/>
  <c r="AW387" i="3" s="1"/>
  <c r="AT92" i="3"/>
  <c r="AW92" i="3" s="1"/>
  <c r="AT419" i="3"/>
  <c r="AW419" i="3" s="1"/>
  <c r="AT124" i="3"/>
  <c r="AW124" i="3" s="1"/>
  <c r="AT403" i="3"/>
  <c r="AW403" i="3" s="1"/>
  <c r="AT108" i="3"/>
  <c r="AW108" i="3" s="1"/>
  <c r="AT382" i="3"/>
  <c r="AW382" i="3" s="1"/>
  <c r="AT87" i="3"/>
  <c r="AW87" i="3" s="1"/>
  <c r="AT398" i="3"/>
  <c r="AW398" i="3" s="1"/>
  <c r="AT103" i="3"/>
  <c r="AW103" i="3" s="1"/>
  <c r="AT414" i="3"/>
  <c r="AW414" i="3" s="1"/>
  <c r="AT119" i="3"/>
  <c r="AW119" i="3" s="1"/>
  <c r="AT430" i="3"/>
  <c r="AW430" i="3" s="1"/>
  <c r="AT135" i="3"/>
  <c r="AW135" i="3" s="1"/>
  <c r="AT377" i="3"/>
  <c r="AW377" i="3" s="1"/>
  <c r="AT86" i="3"/>
  <c r="AW86" i="3" s="1"/>
  <c r="AT118" i="3"/>
  <c r="AW118" i="3" s="1"/>
  <c r="AT104" i="3"/>
  <c r="AW104" i="3" s="1"/>
  <c r="AT136" i="3"/>
  <c r="AW136" i="3" s="1"/>
  <c r="AT171" i="3"/>
  <c r="AW171" i="3" s="1"/>
  <c r="AT215" i="3"/>
  <c r="AW215" i="3" s="1"/>
  <c r="AT247" i="3"/>
  <c r="AW247" i="3" s="1"/>
  <c r="AT279" i="3"/>
  <c r="AW279" i="3" s="1"/>
  <c r="AT311" i="3"/>
  <c r="AW311" i="3" s="1"/>
  <c r="AT343" i="3"/>
  <c r="AW343" i="3" s="1"/>
  <c r="AT393" i="3"/>
  <c r="AW393" i="3" s="1"/>
  <c r="AT98" i="3"/>
  <c r="AW98" i="3" s="1"/>
  <c r="AT417" i="3"/>
  <c r="AW417" i="3" s="1"/>
  <c r="AT122" i="3"/>
  <c r="AW122" i="3" s="1"/>
  <c r="AT433" i="3"/>
  <c r="AW433" i="3" s="1"/>
  <c r="AT411" i="3"/>
  <c r="AW411" i="3" s="1"/>
  <c r="AT116" i="3"/>
  <c r="AW116" i="3" s="1"/>
  <c r="AT435" i="3"/>
  <c r="AW435" i="3" s="1"/>
  <c r="AT140" i="3"/>
  <c r="AW140" i="3" s="1"/>
  <c r="AT446" i="3"/>
  <c r="AW446" i="3" s="1"/>
  <c r="AT454" i="3"/>
  <c r="AW454" i="3" s="1"/>
  <c r="AT462" i="3"/>
  <c r="AW462" i="3" s="1"/>
  <c r="AT470" i="3"/>
  <c r="AW470" i="3" s="1"/>
  <c r="AT478" i="3"/>
  <c r="AW478" i="3" s="1"/>
  <c r="AT486" i="3"/>
  <c r="AW486" i="3" s="1"/>
  <c r="AT494" i="3"/>
  <c r="AW494" i="3" s="1"/>
  <c r="AT502" i="3"/>
  <c r="AW502" i="3" s="1"/>
  <c r="AT518" i="3"/>
  <c r="AW518" i="3" s="1"/>
  <c r="AT526" i="3"/>
  <c r="AW526" i="3" s="1"/>
  <c r="AT534" i="3"/>
  <c r="AW534" i="3" s="1"/>
  <c r="AT550" i="3"/>
  <c r="AW550" i="3" s="1"/>
  <c r="AT558" i="3"/>
  <c r="AW558" i="3" s="1"/>
  <c r="AT566" i="3"/>
  <c r="AW566" i="3" s="1"/>
  <c r="AT582" i="3"/>
  <c r="AW582" i="3" s="1"/>
  <c r="AT590" i="3"/>
  <c r="AW590" i="3" s="1"/>
  <c r="AT598" i="3"/>
  <c r="AW598" i="3" s="1"/>
  <c r="AT614" i="3"/>
  <c r="AW614" i="3" s="1"/>
  <c r="AT622" i="3"/>
  <c r="AW622" i="3" s="1"/>
  <c r="AT630" i="3"/>
  <c r="AW630" i="3" s="1"/>
  <c r="AT646" i="3"/>
  <c r="AW646" i="3" s="1"/>
  <c r="AT654" i="3"/>
  <c r="AW654" i="3" s="1"/>
  <c r="AT662" i="3"/>
  <c r="AW662" i="3" s="1"/>
  <c r="AT568" i="3"/>
  <c r="AW568" i="3" s="1"/>
  <c r="AT432" i="3"/>
  <c r="AW432" i="3" s="1"/>
  <c r="AT560" i="3"/>
  <c r="AW560" i="3" s="1"/>
  <c r="AT384" i="3"/>
  <c r="AW384" i="3" s="1"/>
  <c r="AT512" i="3"/>
  <c r="AW512" i="3" s="1"/>
  <c r="AT640" i="3"/>
  <c r="AW640" i="3" s="1"/>
  <c r="AT488" i="3"/>
  <c r="AW488" i="3" s="1"/>
  <c r="AT648" i="3"/>
  <c r="AW648" i="3" s="1"/>
  <c r="AT153" i="3"/>
  <c r="AW153" i="3" s="1"/>
  <c r="AT368" i="3"/>
  <c r="AW368" i="3" s="1"/>
  <c r="AT94" i="3"/>
  <c r="AW94" i="3" s="1"/>
  <c r="AT126" i="3"/>
  <c r="AW126" i="3" s="1"/>
  <c r="AT112" i="3"/>
  <c r="AW112" i="3" s="1"/>
  <c r="AT144" i="3"/>
  <c r="AW144" i="3" s="1"/>
  <c r="AT115" i="3"/>
  <c r="AW115" i="3" s="1"/>
  <c r="AT147" i="3"/>
  <c r="AW147" i="3" s="1"/>
  <c r="AT179" i="3"/>
  <c r="AW179" i="3" s="1"/>
  <c r="AT390" i="3"/>
  <c r="AW390" i="3" s="1"/>
  <c r="AT95" i="3"/>
  <c r="AW95" i="3" s="1"/>
  <c r="AT406" i="3"/>
  <c r="AW406" i="3" s="1"/>
  <c r="AT111" i="3"/>
  <c r="AW111" i="3" s="1"/>
  <c r="AT422" i="3"/>
  <c r="AW422" i="3" s="1"/>
  <c r="AT127" i="3"/>
  <c r="AW127" i="3" s="1"/>
  <c r="AT438" i="3"/>
  <c r="AW438" i="3" s="1"/>
  <c r="AT143" i="3"/>
  <c r="AW143" i="3" s="1"/>
  <c r="AT10" i="3"/>
  <c r="AW10" i="3" s="1"/>
  <c r="AT11" i="3"/>
  <c r="AW11" i="3" s="1"/>
  <c r="AT369" i="3"/>
  <c r="AW369" i="3" s="1"/>
  <c r="AT102" i="3"/>
  <c r="AW102" i="3" s="1"/>
  <c r="AT134" i="3"/>
  <c r="AW134" i="3" s="1"/>
  <c r="AT88" i="3"/>
  <c r="AW88" i="3" s="1"/>
  <c r="AT120" i="3"/>
  <c r="AW120" i="3" s="1"/>
  <c r="AT155" i="3"/>
  <c r="AW155" i="3" s="1"/>
  <c r="AT385" i="3"/>
  <c r="AW385" i="3" s="1"/>
  <c r="AT90" i="3"/>
  <c r="AW90" i="3" s="1"/>
  <c r="AT401" i="3"/>
  <c r="AW401" i="3" s="1"/>
  <c r="AT425" i="3"/>
  <c r="AW425" i="3" s="1"/>
  <c r="AT130" i="3"/>
  <c r="AW130" i="3" s="1"/>
  <c r="AT395" i="3"/>
  <c r="AW395" i="3" s="1"/>
  <c r="AT100" i="3"/>
  <c r="AW100" i="3" s="1"/>
  <c r="AT427" i="3"/>
  <c r="AW427" i="3" s="1"/>
  <c r="AT458" i="3"/>
  <c r="AW458" i="3" s="1"/>
  <c r="AT482" i="3"/>
  <c r="AW482" i="3" s="1"/>
  <c r="AT490" i="3"/>
  <c r="AW490" i="3" s="1"/>
  <c r="AT498" i="3"/>
  <c r="AW498" i="3" s="1"/>
  <c r="AT506" i="3"/>
  <c r="AW506" i="3" s="1"/>
  <c r="AT514" i="3"/>
  <c r="AW514" i="3" s="1"/>
  <c r="AT522" i="3"/>
  <c r="AW522" i="3" s="1"/>
  <c r="AT530" i="3"/>
  <c r="AW530" i="3" s="1"/>
  <c r="AT538" i="3"/>
  <c r="AW538" i="3" s="1"/>
  <c r="AT546" i="3"/>
  <c r="AW546" i="3" s="1"/>
  <c r="AT554" i="3"/>
  <c r="AW554" i="3" s="1"/>
  <c r="AT562" i="3"/>
  <c r="AW562" i="3" s="1"/>
  <c r="AT570" i="3"/>
  <c r="AW570" i="3" s="1"/>
  <c r="AT578" i="3"/>
  <c r="AW578" i="3" s="1"/>
  <c r="AT586" i="3"/>
  <c r="AW586" i="3" s="1"/>
  <c r="AT594" i="3"/>
  <c r="AW594" i="3" s="1"/>
  <c r="AT602" i="3"/>
  <c r="AW602" i="3" s="1"/>
  <c r="AT610" i="3"/>
  <c r="AW610" i="3" s="1"/>
  <c r="AT618" i="3"/>
  <c r="AW618" i="3" s="1"/>
  <c r="AT626" i="3"/>
  <c r="AW626" i="3" s="1"/>
  <c r="AT634" i="3"/>
  <c r="AW634" i="3" s="1"/>
  <c r="AT642" i="3"/>
  <c r="AW642" i="3" s="1"/>
  <c r="AT650" i="3"/>
  <c r="AW650" i="3" s="1"/>
  <c r="AT658" i="3"/>
  <c r="AW658" i="3" s="1"/>
  <c r="AT504" i="3"/>
  <c r="AW504" i="3" s="1"/>
  <c r="AT632" i="3"/>
  <c r="AW632" i="3" s="1"/>
  <c r="AT496" i="3"/>
  <c r="AW496" i="3" s="1"/>
  <c r="AT624" i="3"/>
  <c r="AW624" i="3" s="1"/>
  <c r="AT576" i="3"/>
  <c r="AW576" i="3" s="1"/>
  <c r="AT552" i="3"/>
  <c r="AW552" i="3" s="1"/>
  <c r="AT375" i="3"/>
  <c r="AW375" i="3" s="1"/>
  <c r="AT376" i="3"/>
  <c r="AW376" i="3" s="1"/>
  <c r="AT373" i="3"/>
  <c r="AW373" i="3" s="1"/>
  <c r="AT110" i="3"/>
  <c r="AW110" i="3" s="1"/>
  <c r="AT142" i="3"/>
  <c r="AW142" i="3" s="1"/>
  <c r="AT96" i="3"/>
  <c r="AW96" i="3" s="1"/>
  <c r="AT128" i="3"/>
  <c r="AW128" i="3" s="1"/>
  <c r="AT99" i="3"/>
  <c r="AW99" i="3" s="1"/>
  <c r="AT131" i="3"/>
  <c r="AW131" i="3" s="1"/>
  <c r="AO420" i="3"/>
  <c r="AR420" i="3" s="1"/>
  <c r="AO125" i="3"/>
  <c r="AR125" i="3" s="1"/>
  <c r="AO520" i="3"/>
  <c r="AR520" i="3" s="1"/>
  <c r="AO225" i="3"/>
  <c r="AR225" i="3" s="1"/>
  <c r="AO352" i="3"/>
  <c r="AR352" i="3" s="1"/>
  <c r="AO647" i="3"/>
  <c r="AR647" i="3" s="1"/>
  <c r="AO628" i="3"/>
  <c r="AR628" i="3" s="1"/>
  <c r="AO333" i="3"/>
  <c r="AR333" i="3" s="1"/>
  <c r="AO201" i="3"/>
  <c r="AR201" i="3" s="1"/>
  <c r="AO496" i="3"/>
  <c r="AR496" i="3" s="1"/>
  <c r="AO273" i="3"/>
  <c r="AR273" i="3" s="1"/>
  <c r="AO568" i="3"/>
  <c r="AR568" i="3" s="1"/>
  <c r="AO337" i="3"/>
  <c r="AR337" i="3" s="1"/>
  <c r="AO632" i="3"/>
  <c r="AR632" i="3" s="1"/>
  <c r="AO202" i="3"/>
  <c r="AR202" i="3" s="1"/>
  <c r="AO497" i="3"/>
  <c r="AR497" i="3" s="1"/>
  <c r="AO266" i="3"/>
  <c r="AR266" i="3" s="1"/>
  <c r="AO561" i="3"/>
  <c r="AR561" i="3" s="1"/>
  <c r="AO338" i="3"/>
  <c r="AR338" i="3" s="1"/>
  <c r="AO633" i="3"/>
  <c r="AR633" i="3" s="1"/>
  <c r="AO147" i="3"/>
  <c r="AR147" i="3" s="1"/>
  <c r="AO442" i="3"/>
  <c r="AR442" i="3" s="1"/>
  <c r="AO183" i="3"/>
  <c r="AR183" i="3" s="1"/>
  <c r="AO478" i="3"/>
  <c r="AR478" i="3" s="1"/>
  <c r="AO377" i="3"/>
  <c r="AR377" i="3" s="1"/>
  <c r="AO490" i="3"/>
  <c r="AR490" i="3" s="1"/>
  <c r="AO104" i="3"/>
  <c r="AR104" i="3" s="1"/>
  <c r="AO399" i="3"/>
  <c r="AR399" i="3" s="1"/>
  <c r="AO116" i="3"/>
  <c r="AR116" i="3" s="1"/>
  <c r="AO411" i="3"/>
  <c r="AR411" i="3" s="1"/>
  <c r="AO269" i="3"/>
  <c r="AR269" i="3" s="1"/>
  <c r="AO455" i="3"/>
  <c r="AR455" i="3" s="1"/>
  <c r="AO390" i="3"/>
  <c r="AR390" i="3" s="1"/>
  <c r="AO454" i="3"/>
  <c r="AR454" i="3" s="1"/>
  <c r="AO498" i="3"/>
  <c r="AR498" i="3" s="1"/>
  <c r="AO562" i="3"/>
  <c r="AR562" i="3" s="1"/>
  <c r="AO626" i="3"/>
  <c r="AR626" i="3" s="1"/>
  <c r="AO513" i="3"/>
  <c r="AR513" i="3" s="1"/>
  <c r="AO10" i="3"/>
  <c r="AR10" i="3" s="1"/>
  <c r="AO11" i="3"/>
  <c r="AR11" i="3" s="1"/>
  <c r="AO401" i="3"/>
  <c r="AR401" i="3" s="1"/>
  <c r="AO106" i="3"/>
  <c r="AR106" i="3" s="1"/>
  <c r="AO383" i="3"/>
  <c r="AR383" i="3" s="1"/>
  <c r="AO88" i="3"/>
  <c r="AR88" i="3" s="1"/>
  <c r="AO500" i="3"/>
  <c r="AR500" i="3" s="1"/>
  <c r="AO205" i="3"/>
  <c r="AR205" i="3" s="1"/>
  <c r="AO580" i="3"/>
  <c r="AR580" i="3" s="1"/>
  <c r="AO285" i="3"/>
  <c r="AR285" i="3" s="1"/>
  <c r="AO592" i="3"/>
  <c r="AR592" i="3" s="1"/>
  <c r="AO257" i="3"/>
  <c r="AR257" i="3" s="1"/>
  <c r="AO552" i="3"/>
  <c r="AR552" i="3" s="1"/>
  <c r="AO376" i="3"/>
  <c r="AR376" i="3" s="1"/>
  <c r="AO194" i="3"/>
  <c r="AR194" i="3" s="1"/>
  <c r="AO226" i="3"/>
  <c r="AR226" i="3" s="1"/>
  <c r="AO521" i="3"/>
  <c r="AR521" i="3" s="1"/>
  <c r="AO258" i="3"/>
  <c r="AR258" i="3" s="1"/>
  <c r="AO553" i="3"/>
  <c r="AR553" i="3" s="1"/>
  <c r="AO290" i="3"/>
  <c r="AR290" i="3" s="1"/>
  <c r="AO585" i="3"/>
  <c r="AR585" i="3" s="1"/>
  <c r="AO330" i="3"/>
  <c r="AR330" i="3" s="1"/>
  <c r="AO625" i="3"/>
  <c r="AR625" i="3" s="1"/>
  <c r="AO115" i="3"/>
  <c r="AR115" i="3" s="1"/>
  <c r="AO410" i="3"/>
  <c r="AR410" i="3" s="1"/>
  <c r="AO151" i="3"/>
  <c r="AR151" i="3" s="1"/>
  <c r="AO446" i="3"/>
  <c r="AR446" i="3" s="1"/>
  <c r="AO96" i="3"/>
  <c r="AR96" i="3" s="1"/>
  <c r="AO370" i="3"/>
  <c r="AR370" i="3" s="1"/>
  <c r="AO188" i="3"/>
  <c r="AR188" i="3" s="1"/>
  <c r="AO177" i="3"/>
  <c r="AR177" i="3" s="1"/>
  <c r="AO301" i="3"/>
  <c r="AR301" i="3" s="1"/>
  <c r="AO409" i="3"/>
  <c r="AR409" i="3" s="1"/>
  <c r="AO114" i="3"/>
  <c r="AR114" i="3" s="1"/>
  <c r="AO449" i="3"/>
  <c r="AR449" i="3" s="1"/>
  <c r="AO154" i="3"/>
  <c r="AR154" i="3" s="1"/>
  <c r="AO441" i="3"/>
  <c r="AR441" i="3" s="1"/>
  <c r="AO146" i="3"/>
  <c r="AR146" i="3" s="1"/>
  <c r="AO189" i="3"/>
  <c r="AR189" i="3" s="1"/>
  <c r="AO371" i="3"/>
  <c r="AR371" i="3" s="1"/>
  <c r="AO484" i="3"/>
  <c r="AR484" i="3" s="1"/>
  <c r="AO233" i="3"/>
  <c r="AR233" i="3" s="1"/>
  <c r="AO528" i="3"/>
  <c r="AR528" i="3" s="1"/>
  <c r="AO309" i="3"/>
  <c r="AR309" i="3" s="1"/>
  <c r="AO604" i="3"/>
  <c r="AR604" i="3" s="1"/>
  <c r="AO182" i="3"/>
  <c r="AR182" i="3" s="1"/>
  <c r="AO477" i="3"/>
  <c r="AR477" i="3" s="1"/>
  <c r="AO250" i="3"/>
  <c r="AR250" i="3" s="1"/>
  <c r="AO545" i="3"/>
  <c r="AR545" i="3" s="1"/>
  <c r="AO322" i="3"/>
  <c r="AR322" i="3" s="1"/>
  <c r="AO617" i="3"/>
  <c r="AR617" i="3" s="1"/>
  <c r="AO354" i="3"/>
  <c r="AR354" i="3" s="1"/>
  <c r="AO649" i="3"/>
  <c r="AR649" i="3" s="1"/>
  <c r="AO119" i="3"/>
  <c r="AR119" i="3" s="1"/>
  <c r="AO414" i="3"/>
  <c r="AR414" i="3" s="1"/>
  <c r="AO168" i="3"/>
  <c r="AR168" i="3" s="1"/>
  <c r="AO463" i="3"/>
  <c r="AR463" i="3" s="1"/>
  <c r="AO180" i="3"/>
  <c r="AR180" i="3" s="1"/>
  <c r="AO475" i="3"/>
  <c r="AR475" i="3" s="1"/>
  <c r="AO134" i="3"/>
  <c r="AR134" i="3" s="1"/>
  <c r="AO530" i="3"/>
  <c r="AR530" i="3" s="1"/>
  <c r="AO594" i="3"/>
  <c r="AR594" i="3" s="1"/>
  <c r="AO658" i="3"/>
  <c r="AR658" i="3" s="1"/>
  <c r="AO393" i="3"/>
  <c r="AR393" i="3" s="1"/>
  <c r="AO98" i="3"/>
  <c r="AR98" i="3" s="1"/>
  <c r="AO417" i="3"/>
  <c r="AR417" i="3" s="1"/>
  <c r="AO122" i="3"/>
  <c r="AR122" i="3" s="1"/>
  <c r="AO433" i="3"/>
  <c r="AR433" i="3" s="1"/>
  <c r="AO138" i="3"/>
  <c r="AR138" i="3" s="1"/>
  <c r="AO577" i="3"/>
  <c r="AR577" i="3" s="1"/>
  <c r="AO392" i="3"/>
  <c r="AR392" i="3" s="1"/>
  <c r="AO97" i="3"/>
  <c r="AR97" i="3" s="1"/>
  <c r="AO576" i="3"/>
  <c r="AR576" i="3" s="1"/>
  <c r="AO281" i="3"/>
  <c r="AR281" i="3" s="1"/>
  <c r="AO361" i="3"/>
  <c r="AR361" i="3" s="1"/>
  <c r="AO656" i="3"/>
  <c r="AR656" i="3" s="1"/>
  <c r="AO551" i="3"/>
  <c r="AR551" i="3" s="1"/>
  <c r="AO256" i="3"/>
  <c r="AR256" i="3" s="1"/>
  <c r="AO289" i="3"/>
  <c r="AR289" i="3" s="1"/>
  <c r="AO584" i="3"/>
  <c r="AR584" i="3" s="1"/>
  <c r="AO242" i="3"/>
  <c r="AR242" i="3" s="1"/>
  <c r="AO537" i="3"/>
  <c r="AR537" i="3" s="1"/>
  <c r="AO306" i="3"/>
  <c r="AR306" i="3" s="1"/>
  <c r="AO601" i="3"/>
  <c r="AR601" i="3" s="1"/>
  <c r="AO346" i="3"/>
  <c r="AR346" i="3" s="1"/>
  <c r="AO641" i="3"/>
  <c r="AR641" i="3" s="1"/>
  <c r="AO87" i="3"/>
  <c r="AR87" i="3" s="1"/>
  <c r="AO382" i="3"/>
  <c r="AR382" i="3" s="1"/>
  <c r="AO179" i="3"/>
  <c r="AR179" i="3" s="1"/>
  <c r="AO474" i="3"/>
  <c r="AR474" i="3" s="1"/>
  <c r="AO195" i="3"/>
  <c r="AR195" i="3" s="1"/>
  <c r="AO211" i="3"/>
  <c r="AR211" i="3" s="1"/>
  <c r="AO227" i="3"/>
  <c r="AR227" i="3" s="1"/>
  <c r="AO243" i="3"/>
  <c r="AR243" i="3" s="1"/>
  <c r="AO259" i="3"/>
  <c r="AR259" i="3" s="1"/>
  <c r="AO275" i="3"/>
  <c r="AR275" i="3" s="1"/>
  <c r="AO291" i="3"/>
  <c r="AR291" i="3" s="1"/>
  <c r="AO307" i="3"/>
  <c r="AR307" i="3" s="1"/>
  <c r="AO323" i="3"/>
  <c r="AR323" i="3" s="1"/>
  <c r="AO339" i="3"/>
  <c r="AR339" i="3" s="1"/>
  <c r="AO355" i="3"/>
  <c r="AR355" i="3" s="1"/>
  <c r="AO136" i="3"/>
  <c r="AR136" i="3" s="1"/>
  <c r="AO431" i="3"/>
  <c r="AR431" i="3" s="1"/>
  <c r="AO148" i="3"/>
  <c r="AR148" i="3" s="1"/>
  <c r="AO443" i="3"/>
  <c r="AR443" i="3" s="1"/>
  <c r="AO90" i="3"/>
  <c r="AR90" i="3" s="1"/>
  <c r="AO397" i="3"/>
  <c r="AR397" i="3" s="1"/>
  <c r="AO102" i="3"/>
  <c r="AR102" i="3" s="1"/>
  <c r="AO456" i="3"/>
  <c r="AR456" i="3" s="1"/>
  <c r="AO161" i="3"/>
  <c r="AR161" i="3" s="1"/>
  <c r="AO193" i="3"/>
  <c r="AR193" i="3" s="1"/>
  <c r="AO321" i="3"/>
  <c r="AR321" i="3" s="1"/>
  <c r="AO126" i="3"/>
  <c r="AR126" i="3" s="1"/>
  <c r="AO381" i="3"/>
  <c r="AR381" i="3" s="1"/>
  <c r="AO86" i="3"/>
  <c r="AR86" i="3" s="1"/>
  <c r="AO560" i="3"/>
  <c r="AR560" i="3" s="1"/>
  <c r="AO265" i="3"/>
  <c r="AR265" i="3" s="1"/>
  <c r="AO173" i="3"/>
  <c r="AR173" i="3" s="1"/>
  <c r="AO249" i="3"/>
  <c r="AR249" i="3" s="1"/>
  <c r="AO280" i="3"/>
  <c r="AR280" i="3" s="1"/>
  <c r="AO130" i="3"/>
  <c r="AR130" i="3" s="1"/>
  <c r="AO150" i="3"/>
  <c r="AR150" i="3" s="1"/>
  <c r="X10" i="3"/>
  <c r="M294" i="2"/>
  <c r="AJ589" i="3" s="1"/>
  <c r="AM589" i="3" s="1"/>
  <c r="M422" i="2"/>
  <c r="AJ717" i="3" s="1"/>
  <c r="AM717" i="3" s="1"/>
  <c r="M454" i="2"/>
  <c r="AJ749" i="3" s="1"/>
  <c r="AM749" i="3" s="1"/>
  <c r="M358" i="2"/>
  <c r="AJ653" i="3" s="1"/>
  <c r="AM653" i="3" s="1"/>
  <c r="M326" i="2"/>
  <c r="AJ621" i="3" s="1"/>
  <c r="AM621" i="3" s="1"/>
  <c r="M198" i="2"/>
  <c r="M102" i="2"/>
  <c r="AJ397" i="3" s="1"/>
  <c r="AM397" i="3" s="1"/>
  <c r="M678" i="2"/>
  <c r="AJ973" i="3" s="1"/>
  <c r="AM973" i="3" s="1"/>
  <c r="M38" i="2"/>
  <c r="AJ38" i="3" s="1"/>
  <c r="AM38" i="3" s="1"/>
  <c r="M166" i="2"/>
  <c r="M865" i="2"/>
  <c r="AJ1160" i="3" s="1"/>
  <c r="AM1160" i="3" s="1"/>
  <c r="M861" i="2"/>
  <c r="AJ1156" i="3" s="1"/>
  <c r="AM1156" i="3" s="1"/>
  <c r="M857" i="2"/>
  <c r="AJ1152" i="3" s="1"/>
  <c r="AM1152" i="3" s="1"/>
  <c r="M853" i="2"/>
  <c r="AJ1148" i="3" s="1"/>
  <c r="AM1148" i="3" s="1"/>
  <c r="M849" i="2"/>
  <c r="AJ1144" i="3" s="1"/>
  <c r="AM1144" i="3" s="1"/>
  <c r="M845" i="2"/>
  <c r="AJ1140" i="3" s="1"/>
  <c r="AM1140" i="3" s="1"/>
  <c r="M841" i="2"/>
  <c r="AJ1136" i="3" s="1"/>
  <c r="AM1136" i="3" s="1"/>
  <c r="M837" i="2"/>
  <c r="AJ1132" i="3" s="1"/>
  <c r="AM1132" i="3" s="1"/>
  <c r="M833" i="2"/>
  <c r="AJ1128" i="3" s="1"/>
  <c r="AM1128" i="3" s="1"/>
  <c r="M829" i="2"/>
  <c r="AJ1124" i="3" s="1"/>
  <c r="AM1124" i="3" s="1"/>
  <c r="M825" i="2"/>
  <c r="AJ1120" i="3" s="1"/>
  <c r="AM1120" i="3" s="1"/>
  <c r="M821" i="2"/>
  <c r="AJ1116" i="3" s="1"/>
  <c r="AM1116" i="3" s="1"/>
  <c r="M817" i="2"/>
  <c r="AJ1112" i="3" s="1"/>
  <c r="AM1112" i="3" s="1"/>
  <c r="M813" i="2"/>
  <c r="AJ1108" i="3" s="1"/>
  <c r="AM1108" i="3" s="1"/>
  <c r="M809" i="2"/>
  <c r="AJ1104" i="3" s="1"/>
  <c r="AM1104" i="3" s="1"/>
  <c r="M805" i="2"/>
  <c r="AJ1100" i="3" s="1"/>
  <c r="AM1100" i="3" s="1"/>
  <c r="M801" i="2"/>
  <c r="AJ1096" i="3" s="1"/>
  <c r="AM1096" i="3" s="1"/>
  <c r="M797" i="2"/>
  <c r="AJ1092" i="3" s="1"/>
  <c r="AM1092" i="3" s="1"/>
  <c r="M793" i="2"/>
  <c r="AJ1088" i="3" s="1"/>
  <c r="AM1088" i="3" s="1"/>
  <c r="M789" i="2"/>
  <c r="AJ1084" i="3" s="1"/>
  <c r="AM1084" i="3" s="1"/>
  <c r="M785" i="2"/>
  <c r="AJ1080" i="3" s="1"/>
  <c r="AM1080" i="3" s="1"/>
  <c r="M781" i="2"/>
  <c r="AJ1076" i="3" s="1"/>
  <c r="AM1076" i="3" s="1"/>
  <c r="M777" i="2"/>
  <c r="AJ1072" i="3" s="1"/>
  <c r="AM1072" i="3" s="1"/>
  <c r="M773" i="2"/>
  <c r="AJ1068" i="3" s="1"/>
  <c r="AM1068" i="3" s="1"/>
  <c r="M769" i="2"/>
  <c r="AJ1064" i="3" s="1"/>
  <c r="AM1064" i="3" s="1"/>
  <c r="M765" i="2"/>
  <c r="AJ1060" i="3" s="1"/>
  <c r="AM1060" i="3" s="1"/>
  <c r="M761" i="2"/>
  <c r="AJ1056" i="3" s="1"/>
  <c r="AM1056" i="3" s="1"/>
  <c r="M757" i="2"/>
  <c r="AJ1052" i="3" s="1"/>
  <c r="AM1052" i="3" s="1"/>
  <c r="M753" i="2"/>
  <c r="AJ1048" i="3" s="1"/>
  <c r="AM1048" i="3" s="1"/>
  <c r="M749" i="2"/>
  <c r="AJ1044" i="3" s="1"/>
  <c r="AM1044" i="3" s="1"/>
  <c r="M745" i="2"/>
  <c r="AJ1040" i="3" s="1"/>
  <c r="AM1040" i="3" s="1"/>
  <c r="M741" i="2"/>
  <c r="AJ1036" i="3" s="1"/>
  <c r="AM1036" i="3" s="1"/>
  <c r="M737" i="2"/>
  <c r="AJ1032" i="3" s="1"/>
  <c r="AM1032" i="3" s="1"/>
  <c r="M733" i="2"/>
  <c r="AJ1028" i="3" s="1"/>
  <c r="AM1028" i="3" s="1"/>
  <c r="M729" i="2"/>
  <c r="AJ1024" i="3" s="1"/>
  <c r="AM1024" i="3" s="1"/>
  <c r="M725" i="2"/>
  <c r="AJ1020" i="3" s="1"/>
  <c r="AM1020" i="3" s="1"/>
  <c r="M721" i="2"/>
  <c r="AJ1016" i="3" s="1"/>
  <c r="AM1016" i="3" s="1"/>
  <c r="M717" i="2"/>
  <c r="AJ1012" i="3" s="1"/>
  <c r="AM1012" i="3" s="1"/>
  <c r="M713" i="2"/>
  <c r="AJ1008" i="3" s="1"/>
  <c r="AM1008" i="3" s="1"/>
  <c r="M709" i="2"/>
  <c r="AJ1004" i="3" s="1"/>
  <c r="AM1004" i="3" s="1"/>
  <c r="M705" i="2"/>
  <c r="AJ1000" i="3" s="1"/>
  <c r="AM1000" i="3" s="1"/>
  <c r="M701" i="2"/>
  <c r="AJ996" i="3" s="1"/>
  <c r="AM996" i="3" s="1"/>
  <c r="M697" i="2"/>
  <c r="AJ992" i="3" s="1"/>
  <c r="AM992" i="3" s="1"/>
  <c r="M693" i="2"/>
  <c r="AJ988" i="3" s="1"/>
  <c r="AM988" i="3" s="1"/>
  <c r="M689" i="2"/>
  <c r="AJ984" i="3" s="1"/>
  <c r="AM984" i="3" s="1"/>
  <c r="M685" i="2"/>
  <c r="AJ980" i="3" s="1"/>
  <c r="AM980" i="3" s="1"/>
  <c r="M681" i="2"/>
  <c r="AJ976" i="3" s="1"/>
  <c r="AM976" i="3" s="1"/>
  <c r="M677" i="2"/>
  <c r="AJ972" i="3" s="1"/>
  <c r="AM972" i="3" s="1"/>
  <c r="M673" i="2"/>
  <c r="AJ968" i="3" s="1"/>
  <c r="AM968" i="3" s="1"/>
  <c r="M669" i="2"/>
  <c r="AJ964" i="3" s="1"/>
  <c r="AM964" i="3" s="1"/>
  <c r="M665" i="2"/>
  <c r="AJ960" i="3" s="1"/>
  <c r="AM960" i="3" s="1"/>
  <c r="M661" i="2"/>
  <c r="AJ956" i="3" s="1"/>
  <c r="AM956" i="3" s="1"/>
  <c r="M657" i="2"/>
  <c r="AJ952" i="3" s="1"/>
  <c r="AM952" i="3" s="1"/>
  <c r="M653" i="2"/>
  <c r="AJ948" i="3" s="1"/>
  <c r="AM948" i="3" s="1"/>
  <c r="M649" i="2"/>
  <c r="AJ944" i="3" s="1"/>
  <c r="AM944" i="3" s="1"/>
  <c r="M645" i="2"/>
  <c r="AJ940" i="3" s="1"/>
  <c r="AM940" i="3" s="1"/>
  <c r="M641" i="2"/>
  <c r="AJ936" i="3" s="1"/>
  <c r="AM936" i="3" s="1"/>
  <c r="M637" i="2"/>
  <c r="AJ932" i="3" s="1"/>
  <c r="AM932" i="3" s="1"/>
  <c r="M633" i="2"/>
  <c r="AJ928" i="3" s="1"/>
  <c r="AM928" i="3" s="1"/>
  <c r="M629" i="2"/>
  <c r="AJ924" i="3" s="1"/>
  <c r="AM924" i="3" s="1"/>
  <c r="M625" i="2"/>
  <c r="AJ920" i="3" s="1"/>
  <c r="AM920" i="3" s="1"/>
  <c r="M621" i="2"/>
  <c r="AJ916" i="3" s="1"/>
  <c r="AM916" i="3" s="1"/>
  <c r="M617" i="2"/>
  <c r="AJ912" i="3" s="1"/>
  <c r="AM912" i="3" s="1"/>
  <c r="M613" i="2"/>
  <c r="AJ908" i="3" s="1"/>
  <c r="AM908" i="3" s="1"/>
  <c r="M609" i="2"/>
  <c r="AJ904" i="3" s="1"/>
  <c r="AM904" i="3" s="1"/>
  <c r="M605" i="2"/>
  <c r="AJ900" i="3" s="1"/>
  <c r="AM900" i="3" s="1"/>
  <c r="M601" i="2"/>
  <c r="AJ896" i="3" s="1"/>
  <c r="AM896" i="3" s="1"/>
  <c r="M597" i="2"/>
  <c r="AJ892" i="3" s="1"/>
  <c r="AM892" i="3" s="1"/>
  <c r="M593" i="2"/>
  <c r="AJ888" i="3" s="1"/>
  <c r="AM888" i="3" s="1"/>
  <c r="M589" i="2"/>
  <c r="AJ884" i="3" s="1"/>
  <c r="AM884" i="3" s="1"/>
  <c r="M585" i="2"/>
  <c r="AJ880" i="3" s="1"/>
  <c r="AM880" i="3" s="1"/>
  <c r="M581" i="2"/>
  <c r="AJ876" i="3" s="1"/>
  <c r="AM876" i="3" s="1"/>
  <c r="M577" i="2"/>
  <c r="AJ872" i="3" s="1"/>
  <c r="AM872" i="3" s="1"/>
  <c r="M573" i="2"/>
  <c r="AJ868" i="3" s="1"/>
  <c r="AM868" i="3" s="1"/>
  <c r="M569" i="2"/>
  <c r="AJ864" i="3" s="1"/>
  <c r="AM864" i="3" s="1"/>
  <c r="M565" i="2"/>
  <c r="AJ860" i="3" s="1"/>
  <c r="AM860" i="3" s="1"/>
  <c r="M561" i="2"/>
  <c r="AJ856" i="3" s="1"/>
  <c r="AM856" i="3" s="1"/>
  <c r="M557" i="2"/>
  <c r="AJ852" i="3" s="1"/>
  <c r="AM852" i="3" s="1"/>
  <c r="M553" i="2"/>
  <c r="AJ848" i="3" s="1"/>
  <c r="AM848" i="3" s="1"/>
  <c r="M549" i="2"/>
  <c r="AJ844" i="3" s="1"/>
  <c r="AM844" i="3" s="1"/>
  <c r="M545" i="2"/>
  <c r="AJ840" i="3" s="1"/>
  <c r="AM840" i="3" s="1"/>
  <c r="M541" i="2"/>
  <c r="AJ836" i="3" s="1"/>
  <c r="AM836" i="3" s="1"/>
  <c r="M537" i="2"/>
  <c r="AJ832" i="3" s="1"/>
  <c r="AM832" i="3" s="1"/>
  <c r="M533" i="2"/>
  <c r="AJ828" i="3" s="1"/>
  <c r="AM828" i="3" s="1"/>
  <c r="M529" i="2"/>
  <c r="AJ824" i="3" s="1"/>
  <c r="AM824" i="3" s="1"/>
  <c r="M525" i="2"/>
  <c r="AJ820" i="3" s="1"/>
  <c r="AM820" i="3" s="1"/>
  <c r="M521" i="2"/>
  <c r="AJ816" i="3" s="1"/>
  <c r="AM816" i="3" s="1"/>
  <c r="M517" i="2"/>
  <c r="AJ812" i="3" s="1"/>
  <c r="AM812" i="3" s="1"/>
  <c r="M513" i="2"/>
  <c r="AJ808" i="3" s="1"/>
  <c r="AM808" i="3" s="1"/>
  <c r="M509" i="2"/>
  <c r="AJ804" i="3" s="1"/>
  <c r="AM804" i="3" s="1"/>
  <c r="M505" i="2"/>
  <c r="AJ800" i="3" s="1"/>
  <c r="AM800" i="3" s="1"/>
  <c r="M501" i="2"/>
  <c r="AJ796" i="3" s="1"/>
  <c r="AM796" i="3" s="1"/>
  <c r="M497" i="2"/>
  <c r="AJ792" i="3" s="1"/>
  <c r="AM792" i="3" s="1"/>
  <c r="M493" i="2"/>
  <c r="AJ788" i="3" s="1"/>
  <c r="AM788" i="3" s="1"/>
  <c r="M489" i="2"/>
  <c r="AJ784" i="3" s="1"/>
  <c r="AM784" i="3" s="1"/>
  <c r="M485" i="2"/>
  <c r="AJ780" i="3" s="1"/>
  <c r="AM780" i="3" s="1"/>
  <c r="M481" i="2"/>
  <c r="AJ776" i="3" s="1"/>
  <c r="AM776" i="3" s="1"/>
  <c r="M477" i="2"/>
  <c r="AJ772" i="3" s="1"/>
  <c r="AM772" i="3" s="1"/>
  <c r="M473" i="2"/>
  <c r="AJ768" i="3" s="1"/>
  <c r="AM768" i="3" s="1"/>
  <c r="M469" i="2"/>
  <c r="AJ764" i="3" s="1"/>
  <c r="AM764" i="3" s="1"/>
  <c r="M465" i="2"/>
  <c r="AJ760" i="3" s="1"/>
  <c r="AM760" i="3" s="1"/>
  <c r="M461" i="2"/>
  <c r="AJ756" i="3" s="1"/>
  <c r="AM756" i="3" s="1"/>
  <c r="M457" i="2"/>
  <c r="AJ752" i="3" s="1"/>
  <c r="AM752" i="3" s="1"/>
  <c r="M453" i="2"/>
  <c r="AJ748" i="3" s="1"/>
  <c r="AM748" i="3" s="1"/>
  <c r="M449" i="2"/>
  <c r="AJ744" i="3" s="1"/>
  <c r="AM744" i="3" s="1"/>
  <c r="M445" i="2"/>
  <c r="AJ740" i="3" s="1"/>
  <c r="AM740" i="3" s="1"/>
  <c r="M441" i="2"/>
  <c r="AJ736" i="3" s="1"/>
  <c r="AM736" i="3" s="1"/>
  <c r="M437" i="2"/>
  <c r="AJ732" i="3" s="1"/>
  <c r="AM732" i="3" s="1"/>
  <c r="M433" i="2"/>
  <c r="AJ728" i="3" s="1"/>
  <c r="AM728" i="3" s="1"/>
  <c r="M429" i="2"/>
  <c r="AJ724" i="3" s="1"/>
  <c r="AM724" i="3" s="1"/>
  <c r="M425" i="2"/>
  <c r="AJ720" i="3" s="1"/>
  <c r="AM720" i="3" s="1"/>
  <c r="M421" i="2"/>
  <c r="AJ716" i="3" s="1"/>
  <c r="AM716" i="3" s="1"/>
  <c r="M417" i="2"/>
  <c r="AJ712" i="3" s="1"/>
  <c r="AM712" i="3" s="1"/>
  <c r="M413" i="2"/>
  <c r="AJ708" i="3" s="1"/>
  <c r="AM708" i="3" s="1"/>
  <c r="M409" i="2"/>
  <c r="AJ704" i="3" s="1"/>
  <c r="AM704" i="3" s="1"/>
  <c r="M405" i="2"/>
  <c r="AJ700" i="3" s="1"/>
  <c r="AM700" i="3" s="1"/>
  <c r="M401" i="2"/>
  <c r="AJ696" i="3" s="1"/>
  <c r="AM696" i="3" s="1"/>
  <c r="M397" i="2"/>
  <c r="AJ692" i="3" s="1"/>
  <c r="AM692" i="3" s="1"/>
  <c r="M393" i="2"/>
  <c r="AJ688" i="3" s="1"/>
  <c r="AM688" i="3" s="1"/>
  <c r="M389" i="2"/>
  <c r="AJ684" i="3" s="1"/>
  <c r="AM684" i="3" s="1"/>
  <c r="M385" i="2"/>
  <c r="AJ680" i="3" s="1"/>
  <c r="AM680" i="3" s="1"/>
  <c r="M381" i="2"/>
  <c r="AJ676" i="3" s="1"/>
  <c r="AM676" i="3" s="1"/>
  <c r="M377" i="2"/>
  <c r="AJ672" i="3" s="1"/>
  <c r="AM672" i="3" s="1"/>
  <c r="M373" i="2"/>
  <c r="AJ668" i="3" s="1"/>
  <c r="AM668" i="3" s="1"/>
  <c r="M369" i="2"/>
  <c r="AJ664" i="3" s="1"/>
  <c r="AM664" i="3" s="1"/>
  <c r="M365" i="2"/>
  <c r="M361" i="2"/>
  <c r="AJ656" i="3" s="1"/>
  <c r="AM656" i="3" s="1"/>
  <c r="M357" i="2"/>
  <c r="M353" i="2"/>
  <c r="AJ648" i="3" s="1"/>
  <c r="AM648" i="3" s="1"/>
  <c r="M349" i="2"/>
  <c r="M345" i="2"/>
  <c r="AJ640" i="3" s="1"/>
  <c r="AM640" i="3" s="1"/>
  <c r="M341" i="2"/>
  <c r="M337" i="2"/>
  <c r="AJ632" i="3" s="1"/>
  <c r="AM632" i="3" s="1"/>
  <c r="M333" i="2"/>
  <c r="M329" i="2"/>
  <c r="AJ624" i="3" s="1"/>
  <c r="AM624" i="3" s="1"/>
  <c r="M325" i="2"/>
  <c r="M321" i="2"/>
  <c r="AJ616" i="3" s="1"/>
  <c r="AM616" i="3" s="1"/>
  <c r="M317" i="2"/>
  <c r="M313" i="2"/>
  <c r="M309" i="2"/>
  <c r="M305" i="2"/>
  <c r="AJ600" i="3" s="1"/>
  <c r="AM600" i="3" s="1"/>
  <c r="M301" i="2"/>
  <c r="M297" i="2"/>
  <c r="M293" i="2"/>
  <c r="M289" i="2"/>
  <c r="AJ584" i="3" s="1"/>
  <c r="AM584" i="3" s="1"/>
  <c r="M285" i="2"/>
  <c r="M281" i="2"/>
  <c r="M277" i="2"/>
  <c r="M273" i="2"/>
  <c r="AJ568" i="3" s="1"/>
  <c r="AM568" i="3" s="1"/>
  <c r="M269" i="2"/>
  <c r="M265" i="2"/>
  <c r="M261" i="2"/>
  <c r="M257" i="2"/>
  <c r="AJ552" i="3" s="1"/>
  <c r="AM552" i="3" s="1"/>
  <c r="M253" i="2"/>
  <c r="M249" i="2"/>
  <c r="M245" i="2"/>
  <c r="M241" i="2"/>
  <c r="AJ536" i="3" s="1"/>
  <c r="AM536" i="3" s="1"/>
  <c r="M237" i="2"/>
  <c r="M233" i="2"/>
  <c r="M229" i="2"/>
  <c r="M225" i="2"/>
  <c r="AJ520" i="3" s="1"/>
  <c r="AM520" i="3" s="1"/>
  <c r="M221" i="2"/>
  <c r="M217" i="2"/>
  <c r="M213" i="2"/>
  <c r="M209" i="2"/>
  <c r="AJ504" i="3" s="1"/>
  <c r="AM504" i="3" s="1"/>
  <c r="M205" i="2"/>
  <c r="M201" i="2"/>
  <c r="M197" i="2"/>
  <c r="M193" i="2"/>
  <c r="AJ488" i="3" s="1"/>
  <c r="AM488" i="3" s="1"/>
  <c r="M189" i="2"/>
  <c r="M185" i="2"/>
  <c r="M181" i="2"/>
  <c r="M177" i="2"/>
  <c r="AJ472" i="3" s="1"/>
  <c r="AM472" i="3" s="1"/>
  <c r="M173" i="2"/>
  <c r="M169" i="2"/>
  <c r="M165" i="2"/>
  <c r="M161" i="2"/>
  <c r="AJ456" i="3" s="1"/>
  <c r="AM456" i="3" s="1"/>
  <c r="M157" i="2"/>
  <c r="M153" i="2"/>
  <c r="M149" i="2"/>
  <c r="M145" i="2"/>
  <c r="AJ440" i="3" s="1"/>
  <c r="AM440" i="3" s="1"/>
  <c r="M141" i="2"/>
  <c r="M137" i="2"/>
  <c r="M133" i="2"/>
  <c r="M129" i="2"/>
  <c r="AJ424" i="3" s="1"/>
  <c r="AM424" i="3" s="1"/>
  <c r="M125" i="2"/>
  <c r="M121" i="2"/>
  <c r="M117" i="2"/>
  <c r="M113" i="2"/>
  <c r="AJ408" i="3" s="1"/>
  <c r="AM408" i="3" s="1"/>
  <c r="M109" i="2"/>
  <c r="M105" i="2"/>
  <c r="M101" i="2"/>
  <c r="M97" i="2"/>
  <c r="AJ392" i="3" s="1"/>
  <c r="AM392" i="3" s="1"/>
  <c r="M93" i="2"/>
  <c r="M89" i="2"/>
  <c r="M85" i="2"/>
  <c r="M81" i="2"/>
  <c r="AJ81" i="3" s="1"/>
  <c r="AM81" i="3" s="1"/>
  <c r="M77" i="2"/>
  <c r="AJ77" i="3" s="1"/>
  <c r="AM77" i="3" s="1"/>
  <c r="M73" i="2"/>
  <c r="AJ73" i="3" s="1"/>
  <c r="AM73" i="3" s="1"/>
  <c r="M69" i="2"/>
  <c r="AJ69" i="3" s="1"/>
  <c r="AM69" i="3" s="1"/>
  <c r="M65" i="2"/>
  <c r="AJ65" i="3" s="1"/>
  <c r="AM65" i="3" s="1"/>
  <c r="M61" i="2"/>
  <c r="AJ61" i="3" s="1"/>
  <c r="AM61" i="3" s="1"/>
  <c r="M57" i="2"/>
  <c r="AJ57" i="3" s="1"/>
  <c r="AM57" i="3" s="1"/>
  <c r="M53" i="2"/>
  <c r="AJ53" i="3" s="1"/>
  <c r="AM53" i="3" s="1"/>
  <c r="M49" i="2"/>
  <c r="AJ49" i="3" s="1"/>
  <c r="AM49" i="3" s="1"/>
  <c r="M45" i="2"/>
  <c r="AJ45" i="3" s="1"/>
  <c r="AM45" i="3" s="1"/>
  <c r="M41" i="2"/>
  <c r="AJ41" i="3" s="1"/>
  <c r="AM41" i="3" s="1"/>
  <c r="M37" i="2"/>
  <c r="AJ37" i="3" s="1"/>
  <c r="AM37" i="3" s="1"/>
  <c r="M33" i="2"/>
  <c r="AJ33" i="3" s="1"/>
  <c r="AM33" i="3" s="1"/>
  <c r="M29" i="2"/>
  <c r="AJ29" i="3" s="1"/>
  <c r="AM29" i="3" s="1"/>
  <c r="M25" i="2"/>
  <c r="AJ25" i="3" s="1"/>
  <c r="AM25" i="3" s="1"/>
  <c r="M21" i="2"/>
  <c r="AJ21" i="3" s="1"/>
  <c r="AM21" i="3" s="1"/>
  <c r="M17" i="2"/>
  <c r="AJ17" i="3" s="1"/>
  <c r="AM17" i="3" s="1"/>
  <c r="M13" i="2"/>
  <c r="AJ14" i="3" s="1"/>
  <c r="AM14" i="3" s="1"/>
  <c r="M9" i="2"/>
  <c r="AJ9" i="3" s="1"/>
  <c r="AM9" i="3" s="1"/>
  <c r="M5" i="2"/>
  <c r="AJ5" i="3" s="1"/>
  <c r="AM5" i="3" s="1"/>
  <c r="M862" i="2"/>
  <c r="AJ1157" i="3" s="1"/>
  <c r="AM1157" i="3" s="1"/>
  <c r="M858" i="2"/>
  <c r="AJ1153" i="3" s="1"/>
  <c r="AM1153" i="3" s="1"/>
  <c r="M854" i="2"/>
  <c r="AJ1149" i="3" s="1"/>
  <c r="AM1149" i="3" s="1"/>
  <c r="M850" i="2"/>
  <c r="AJ1145" i="3" s="1"/>
  <c r="AM1145" i="3" s="1"/>
  <c r="M846" i="2"/>
  <c r="AJ1141" i="3" s="1"/>
  <c r="AM1141" i="3" s="1"/>
  <c r="M842" i="2"/>
  <c r="AJ1137" i="3" s="1"/>
  <c r="AM1137" i="3" s="1"/>
  <c r="M838" i="2"/>
  <c r="AJ1133" i="3" s="1"/>
  <c r="AM1133" i="3" s="1"/>
  <c r="M834" i="2"/>
  <c r="AJ1129" i="3" s="1"/>
  <c r="AM1129" i="3" s="1"/>
  <c r="M830" i="2"/>
  <c r="AJ1125" i="3" s="1"/>
  <c r="AM1125" i="3" s="1"/>
  <c r="M826" i="2"/>
  <c r="AJ1121" i="3" s="1"/>
  <c r="AM1121" i="3" s="1"/>
  <c r="M822" i="2"/>
  <c r="AJ1117" i="3" s="1"/>
  <c r="AM1117" i="3" s="1"/>
  <c r="M818" i="2"/>
  <c r="AJ1113" i="3" s="1"/>
  <c r="AM1113" i="3" s="1"/>
  <c r="M814" i="2"/>
  <c r="AJ1109" i="3" s="1"/>
  <c r="AM1109" i="3" s="1"/>
  <c r="M810" i="2"/>
  <c r="AJ1105" i="3" s="1"/>
  <c r="AM1105" i="3" s="1"/>
  <c r="M802" i="2"/>
  <c r="AJ1097" i="3" s="1"/>
  <c r="AM1097" i="3" s="1"/>
  <c r="M798" i="2"/>
  <c r="AJ1093" i="3" s="1"/>
  <c r="AM1093" i="3" s="1"/>
  <c r="M794" i="2"/>
  <c r="AJ1089" i="3" s="1"/>
  <c r="AM1089" i="3" s="1"/>
  <c r="M790" i="2"/>
  <c r="AJ1085" i="3" s="1"/>
  <c r="AM1085" i="3" s="1"/>
  <c r="M786" i="2"/>
  <c r="AJ1081" i="3" s="1"/>
  <c r="AM1081" i="3" s="1"/>
  <c r="M782" i="2"/>
  <c r="AJ1077" i="3" s="1"/>
  <c r="AM1077" i="3" s="1"/>
  <c r="M778" i="2"/>
  <c r="AJ1073" i="3" s="1"/>
  <c r="AM1073" i="3" s="1"/>
  <c r="M774" i="2"/>
  <c r="AJ1069" i="3" s="1"/>
  <c r="AM1069" i="3" s="1"/>
  <c r="M770" i="2"/>
  <c r="AJ1065" i="3" s="1"/>
  <c r="AM1065" i="3" s="1"/>
  <c r="M762" i="2"/>
  <c r="AJ1057" i="3" s="1"/>
  <c r="AM1057" i="3" s="1"/>
  <c r="M758" i="2"/>
  <c r="AJ1053" i="3" s="1"/>
  <c r="AM1053" i="3" s="1"/>
  <c r="M754" i="2"/>
  <c r="AJ1049" i="3" s="1"/>
  <c r="AM1049" i="3" s="1"/>
  <c r="M746" i="2"/>
  <c r="AJ1041" i="3" s="1"/>
  <c r="AM1041" i="3" s="1"/>
  <c r="M742" i="2"/>
  <c r="AJ1037" i="3" s="1"/>
  <c r="AM1037" i="3" s="1"/>
  <c r="M738" i="2"/>
  <c r="AJ1033" i="3" s="1"/>
  <c r="AM1033" i="3" s="1"/>
  <c r="M730" i="2"/>
  <c r="AJ1025" i="3" s="1"/>
  <c r="AM1025" i="3" s="1"/>
  <c r="M726" i="2"/>
  <c r="AJ1021" i="3" s="1"/>
  <c r="AM1021" i="3" s="1"/>
  <c r="M722" i="2"/>
  <c r="AJ1017" i="3" s="1"/>
  <c r="AM1017" i="3" s="1"/>
  <c r="M714" i="2"/>
  <c r="AJ1009" i="3" s="1"/>
  <c r="AM1009" i="3" s="1"/>
  <c r="M710" i="2"/>
  <c r="AJ1005" i="3" s="1"/>
  <c r="AM1005" i="3" s="1"/>
  <c r="M706" i="2"/>
  <c r="AJ1001" i="3" s="1"/>
  <c r="AM1001" i="3" s="1"/>
  <c r="M698" i="2"/>
  <c r="AJ993" i="3" s="1"/>
  <c r="AM993" i="3" s="1"/>
  <c r="M694" i="2"/>
  <c r="AJ989" i="3" s="1"/>
  <c r="AM989" i="3" s="1"/>
  <c r="M690" i="2"/>
  <c r="AJ985" i="3" s="1"/>
  <c r="AM985" i="3" s="1"/>
  <c r="M682" i="2"/>
  <c r="AJ977" i="3" s="1"/>
  <c r="AM977" i="3" s="1"/>
  <c r="M674" i="2"/>
  <c r="AJ969" i="3" s="1"/>
  <c r="AM969" i="3" s="1"/>
  <c r="M666" i="2"/>
  <c r="AJ961" i="3" s="1"/>
  <c r="AM961" i="3" s="1"/>
  <c r="M662" i="2"/>
  <c r="AJ957" i="3" s="1"/>
  <c r="AM957" i="3" s="1"/>
  <c r="M658" i="2"/>
  <c r="AJ953" i="3" s="1"/>
  <c r="AM953" i="3" s="1"/>
  <c r="M650" i="2"/>
  <c r="AJ945" i="3" s="1"/>
  <c r="AM945" i="3" s="1"/>
  <c r="M646" i="2"/>
  <c r="AJ941" i="3" s="1"/>
  <c r="AM941" i="3" s="1"/>
  <c r="M642" i="2"/>
  <c r="AJ937" i="3" s="1"/>
  <c r="AM937" i="3" s="1"/>
  <c r="M634" i="2"/>
  <c r="AJ929" i="3" s="1"/>
  <c r="AM929" i="3" s="1"/>
  <c r="M630" i="2"/>
  <c r="AJ925" i="3" s="1"/>
  <c r="AM925" i="3" s="1"/>
  <c r="M626" i="2"/>
  <c r="AJ921" i="3" s="1"/>
  <c r="AM921" i="3" s="1"/>
  <c r="M618" i="2"/>
  <c r="AJ913" i="3" s="1"/>
  <c r="AM913" i="3" s="1"/>
  <c r="M614" i="2"/>
  <c r="AJ909" i="3" s="1"/>
  <c r="AM909" i="3" s="1"/>
  <c r="M610" i="2"/>
  <c r="AJ905" i="3" s="1"/>
  <c r="AM905" i="3" s="1"/>
  <c r="M602" i="2"/>
  <c r="AJ897" i="3" s="1"/>
  <c r="AM897" i="3" s="1"/>
  <c r="M598" i="2"/>
  <c r="AJ893" i="3" s="1"/>
  <c r="AM893" i="3" s="1"/>
  <c r="M594" i="2"/>
  <c r="AJ889" i="3" s="1"/>
  <c r="AM889" i="3" s="1"/>
  <c r="M586" i="2"/>
  <c r="AJ881" i="3" s="1"/>
  <c r="AM881" i="3" s="1"/>
  <c r="M582" i="2"/>
  <c r="AJ877" i="3" s="1"/>
  <c r="AM877" i="3" s="1"/>
  <c r="M578" i="2"/>
  <c r="AJ873" i="3" s="1"/>
  <c r="AM873" i="3" s="1"/>
  <c r="M570" i="2"/>
  <c r="AJ865" i="3" s="1"/>
  <c r="AM865" i="3" s="1"/>
  <c r="M566" i="2"/>
  <c r="AJ861" i="3" s="1"/>
  <c r="AM861" i="3" s="1"/>
  <c r="M562" i="2"/>
  <c r="AJ857" i="3" s="1"/>
  <c r="AM857" i="3" s="1"/>
  <c r="M554" i="2"/>
  <c r="AJ849" i="3" s="1"/>
  <c r="AM849" i="3" s="1"/>
  <c r="M546" i="2"/>
  <c r="AJ841" i="3" s="1"/>
  <c r="AM841" i="3" s="1"/>
  <c r="M538" i="2"/>
  <c r="AJ833" i="3" s="1"/>
  <c r="AM833" i="3" s="1"/>
  <c r="M534" i="2"/>
  <c r="AJ829" i="3" s="1"/>
  <c r="AM829" i="3" s="1"/>
  <c r="M530" i="2"/>
  <c r="AJ825" i="3" s="1"/>
  <c r="AM825" i="3" s="1"/>
  <c r="M522" i="2"/>
  <c r="AJ817" i="3" s="1"/>
  <c r="AM817" i="3" s="1"/>
  <c r="M518" i="2"/>
  <c r="AJ813" i="3" s="1"/>
  <c r="AM813" i="3" s="1"/>
  <c r="M514" i="2"/>
  <c r="AJ809" i="3" s="1"/>
  <c r="AM809" i="3" s="1"/>
  <c r="M806" i="2"/>
  <c r="AJ1101" i="3" s="1"/>
  <c r="AM1101" i="3" s="1"/>
  <c r="M550" i="2"/>
  <c r="AJ845" i="3" s="1"/>
  <c r="AM845" i="3" s="1"/>
  <c r="M506" i="2"/>
  <c r="AJ801" i="3" s="1"/>
  <c r="AM801" i="3" s="1"/>
  <c r="M482" i="2"/>
  <c r="AJ777" i="3" s="1"/>
  <c r="AM777" i="3" s="1"/>
  <c r="M470" i="2"/>
  <c r="AJ765" i="3" s="1"/>
  <c r="AM765" i="3" s="1"/>
  <c r="M458" i="2"/>
  <c r="AJ753" i="3" s="1"/>
  <c r="AM753" i="3" s="1"/>
  <c r="M438" i="2"/>
  <c r="AJ733" i="3" s="1"/>
  <c r="AM733" i="3" s="1"/>
  <c r="M434" i="2"/>
  <c r="AJ729" i="3" s="1"/>
  <c r="AM729" i="3" s="1"/>
  <c r="M426" i="2"/>
  <c r="AJ721" i="3" s="1"/>
  <c r="AM721" i="3" s="1"/>
  <c r="M406" i="2"/>
  <c r="AJ701" i="3" s="1"/>
  <c r="AM701" i="3" s="1"/>
  <c r="M394" i="2"/>
  <c r="AJ689" i="3" s="1"/>
  <c r="AM689" i="3" s="1"/>
  <c r="M374" i="2"/>
  <c r="AJ669" i="3" s="1"/>
  <c r="AM669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8" i="3" s="1"/>
  <c r="AM78" i="3" s="1"/>
  <c r="M50" i="2"/>
  <c r="AJ50" i="3" s="1"/>
  <c r="AM50" i="3" s="1"/>
  <c r="M34" i="2"/>
  <c r="AJ34" i="3" s="1"/>
  <c r="AM34" i="3" s="1"/>
  <c r="M22" i="2"/>
  <c r="AJ22" i="3" s="1"/>
  <c r="AM22" i="3" s="1"/>
  <c r="M18" i="2"/>
  <c r="AJ18" i="3" s="1"/>
  <c r="AM18" i="3" s="1"/>
  <c r="M14" i="2"/>
  <c r="AJ15" i="3" s="1"/>
  <c r="AM15" i="3" s="1"/>
  <c r="M863" i="2"/>
  <c r="AJ1158" i="3" s="1"/>
  <c r="AM1158" i="3" s="1"/>
  <c r="M859" i="2"/>
  <c r="AJ1154" i="3" s="1"/>
  <c r="AM1154" i="3" s="1"/>
  <c r="M855" i="2"/>
  <c r="AJ1150" i="3" s="1"/>
  <c r="AM1150" i="3" s="1"/>
  <c r="M851" i="2"/>
  <c r="AJ1146" i="3" s="1"/>
  <c r="AM1146" i="3" s="1"/>
  <c r="M847" i="2"/>
  <c r="AJ1142" i="3" s="1"/>
  <c r="AM1142" i="3" s="1"/>
  <c r="M843" i="2"/>
  <c r="AJ1138" i="3" s="1"/>
  <c r="AM1138" i="3" s="1"/>
  <c r="M839" i="2"/>
  <c r="AJ1134" i="3" s="1"/>
  <c r="AM1134" i="3" s="1"/>
  <c r="M835" i="2"/>
  <c r="AJ1130" i="3" s="1"/>
  <c r="AM1130" i="3" s="1"/>
  <c r="M831" i="2"/>
  <c r="AJ1126" i="3" s="1"/>
  <c r="AM1126" i="3" s="1"/>
  <c r="M827" i="2"/>
  <c r="AJ1122" i="3" s="1"/>
  <c r="AM1122" i="3" s="1"/>
  <c r="M823" i="2"/>
  <c r="AJ1118" i="3" s="1"/>
  <c r="AM1118" i="3" s="1"/>
  <c r="M819" i="2"/>
  <c r="AJ1114" i="3" s="1"/>
  <c r="AM1114" i="3" s="1"/>
  <c r="M815" i="2"/>
  <c r="AJ1110" i="3" s="1"/>
  <c r="AM1110" i="3" s="1"/>
  <c r="M811" i="2"/>
  <c r="AJ1106" i="3" s="1"/>
  <c r="AM1106" i="3" s="1"/>
  <c r="M807" i="2"/>
  <c r="AJ1102" i="3" s="1"/>
  <c r="AM1102" i="3" s="1"/>
  <c r="M803" i="2"/>
  <c r="AJ1098" i="3" s="1"/>
  <c r="AM1098" i="3" s="1"/>
  <c r="M799" i="2"/>
  <c r="AJ1094" i="3" s="1"/>
  <c r="AM1094" i="3" s="1"/>
  <c r="M795" i="2"/>
  <c r="AJ1090" i="3" s="1"/>
  <c r="AM1090" i="3" s="1"/>
  <c r="M791" i="2"/>
  <c r="AJ1086" i="3" s="1"/>
  <c r="AM1086" i="3" s="1"/>
  <c r="M787" i="2"/>
  <c r="AJ1082" i="3" s="1"/>
  <c r="AM1082" i="3" s="1"/>
  <c r="M783" i="2"/>
  <c r="AJ1078" i="3" s="1"/>
  <c r="AM1078" i="3" s="1"/>
  <c r="M779" i="2"/>
  <c r="AJ1074" i="3" s="1"/>
  <c r="AM1074" i="3" s="1"/>
  <c r="M775" i="2"/>
  <c r="AJ1070" i="3" s="1"/>
  <c r="AM1070" i="3" s="1"/>
  <c r="M771" i="2"/>
  <c r="AJ1066" i="3" s="1"/>
  <c r="AM1066" i="3" s="1"/>
  <c r="M767" i="2"/>
  <c r="AJ1062" i="3" s="1"/>
  <c r="AM1062" i="3" s="1"/>
  <c r="M763" i="2"/>
  <c r="AJ1058" i="3" s="1"/>
  <c r="AM1058" i="3" s="1"/>
  <c r="M759" i="2"/>
  <c r="AJ1054" i="3" s="1"/>
  <c r="AM1054" i="3" s="1"/>
  <c r="M755" i="2"/>
  <c r="AJ1050" i="3" s="1"/>
  <c r="AM1050" i="3" s="1"/>
  <c r="M751" i="2"/>
  <c r="AJ1046" i="3" s="1"/>
  <c r="AM1046" i="3" s="1"/>
  <c r="M747" i="2"/>
  <c r="AJ1042" i="3" s="1"/>
  <c r="AM1042" i="3" s="1"/>
  <c r="M743" i="2"/>
  <c r="AJ1038" i="3" s="1"/>
  <c r="AM1038" i="3" s="1"/>
  <c r="M739" i="2"/>
  <c r="AJ1034" i="3" s="1"/>
  <c r="AM1034" i="3" s="1"/>
  <c r="M735" i="2"/>
  <c r="AJ1030" i="3" s="1"/>
  <c r="AM1030" i="3" s="1"/>
  <c r="M731" i="2"/>
  <c r="AJ1026" i="3" s="1"/>
  <c r="AM1026" i="3" s="1"/>
  <c r="M727" i="2"/>
  <c r="AJ1022" i="3" s="1"/>
  <c r="AM1022" i="3" s="1"/>
  <c r="M723" i="2"/>
  <c r="AJ1018" i="3" s="1"/>
  <c r="AM1018" i="3" s="1"/>
  <c r="M719" i="2"/>
  <c r="AJ1014" i="3" s="1"/>
  <c r="AM1014" i="3" s="1"/>
  <c r="M715" i="2"/>
  <c r="AJ1010" i="3" s="1"/>
  <c r="AM1010" i="3" s="1"/>
  <c r="M711" i="2"/>
  <c r="AJ1006" i="3" s="1"/>
  <c r="AM1006" i="3" s="1"/>
  <c r="M707" i="2"/>
  <c r="AJ1002" i="3" s="1"/>
  <c r="AM1002" i="3" s="1"/>
  <c r="M703" i="2"/>
  <c r="AJ998" i="3" s="1"/>
  <c r="AM998" i="3" s="1"/>
  <c r="M699" i="2"/>
  <c r="AJ994" i="3" s="1"/>
  <c r="AM994" i="3" s="1"/>
  <c r="M695" i="2"/>
  <c r="AJ990" i="3" s="1"/>
  <c r="AM990" i="3" s="1"/>
  <c r="M691" i="2"/>
  <c r="AJ986" i="3" s="1"/>
  <c r="AM986" i="3" s="1"/>
  <c r="M687" i="2"/>
  <c r="AJ982" i="3" s="1"/>
  <c r="AM982" i="3" s="1"/>
  <c r="M683" i="2"/>
  <c r="AJ978" i="3" s="1"/>
  <c r="AM978" i="3" s="1"/>
  <c r="M679" i="2"/>
  <c r="AJ974" i="3" s="1"/>
  <c r="AM974" i="3" s="1"/>
  <c r="M675" i="2"/>
  <c r="AJ970" i="3" s="1"/>
  <c r="AM970" i="3" s="1"/>
  <c r="M671" i="2"/>
  <c r="AJ966" i="3" s="1"/>
  <c r="AM966" i="3" s="1"/>
  <c r="M667" i="2"/>
  <c r="AJ962" i="3" s="1"/>
  <c r="AM962" i="3" s="1"/>
  <c r="M663" i="2"/>
  <c r="AJ958" i="3" s="1"/>
  <c r="AM958" i="3" s="1"/>
  <c r="M659" i="2"/>
  <c r="AJ954" i="3" s="1"/>
  <c r="AM954" i="3" s="1"/>
  <c r="M655" i="2"/>
  <c r="AJ950" i="3" s="1"/>
  <c r="AM950" i="3" s="1"/>
  <c r="M651" i="2"/>
  <c r="AJ946" i="3" s="1"/>
  <c r="AM946" i="3" s="1"/>
  <c r="M647" i="2"/>
  <c r="AJ942" i="3" s="1"/>
  <c r="AM942" i="3" s="1"/>
  <c r="M643" i="2"/>
  <c r="AJ938" i="3" s="1"/>
  <c r="AM938" i="3" s="1"/>
  <c r="M639" i="2"/>
  <c r="AJ934" i="3" s="1"/>
  <c r="AM934" i="3" s="1"/>
  <c r="M635" i="2"/>
  <c r="AJ930" i="3" s="1"/>
  <c r="AM930" i="3" s="1"/>
  <c r="M631" i="2"/>
  <c r="AJ926" i="3" s="1"/>
  <c r="AM926" i="3" s="1"/>
  <c r="M627" i="2"/>
  <c r="AJ922" i="3" s="1"/>
  <c r="AM922" i="3" s="1"/>
  <c r="M623" i="2"/>
  <c r="AJ918" i="3" s="1"/>
  <c r="AM918" i="3" s="1"/>
  <c r="M619" i="2"/>
  <c r="AJ914" i="3" s="1"/>
  <c r="AM914" i="3" s="1"/>
  <c r="M615" i="2"/>
  <c r="AJ910" i="3" s="1"/>
  <c r="AM910" i="3" s="1"/>
  <c r="M611" i="2"/>
  <c r="AJ906" i="3" s="1"/>
  <c r="AM906" i="3" s="1"/>
  <c r="M607" i="2"/>
  <c r="AJ902" i="3" s="1"/>
  <c r="AM902" i="3" s="1"/>
  <c r="M603" i="2"/>
  <c r="AJ898" i="3" s="1"/>
  <c r="AM898" i="3" s="1"/>
  <c r="M599" i="2"/>
  <c r="AJ894" i="3" s="1"/>
  <c r="AM894" i="3" s="1"/>
  <c r="M595" i="2"/>
  <c r="AJ890" i="3" s="1"/>
  <c r="AM890" i="3" s="1"/>
  <c r="M591" i="2"/>
  <c r="AJ886" i="3" s="1"/>
  <c r="AM886" i="3" s="1"/>
  <c r="M587" i="2"/>
  <c r="AJ882" i="3" s="1"/>
  <c r="AM882" i="3" s="1"/>
  <c r="M583" i="2"/>
  <c r="AJ878" i="3" s="1"/>
  <c r="AM878" i="3" s="1"/>
  <c r="M579" i="2"/>
  <c r="AJ874" i="3" s="1"/>
  <c r="AM874" i="3" s="1"/>
  <c r="M575" i="2"/>
  <c r="AJ870" i="3" s="1"/>
  <c r="AM870" i="3" s="1"/>
  <c r="M571" i="2"/>
  <c r="AJ866" i="3" s="1"/>
  <c r="AM866" i="3" s="1"/>
  <c r="M567" i="2"/>
  <c r="AJ862" i="3" s="1"/>
  <c r="AM862" i="3" s="1"/>
  <c r="M563" i="2"/>
  <c r="AJ858" i="3" s="1"/>
  <c r="AM858" i="3" s="1"/>
  <c r="M559" i="2"/>
  <c r="AJ854" i="3" s="1"/>
  <c r="AM854" i="3" s="1"/>
  <c r="M555" i="2"/>
  <c r="AJ850" i="3" s="1"/>
  <c r="AM850" i="3" s="1"/>
  <c r="M551" i="2"/>
  <c r="AJ846" i="3" s="1"/>
  <c r="AM846" i="3" s="1"/>
  <c r="M547" i="2"/>
  <c r="AJ842" i="3" s="1"/>
  <c r="AM842" i="3" s="1"/>
  <c r="M543" i="2"/>
  <c r="AJ838" i="3" s="1"/>
  <c r="AM838" i="3" s="1"/>
  <c r="M539" i="2"/>
  <c r="AJ834" i="3" s="1"/>
  <c r="AM834" i="3" s="1"/>
  <c r="M535" i="2"/>
  <c r="AJ830" i="3" s="1"/>
  <c r="AM830" i="3" s="1"/>
  <c r="M531" i="2"/>
  <c r="AJ826" i="3" s="1"/>
  <c r="AM826" i="3" s="1"/>
  <c r="M527" i="2"/>
  <c r="AJ822" i="3" s="1"/>
  <c r="AM822" i="3" s="1"/>
  <c r="M523" i="2"/>
  <c r="AJ818" i="3" s="1"/>
  <c r="AM818" i="3" s="1"/>
  <c r="M519" i="2"/>
  <c r="AJ814" i="3" s="1"/>
  <c r="AM814" i="3" s="1"/>
  <c r="M515" i="2"/>
  <c r="AJ810" i="3" s="1"/>
  <c r="AM810" i="3" s="1"/>
  <c r="M511" i="2"/>
  <c r="AJ806" i="3" s="1"/>
  <c r="AM806" i="3" s="1"/>
  <c r="M507" i="2"/>
  <c r="AJ802" i="3" s="1"/>
  <c r="AM802" i="3" s="1"/>
  <c r="M503" i="2"/>
  <c r="AJ798" i="3" s="1"/>
  <c r="AM798" i="3" s="1"/>
  <c r="M499" i="2"/>
  <c r="AJ794" i="3" s="1"/>
  <c r="AM794" i="3" s="1"/>
  <c r="M495" i="2"/>
  <c r="AJ790" i="3" s="1"/>
  <c r="AM790" i="3" s="1"/>
  <c r="M491" i="2"/>
  <c r="AJ786" i="3" s="1"/>
  <c r="AM786" i="3" s="1"/>
  <c r="M487" i="2"/>
  <c r="AJ782" i="3" s="1"/>
  <c r="AM782" i="3" s="1"/>
  <c r="M483" i="2"/>
  <c r="AJ778" i="3" s="1"/>
  <c r="AM778" i="3" s="1"/>
  <c r="M479" i="2"/>
  <c r="AJ774" i="3" s="1"/>
  <c r="AM774" i="3" s="1"/>
  <c r="M475" i="2"/>
  <c r="AJ770" i="3" s="1"/>
  <c r="AM770" i="3" s="1"/>
  <c r="M471" i="2"/>
  <c r="AJ766" i="3" s="1"/>
  <c r="AM766" i="3" s="1"/>
  <c r="M467" i="2"/>
  <c r="AJ762" i="3" s="1"/>
  <c r="AM762" i="3" s="1"/>
  <c r="M463" i="2"/>
  <c r="AJ758" i="3" s="1"/>
  <c r="AM758" i="3" s="1"/>
  <c r="M459" i="2"/>
  <c r="AJ754" i="3" s="1"/>
  <c r="AM754" i="3" s="1"/>
  <c r="M455" i="2"/>
  <c r="AJ750" i="3" s="1"/>
  <c r="AM750" i="3" s="1"/>
  <c r="M451" i="2"/>
  <c r="AJ746" i="3" s="1"/>
  <c r="AM746" i="3" s="1"/>
  <c r="M447" i="2"/>
  <c r="AJ742" i="3" s="1"/>
  <c r="AM742" i="3" s="1"/>
  <c r="M443" i="2"/>
  <c r="AJ738" i="3" s="1"/>
  <c r="AM738" i="3" s="1"/>
  <c r="M439" i="2"/>
  <c r="AJ734" i="3" s="1"/>
  <c r="AM734" i="3" s="1"/>
  <c r="M435" i="2"/>
  <c r="AJ730" i="3" s="1"/>
  <c r="AM730" i="3" s="1"/>
  <c r="M431" i="2"/>
  <c r="AJ726" i="3" s="1"/>
  <c r="AM726" i="3" s="1"/>
  <c r="M427" i="2"/>
  <c r="AJ722" i="3" s="1"/>
  <c r="AM722" i="3" s="1"/>
  <c r="M423" i="2"/>
  <c r="AJ718" i="3" s="1"/>
  <c r="AM718" i="3" s="1"/>
  <c r="M419" i="2"/>
  <c r="AJ714" i="3" s="1"/>
  <c r="AM714" i="3" s="1"/>
  <c r="M415" i="2"/>
  <c r="AJ710" i="3" s="1"/>
  <c r="AM710" i="3" s="1"/>
  <c r="M411" i="2"/>
  <c r="AJ706" i="3" s="1"/>
  <c r="AM706" i="3" s="1"/>
  <c r="M407" i="2"/>
  <c r="AJ702" i="3" s="1"/>
  <c r="AM702" i="3" s="1"/>
  <c r="M403" i="2"/>
  <c r="AJ698" i="3" s="1"/>
  <c r="AM698" i="3" s="1"/>
  <c r="M399" i="2"/>
  <c r="AJ694" i="3" s="1"/>
  <c r="AM694" i="3" s="1"/>
  <c r="M395" i="2"/>
  <c r="AJ690" i="3" s="1"/>
  <c r="AM690" i="3" s="1"/>
  <c r="M391" i="2"/>
  <c r="AJ686" i="3" s="1"/>
  <c r="AM686" i="3" s="1"/>
  <c r="M387" i="2"/>
  <c r="AJ682" i="3" s="1"/>
  <c r="AM682" i="3" s="1"/>
  <c r="M383" i="2"/>
  <c r="AJ678" i="3" s="1"/>
  <c r="AM678" i="3" s="1"/>
  <c r="M379" i="2"/>
  <c r="AJ674" i="3" s="1"/>
  <c r="AM674" i="3" s="1"/>
  <c r="M375" i="2"/>
  <c r="AJ670" i="3" s="1"/>
  <c r="AM670" i="3" s="1"/>
  <c r="M371" i="2"/>
  <c r="AJ666" i="3" s="1"/>
  <c r="AM666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3" i="3" s="1"/>
  <c r="AM83" i="3" s="1"/>
  <c r="M79" i="2"/>
  <c r="AJ79" i="3" s="1"/>
  <c r="AM79" i="3" s="1"/>
  <c r="M75" i="2"/>
  <c r="AJ75" i="3" s="1"/>
  <c r="AM75" i="3" s="1"/>
  <c r="M71" i="2"/>
  <c r="AJ71" i="3" s="1"/>
  <c r="AM71" i="3" s="1"/>
  <c r="M67" i="2"/>
  <c r="AJ67" i="3" s="1"/>
  <c r="AM67" i="3" s="1"/>
  <c r="M63" i="2"/>
  <c r="AJ63" i="3" s="1"/>
  <c r="AM63" i="3" s="1"/>
  <c r="M59" i="2"/>
  <c r="AJ59" i="3" s="1"/>
  <c r="AM59" i="3" s="1"/>
  <c r="M55" i="2"/>
  <c r="AJ55" i="3" s="1"/>
  <c r="AM55" i="3" s="1"/>
  <c r="M51" i="2"/>
  <c r="AJ51" i="3" s="1"/>
  <c r="AM51" i="3" s="1"/>
  <c r="M47" i="2"/>
  <c r="AJ47" i="3" s="1"/>
  <c r="AM47" i="3" s="1"/>
  <c r="M43" i="2"/>
  <c r="AJ43" i="3" s="1"/>
  <c r="AM43" i="3" s="1"/>
  <c r="M39" i="2"/>
  <c r="AJ39" i="3" s="1"/>
  <c r="AM39" i="3" s="1"/>
  <c r="M35" i="2"/>
  <c r="AJ35" i="3" s="1"/>
  <c r="AM35" i="3" s="1"/>
  <c r="M31" i="2"/>
  <c r="AJ31" i="3" s="1"/>
  <c r="AM31" i="3" s="1"/>
  <c r="M27" i="2"/>
  <c r="AJ27" i="3" s="1"/>
  <c r="AM27" i="3" s="1"/>
  <c r="M23" i="2"/>
  <c r="AJ23" i="3" s="1"/>
  <c r="AM23" i="3" s="1"/>
  <c r="M19" i="2"/>
  <c r="AJ19" i="3" s="1"/>
  <c r="AM19" i="3" s="1"/>
  <c r="M15" i="2"/>
  <c r="M11" i="2"/>
  <c r="AJ12" i="3" s="1"/>
  <c r="AM12" i="3" s="1"/>
  <c r="M7" i="2"/>
  <c r="AJ7" i="3" s="1"/>
  <c r="AM7" i="3" s="1"/>
  <c r="M3" i="2"/>
  <c r="AJ3" i="3" s="1"/>
  <c r="AM3" i="3" s="1"/>
  <c r="M70" i="2"/>
  <c r="AJ70" i="3" s="1"/>
  <c r="AM70" i="3" s="1"/>
  <c r="M486" i="2"/>
  <c r="AJ781" i="3" s="1"/>
  <c r="AM781" i="3" s="1"/>
  <c r="M230" i="2"/>
  <c r="M502" i="2"/>
  <c r="AJ797" i="3" s="1"/>
  <c r="AM797" i="3" s="1"/>
  <c r="M498" i="2"/>
  <c r="AJ793" i="3" s="1"/>
  <c r="AM793" i="3" s="1"/>
  <c r="M490" i="2"/>
  <c r="AJ785" i="3" s="1"/>
  <c r="AM785" i="3" s="1"/>
  <c r="M474" i="2"/>
  <c r="AJ769" i="3" s="1"/>
  <c r="AM769" i="3" s="1"/>
  <c r="M466" i="2"/>
  <c r="AJ761" i="3" s="1"/>
  <c r="AM761" i="3" s="1"/>
  <c r="M450" i="2"/>
  <c r="AJ745" i="3" s="1"/>
  <c r="AM745" i="3" s="1"/>
  <c r="M442" i="2"/>
  <c r="AJ737" i="3" s="1"/>
  <c r="AM737" i="3" s="1"/>
  <c r="M418" i="2"/>
  <c r="AJ713" i="3" s="1"/>
  <c r="AM713" i="3" s="1"/>
  <c r="M410" i="2"/>
  <c r="AJ705" i="3" s="1"/>
  <c r="AM705" i="3" s="1"/>
  <c r="M402" i="2"/>
  <c r="AJ697" i="3" s="1"/>
  <c r="AM697" i="3" s="1"/>
  <c r="M386" i="2"/>
  <c r="AJ681" i="3" s="1"/>
  <c r="AM681" i="3" s="1"/>
  <c r="M378" i="2"/>
  <c r="AJ673" i="3" s="1"/>
  <c r="AM673" i="3" s="1"/>
  <c r="M370" i="2"/>
  <c r="AJ665" i="3" s="1"/>
  <c r="AM665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2" i="3" s="1"/>
  <c r="AM82" i="3" s="1"/>
  <c r="M66" i="2"/>
  <c r="AJ66" i="3" s="1"/>
  <c r="AM66" i="3" s="1"/>
  <c r="M62" i="2"/>
  <c r="AJ62" i="3" s="1"/>
  <c r="AM62" i="3" s="1"/>
  <c r="M54" i="2"/>
  <c r="AJ54" i="3" s="1"/>
  <c r="AM54" i="3" s="1"/>
  <c r="M46" i="2"/>
  <c r="AJ46" i="3" s="1"/>
  <c r="AM46" i="3" s="1"/>
  <c r="M30" i="2"/>
  <c r="AJ30" i="3" s="1"/>
  <c r="AM30" i="3" s="1"/>
  <c r="M864" i="2"/>
  <c r="AJ1159" i="3" s="1"/>
  <c r="AM1159" i="3" s="1"/>
  <c r="M860" i="2"/>
  <c r="AJ1155" i="3" s="1"/>
  <c r="AM1155" i="3" s="1"/>
  <c r="M856" i="2"/>
  <c r="AJ1151" i="3" s="1"/>
  <c r="AM1151" i="3" s="1"/>
  <c r="M852" i="2"/>
  <c r="AJ1147" i="3" s="1"/>
  <c r="AM1147" i="3" s="1"/>
  <c r="M848" i="2"/>
  <c r="AJ1143" i="3" s="1"/>
  <c r="AM1143" i="3" s="1"/>
  <c r="M844" i="2"/>
  <c r="AJ1139" i="3" s="1"/>
  <c r="AM1139" i="3" s="1"/>
  <c r="M840" i="2"/>
  <c r="AJ1135" i="3" s="1"/>
  <c r="AM1135" i="3" s="1"/>
  <c r="M836" i="2"/>
  <c r="AJ1131" i="3" s="1"/>
  <c r="AM1131" i="3" s="1"/>
  <c r="M832" i="2"/>
  <c r="AJ1127" i="3" s="1"/>
  <c r="AM1127" i="3" s="1"/>
  <c r="M828" i="2"/>
  <c r="AJ1123" i="3" s="1"/>
  <c r="AM1123" i="3" s="1"/>
  <c r="M824" i="2"/>
  <c r="AJ1119" i="3" s="1"/>
  <c r="AM1119" i="3" s="1"/>
  <c r="M820" i="2"/>
  <c r="AJ1115" i="3" s="1"/>
  <c r="AM1115" i="3" s="1"/>
  <c r="M816" i="2"/>
  <c r="AJ1111" i="3" s="1"/>
  <c r="AM1111" i="3" s="1"/>
  <c r="M812" i="2"/>
  <c r="AJ1107" i="3" s="1"/>
  <c r="AM1107" i="3" s="1"/>
  <c r="M808" i="2"/>
  <c r="AJ1103" i="3" s="1"/>
  <c r="AM1103" i="3" s="1"/>
  <c r="M804" i="2"/>
  <c r="AJ1099" i="3" s="1"/>
  <c r="AM1099" i="3" s="1"/>
  <c r="M800" i="2"/>
  <c r="AJ1095" i="3" s="1"/>
  <c r="AM1095" i="3" s="1"/>
  <c r="M796" i="2"/>
  <c r="AJ1091" i="3" s="1"/>
  <c r="AM1091" i="3" s="1"/>
  <c r="M792" i="2"/>
  <c r="AJ1087" i="3" s="1"/>
  <c r="AM1087" i="3" s="1"/>
  <c r="M788" i="2"/>
  <c r="AJ1083" i="3" s="1"/>
  <c r="AM1083" i="3" s="1"/>
  <c r="M784" i="2"/>
  <c r="AJ1079" i="3" s="1"/>
  <c r="AM1079" i="3" s="1"/>
  <c r="M780" i="2"/>
  <c r="AJ1075" i="3" s="1"/>
  <c r="AM1075" i="3" s="1"/>
  <c r="M776" i="2"/>
  <c r="AJ1071" i="3" s="1"/>
  <c r="AM1071" i="3" s="1"/>
  <c r="M772" i="2"/>
  <c r="AJ1067" i="3" s="1"/>
  <c r="AM1067" i="3" s="1"/>
  <c r="M768" i="2"/>
  <c r="AJ1063" i="3" s="1"/>
  <c r="AM1063" i="3" s="1"/>
  <c r="M764" i="2"/>
  <c r="AJ1059" i="3" s="1"/>
  <c r="AM1059" i="3" s="1"/>
  <c r="M760" i="2"/>
  <c r="AJ1055" i="3" s="1"/>
  <c r="AM1055" i="3" s="1"/>
  <c r="M756" i="2"/>
  <c r="AJ1051" i="3" s="1"/>
  <c r="AM1051" i="3" s="1"/>
  <c r="M752" i="2"/>
  <c r="AJ1047" i="3" s="1"/>
  <c r="AM1047" i="3" s="1"/>
  <c r="M748" i="2"/>
  <c r="AJ1043" i="3" s="1"/>
  <c r="AM1043" i="3" s="1"/>
  <c r="M744" i="2"/>
  <c r="AJ1039" i="3" s="1"/>
  <c r="AM1039" i="3" s="1"/>
  <c r="M740" i="2"/>
  <c r="AJ1035" i="3" s="1"/>
  <c r="AM1035" i="3" s="1"/>
  <c r="M736" i="2"/>
  <c r="AJ1031" i="3" s="1"/>
  <c r="AM1031" i="3" s="1"/>
  <c r="M732" i="2"/>
  <c r="AJ1027" i="3" s="1"/>
  <c r="AM1027" i="3" s="1"/>
  <c r="M728" i="2"/>
  <c r="AJ1023" i="3" s="1"/>
  <c r="AM1023" i="3" s="1"/>
  <c r="M724" i="2"/>
  <c r="AJ1019" i="3" s="1"/>
  <c r="AM1019" i="3" s="1"/>
  <c r="M720" i="2"/>
  <c r="AJ1015" i="3" s="1"/>
  <c r="AM1015" i="3" s="1"/>
  <c r="M716" i="2"/>
  <c r="AJ1011" i="3" s="1"/>
  <c r="AM1011" i="3" s="1"/>
  <c r="M712" i="2"/>
  <c r="AJ1007" i="3" s="1"/>
  <c r="AM1007" i="3" s="1"/>
  <c r="M708" i="2"/>
  <c r="AJ1003" i="3" s="1"/>
  <c r="AM1003" i="3" s="1"/>
  <c r="M704" i="2"/>
  <c r="AJ999" i="3" s="1"/>
  <c r="AM999" i="3" s="1"/>
  <c r="M700" i="2"/>
  <c r="AJ995" i="3" s="1"/>
  <c r="AM995" i="3" s="1"/>
  <c r="M696" i="2"/>
  <c r="AJ991" i="3" s="1"/>
  <c r="AM991" i="3" s="1"/>
  <c r="M692" i="2"/>
  <c r="AJ987" i="3" s="1"/>
  <c r="AM987" i="3" s="1"/>
  <c r="M688" i="2"/>
  <c r="AJ983" i="3" s="1"/>
  <c r="AM983" i="3" s="1"/>
  <c r="M684" i="2"/>
  <c r="AJ979" i="3" s="1"/>
  <c r="AM979" i="3" s="1"/>
  <c r="M680" i="2"/>
  <c r="AJ975" i="3" s="1"/>
  <c r="AM975" i="3" s="1"/>
  <c r="M676" i="2"/>
  <c r="AJ971" i="3" s="1"/>
  <c r="AM971" i="3" s="1"/>
  <c r="M672" i="2"/>
  <c r="AJ967" i="3" s="1"/>
  <c r="AM967" i="3" s="1"/>
  <c r="M668" i="2"/>
  <c r="AJ963" i="3" s="1"/>
  <c r="AM963" i="3" s="1"/>
  <c r="M664" i="2"/>
  <c r="AJ959" i="3" s="1"/>
  <c r="AM959" i="3" s="1"/>
  <c r="M660" i="2"/>
  <c r="AJ955" i="3" s="1"/>
  <c r="AM955" i="3" s="1"/>
  <c r="M656" i="2"/>
  <c r="AJ951" i="3" s="1"/>
  <c r="AM951" i="3" s="1"/>
  <c r="M652" i="2"/>
  <c r="AJ947" i="3" s="1"/>
  <c r="AM947" i="3" s="1"/>
  <c r="M648" i="2"/>
  <c r="AJ943" i="3" s="1"/>
  <c r="AM943" i="3" s="1"/>
  <c r="M644" i="2"/>
  <c r="AJ939" i="3" s="1"/>
  <c r="AM939" i="3" s="1"/>
  <c r="M640" i="2"/>
  <c r="AJ935" i="3" s="1"/>
  <c r="AM935" i="3" s="1"/>
  <c r="M636" i="2"/>
  <c r="AJ931" i="3" s="1"/>
  <c r="AM931" i="3" s="1"/>
  <c r="M632" i="2"/>
  <c r="AJ927" i="3" s="1"/>
  <c r="AM927" i="3" s="1"/>
  <c r="M628" i="2"/>
  <c r="AJ923" i="3" s="1"/>
  <c r="AM923" i="3" s="1"/>
  <c r="M624" i="2"/>
  <c r="AJ919" i="3" s="1"/>
  <c r="AM919" i="3" s="1"/>
  <c r="M620" i="2"/>
  <c r="AJ915" i="3" s="1"/>
  <c r="AM915" i="3" s="1"/>
  <c r="M616" i="2"/>
  <c r="AJ911" i="3" s="1"/>
  <c r="AM911" i="3" s="1"/>
  <c r="M612" i="2"/>
  <c r="AJ907" i="3" s="1"/>
  <c r="AM907" i="3" s="1"/>
  <c r="M608" i="2"/>
  <c r="AJ903" i="3" s="1"/>
  <c r="AM903" i="3" s="1"/>
  <c r="M604" i="2"/>
  <c r="AJ899" i="3" s="1"/>
  <c r="AM899" i="3" s="1"/>
  <c r="M600" i="2"/>
  <c r="AJ895" i="3" s="1"/>
  <c r="AM895" i="3" s="1"/>
  <c r="M596" i="2"/>
  <c r="AJ891" i="3" s="1"/>
  <c r="AM891" i="3" s="1"/>
  <c r="M592" i="2"/>
  <c r="AJ887" i="3" s="1"/>
  <c r="AM887" i="3" s="1"/>
  <c r="M588" i="2"/>
  <c r="AJ883" i="3" s="1"/>
  <c r="AM883" i="3" s="1"/>
  <c r="M584" i="2"/>
  <c r="AJ879" i="3" s="1"/>
  <c r="AM879" i="3" s="1"/>
  <c r="M580" i="2"/>
  <c r="AJ875" i="3" s="1"/>
  <c r="AM875" i="3" s="1"/>
  <c r="M576" i="2"/>
  <c r="AJ871" i="3" s="1"/>
  <c r="AM871" i="3" s="1"/>
  <c r="M572" i="2"/>
  <c r="AJ867" i="3" s="1"/>
  <c r="AM867" i="3" s="1"/>
  <c r="M568" i="2"/>
  <c r="AJ863" i="3" s="1"/>
  <c r="AM863" i="3" s="1"/>
  <c r="M564" i="2"/>
  <c r="AJ859" i="3" s="1"/>
  <c r="AM859" i="3" s="1"/>
  <c r="M560" i="2"/>
  <c r="AJ855" i="3" s="1"/>
  <c r="AM855" i="3" s="1"/>
  <c r="M556" i="2"/>
  <c r="AJ851" i="3" s="1"/>
  <c r="AM851" i="3" s="1"/>
  <c r="M552" i="2"/>
  <c r="AJ847" i="3" s="1"/>
  <c r="AM847" i="3" s="1"/>
  <c r="M548" i="2"/>
  <c r="AJ843" i="3" s="1"/>
  <c r="AM843" i="3" s="1"/>
  <c r="M544" i="2"/>
  <c r="AJ839" i="3" s="1"/>
  <c r="AM839" i="3" s="1"/>
  <c r="M540" i="2"/>
  <c r="AJ835" i="3" s="1"/>
  <c r="AM835" i="3" s="1"/>
  <c r="M536" i="2"/>
  <c r="AJ831" i="3" s="1"/>
  <c r="AM831" i="3" s="1"/>
  <c r="M532" i="2"/>
  <c r="AJ827" i="3" s="1"/>
  <c r="AM827" i="3" s="1"/>
  <c r="M528" i="2"/>
  <c r="AJ823" i="3" s="1"/>
  <c r="AM823" i="3" s="1"/>
  <c r="M524" i="2"/>
  <c r="AJ819" i="3" s="1"/>
  <c r="AM819" i="3" s="1"/>
  <c r="M520" i="2"/>
  <c r="AJ815" i="3" s="1"/>
  <c r="AM815" i="3" s="1"/>
  <c r="M516" i="2"/>
  <c r="AJ811" i="3" s="1"/>
  <c r="AM811" i="3" s="1"/>
  <c r="M512" i="2"/>
  <c r="AJ807" i="3" s="1"/>
  <c r="AM807" i="3" s="1"/>
  <c r="M508" i="2"/>
  <c r="AJ803" i="3" s="1"/>
  <c r="AM803" i="3" s="1"/>
  <c r="M504" i="2"/>
  <c r="AJ799" i="3" s="1"/>
  <c r="AM799" i="3" s="1"/>
  <c r="M500" i="2"/>
  <c r="AJ795" i="3" s="1"/>
  <c r="AM795" i="3" s="1"/>
  <c r="M496" i="2"/>
  <c r="AJ791" i="3" s="1"/>
  <c r="AM791" i="3" s="1"/>
  <c r="M492" i="2"/>
  <c r="AJ787" i="3" s="1"/>
  <c r="AM787" i="3" s="1"/>
  <c r="M488" i="2"/>
  <c r="AJ783" i="3" s="1"/>
  <c r="AM783" i="3" s="1"/>
  <c r="M484" i="2"/>
  <c r="AJ779" i="3" s="1"/>
  <c r="AM779" i="3" s="1"/>
  <c r="M480" i="2"/>
  <c r="AJ775" i="3" s="1"/>
  <c r="AM775" i="3" s="1"/>
  <c r="M476" i="2"/>
  <c r="AJ771" i="3" s="1"/>
  <c r="AM771" i="3" s="1"/>
  <c r="M472" i="2"/>
  <c r="AJ767" i="3" s="1"/>
  <c r="AM767" i="3" s="1"/>
  <c r="M468" i="2"/>
  <c r="AJ763" i="3" s="1"/>
  <c r="AM763" i="3" s="1"/>
  <c r="M464" i="2"/>
  <c r="AJ759" i="3" s="1"/>
  <c r="AM759" i="3" s="1"/>
  <c r="M460" i="2"/>
  <c r="AJ755" i="3" s="1"/>
  <c r="AM755" i="3" s="1"/>
  <c r="M456" i="2"/>
  <c r="AJ751" i="3" s="1"/>
  <c r="AM751" i="3" s="1"/>
  <c r="M452" i="2"/>
  <c r="AJ747" i="3" s="1"/>
  <c r="AM747" i="3" s="1"/>
  <c r="M448" i="2"/>
  <c r="AJ743" i="3" s="1"/>
  <c r="AM743" i="3" s="1"/>
  <c r="M444" i="2"/>
  <c r="AJ739" i="3" s="1"/>
  <c r="AM739" i="3" s="1"/>
  <c r="M440" i="2"/>
  <c r="AJ735" i="3" s="1"/>
  <c r="AM735" i="3" s="1"/>
  <c r="M436" i="2"/>
  <c r="AJ731" i="3" s="1"/>
  <c r="AM731" i="3" s="1"/>
  <c r="M432" i="2"/>
  <c r="AJ727" i="3" s="1"/>
  <c r="AM727" i="3" s="1"/>
  <c r="M428" i="2"/>
  <c r="AJ723" i="3" s="1"/>
  <c r="AM723" i="3" s="1"/>
  <c r="M424" i="2"/>
  <c r="AJ719" i="3" s="1"/>
  <c r="AM719" i="3" s="1"/>
  <c r="M420" i="2"/>
  <c r="AJ715" i="3" s="1"/>
  <c r="AM715" i="3" s="1"/>
  <c r="M416" i="2"/>
  <c r="AJ711" i="3" s="1"/>
  <c r="AM711" i="3" s="1"/>
  <c r="M412" i="2"/>
  <c r="AJ707" i="3" s="1"/>
  <c r="AM707" i="3" s="1"/>
  <c r="M408" i="2"/>
  <c r="AJ703" i="3" s="1"/>
  <c r="AM703" i="3" s="1"/>
  <c r="M404" i="2"/>
  <c r="AJ699" i="3" s="1"/>
  <c r="AM699" i="3" s="1"/>
  <c r="M400" i="2"/>
  <c r="AJ695" i="3" s="1"/>
  <c r="AM695" i="3" s="1"/>
  <c r="M396" i="2"/>
  <c r="AJ691" i="3" s="1"/>
  <c r="AM691" i="3" s="1"/>
  <c r="M392" i="2"/>
  <c r="AJ687" i="3" s="1"/>
  <c r="AM687" i="3" s="1"/>
  <c r="M388" i="2"/>
  <c r="AJ683" i="3" s="1"/>
  <c r="AM683" i="3" s="1"/>
  <c r="M384" i="2"/>
  <c r="AJ679" i="3" s="1"/>
  <c r="AM679" i="3" s="1"/>
  <c r="M380" i="2"/>
  <c r="AJ675" i="3" s="1"/>
  <c r="AM675" i="3" s="1"/>
  <c r="M376" i="2"/>
  <c r="AJ671" i="3" s="1"/>
  <c r="AM671" i="3" s="1"/>
  <c r="M372" i="2"/>
  <c r="AJ667" i="3" s="1"/>
  <c r="AM667" i="3" s="1"/>
  <c r="M368" i="2"/>
  <c r="AJ663" i="3" s="1"/>
  <c r="AM663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0" i="3" s="1"/>
  <c r="AM80" i="3" s="1"/>
  <c r="M76" i="2"/>
  <c r="AJ76" i="3" s="1"/>
  <c r="AM76" i="3" s="1"/>
  <c r="M72" i="2"/>
  <c r="AJ72" i="3" s="1"/>
  <c r="AM72" i="3" s="1"/>
  <c r="M68" i="2"/>
  <c r="AJ68" i="3" s="1"/>
  <c r="AM68" i="3" s="1"/>
  <c r="M64" i="2"/>
  <c r="AJ64" i="3" s="1"/>
  <c r="AM64" i="3" s="1"/>
  <c r="M60" i="2"/>
  <c r="AJ60" i="3" s="1"/>
  <c r="AM60" i="3" s="1"/>
  <c r="M56" i="2"/>
  <c r="AJ56" i="3" s="1"/>
  <c r="AM56" i="3" s="1"/>
  <c r="M52" i="2"/>
  <c r="AJ52" i="3" s="1"/>
  <c r="AM52" i="3" s="1"/>
  <c r="M48" i="2"/>
  <c r="AJ48" i="3" s="1"/>
  <c r="AM48" i="3" s="1"/>
  <c r="M44" i="2"/>
  <c r="AJ44" i="3" s="1"/>
  <c r="AM44" i="3" s="1"/>
  <c r="M40" i="2"/>
  <c r="AJ40" i="3" s="1"/>
  <c r="AM40" i="3" s="1"/>
  <c r="M36" i="2"/>
  <c r="AJ36" i="3" s="1"/>
  <c r="AM36" i="3" s="1"/>
  <c r="M32" i="2"/>
  <c r="AJ32" i="3" s="1"/>
  <c r="AM32" i="3" s="1"/>
  <c r="M28" i="2"/>
  <c r="AJ28" i="3" s="1"/>
  <c r="AM28" i="3" s="1"/>
  <c r="M24" i="2"/>
  <c r="AJ24" i="3" s="1"/>
  <c r="AM24" i="3" s="1"/>
  <c r="M20" i="2"/>
  <c r="AJ20" i="3" s="1"/>
  <c r="AM20" i="3" s="1"/>
  <c r="M16" i="2"/>
  <c r="AJ16" i="3" s="1"/>
  <c r="AM16" i="3" s="1"/>
  <c r="M12" i="2"/>
  <c r="AJ13" i="3" s="1"/>
  <c r="AM13" i="3" s="1"/>
  <c r="M8" i="2"/>
  <c r="AJ8" i="3" s="1"/>
  <c r="AM8" i="3" s="1"/>
  <c r="M4" i="2"/>
  <c r="AJ4" i="3" s="1"/>
  <c r="AM4" i="3" s="1"/>
  <c r="M390" i="2"/>
  <c r="AJ685" i="3" s="1"/>
  <c r="AM685" i="3" s="1"/>
  <c r="M262" i="2"/>
  <c r="M134" i="2"/>
  <c r="M6" i="2"/>
  <c r="AJ6" i="3" s="1"/>
  <c r="AM6" i="3" s="1"/>
  <c r="M766" i="2"/>
  <c r="AJ1061" i="3" s="1"/>
  <c r="AM1061" i="3" s="1"/>
  <c r="M734" i="2"/>
  <c r="AJ1029" i="3" s="1"/>
  <c r="AM1029" i="3" s="1"/>
  <c r="M702" i="2"/>
  <c r="AJ997" i="3" s="1"/>
  <c r="AM997" i="3" s="1"/>
  <c r="M670" i="2"/>
  <c r="AJ965" i="3" s="1"/>
  <c r="AM965" i="3" s="1"/>
  <c r="M638" i="2"/>
  <c r="AJ933" i="3" s="1"/>
  <c r="AM933" i="3" s="1"/>
  <c r="M606" i="2"/>
  <c r="AJ901" i="3" s="1"/>
  <c r="AM901" i="3" s="1"/>
  <c r="M574" i="2"/>
  <c r="AJ869" i="3" s="1"/>
  <c r="AM869" i="3" s="1"/>
  <c r="M542" i="2"/>
  <c r="AJ837" i="3" s="1"/>
  <c r="AM837" i="3" s="1"/>
  <c r="M510" i="2"/>
  <c r="AJ805" i="3" s="1"/>
  <c r="AM805" i="3" s="1"/>
  <c r="M478" i="2"/>
  <c r="AJ773" i="3" s="1"/>
  <c r="AM773" i="3" s="1"/>
  <c r="M446" i="2"/>
  <c r="AJ741" i="3" s="1"/>
  <c r="AM741" i="3" s="1"/>
  <c r="M414" i="2"/>
  <c r="AJ709" i="3" s="1"/>
  <c r="AM709" i="3" s="1"/>
  <c r="M382" i="2"/>
  <c r="AJ677" i="3" s="1"/>
  <c r="AM677" i="3" s="1"/>
  <c r="M350" i="2"/>
  <c r="M318" i="2"/>
  <c r="M282" i="2"/>
  <c r="M250" i="2"/>
  <c r="M218" i="2"/>
  <c r="M186" i="2"/>
  <c r="M154" i="2"/>
  <c r="M122" i="2"/>
  <c r="M90" i="2"/>
  <c r="M58" i="2"/>
  <c r="AJ58" i="3" s="1"/>
  <c r="AM58" i="3" s="1"/>
  <c r="M26" i="2"/>
  <c r="AJ26" i="3" s="1"/>
  <c r="AM26" i="3" s="1"/>
  <c r="M750" i="2"/>
  <c r="AJ1045" i="3" s="1"/>
  <c r="AM1045" i="3" s="1"/>
  <c r="M718" i="2"/>
  <c r="AJ1013" i="3" s="1"/>
  <c r="AM1013" i="3" s="1"/>
  <c r="M686" i="2"/>
  <c r="AJ981" i="3" s="1"/>
  <c r="AM981" i="3" s="1"/>
  <c r="M654" i="2"/>
  <c r="AJ949" i="3" s="1"/>
  <c r="AM949" i="3" s="1"/>
  <c r="M622" i="2"/>
  <c r="AJ917" i="3" s="1"/>
  <c r="AM917" i="3" s="1"/>
  <c r="M590" i="2"/>
  <c r="AJ885" i="3" s="1"/>
  <c r="AM885" i="3" s="1"/>
  <c r="M558" i="2"/>
  <c r="AJ853" i="3" s="1"/>
  <c r="AM853" i="3" s="1"/>
  <c r="M526" i="2"/>
  <c r="AJ821" i="3" s="1"/>
  <c r="AM821" i="3" s="1"/>
  <c r="M494" i="2"/>
  <c r="AJ789" i="3" s="1"/>
  <c r="AM789" i="3" s="1"/>
  <c r="M462" i="2"/>
  <c r="AJ757" i="3" s="1"/>
  <c r="AM757" i="3" s="1"/>
  <c r="M430" i="2"/>
  <c r="AJ725" i="3" s="1"/>
  <c r="AM725" i="3" s="1"/>
  <c r="M398" i="2"/>
  <c r="AJ693" i="3" s="1"/>
  <c r="AM693" i="3" s="1"/>
  <c r="M366" i="2"/>
  <c r="M334" i="2"/>
  <c r="M302" i="2"/>
  <c r="M266" i="2"/>
  <c r="M234" i="2"/>
  <c r="M202" i="2"/>
  <c r="M170" i="2"/>
  <c r="M138" i="2"/>
  <c r="M106" i="2"/>
  <c r="M74" i="2"/>
  <c r="AJ74" i="3" s="1"/>
  <c r="AM74" i="3" s="1"/>
  <c r="M42" i="2"/>
  <c r="AJ42" i="3" s="1"/>
  <c r="AM42" i="3" s="1"/>
  <c r="M10" i="2"/>
  <c r="D53" i="5"/>
  <c r="A44" i="5"/>
  <c r="AJ375" i="3" l="1"/>
  <c r="AM375" i="3" s="1"/>
  <c r="AJ102" i="3"/>
  <c r="AM102" i="3" s="1"/>
  <c r="AJ358" i="3"/>
  <c r="AM358" i="3" s="1"/>
  <c r="AJ294" i="3"/>
  <c r="AM294" i="3" s="1"/>
  <c r="AJ10" i="3"/>
  <c r="AM10" i="3" s="1"/>
  <c r="AJ11" i="3"/>
  <c r="AM11" i="3" s="1"/>
  <c r="AJ379" i="3"/>
  <c r="AM379" i="3" s="1"/>
  <c r="AJ84" i="3"/>
  <c r="AM84" i="3" s="1"/>
  <c r="AJ411" i="3"/>
  <c r="AM411" i="3" s="1"/>
  <c r="AJ116" i="3"/>
  <c r="AM116" i="3" s="1"/>
  <c r="AJ443" i="3"/>
  <c r="AM443" i="3" s="1"/>
  <c r="AJ148" i="3"/>
  <c r="AM148" i="3" s="1"/>
  <c r="AJ475" i="3"/>
  <c r="AM475" i="3" s="1"/>
  <c r="AJ180" i="3"/>
  <c r="AM180" i="3" s="1"/>
  <c r="AJ523" i="3"/>
  <c r="AM523" i="3" s="1"/>
  <c r="AJ228" i="3"/>
  <c r="AM228" i="3" s="1"/>
  <c r="AJ555" i="3"/>
  <c r="AM555" i="3" s="1"/>
  <c r="AJ260" i="3"/>
  <c r="AM260" i="3" s="1"/>
  <c r="AJ587" i="3"/>
  <c r="AM587" i="3" s="1"/>
  <c r="AJ292" i="3"/>
  <c r="AM292" i="3" s="1"/>
  <c r="AJ619" i="3"/>
  <c r="AM619" i="3" s="1"/>
  <c r="AJ324" i="3"/>
  <c r="AM324" i="3" s="1"/>
  <c r="AJ477" i="3"/>
  <c r="AM477" i="3" s="1"/>
  <c r="AJ182" i="3"/>
  <c r="AM182" i="3" s="1"/>
  <c r="AJ573" i="3"/>
  <c r="AM573" i="3" s="1"/>
  <c r="AJ278" i="3"/>
  <c r="AM278" i="3" s="1"/>
  <c r="AJ633" i="3"/>
  <c r="AM633" i="3" s="1"/>
  <c r="AJ338" i="3"/>
  <c r="AM338" i="3" s="1"/>
  <c r="AJ382" i="3"/>
  <c r="AM382" i="3" s="1"/>
  <c r="AJ87" i="3"/>
  <c r="AM87" i="3" s="1"/>
  <c r="AJ414" i="3"/>
  <c r="AM414" i="3" s="1"/>
  <c r="AJ119" i="3"/>
  <c r="AM119" i="3" s="1"/>
  <c r="AJ446" i="3"/>
  <c r="AM446" i="3" s="1"/>
  <c r="AJ151" i="3"/>
  <c r="AM151" i="3" s="1"/>
  <c r="AJ478" i="3"/>
  <c r="AM478" i="3" s="1"/>
  <c r="AJ183" i="3"/>
  <c r="AM183" i="3" s="1"/>
  <c r="AJ510" i="3"/>
  <c r="AM510" i="3" s="1"/>
  <c r="AJ215" i="3"/>
  <c r="AM215" i="3" s="1"/>
  <c r="AJ526" i="3"/>
  <c r="AM526" i="3" s="1"/>
  <c r="AJ231" i="3"/>
  <c r="AM231" i="3" s="1"/>
  <c r="AJ558" i="3"/>
  <c r="AM558" i="3" s="1"/>
  <c r="AJ263" i="3"/>
  <c r="AM263" i="3" s="1"/>
  <c r="AJ590" i="3"/>
  <c r="AM590" i="3" s="1"/>
  <c r="AJ295" i="3"/>
  <c r="AM295" i="3" s="1"/>
  <c r="AJ622" i="3"/>
  <c r="AM622" i="3" s="1"/>
  <c r="AJ327" i="3"/>
  <c r="AM327" i="3" s="1"/>
  <c r="AJ654" i="3"/>
  <c r="AM654" i="3" s="1"/>
  <c r="AJ359" i="3"/>
  <c r="AM359" i="3" s="1"/>
  <c r="AJ409" i="3"/>
  <c r="AM409" i="3" s="1"/>
  <c r="AJ114" i="3"/>
  <c r="AM114" i="3" s="1"/>
  <c r="AJ533" i="3"/>
  <c r="AM533" i="3" s="1"/>
  <c r="AJ238" i="3"/>
  <c r="AM238" i="3" s="1"/>
  <c r="AJ605" i="3"/>
  <c r="AM605" i="3" s="1"/>
  <c r="AJ310" i="3"/>
  <c r="AM310" i="3" s="1"/>
  <c r="AJ433" i="3"/>
  <c r="AM433" i="3" s="1"/>
  <c r="AJ138" i="3"/>
  <c r="AM138" i="3" s="1"/>
  <c r="AJ561" i="3"/>
  <c r="AM561" i="3" s="1"/>
  <c r="AJ266" i="3"/>
  <c r="AM266" i="3" s="1"/>
  <c r="AJ449" i="3"/>
  <c r="AM449" i="3" s="1"/>
  <c r="AJ154" i="3"/>
  <c r="AM154" i="3" s="1"/>
  <c r="AJ577" i="3"/>
  <c r="AM577" i="3" s="1"/>
  <c r="AJ282" i="3"/>
  <c r="AM282" i="3" s="1"/>
  <c r="AJ395" i="3"/>
  <c r="AM395" i="3" s="1"/>
  <c r="AJ100" i="3"/>
  <c r="AM100" i="3" s="1"/>
  <c r="AJ427" i="3"/>
  <c r="AM427" i="3" s="1"/>
  <c r="AJ132" i="3"/>
  <c r="AM132" i="3" s="1"/>
  <c r="AJ459" i="3"/>
  <c r="AM459" i="3" s="1"/>
  <c r="AJ164" i="3"/>
  <c r="AM164" i="3" s="1"/>
  <c r="AJ491" i="3"/>
  <c r="AM491" i="3" s="1"/>
  <c r="AJ378" i="3"/>
  <c r="AM378" i="3" s="1"/>
  <c r="AJ196" i="3"/>
  <c r="AM196" i="3" s="1"/>
  <c r="AJ507" i="3"/>
  <c r="AM507" i="3" s="1"/>
  <c r="AJ212" i="3"/>
  <c r="AM212" i="3" s="1"/>
  <c r="AJ539" i="3"/>
  <c r="AM539" i="3" s="1"/>
  <c r="AJ244" i="3"/>
  <c r="AM244" i="3" s="1"/>
  <c r="AJ571" i="3"/>
  <c r="AM571" i="3" s="1"/>
  <c r="AJ276" i="3"/>
  <c r="AM276" i="3" s="1"/>
  <c r="AJ603" i="3"/>
  <c r="AM603" i="3" s="1"/>
  <c r="AJ308" i="3"/>
  <c r="AM308" i="3" s="1"/>
  <c r="AJ635" i="3"/>
  <c r="AM635" i="3" s="1"/>
  <c r="AJ340" i="3"/>
  <c r="AM340" i="3" s="1"/>
  <c r="AJ651" i="3"/>
  <c r="AM651" i="3" s="1"/>
  <c r="AJ356" i="3"/>
  <c r="AM356" i="3" s="1"/>
  <c r="AJ421" i="3"/>
  <c r="AM421" i="3" s="1"/>
  <c r="AJ126" i="3"/>
  <c r="AM126" i="3" s="1"/>
  <c r="AJ517" i="3"/>
  <c r="AM517" i="3" s="1"/>
  <c r="AJ222" i="3"/>
  <c r="AM222" i="3" s="1"/>
  <c r="AJ525" i="3"/>
  <c r="AM525" i="3" s="1"/>
  <c r="AJ230" i="3"/>
  <c r="AM230" i="3" s="1"/>
  <c r="AJ398" i="3"/>
  <c r="AM398" i="3" s="1"/>
  <c r="AJ103" i="3"/>
  <c r="AM103" i="3" s="1"/>
  <c r="AJ430" i="3"/>
  <c r="AM430" i="3" s="1"/>
  <c r="AJ135" i="3"/>
  <c r="AM135" i="3" s="1"/>
  <c r="AJ462" i="3"/>
  <c r="AM462" i="3" s="1"/>
  <c r="AJ167" i="3"/>
  <c r="AM167" i="3" s="1"/>
  <c r="AJ494" i="3"/>
  <c r="AM494" i="3" s="1"/>
  <c r="AJ199" i="3"/>
  <c r="AM199" i="3" s="1"/>
  <c r="AJ542" i="3"/>
  <c r="AM542" i="3" s="1"/>
  <c r="AJ247" i="3"/>
  <c r="AM247" i="3" s="1"/>
  <c r="AJ574" i="3"/>
  <c r="AM574" i="3" s="1"/>
  <c r="AJ279" i="3"/>
  <c r="AM279" i="3" s="1"/>
  <c r="AJ606" i="3"/>
  <c r="AM606" i="3" s="1"/>
  <c r="AJ311" i="3"/>
  <c r="AM311" i="3" s="1"/>
  <c r="AJ638" i="3"/>
  <c r="AM638" i="3" s="1"/>
  <c r="AJ343" i="3"/>
  <c r="AM343" i="3" s="1"/>
  <c r="AJ457" i="3"/>
  <c r="AM457" i="3" s="1"/>
  <c r="AJ162" i="3"/>
  <c r="AM162" i="3" s="1"/>
  <c r="AJ569" i="3"/>
  <c r="AM569" i="3" s="1"/>
  <c r="AJ274" i="3"/>
  <c r="AM274" i="3" s="1"/>
  <c r="AJ465" i="3"/>
  <c r="AM465" i="3" s="1"/>
  <c r="AJ170" i="3"/>
  <c r="AM170" i="3" s="1"/>
  <c r="AJ597" i="3"/>
  <c r="AM597" i="3" s="1"/>
  <c r="AJ302" i="3"/>
  <c r="AM302" i="3" s="1"/>
  <c r="AJ481" i="3"/>
  <c r="AM481" i="3" s="1"/>
  <c r="AJ186" i="3"/>
  <c r="AM186" i="3" s="1"/>
  <c r="AJ368" i="3"/>
  <c r="AM368" i="3" s="1"/>
  <c r="AJ613" i="3"/>
  <c r="AM613" i="3" s="1"/>
  <c r="AJ318" i="3"/>
  <c r="AM318" i="3" s="1"/>
  <c r="AJ429" i="3"/>
  <c r="AM429" i="3" s="1"/>
  <c r="AJ134" i="3"/>
  <c r="AM134" i="3" s="1"/>
  <c r="AJ383" i="3"/>
  <c r="AM383" i="3" s="1"/>
  <c r="AJ88" i="3"/>
  <c r="AM88" i="3" s="1"/>
  <c r="AJ399" i="3"/>
  <c r="AM399" i="3" s="1"/>
  <c r="AJ104" i="3"/>
  <c r="AM104" i="3" s="1"/>
  <c r="AJ415" i="3"/>
  <c r="AM415" i="3" s="1"/>
  <c r="AJ120" i="3"/>
  <c r="AM120" i="3" s="1"/>
  <c r="AJ431" i="3"/>
  <c r="AM431" i="3" s="1"/>
  <c r="AJ136" i="3"/>
  <c r="AM136" i="3" s="1"/>
  <c r="AJ447" i="3"/>
  <c r="AM447" i="3" s="1"/>
  <c r="AJ152" i="3"/>
  <c r="AM152" i="3" s="1"/>
  <c r="AJ463" i="3"/>
  <c r="AM463" i="3" s="1"/>
  <c r="AJ168" i="3"/>
  <c r="AM168" i="3" s="1"/>
  <c r="AJ479" i="3"/>
  <c r="AM479" i="3" s="1"/>
  <c r="AJ184" i="3"/>
  <c r="AM184" i="3" s="1"/>
  <c r="AJ495" i="3"/>
  <c r="AM495" i="3" s="1"/>
  <c r="AJ200" i="3"/>
  <c r="AM200" i="3" s="1"/>
  <c r="AJ511" i="3"/>
  <c r="AM511" i="3" s="1"/>
  <c r="AJ216" i="3"/>
  <c r="AM216" i="3" s="1"/>
  <c r="AJ527" i="3"/>
  <c r="AM527" i="3" s="1"/>
  <c r="AJ232" i="3"/>
  <c r="AM232" i="3" s="1"/>
  <c r="AJ543" i="3"/>
  <c r="AM543" i="3" s="1"/>
  <c r="AJ248" i="3"/>
  <c r="AM248" i="3" s="1"/>
  <c r="AJ559" i="3"/>
  <c r="AM559" i="3" s="1"/>
  <c r="AJ264" i="3"/>
  <c r="AM264" i="3" s="1"/>
  <c r="AJ575" i="3"/>
  <c r="AM575" i="3" s="1"/>
  <c r="AJ280" i="3"/>
  <c r="AM280" i="3" s="1"/>
  <c r="AJ591" i="3"/>
  <c r="AM591" i="3" s="1"/>
  <c r="AJ296" i="3"/>
  <c r="AM296" i="3" s="1"/>
  <c r="AJ607" i="3"/>
  <c r="AM607" i="3" s="1"/>
  <c r="AJ312" i="3"/>
  <c r="AM312" i="3" s="1"/>
  <c r="AJ623" i="3"/>
  <c r="AM623" i="3" s="1"/>
  <c r="AJ328" i="3"/>
  <c r="AM328" i="3" s="1"/>
  <c r="AJ639" i="3"/>
  <c r="AM639" i="3" s="1"/>
  <c r="AJ344" i="3"/>
  <c r="AM344" i="3" s="1"/>
  <c r="AJ655" i="3"/>
  <c r="AM655" i="3" s="1"/>
  <c r="AJ360" i="3"/>
  <c r="AM360" i="3" s="1"/>
  <c r="AJ425" i="3"/>
  <c r="AM425" i="3" s="1"/>
  <c r="AJ130" i="3"/>
  <c r="AM130" i="3" s="1"/>
  <c r="AJ485" i="3"/>
  <c r="AM485" i="3" s="1"/>
  <c r="AJ372" i="3"/>
  <c r="AM372" i="3" s="1"/>
  <c r="AJ190" i="3"/>
  <c r="AM190" i="3" s="1"/>
  <c r="AJ521" i="3"/>
  <c r="AM521" i="3" s="1"/>
  <c r="AJ226" i="3"/>
  <c r="AM226" i="3" s="1"/>
  <c r="AJ581" i="3"/>
  <c r="AM581" i="3" s="1"/>
  <c r="AJ286" i="3"/>
  <c r="AM286" i="3" s="1"/>
  <c r="AJ641" i="3"/>
  <c r="AM641" i="3" s="1"/>
  <c r="AJ346" i="3"/>
  <c r="AM346" i="3" s="1"/>
  <c r="AJ386" i="3"/>
  <c r="AM386" i="3" s="1"/>
  <c r="AJ91" i="3"/>
  <c r="AM91" i="3" s="1"/>
  <c r="AJ402" i="3"/>
  <c r="AM402" i="3" s="1"/>
  <c r="AJ107" i="3"/>
  <c r="AM107" i="3" s="1"/>
  <c r="AJ418" i="3"/>
  <c r="AM418" i="3" s="1"/>
  <c r="AJ123" i="3"/>
  <c r="AM123" i="3" s="1"/>
  <c r="AJ434" i="3"/>
  <c r="AM434" i="3" s="1"/>
  <c r="AJ139" i="3"/>
  <c r="AM139" i="3" s="1"/>
  <c r="AJ450" i="3"/>
  <c r="AM450" i="3" s="1"/>
  <c r="AJ155" i="3"/>
  <c r="AM155" i="3" s="1"/>
  <c r="AJ466" i="3"/>
  <c r="AM466" i="3" s="1"/>
  <c r="AJ171" i="3"/>
  <c r="AM171" i="3" s="1"/>
  <c r="AJ482" i="3"/>
  <c r="AM482" i="3" s="1"/>
  <c r="AJ187" i="3"/>
  <c r="AM187" i="3" s="1"/>
  <c r="AJ369" i="3"/>
  <c r="AM369" i="3" s="1"/>
  <c r="AJ498" i="3"/>
  <c r="AM498" i="3" s="1"/>
  <c r="AJ203" i="3"/>
  <c r="AM203" i="3" s="1"/>
  <c r="AJ514" i="3"/>
  <c r="AM514" i="3" s="1"/>
  <c r="AJ219" i="3"/>
  <c r="AM219" i="3" s="1"/>
  <c r="AJ530" i="3"/>
  <c r="AM530" i="3" s="1"/>
  <c r="AJ235" i="3"/>
  <c r="AM235" i="3" s="1"/>
  <c r="AJ546" i="3"/>
  <c r="AM546" i="3" s="1"/>
  <c r="AJ251" i="3"/>
  <c r="AM251" i="3" s="1"/>
  <c r="AJ562" i="3"/>
  <c r="AM562" i="3" s="1"/>
  <c r="AJ267" i="3"/>
  <c r="AM267" i="3" s="1"/>
  <c r="AJ578" i="3"/>
  <c r="AM578" i="3" s="1"/>
  <c r="AJ283" i="3"/>
  <c r="AM283" i="3" s="1"/>
  <c r="AJ594" i="3"/>
  <c r="AM594" i="3" s="1"/>
  <c r="AJ299" i="3"/>
  <c r="AM299" i="3" s="1"/>
  <c r="AJ610" i="3"/>
  <c r="AM610" i="3" s="1"/>
  <c r="AJ315" i="3"/>
  <c r="AM315" i="3" s="1"/>
  <c r="AJ626" i="3"/>
  <c r="AM626" i="3" s="1"/>
  <c r="AJ331" i="3"/>
  <c r="AM331" i="3" s="1"/>
  <c r="AJ642" i="3"/>
  <c r="AM642" i="3" s="1"/>
  <c r="AJ347" i="3"/>
  <c r="AM347" i="3" s="1"/>
  <c r="AJ658" i="3"/>
  <c r="AM658" i="3" s="1"/>
  <c r="AJ363" i="3"/>
  <c r="AM363" i="3" s="1"/>
  <c r="AJ381" i="3"/>
  <c r="AM381" i="3" s="1"/>
  <c r="AJ86" i="3"/>
  <c r="AM86" i="3" s="1"/>
  <c r="AJ437" i="3"/>
  <c r="AM437" i="3" s="1"/>
  <c r="AJ142" i="3"/>
  <c r="AM142" i="3" s="1"/>
  <c r="AJ473" i="3"/>
  <c r="AM473" i="3" s="1"/>
  <c r="AJ178" i="3"/>
  <c r="AM178" i="3" s="1"/>
  <c r="AJ541" i="3"/>
  <c r="AM541" i="3" s="1"/>
  <c r="AJ246" i="3"/>
  <c r="AM246" i="3" s="1"/>
  <c r="AJ585" i="3"/>
  <c r="AM585" i="3" s="1"/>
  <c r="AJ290" i="3"/>
  <c r="AM290" i="3" s="1"/>
  <c r="AJ625" i="3"/>
  <c r="AM625" i="3" s="1"/>
  <c r="AJ330" i="3"/>
  <c r="AM330" i="3" s="1"/>
  <c r="AJ380" i="3"/>
  <c r="AM380" i="3" s="1"/>
  <c r="AJ85" i="3"/>
  <c r="AM85" i="3" s="1"/>
  <c r="AJ396" i="3"/>
  <c r="AM396" i="3" s="1"/>
  <c r="AJ101" i="3"/>
  <c r="AM101" i="3" s="1"/>
  <c r="AJ412" i="3"/>
  <c r="AM412" i="3" s="1"/>
  <c r="AJ117" i="3"/>
  <c r="AM117" i="3" s="1"/>
  <c r="AJ428" i="3"/>
  <c r="AM428" i="3" s="1"/>
  <c r="AJ133" i="3"/>
  <c r="AM133" i="3" s="1"/>
  <c r="AJ444" i="3"/>
  <c r="AM444" i="3" s="1"/>
  <c r="AJ149" i="3"/>
  <c r="AM149" i="3" s="1"/>
  <c r="AJ460" i="3"/>
  <c r="AM460" i="3" s="1"/>
  <c r="AJ165" i="3"/>
  <c r="AM165" i="3" s="1"/>
  <c r="AJ476" i="3"/>
  <c r="AM476" i="3" s="1"/>
  <c r="AJ181" i="3"/>
  <c r="AM181" i="3" s="1"/>
  <c r="AJ492" i="3"/>
  <c r="AM492" i="3" s="1"/>
  <c r="AJ197" i="3"/>
  <c r="AM197" i="3" s="1"/>
  <c r="AJ508" i="3"/>
  <c r="AM508" i="3" s="1"/>
  <c r="AJ213" i="3"/>
  <c r="AM213" i="3" s="1"/>
  <c r="AJ524" i="3"/>
  <c r="AM524" i="3" s="1"/>
  <c r="AJ229" i="3"/>
  <c r="AM229" i="3" s="1"/>
  <c r="AJ540" i="3"/>
  <c r="AM540" i="3" s="1"/>
  <c r="AJ245" i="3"/>
  <c r="AM245" i="3" s="1"/>
  <c r="AJ556" i="3"/>
  <c r="AM556" i="3" s="1"/>
  <c r="AJ261" i="3"/>
  <c r="AM261" i="3" s="1"/>
  <c r="AJ572" i="3"/>
  <c r="AM572" i="3" s="1"/>
  <c r="AJ277" i="3"/>
  <c r="AM277" i="3" s="1"/>
  <c r="AJ588" i="3"/>
  <c r="AM588" i="3" s="1"/>
  <c r="AJ293" i="3"/>
  <c r="AM293" i="3" s="1"/>
  <c r="AJ604" i="3"/>
  <c r="AM604" i="3" s="1"/>
  <c r="AJ309" i="3"/>
  <c r="AM309" i="3" s="1"/>
  <c r="AJ620" i="3"/>
  <c r="AM620" i="3" s="1"/>
  <c r="AJ325" i="3"/>
  <c r="AM325" i="3" s="1"/>
  <c r="AJ636" i="3"/>
  <c r="AM636" i="3" s="1"/>
  <c r="AJ341" i="3"/>
  <c r="AM341" i="3" s="1"/>
  <c r="AJ652" i="3"/>
  <c r="AM652" i="3" s="1"/>
  <c r="AJ357" i="3"/>
  <c r="AM357" i="3" s="1"/>
  <c r="AJ461" i="3"/>
  <c r="AM461" i="3" s="1"/>
  <c r="AJ166" i="3"/>
  <c r="AM166" i="3" s="1"/>
  <c r="AJ493" i="3"/>
  <c r="AM493" i="3" s="1"/>
  <c r="AJ198" i="3"/>
  <c r="AM198" i="3" s="1"/>
  <c r="AJ497" i="3"/>
  <c r="AM497" i="3" s="1"/>
  <c r="AJ202" i="3"/>
  <c r="AM202" i="3" s="1"/>
  <c r="AJ629" i="3"/>
  <c r="AM629" i="3" s="1"/>
  <c r="AJ334" i="3"/>
  <c r="AM334" i="3" s="1"/>
  <c r="AJ385" i="3"/>
  <c r="AM385" i="3" s="1"/>
  <c r="AJ90" i="3"/>
  <c r="AM90" i="3" s="1"/>
  <c r="AJ513" i="3"/>
  <c r="AM513" i="3" s="1"/>
  <c r="AJ218" i="3"/>
  <c r="AM218" i="3" s="1"/>
  <c r="AJ645" i="3"/>
  <c r="AM645" i="3" s="1"/>
  <c r="AJ350" i="3"/>
  <c r="AM350" i="3" s="1"/>
  <c r="AJ557" i="3"/>
  <c r="AM557" i="3" s="1"/>
  <c r="AJ262" i="3"/>
  <c r="AM262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370" i="3"/>
  <c r="AM370" i="3" s="1"/>
  <c r="AJ188" i="3"/>
  <c r="AM188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405" i="3"/>
  <c r="AM405" i="3" s="1"/>
  <c r="AJ110" i="3"/>
  <c r="AM110" i="3" s="1"/>
  <c r="AJ441" i="3"/>
  <c r="AM441" i="3" s="1"/>
  <c r="AJ146" i="3"/>
  <c r="AM146" i="3" s="1"/>
  <c r="AJ501" i="3"/>
  <c r="AM501" i="3" s="1"/>
  <c r="AJ206" i="3"/>
  <c r="AM206" i="3" s="1"/>
  <c r="AJ537" i="3"/>
  <c r="AM537" i="3" s="1"/>
  <c r="AJ242" i="3"/>
  <c r="AM242" i="3" s="1"/>
  <c r="AJ609" i="3"/>
  <c r="AM609" i="3" s="1"/>
  <c r="AJ314" i="3"/>
  <c r="AM314" i="3" s="1"/>
  <c r="AJ649" i="3"/>
  <c r="AM649" i="3" s="1"/>
  <c r="AJ354" i="3"/>
  <c r="AM354" i="3" s="1"/>
  <c r="AJ390" i="3"/>
  <c r="AM390" i="3" s="1"/>
  <c r="AJ95" i="3"/>
  <c r="AM95" i="3" s="1"/>
  <c r="AJ406" i="3"/>
  <c r="AM406" i="3" s="1"/>
  <c r="AJ111" i="3"/>
  <c r="AM111" i="3" s="1"/>
  <c r="AJ422" i="3"/>
  <c r="AM422" i="3" s="1"/>
  <c r="AJ127" i="3"/>
  <c r="AM127" i="3" s="1"/>
  <c r="AJ438" i="3"/>
  <c r="AM438" i="3" s="1"/>
  <c r="AJ143" i="3"/>
  <c r="AM143" i="3" s="1"/>
  <c r="AJ454" i="3"/>
  <c r="AM454" i="3" s="1"/>
  <c r="AJ159" i="3"/>
  <c r="AM159" i="3" s="1"/>
  <c r="AJ470" i="3"/>
  <c r="AM470" i="3" s="1"/>
  <c r="AJ175" i="3"/>
  <c r="AM175" i="3" s="1"/>
  <c r="AJ486" i="3"/>
  <c r="AM486" i="3" s="1"/>
  <c r="AJ191" i="3"/>
  <c r="AM191" i="3" s="1"/>
  <c r="AJ373" i="3"/>
  <c r="AM373" i="3" s="1"/>
  <c r="AJ502" i="3"/>
  <c r="AM502" i="3" s="1"/>
  <c r="AJ207" i="3"/>
  <c r="AM207" i="3" s="1"/>
  <c r="AJ518" i="3"/>
  <c r="AM518" i="3" s="1"/>
  <c r="AJ223" i="3"/>
  <c r="AM223" i="3" s="1"/>
  <c r="AJ534" i="3"/>
  <c r="AM534" i="3" s="1"/>
  <c r="AJ239" i="3"/>
  <c r="AM239" i="3" s="1"/>
  <c r="AJ550" i="3"/>
  <c r="AM550" i="3" s="1"/>
  <c r="AJ255" i="3"/>
  <c r="AM255" i="3" s="1"/>
  <c r="AJ566" i="3"/>
  <c r="AM566" i="3" s="1"/>
  <c r="AJ271" i="3"/>
  <c r="AM271" i="3" s="1"/>
  <c r="AJ582" i="3"/>
  <c r="AM582" i="3" s="1"/>
  <c r="AJ287" i="3"/>
  <c r="AM287" i="3" s="1"/>
  <c r="AJ598" i="3"/>
  <c r="AM598" i="3" s="1"/>
  <c r="AJ303" i="3"/>
  <c r="AM303" i="3" s="1"/>
  <c r="AJ614" i="3"/>
  <c r="AM614" i="3" s="1"/>
  <c r="AJ319" i="3"/>
  <c r="AM319" i="3" s="1"/>
  <c r="AJ630" i="3"/>
  <c r="AM630" i="3" s="1"/>
  <c r="AJ335" i="3"/>
  <c r="AM335" i="3" s="1"/>
  <c r="AJ646" i="3"/>
  <c r="AM646" i="3" s="1"/>
  <c r="AJ351" i="3"/>
  <c r="AM351" i="3" s="1"/>
  <c r="AJ662" i="3"/>
  <c r="AM662" i="3" s="1"/>
  <c r="AJ367" i="3"/>
  <c r="AM367" i="3" s="1"/>
  <c r="AJ389" i="3"/>
  <c r="AM389" i="3" s="1"/>
  <c r="AJ94" i="3"/>
  <c r="AM94" i="3" s="1"/>
  <c r="AJ445" i="3"/>
  <c r="AM445" i="3" s="1"/>
  <c r="AJ150" i="3"/>
  <c r="AM150" i="3" s="1"/>
  <c r="AJ489" i="3"/>
  <c r="AM489" i="3" s="1"/>
  <c r="AJ376" i="3"/>
  <c r="AM376" i="3" s="1"/>
  <c r="AJ194" i="3"/>
  <c r="AM194" i="3" s="1"/>
  <c r="AJ549" i="3"/>
  <c r="AM549" i="3" s="1"/>
  <c r="AJ254" i="3"/>
  <c r="AM254" i="3" s="1"/>
  <c r="AJ593" i="3"/>
  <c r="AM593" i="3" s="1"/>
  <c r="AJ298" i="3"/>
  <c r="AM298" i="3" s="1"/>
  <c r="AJ637" i="3"/>
  <c r="AM637" i="3" s="1"/>
  <c r="AJ342" i="3"/>
  <c r="AM342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401" i="3"/>
  <c r="AM401" i="3" s="1"/>
  <c r="AJ106" i="3"/>
  <c r="AM106" i="3" s="1"/>
  <c r="AJ529" i="3"/>
  <c r="AM529" i="3" s="1"/>
  <c r="AJ234" i="3"/>
  <c r="AM234" i="3" s="1"/>
  <c r="AJ661" i="3"/>
  <c r="AM661" i="3" s="1"/>
  <c r="AJ366" i="3"/>
  <c r="AM366" i="3" s="1"/>
  <c r="AJ417" i="3"/>
  <c r="AM417" i="3" s="1"/>
  <c r="AJ122" i="3"/>
  <c r="AM122" i="3" s="1"/>
  <c r="AJ545" i="3"/>
  <c r="AM545" i="3" s="1"/>
  <c r="AJ250" i="3"/>
  <c r="AM250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413" i="3"/>
  <c r="AM413" i="3" s="1"/>
  <c r="AJ118" i="3"/>
  <c r="AM118" i="3" s="1"/>
  <c r="AJ469" i="3"/>
  <c r="AM469" i="3" s="1"/>
  <c r="AJ174" i="3"/>
  <c r="AM174" i="3" s="1"/>
  <c r="AJ509" i="3"/>
  <c r="AM509" i="3" s="1"/>
  <c r="AJ214" i="3"/>
  <c r="AM214" i="3" s="1"/>
  <c r="AJ565" i="3"/>
  <c r="AM565" i="3" s="1"/>
  <c r="AJ270" i="3"/>
  <c r="AM270" i="3" s="1"/>
  <c r="AJ617" i="3"/>
  <c r="AM617" i="3" s="1"/>
  <c r="AJ322" i="3"/>
  <c r="AM322" i="3" s="1"/>
  <c r="AJ394" i="3"/>
  <c r="AM394" i="3" s="1"/>
  <c r="AJ99" i="3"/>
  <c r="AM99" i="3" s="1"/>
  <c r="AJ410" i="3"/>
  <c r="AM410" i="3" s="1"/>
  <c r="AJ115" i="3"/>
  <c r="AM115" i="3" s="1"/>
  <c r="AJ426" i="3"/>
  <c r="AM426" i="3" s="1"/>
  <c r="AJ131" i="3"/>
  <c r="AM131" i="3" s="1"/>
  <c r="AJ442" i="3"/>
  <c r="AM442" i="3" s="1"/>
  <c r="AJ147" i="3"/>
  <c r="AM147" i="3" s="1"/>
  <c r="AJ458" i="3"/>
  <c r="AM458" i="3" s="1"/>
  <c r="AJ163" i="3"/>
  <c r="AM163" i="3" s="1"/>
  <c r="AJ474" i="3"/>
  <c r="AM474" i="3" s="1"/>
  <c r="AJ179" i="3"/>
  <c r="AM179" i="3" s="1"/>
  <c r="AJ490" i="3"/>
  <c r="AM490" i="3" s="1"/>
  <c r="AJ195" i="3"/>
  <c r="AM195" i="3" s="1"/>
  <c r="AJ377" i="3"/>
  <c r="AM377" i="3" s="1"/>
  <c r="AJ506" i="3"/>
  <c r="AM506" i="3" s="1"/>
  <c r="AJ211" i="3"/>
  <c r="AM211" i="3" s="1"/>
  <c r="AJ522" i="3"/>
  <c r="AM522" i="3" s="1"/>
  <c r="AJ227" i="3"/>
  <c r="AM227" i="3" s="1"/>
  <c r="AJ538" i="3"/>
  <c r="AM538" i="3" s="1"/>
  <c r="AJ243" i="3"/>
  <c r="AM243" i="3" s="1"/>
  <c r="AJ554" i="3"/>
  <c r="AM554" i="3" s="1"/>
  <c r="AJ259" i="3"/>
  <c r="AM259" i="3" s="1"/>
  <c r="AJ570" i="3"/>
  <c r="AM570" i="3" s="1"/>
  <c r="AJ275" i="3"/>
  <c r="AM275" i="3" s="1"/>
  <c r="AJ586" i="3"/>
  <c r="AM586" i="3" s="1"/>
  <c r="AJ291" i="3"/>
  <c r="AM291" i="3" s="1"/>
  <c r="AJ602" i="3"/>
  <c r="AM602" i="3" s="1"/>
  <c r="AJ307" i="3"/>
  <c r="AM307" i="3" s="1"/>
  <c r="AJ618" i="3"/>
  <c r="AM618" i="3" s="1"/>
  <c r="AJ323" i="3"/>
  <c r="AM323" i="3" s="1"/>
  <c r="AJ634" i="3"/>
  <c r="AM634" i="3" s="1"/>
  <c r="AJ339" i="3"/>
  <c r="AM339" i="3" s="1"/>
  <c r="AJ650" i="3"/>
  <c r="AM650" i="3" s="1"/>
  <c r="AJ355" i="3"/>
  <c r="AM355" i="3" s="1"/>
  <c r="AJ393" i="3"/>
  <c r="AM393" i="3" s="1"/>
  <c r="AJ98" i="3"/>
  <c r="AM98" i="3" s="1"/>
  <c r="AJ453" i="3"/>
  <c r="AM453" i="3" s="1"/>
  <c r="AJ158" i="3"/>
  <c r="AM158" i="3" s="1"/>
  <c r="AJ505" i="3"/>
  <c r="AM505" i="3" s="1"/>
  <c r="AJ210" i="3"/>
  <c r="AM210" i="3" s="1"/>
  <c r="AJ553" i="3"/>
  <c r="AM553" i="3" s="1"/>
  <c r="AJ258" i="3"/>
  <c r="AM258" i="3" s="1"/>
  <c r="AJ601" i="3"/>
  <c r="AM601" i="3" s="1"/>
  <c r="AJ306" i="3"/>
  <c r="AM306" i="3" s="1"/>
  <c r="AJ657" i="3"/>
  <c r="AM657" i="3" s="1"/>
  <c r="AJ362" i="3"/>
  <c r="AM362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189" i="3"/>
  <c r="AM189" i="3" s="1"/>
  <c r="AJ371" i="3"/>
  <c r="AM371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326" i="3"/>
  <c r="AM326" i="3" s="1"/>
  <c r="AJ193" i="3"/>
  <c r="AM193" i="3" s="1"/>
  <c r="AJ209" i="3"/>
  <c r="AM209" i="3" s="1"/>
  <c r="AJ225" i="3"/>
  <c r="AM225" i="3" s="1"/>
  <c r="AJ241" i="3"/>
  <c r="AM241" i="3" s="1"/>
  <c r="AJ257" i="3"/>
  <c r="AM257" i="3" s="1"/>
  <c r="AJ273" i="3"/>
  <c r="AM273" i="3" s="1"/>
  <c r="AJ289" i="3"/>
  <c r="AM289" i="3" s="1"/>
  <c r="AJ305" i="3"/>
  <c r="AM305" i="3" s="1"/>
  <c r="AJ321" i="3"/>
  <c r="AM321" i="3" s="1"/>
  <c r="AJ337" i="3"/>
  <c r="AM337" i="3" s="1"/>
  <c r="AJ353" i="3"/>
  <c r="AM353" i="3" s="1"/>
  <c r="AJ97" i="3"/>
  <c r="AM97" i="3" s="1"/>
  <c r="AJ113" i="3"/>
  <c r="AM113" i="3" s="1"/>
  <c r="AJ129" i="3"/>
  <c r="AM129" i="3" s="1"/>
  <c r="AJ145" i="3"/>
  <c r="AM145" i="3" s="1"/>
  <c r="AJ161" i="3"/>
  <c r="AM161" i="3" s="1"/>
  <c r="AJ177" i="3"/>
  <c r="AM177" i="3" s="1"/>
  <c r="AJ329" i="3"/>
  <c r="AM329" i="3" s="1"/>
  <c r="AJ345" i="3"/>
  <c r="AM345" i="3" s="1"/>
  <c r="AJ361" i="3"/>
  <c r="AM361" i="3" s="1"/>
  <c r="M3" i="5"/>
  <c r="M2" i="5"/>
  <c r="M1" i="5"/>
</calcChain>
</file>

<file path=xl/sharedStrings.xml><?xml version="1.0" encoding="utf-8"?>
<sst xmlns="http://schemas.openxmlformats.org/spreadsheetml/2006/main" count="1488" uniqueCount="113">
  <si>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</si>
  <si>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</si>
  <si>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</si>
  <si>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</si>
  <si>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</si>
  <si>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</si>
  <si>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</si>
  <si>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</si>
  <si>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</si>
  <si>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</si>
  <si>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</si>
  <si>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</si>
  <si>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</si>
  <si>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</si>
  <si>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</si>
  <si>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</si>
  <si>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</si>
  <si>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</si>
  <si>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</si>
  <si>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</si>
  <si>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</si>
  <si>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</si>
  <si>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</si>
  <si>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</si>
  <si>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</si>
  <si>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</si>
  <si>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</si>
  <si>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</si>
  <si>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</si>
  <si>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</si>
  <si>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</si>
  <si>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</si>
  <si>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</si>
  <si>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</si>
  <si>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</si>
  <si>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</si>
  <si>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</si>
  <si>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</si>
  <si>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</si>
  <si>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</si>
  <si>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</si>
  <si>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</si>
  <si>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</si>
  <si>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</si>
  <si>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</si>
  <si>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</si>
  <si>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</si>
  <si>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</si>
  <si>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</si>
  <si>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</si>
  <si>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</si>
  <si>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</si>
  <si>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</si>
  <si>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</si>
  <si>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</si>
  <si>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</si>
  <si>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</si>
  <si>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</si>
  <si>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</si>
  <si>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</si>
  <si>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</si>
  <si>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</si>
  <si>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</si>
  <si>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</si>
  <si>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</si>
  <si>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</si>
  <si>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</si>
  <si>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</si>
  <si>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</si>
  <si>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</si>
  <si>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</si>
  <si>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</si>
  <si>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</si>
  <si>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</si>
  <si>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</si>
  <si>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</si>
  <si>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</si>
  <si>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</si>
  <si>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</si>
  <si>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</si>
  <si>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</si>
  <si>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</si>
  <si>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</si>
  <si>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</si>
  <si>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</si>
  <si>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</si>
  <si>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4.1</t>
  </si>
  <si>
    <t>Unknown</t>
  </si>
  <si>
    <t>Initial release..</t>
  </si>
  <si>
    <t>101519</t>
  </si>
  <si>
    <t>.25 Mi. E. of Route 76 &amp; Rines Ridge Rd. Approx 400' So. of Rines Ridge</t>
  </si>
  <si>
    <t>Proctor, Wv.</t>
  </si>
  <si>
    <t>8" Windsor</t>
  </si>
  <si>
    <t>Dave Hanes</t>
  </si>
  <si>
    <t>Rodger Radcliff</t>
  </si>
  <si>
    <t>WV-2</t>
  </si>
  <si>
    <t>144</t>
  </si>
  <si>
    <t>North to Moundsville (SEP # 35303)</t>
  </si>
  <si>
    <t>Corning</t>
  </si>
  <si>
    <t>South to New Martinsville (SEP # 35304)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</si>
  <si>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</si>
  <si>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</si>
  <si>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</si>
  <si>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</si>
  <si>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</si>
  <si>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</si>
  <si>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</si>
  <si>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</si>
  <si>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</si>
  <si>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</si>
  <si>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</si>
  <si>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</si>
  <si>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ISO-160689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</si>
</sst>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3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54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184150</xdr:rowOff>
        </xdr:from>
        <xdr:to>
          <xdr:col>5</xdr:col>
          <xdr:colOff>19050</xdr:colOff>
          <xdr:row>37</xdr:row>
          <xdr:rowOff>88900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5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184150</xdr:colOff>
          <xdr:row>0</xdr:row>
          <xdr:rowOff>127000</xdr:rowOff>
        </xdr:from>
        <xdr:to>
          <xdr:col>27</xdr:col>
          <xdr:colOff>558800</xdr:colOff>
          <xdr:row>3</xdr:row>
          <xdr:rowOff>146050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25400</xdr:colOff>
          <xdr:row>2</xdr:row>
          <xdr:rowOff>127000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146050</xdr:rowOff>
        </xdr:from>
        <xdr:to>
          <xdr:col>5</xdr:col>
          <xdr:colOff>25400</xdr:colOff>
          <xdr:row>4</xdr:row>
          <xdr:rowOff>139700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4</xdr:row>
          <xdr:rowOff>165100</xdr:rowOff>
        </xdr:from>
        <xdr:to>
          <xdr:col>5</xdr:col>
          <xdr:colOff>19050</xdr:colOff>
          <xdr:row>5</xdr:row>
          <xdr:rowOff>241300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70" zoomScaleNormal="70" workbookViewId="0">
      <selection activeCell="I23" sqref="I23"/>
    </sheetView>
  </sheetViews>
  <sheetFormatPr defaultRowHeight="12.5" x14ac:dyDescent="0.25"/>
  <cols>
    <col min="1" max="1" width="2.7265625" customWidth="1"/>
    <col min="2" max="2" width="22.7265625" customWidth="1"/>
    <col min="3" max="4" width="24.26953125" customWidth="1"/>
    <col min="5" max="5" width="22.7265625" customWidth="1"/>
    <col min="6" max="6" width="2.7265625" customWidth="1"/>
    <col min="7" max="7" width="4.1796875" style="1" customWidth="1"/>
    <col min="8" max="8" width="6.453125" customWidth="1"/>
    <col min="9" max="9" width="8.26953125" customWidth="1"/>
    <col min="10" max="10" width="20" customWidth="1"/>
    <col min="11" max="11" width="10.1796875" customWidth="1"/>
    <col min="12" max="12" width="15.7265625" bestFit="1" customWidth="1"/>
    <col min="13" max="13" width="33.81640625" customWidth="1"/>
    <col min="14" max="14" width="31" style="14" customWidth="1"/>
    <col min="15" max="15" width="9.1796875" style="10" customWidth="1"/>
    <col min="16" max="16" width="11.1796875" style="10" customWidth="1"/>
    <col min="17" max="44" width="9.1796875" style="10" customWidth="1"/>
    <col min="45" max="45" width="9.1796875" style="11" customWidth="1"/>
    <col min="46" max="46" width="9.1796875" style="12" customWidth="1"/>
    <col min="47" max="49" width="9.1796875" style="13" customWidth="1"/>
    <col min="50" max="95" width="9.17968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8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ht="13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ht="13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5" x14ac:dyDescent="0.35">
      <c r="A5" s="21"/>
      <c r="B5" s="22"/>
      <c r="C5" s="22"/>
      <c r="D5" s="24"/>
      <c r="E5" s="24"/>
      <c r="F5" s="23"/>
      <c r="G5" s="25"/>
      <c r="H5" s="272" t="s">
        <v>53</v>
      </c>
      <c r="I5" s="272"/>
      <c r="J5" s="272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ht="13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65">
      <c r="A8" s="295" t="s">
        <v>72</v>
      </c>
      <c r="B8" s="296"/>
      <c r="C8" s="296"/>
      <c r="D8" s="296"/>
      <c r="E8" s="296"/>
      <c r="F8" s="297"/>
      <c r="G8" s="25"/>
      <c r="H8" s="94"/>
      <c r="I8" s="95" t="s">
        <v>7</v>
      </c>
      <c r="J8" s="242" t="s">
        <v>89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5" thickBot="1" x14ac:dyDescent="0.35">
      <c r="A10" s="21"/>
      <c r="B10" s="22"/>
      <c r="C10" s="22"/>
      <c r="D10" s="22"/>
      <c r="E10" s="22"/>
      <c r="F10" s="32"/>
      <c r="G10" s="25"/>
      <c r="H10" s="273" t="s">
        <v>8</v>
      </c>
      <c r="I10" s="274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ht="13" x14ac:dyDescent="0.3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3">
      <c r="A13" s="21"/>
      <c r="B13" s="206"/>
      <c r="C13" s="207"/>
      <c r="D13" s="78"/>
      <c r="E13" s="205"/>
      <c r="F13" s="23"/>
      <c r="G13" s="25"/>
      <c r="H13" s="298"/>
      <c r="I13" s="298"/>
      <c r="J13" s="298"/>
      <c r="K13" s="298"/>
      <c r="L13" s="298"/>
      <c r="M13" s="298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3">
      <c r="A14" s="21"/>
      <c r="B14" s="206"/>
      <c r="C14" s="207"/>
      <c r="D14" s="78"/>
      <c r="E14" s="205"/>
      <c r="F14" s="23"/>
      <c r="G14" s="25"/>
      <c r="H14" s="298"/>
      <c r="I14" s="298"/>
      <c r="J14" s="298"/>
      <c r="K14" s="298"/>
      <c r="L14" s="298"/>
      <c r="M14" s="298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3">
      <c r="A15" s="21"/>
      <c r="B15" s="206"/>
      <c r="C15" s="207"/>
      <c r="D15" s="78"/>
      <c r="E15" s="205"/>
      <c r="F15" s="23"/>
      <c r="G15" s="55"/>
      <c r="H15" s="313" t="s">
        <v>81</v>
      </c>
      <c r="I15" s="313"/>
      <c r="J15" s="313"/>
      <c r="K15" s="313"/>
      <c r="L15" s="313"/>
      <c r="M15" s="313"/>
      <c r="N15" s="313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3">
      <c r="A16" s="21"/>
      <c r="B16" s="206"/>
      <c r="C16" s="207"/>
      <c r="D16" s="78"/>
      <c r="E16" s="205"/>
      <c r="F16" s="23"/>
      <c r="G16" s="55"/>
      <c r="H16" s="313"/>
      <c r="I16" s="313"/>
      <c r="J16" s="313"/>
      <c r="K16" s="313"/>
      <c r="L16" s="313"/>
      <c r="M16" s="313"/>
      <c r="N16" s="313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3">
      <c r="A17" s="21"/>
      <c r="B17" s="206"/>
      <c r="C17" s="207"/>
      <c r="D17" s="78"/>
      <c r="E17" s="205"/>
      <c r="F17" s="23"/>
      <c r="G17" s="55"/>
      <c r="H17" s="313"/>
      <c r="I17" s="313"/>
      <c r="J17" s="313"/>
      <c r="K17" s="313"/>
      <c r="L17" s="313"/>
      <c r="M17" s="313"/>
      <c r="N17" s="313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3">
      <c r="A18" s="21"/>
      <c r="B18" s="206"/>
      <c r="C18" s="207"/>
      <c r="D18" s="78"/>
      <c r="E18" s="205"/>
      <c r="F18" s="23"/>
      <c r="G18" s="55"/>
      <c r="H18" s="313"/>
      <c r="I18" s="313"/>
      <c r="J18" s="313"/>
      <c r="K18" s="313"/>
      <c r="L18" s="313"/>
      <c r="M18" s="313"/>
      <c r="N18" s="313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3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3">
      <c r="A20" s="21"/>
      <c r="B20" s="206"/>
      <c r="C20" s="207"/>
      <c r="D20" s="78"/>
      <c r="E20" s="205"/>
      <c r="F20" s="23"/>
      <c r="G20" s="55"/>
      <c r="H20" s="237"/>
      <c r="I20" s="237"/>
      <c r="J20" s="314" t="s">
        <v>85</v>
      </c>
      <c r="K20" s="314"/>
      <c r="L20" s="314"/>
      <c r="M20" s="314"/>
      <c r="N20" s="314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3">
      <c r="A21" s="21"/>
      <c r="B21" s="206"/>
      <c r="C21" s="207"/>
      <c r="D21" s="78"/>
      <c r="E21" s="205"/>
      <c r="F21" s="23"/>
      <c r="G21" s="55"/>
      <c r="H21" s="237"/>
      <c r="I21" s="237"/>
      <c r="J21" s="314"/>
      <c r="K21" s="314"/>
      <c r="L21" s="314"/>
      <c r="M21" s="314"/>
      <c r="N21" s="314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3">
      <c r="A22" s="21"/>
      <c r="B22" s="206"/>
      <c r="C22" s="207"/>
      <c r="D22" s="78"/>
      <c r="E22" s="205"/>
      <c r="F22" s="23"/>
      <c r="G22" s="55"/>
      <c r="H22" s="237"/>
      <c r="I22" s="237"/>
      <c r="J22" s="314"/>
      <c r="K22" s="314"/>
      <c r="L22" s="314"/>
      <c r="M22" s="314"/>
      <c r="N22" s="314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3">
      <c r="A23" s="21"/>
      <c r="B23" s="206"/>
      <c r="C23" s="207"/>
      <c r="D23" s="78"/>
      <c r="E23" s="205"/>
      <c r="F23" s="23"/>
      <c r="G23" s="55"/>
      <c r="H23" s="237"/>
      <c r="I23" s="237"/>
      <c r="J23" s="314"/>
      <c r="K23" s="314"/>
      <c r="L23" s="314"/>
      <c r="M23" s="314"/>
      <c r="N23" s="314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3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ht="13" x14ac:dyDescent="0.3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ht="13" x14ac:dyDescent="0.3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ht="13" x14ac:dyDescent="0.3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.5" x14ac:dyDescent="0.3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ht="13" x14ac:dyDescent="0.3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ht="13" x14ac:dyDescent="0.3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ht="13" x14ac:dyDescent="0.3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ht="13" x14ac:dyDescent="0.3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ht="13" x14ac:dyDescent="0.3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ht="13" x14ac:dyDescent="0.3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ht="13" x14ac:dyDescent="0.3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ht="13" x14ac:dyDescent="0.3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ht="13" x14ac:dyDescent="0.3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3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5" t="s">
        <v>87</v>
      </c>
      <c r="C41" s="315" t="s">
        <v>87</v>
      </c>
      <c r="D41" s="315" t="s">
        <v>90</v>
      </c>
      <c r="E41" s="315" t="s">
        <v>91</v>
      </c>
      <c r="F41" s="23"/>
      <c r="G41" s="25"/>
      <c r="H41" s="318"/>
      <c r="I41" s="318"/>
      <c r="J41" s="318"/>
      <c r="K41" s="318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" thickBot="1" x14ac:dyDescent="0.3">
      <c r="A42" s="21"/>
      <c r="B42" s="316"/>
      <c r="C42" s="316"/>
      <c r="D42" s="316"/>
      <c r="E42" s="317"/>
      <c r="F42" s="23"/>
      <c r="G42" s="25"/>
      <c r="H42" s="318"/>
      <c r="I42" s="318"/>
      <c r="J42" s="318"/>
      <c r="K42" s="318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" thickTop="1" thickBot="1" x14ac:dyDescent="0.35">
      <c r="A43" s="21"/>
      <c r="B43" s="197"/>
      <c r="C43" s="198"/>
      <c r="D43" s="281"/>
      <c r="E43" s="281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3">
      <c r="A44" s="39">
        <f>LEN(B44)</f>
        <v>21</v>
      </c>
      <c r="B44" s="37" t="s">
        <v>0</v>
      </c>
      <c r="C44" s="38"/>
      <c r="D44" s="279" t="s">
        <v>74</v>
      </c>
      <c r="E44" s="280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ht="13" x14ac:dyDescent="0.3">
      <c r="A45" s="21"/>
      <c r="B45" s="305" t="s">
        <v>92</v>
      </c>
      <c r="C45" s="306"/>
      <c r="D45" s="309"/>
      <c r="E45" s="310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35">
      <c r="A46" s="21"/>
      <c r="B46" s="307"/>
      <c r="C46" s="308"/>
      <c r="D46" s="311"/>
      <c r="E46" s="312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" thickTop="1" x14ac:dyDescent="0.25">
      <c r="A47" s="21"/>
      <c r="B47" s="282"/>
      <c r="C47" s="283"/>
      <c r="D47" s="285"/>
      <c r="E47" s="286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" thickBot="1" x14ac:dyDescent="0.3">
      <c r="A48" s="21"/>
      <c r="B48" s="284"/>
      <c r="C48" s="284"/>
      <c r="D48" s="287"/>
      <c r="E48" s="287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8" t="s">
        <v>93</v>
      </c>
      <c r="C50" s="290">
        <v>42676</v>
      </c>
      <c r="D50" s="292" t="s">
        <v>94</v>
      </c>
      <c r="E50" s="293" t="s">
        <v>10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" thickBot="1" x14ac:dyDescent="0.3">
      <c r="A51" s="21"/>
      <c r="B51" s="289"/>
      <c r="C51" s="291"/>
      <c r="D51" s="289"/>
      <c r="E51" s="294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3">
      <c r="A52" s="21"/>
      <c r="B52" s="279" t="s">
        <v>66</v>
      </c>
      <c r="C52" s="280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299" t="s">
        <v>88</v>
      </c>
      <c r="C53" s="300"/>
      <c r="D53" s="275" t="str">
        <f>J8</f>
        <v>101519</v>
      </c>
      <c r="E53" s="276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1"/>
      <c r="C54" s="302"/>
      <c r="D54" s="275"/>
      <c r="E54" s="276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1"/>
      <c r="C55" s="302"/>
      <c r="D55" s="275"/>
      <c r="E55" s="276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1"/>
      <c r="C56" s="302"/>
      <c r="D56" s="275"/>
      <c r="E56" s="276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3"/>
      <c r="C57" s="304"/>
      <c r="D57" s="277"/>
      <c r="E57" s="278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53" priority="2">
      <formula>B$41="?"</formula>
    </cfRule>
  </conditionalFormatting>
  <conditionalFormatting sqref="B45:D46">
    <cfRule type="expression" dxfId="52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184150</xdr:rowOff>
              </from>
              <to>
                <xdr:col>5</xdr:col>
                <xdr:colOff>19050</xdr:colOff>
                <xdr:row>37</xdr:row>
                <xdr:rowOff>88900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B1" zoomScale="85" zoomScaleNormal="85" zoomScaleSheetLayoutView="85" workbookViewId="0">
      <selection activeCell="F21" sqref="F21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50" customWidth="1"/>
    <col min="9" max="9" width="14.81640625" style="150" hidden="1" customWidth="1"/>
    <col min="10" max="25" width="9.1796875" style="150" hidden="1" customWidth="1"/>
    <col min="26" max="26" width="0" style="150" hidden="1" customWidth="1"/>
    <col min="27" max="147" width="9.1796875" style="150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33" t="s">
        <v>8</v>
      </c>
      <c r="F2" s="334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str">
        <f>IF(L2="","",IF(L2&lt;=$E$15,VLOOKUP($E$14,$I$1:$J$4,2,FALSE),VLOOKUP($F$14,$I$1:$J$4,2,FALSE)))</f>
        <v>LF</v>
      </c>
      <c r="N2" s="150">
        <f>IF($B$20&gt;=K2,K2,"")</f>
        <v>1</v>
      </c>
      <c r="O2" s="150" t="str">
        <f>IF(N2="","",IF(N2&lt;=$E$22,VLOOKUP($E$21,$I$1:$J$4,2,FALSE),VLOOKUP($F$21,$I$1:$J$4,2,FALSE)))</f>
        <v>LF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5" t="str">
        <f>'Cover - Location Info'!J8</f>
        <v>101519</v>
      </c>
      <c r="C3" s="22"/>
      <c r="D3" s="22"/>
      <c r="E3" s="338" t="str">
        <f>'Cover - Location Info'!J10</f>
        <v>1.0</v>
      </c>
      <c r="F3" s="339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str">
        <f t="shared" ref="M3:M66" si="1">IF(L3="","",IF(L3&lt;=$E$15,VLOOKUP($E$14,$I$1:$J$4,2,FALSE),VLOOKUP($F$14,$I$1:$J$4,2,FALSE)))</f>
        <v>LF</v>
      </c>
      <c r="N3" s="150">
        <f t="shared" ref="N3:N66" si="2">IF($B$20&gt;=K3,K3,"")</f>
        <v>2</v>
      </c>
      <c r="O3" s="150" t="str">
        <f t="shared" ref="O3:O66" si="3">IF(N3="","",IF(N3&lt;=$E$22,VLOOKUP($E$21,$I$1:$J$4,2,FALSE),VLOOKUP($F$21,$I$1:$J$4,2,FALSE)))</f>
        <v>LF</v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36"/>
      <c r="C4" s="22"/>
      <c r="D4" s="22"/>
      <c r="E4" s="340"/>
      <c r="F4" s="341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str">
        <f t="shared" si="1"/>
        <v>LF</v>
      </c>
      <c r="N4" s="150">
        <f t="shared" si="2"/>
        <v>3</v>
      </c>
      <c r="O4" s="150" t="str">
        <f t="shared" si="3"/>
        <v>LF</v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str">
        <f t="shared" si="1"/>
        <v>LF</v>
      </c>
      <c r="N5" s="150">
        <f t="shared" si="2"/>
        <v>4</v>
      </c>
      <c r="O5" s="150" t="str">
        <f t="shared" si="3"/>
        <v>LF</v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" x14ac:dyDescent="0.5">
      <c r="A6" s="67"/>
      <c r="B6" s="337" t="s">
        <v>1</v>
      </c>
      <c r="C6" s="337"/>
      <c r="D6" s="337"/>
      <c r="E6" s="337"/>
      <c r="F6" s="337"/>
      <c r="G6" s="68"/>
      <c r="K6" s="150">
        <v>5</v>
      </c>
      <c r="L6" s="150">
        <f t="shared" si="0"/>
        <v>5</v>
      </c>
      <c r="M6" s="150" t="str">
        <f t="shared" si="1"/>
        <v>LF</v>
      </c>
      <c r="N6" s="150">
        <f t="shared" si="2"/>
        <v>5</v>
      </c>
      <c r="O6" s="150" t="str">
        <f t="shared" si="3"/>
        <v>LF</v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str">
        <f t="shared" si="1"/>
        <v>LF</v>
      </c>
      <c r="N7" s="150">
        <f t="shared" si="2"/>
        <v>6</v>
      </c>
      <c r="O7" s="150" t="str">
        <f t="shared" si="3"/>
        <v>LF</v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str">
        <f t="shared" si="1"/>
        <v>LF</v>
      </c>
      <c r="N8" s="150">
        <f t="shared" si="2"/>
        <v>7</v>
      </c>
      <c r="O8" s="150" t="str">
        <f t="shared" si="3"/>
        <v>LF</v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str">
        <f t="shared" si="1"/>
        <v>LF</v>
      </c>
      <c r="N9" s="150">
        <f t="shared" si="2"/>
        <v>8</v>
      </c>
      <c r="O9" s="150" t="str">
        <f t="shared" si="3"/>
        <v>LF</v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9" t="s">
        <v>19</v>
      </c>
      <c r="E10" s="320"/>
      <c r="F10" s="321"/>
      <c r="G10" s="68"/>
      <c r="K10" s="150">
        <v>9</v>
      </c>
      <c r="L10" s="150">
        <f t="shared" si="0"/>
        <v>9</v>
      </c>
      <c r="M10" s="150" t="str">
        <f t="shared" si="1"/>
        <v>LF</v>
      </c>
      <c r="N10" s="150">
        <f t="shared" si="2"/>
        <v>9</v>
      </c>
      <c r="O10" s="150" t="str">
        <f t="shared" si="3"/>
        <v>LF</v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69" t="s">
        <v>95</v>
      </c>
      <c r="D11" s="322" t="s">
        <v>97</v>
      </c>
      <c r="E11" s="323"/>
      <c r="F11" s="324"/>
      <c r="G11" s="68"/>
      <c r="K11" s="150">
        <v>10</v>
      </c>
      <c r="L11" s="150">
        <f t="shared" si="0"/>
        <v>10</v>
      </c>
      <c r="M11" s="150" t="str">
        <f t="shared" si="1"/>
        <v>LF</v>
      </c>
      <c r="N11" s="150">
        <f t="shared" si="2"/>
        <v>10</v>
      </c>
      <c r="O11" s="150" t="str">
        <f t="shared" si="3"/>
        <v>LF</v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25" t="s">
        <v>27</v>
      </c>
      <c r="F12" s="326"/>
      <c r="G12" s="68"/>
      <c r="K12" s="150">
        <v>11</v>
      </c>
      <c r="L12" s="150">
        <f t="shared" si="0"/>
        <v>11</v>
      </c>
      <c r="M12" s="150" t="str">
        <f t="shared" si="1"/>
        <v>LF</v>
      </c>
      <c r="N12" s="150">
        <f t="shared" si="2"/>
        <v>11</v>
      </c>
      <c r="O12" s="150" t="str">
        <f t="shared" si="3"/>
        <v>LF</v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7" t="s">
        <v>96</v>
      </c>
      <c r="C13" s="330" t="s">
        <v>98</v>
      </c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str">
        <f t="shared" si="1"/>
        <v>LF</v>
      </c>
      <c r="N13" s="150">
        <f t="shared" si="2"/>
        <v>12</v>
      </c>
      <c r="O13" s="150" t="str">
        <f t="shared" si="3"/>
        <v>LF</v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8"/>
      <c r="C14" s="331"/>
      <c r="D14" s="74" t="s">
        <v>46</v>
      </c>
      <c r="E14" s="90" t="s">
        <v>32</v>
      </c>
      <c r="F14" s="91" t="s">
        <v>40</v>
      </c>
      <c r="G14" s="68"/>
      <c r="K14" s="150">
        <v>13</v>
      </c>
      <c r="L14" s="150">
        <f t="shared" si="0"/>
        <v>13</v>
      </c>
      <c r="M14" s="150" t="str">
        <f t="shared" si="1"/>
        <v>LF</v>
      </c>
      <c r="N14" s="150">
        <f t="shared" si="2"/>
        <v>13</v>
      </c>
      <c r="O14" s="150" t="str">
        <f t="shared" si="3"/>
        <v>LF</v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9"/>
      <c r="C15" s="332"/>
      <c r="D15" s="88" t="s">
        <v>48</v>
      </c>
      <c r="E15" s="89">
        <v>24</v>
      </c>
      <c r="F15" s="77">
        <f>IF(B13="","",IF(E15="","",IF(F14="None","",B13-E15)))</f>
        <v>120</v>
      </c>
      <c r="G15" s="68"/>
      <c r="K15" s="150">
        <v>14</v>
      </c>
      <c r="L15" s="150">
        <f t="shared" si="0"/>
        <v>14</v>
      </c>
      <c r="M15" s="150" t="str">
        <f t="shared" si="1"/>
        <v>LF</v>
      </c>
      <c r="N15" s="150">
        <f t="shared" si="2"/>
        <v>14</v>
      </c>
      <c r="O15" s="150" t="str">
        <f t="shared" si="3"/>
        <v>LF</v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str">
        <f t="shared" si="1"/>
        <v>LF</v>
      </c>
      <c r="N16" s="150">
        <f t="shared" si="2"/>
        <v>15</v>
      </c>
      <c r="O16" s="150" t="str">
        <f t="shared" si="3"/>
        <v>LF</v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19" t="s">
        <v>19</v>
      </c>
      <c r="E17" s="320"/>
      <c r="F17" s="321"/>
      <c r="G17" s="68"/>
      <c r="K17" s="150">
        <v>16</v>
      </c>
      <c r="L17" s="150">
        <f t="shared" si="0"/>
        <v>16</v>
      </c>
      <c r="M17" s="150" t="str">
        <f t="shared" si="1"/>
        <v>LF</v>
      </c>
      <c r="N17" s="150">
        <f t="shared" si="2"/>
        <v>16</v>
      </c>
      <c r="O17" s="150" t="str">
        <f t="shared" si="3"/>
        <v>LF</v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69" t="s">
        <v>95</v>
      </c>
      <c r="D18" s="322" t="s">
        <v>99</v>
      </c>
      <c r="E18" s="323"/>
      <c r="F18" s="324"/>
      <c r="G18" s="68"/>
      <c r="K18" s="150">
        <v>17</v>
      </c>
      <c r="L18" s="150">
        <f t="shared" si="0"/>
        <v>17</v>
      </c>
      <c r="M18" s="150" t="str">
        <f t="shared" si="1"/>
        <v>LF</v>
      </c>
      <c r="N18" s="150">
        <f t="shared" si="2"/>
        <v>17</v>
      </c>
      <c r="O18" s="150" t="str">
        <f t="shared" si="3"/>
        <v>LF</v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25" t="s">
        <v>27</v>
      </c>
      <c r="F19" s="326"/>
      <c r="G19" s="68"/>
      <c r="K19" s="150">
        <v>18</v>
      </c>
      <c r="L19" s="150">
        <f t="shared" si="0"/>
        <v>18</v>
      </c>
      <c r="M19" s="150" t="str">
        <f t="shared" si="1"/>
        <v>LF</v>
      </c>
      <c r="N19" s="150">
        <f t="shared" si="2"/>
        <v>18</v>
      </c>
      <c r="O19" s="150" t="str">
        <f t="shared" si="3"/>
        <v>LF</v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7" t="s">
        <v>96</v>
      </c>
      <c r="C20" s="330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str">
        <f t="shared" si="1"/>
        <v>LF</v>
      </c>
      <c r="N20" s="150">
        <f t="shared" si="2"/>
        <v>19</v>
      </c>
      <c r="O20" s="150" t="str">
        <f t="shared" si="3"/>
        <v>LF</v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8"/>
      <c r="C21" s="331"/>
      <c r="D21" s="74" t="s">
        <v>46</v>
      </c>
      <c r="E21" s="90" t="s">
        <v>32</v>
      </c>
      <c r="F21" s="91" t="s">
        <v>40</v>
      </c>
      <c r="G21" s="68"/>
      <c r="K21" s="150">
        <v>20</v>
      </c>
      <c r="L21" s="150">
        <f t="shared" si="0"/>
        <v>20</v>
      </c>
      <c r="M21" s="150" t="str">
        <f t="shared" si="1"/>
        <v>LF</v>
      </c>
      <c r="N21" s="150">
        <f t="shared" si="2"/>
        <v>20</v>
      </c>
      <c r="O21" s="150" t="str">
        <f t="shared" si="3"/>
        <v>LF</v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9"/>
      <c r="C22" s="332"/>
      <c r="D22" s="92" t="s">
        <v>49</v>
      </c>
      <c r="E22" s="89">
        <v>24</v>
      </c>
      <c r="F22" s="77">
        <f>IF(B20="","",IF(E22="","",IF(F21="None","",B20-E22)))</f>
        <v>120</v>
      </c>
      <c r="G22" s="68"/>
      <c r="K22" s="150">
        <v>21</v>
      </c>
      <c r="L22" s="150">
        <f t="shared" si="0"/>
        <v>21</v>
      </c>
      <c r="M22" s="150" t="str">
        <f t="shared" si="1"/>
        <v>LF</v>
      </c>
      <c r="N22" s="150">
        <f t="shared" si="2"/>
        <v>21</v>
      </c>
      <c r="O22" s="150" t="str">
        <f t="shared" si="3"/>
        <v>LF</v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str">
        <f t="shared" si="1"/>
        <v>LF</v>
      </c>
      <c r="N23" s="150">
        <f t="shared" si="2"/>
        <v>22</v>
      </c>
      <c r="O23" s="150" t="str">
        <f t="shared" si="3"/>
        <v>LF</v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9" t="s">
        <v>19</v>
      </c>
      <c r="E24" s="320"/>
      <c r="F24" s="321"/>
      <c r="G24" s="68"/>
      <c r="K24" s="150">
        <v>23</v>
      </c>
      <c r="L24" s="150">
        <f t="shared" si="0"/>
        <v>23</v>
      </c>
      <c r="M24" s="150" t="str">
        <f t="shared" si="1"/>
        <v>LF</v>
      </c>
      <c r="N24" s="150">
        <f t="shared" si="2"/>
        <v>23</v>
      </c>
      <c r="O24" s="150" t="str">
        <f t="shared" si="3"/>
        <v>LF</v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69"/>
      <c r="D25" s="322"/>
      <c r="E25" s="323"/>
      <c r="F25" s="324"/>
      <c r="G25" s="68"/>
      <c r="K25" s="150">
        <v>24</v>
      </c>
      <c r="L25" s="150">
        <f t="shared" si="0"/>
        <v>24</v>
      </c>
      <c r="M25" s="150" t="str">
        <f t="shared" si="1"/>
        <v>LF</v>
      </c>
      <c r="N25" s="150">
        <f t="shared" si="2"/>
        <v>24</v>
      </c>
      <c r="O25" s="150" t="str">
        <f t="shared" si="3"/>
        <v>LF</v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25" t="s">
        <v>27</v>
      </c>
      <c r="F26" s="326"/>
      <c r="G26" s="68"/>
      <c r="K26" s="150">
        <v>25</v>
      </c>
      <c r="L26" s="150">
        <f t="shared" si="0"/>
        <v>25</v>
      </c>
      <c r="M26" s="150" t="str">
        <f t="shared" si="1"/>
        <v>AW</v>
      </c>
      <c r="N26" s="150">
        <f t="shared" si="2"/>
        <v>25</v>
      </c>
      <c r="O26" s="150" t="str">
        <f t="shared" si="3"/>
        <v>AW</v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7"/>
      <c r="C27" s="330" t="s">
        <v>87</v>
      </c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str">
        <f t="shared" si="1"/>
        <v>AW</v>
      </c>
      <c r="N27" s="150">
        <f t="shared" si="2"/>
        <v>26</v>
      </c>
      <c r="O27" s="150" t="str">
        <f t="shared" si="3"/>
        <v>AW</v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8"/>
      <c r="C28" s="331"/>
      <c r="D28" s="74" t="s">
        <v>46</v>
      </c>
      <c r="E28" s="90" t="s">
        <v>40</v>
      </c>
      <c r="F28" s="91"/>
      <c r="G28" s="68"/>
      <c r="K28" s="150">
        <v>27</v>
      </c>
      <c r="L28" s="150">
        <f t="shared" si="0"/>
        <v>27</v>
      </c>
      <c r="M28" s="150" t="str">
        <f t="shared" si="1"/>
        <v>AW</v>
      </c>
      <c r="N28" s="150">
        <f t="shared" si="2"/>
        <v>27</v>
      </c>
      <c r="O28" s="150" t="str">
        <f t="shared" si="3"/>
        <v>AW</v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9"/>
      <c r="C29" s="33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str">
        <f t="shared" si="1"/>
        <v>AW</v>
      </c>
      <c r="N29" s="150">
        <f t="shared" si="2"/>
        <v>28</v>
      </c>
      <c r="O29" s="150" t="str">
        <f t="shared" si="3"/>
        <v>AW</v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str">
        <f t="shared" si="1"/>
        <v>AW</v>
      </c>
      <c r="N30" s="150">
        <f t="shared" si="2"/>
        <v>29</v>
      </c>
      <c r="O30" s="150" t="str">
        <f t="shared" si="3"/>
        <v>AW</v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19" t="s">
        <v>19</v>
      </c>
      <c r="E31" s="320"/>
      <c r="F31" s="321"/>
      <c r="G31" s="68"/>
      <c r="K31" s="150">
        <v>30</v>
      </c>
      <c r="L31" s="150">
        <f t="shared" si="0"/>
        <v>30</v>
      </c>
      <c r="M31" s="150" t="str">
        <f t="shared" si="1"/>
        <v>AW</v>
      </c>
      <c r="N31" s="150">
        <f t="shared" si="2"/>
        <v>30</v>
      </c>
      <c r="O31" s="150" t="str">
        <f t="shared" si="3"/>
        <v>AW</v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69"/>
      <c r="D32" s="322"/>
      <c r="E32" s="323"/>
      <c r="F32" s="324"/>
      <c r="G32" s="68"/>
      <c r="K32" s="150">
        <v>31</v>
      </c>
      <c r="L32" s="150">
        <f t="shared" si="0"/>
        <v>31</v>
      </c>
      <c r="M32" s="150" t="str">
        <f t="shared" si="1"/>
        <v>AW</v>
      </c>
      <c r="N32" s="150">
        <f t="shared" si="2"/>
        <v>31</v>
      </c>
      <c r="O32" s="150" t="str">
        <f t="shared" si="3"/>
        <v>AW</v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25" t="s">
        <v>27</v>
      </c>
      <c r="F33" s="326"/>
      <c r="G33" s="68"/>
      <c r="K33" s="150">
        <v>32</v>
      </c>
      <c r="L33" s="150">
        <f t="shared" si="0"/>
        <v>32</v>
      </c>
      <c r="M33" s="150" t="str">
        <f t="shared" si="1"/>
        <v>AW</v>
      </c>
      <c r="N33" s="150">
        <f t="shared" si="2"/>
        <v>32</v>
      </c>
      <c r="O33" s="150" t="str">
        <f t="shared" si="3"/>
        <v>AW</v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7"/>
      <c r="C34" s="330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str">
        <f t="shared" si="1"/>
        <v>AW</v>
      </c>
      <c r="N34" s="150">
        <f t="shared" si="2"/>
        <v>33</v>
      </c>
      <c r="O34" s="150" t="str">
        <f t="shared" si="3"/>
        <v>AW</v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8"/>
      <c r="C35" s="331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str">
        <f t="shared" si="1"/>
        <v>AW</v>
      </c>
      <c r="N35" s="150">
        <f t="shared" si="2"/>
        <v>34</v>
      </c>
      <c r="O35" s="150" t="str">
        <f t="shared" si="3"/>
        <v>AW</v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9"/>
      <c r="C36" s="33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str">
        <f t="shared" si="1"/>
        <v>AW</v>
      </c>
      <c r="N36" s="150">
        <f t="shared" si="2"/>
        <v>35</v>
      </c>
      <c r="O36" s="150" t="str">
        <f t="shared" si="3"/>
        <v>AW</v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str">
        <f t="shared" si="1"/>
        <v>AW</v>
      </c>
      <c r="N37" s="150">
        <f t="shared" si="2"/>
        <v>36</v>
      </c>
      <c r="O37" s="150" t="str">
        <f t="shared" si="3"/>
        <v>AW</v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19" t="s">
        <v>19</v>
      </c>
      <c r="E38" s="320"/>
      <c r="F38" s="321"/>
      <c r="G38" s="68"/>
      <c r="K38" s="150">
        <v>37</v>
      </c>
      <c r="L38" s="150">
        <f t="shared" si="0"/>
        <v>37</v>
      </c>
      <c r="M38" s="150" t="str">
        <f t="shared" si="1"/>
        <v>AW</v>
      </c>
      <c r="N38" s="150">
        <f t="shared" si="2"/>
        <v>37</v>
      </c>
      <c r="O38" s="150" t="str">
        <f t="shared" si="3"/>
        <v>AW</v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69"/>
      <c r="D39" s="322"/>
      <c r="E39" s="323"/>
      <c r="F39" s="324"/>
      <c r="G39" s="68"/>
      <c r="K39" s="150">
        <v>38</v>
      </c>
      <c r="L39" s="150">
        <f t="shared" si="0"/>
        <v>38</v>
      </c>
      <c r="M39" s="150" t="str">
        <f t="shared" si="1"/>
        <v>AW</v>
      </c>
      <c r="N39" s="150">
        <f t="shared" si="2"/>
        <v>38</v>
      </c>
      <c r="O39" s="150" t="str">
        <f t="shared" si="3"/>
        <v>AW</v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25" t="s">
        <v>27</v>
      </c>
      <c r="F40" s="326"/>
      <c r="G40" s="68"/>
      <c r="K40" s="150">
        <v>39</v>
      </c>
      <c r="L40" s="150">
        <f t="shared" si="0"/>
        <v>39</v>
      </c>
      <c r="M40" s="150" t="str">
        <f t="shared" si="1"/>
        <v>AW</v>
      </c>
      <c r="N40" s="150">
        <f t="shared" si="2"/>
        <v>39</v>
      </c>
      <c r="O40" s="150" t="str">
        <f t="shared" si="3"/>
        <v>AW</v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7"/>
      <c r="C41" s="330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str">
        <f t="shared" si="1"/>
        <v>AW</v>
      </c>
      <c r="N41" s="150">
        <f t="shared" si="2"/>
        <v>40</v>
      </c>
      <c r="O41" s="150" t="str">
        <f t="shared" si="3"/>
        <v>AW</v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8"/>
      <c r="C42" s="331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str">
        <f t="shared" si="1"/>
        <v>AW</v>
      </c>
      <c r="N42" s="150">
        <f t="shared" si="2"/>
        <v>41</v>
      </c>
      <c r="O42" s="150" t="str">
        <f t="shared" si="3"/>
        <v>AW</v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9"/>
      <c r="C43" s="33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str">
        <f t="shared" si="1"/>
        <v>AW</v>
      </c>
      <c r="N43" s="150">
        <f t="shared" si="2"/>
        <v>42</v>
      </c>
      <c r="O43" s="150" t="str">
        <f t="shared" si="3"/>
        <v>AW</v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str">
        <f t="shared" si="1"/>
        <v>AW</v>
      </c>
      <c r="N44" s="150">
        <f t="shared" si="2"/>
        <v>43</v>
      </c>
      <c r="O44" s="150" t="str">
        <f t="shared" si="3"/>
        <v>AW</v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19" t="s">
        <v>19</v>
      </c>
      <c r="E45" s="320"/>
      <c r="F45" s="321"/>
      <c r="G45" s="68"/>
      <c r="K45" s="150">
        <v>44</v>
      </c>
      <c r="L45" s="150">
        <f t="shared" si="0"/>
        <v>44</v>
      </c>
      <c r="M45" s="150" t="str">
        <f t="shared" si="1"/>
        <v>AW</v>
      </c>
      <c r="N45" s="150">
        <f t="shared" si="2"/>
        <v>44</v>
      </c>
      <c r="O45" s="150" t="str">
        <f t="shared" si="3"/>
        <v>AW</v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69"/>
      <c r="D46" s="322"/>
      <c r="E46" s="323"/>
      <c r="F46" s="324"/>
      <c r="G46" s="68"/>
      <c r="K46" s="150">
        <v>45</v>
      </c>
      <c r="L46" s="150">
        <f t="shared" si="0"/>
        <v>45</v>
      </c>
      <c r="M46" s="150" t="str">
        <f t="shared" si="1"/>
        <v>AW</v>
      </c>
      <c r="N46" s="150">
        <f t="shared" si="2"/>
        <v>45</v>
      </c>
      <c r="O46" s="150" t="str">
        <f t="shared" si="3"/>
        <v>AW</v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25" t="s">
        <v>27</v>
      </c>
      <c r="F47" s="326"/>
      <c r="G47" s="68"/>
      <c r="K47" s="150">
        <v>46</v>
      </c>
      <c r="L47" s="150">
        <f t="shared" si="0"/>
        <v>46</v>
      </c>
      <c r="M47" s="150" t="str">
        <f t="shared" si="1"/>
        <v>AW</v>
      </c>
      <c r="N47" s="150">
        <f t="shared" si="2"/>
        <v>46</v>
      </c>
      <c r="O47" s="150" t="str">
        <f t="shared" si="3"/>
        <v>AW</v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7"/>
      <c r="C48" s="330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str">
        <f t="shared" si="1"/>
        <v>AW</v>
      </c>
      <c r="N48" s="150">
        <f t="shared" si="2"/>
        <v>47</v>
      </c>
      <c r="O48" s="150" t="str">
        <f t="shared" si="3"/>
        <v>AW</v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8"/>
      <c r="C49" s="331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str">
        <f t="shared" si="1"/>
        <v>AW</v>
      </c>
      <c r="N49" s="150">
        <f t="shared" si="2"/>
        <v>48</v>
      </c>
      <c r="O49" s="150" t="str">
        <f t="shared" si="3"/>
        <v>AW</v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9"/>
      <c r="C50" s="33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str">
        <f t="shared" si="1"/>
        <v>AW</v>
      </c>
      <c r="N50" s="150">
        <f t="shared" si="2"/>
        <v>49</v>
      </c>
      <c r="O50" s="150" t="str">
        <f t="shared" si="3"/>
        <v>AW</v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str">
        <f t="shared" si="1"/>
        <v>AW</v>
      </c>
      <c r="N51" s="150">
        <f t="shared" si="2"/>
        <v>50</v>
      </c>
      <c r="O51" s="150" t="str">
        <f t="shared" si="3"/>
        <v>AW</v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str">
        <f t="shared" si="1"/>
        <v>AW</v>
      </c>
      <c r="N52" s="150">
        <f t="shared" si="2"/>
        <v>51</v>
      </c>
      <c r="O52" s="150" t="str">
        <f t="shared" si="3"/>
        <v>AW</v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str">
        <f t="shared" si="1"/>
        <v>AW</v>
      </c>
      <c r="N53" s="150">
        <f t="shared" si="2"/>
        <v>52</v>
      </c>
      <c r="O53" s="150" t="str">
        <f t="shared" si="3"/>
        <v>AW</v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str">
        <f t="shared" si="1"/>
        <v>AW</v>
      </c>
      <c r="N54" s="150">
        <f t="shared" si="2"/>
        <v>53</v>
      </c>
      <c r="O54" s="150" t="str">
        <f t="shared" si="3"/>
        <v>AW</v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str">
        <f t="shared" si="1"/>
        <v>AW</v>
      </c>
      <c r="N55" s="150">
        <f t="shared" si="2"/>
        <v>54</v>
      </c>
      <c r="O55" s="150" t="str">
        <f t="shared" si="3"/>
        <v>AW</v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str">
        <f t="shared" si="1"/>
        <v>AW</v>
      </c>
      <c r="N56" s="150">
        <f t="shared" si="2"/>
        <v>55</v>
      </c>
      <c r="O56" s="150" t="str">
        <f t="shared" si="3"/>
        <v>AW</v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str">
        <f t="shared" si="1"/>
        <v>AW</v>
      </c>
      <c r="N57" s="150">
        <f t="shared" si="2"/>
        <v>56</v>
      </c>
      <c r="O57" s="150" t="str">
        <f t="shared" si="3"/>
        <v>AW</v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str">
        <f t="shared" si="1"/>
        <v>AW</v>
      </c>
      <c r="N58" s="150">
        <f t="shared" si="2"/>
        <v>57</v>
      </c>
      <c r="O58" s="150" t="str">
        <f t="shared" si="3"/>
        <v>AW</v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str">
        <f t="shared" si="1"/>
        <v>AW</v>
      </c>
      <c r="N59" s="150">
        <f t="shared" si="2"/>
        <v>58</v>
      </c>
      <c r="O59" s="150" t="str">
        <f t="shared" si="3"/>
        <v>AW</v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str">
        <f t="shared" si="1"/>
        <v>AW</v>
      </c>
      <c r="N60" s="150">
        <f t="shared" si="2"/>
        <v>59</v>
      </c>
      <c r="O60" s="150" t="str">
        <f t="shared" si="3"/>
        <v>AW</v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str">
        <f t="shared" si="1"/>
        <v>AW</v>
      </c>
      <c r="N61" s="150">
        <f t="shared" si="2"/>
        <v>60</v>
      </c>
      <c r="O61" s="150" t="str">
        <f t="shared" si="3"/>
        <v>AW</v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str">
        <f t="shared" si="1"/>
        <v>AW</v>
      </c>
      <c r="N62" s="150">
        <f t="shared" si="2"/>
        <v>61</v>
      </c>
      <c r="O62" s="150" t="str">
        <f t="shared" si="3"/>
        <v>AW</v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str">
        <f t="shared" si="1"/>
        <v>AW</v>
      </c>
      <c r="N63" s="150">
        <f t="shared" si="2"/>
        <v>62</v>
      </c>
      <c r="O63" s="150" t="str">
        <f t="shared" si="3"/>
        <v>AW</v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str">
        <f t="shared" si="1"/>
        <v>AW</v>
      </c>
      <c r="N64" s="150">
        <f t="shared" si="2"/>
        <v>63</v>
      </c>
      <c r="O64" s="150" t="str">
        <f t="shared" si="3"/>
        <v>AW</v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str">
        <f t="shared" si="1"/>
        <v>AW</v>
      </c>
      <c r="N65" s="150">
        <f t="shared" si="2"/>
        <v>64</v>
      </c>
      <c r="O65" s="150" t="str">
        <f t="shared" si="3"/>
        <v>AW</v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str">
        <f t="shared" si="1"/>
        <v>AW</v>
      </c>
      <c r="N66" s="150">
        <f t="shared" si="2"/>
        <v>65</v>
      </c>
      <c r="O66" s="150" t="str">
        <f t="shared" si="3"/>
        <v>AW</v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str">
        <f t="shared" ref="M67:M130" si="13">IF(L67="","",IF(L67&lt;=$E$15,VLOOKUP($E$14,$I$1:$J$4,2,FALSE),VLOOKUP($F$14,$I$1:$J$4,2,FALSE)))</f>
        <v>AW</v>
      </c>
      <c r="N67" s="150">
        <f t="shared" ref="N67:N130" si="14">IF($B$20&gt;=K67,K67,"")</f>
        <v>66</v>
      </c>
      <c r="O67" s="150" t="str">
        <f t="shared" ref="O67:O130" si="15">IF(N67="","",IF(N67&lt;=$E$22,VLOOKUP($E$21,$I$1:$J$4,2,FALSE),VLOOKUP($F$21,$I$1:$J$4,2,FALSE)))</f>
        <v>AW</v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str">
        <f t="shared" si="13"/>
        <v>AW</v>
      </c>
      <c r="N68" s="150">
        <f t="shared" si="14"/>
        <v>67</v>
      </c>
      <c r="O68" s="150" t="str">
        <f t="shared" si="15"/>
        <v>AW</v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str">
        <f t="shared" si="13"/>
        <v>AW</v>
      </c>
      <c r="N69" s="150">
        <f t="shared" si="14"/>
        <v>68</v>
      </c>
      <c r="O69" s="150" t="str">
        <f t="shared" si="15"/>
        <v>AW</v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str">
        <f t="shared" si="13"/>
        <v>AW</v>
      </c>
      <c r="N70" s="150">
        <f t="shared" si="14"/>
        <v>69</v>
      </c>
      <c r="O70" s="150" t="str">
        <f t="shared" si="15"/>
        <v>AW</v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str">
        <f t="shared" si="13"/>
        <v>AW</v>
      </c>
      <c r="N71" s="150">
        <f t="shared" si="14"/>
        <v>70</v>
      </c>
      <c r="O71" s="150" t="str">
        <f t="shared" si="15"/>
        <v>AW</v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str">
        <f t="shared" si="13"/>
        <v>AW</v>
      </c>
      <c r="N72" s="150">
        <f t="shared" si="14"/>
        <v>71</v>
      </c>
      <c r="O72" s="150" t="str">
        <f t="shared" si="15"/>
        <v>AW</v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str">
        <f t="shared" si="13"/>
        <v>AW</v>
      </c>
      <c r="N73" s="150">
        <f t="shared" si="14"/>
        <v>72</v>
      </c>
      <c r="O73" s="150" t="str">
        <f t="shared" si="15"/>
        <v>AW</v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str">
        <f t="shared" si="13"/>
        <v>AW</v>
      </c>
      <c r="N74" s="150">
        <f t="shared" si="14"/>
        <v>73</v>
      </c>
      <c r="O74" s="150" t="str">
        <f t="shared" si="15"/>
        <v>AW</v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str">
        <f t="shared" si="13"/>
        <v>AW</v>
      </c>
      <c r="N75" s="150">
        <f t="shared" si="14"/>
        <v>74</v>
      </c>
      <c r="O75" s="150" t="str">
        <f t="shared" si="15"/>
        <v>AW</v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str">
        <f t="shared" si="13"/>
        <v>AW</v>
      </c>
      <c r="N76" s="150">
        <f t="shared" si="14"/>
        <v>75</v>
      </c>
      <c r="O76" s="150" t="str">
        <f t="shared" si="15"/>
        <v>AW</v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str">
        <f t="shared" si="13"/>
        <v>AW</v>
      </c>
      <c r="N77" s="150">
        <f t="shared" si="14"/>
        <v>76</v>
      </c>
      <c r="O77" s="150" t="str">
        <f t="shared" si="15"/>
        <v>AW</v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str">
        <f t="shared" si="13"/>
        <v>AW</v>
      </c>
      <c r="N78" s="150">
        <f t="shared" si="14"/>
        <v>77</v>
      </c>
      <c r="O78" s="150" t="str">
        <f t="shared" si="15"/>
        <v>AW</v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str">
        <f t="shared" si="13"/>
        <v>AW</v>
      </c>
      <c r="N79" s="150">
        <f t="shared" si="14"/>
        <v>78</v>
      </c>
      <c r="O79" s="150" t="str">
        <f t="shared" si="15"/>
        <v>AW</v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str">
        <f t="shared" si="13"/>
        <v>AW</v>
      </c>
      <c r="N80" s="150">
        <f t="shared" si="14"/>
        <v>79</v>
      </c>
      <c r="O80" s="150" t="str">
        <f t="shared" si="15"/>
        <v>AW</v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str">
        <f t="shared" si="13"/>
        <v>AW</v>
      </c>
      <c r="N81" s="150">
        <f t="shared" si="14"/>
        <v>80</v>
      </c>
      <c r="O81" s="150" t="str">
        <f t="shared" si="15"/>
        <v>AW</v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str">
        <f t="shared" si="13"/>
        <v>AW</v>
      </c>
      <c r="N82" s="150">
        <f t="shared" si="14"/>
        <v>81</v>
      </c>
      <c r="O82" s="150" t="str">
        <f t="shared" si="15"/>
        <v>AW</v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str">
        <f t="shared" si="13"/>
        <v>AW</v>
      </c>
      <c r="N83" s="150">
        <f t="shared" si="14"/>
        <v>82</v>
      </c>
      <c r="O83" s="150" t="str">
        <f t="shared" si="15"/>
        <v>AW</v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str">
        <f t="shared" si="13"/>
        <v>AW</v>
      </c>
      <c r="N84" s="150">
        <f t="shared" si="14"/>
        <v>83</v>
      </c>
      <c r="O84" s="150" t="str">
        <f t="shared" si="15"/>
        <v>AW</v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str">
        <f t="shared" si="13"/>
        <v>AW</v>
      </c>
      <c r="N85" s="150">
        <f t="shared" si="14"/>
        <v>84</v>
      </c>
      <c r="O85" s="150" t="str">
        <f t="shared" si="15"/>
        <v>AW</v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str">
        <f t="shared" si="13"/>
        <v>AW</v>
      </c>
      <c r="N86" s="150">
        <f t="shared" si="14"/>
        <v>85</v>
      </c>
      <c r="O86" s="150" t="str">
        <f t="shared" si="15"/>
        <v>AW</v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str">
        <f t="shared" si="13"/>
        <v>AW</v>
      </c>
      <c r="N87" s="150">
        <f t="shared" si="14"/>
        <v>86</v>
      </c>
      <c r="O87" s="150" t="str">
        <f t="shared" si="15"/>
        <v>AW</v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str">
        <f t="shared" si="13"/>
        <v>AW</v>
      </c>
      <c r="N88" s="150">
        <f t="shared" si="14"/>
        <v>87</v>
      </c>
      <c r="O88" s="150" t="str">
        <f t="shared" si="15"/>
        <v>AW</v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str">
        <f t="shared" si="13"/>
        <v>AW</v>
      </c>
      <c r="N89" s="150">
        <f t="shared" si="14"/>
        <v>88</v>
      </c>
      <c r="O89" s="150" t="str">
        <f t="shared" si="15"/>
        <v>AW</v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str">
        <f t="shared" si="13"/>
        <v>AW</v>
      </c>
      <c r="N90" s="150">
        <f t="shared" si="14"/>
        <v>89</v>
      </c>
      <c r="O90" s="150" t="str">
        <f t="shared" si="15"/>
        <v>AW</v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str">
        <f t="shared" si="13"/>
        <v>AW</v>
      </c>
      <c r="N91" s="150">
        <f t="shared" si="14"/>
        <v>90</v>
      </c>
      <c r="O91" s="150" t="str">
        <f t="shared" si="15"/>
        <v>AW</v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str">
        <f t="shared" si="13"/>
        <v>AW</v>
      </c>
      <c r="N92" s="150">
        <f t="shared" si="14"/>
        <v>91</v>
      </c>
      <c r="O92" s="150" t="str">
        <f t="shared" si="15"/>
        <v>AW</v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str">
        <f t="shared" si="13"/>
        <v>AW</v>
      </c>
      <c r="N93" s="150">
        <f t="shared" si="14"/>
        <v>92</v>
      </c>
      <c r="O93" s="150" t="str">
        <f t="shared" si="15"/>
        <v>AW</v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str">
        <f t="shared" si="13"/>
        <v>AW</v>
      </c>
      <c r="N94" s="150">
        <f t="shared" si="14"/>
        <v>93</v>
      </c>
      <c r="O94" s="150" t="str">
        <f t="shared" si="15"/>
        <v>AW</v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str">
        <f t="shared" si="13"/>
        <v>AW</v>
      </c>
      <c r="N95" s="150">
        <f t="shared" si="14"/>
        <v>94</v>
      </c>
      <c r="O95" s="150" t="str">
        <f t="shared" si="15"/>
        <v>AW</v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str">
        <f t="shared" si="13"/>
        <v>AW</v>
      </c>
      <c r="N96" s="150">
        <f t="shared" si="14"/>
        <v>95</v>
      </c>
      <c r="O96" s="150" t="str">
        <f t="shared" si="15"/>
        <v>AW</v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str">
        <f t="shared" si="13"/>
        <v>AW</v>
      </c>
      <c r="N97" s="150">
        <f t="shared" si="14"/>
        <v>96</v>
      </c>
      <c r="O97" s="150" t="str">
        <f t="shared" si="15"/>
        <v>AW</v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str">
        <f t="shared" si="13"/>
        <v>AW</v>
      </c>
      <c r="N98" s="150">
        <f t="shared" si="14"/>
        <v>97</v>
      </c>
      <c r="O98" s="150" t="str">
        <f t="shared" si="15"/>
        <v>AW</v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str">
        <f t="shared" si="13"/>
        <v>AW</v>
      </c>
      <c r="N99" s="150">
        <f t="shared" si="14"/>
        <v>98</v>
      </c>
      <c r="O99" s="150" t="str">
        <f t="shared" si="15"/>
        <v>AW</v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str">
        <f t="shared" si="13"/>
        <v>AW</v>
      </c>
      <c r="N100" s="150">
        <f t="shared" si="14"/>
        <v>99</v>
      </c>
      <c r="O100" s="150" t="str">
        <f t="shared" si="15"/>
        <v>AW</v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str">
        <f t="shared" si="13"/>
        <v>AW</v>
      </c>
      <c r="N101" s="150">
        <f t="shared" si="14"/>
        <v>100</v>
      </c>
      <c r="O101" s="150" t="str">
        <f t="shared" si="15"/>
        <v>AW</v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str">
        <f t="shared" si="13"/>
        <v>AW</v>
      </c>
      <c r="N102" s="150">
        <f t="shared" si="14"/>
        <v>101</v>
      </c>
      <c r="O102" s="150" t="str">
        <f t="shared" si="15"/>
        <v>AW</v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str">
        <f t="shared" si="13"/>
        <v>AW</v>
      </c>
      <c r="N103" s="150">
        <f t="shared" si="14"/>
        <v>102</v>
      </c>
      <c r="O103" s="150" t="str">
        <f t="shared" si="15"/>
        <v>AW</v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str">
        <f t="shared" si="13"/>
        <v>AW</v>
      </c>
      <c r="N104" s="150">
        <f t="shared" si="14"/>
        <v>103</v>
      </c>
      <c r="O104" s="150" t="str">
        <f t="shared" si="15"/>
        <v>AW</v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str">
        <f t="shared" si="13"/>
        <v>AW</v>
      </c>
      <c r="N105" s="150">
        <f t="shared" si="14"/>
        <v>104</v>
      </c>
      <c r="O105" s="150" t="str">
        <f t="shared" si="15"/>
        <v>AW</v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str">
        <f t="shared" si="13"/>
        <v>AW</v>
      </c>
      <c r="N106" s="150">
        <f t="shared" si="14"/>
        <v>105</v>
      </c>
      <c r="O106" s="150" t="str">
        <f t="shared" si="15"/>
        <v>AW</v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str">
        <f t="shared" si="13"/>
        <v>AW</v>
      </c>
      <c r="N107" s="150">
        <f t="shared" si="14"/>
        <v>106</v>
      </c>
      <c r="O107" s="150" t="str">
        <f t="shared" si="15"/>
        <v>AW</v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str">
        <f t="shared" si="13"/>
        <v>AW</v>
      </c>
      <c r="N108" s="150">
        <f t="shared" si="14"/>
        <v>107</v>
      </c>
      <c r="O108" s="150" t="str">
        <f t="shared" si="15"/>
        <v>AW</v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str">
        <f t="shared" si="13"/>
        <v>AW</v>
      </c>
      <c r="N109" s="150">
        <f t="shared" si="14"/>
        <v>108</v>
      </c>
      <c r="O109" s="150" t="str">
        <f t="shared" si="15"/>
        <v>AW</v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str">
        <f t="shared" si="13"/>
        <v>AW</v>
      </c>
      <c r="N110" s="150">
        <f t="shared" si="14"/>
        <v>109</v>
      </c>
      <c r="O110" s="150" t="str">
        <f t="shared" si="15"/>
        <v>AW</v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str">
        <f t="shared" si="13"/>
        <v>AW</v>
      </c>
      <c r="N111" s="150">
        <f t="shared" si="14"/>
        <v>110</v>
      </c>
      <c r="O111" s="150" t="str">
        <f t="shared" si="15"/>
        <v>AW</v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str">
        <f t="shared" si="13"/>
        <v>AW</v>
      </c>
      <c r="N112" s="150">
        <f t="shared" si="14"/>
        <v>111</v>
      </c>
      <c r="O112" s="150" t="str">
        <f t="shared" si="15"/>
        <v>AW</v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str">
        <f t="shared" si="13"/>
        <v>AW</v>
      </c>
      <c r="N113" s="150">
        <f t="shared" si="14"/>
        <v>112</v>
      </c>
      <c r="O113" s="150" t="str">
        <f t="shared" si="15"/>
        <v>AW</v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str">
        <f t="shared" si="13"/>
        <v>AW</v>
      </c>
      <c r="N114" s="150">
        <f t="shared" si="14"/>
        <v>113</v>
      </c>
      <c r="O114" s="150" t="str">
        <f t="shared" si="15"/>
        <v>AW</v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str">
        <f t="shared" si="13"/>
        <v>AW</v>
      </c>
      <c r="N115" s="150">
        <f t="shared" si="14"/>
        <v>114</v>
      </c>
      <c r="O115" s="150" t="str">
        <f t="shared" si="15"/>
        <v>AW</v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str">
        <f t="shared" si="13"/>
        <v>AW</v>
      </c>
      <c r="N116" s="150">
        <f t="shared" si="14"/>
        <v>115</v>
      </c>
      <c r="O116" s="150" t="str">
        <f t="shared" si="15"/>
        <v>AW</v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str">
        <f t="shared" si="13"/>
        <v>AW</v>
      </c>
      <c r="N117" s="150">
        <f t="shared" si="14"/>
        <v>116</v>
      </c>
      <c r="O117" s="150" t="str">
        <f t="shared" si="15"/>
        <v>AW</v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str">
        <f t="shared" si="13"/>
        <v>AW</v>
      </c>
      <c r="N118" s="150">
        <f t="shared" si="14"/>
        <v>117</v>
      </c>
      <c r="O118" s="150" t="str">
        <f t="shared" si="15"/>
        <v>AW</v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str">
        <f t="shared" si="13"/>
        <v>AW</v>
      </c>
      <c r="N119" s="150">
        <f t="shared" si="14"/>
        <v>118</v>
      </c>
      <c r="O119" s="150" t="str">
        <f t="shared" si="15"/>
        <v>AW</v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str">
        <f t="shared" si="13"/>
        <v>AW</v>
      </c>
      <c r="N120" s="150">
        <f t="shared" si="14"/>
        <v>119</v>
      </c>
      <c r="O120" s="150" t="str">
        <f t="shared" si="15"/>
        <v>AW</v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str">
        <f t="shared" si="13"/>
        <v>AW</v>
      </c>
      <c r="N121" s="150">
        <f t="shared" si="14"/>
        <v>120</v>
      </c>
      <c r="O121" s="150" t="str">
        <f t="shared" si="15"/>
        <v>AW</v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str">
        <f t="shared" si="13"/>
        <v>AW</v>
      </c>
      <c r="N122" s="150">
        <f t="shared" si="14"/>
        <v>121</v>
      </c>
      <c r="O122" s="150" t="str">
        <f t="shared" si="15"/>
        <v>AW</v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str">
        <f t="shared" si="13"/>
        <v>AW</v>
      </c>
      <c r="N123" s="150">
        <f t="shared" si="14"/>
        <v>122</v>
      </c>
      <c r="O123" s="150" t="str">
        <f t="shared" si="15"/>
        <v>AW</v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str">
        <f t="shared" si="13"/>
        <v>AW</v>
      </c>
      <c r="N124" s="150">
        <f t="shared" si="14"/>
        <v>123</v>
      </c>
      <c r="O124" s="150" t="str">
        <f t="shared" si="15"/>
        <v>AW</v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str">
        <f t="shared" si="13"/>
        <v>AW</v>
      </c>
      <c r="N125" s="150">
        <f t="shared" si="14"/>
        <v>124</v>
      </c>
      <c r="O125" s="150" t="str">
        <f t="shared" si="15"/>
        <v>AW</v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str">
        <f t="shared" si="13"/>
        <v>AW</v>
      </c>
      <c r="N126" s="150">
        <f t="shared" si="14"/>
        <v>125</v>
      </c>
      <c r="O126" s="150" t="str">
        <f t="shared" si="15"/>
        <v>AW</v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str">
        <f t="shared" si="13"/>
        <v>AW</v>
      </c>
      <c r="N127" s="150">
        <f t="shared" si="14"/>
        <v>126</v>
      </c>
      <c r="O127" s="150" t="str">
        <f t="shared" si="15"/>
        <v>AW</v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str">
        <f t="shared" si="13"/>
        <v>AW</v>
      </c>
      <c r="N128" s="150">
        <f t="shared" si="14"/>
        <v>127</v>
      </c>
      <c r="O128" s="150" t="str">
        <f t="shared" si="15"/>
        <v>AW</v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str">
        <f t="shared" si="13"/>
        <v>AW</v>
      </c>
      <c r="N129" s="150">
        <f t="shared" si="14"/>
        <v>128</v>
      </c>
      <c r="O129" s="150" t="str">
        <f t="shared" si="15"/>
        <v>AW</v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str">
        <f t="shared" si="13"/>
        <v>AW</v>
      </c>
      <c r="N130" s="150">
        <f t="shared" si="14"/>
        <v>129</v>
      </c>
      <c r="O130" s="150" t="str">
        <f t="shared" si="15"/>
        <v>AW</v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str">
        <f t="shared" ref="M131:M194" si="25">IF(L131="","",IF(L131&lt;=$E$15,VLOOKUP($E$14,$I$1:$J$4,2,FALSE),VLOOKUP($F$14,$I$1:$J$4,2,FALSE)))</f>
        <v>AW</v>
      </c>
      <c r="N131" s="150">
        <f t="shared" ref="N131:N194" si="26">IF($B$20&gt;=K131,K131,"")</f>
        <v>130</v>
      </c>
      <c r="O131" s="150" t="str">
        <f t="shared" ref="O131:O194" si="27">IF(N131="","",IF(N131&lt;=$E$22,VLOOKUP($E$21,$I$1:$J$4,2,FALSE),VLOOKUP($F$21,$I$1:$J$4,2,FALSE)))</f>
        <v>AW</v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str">
        <f t="shared" si="25"/>
        <v>AW</v>
      </c>
      <c r="N132" s="150">
        <f t="shared" si="26"/>
        <v>131</v>
      </c>
      <c r="O132" s="150" t="str">
        <f t="shared" si="27"/>
        <v>AW</v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str">
        <f t="shared" si="25"/>
        <v>AW</v>
      </c>
      <c r="N133" s="150">
        <f t="shared" si="26"/>
        <v>132</v>
      </c>
      <c r="O133" s="150" t="str">
        <f t="shared" si="27"/>
        <v>AW</v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str">
        <f t="shared" si="25"/>
        <v>AW</v>
      </c>
      <c r="N134" s="150">
        <f t="shared" si="26"/>
        <v>133</v>
      </c>
      <c r="O134" s="150" t="str">
        <f t="shared" si="27"/>
        <v>AW</v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str">
        <f t="shared" si="25"/>
        <v>AW</v>
      </c>
      <c r="N135" s="150">
        <f t="shared" si="26"/>
        <v>134</v>
      </c>
      <c r="O135" s="150" t="str">
        <f t="shared" si="27"/>
        <v>AW</v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str">
        <f t="shared" si="25"/>
        <v>AW</v>
      </c>
      <c r="N136" s="150">
        <f t="shared" si="26"/>
        <v>135</v>
      </c>
      <c r="O136" s="150" t="str">
        <f t="shared" si="27"/>
        <v>AW</v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str">
        <f t="shared" si="25"/>
        <v>AW</v>
      </c>
      <c r="N137" s="150">
        <f t="shared" si="26"/>
        <v>136</v>
      </c>
      <c r="O137" s="150" t="str">
        <f t="shared" si="27"/>
        <v>AW</v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str">
        <f t="shared" si="25"/>
        <v>AW</v>
      </c>
      <c r="N138" s="150">
        <f t="shared" si="26"/>
        <v>137</v>
      </c>
      <c r="O138" s="150" t="str">
        <f t="shared" si="27"/>
        <v>AW</v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str">
        <f t="shared" si="25"/>
        <v>AW</v>
      </c>
      <c r="N139" s="150">
        <f t="shared" si="26"/>
        <v>138</v>
      </c>
      <c r="O139" s="150" t="str">
        <f t="shared" si="27"/>
        <v>AW</v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str">
        <f t="shared" si="25"/>
        <v>AW</v>
      </c>
      <c r="N140" s="150">
        <f t="shared" si="26"/>
        <v>139</v>
      </c>
      <c r="O140" s="150" t="str">
        <f t="shared" si="27"/>
        <v>AW</v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str">
        <f t="shared" si="25"/>
        <v>AW</v>
      </c>
      <c r="N141" s="150">
        <f t="shared" si="26"/>
        <v>140</v>
      </c>
      <c r="O141" s="150" t="str">
        <f t="shared" si="27"/>
        <v>AW</v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str">
        <f t="shared" si="25"/>
        <v>AW</v>
      </c>
      <c r="N142" s="150">
        <f t="shared" si="26"/>
        <v>141</v>
      </c>
      <c r="O142" s="150" t="str">
        <f t="shared" si="27"/>
        <v>AW</v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str">
        <f t="shared" si="25"/>
        <v>AW</v>
      </c>
      <c r="N143" s="150">
        <f t="shared" si="26"/>
        <v>142</v>
      </c>
      <c r="O143" s="150" t="str">
        <f t="shared" si="27"/>
        <v>AW</v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str">
        <f t="shared" si="25"/>
        <v>AW</v>
      </c>
      <c r="N144" s="150">
        <f t="shared" si="26"/>
        <v>143</v>
      </c>
      <c r="O144" s="150" t="str">
        <f t="shared" si="27"/>
        <v>AW</v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str">
        <f t="shared" si="25"/>
        <v>AW</v>
      </c>
      <c r="N145" s="150">
        <f t="shared" si="26"/>
        <v>144</v>
      </c>
      <c r="O145" s="150" t="str">
        <f t="shared" si="27"/>
        <v>AW</v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str">
        <f t="shared" si="25"/>
        <v>AW</v>
      </c>
      <c r="N146" s="150">
        <f t="shared" si="26"/>
        <v>145</v>
      </c>
      <c r="O146" s="150" t="str">
        <f t="shared" si="27"/>
        <v>AW</v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str">
        <f t="shared" si="25"/>
        <v>AW</v>
      </c>
      <c r="N147" s="150">
        <f t="shared" si="26"/>
        <v>146</v>
      </c>
      <c r="O147" s="150" t="str">
        <f t="shared" si="27"/>
        <v>AW</v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str">
        <f t="shared" si="25"/>
        <v>AW</v>
      </c>
      <c r="N148" s="150">
        <f t="shared" si="26"/>
        <v>147</v>
      </c>
      <c r="O148" s="150" t="str">
        <f t="shared" si="27"/>
        <v>AW</v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str">
        <f t="shared" si="25"/>
        <v>AW</v>
      </c>
      <c r="N149" s="150">
        <f t="shared" si="26"/>
        <v>148</v>
      </c>
      <c r="O149" s="150" t="str">
        <f t="shared" si="27"/>
        <v>AW</v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str">
        <f t="shared" si="25"/>
        <v>AW</v>
      </c>
      <c r="N150" s="150">
        <f t="shared" si="26"/>
        <v>149</v>
      </c>
      <c r="O150" s="150" t="str">
        <f t="shared" si="27"/>
        <v>AW</v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str">
        <f t="shared" si="25"/>
        <v>AW</v>
      </c>
      <c r="N151" s="150">
        <f t="shared" si="26"/>
        <v>150</v>
      </c>
      <c r="O151" s="150" t="str">
        <f t="shared" si="27"/>
        <v>AW</v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str">
        <f t="shared" si="25"/>
        <v>AW</v>
      </c>
      <c r="N152" s="150">
        <f t="shared" si="26"/>
        <v>151</v>
      </c>
      <c r="O152" s="150" t="str">
        <f t="shared" si="27"/>
        <v>AW</v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str">
        <f t="shared" si="25"/>
        <v>AW</v>
      </c>
      <c r="N153" s="150">
        <f t="shared" si="26"/>
        <v>152</v>
      </c>
      <c r="O153" s="150" t="str">
        <f t="shared" si="27"/>
        <v>AW</v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str">
        <f t="shared" si="25"/>
        <v>AW</v>
      </c>
      <c r="N154" s="150">
        <f t="shared" si="26"/>
        <v>153</v>
      </c>
      <c r="O154" s="150" t="str">
        <f t="shared" si="27"/>
        <v>AW</v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str">
        <f t="shared" si="25"/>
        <v>AW</v>
      </c>
      <c r="N155" s="150">
        <f t="shared" si="26"/>
        <v>154</v>
      </c>
      <c r="O155" s="150" t="str">
        <f t="shared" si="27"/>
        <v>AW</v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str">
        <f t="shared" si="25"/>
        <v>AW</v>
      </c>
      <c r="N156" s="150">
        <f t="shared" si="26"/>
        <v>155</v>
      </c>
      <c r="O156" s="150" t="str">
        <f t="shared" si="27"/>
        <v>AW</v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str">
        <f t="shared" si="25"/>
        <v>AW</v>
      </c>
      <c r="N157" s="150">
        <f t="shared" si="26"/>
        <v>156</v>
      </c>
      <c r="O157" s="150" t="str">
        <f t="shared" si="27"/>
        <v>AW</v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str">
        <f t="shared" si="25"/>
        <v>AW</v>
      </c>
      <c r="N158" s="150">
        <f t="shared" si="26"/>
        <v>157</v>
      </c>
      <c r="O158" s="150" t="str">
        <f t="shared" si="27"/>
        <v>AW</v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str">
        <f t="shared" si="25"/>
        <v>AW</v>
      </c>
      <c r="N159" s="150">
        <f t="shared" si="26"/>
        <v>158</v>
      </c>
      <c r="O159" s="150" t="str">
        <f t="shared" si="27"/>
        <v>AW</v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str">
        <f t="shared" si="25"/>
        <v>AW</v>
      </c>
      <c r="N160" s="150">
        <f t="shared" si="26"/>
        <v>159</v>
      </c>
      <c r="O160" s="150" t="str">
        <f t="shared" si="27"/>
        <v>AW</v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str">
        <f t="shared" si="25"/>
        <v>AW</v>
      </c>
      <c r="N161" s="150">
        <f t="shared" si="26"/>
        <v>160</v>
      </c>
      <c r="O161" s="150" t="str">
        <f t="shared" si="27"/>
        <v>AW</v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str">
        <f t="shared" si="25"/>
        <v>AW</v>
      </c>
      <c r="N162" s="150">
        <f t="shared" si="26"/>
        <v>161</v>
      </c>
      <c r="O162" s="150" t="str">
        <f t="shared" si="27"/>
        <v>AW</v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str">
        <f t="shared" si="25"/>
        <v>AW</v>
      </c>
      <c r="N163" s="150">
        <f t="shared" si="26"/>
        <v>162</v>
      </c>
      <c r="O163" s="150" t="str">
        <f t="shared" si="27"/>
        <v>AW</v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str">
        <f t="shared" si="25"/>
        <v>AW</v>
      </c>
      <c r="N164" s="150">
        <f t="shared" si="26"/>
        <v>163</v>
      </c>
      <c r="O164" s="150" t="str">
        <f t="shared" si="27"/>
        <v>AW</v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str">
        <f t="shared" si="25"/>
        <v>AW</v>
      </c>
      <c r="N165" s="150">
        <f t="shared" si="26"/>
        <v>164</v>
      </c>
      <c r="O165" s="150" t="str">
        <f t="shared" si="27"/>
        <v>AW</v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str">
        <f t="shared" si="25"/>
        <v>AW</v>
      </c>
      <c r="N166" s="150">
        <f t="shared" si="26"/>
        <v>165</v>
      </c>
      <c r="O166" s="150" t="str">
        <f t="shared" si="27"/>
        <v>AW</v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str">
        <f t="shared" si="25"/>
        <v>AW</v>
      </c>
      <c r="N167" s="150">
        <f t="shared" si="26"/>
        <v>166</v>
      </c>
      <c r="O167" s="150" t="str">
        <f t="shared" si="27"/>
        <v>AW</v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str">
        <f t="shared" si="25"/>
        <v>AW</v>
      </c>
      <c r="N168" s="150">
        <f t="shared" si="26"/>
        <v>167</v>
      </c>
      <c r="O168" s="150" t="str">
        <f t="shared" si="27"/>
        <v>AW</v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str">
        <f t="shared" si="25"/>
        <v>AW</v>
      </c>
      <c r="N169" s="150">
        <f t="shared" si="26"/>
        <v>168</v>
      </c>
      <c r="O169" s="150" t="str">
        <f t="shared" si="27"/>
        <v>AW</v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str">
        <f t="shared" si="25"/>
        <v>AW</v>
      </c>
      <c r="N170" s="150">
        <f t="shared" si="26"/>
        <v>169</v>
      </c>
      <c r="O170" s="150" t="str">
        <f t="shared" si="27"/>
        <v>AW</v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str">
        <f t="shared" si="25"/>
        <v>AW</v>
      </c>
      <c r="N171" s="150">
        <f t="shared" si="26"/>
        <v>170</v>
      </c>
      <c r="O171" s="150" t="str">
        <f t="shared" si="27"/>
        <v>AW</v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str">
        <f t="shared" si="25"/>
        <v>AW</v>
      </c>
      <c r="N172" s="150">
        <f t="shared" si="26"/>
        <v>171</v>
      </c>
      <c r="O172" s="150" t="str">
        <f t="shared" si="27"/>
        <v>AW</v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str">
        <f t="shared" si="25"/>
        <v>AW</v>
      </c>
      <c r="N173" s="150">
        <f t="shared" si="26"/>
        <v>172</v>
      </c>
      <c r="O173" s="150" t="str">
        <f t="shared" si="27"/>
        <v>AW</v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str">
        <f t="shared" si="25"/>
        <v>AW</v>
      </c>
      <c r="N174" s="150">
        <f t="shared" si="26"/>
        <v>173</v>
      </c>
      <c r="O174" s="150" t="str">
        <f t="shared" si="27"/>
        <v>AW</v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str">
        <f t="shared" si="25"/>
        <v>AW</v>
      </c>
      <c r="N175" s="150">
        <f t="shared" si="26"/>
        <v>174</v>
      </c>
      <c r="O175" s="150" t="str">
        <f t="shared" si="27"/>
        <v>AW</v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str">
        <f t="shared" si="25"/>
        <v>AW</v>
      </c>
      <c r="N176" s="150">
        <f t="shared" si="26"/>
        <v>175</v>
      </c>
      <c r="O176" s="150" t="str">
        <f t="shared" si="27"/>
        <v>AW</v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str">
        <f t="shared" si="25"/>
        <v>AW</v>
      </c>
      <c r="N177" s="150">
        <f t="shared" si="26"/>
        <v>176</v>
      </c>
      <c r="O177" s="150" t="str">
        <f t="shared" si="27"/>
        <v>AW</v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str">
        <f t="shared" si="25"/>
        <v>AW</v>
      </c>
      <c r="N178" s="150">
        <f t="shared" si="26"/>
        <v>177</v>
      </c>
      <c r="O178" s="150" t="str">
        <f t="shared" si="27"/>
        <v>AW</v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str">
        <f t="shared" si="25"/>
        <v>AW</v>
      </c>
      <c r="N179" s="150">
        <f t="shared" si="26"/>
        <v>178</v>
      </c>
      <c r="O179" s="150" t="str">
        <f t="shared" si="27"/>
        <v>AW</v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str">
        <f t="shared" si="25"/>
        <v>AW</v>
      </c>
      <c r="N180" s="150">
        <f t="shared" si="26"/>
        <v>179</v>
      </c>
      <c r="O180" s="150" t="str">
        <f t="shared" si="27"/>
        <v>AW</v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str">
        <f t="shared" si="25"/>
        <v>AW</v>
      </c>
      <c r="N181" s="150">
        <f t="shared" si="26"/>
        <v>180</v>
      </c>
      <c r="O181" s="150" t="str">
        <f t="shared" si="27"/>
        <v>AW</v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str">
        <f t="shared" si="25"/>
        <v>AW</v>
      </c>
      <c r="N182" s="150">
        <f t="shared" si="26"/>
        <v>181</v>
      </c>
      <c r="O182" s="150" t="str">
        <f t="shared" si="27"/>
        <v>AW</v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str">
        <f t="shared" si="25"/>
        <v>AW</v>
      </c>
      <c r="N183" s="150">
        <f t="shared" si="26"/>
        <v>182</v>
      </c>
      <c r="O183" s="150" t="str">
        <f t="shared" si="27"/>
        <v>AW</v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str">
        <f t="shared" si="25"/>
        <v>AW</v>
      </c>
      <c r="N184" s="150">
        <f t="shared" si="26"/>
        <v>183</v>
      </c>
      <c r="O184" s="150" t="str">
        <f t="shared" si="27"/>
        <v>AW</v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str">
        <f t="shared" si="25"/>
        <v>AW</v>
      </c>
      <c r="N185" s="150">
        <f t="shared" si="26"/>
        <v>184</v>
      </c>
      <c r="O185" s="150" t="str">
        <f t="shared" si="27"/>
        <v>AW</v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str">
        <f t="shared" si="25"/>
        <v>AW</v>
      </c>
      <c r="N186" s="150">
        <f t="shared" si="26"/>
        <v>185</v>
      </c>
      <c r="O186" s="150" t="str">
        <f t="shared" si="27"/>
        <v>AW</v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str">
        <f t="shared" si="25"/>
        <v>AW</v>
      </c>
      <c r="N187" s="150">
        <f t="shared" si="26"/>
        <v>186</v>
      </c>
      <c r="O187" s="150" t="str">
        <f t="shared" si="27"/>
        <v>AW</v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str">
        <f t="shared" si="25"/>
        <v>AW</v>
      </c>
      <c r="N188" s="150">
        <f t="shared" si="26"/>
        <v>187</v>
      </c>
      <c r="O188" s="150" t="str">
        <f t="shared" si="27"/>
        <v>AW</v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str">
        <f t="shared" si="25"/>
        <v>AW</v>
      </c>
      <c r="N189" s="150">
        <f t="shared" si="26"/>
        <v>188</v>
      </c>
      <c r="O189" s="150" t="str">
        <f t="shared" si="27"/>
        <v>AW</v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str">
        <f t="shared" si="25"/>
        <v>AW</v>
      </c>
      <c r="N190" s="150">
        <f t="shared" si="26"/>
        <v>189</v>
      </c>
      <c r="O190" s="150" t="str">
        <f t="shared" si="27"/>
        <v>AW</v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str">
        <f t="shared" si="25"/>
        <v>AW</v>
      </c>
      <c r="N191" s="150">
        <f t="shared" si="26"/>
        <v>190</v>
      </c>
      <c r="O191" s="150" t="str">
        <f t="shared" si="27"/>
        <v>AW</v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str">
        <f t="shared" si="25"/>
        <v>AW</v>
      </c>
      <c r="N192" s="150">
        <f t="shared" si="26"/>
        <v>191</v>
      </c>
      <c r="O192" s="150" t="str">
        <f t="shared" si="27"/>
        <v>AW</v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str">
        <f t="shared" si="25"/>
        <v>AW</v>
      </c>
      <c r="N193" s="150">
        <f t="shared" si="26"/>
        <v>192</v>
      </c>
      <c r="O193" s="150" t="str">
        <f t="shared" si="27"/>
        <v>AW</v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str">
        <f t="shared" si="25"/>
        <v>AW</v>
      </c>
      <c r="N194" s="150">
        <f t="shared" si="26"/>
        <v>193</v>
      </c>
      <c r="O194" s="150" t="str">
        <f t="shared" si="27"/>
        <v>AW</v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str">
        <f t="shared" ref="M195:M258" si="37">IF(L195="","",IF(L195&lt;=$E$15,VLOOKUP($E$14,$I$1:$J$4,2,FALSE),VLOOKUP($F$14,$I$1:$J$4,2,FALSE)))</f>
        <v>AW</v>
      </c>
      <c r="N195" s="150">
        <f t="shared" ref="N195:N258" si="38">IF($B$20&gt;=K195,K195,"")</f>
        <v>194</v>
      </c>
      <c r="O195" s="150" t="str">
        <f t="shared" ref="O195:O258" si="39">IF(N195="","",IF(N195&lt;=$E$22,VLOOKUP($E$21,$I$1:$J$4,2,FALSE),VLOOKUP($F$21,$I$1:$J$4,2,FALSE)))</f>
        <v>AW</v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str">
        <f t="shared" si="37"/>
        <v>AW</v>
      </c>
      <c r="N196" s="150">
        <f t="shared" si="38"/>
        <v>195</v>
      </c>
      <c r="O196" s="150" t="str">
        <f t="shared" si="39"/>
        <v>AW</v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str">
        <f t="shared" si="37"/>
        <v>AW</v>
      </c>
      <c r="N197" s="150">
        <f t="shared" si="38"/>
        <v>196</v>
      </c>
      <c r="O197" s="150" t="str">
        <f t="shared" si="39"/>
        <v>AW</v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str">
        <f t="shared" si="37"/>
        <v>AW</v>
      </c>
      <c r="N198" s="150">
        <f t="shared" si="38"/>
        <v>197</v>
      </c>
      <c r="O198" s="150" t="str">
        <f t="shared" si="39"/>
        <v>AW</v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str">
        <f t="shared" si="37"/>
        <v>AW</v>
      </c>
      <c r="N199" s="150">
        <f t="shared" si="38"/>
        <v>198</v>
      </c>
      <c r="O199" s="150" t="str">
        <f t="shared" si="39"/>
        <v>AW</v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str">
        <f t="shared" si="37"/>
        <v>AW</v>
      </c>
      <c r="N200" s="150">
        <f t="shared" si="38"/>
        <v>199</v>
      </c>
      <c r="O200" s="150" t="str">
        <f t="shared" si="39"/>
        <v>AW</v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str">
        <f t="shared" si="37"/>
        <v>AW</v>
      </c>
      <c r="N201" s="150">
        <f t="shared" si="38"/>
        <v>200</v>
      </c>
      <c r="O201" s="150" t="str">
        <f t="shared" si="39"/>
        <v>AW</v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str">
        <f t="shared" si="37"/>
        <v>AW</v>
      </c>
      <c r="N202" s="150">
        <f t="shared" si="38"/>
        <v>201</v>
      </c>
      <c r="O202" s="150" t="str">
        <f t="shared" si="39"/>
        <v>AW</v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str">
        <f t="shared" si="37"/>
        <v>AW</v>
      </c>
      <c r="N203" s="150">
        <f t="shared" si="38"/>
        <v>202</v>
      </c>
      <c r="O203" s="150" t="str">
        <f t="shared" si="39"/>
        <v>AW</v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str">
        <f t="shared" si="37"/>
        <v>AW</v>
      </c>
      <c r="N204" s="150">
        <f t="shared" si="38"/>
        <v>203</v>
      </c>
      <c r="O204" s="150" t="str">
        <f t="shared" si="39"/>
        <v>AW</v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str">
        <f t="shared" si="37"/>
        <v>AW</v>
      </c>
      <c r="N205" s="150">
        <f t="shared" si="38"/>
        <v>204</v>
      </c>
      <c r="O205" s="150" t="str">
        <f t="shared" si="39"/>
        <v>AW</v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str">
        <f t="shared" si="37"/>
        <v>AW</v>
      </c>
      <c r="N206" s="150">
        <f t="shared" si="38"/>
        <v>205</v>
      </c>
      <c r="O206" s="150" t="str">
        <f t="shared" si="39"/>
        <v>AW</v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str">
        <f t="shared" si="37"/>
        <v>AW</v>
      </c>
      <c r="N207" s="150">
        <f t="shared" si="38"/>
        <v>206</v>
      </c>
      <c r="O207" s="150" t="str">
        <f t="shared" si="39"/>
        <v>AW</v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str">
        <f t="shared" si="37"/>
        <v>AW</v>
      </c>
      <c r="N208" s="150">
        <f t="shared" si="38"/>
        <v>207</v>
      </c>
      <c r="O208" s="150" t="str">
        <f t="shared" si="39"/>
        <v>AW</v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str">
        <f t="shared" si="37"/>
        <v>AW</v>
      </c>
      <c r="N209" s="150">
        <f t="shared" si="38"/>
        <v>208</v>
      </c>
      <c r="O209" s="150" t="str">
        <f t="shared" si="39"/>
        <v>AW</v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str">
        <f t="shared" si="37"/>
        <v>AW</v>
      </c>
      <c r="N210" s="150">
        <f t="shared" si="38"/>
        <v>209</v>
      </c>
      <c r="O210" s="150" t="str">
        <f t="shared" si="39"/>
        <v>AW</v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str">
        <f t="shared" si="37"/>
        <v>AW</v>
      </c>
      <c r="N211" s="150">
        <f t="shared" si="38"/>
        <v>210</v>
      </c>
      <c r="O211" s="150" t="str">
        <f t="shared" si="39"/>
        <v>AW</v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str">
        <f t="shared" si="37"/>
        <v>AW</v>
      </c>
      <c r="N212" s="150">
        <f t="shared" si="38"/>
        <v>211</v>
      </c>
      <c r="O212" s="150" t="str">
        <f t="shared" si="39"/>
        <v>AW</v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str">
        <f t="shared" si="37"/>
        <v>AW</v>
      </c>
      <c r="N213" s="150">
        <f t="shared" si="38"/>
        <v>212</v>
      </c>
      <c r="O213" s="150" t="str">
        <f t="shared" si="39"/>
        <v>AW</v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str">
        <f t="shared" si="37"/>
        <v>AW</v>
      </c>
      <c r="N214" s="150">
        <f t="shared" si="38"/>
        <v>213</v>
      </c>
      <c r="O214" s="150" t="str">
        <f t="shared" si="39"/>
        <v>AW</v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str">
        <f t="shared" si="37"/>
        <v>AW</v>
      </c>
      <c r="N215" s="150">
        <f t="shared" si="38"/>
        <v>214</v>
      </c>
      <c r="O215" s="150" t="str">
        <f t="shared" si="39"/>
        <v>AW</v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str">
        <f t="shared" si="37"/>
        <v>AW</v>
      </c>
      <c r="N216" s="150">
        <f t="shared" si="38"/>
        <v>215</v>
      </c>
      <c r="O216" s="150" t="str">
        <f t="shared" si="39"/>
        <v>AW</v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str">
        <f t="shared" si="37"/>
        <v>AW</v>
      </c>
      <c r="N217" s="150">
        <f t="shared" si="38"/>
        <v>216</v>
      </c>
      <c r="O217" s="150" t="str">
        <f t="shared" si="39"/>
        <v>AW</v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str">
        <f t="shared" si="37"/>
        <v>AW</v>
      </c>
      <c r="N218" s="150">
        <f t="shared" si="38"/>
        <v>217</v>
      </c>
      <c r="O218" s="150" t="str">
        <f t="shared" si="39"/>
        <v>AW</v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str">
        <f t="shared" si="37"/>
        <v>AW</v>
      </c>
      <c r="N219" s="150">
        <f t="shared" si="38"/>
        <v>218</v>
      </c>
      <c r="O219" s="150" t="str">
        <f t="shared" si="39"/>
        <v>AW</v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str">
        <f t="shared" si="37"/>
        <v>AW</v>
      </c>
      <c r="N220" s="150">
        <f t="shared" si="38"/>
        <v>219</v>
      </c>
      <c r="O220" s="150" t="str">
        <f t="shared" si="39"/>
        <v>AW</v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str">
        <f t="shared" si="37"/>
        <v>AW</v>
      </c>
      <c r="N221" s="150">
        <f t="shared" si="38"/>
        <v>220</v>
      </c>
      <c r="O221" s="150" t="str">
        <f t="shared" si="39"/>
        <v>AW</v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str">
        <f t="shared" si="37"/>
        <v>AW</v>
      </c>
      <c r="N222" s="150">
        <f t="shared" si="38"/>
        <v>221</v>
      </c>
      <c r="O222" s="150" t="str">
        <f t="shared" si="39"/>
        <v>AW</v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str">
        <f t="shared" si="37"/>
        <v>AW</v>
      </c>
      <c r="N223" s="150">
        <f t="shared" si="38"/>
        <v>222</v>
      </c>
      <c r="O223" s="150" t="str">
        <f t="shared" si="39"/>
        <v>AW</v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str">
        <f t="shared" si="37"/>
        <v>AW</v>
      </c>
      <c r="N224" s="150">
        <f t="shared" si="38"/>
        <v>223</v>
      </c>
      <c r="O224" s="150" t="str">
        <f t="shared" si="39"/>
        <v>AW</v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str">
        <f t="shared" si="37"/>
        <v>AW</v>
      </c>
      <c r="N225" s="150">
        <f t="shared" si="38"/>
        <v>224</v>
      </c>
      <c r="O225" s="150" t="str">
        <f t="shared" si="39"/>
        <v>AW</v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str">
        <f t="shared" si="37"/>
        <v>AW</v>
      </c>
      <c r="N226" s="150">
        <f t="shared" si="38"/>
        <v>225</v>
      </c>
      <c r="O226" s="150" t="str">
        <f t="shared" si="39"/>
        <v>AW</v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str">
        <f t="shared" si="37"/>
        <v>AW</v>
      </c>
      <c r="N227" s="150">
        <f t="shared" si="38"/>
        <v>226</v>
      </c>
      <c r="O227" s="150" t="str">
        <f t="shared" si="39"/>
        <v>AW</v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str">
        <f t="shared" si="37"/>
        <v>AW</v>
      </c>
      <c r="N228" s="150">
        <f t="shared" si="38"/>
        <v>227</v>
      </c>
      <c r="O228" s="150" t="str">
        <f t="shared" si="39"/>
        <v>AW</v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str">
        <f t="shared" si="37"/>
        <v>AW</v>
      </c>
      <c r="N229" s="150">
        <f t="shared" si="38"/>
        <v>228</v>
      </c>
      <c r="O229" s="150" t="str">
        <f t="shared" si="39"/>
        <v>AW</v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str">
        <f t="shared" si="37"/>
        <v>AW</v>
      </c>
      <c r="N230" s="150">
        <f t="shared" si="38"/>
        <v>229</v>
      </c>
      <c r="O230" s="150" t="str">
        <f t="shared" si="39"/>
        <v>AW</v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str">
        <f t="shared" si="37"/>
        <v>AW</v>
      </c>
      <c r="N231" s="150">
        <f t="shared" si="38"/>
        <v>230</v>
      </c>
      <c r="O231" s="150" t="str">
        <f t="shared" si="39"/>
        <v>AW</v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str">
        <f t="shared" si="37"/>
        <v>AW</v>
      </c>
      <c r="N232" s="150">
        <f t="shared" si="38"/>
        <v>231</v>
      </c>
      <c r="O232" s="150" t="str">
        <f t="shared" si="39"/>
        <v>AW</v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str">
        <f t="shared" si="37"/>
        <v>AW</v>
      </c>
      <c r="N233" s="150">
        <f t="shared" si="38"/>
        <v>232</v>
      </c>
      <c r="O233" s="150" t="str">
        <f t="shared" si="39"/>
        <v>AW</v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str">
        <f t="shared" si="37"/>
        <v>AW</v>
      </c>
      <c r="N234" s="150">
        <f t="shared" si="38"/>
        <v>233</v>
      </c>
      <c r="O234" s="150" t="str">
        <f t="shared" si="39"/>
        <v>AW</v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str">
        <f t="shared" si="37"/>
        <v>AW</v>
      </c>
      <c r="N235" s="150">
        <f t="shared" si="38"/>
        <v>234</v>
      </c>
      <c r="O235" s="150" t="str">
        <f t="shared" si="39"/>
        <v>AW</v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str">
        <f t="shared" si="37"/>
        <v>AW</v>
      </c>
      <c r="N236" s="150">
        <f t="shared" si="38"/>
        <v>235</v>
      </c>
      <c r="O236" s="150" t="str">
        <f t="shared" si="39"/>
        <v>AW</v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str">
        <f t="shared" si="37"/>
        <v>AW</v>
      </c>
      <c r="N237" s="150">
        <f t="shared" si="38"/>
        <v>236</v>
      </c>
      <c r="O237" s="150" t="str">
        <f t="shared" si="39"/>
        <v>AW</v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str">
        <f t="shared" si="37"/>
        <v>AW</v>
      </c>
      <c r="N238" s="150">
        <f t="shared" si="38"/>
        <v>237</v>
      </c>
      <c r="O238" s="150" t="str">
        <f t="shared" si="39"/>
        <v>AW</v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str">
        <f t="shared" si="37"/>
        <v>AW</v>
      </c>
      <c r="N239" s="150">
        <f t="shared" si="38"/>
        <v>238</v>
      </c>
      <c r="O239" s="150" t="str">
        <f t="shared" si="39"/>
        <v>AW</v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str">
        <f t="shared" si="37"/>
        <v>AW</v>
      </c>
      <c r="N240" s="150">
        <f t="shared" si="38"/>
        <v>239</v>
      </c>
      <c r="O240" s="150" t="str">
        <f t="shared" si="39"/>
        <v>AW</v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str">
        <f t="shared" si="37"/>
        <v>AW</v>
      </c>
      <c r="N241" s="150">
        <f t="shared" si="38"/>
        <v>240</v>
      </c>
      <c r="O241" s="150" t="str">
        <f t="shared" si="39"/>
        <v>AW</v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str">
        <f t="shared" si="37"/>
        <v>AW</v>
      </c>
      <c r="N242" s="150">
        <f t="shared" si="38"/>
        <v>241</v>
      </c>
      <c r="O242" s="150" t="str">
        <f t="shared" si="39"/>
        <v>AW</v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str">
        <f t="shared" si="37"/>
        <v>AW</v>
      </c>
      <c r="N243" s="150">
        <f t="shared" si="38"/>
        <v>242</v>
      </c>
      <c r="O243" s="150" t="str">
        <f t="shared" si="39"/>
        <v>AW</v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str">
        <f t="shared" si="37"/>
        <v>AW</v>
      </c>
      <c r="N244" s="150">
        <f t="shared" si="38"/>
        <v>243</v>
      </c>
      <c r="O244" s="150" t="str">
        <f t="shared" si="39"/>
        <v>AW</v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str">
        <f t="shared" si="37"/>
        <v>AW</v>
      </c>
      <c r="N245" s="150">
        <f t="shared" si="38"/>
        <v>244</v>
      </c>
      <c r="O245" s="150" t="str">
        <f t="shared" si="39"/>
        <v>AW</v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str">
        <f t="shared" si="37"/>
        <v>AW</v>
      </c>
      <c r="N246" s="150">
        <f t="shared" si="38"/>
        <v>245</v>
      </c>
      <c r="O246" s="150" t="str">
        <f t="shared" si="39"/>
        <v>AW</v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str">
        <f t="shared" si="37"/>
        <v>AW</v>
      </c>
      <c r="N247" s="150">
        <f t="shared" si="38"/>
        <v>246</v>
      </c>
      <c r="O247" s="150" t="str">
        <f t="shared" si="39"/>
        <v>AW</v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str">
        <f t="shared" si="37"/>
        <v>AW</v>
      </c>
      <c r="N248" s="150">
        <f t="shared" si="38"/>
        <v>247</v>
      </c>
      <c r="O248" s="150" t="str">
        <f t="shared" si="39"/>
        <v>AW</v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str">
        <f t="shared" si="37"/>
        <v>AW</v>
      </c>
      <c r="N249" s="150">
        <f t="shared" si="38"/>
        <v>248</v>
      </c>
      <c r="O249" s="150" t="str">
        <f t="shared" si="39"/>
        <v>AW</v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str">
        <f t="shared" si="37"/>
        <v>AW</v>
      </c>
      <c r="N250" s="150">
        <f t="shared" si="38"/>
        <v>249</v>
      </c>
      <c r="O250" s="150" t="str">
        <f t="shared" si="39"/>
        <v>AW</v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str">
        <f t="shared" si="37"/>
        <v>AW</v>
      </c>
      <c r="N251" s="150">
        <f t="shared" si="38"/>
        <v>250</v>
      </c>
      <c r="O251" s="150" t="str">
        <f t="shared" si="39"/>
        <v>AW</v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str">
        <f t="shared" si="37"/>
        <v>AW</v>
      </c>
      <c r="N252" s="150">
        <f t="shared" si="38"/>
        <v>251</v>
      </c>
      <c r="O252" s="150" t="str">
        <f t="shared" si="39"/>
        <v>AW</v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str">
        <f t="shared" si="37"/>
        <v>AW</v>
      </c>
      <c r="N253" s="150">
        <f t="shared" si="38"/>
        <v>252</v>
      </c>
      <c r="O253" s="150" t="str">
        <f t="shared" si="39"/>
        <v>AW</v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str">
        <f t="shared" si="37"/>
        <v>AW</v>
      </c>
      <c r="N254" s="150">
        <f t="shared" si="38"/>
        <v>253</v>
      </c>
      <c r="O254" s="150" t="str">
        <f t="shared" si="39"/>
        <v>AW</v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str">
        <f t="shared" si="37"/>
        <v>AW</v>
      </c>
      <c r="N255" s="150">
        <f t="shared" si="38"/>
        <v>254</v>
      </c>
      <c r="O255" s="150" t="str">
        <f t="shared" si="39"/>
        <v>AW</v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str">
        <f t="shared" si="37"/>
        <v>AW</v>
      </c>
      <c r="N256" s="150">
        <f t="shared" si="38"/>
        <v>255</v>
      </c>
      <c r="O256" s="150" t="str">
        <f t="shared" si="39"/>
        <v>AW</v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str">
        <f t="shared" si="37"/>
        <v>AW</v>
      </c>
      <c r="N257" s="150">
        <f t="shared" si="38"/>
        <v>256</v>
      </c>
      <c r="O257" s="150" t="str">
        <f t="shared" si="39"/>
        <v>AW</v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str">
        <f t="shared" si="37"/>
        <v>AW</v>
      </c>
      <c r="N258" s="150">
        <f t="shared" si="38"/>
        <v>257</v>
      </c>
      <c r="O258" s="150" t="str">
        <f t="shared" si="39"/>
        <v>AW</v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str">
        <f t="shared" ref="M259:M322" si="49">IF(L259="","",IF(L259&lt;=$E$15,VLOOKUP($E$14,$I$1:$J$4,2,FALSE),VLOOKUP($F$14,$I$1:$J$4,2,FALSE)))</f>
        <v>AW</v>
      </c>
      <c r="N259" s="150">
        <f t="shared" ref="N259:N322" si="50">IF($B$20&gt;=K259,K259,"")</f>
        <v>258</v>
      </c>
      <c r="O259" s="150" t="str">
        <f t="shared" ref="O259:O322" si="51">IF(N259="","",IF(N259&lt;=$E$22,VLOOKUP($E$21,$I$1:$J$4,2,FALSE),VLOOKUP($F$21,$I$1:$J$4,2,FALSE)))</f>
        <v>AW</v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str">
        <f t="shared" si="49"/>
        <v>AW</v>
      </c>
      <c r="N260" s="150">
        <f t="shared" si="50"/>
        <v>259</v>
      </c>
      <c r="O260" s="150" t="str">
        <f t="shared" si="51"/>
        <v>AW</v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str">
        <f t="shared" si="49"/>
        <v>AW</v>
      </c>
      <c r="N261" s="150">
        <f t="shared" si="50"/>
        <v>260</v>
      </c>
      <c r="O261" s="150" t="str">
        <f t="shared" si="51"/>
        <v>AW</v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str">
        <f t="shared" si="49"/>
        <v>AW</v>
      </c>
      <c r="N262" s="150">
        <f t="shared" si="50"/>
        <v>261</v>
      </c>
      <c r="O262" s="150" t="str">
        <f t="shared" si="51"/>
        <v>AW</v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str">
        <f t="shared" si="49"/>
        <v>AW</v>
      </c>
      <c r="N263" s="150">
        <f t="shared" si="50"/>
        <v>262</v>
      </c>
      <c r="O263" s="150" t="str">
        <f t="shared" si="51"/>
        <v>AW</v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str">
        <f t="shared" si="49"/>
        <v>AW</v>
      </c>
      <c r="N264" s="150">
        <f t="shared" si="50"/>
        <v>263</v>
      </c>
      <c r="O264" s="150" t="str">
        <f t="shared" si="51"/>
        <v>AW</v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str">
        <f t="shared" si="49"/>
        <v>AW</v>
      </c>
      <c r="N265" s="150">
        <f t="shared" si="50"/>
        <v>264</v>
      </c>
      <c r="O265" s="150" t="str">
        <f t="shared" si="51"/>
        <v>AW</v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str">
        <f t="shared" si="49"/>
        <v>AW</v>
      </c>
      <c r="N266" s="150">
        <f t="shared" si="50"/>
        <v>265</v>
      </c>
      <c r="O266" s="150" t="str">
        <f t="shared" si="51"/>
        <v>AW</v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str">
        <f t="shared" si="49"/>
        <v>AW</v>
      </c>
      <c r="N267" s="150">
        <f t="shared" si="50"/>
        <v>266</v>
      </c>
      <c r="O267" s="150" t="str">
        <f t="shared" si="51"/>
        <v>AW</v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str">
        <f t="shared" si="49"/>
        <v>AW</v>
      </c>
      <c r="N268" s="150">
        <f t="shared" si="50"/>
        <v>267</v>
      </c>
      <c r="O268" s="150" t="str">
        <f t="shared" si="51"/>
        <v>AW</v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str">
        <f t="shared" si="49"/>
        <v>AW</v>
      </c>
      <c r="N269" s="150">
        <f t="shared" si="50"/>
        <v>268</v>
      </c>
      <c r="O269" s="150" t="str">
        <f t="shared" si="51"/>
        <v>AW</v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str">
        <f t="shared" si="49"/>
        <v>AW</v>
      </c>
      <c r="N270" s="150">
        <f t="shared" si="50"/>
        <v>269</v>
      </c>
      <c r="O270" s="150" t="str">
        <f t="shared" si="51"/>
        <v>AW</v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str">
        <f t="shared" si="49"/>
        <v>AW</v>
      </c>
      <c r="N271" s="150">
        <f t="shared" si="50"/>
        <v>270</v>
      </c>
      <c r="O271" s="150" t="str">
        <f t="shared" si="51"/>
        <v>AW</v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str">
        <f t="shared" si="49"/>
        <v>AW</v>
      </c>
      <c r="N272" s="150">
        <f t="shared" si="50"/>
        <v>271</v>
      </c>
      <c r="O272" s="150" t="str">
        <f t="shared" si="51"/>
        <v>AW</v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str">
        <f t="shared" si="49"/>
        <v>AW</v>
      </c>
      <c r="N273" s="150">
        <f t="shared" si="50"/>
        <v>272</v>
      </c>
      <c r="O273" s="150" t="str">
        <f t="shared" si="51"/>
        <v>AW</v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str">
        <f t="shared" si="49"/>
        <v>AW</v>
      </c>
      <c r="N274" s="150">
        <f t="shared" si="50"/>
        <v>273</v>
      </c>
      <c r="O274" s="150" t="str">
        <f t="shared" si="51"/>
        <v>AW</v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str">
        <f t="shared" si="49"/>
        <v>AW</v>
      </c>
      <c r="N275" s="150">
        <f t="shared" si="50"/>
        <v>274</v>
      </c>
      <c r="O275" s="150" t="str">
        <f t="shared" si="51"/>
        <v>AW</v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str">
        <f t="shared" si="49"/>
        <v>AW</v>
      </c>
      <c r="N276" s="150">
        <f t="shared" si="50"/>
        <v>275</v>
      </c>
      <c r="O276" s="150" t="str">
        <f t="shared" si="51"/>
        <v>AW</v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str">
        <f t="shared" si="49"/>
        <v>AW</v>
      </c>
      <c r="N277" s="150">
        <f t="shared" si="50"/>
        <v>276</v>
      </c>
      <c r="O277" s="150" t="str">
        <f t="shared" si="51"/>
        <v>AW</v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str">
        <f t="shared" si="49"/>
        <v>AW</v>
      </c>
      <c r="N278" s="150">
        <f t="shared" si="50"/>
        <v>277</v>
      </c>
      <c r="O278" s="150" t="str">
        <f t="shared" si="51"/>
        <v>AW</v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str">
        <f t="shared" si="49"/>
        <v>AW</v>
      </c>
      <c r="N279" s="150">
        <f t="shared" si="50"/>
        <v>278</v>
      </c>
      <c r="O279" s="150" t="str">
        <f t="shared" si="51"/>
        <v>AW</v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str">
        <f t="shared" si="49"/>
        <v>AW</v>
      </c>
      <c r="N280" s="150">
        <f t="shared" si="50"/>
        <v>279</v>
      </c>
      <c r="O280" s="150" t="str">
        <f t="shared" si="51"/>
        <v>AW</v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str">
        <f t="shared" si="49"/>
        <v>AW</v>
      </c>
      <c r="N281" s="150">
        <f t="shared" si="50"/>
        <v>280</v>
      </c>
      <c r="O281" s="150" t="str">
        <f t="shared" si="51"/>
        <v>AW</v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str">
        <f t="shared" si="49"/>
        <v>AW</v>
      </c>
      <c r="N282" s="150">
        <f t="shared" si="50"/>
        <v>281</v>
      </c>
      <c r="O282" s="150" t="str">
        <f t="shared" si="51"/>
        <v>AW</v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str">
        <f t="shared" si="49"/>
        <v>AW</v>
      </c>
      <c r="N283" s="150">
        <f t="shared" si="50"/>
        <v>282</v>
      </c>
      <c r="O283" s="150" t="str">
        <f t="shared" si="51"/>
        <v>AW</v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str">
        <f t="shared" si="49"/>
        <v>AW</v>
      </c>
      <c r="N284" s="150">
        <f t="shared" si="50"/>
        <v>283</v>
      </c>
      <c r="O284" s="150" t="str">
        <f t="shared" si="51"/>
        <v>AW</v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str">
        <f t="shared" si="49"/>
        <v>AW</v>
      </c>
      <c r="N285" s="150">
        <f t="shared" si="50"/>
        <v>284</v>
      </c>
      <c r="O285" s="150" t="str">
        <f t="shared" si="51"/>
        <v>AW</v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str">
        <f t="shared" si="49"/>
        <v>AW</v>
      </c>
      <c r="N286" s="150">
        <f t="shared" si="50"/>
        <v>285</v>
      </c>
      <c r="O286" s="150" t="str">
        <f t="shared" si="51"/>
        <v>AW</v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str">
        <f t="shared" si="49"/>
        <v>AW</v>
      </c>
      <c r="N287" s="150">
        <f t="shared" si="50"/>
        <v>286</v>
      </c>
      <c r="O287" s="150" t="str">
        <f t="shared" si="51"/>
        <v>AW</v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str">
        <f t="shared" si="49"/>
        <v>AW</v>
      </c>
      <c r="N288" s="150">
        <f t="shared" si="50"/>
        <v>287</v>
      </c>
      <c r="O288" s="150" t="str">
        <f t="shared" si="51"/>
        <v>AW</v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str">
        <f t="shared" si="49"/>
        <v>AW</v>
      </c>
      <c r="N289" s="150">
        <f t="shared" si="50"/>
        <v>288</v>
      </c>
      <c r="O289" s="150" t="str">
        <f t="shared" si="51"/>
        <v>AW</v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str">
        <f t="shared" si="49"/>
        <v>AW</v>
      </c>
      <c r="N290" s="150">
        <f t="shared" si="50"/>
        <v>289</v>
      </c>
      <c r="O290" s="150" t="str">
        <f t="shared" si="51"/>
        <v>AW</v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str">
        <f t="shared" si="49"/>
        <v>AW</v>
      </c>
      <c r="N291" s="150">
        <f t="shared" si="50"/>
        <v>290</v>
      </c>
      <c r="O291" s="150" t="str">
        <f t="shared" si="51"/>
        <v>AW</v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str">
        <f t="shared" si="49"/>
        <v>AW</v>
      </c>
      <c r="N292" s="150">
        <f t="shared" si="50"/>
        <v>291</v>
      </c>
      <c r="O292" s="150" t="str">
        <f t="shared" si="51"/>
        <v>AW</v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str">
        <f t="shared" si="49"/>
        <v>AW</v>
      </c>
      <c r="N293" s="150">
        <f t="shared" si="50"/>
        <v>292</v>
      </c>
      <c r="O293" s="150" t="str">
        <f t="shared" si="51"/>
        <v>AW</v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str">
        <f t="shared" si="49"/>
        <v>AW</v>
      </c>
      <c r="N294" s="150">
        <f t="shared" si="50"/>
        <v>293</v>
      </c>
      <c r="O294" s="150" t="str">
        <f t="shared" si="51"/>
        <v>AW</v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str">
        <f t="shared" si="49"/>
        <v>AW</v>
      </c>
      <c r="N295" s="150">
        <f t="shared" si="50"/>
        <v>294</v>
      </c>
      <c r="O295" s="150" t="str">
        <f t="shared" si="51"/>
        <v>AW</v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str">
        <f t="shared" si="49"/>
        <v>AW</v>
      </c>
      <c r="N296" s="150">
        <f t="shared" si="50"/>
        <v>295</v>
      </c>
      <c r="O296" s="150" t="str">
        <f t="shared" si="51"/>
        <v>AW</v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str">
        <f t="shared" si="49"/>
        <v>AW</v>
      </c>
      <c r="N297" s="150">
        <f t="shared" si="50"/>
        <v>296</v>
      </c>
      <c r="O297" s="150" t="str">
        <f t="shared" si="51"/>
        <v>AW</v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str">
        <f t="shared" si="49"/>
        <v>AW</v>
      </c>
      <c r="N298" s="150">
        <f t="shared" si="50"/>
        <v>297</v>
      </c>
      <c r="O298" s="150" t="str">
        <f t="shared" si="51"/>
        <v>AW</v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str">
        <f t="shared" si="49"/>
        <v>AW</v>
      </c>
      <c r="N299" s="150">
        <f t="shared" si="50"/>
        <v>298</v>
      </c>
      <c r="O299" s="150" t="str">
        <f t="shared" si="51"/>
        <v>AW</v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str">
        <f t="shared" si="49"/>
        <v>AW</v>
      </c>
      <c r="N300" s="150">
        <f t="shared" si="50"/>
        <v>299</v>
      </c>
      <c r="O300" s="150" t="str">
        <f t="shared" si="51"/>
        <v>AW</v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str">
        <f t="shared" si="49"/>
        <v>AW</v>
      </c>
      <c r="N301" s="150">
        <f t="shared" si="50"/>
        <v>300</v>
      </c>
      <c r="O301" s="150" t="str">
        <f t="shared" si="51"/>
        <v>AW</v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str">
        <f t="shared" si="49"/>
        <v>AW</v>
      </c>
      <c r="N302" s="150">
        <f t="shared" si="50"/>
        <v>301</v>
      </c>
      <c r="O302" s="150" t="str">
        <f t="shared" si="51"/>
        <v>AW</v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str">
        <f t="shared" si="49"/>
        <v>AW</v>
      </c>
      <c r="N303" s="150">
        <f t="shared" si="50"/>
        <v>302</v>
      </c>
      <c r="O303" s="150" t="str">
        <f t="shared" si="51"/>
        <v>AW</v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str">
        <f t="shared" si="49"/>
        <v>AW</v>
      </c>
      <c r="N304" s="150">
        <f t="shared" si="50"/>
        <v>303</v>
      </c>
      <c r="O304" s="150" t="str">
        <f t="shared" si="51"/>
        <v>AW</v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str">
        <f t="shared" si="49"/>
        <v>AW</v>
      </c>
      <c r="N305" s="150">
        <f t="shared" si="50"/>
        <v>304</v>
      </c>
      <c r="O305" s="150" t="str">
        <f t="shared" si="51"/>
        <v>AW</v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str">
        <f t="shared" si="49"/>
        <v>AW</v>
      </c>
      <c r="N306" s="150">
        <f t="shared" si="50"/>
        <v>305</v>
      </c>
      <c r="O306" s="150" t="str">
        <f t="shared" si="51"/>
        <v>AW</v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str">
        <f t="shared" si="49"/>
        <v>AW</v>
      </c>
      <c r="N307" s="150">
        <f t="shared" si="50"/>
        <v>306</v>
      </c>
      <c r="O307" s="150" t="str">
        <f t="shared" si="51"/>
        <v>AW</v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str">
        <f t="shared" si="49"/>
        <v>AW</v>
      </c>
      <c r="N308" s="150">
        <f t="shared" si="50"/>
        <v>307</v>
      </c>
      <c r="O308" s="150" t="str">
        <f t="shared" si="51"/>
        <v>AW</v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str">
        <f t="shared" si="49"/>
        <v>AW</v>
      </c>
      <c r="N309" s="150">
        <f t="shared" si="50"/>
        <v>308</v>
      </c>
      <c r="O309" s="150" t="str">
        <f t="shared" si="51"/>
        <v>AW</v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str">
        <f t="shared" si="49"/>
        <v>AW</v>
      </c>
      <c r="N310" s="150">
        <f t="shared" si="50"/>
        <v>309</v>
      </c>
      <c r="O310" s="150" t="str">
        <f t="shared" si="51"/>
        <v>AW</v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str">
        <f t="shared" si="49"/>
        <v>AW</v>
      </c>
      <c r="N311" s="150">
        <f t="shared" si="50"/>
        <v>310</v>
      </c>
      <c r="O311" s="150" t="str">
        <f t="shared" si="51"/>
        <v>AW</v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str">
        <f t="shared" si="49"/>
        <v>AW</v>
      </c>
      <c r="N312" s="150">
        <f t="shared" si="50"/>
        <v>311</v>
      </c>
      <c r="O312" s="150" t="str">
        <f t="shared" si="51"/>
        <v>AW</v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str">
        <f t="shared" si="49"/>
        <v>AW</v>
      </c>
      <c r="N313" s="150">
        <f t="shared" si="50"/>
        <v>312</v>
      </c>
      <c r="O313" s="150" t="str">
        <f t="shared" si="51"/>
        <v>AW</v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str">
        <f t="shared" si="49"/>
        <v>AW</v>
      </c>
      <c r="N314" s="150">
        <f t="shared" si="50"/>
        <v>313</v>
      </c>
      <c r="O314" s="150" t="str">
        <f t="shared" si="51"/>
        <v>AW</v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str">
        <f t="shared" si="49"/>
        <v>AW</v>
      </c>
      <c r="N315" s="150">
        <f t="shared" si="50"/>
        <v>314</v>
      </c>
      <c r="O315" s="150" t="str">
        <f t="shared" si="51"/>
        <v>AW</v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str">
        <f t="shared" si="49"/>
        <v>AW</v>
      </c>
      <c r="N316" s="150">
        <f t="shared" si="50"/>
        <v>315</v>
      </c>
      <c r="O316" s="150" t="str">
        <f t="shared" si="51"/>
        <v>AW</v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str">
        <f t="shared" si="49"/>
        <v>AW</v>
      </c>
      <c r="N317" s="150">
        <f t="shared" si="50"/>
        <v>316</v>
      </c>
      <c r="O317" s="150" t="str">
        <f t="shared" si="51"/>
        <v>AW</v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str">
        <f t="shared" si="49"/>
        <v>AW</v>
      </c>
      <c r="N318" s="150">
        <f t="shared" si="50"/>
        <v>317</v>
      </c>
      <c r="O318" s="150" t="str">
        <f t="shared" si="51"/>
        <v>AW</v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str">
        <f t="shared" si="49"/>
        <v>AW</v>
      </c>
      <c r="N319" s="150">
        <f t="shared" si="50"/>
        <v>318</v>
      </c>
      <c r="O319" s="150" t="str">
        <f t="shared" si="51"/>
        <v>AW</v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str">
        <f t="shared" si="49"/>
        <v>AW</v>
      </c>
      <c r="N320" s="150">
        <f t="shared" si="50"/>
        <v>319</v>
      </c>
      <c r="O320" s="150" t="str">
        <f t="shared" si="51"/>
        <v>AW</v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str">
        <f t="shared" si="49"/>
        <v>AW</v>
      </c>
      <c r="N321" s="150">
        <f t="shared" si="50"/>
        <v>320</v>
      </c>
      <c r="O321" s="150" t="str">
        <f t="shared" si="51"/>
        <v>AW</v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str">
        <f t="shared" si="49"/>
        <v>AW</v>
      </c>
      <c r="N322" s="150">
        <f t="shared" si="50"/>
        <v>321</v>
      </c>
      <c r="O322" s="150" t="str">
        <f t="shared" si="51"/>
        <v>AW</v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str">
        <f t="shared" ref="M323:M386" si="61">IF(L323="","",IF(L323&lt;=$E$15,VLOOKUP($E$14,$I$1:$J$4,2,FALSE),VLOOKUP($F$14,$I$1:$J$4,2,FALSE)))</f>
        <v>AW</v>
      </c>
      <c r="N323" s="150">
        <f t="shared" ref="N323:N386" si="62">IF($B$20&gt;=K323,K323,"")</f>
        <v>322</v>
      </c>
      <c r="O323" s="150" t="str">
        <f t="shared" ref="O323:O386" si="63">IF(N323="","",IF(N323&lt;=$E$22,VLOOKUP($E$21,$I$1:$J$4,2,FALSE),VLOOKUP($F$21,$I$1:$J$4,2,FALSE)))</f>
        <v>AW</v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str">
        <f t="shared" si="61"/>
        <v>AW</v>
      </c>
      <c r="N324" s="150">
        <f t="shared" si="62"/>
        <v>323</v>
      </c>
      <c r="O324" s="150" t="str">
        <f t="shared" si="63"/>
        <v>AW</v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str">
        <f t="shared" si="61"/>
        <v>AW</v>
      </c>
      <c r="N325" s="150">
        <f t="shared" si="62"/>
        <v>324</v>
      </c>
      <c r="O325" s="150" t="str">
        <f t="shared" si="63"/>
        <v>AW</v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str">
        <f t="shared" si="61"/>
        <v>AW</v>
      </c>
      <c r="N326" s="150">
        <f t="shared" si="62"/>
        <v>325</v>
      </c>
      <c r="O326" s="150" t="str">
        <f t="shared" si="63"/>
        <v>AW</v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str">
        <f t="shared" si="61"/>
        <v>AW</v>
      </c>
      <c r="N327" s="150">
        <f t="shared" si="62"/>
        <v>326</v>
      </c>
      <c r="O327" s="150" t="str">
        <f t="shared" si="63"/>
        <v>AW</v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str">
        <f t="shared" si="61"/>
        <v>AW</v>
      </c>
      <c r="N328" s="150">
        <f t="shared" si="62"/>
        <v>327</v>
      </c>
      <c r="O328" s="150" t="str">
        <f t="shared" si="63"/>
        <v>AW</v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str">
        <f t="shared" si="61"/>
        <v>AW</v>
      </c>
      <c r="N329" s="150">
        <f t="shared" si="62"/>
        <v>328</v>
      </c>
      <c r="O329" s="150" t="str">
        <f t="shared" si="63"/>
        <v>AW</v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str">
        <f t="shared" si="61"/>
        <v>AW</v>
      </c>
      <c r="N330" s="150">
        <f t="shared" si="62"/>
        <v>329</v>
      </c>
      <c r="O330" s="150" t="str">
        <f t="shared" si="63"/>
        <v>AW</v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str">
        <f t="shared" si="61"/>
        <v>AW</v>
      </c>
      <c r="N331" s="150">
        <f t="shared" si="62"/>
        <v>330</v>
      </c>
      <c r="O331" s="150" t="str">
        <f t="shared" si="63"/>
        <v>AW</v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str">
        <f t="shared" si="61"/>
        <v>AW</v>
      </c>
      <c r="N332" s="150">
        <f t="shared" si="62"/>
        <v>331</v>
      </c>
      <c r="O332" s="150" t="str">
        <f t="shared" si="63"/>
        <v>AW</v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str">
        <f t="shared" si="61"/>
        <v>AW</v>
      </c>
      <c r="N333" s="150">
        <f t="shared" si="62"/>
        <v>332</v>
      </c>
      <c r="O333" s="150" t="str">
        <f t="shared" si="63"/>
        <v>AW</v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str">
        <f t="shared" si="61"/>
        <v>AW</v>
      </c>
      <c r="N334" s="150">
        <f t="shared" si="62"/>
        <v>333</v>
      </c>
      <c r="O334" s="150" t="str">
        <f t="shared" si="63"/>
        <v>AW</v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str">
        <f t="shared" si="61"/>
        <v>AW</v>
      </c>
      <c r="N335" s="150">
        <f t="shared" si="62"/>
        <v>334</v>
      </c>
      <c r="O335" s="150" t="str">
        <f t="shared" si="63"/>
        <v>AW</v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str">
        <f t="shared" si="61"/>
        <v>AW</v>
      </c>
      <c r="N336" s="150">
        <f t="shared" si="62"/>
        <v>335</v>
      </c>
      <c r="O336" s="150" t="str">
        <f t="shared" si="63"/>
        <v>AW</v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str">
        <f t="shared" si="61"/>
        <v>AW</v>
      </c>
      <c r="N337" s="150">
        <f t="shared" si="62"/>
        <v>336</v>
      </c>
      <c r="O337" s="150" t="str">
        <f t="shared" si="63"/>
        <v>AW</v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str">
        <f t="shared" si="61"/>
        <v>AW</v>
      </c>
      <c r="N338" s="150">
        <f t="shared" si="62"/>
        <v>337</v>
      </c>
      <c r="O338" s="150" t="str">
        <f t="shared" si="63"/>
        <v>AW</v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str">
        <f t="shared" si="61"/>
        <v>AW</v>
      </c>
      <c r="N339" s="150">
        <f t="shared" si="62"/>
        <v>338</v>
      </c>
      <c r="O339" s="150" t="str">
        <f t="shared" si="63"/>
        <v>AW</v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str">
        <f t="shared" si="61"/>
        <v>AW</v>
      </c>
      <c r="N340" s="150">
        <f t="shared" si="62"/>
        <v>339</v>
      </c>
      <c r="O340" s="150" t="str">
        <f t="shared" si="63"/>
        <v>AW</v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str">
        <f t="shared" si="61"/>
        <v>AW</v>
      </c>
      <c r="N341" s="150">
        <f t="shared" si="62"/>
        <v>340</v>
      </c>
      <c r="O341" s="150" t="str">
        <f t="shared" si="63"/>
        <v>AW</v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str">
        <f t="shared" si="61"/>
        <v>AW</v>
      </c>
      <c r="N342" s="150">
        <f t="shared" si="62"/>
        <v>341</v>
      </c>
      <c r="O342" s="150" t="str">
        <f t="shared" si="63"/>
        <v>AW</v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str">
        <f t="shared" si="61"/>
        <v>AW</v>
      </c>
      <c r="N343" s="150">
        <f t="shared" si="62"/>
        <v>342</v>
      </c>
      <c r="O343" s="150" t="str">
        <f t="shared" si="63"/>
        <v>AW</v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str">
        <f t="shared" si="61"/>
        <v>AW</v>
      </c>
      <c r="N344" s="150">
        <f t="shared" si="62"/>
        <v>343</v>
      </c>
      <c r="O344" s="150" t="str">
        <f t="shared" si="63"/>
        <v>AW</v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str">
        <f t="shared" si="61"/>
        <v>AW</v>
      </c>
      <c r="N345" s="150">
        <f t="shared" si="62"/>
        <v>344</v>
      </c>
      <c r="O345" s="150" t="str">
        <f t="shared" si="63"/>
        <v>AW</v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str">
        <f t="shared" si="61"/>
        <v>AW</v>
      </c>
      <c r="N346" s="150">
        <f t="shared" si="62"/>
        <v>345</v>
      </c>
      <c r="O346" s="150" t="str">
        <f t="shared" si="63"/>
        <v>AW</v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str">
        <f t="shared" si="61"/>
        <v>AW</v>
      </c>
      <c r="N347" s="150">
        <f t="shared" si="62"/>
        <v>346</v>
      </c>
      <c r="O347" s="150" t="str">
        <f t="shared" si="63"/>
        <v>AW</v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str">
        <f t="shared" si="61"/>
        <v>AW</v>
      </c>
      <c r="N348" s="150">
        <f t="shared" si="62"/>
        <v>347</v>
      </c>
      <c r="O348" s="150" t="str">
        <f t="shared" si="63"/>
        <v>AW</v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str">
        <f t="shared" si="61"/>
        <v>AW</v>
      </c>
      <c r="N349" s="150">
        <f t="shared" si="62"/>
        <v>348</v>
      </c>
      <c r="O349" s="150" t="str">
        <f t="shared" si="63"/>
        <v>AW</v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str">
        <f t="shared" si="61"/>
        <v>AW</v>
      </c>
      <c r="N350" s="150">
        <f t="shared" si="62"/>
        <v>349</v>
      </c>
      <c r="O350" s="150" t="str">
        <f t="shared" si="63"/>
        <v>AW</v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str">
        <f t="shared" si="61"/>
        <v>AW</v>
      </c>
      <c r="N351" s="150">
        <f t="shared" si="62"/>
        <v>350</v>
      </c>
      <c r="O351" s="150" t="str">
        <f t="shared" si="63"/>
        <v>AW</v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str">
        <f t="shared" si="61"/>
        <v>AW</v>
      </c>
      <c r="N352" s="150">
        <f t="shared" si="62"/>
        <v>351</v>
      </c>
      <c r="O352" s="150" t="str">
        <f t="shared" si="63"/>
        <v>AW</v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str">
        <f t="shared" si="61"/>
        <v>AW</v>
      </c>
      <c r="N353" s="150">
        <f t="shared" si="62"/>
        <v>352</v>
      </c>
      <c r="O353" s="150" t="str">
        <f t="shared" si="63"/>
        <v>AW</v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str">
        <f t="shared" si="61"/>
        <v>AW</v>
      </c>
      <c r="N354" s="150">
        <f t="shared" si="62"/>
        <v>353</v>
      </c>
      <c r="O354" s="150" t="str">
        <f t="shared" si="63"/>
        <v>AW</v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str">
        <f t="shared" si="61"/>
        <v>AW</v>
      </c>
      <c r="N355" s="150">
        <f t="shared" si="62"/>
        <v>354</v>
      </c>
      <c r="O355" s="150" t="str">
        <f t="shared" si="63"/>
        <v>AW</v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str">
        <f t="shared" si="61"/>
        <v>AW</v>
      </c>
      <c r="N356" s="150">
        <f t="shared" si="62"/>
        <v>355</v>
      </c>
      <c r="O356" s="150" t="str">
        <f t="shared" si="63"/>
        <v>AW</v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str">
        <f t="shared" si="61"/>
        <v>AW</v>
      </c>
      <c r="N357" s="150">
        <f t="shared" si="62"/>
        <v>356</v>
      </c>
      <c r="O357" s="150" t="str">
        <f t="shared" si="63"/>
        <v>AW</v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str">
        <f t="shared" si="61"/>
        <v>AW</v>
      </c>
      <c r="N358" s="150">
        <f t="shared" si="62"/>
        <v>357</v>
      </c>
      <c r="O358" s="150" t="str">
        <f t="shared" si="63"/>
        <v>AW</v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str">
        <f t="shared" si="61"/>
        <v>AW</v>
      </c>
      <c r="N359" s="150">
        <f t="shared" si="62"/>
        <v>358</v>
      </c>
      <c r="O359" s="150" t="str">
        <f t="shared" si="63"/>
        <v>AW</v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str">
        <f t="shared" si="61"/>
        <v>AW</v>
      </c>
      <c r="N360" s="150">
        <f t="shared" si="62"/>
        <v>359</v>
      </c>
      <c r="O360" s="150" t="str">
        <f t="shared" si="63"/>
        <v>AW</v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str">
        <f t="shared" si="61"/>
        <v>AW</v>
      </c>
      <c r="N361" s="150">
        <f t="shared" si="62"/>
        <v>360</v>
      </c>
      <c r="O361" s="150" t="str">
        <f t="shared" si="63"/>
        <v>AW</v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str">
        <f t="shared" si="61"/>
        <v>AW</v>
      </c>
      <c r="N362" s="150">
        <f t="shared" si="62"/>
        <v>361</v>
      </c>
      <c r="O362" s="150" t="str">
        <f t="shared" si="63"/>
        <v>AW</v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str">
        <f t="shared" si="61"/>
        <v>AW</v>
      </c>
      <c r="N363" s="150">
        <f t="shared" si="62"/>
        <v>362</v>
      </c>
      <c r="O363" s="150" t="str">
        <f t="shared" si="63"/>
        <v>AW</v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str">
        <f t="shared" si="61"/>
        <v>AW</v>
      </c>
      <c r="N364" s="150">
        <f t="shared" si="62"/>
        <v>363</v>
      </c>
      <c r="O364" s="150" t="str">
        <f t="shared" si="63"/>
        <v>AW</v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str">
        <f t="shared" si="61"/>
        <v>AW</v>
      </c>
      <c r="N365" s="150">
        <f t="shared" si="62"/>
        <v>364</v>
      </c>
      <c r="O365" s="150" t="str">
        <f t="shared" si="63"/>
        <v>AW</v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str">
        <f t="shared" si="61"/>
        <v>AW</v>
      </c>
      <c r="N366" s="150">
        <f t="shared" si="62"/>
        <v>365</v>
      </c>
      <c r="O366" s="150" t="str">
        <f t="shared" si="63"/>
        <v>AW</v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str">
        <f t="shared" si="61"/>
        <v>AW</v>
      </c>
      <c r="N367" s="150">
        <f t="shared" si="62"/>
        <v>366</v>
      </c>
      <c r="O367" s="150" t="str">
        <f t="shared" si="63"/>
        <v>AW</v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str">
        <f t="shared" si="61"/>
        <v>AW</v>
      </c>
      <c r="N368" s="150">
        <f t="shared" si="62"/>
        <v>367</v>
      </c>
      <c r="O368" s="150" t="str">
        <f t="shared" si="63"/>
        <v>AW</v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str">
        <f t="shared" si="61"/>
        <v>AW</v>
      </c>
      <c r="N369" s="150">
        <f t="shared" si="62"/>
        <v>368</v>
      </c>
      <c r="O369" s="150" t="str">
        <f t="shared" si="63"/>
        <v>AW</v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str">
        <f t="shared" si="61"/>
        <v>AW</v>
      </c>
      <c r="N370" s="150">
        <f t="shared" si="62"/>
        <v>369</v>
      </c>
      <c r="O370" s="150" t="str">
        <f t="shared" si="63"/>
        <v>AW</v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str">
        <f t="shared" si="61"/>
        <v>AW</v>
      </c>
      <c r="N371" s="150">
        <f t="shared" si="62"/>
        <v>370</v>
      </c>
      <c r="O371" s="150" t="str">
        <f t="shared" si="63"/>
        <v>AW</v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str">
        <f t="shared" si="61"/>
        <v>AW</v>
      </c>
      <c r="N372" s="150">
        <f t="shared" si="62"/>
        <v>371</v>
      </c>
      <c r="O372" s="150" t="str">
        <f t="shared" si="63"/>
        <v>AW</v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str">
        <f t="shared" si="61"/>
        <v>AW</v>
      </c>
      <c r="N373" s="150">
        <f t="shared" si="62"/>
        <v>372</v>
      </c>
      <c r="O373" s="150" t="str">
        <f t="shared" si="63"/>
        <v>AW</v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str">
        <f t="shared" si="61"/>
        <v>AW</v>
      </c>
      <c r="N374" s="150">
        <f t="shared" si="62"/>
        <v>373</v>
      </c>
      <c r="O374" s="150" t="str">
        <f t="shared" si="63"/>
        <v>AW</v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str">
        <f t="shared" si="61"/>
        <v>AW</v>
      </c>
      <c r="N375" s="150">
        <f t="shared" si="62"/>
        <v>374</v>
      </c>
      <c r="O375" s="150" t="str">
        <f t="shared" si="63"/>
        <v>AW</v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str">
        <f t="shared" si="61"/>
        <v>AW</v>
      </c>
      <c r="N376" s="150">
        <f t="shared" si="62"/>
        <v>375</v>
      </c>
      <c r="O376" s="150" t="str">
        <f t="shared" si="63"/>
        <v>AW</v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str">
        <f t="shared" si="61"/>
        <v>AW</v>
      </c>
      <c r="N377" s="150">
        <f t="shared" si="62"/>
        <v>376</v>
      </c>
      <c r="O377" s="150" t="str">
        <f t="shared" si="63"/>
        <v>AW</v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str">
        <f t="shared" si="61"/>
        <v>AW</v>
      </c>
      <c r="N378" s="150">
        <f t="shared" si="62"/>
        <v>377</v>
      </c>
      <c r="O378" s="150" t="str">
        <f t="shared" si="63"/>
        <v>AW</v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str">
        <f t="shared" si="61"/>
        <v>AW</v>
      </c>
      <c r="N379" s="150">
        <f t="shared" si="62"/>
        <v>378</v>
      </c>
      <c r="O379" s="150" t="str">
        <f t="shared" si="63"/>
        <v>AW</v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str">
        <f t="shared" si="61"/>
        <v>AW</v>
      </c>
      <c r="N380" s="150">
        <f t="shared" si="62"/>
        <v>379</v>
      </c>
      <c r="O380" s="150" t="str">
        <f t="shared" si="63"/>
        <v>AW</v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str">
        <f t="shared" si="61"/>
        <v>AW</v>
      </c>
      <c r="N381" s="150">
        <f t="shared" si="62"/>
        <v>380</v>
      </c>
      <c r="O381" s="150" t="str">
        <f t="shared" si="63"/>
        <v>AW</v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str">
        <f t="shared" si="61"/>
        <v>AW</v>
      </c>
      <c r="N382" s="150">
        <f t="shared" si="62"/>
        <v>381</v>
      </c>
      <c r="O382" s="150" t="str">
        <f t="shared" si="63"/>
        <v>AW</v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str">
        <f t="shared" si="61"/>
        <v>AW</v>
      </c>
      <c r="N383" s="150">
        <f t="shared" si="62"/>
        <v>382</v>
      </c>
      <c r="O383" s="150" t="str">
        <f t="shared" si="63"/>
        <v>AW</v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str">
        <f t="shared" si="61"/>
        <v>AW</v>
      </c>
      <c r="N384" s="150">
        <f t="shared" si="62"/>
        <v>383</v>
      </c>
      <c r="O384" s="150" t="str">
        <f t="shared" si="63"/>
        <v>AW</v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str">
        <f t="shared" si="61"/>
        <v>AW</v>
      </c>
      <c r="N385" s="150">
        <f t="shared" si="62"/>
        <v>384</v>
      </c>
      <c r="O385" s="150" t="str">
        <f t="shared" si="63"/>
        <v>AW</v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str">
        <f t="shared" si="61"/>
        <v>AW</v>
      </c>
      <c r="N386" s="150">
        <f t="shared" si="62"/>
        <v>385</v>
      </c>
      <c r="O386" s="150" t="str">
        <f t="shared" si="63"/>
        <v>AW</v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str">
        <f t="shared" ref="M387:M450" si="73">IF(L387="","",IF(L387&lt;=$E$15,VLOOKUP($E$14,$I$1:$J$4,2,FALSE),VLOOKUP($F$14,$I$1:$J$4,2,FALSE)))</f>
        <v>AW</v>
      </c>
      <c r="N387" s="150">
        <f t="shared" ref="N387:N450" si="74">IF($B$20&gt;=K387,K387,"")</f>
        <v>386</v>
      </c>
      <c r="O387" s="150" t="str">
        <f t="shared" ref="O387:O450" si="75">IF(N387="","",IF(N387&lt;=$E$22,VLOOKUP($E$21,$I$1:$J$4,2,FALSE),VLOOKUP($F$21,$I$1:$J$4,2,FALSE)))</f>
        <v>AW</v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str">
        <f t="shared" si="73"/>
        <v>AW</v>
      </c>
      <c r="N388" s="150">
        <f t="shared" si="74"/>
        <v>387</v>
      </c>
      <c r="O388" s="150" t="str">
        <f t="shared" si="75"/>
        <v>AW</v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str">
        <f t="shared" si="73"/>
        <v>AW</v>
      </c>
      <c r="N389" s="150">
        <f t="shared" si="74"/>
        <v>388</v>
      </c>
      <c r="O389" s="150" t="str">
        <f t="shared" si="75"/>
        <v>AW</v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str">
        <f t="shared" si="73"/>
        <v>AW</v>
      </c>
      <c r="N390" s="150">
        <f t="shared" si="74"/>
        <v>389</v>
      </c>
      <c r="O390" s="150" t="str">
        <f t="shared" si="75"/>
        <v>AW</v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str">
        <f t="shared" si="73"/>
        <v>AW</v>
      </c>
      <c r="N391" s="150">
        <f t="shared" si="74"/>
        <v>390</v>
      </c>
      <c r="O391" s="150" t="str">
        <f t="shared" si="75"/>
        <v>AW</v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str">
        <f t="shared" si="73"/>
        <v>AW</v>
      </c>
      <c r="N392" s="150">
        <f t="shared" si="74"/>
        <v>391</v>
      </c>
      <c r="O392" s="150" t="str">
        <f t="shared" si="75"/>
        <v>AW</v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str">
        <f t="shared" si="73"/>
        <v>AW</v>
      </c>
      <c r="N393" s="150">
        <f t="shared" si="74"/>
        <v>392</v>
      </c>
      <c r="O393" s="150" t="str">
        <f t="shared" si="75"/>
        <v>AW</v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str">
        <f t="shared" si="73"/>
        <v>AW</v>
      </c>
      <c r="N394" s="150">
        <f t="shared" si="74"/>
        <v>393</v>
      </c>
      <c r="O394" s="150" t="str">
        <f t="shared" si="75"/>
        <v>AW</v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str">
        <f t="shared" si="73"/>
        <v>AW</v>
      </c>
      <c r="N395" s="150">
        <f t="shared" si="74"/>
        <v>394</v>
      </c>
      <c r="O395" s="150" t="str">
        <f t="shared" si="75"/>
        <v>AW</v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str">
        <f t="shared" si="73"/>
        <v>AW</v>
      </c>
      <c r="N396" s="150">
        <f t="shared" si="74"/>
        <v>395</v>
      </c>
      <c r="O396" s="150" t="str">
        <f t="shared" si="75"/>
        <v>AW</v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str">
        <f t="shared" si="73"/>
        <v>AW</v>
      </c>
      <c r="N397" s="150">
        <f t="shared" si="74"/>
        <v>396</v>
      </c>
      <c r="O397" s="150" t="str">
        <f t="shared" si="75"/>
        <v>AW</v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str">
        <f t="shared" si="73"/>
        <v>AW</v>
      </c>
      <c r="N398" s="150">
        <f t="shared" si="74"/>
        <v>397</v>
      </c>
      <c r="O398" s="150" t="str">
        <f t="shared" si="75"/>
        <v>AW</v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str">
        <f t="shared" si="73"/>
        <v>AW</v>
      </c>
      <c r="N399" s="150">
        <f t="shared" si="74"/>
        <v>398</v>
      </c>
      <c r="O399" s="150" t="str">
        <f t="shared" si="75"/>
        <v>AW</v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str">
        <f t="shared" si="73"/>
        <v>AW</v>
      </c>
      <c r="N400" s="150">
        <f t="shared" si="74"/>
        <v>399</v>
      </c>
      <c r="O400" s="150" t="str">
        <f t="shared" si="75"/>
        <v>AW</v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str">
        <f t="shared" si="73"/>
        <v>AW</v>
      </c>
      <c r="N401" s="150">
        <f t="shared" si="74"/>
        <v>400</v>
      </c>
      <c r="O401" s="150" t="str">
        <f t="shared" si="75"/>
        <v>AW</v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str">
        <f t="shared" si="73"/>
        <v>AW</v>
      </c>
      <c r="N402" s="150">
        <f t="shared" si="74"/>
        <v>401</v>
      </c>
      <c r="O402" s="150" t="str">
        <f t="shared" si="75"/>
        <v>AW</v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str">
        <f t="shared" si="73"/>
        <v>AW</v>
      </c>
      <c r="N403" s="150">
        <f t="shared" si="74"/>
        <v>402</v>
      </c>
      <c r="O403" s="150" t="str">
        <f t="shared" si="75"/>
        <v>AW</v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str">
        <f t="shared" si="73"/>
        <v>AW</v>
      </c>
      <c r="N404" s="150">
        <f t="shared" si="74"/>
        <v>403</v>
      </c>
      <c r="O404" s="150" t="str">
        <f t="shared" si="75"/>
        <v>AW</v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str">
        <f t="shared" si="73"/>
        <v>AW</v>
      </c>
      <c r="N405" s="150">
        <f t="shared" si="74"/>
        <v>404</v>
      </c>
      <c r="O405" s="150" t="str">
        <f t="shared" si="75"/>
        <v>AW</v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str">
        <f t="shared" si="73"/>
        <v>AW</v>
      </c>
      <c r="N406" s="150">
        <f t="shared" si="74"/>
        <v>405</v>
      </c>
      <c r="O406" s="150" t="str">
        <f t="shared" si="75"/>
        <v>AW</v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str">
        <f t="shared" si="73"/>
        <v>AW</v>
      </c>
      <c r="N407" s="150">
        <f t="shared" si="74"/>
        <v>406</v>
      </c>
      <c r="O407" s="150" t="str">
        <f t="shared" si="75"/>
        <v>AW</v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str">
        <f t="shared" si="73"/>
        <v>AW</v>
      </c>
      <c r="N408" s="150">
        <f t="shared" si="74"/>
        <v>407</v>
      </c>
      <c r="O408" s="150" t="str">
        <f t="shared" si="75"/>
        <v>AW</v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str">
        <f t="shared" si="73"/>
        <v>AW</v>
      </c>
      <c r="N409" s="150">
        <f t="shared" si="74"/>
        <v>408</v>
      </c>
      <c r="O409" s="150" t="str">
        <f t="shared" si="75"/>
        <v>AW</v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str">
        <f t="shared" si="73"/>
        <v>AW</v>
      </c>
      <c r="N410" s="150">
        <f t="shared" si="74"/>
        <v>409</v>
      </c>
      <c r="O410" s="150" t="str">
        <f t="shared" si="75"/>
        <v>AW</v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str">
        <f t="shared" si="73"/>
        <v>AW</v>
      </c>
      <c r="N411" s="150">
        <f t="shared" si="74"/>
        <v>410</v>
      </c>
      <c r="O411" s="150" t="str">
        <f t="shared" si="75"/>
        <v>AW</v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str">
        <f t="shared" si="73"/>
        <v>AW</v>
      </c>
      <c r="N412" s="150">
        <f t="shared" si="74"/>
        <v>411</v>
      </c>
      <c r="O412" s="150" t="str">
        <f t="shared" si="75"/>
        <v>AW</v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str">
        <f t="shared" si="73"/>
        <v>AW</v>
      </c>
      <c r="N413" s="150">
        <f t="shared" si="74"/>
        <v>412</v>
      </c>
      <c r="O413" s="150" t="str">
        <f t="shared" si="75"/>
        <v>AW</v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str">
        <f t="shared" si="73"/>
        <v>AW</v>
      </c>
      <c r="N414" s="150">
        <f t="shared" si="74"/>
        <v>413</v>
      </c>
      <c r="O414" s="150" t="str">
        <f t="shared" si="75"/>
        <v>AW</v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str">
        <f t="shared" si="73"/>
        <v>AW</v>
      </c>
      <c r="N415" s="150">
        <f t="shared" si="74"/>
        <v>414</v>
      </c>
      <c r="O415" s="150" t="str">
        <f t="shared" si="75"/>
        <v>AW</v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str">
        <f t="shared" si="73"/>
        <v>AW</v>
      </c>
      <c r="N416" s="150">
        <f t="shared" si="74"/>
        <v>415</v>
      </c>
      <c r="O416" s="150" t="str">
        <f t="shared" si="75"/>
        <v>AW</v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str">
        <f t="shared" si="73"/>
        <v>AW</v>
      </c>
      <c r="N417" s="150">
        <f t="shared" si="74"/>
        <v>416</v>
      </c>
      <c r="O417" s="150" t="str">
        <f t="shared" si="75"/>
        <v>AW</v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str">
        <f t="shared" si="73"/>
        <v>AW</v>
      </c>
      <c r="N418" s="150">
        <f t="shared" si="74"/>
        <v>417</v>
      </c>
      <c r="O418" s="150" t="str">
        <f t="shared" si="75"/>
        <v>AW</v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str">
        <f t="shared" si="73"/>
        <v>AW</v>
      </c>
      <c r="N419" s="150">
        <f t="shared" si="74"/>
        <v>418</v>
      </c>
      <c r="O419" s="150" t="str">
        <f t="shared" si="75"/>
        <v>AW</v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str">
        <f t="shared" si="73"/>
        <v>AW</v>
      </c>
      <c r="N420" s="150">
        <f t="shared" si="74"/>
        <v>419</v>
      </c>
      <c r="O420" s="150" t="str">
        <f t="shared" si="75"/>
        <v>AW</v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str">
        <f t="shared" si="73"/>
        <v>AW</v>
      </c>
      <c r="N421" s="150">
        <f t="shared" si="74"/>
        <v>420</v>
      </c>
      <c r="O421" s="150" t="str">
        <f t="shared" si="75"/>
        <v>AW</v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str">
        <f t="shared" si="73"/>
        <v>AW</v>
      </c>
      <c r="N422" s="150">
        <f t="shared" si="74"/>
        <v>421</v>
      </c>
      <c r="O422" s="150" t="str">
        <f t="shared" si="75"/>
        <v>AW</v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str">
        <f t="shared" si="73"/>
        <v>AW</v>
      </c>
      <c r="N423" s="150">
        <f t="shared" si="74"/>
        <v>422</v>
      </c>
      <c r="O423" s="150" t="str">
        <f t="shared" si="75"/>
        <v>AW</v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str">
        <f t="shared" si="73"/>
        <v>AW</v>
      </c>
      <c r="N424" s="150">
        <f t="shared" si="74"/>
        <v>423</v>
      </c>
      <c r="O424" s="150" t="str">
        <f t="shared" si="75"/>
        <v>AW</v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str">
        <f t="shared" si="73"/>
        <v>AW</v>
      </c>
      <c r="N425" s="150">
        <f t="shared" si="74"/>
        <v>424</v>
      </c>
      <c r="O425" s="150" t="str">
        <f t="shared" si="75"/>
        <v>AW</v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str">
        <f t="shared" si="73"/>
        <v>AW</v>
      </c>
      <c r="N426" s="150">
        <f t="shared" si="74"/>
        <v>425</v>
      </c>
      <c r="O426" s="150" t="str">
        <f t="shared" si="75"/>
        <v>AW</v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str">
        <f t="shared" si="73"/>
        <v>AW</v>
      </c>
      <c r="N427" s="150">
        <f t="shared" si="74"/>
        <v>426</v>
      </c>
      <c r="O427" s="150" t="str">
        <f t="shared" si="75"/>
        <v>AW</v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str">
        <f t="shared" si="73"/>
        <v>AW</v>
      </c>
      <c r="N428" s="150">
        <f t="shared" si="74"/>
        <v>427</v>
      </c>
      <c r="O428" s="150" t="str">
        <f t="shared" si="75"/>
        <v>AW</v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str">
        <f t="shared" si="73"/>
        <v>AW</v>
      </c>
      <c r="N429" s="150">
        <f t="shared" si="74"/>
        <v>428</v>
      </c>
      <c r="O429" s="150" t="str">
        <f t="shared" si="75"/>
        <v>AW</v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str">
        <f t="shared" si="73"/>
        <v>AW</v>
      </c>
      <c r="N430" s="150">
        <f t="shared" si="74"/>
        <v>429</v>
      </c>
      <c r="O430" s="150" t="str">
        <f t="shared" si="75"/>
        <v>AW</v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str">
        <f t="shared" si="73"/>
        <v>AW</v>
      </c>
      <c r="N431" s="150">
        <f t="shared" si="74"/>
        <v>430</v>
      </c>
      <c r="O431" s="150" t="str">
        <f t="shared" si="75"/>
        <v>AW</v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str">
        <f t="shared" si="73"/>
        <v>AW</v>
      </c>
      <c r="N432" s="150">
        <f t="shared" si="74"/>
        <v>431</v>
      </c>
      <c r="O432" s="150" t="str">
        <f t="shared" si="75"/>
        <v>AW</v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str">
        <f t="shared" si="73"/>
        <v>AW</v>
      </c>
      <c r="N433" s="150">
        <f t="shared" si="74"/>
        <v>432</v>
      </c>
      <c r="O433" s="150" t="str">
        <f t="shared" si="75"/>
        <v>AW</v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str">
        <f t="shared" si="73"/>
        <v>AW</v>
      </c>
      <c r="N434" s="150">
        <f t="shared" si="74"/>
        <v>433</v>
      </c>
      <c r="O434" s="150" t="str">
        <f t="shared" si="75"/>
        <v>AW</v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str">
        <f t="shared" si="73"/>
        <v>AW</v>
      </c>
      <c r="N435" s="150">
        <f t="shared" si="74"/>
        <v>434</v>
      </c>
      <c r="O435" s="150" t="str">
        <f t="shared" si="75"/>
        <v>AW</v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str">
        <f t="shared" si="73"/>
        <v>AW</v>
      </c>
      <c r="N436" s="150">
        <f t="shared" si="74"/>
        <v>435</v>
      </c>
      <c r="O436" s="150" t="str">
        <f t="shared" si="75"/>
        <v>AW</v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str">
        <f t="shared" si="73"/>
        <v>AW</v>
      </c>
      <c r="N437" s="150">
        <f t="shared" si="74"/>
        <v>436</v>
      </c>
      <c r="O437" s="150" t="str">
        <f t="shared" si="75"/>
        <v>AW</v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str">
        <f t="shared" si="73"/>
        <v>AW</v>
      </c>
      <c r="N438" s="150">
        <f t="shared" si="74"/>
        <v>437</v>
      </c>
      <c r="O438" s="150" t="str">
        <f t="shared" si="75"/>
        <v>AW</v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str">
        <f t="shared" si="73"/>
        <v>AW</v>
      </c>
      <c r="N439" s="150">
        <f t="shared" si="74"/>
        <v>438</v>
      </c>
      <c r="O439" s="150" t="str">
        <f t="shared" si="75"/>
        <v>AW</v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str">
        <f t="shared" si="73"/>
        <v>AW</v>
      </c>
      <c r="N440" s="150">
        <f t="shared" si="74"/>
        <v>439</v>
      </c>
      <c r="O440" s="150" t="str">
        <f t="shared" si="75"/>
        <v>AW</v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str">
        <f t="shared" si="73"/>
        <v>AW</v>
      </c>
      <c r="N441" s="150">
        <f t="shared" si="74"/>
        <v>440</v>
      </c>
      <c r="O441" s="150" t="str">
        <f t="shared" si="75"/>
        <v>AW</v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str">
        <f t="shared" si="73"/>
        <v>AW</v>
      </c>
      <c r="N442" s="150">
        <f t="shared" si="74"/>
        <v>441</v>
      </c>
      <c r="O442" s="150" t="str">
        <f t="shared" si="75"/>
        <v>AW</v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str">
        <f t="shared" si="73"/>
        <v>AW</v>
      </c>
      <c r="N443" s="150">
        <f t="shared" si="74"/>
        <v>442</v>
      </c>
      <c r="O443" s="150" t="str">
        <f t="shared" si="75"/>
        <v>AW</v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str">
        <f t="shared" si="73"/>
        <v>AW</v>
      </c>
      <c r="N444" s="150">
        <f t="shared" si="74"/>
        <v>443</v>
      </c>
      <c r="O444" s="150" t="str">
        <f t="shared" si="75"/>
        <v>AW</v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str">
        <f t="shared" si="73"/>
        <v>AW</v>
      </c>
      <c r="N445" s="150">
        <f t="shared" si="74"/>
        <v>444</v>
      </c>
      <c r="O445" s="150" t="str">
        <f t="shared" si="75"/>
        <v>AW</v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str">
        <f t="shared" si="73"/>
        <v>AW</v>
      </c>
      <c r="N446" s="150">
        <f t="shared" si="74"/>
        <v>445</v>
      </c>
      <c r="O446" s="150" t="str">
        <f t="shared" si="75"/>
        <v>AW</v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str">
        <f t="shared" si="73"/>
        <v>AW</v>
      </c>
      <c r="N447" s="150">
        <f t="shared" si="74"/>
        <v>446</v>
      </c>
      <c r="O447" s="150" t="str">
        <f t="shared" si="75"/>
        <v>AW</v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str">
        <f t="shared" si="73"/>
        <v>AW</v>
      </c>
      <c r="N448" s="150">
        <f t="shared" si="74"/>
        <v>447</v>
      </c>
      <c r="O448" s="150" t="str">
        <f t="shared" si="75"/>
        <v>AW</v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str">
        <f t="shared" si="73"/>
        <v>AW</v>
      </c>
      <c r="N449" s="150">
        <f t="shared" si="74"/>
        <v>448</v>
      </c>
      <c r="O449" s="150" t="str">
        <f t="shared" si="75"/>
        <v>AW</v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str">
        <f t="shared" si="73"/>
        <v>AW</v>
      </c>
      <c r="N450" s="150">
        <f t="shared" si="74"/>
        <v>449</v>
      </c>
      <c r="O450" s="150" t="str">
        <f t="shared" si="75"/>
        <v>AW</v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str">
        <f t="shared" ref="M451:M514" si="85">IF(L451="","",IF(L451&lt;=$E$15,VLOOKUP($E$14,$I$1:$J$4,2,FALSE),VLOOKUP($F$14,$I$1:$J$4,2,FALSE)))</f>
        <v>AW</v>
      </c>
      <c r="N451" s="150">
        <f t="shared" ref="N451:N514" si="86">IF($B$20&gt;=K451,K451,"")</f>
        <v>450</v>
      </c>
      <c r="O451" s="150" t="str">
        <f t="shared" ref="O451:O514" si="87">IF(N451="","",IF(N451&lt;=$E$22,VLOOKUP($E$21,$I$1:$J$4,2,FALSE),VLOOKUP($F$21,$I$1:$J$4,2,FALSE)))</f>
        <v>AW</v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str">
        <f t="shared" si="85"/>
        <v>AW</v>
      </c>
      <c r="N452" s="150">
        <f t="shared" si="86"/>
        <v>451</v>
      </c>
      <c r="O452" s="150" t="str">
        <f t="shared" si="87"/>
        <v>AW</v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str">
        <f t="shared" si="85"/>
        <v>AW</v>
      </c>
      <c r="N453" s="150">
        <f t="shared" si="86"/>
        <v>452</v>
      </c>
      <c r="O453" s="150" t="str">
        <f t="shared" si="87"/>
        <v>AW</v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str">
        <f t="shared" si="85"/>
        <v>AW</v>
      </c>
      <c r="N454" s="150">
        <f t="shared" si="86"/>
        <v>453</v>
      </c>
      <c r="O454" s="150" t="str">
        <f t="shared" si="87"/>
        <v>AW</v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str">
        <f t="shared" si="85"/>
        <v>AW</v>
      </c>
      <c r="N455" s="150">
        <f t="shared" si="86"/>
        <v>454</v>
      </c>
      <c r="O455" s="150" t="str">
        <f t="shared" si="87"/>
        <v>AW</v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str">
        <f t="shared" si="85"/>
        <v>AW</v>
      </c>
      <c r="N456" s="150">
        <f t="shared" si="86"/>
        <v>455</v>
      </c>
      <c r="O456" s="150" t="str">
        <f t="shared" si="87"/>
        <v>AW</v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str">
        <f t="shared" si="85"/>
        <v>AW</v>
      </c>
      <c r="N457" s="150">
        <f t="shared" si="86"/>
        <v>456</v>
      </c>
      <c r="O457" s="150" t="str">
        <f t="shared" si="87"/>
        <v>AW</v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str">
        <f t="shared" si="85"/>
        <v>AW</v>
      </c>
      <c r="N458" s="150">
        <f t="shared" si="86"/>
        <v>457</v>
      </c>
      <c r="O458" s="150" t="str">
        <f t="shared" si="87"/>
        <v>AW</v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str">
        <f t="shared" si="85"/>
        <v>AW</v>
      </c>
      <c r="N459" s="150">
        <f t="shared" si="86"/>
        <v>458</v>
      </c>
      <c r="O459" s="150" t="str">
        <f t="shared" si="87"/>
        <v>AW</v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str">
        <f t="shared" si="85"/>
        <v>AW</v>
      </c>
      <c r="N460" s="150">
        <f t="shared" si="86"/>
        <v>459</v>
      </c>
      <c r="O460" s="150" t="str">
        <f t="shared" si="87"/>
        <v>AW</v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str">
        <f t="shared" si="85"/>
        <v>AW</v>
      </c>
      <c r="N461" s="150">
        <f t="shared" si="86"/>
        <v>460</v>
      </c>
      <c r="O461" s="150" t="str">
        <f t="shared" si="87"/>
        <v>AW</v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str">
        <f t="shared" si="85"/>
        <v>AW</v>
      </c>
      <c r="N462" s="150">
        <f t="shared" si="86"/>
        <v>461</v>
      </c>
      <c r="O462" s="150" t="str">
        <f t="shared" si="87"/>
        <v>AW</v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str">
        <f t="shared" si="85"/>
        <v>AW</v>
      </c>
      <c r="N463" s="150">
        <f t="shared" si="86"/>
        <v>462</v>
      </c>
      <c r="O463" s="150" t="str">
        <f t="shared" si="87"/>
        <v>AW</v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str">
        <f t="shared" si="85"/>
        <v>AW</v>
      </c>
      <c r="N464" s="150">
        <f t="shared" si="86"/>
        <v>463</v>
      </c>
      <c r="O464" s="150" t="str">
        <f t="shared" si="87"/>
        <v>AW</v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str">
        <f t="shared" si="85"/>
        <v>AW</v>
      </c>
      <c r="N465" s="150">
        <f t="shared" si="86"/>
        <v>464</v>
      </c>
      <c r="O465" s="150" t="str">
        <f t="shared" si="87"/>
        <v>AW</v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str">
        <f t="shared" si="85"/>
        <v>AW</v>
      </c>
      <c r="N466" s="150">
        <f t="shared" si="86"/>
        <v>465</v>
      </c>
      <c r="O466" s="150" t="str">
        <f t="shared" si="87"/>
        <v>AW</v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str">
        <f t="shared" si="85"/>
        <v>AW</v>
      </c>
      <c r="N467" s="150">
        <f t="shared" si="86"/>
        <v>466</v>
      </c>
      <c r="O467" s="150" t="str">
        <f t="shared" si="87"/>
        <v>AW</v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str">
        <f t="shared" si="85"/>
        <v>AW</v>
      </c>
      <c r="N468" s="150">
        <f t="shared" si="86"/>
        <v>467</v>
      </c>
      <c r="O468" s="150" t="str">
        <f t="shared" si="87"/>
        <v>AW</v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str">
        <f t="shared" si="85"/>
        <v>AW</v>
      </c>
      <c r="N469" s="150">
        <f t="shared" si="86"/>
        <v>468</v>
      </c>
      <c r="O469" s="150" t="str">
        <f t="shared" si="87"/>
        <v>AW</v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str">
        <f t="shared" si="85"/>
        <v>AW</v>
      </c>
      <c r="N470" s="150">
        <f t="shared" si="86"/>
        <v>469</v>
      </c>
      <c r="O470" s="150" t="str">
        <f t="shared" si="87"/>
        <v>AW</v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str">
        <f t="shared" si="85"/>
        <v>AW</v>
      </c>
      <c r="N471" s="150">
        <f t="shared" si="86"/>
        <v>470</v>
      </c>
      <c r="O471" s="150" t="str">
        <f t="shared" si="87"/>
        <v>AW</v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str">
        <f t="shared" si="85"/>
        <v>AW</v>
      </c>
      <c r="N472" s="150">
        <f t="shared" si="86"/>
        <v>471</v>
      </c>
      <c r="O472" s="150" t="str">
        <f t="shared" si="87"/>
        <v>AW</v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str">
        <f t="shared" si="85"/>
        <v>AW</v>
      </c>
      <c r="N473" s="150">
        <f t="shared" si="86"/>
        <v>472</v>
      </c>
      <c r="O473" s="150" t="str">
        <f t="shared" si="87"/>
        <v>AW</v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str">
        <f t="shared" si="85"/>
        <v>AW</v>
      </c>
      <c r="N474" s="150">
        <f t="shared" si="86"/>
        <v>473</v>
      </c>
      <c r="O474" s="150" t="str">
        <f t="shared" si="87"/>
        <v>AW</v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str">
        <f t="shared" si="85"/>
        <v>AW</v>
      </c>
      <c r="N475" s="150">
        <f t="shared" si="86"/>
        <v>474</v>
      </c>
      <c r="O475" s="150" t="str">
        <f t="shared" si="87"/>
        <v>AW</v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str">
        <f t="shared" si="85"/>
        <v>AW</v>
      </c>
      <c r="N476" s="150">
        <f t="shared" si="86"/>
        <v>475</v>
      </c>
      <c r="O476" s="150" t="str">
        <f t="shared" si="87"/>
        <v>AW</v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str">
        <f t="shared" si="85"/>
        <v>AW</v>
      </c>
      <c r="N477" s="150">
        <f t="shared" si="86"/>
        <v>476</v>
      </c>
      <c r="O477" s="150" t="str">
        <f t="shared" si="87"/>
        <v>AW</v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str">
        <f t="shared" si="85"/>
        <v>AW</v>
      </c>
      <c r="N478" s="150">
        <f t="shared" si="86"/>
        <v>477</v>
      </c>
      <c r="O478" s="150" t="str">
        <f t="shared" si="87"/>
        <v>AW</v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str">
        <f t="shared" si="85"/>
        <v>AW</v>
      </c>
      <c r="N479" s="150">
        <f t="shared" si="86"/>
        <v>478</v>
      </c>
      <c r="O479" s="150" t="str">
        <f t="shared" si="87"/>
        <v>AW</v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str">
        <f t="shared" si="85"/>
        <v>AW</v>
      </c>
      <c r="N480" s="150">
        <f t="shared" si="86"/>
        <v>479</v>
      </c>
      <c r="O480" s="150" t="str">
        <f t="shared" si="87"/>
        <v>AW</v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str">
        <f t="shared" si="85"/>
        <v>AW</v>
      </c>
      <c r="N481" s="150">
        <f t="shared" si="86"/>
        <v>480</v>
      </c>
      <c r="O481" s="150" t="str">
        <f t="shared" si="87"/>
        <v>AW</v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str">
        <f t="shared" si="85"/>
        <v>AW</v>
      </c>
      <c r="N482" s="150">
        <f t="shared" si="86"/>
        <v>481</v>
      </c>
      <c r="O482" s="150" t="str">
        <f t="shared" si="87"/>
        <v>AW</v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str">
        <f t="shared" si="85"/>
        <v>AW</v>
      </c>
      <c r="N483" s="150">
        <f t="shared" si="86"/>
        <v>482</v>
      </c>
      <c r="O483" s="150" t="str">
        <f t="shared" si="87"/>
        <v>AW</v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str">
        <f t="shared" si="85"/>
        <v>AW</v>
      </c>
      <c r="N484" s="150">
        <f t="shared" si="86"/>
        <v>483</v>
      </c>
      <c r="O484" s="150" t="str">
        <f t="shared" si="87"/>
        <v>AW</v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str">
        <f t="shared" si="85"/>
        <v>AW</v>
      </c>
      <c r="N485" s="150">
        <f t="shared" si="86"/>
        <v>484</v>
      </c>
      <c r="O485" s="150" t="str">
        <f t="shared" si="87"/>
        <v>AW</v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str">
        <f t="shared" si="85"/>
        <v>AW</v>
      </c>
      <c r="N486" s="150">
        <f t="shared" si="86"/>
        <v>485</v>
      </c>
      <c r="O486" s="150" t="str">
        <f t="shared" si="87"/>
        <v>AW</v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str">
        <f t="shared" si="85"/>
        <v>AW</v>
      </c>
      <c r="N487" s="150">
        <f t="shared" si="86"/>
        <v>486</v>
      </c>
      <c r="O487" s="150" t="str">
        <f t="shared" si="87"/>
        <v>AW</v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str">
        <f t="shared" si="85"/>
        <v>AW</v>
      </c>
      <c r="N488" s="150">
        <f t="shared" si="86"/>
        <v>487</v>
      </c>
      <c r="O488" s="150" t="str">
        <f t="shared" si="87"/>
        <v>AW</v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str">
        <f t="shared" si="85"/>
        <v>AW</v>
      </c>
      <c r="N489" s="150">
        <f t="shared" si="86"/>
        <v>488</v>
      </c>
      <c r="O489" s="150" t="str">
        <f t="shared" si="87"/>
        <v>AW</v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str">
        <f t="shared" si="85"/>
        <v>AW</v>
      </c>
      <c r="N490" s="150">
        <f t="shared" si="86"/>
        <v>489</v>
      </c>
      <c r="O490" s="150" t="str">
        <f t="shared" si="87"/>
        <v>AW</v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str">
        <f t="shared" si="85"/>
        <v>AW</v>
      </c>
      <c r="N491" s="150">
        <f t="shared" si="86"/>
        <v>490</v>
      </c>
      <c r="O491" s="150" t="str">
        <f t="shared" si="87"/>
        <v>AW</v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str">
        <f t="shared" si="85"/>
        <v>AW</v>
      </c>
      <c r="N492" s="150">
        <f t="shared" si="86"/>
        <v>491</v>
      </c>
      <c r="O492" s="150" t="str">
        <f t="shared" si="87"/>
        <v>AW</v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str">
        <f t="shared" si="85"/>
        <v>AW</v>
      </c>
      <c r="N493" s="150">
        <f t="shared" si="86"/>
        <v>492</v>
      </c>
      <c r="O493" s="150" t="str">
        <f t="shared" si="87"/>
        <v>AW</v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str">
        <f t="shared" si="85"/>
        <v>AW</v>
      </c>
      <c r="N494" s="150">
        <f t="shared" si="86"/>
        <v>493</v>
      </c>
      <c r="O494" s="150" t="str">
        <f t="shared" si="87"/>
        <v>AW</v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str">
        <f t="shared" si="85"/>
        <v>AW</v>
      </c>
      <c r="N495" s="150">
        <f t="shared" si="86"/>
        <v>494</v>
      </c>
      <c r="O495" s="150" t="str">
        <f t="shared" si="87"/>
        <v>AW</v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str">
        <f t="shared" si="85"/>
        <v>AW</v>
      </c>
      <c r="N496" s="150">
        <f t="shared" si="86"/>
        <v>495</v>
      </c>
      <c r="O496" s="150" t="str">
        <f t="shared" si="87"/>
        <v>AW</v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str">
        <f t="shared" si="85"/>
        <v>AW</v>
      </c>
      <c r="N497" s="150">
        <f t="shared" si="86"/>
        <v>496</v>
      </c>
      <c r="O497" s="150" t="str">
        <f t="shared" si="87"/>
        <v>AW</v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str">
        <f t="shared" si="85"/>
        <v>AW</v>
      </c>
      <c r="N498" s="150">
        <f t="shared" si="86"/>
        <v>497</v>
      </c>
      <c r="O498" s="150" t="str">
        <f t="shared" si="87"/>
        <v>AW</v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str">
        <f t="shared" si="85"/>
        <v>AW</v>
      </c>
      <c r="N499" s="150">
        <f t="shared" si="86"/>
        <v>498</v>
      </c>
      <c r="O499" s="150" t="str">
        <f t="shared" si="87"/>
        <v>AW</v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str">
        <f t="shared" si="85"/>
        <v>AW</v>
      </c>
      <c r="N500" s="150">
        <f t="shared" si="86"/>
        <v>499</v>
      </c>
      <c r="O500" s="150" t="str">
        <f t="shared" si="87"/>
        <v>AW</v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str">
        <f t="shared" si="85"/>
        <v>AW</v>
      </c>
      <c r="N501" s="150">
        <f t="shared" si="86"/>
        <v>500</v>
      </c>
      <c r="O501" s="150" t="str">
        <f t="shared" si="87"/>
        <v>AW</v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str">
        <f t="shared" si="85"/>
        <v>AW</v>
      </c>
      <c r="N502" s="150">
        <f t="shared" si="86"/>
        <v>501</v>
      </c>
      <c r="O502" s="150" t="str">
        <f t="shared" si="87"/>
        <v>AW</v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str">
        <f t="shared" si="85"/>
        <v>AW</v>
      </c>
      <c r="N503" s="150">
        <f t="shared" si="86"/>
        <v>502</v>
      </c>
      <c r="O503" s="150" t="str">
        <f t="shared" si="87"/>
        <v>AW</v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str">
        <f t="shared" si="85"/>
        <v>AW</v>
      </c>
      <c r="N504" s="150">
        <f t="shared" si="86"/>
        <v>503</v>
      </c>
      <c r="O504" s="150" t="str">
        <f t="shared" si="87"/>
        <v>AW</v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str">
        <f t="shared" si="85"/>
        <v>AW</v>
      </c>
      <c r="N505" s="150">
        <f t="shared" si="86"/>
        <v>504</v>
      </c>
      <c r="O505" s="150" t="str">
        <f t="shared" si="87"/>
        <v>AW</v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str">
        <f t="shared" si="85"/>
        <v>AW</v>
      </c>
      <c r="N506" s="150">
        <f t="shared" si="86"/>
        <v>505</v>
      </c>
      <c r="O506" s="150" t="str">
        <f t="shared" si="87"/>
        <v>AW</v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str">
        <f t="shared" si="85"/>
        <v>AW</v>
      </c>
      <c r="N507" s="150">
        <f t="shared" si="86"/>
        <v>506</v>
      </c>
      <c r="O507" s="150" t="str">
        <f t="shared" si="87"/>
        <v>AW</v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str">
        <f t="shared" si="85"/>
        <v>AW</v>
      </c>
      <c r="N508" s="150">
        <f t="shared" si="86"/>
        <v>507</v>
      </c>
      <c r="O508" s="150" t="str">
        <f t="shared" si="87"/>
        <v>AW</v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str">
        <f t="shared" si="85"/>
        <v>AW</v>
      </c>
      <c r="N509" s="150">
        <f t="shared" si="86"/>
        <v>508</v>
      </c>
      <c r="O509" s="150" t="str">
        <f t="shared" si="87"/>
        <v>AW</v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str">
        <f t="shared" si="85"/>
        <v>AW</v>
      </c>
      <c r="N510" s="150">
        <f t="shared" si="86"/>
        <v>509</v>
      </c>
      <c r="O510" s="150" t="str">
        <f t="shared" si="87"/>
        <v>AW</v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str">
        <f t="shared" si="85"/>
        <v>AW</v>
      </c>
      <c r="N511" s="150">
        <f t="shared" si="86"/>
        <v>510</v>
      </c>
      <c r="O511" s="150" t="str">
        <f t="shared" si="87"/>
        <v>AW</v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str">
        <f t="shared" si="85"/>
        <v>AW</v>
      </c>
      <c r="N512" s="150">
        <f t="shared" si="86"/>
        <v>511</v>
      </c>
      <c r="O512" s="150" t="str">
        <f t="shared" si="87"/>
        <v>AW</v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str">
        <f t="shared" si="85"/>
        <v>AW</v>
      </c>
      <c r="N513" s="150">
        <f t="shared" si="86"/>
        <v>512</v>
      </c>
      <c r="O513" s="150" t="str">
        <f t="shared" si="87"/>
        <v>AW</v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str">
        <f t="shared" si="85"/>
        <v>AW</v>
      </c>
      <c r="N514" s="150">
        <f t="shared" si="86"/>
        <v>513</v>
      </c>
      <c r="O514" s="150" t="str">
        <f t="shared" si="87"/>
        <v>AW</v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str">
        <f t="shared" ref="M515:M578" si="97">IF(L515="","",IF(L515&lt;=$E$15,VLOOKUP($E$14,$I$1:$J$4,2,FALSE),VLOOKUP($F$14,$I$1:$J$4,2,FALSE)))</f>
        <v>AW</v>
      </c>
      <c r="N515" s="150">
        <f t="shared" ref="N515:N578" si="98">IF($B$20&gt;=K515,K515,"")</f>
        <v>514</v>
      </c>
      <c r="O515" s="150" t="str">
        <f t="shared" ref="O515:O578" si="99">IF(N515="","",IF(N515&lt;=$E$22,VLOOKUP($E$21,$I$1:$J$4,2,FALSE),VLOOKUP($F$21,$I$1:$J$4,2,FALSE)))</f>
        <v>AW</v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str">
        <f t="shared" si="97"/>
        <v>AW</v>
      </c>
      <c r="N516" s="150">
        <f t="shared" si="98"/>
        <v>515</v>
      </c>
      <c r="O516" s="150" t="str">
        <f t="shared" si="99"/>
        <v>AW</v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str">
        <f t="shared" si="97"/>
        <v>AW</v>
      </c>
      <c r="N517" s="150">
        <f t="shared" si="98"/>
        <v>516</v>
      </c>
      <c r="O517" s="150" t="str">
        <f t="shared" si="99"/>
        <v>AW</v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str">
        <f t="shared" si="97"/>
        <v>AW</v>
      </c>
      <c r="N518" s="150">
        <f t="shared" si="98"/>
        <v>517</v>
      </c>
      <c r="O518" s="150" t="str">
        <f t="shared" si="99"/>
        <v>AW</v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str">
        <f t="shared" si="97"/>
        <v>AW</v>
      </c>
      <c r="N519" s="150">
        <f t="shared" si="98"/>
        <v>518</v>
      </c>
      <c r="O519" s="150" t="str">
        <f t="shared" si="99"/>
        <v>AW</v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str">
        <f t="shared" si="97"/>
        <v>AW</v>
      </c>
      <c r="N520" s="150">
        <f t="shared" si="98"/>
        <v>519</v>
      </c>
      <c r="O520" s="150" t="str">
        <f t="shared" si="99"/>
        <v>AW</v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str">
        <f t="shared" si="97"/>
        <v>AW</v>
      </c>
      <c r="N521" s="150">
        <f t="shared" si="98"/>
        <v>520</v>
      </c>
      <c r="O521" s="150" t="str">
        <f t="shared" si="99"/>
        <v>AW</v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str">
        <f t="shared" si="97"/>
        <v>AW</v>
      </c>
      <c r="N522" s="150">
        <f t="shared" si="98"/>
        <v>521</v>
      </c>
      <c r="O522" s="150" t="str">
        <f t="shared" si="99"/>
        <v>AW</v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str">
        <f t="shared" si="97"/>
        <v>AW</v>
      </c>
      <c r="N523" s="150">
        <f t="shared" si="98"/>
        <v>522</v>
      </c>
      <c r="O523" s="150" t="str">
        <f t="shared" si="99"/>
        <v>AW</v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str">
        <f t="shared" si="97"/>
        <v>AW</v>
      </c>
      <c r="N524" s="150">
        <f t="shared" si="98"/>
        <v>523</v>
      </c>
      <c r="O524" s="150" t="str">
        <f t="shared" si="99"/>
        <v>AW</v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str">
        <f t="shared" si="97"/>
        <v>AW</v>
      </c>
      <c r="N525" s="150">
        <f t="shared" si="98"/>
        <v>524</v>
      </c>
      <c r="O525" s="150" t="str">
        <f t="shared" si="99"/>
        <v>AW</v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str">
        <f t="shared" si="97"/>
        <v>AW</v>
      </c>
      <c r="N526" s="150">
        <f t="shared" si="98"/>
        <v>525</v>
      </c>
      <c r="O526" s="150" t="str">
        <f t="shared" si="99"/>
        <v>AW</v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str">
        <f t="shared" si="97"/>
        <v>AW</v>
      </c>
      <c r="N527" s="150">
        <f t="shared" si="98"/>
        <v>526</v>
      </c>
      <c r="O527" s="150" t="str">
        <f t="shared" si="99"/>
        <v>AW</v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str">
        <f t="shared" si="97"/>
        <v>AW</v>
      </c>
      <c r="N528" s="150">
        <f t="shared" si="98"/>
        <v>527</v>
      </c>
      <c r="O528" s="150" t="str">
        <f t="shared" si="99"/>
        <v>AW</v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str">
        <f t="shared" si="97"/>
        <v>AW</v>
      </c>
      <c r="N529" s="150">
        <f t="shared" si="98"/>
        <v>528</v>
      </c>
      <c r="O529" s="150" t="str">
        <f t="shared" si="99"/>
        <v>AW</v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str">
        <f t="shared" si="97"/>
        <v>AW</v>
      </c>
      <c r="N530" s="150">
        <f t="shared" si="98"/>
        <v>529</v>
      </c>
      <c r="O530" s="150" t="str">
        <f t="shared" si="99"/>
        <v>AW</v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str">
        <f t="shared" si="97"/>
        <v>AW</v>
      </c>
      <c r="N531" s="150">
        <f t="shared" si="98"/>
        <v>530</v>
      </c>
      <c r="O531" s="150" t="str">
        <f t="shared" si="99"/>
        <v>AW</v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str">
        <f t="shared" si="97"/>
        <v>AW</v>
      </c>
      <c r="N532" s="150">
        <f t="shared" si="98"/>
        <v>531</v>
      </c>
      <c r="O532" s="150" t="str">
        <f t="shared" si="99"/>
        <v>AW</v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str">
        <f t="shared" si="97"/>
        <v>AW</v>
      </c>
      <c r="N533" s="150">
        <f t="shared" si="98"/>
        <v>532</v>
      </c>
      <c r="O533" s="150" t="str">
        <f t="shared" si="99"/>
        <v>AW</v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str">
        <f t="shared" si="97"/>
        <v>AW</v>
      </c>
      <c r="N534" s="150">
        <f t="shared" si="98"/>
        <v>533</v>
      </c>
      <c r="O534" s="150" t="str">
        <f t="shared" si="99"/>
        <v>AW</v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str">
        <f t="shared" si="97"/>
        <v>AW</v>
      </c>
      <c r="N535" s="150">
        <f t="shared" si="98"/>
        <v>534</v>
      </c>
      <c r="O535" s="150" t="str">
        <f t="shared" si="99"/>
        <v>AW</v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str">
        <f t="shared" si="97"/>
        <v>AW</v>
      </c>
      <c r="N536" s="150">
        <f t="shared" si="98"/>
        <v>535</v>
      </c>
      <c r="O536" s="150" t="str">
        <f t="shared" si="99"/>
        <v>AW</v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str">
        <f t="shared" si="97"/>
        <v>AW</v>
      </c>
      <c r="N537" s="150">
        <f t="shared" si="98"/>
        <v>536</v>
      </c>
      <c r="O537" s="150" t="str">
        <f t="shared" si="99"/>
        <v>AW</v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str">
        <f t="shared" si="97"/>
        <v>AW</v>
      </c>
      <c r="N538" s="150">
        <f t="shared" si="98"/>
        <v>537</v>
      </c>
      <c r="O538" s="150" t="str">
        <f t="shared" si="99"/>
        <v>AW</v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str">
        <f t="shared" si="97"/>
        <v>AW</v>
      </c>
      <c r="N539" s="150">
        <f t="shared" si="98"/>
        <v>538</v>
      </c>
      <c r="O539" s="150" t="str">
        <f t="shared" si="99"/>
        <v>AW</v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str">
        <f t="shared" si="97"/>
        <v>AW</v>
      </c>
      <c r="N540" s="150">
        <f t="shared" si="98"/>
        <v>539</v>
      </c>
      <c r="O540" s="150" t="str">
        <f t="shared" si="99"/>
        <v>AW</v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str">
        <f t="shared" si="97"/>
        <v>AW</v>
      </c>
      <c r="N541" s="150">
        <f t="shared" si="98"/>
        <v>540</v>
      </c>
      <c r="O541" s="150" t="str">
        <f t="shared" si="99"/>
        <v>AW</v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str">
        <f t="shared" si="97"/>
        <v>AW</v>
      </c>
      <c r="N542" s="150">
        <f t="shared" si="98"/>
        <v>541</v>
      </c>
      <c r="O542" s="150" t="str">
        <f t="shared" si="99"/>
        <v>AW</v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str">
        <f t="shared" si="97"/>
        <v>AW</v>
      </c>
      <c r="N543" s="150">
        <f t="shared" si="98"/>
        <v>542</v>
      </c>
      <c r="O543" s="150" t="str">
        <f t="shared" si="99"/>
        <v>AW</v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str">
        <f t="shared" si="97"/>
        <v>AW</v>
      </c>
      <c r="N544" s="150">
        <f t="shared" si="98"/>
        <v>543</v>
      </c>
      <c r="O544" s="150" t="str">
        <f t="shared" si="99"/>
        <v>AW</v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str">
        <f t="shared" si="97"/>
        <v>AW</v>
      </c>
      <c r="N545" s="150">
        <f t="shared" si="98"/>
        <v>544</v>
      </c>
      <c r="O545" s="150" t="str">
        <f t="shared" si="99"/>
        <v>AW</v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str">
        <f t="shared" si="97"/>
        <v>AW</v>
      </c>
      <c r="N546" s="150">
        <f t="shared" si="98"/>
        <v>545</v>
      </c>
      <c r="O546" s="150" t="str">
        <f t="shared" si="99"/>
        <v>AW</v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str">
        <f t="shared" si="97"/>
        <v>AW</v>
      </c>
      <c r="N547" s="150">
        <f t="shared" si="98"/>
        <v>546</v>
      </c>
      <c r="O547" s="150" t="str">
        <f t="shared" si="99"/>
        <v>AW</v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str">
        <f t="shared" si="97"/>
        <v>AW</v>
      </c>
      <c r="N548" s="150">
        <f t="shared" si="98"/>
        <v>547</v>
      </c>
      <c r="O548" s="150" t="str">
        <f t="shared" si="99"/>
        <v>AW</v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str">
        <f t="shared" si="97"/>
        <v>AW</v>
      </c>
      <c r="N549" s="150">
        <f t="shared" si="98"/>
        <v>548</v>
      </c>
      <c r="O549" s="150" t="str">
        <f t="shared" si="99"/>
        <v>AW</v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str">
        <f t="shared" si="97"/>
        <v>AW</v>
      </c>
      <c r="N550" s="150">
        <f t="shared" si="98"/>
        <v>549</v>
      </c>
      <c r="O550" s="150" t="str">
        <f t="shared" si="99"/>
        <v>AW</v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str">
        <f t="shared" si="97"/>
        <v>AW</v>
      </c>
      <c r="N551" s="150">
        <f t="shared" si="98"/>
        <v>550</v>
      </c>
      <c r="O551" s="150" t="str">
        <f t="shared" si="99"/>
        <v>AW</v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str">
        <f t="shared" si="97"/>
        <v>AW</v>
      </c>
      <c r="N552" s="150">
        <f t="shared" si="98"/>
        <v>551</v>
      </c>
      <c r="O552" s="150" t="str">
        <f t="shared" si="99"/>
        <v>AW</v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str">
        <f t="shared" si="97"/>
        <v>AW</v>
      </c>
      <c r="N553" s="150">
        <f t="shared" si="98"/>
        <v>552</v>
      </c>
      <c r="O553" s="150" t="str">
        <f t="shared" si="99"/>
        <v>AW</v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str">
        <f t="shared" si="97"/>
        <v>AW</v>
      </c>
      <c r="N554" s="150">
        <f t="shared" si="98"/>
        <v>553</v>
      </c>
      <c r="O554" s="150" t="str">
        <f t="shared" si="99"/>
        <v>AW</v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str">
        <f t="shared" si="97"/>
        <v>AW</v>
      </c>
      <c r="N555" s="150">
        <f t="shared" si="98"/>
        <v>554</v>
      </c>
      <c r="O555" s="150" t="str">
        <f t="shared" si="99"/>
        <v>AW</v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str">
        <f t="shared" si="97"/>
        <v>AW</v>
      </c>
      <c r="N556" s="150">
        <f t="shared" si="98"/>
        <v>555</v>
      </c>
      <c r="O556" s="150" t="str">
        <f t="shared" si="99"/>
        <v>AW</v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str">
        <f t="shared" si="97"/>
        <v>AW</v>
      </c>
      <c r="N557" s="150">
        <f t="shared" si="98"/>
        <v>556</v>
      </c>
      <c r="O557" s="150" t="str">
        <f t="shared" si="99"/>
        <v>AW</v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str">
        <f t="shared" si="97"/>
        <v>AW</v>
      </c>
      <c r="N558" s="150">
        <f t="shared" si="98"/>
        <v>557</v>
      </c>
      <c r="O558" s="150" t="str">
        <f t="shared" si="99"/>
        <v>AW</v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str">
        <f t="shared" si="97"/>
        <v>AW</v>
      </c>
      <c r="N559" s="150">
        <f t="shared" si="98"/>
        <v>558</v>
      </c>
      <c r="O559" s="150" t="str">
        <f t="shared" si="99"/>
        <v>AW</v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str">
        <f t="shared" si="97"/>
        <v>AW</v>
      </c>
      <c r="N560" s="150">
        <f t="shared" si="98"/>
        <v>559</v>
      </c>
      <c r="O560" s="150" t="str">
        <f t="shared" si="99"/>
        <v>AW</v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str">
        <f t="shared" si="97"/>
        <v>AW</v>
      </c>
      <c r="N561" s="150">
        <f t="shared" si="98"/>
        <v>560</v>
      </c>
      <c r="O561" s="150" t="str">
        <f t="shared" si="99"/>
        <v>AW</v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str">
        <f t="shared" si="97"/>
        <v>AW</v>
      </c>
      <c r="N562" s="150">
        <f t="shared" si="98"/>
        <v>561</v>
      </c>
      <c r="O562" s="150" t="str">
        <f t="shared" si="99"/>
        <v>AW</v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str">
        <f t="shared" si="97"/>
        <v>AW</v>
      </c>
      <c r="N563" s="150">
        <f t="shared" si="98"/>
        <v>562</v>
      </c>
      <c r="O563" s="150" t="str">
        <f t="shared" si="99"/>
        <v>AW</v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str">
        <f t="shared" si="97"/>
        <v>AW</v>
      </c>
      <c r="N564" s="150">
        <f t="shared" si="98"/>
        <v>563</v>
      </c>
      <c r="O564" s="150" t="str">
        <f t="shared" si="99"/>
        <v>AW</v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str">
        <f t="shared" si="97"/>
        <v>AW</v>
      </c>
      <c r="N565" s="150">
        <f t="shared" si="98"/>
        <v>564</v>
      </c>
      <c r="O565" s="150" t="str">
        <f t="shared" si="99"/>
        <v>AW</v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str">
        <f t="shared" si="97"/>
        <v>AW</v>
      </c>
      <c r="N566" s="150">
        <f t="shared" si="98"/>
        <v>565</v>
      </c>
      <c r="O566" s="150" t="str">
        <f t="shared" si="99"/>
        <v>AW</v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str">
        <f t="shared" si="97"/>
        <v>AW</v>
      </c>
      <c r="N567" s="150">
        <f t="shared" si="98"/>
        <v>566</v>
      </c>
      <c r="O567" s="150" t="str">
        <f t="shared" si="99"/>
        <v>AW</v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str">
        <f t="shared" si="97"/>
        <v>AW</v>
      </c>
      <c r="N568" s="150">
        <f t="shared" si="98"/>
        <v>567</v>
      </c>
      <c r="O568" s="150" t="str">
        <f t="shared" si="99"/>
        <v>AW</v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str">
        <f t="shared" si="97"/>
        <v>AW</v>
      </c>
      <c r="N569" s="150">
        <f t="shared" si="98"/>
        <v>568</v>
      </c>
      <c r="O569" s="150" t="str">
        <f t="shared" si="99"/>
        <v>AW</v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str">
        <f t="shared" si="97"/>
        <v>AW</v>
      </c>
      <c r="N570" s="150">
        <f t="shared" si="98"/>
        <v>569</v>
      </c>
      <c r="O570" s="150" t="str">
        <f t="shared" si="99"/>
        <v>AW</v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str">
        <f t="shared" si="97"/>
        <v>AW</v>
      </c>
      <c r="N571" s="150">
        <f t="shared" si="98"/>
        <v>570</v>
      </c>
      <c r="O571" s="150" t="str">
        <f t="shared" si="99"/>
        <v>AW</v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str">
        <f t="shared" si="97"/>
        <v>AW</v>
      </c>
      <c r="N572" s="150">
        <f t="shared" si="98"/>
        <v>571</v>
      </c>
      <c r="O572" s="150" t="str">
        <f t="shared" si="99"/>
        <v>AW</v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str">
        <f t="shared" si="97"/>
        <v>AW</v>
      </c>
      <c r="N573" s="150">
        <f t="shared" si="98"/>
        <v>572</v>
      </c>
      <c r="O573" s="150" t="str">
        <f t="shared" si="99"/>
        <v>AW</v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str">
        <f t="shared" si="97"/>
        <v>AW</v>
      </c>
      <c r="N574" s="150">
        <f t="shared" si="98"/>
        <v>573</v>
      </c>
      <c r="O574" s="150" t="str">
        <f t="shared" si="99"/>
        <v>AW</v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str">
        <f t="shared" si="97"/>
        <v>AW</v>
      </c>
      <c r="N575" s="150">
        <f t="shared" si="98"/>
        <v>574</v>
      </c>
      <c r="O575" s="150" t="str">
        <f t="shared" si="99"/>
        <v>AW</v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str">
        <f t="shared" si="97"/>
        <v>AW</v>
      </c>
      <c r="N576" s="150">
        <f t="shared" si="98"/>
        <v>575</v>
      </c>
      <c r="O576" s="150" t="str">
        <f t="shared" si="99"/>
        <v>AW</v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str">
        <f t="shared" si="97"/>
        <v>AW</v>
      </c>
      <c r="N577" s="150">
        <f t="shared" si="98"/>
        <v>576</v>
      </c>
      <c r="O577" s="150" t="str">
        <f t="shared" si="99"/>
        <v>AW</v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str">
        <f t="shared" si="97"/>
        <v>AW</v>
      </c>
      <c r="N578" s="150">
        <f t="shared" si="98"/>
        <v>577</v>
      </c>
      <c r="O578" s="150" t="str">
        <f t="shared" si="99"/>
        <v>AW</v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str">
        <f t="shared" ref="M579:M642" si="109">IF(L579="","",IF(L579&lt;=$E$15,VLOOKUP($E$14,$I$1:$J$4,2,FALSE),VLOOKUP($F$14,$I$1:$J$4,2,FALSE)))</f>
        <v>AW</v>
      </c>
      <c r="N579" s="150">
        <f t="shared" ref="N579:N642" si="110">IF($B$20&gt;=K579,K579,"")</f>
        <v>578</v>
      </c>
      <c r="O579" s="150" t="str">
        <f t="shared" ref="O579:O642" si="111">IF(N579="","",IF(N579&lt;=$E$22,VLOOKUP($E$21,$I$1:$J$4,2,FALSE),VLOOKUP($F$21,$I$1:$J$4,2,FALSE)))</f>
        <v>AW</v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str">
        <f t="shared" si="109"/>
        <v>AW</v>
      </c>
      <c r="N580" s="150">
        <f t="shared" si="110"/>
        <v>579</v>
      </c>
      <c r="O580" s="150" t="str">
        <f t="shared" si="111"/>
        <v>AW</v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str">
        <f t="shared" si="109"/>
        <v>AW</v>
      </c>
      <c r="N581" s="150">
        <f t="shared" si="110"/>
        <v>580</v>
      </c>
      <c r="O581" s="150" t="str">
        <f t="shared" si="111"/>
        <v>AW</v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str">
        <f t="shared" si="109"/>
        <v>AW</v>
      </c>
      <c r="N582" s="150">
        <f t="shared" si="110"/>
        <v>581</v>
      </c>
      <c r="O582" s="150" t="str">
        <f t="shared" si="111"/>
        <v>AW</v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str">
        <f t="shared" si="109"/>
        <v>AW</v>
      </c>
      <c r="N583" s="150">
        <f t="shared" si="110"/>
        <v>582</v>
      </c>
      <c r="O583" s="150" t="str">
        <f t="shared" si="111"/>
        <v>AW</v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str">
        <f t="shared" si="109"/>
        <v>AW</v>
      </c>
      <c r="N584" s="150">
        <f t="shared" si="110"/>
        <v>583</v>
      </c>
      <c r="O584" s="150" t="str">
        <f t="shared" si="111"/>
        <v>AW</v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str">
        <f t="shared" si="109"/>
        <v>AW</v>
      </c>
      <c r="N585" s="150">
        <f t="shared" si="110"/>
        <v>584</v>
      </c>
      <c r="O585" s="150" t="str">
        <f t="shared" si="111"/>
        <v>AW</v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str">
        <f t="shared" si="109"/>
        <v>AW</v>
      </c>
      <c r="N586" s="150">
        <f t="shared" si="110"/>
        <v>585</v>
      </c>
      <c r="O586" s="150" t="str">
        <f t="shared" si="111"/>
        <v>AW</v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str">
        <f t="shared" si="109"/>
        <v>AW</v>
      </c>
      <c r="N587" s="150">
        <f t="shared" si="110"/>
        <v>586</v>
      </c>
      <c r="O587" s="150" t="str">
        <f t="shared" si="111"/>
        <v>AW</v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str">
        <f t="shared" si="109"/>
        <v>AW</v>
      </c>
      <c r="N588" s="150">
        <f t="shared" si="110"/>
        <v>587</v>
      </c>
      <c r="O588" s="150" t="str">
        <f t="shared" si="111"/>
        <v>AW</v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str">
        <f t="shared" si="109"/>
        <v>AW</v>
      </c>
      <c r="N589" s="150">
        <f t="shared" si="110"/>
        <v>588</v>
      </c>
      <c r="O589" s="150" t="str">
        <f t="shared" si="111"/>
        <v>AW</v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str">
        <f t="shared" si="109"/>
        <v>AW</v>
      </c>
      <c r="N590" s="150">
        <f t="shared" si="110"/>
        <v>589</v>
      </c>
      <c r="O590" s="150" t="str">
        <f t="shared" si="111"/>
        <v>AW</v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str">
        <f t="shared" si="109"/>
        <v>AW</v>
      </c>
      <c r="N591" s="150">
        <f t="shared" si="110"/>
        <v>590</v>
      </c>
      <c r="O591" s="150" t="str">
        <f t="shared" si="111"/>
        <v>AW</v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str">
        <f t="shared" si="109"/>
        <v>AW</v>
      </c>
      <c r="N592" s="150">
        <f t="shared" si="110"/>
        <v>591</v>
      </c>
      <c r="O592" s="150" t="str">
        <f t="shared" si="111"/>
        <v>AW</v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str">
        <f t="shared" si="109"/>
        <v>AW</v>
      </c>
      <c r="N593" s="150">
        <f t="shared" si="110"/>
        <v>592</v>
      </c>
      <c r="O593" s="150" t="str">
        <f t="shared" si="111"/>
        <v>AW</v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str">
        <f t="shared" si="109"/>
        <v>AW</v>
      </c>
      <c r="N594" s="150">
        <f t="shared" si="110"/>
        <v>593</v>
      </c>
      <c r="O594" s="150" t="str">
        <f t="shared" si="111"/>
        <v>AW</v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str">
        <f t="shared" si="109"/>
        <v>AW</v>
      </c>
      <c r="N595" s="150">
        <f t="shared" si="110"/>
        <v>594</v>
      </c>
      <c r="O595" s="150" t="str">
        <f t="shared" si="111"/>
        <v>AW</v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str">
        <f t="shared" si="109"/>
        <v>AW</v>
      </c>
      <c r="N596" s="150">
        <f t="shared" si="110"/>
        <v>595</v>
      </c>
      <c r="O596" s="150" t="str">
        <f t="shared" si="111"/>
        <v>AW</v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str">
        <f t="shared" si="109"/>
        <v>AW</v>
      </c>
      <c r="N597" s="150">
        <f t="shared" si="110"/>
        <v>596</v>
      </c>
      <c r="O597" s="150" t="str">
        <f t="shared" si="111"/>
        <v>AW</v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str">
        <f t="shared" si="109"/>
        <v>AW</v>
      </c>
      <c r="N598" s="150">
        <f t="shared" si="110"/>
        <v>597</v>
      </c>
      <c r="O598" s="150" t="str">
        <f t="shared" si="111"/>
        <v>AW</v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str">
        <f t="shared" si="109"/>
        <v>AW</v>
      </c>
      <c r="N599" s="150">
        <f t="shared" si="110"/>
        <v>598</v>
      </c>
      <c r="O599" s="150" t="str">
        <f t="shared" si="111"/>
        <v>AW</v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str">
        <f t="shared" si="109"/>
        <v>AW</v>
      </c>
      <c r="N600" s="150">
        <f t="shared" si="110"/>
        <v>599</v>
      </c>
      <c r="O600" s="150" t="str">
        <f t="shared" si="111"/>
        <v>AW</v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str">
        <f t="shared" si="109"/>
        <v>AW</v>
      </c>
      <c r="N601" s="150">
        <f t="shared" si="110"/>
        <v>600</v>
      </c>
      <c r="O601" s="150" t="str">
        <f t="shared" si="111"/>
        <v>AW</v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str">
        <f t="shared" si="109"/>
        <v>AW</v>
      </c>
      <c r="N602" s="150">
        <f t="shared" si="110"/>
        <v>601</v>
      </c>
      <c r="O602" s="150" t="str">
        <f t="shared" si="111"/>
        <v>AW</v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str">
        <f t="shared" si="109"/>
        <v>AW</v>
      </c>
      <c r="N603" s="150">
        <f t="shared" si="110"/>
        <v>602</v>
      </c>
      <c r="O603" s="150" t="str">
        <f t="shared" si="111"/>
        <v>AW</v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str">
        <f t="shared" si="109"/>
        <v>AW</v>
      </c>
      <c r="N604" s="150">
        <f t="shared" si="110"/>
        <v>603</v>
      </c>
      <c r="O604" s="150" t="str">
        <f t="shared" si="111"/>
        <v>AW</v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str">
        <f t="shared" si="109"/>
        <v>AW</v>
      </c>
      <c r="N605" s="150">
        <f t="shared" si="110"/>
        <v>604</v>
      </c>
      <c r="O605" s="150" t="str">
        <f t="shared" si="111"/>
        <v>AW</v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str">
        <f t="shared" si="109"/>
        <v>AW</v>
      </c>
      <c r="N606" s="150">
        <f t="shared" si="110"/>
        <v>605</v>
      </c>
      <c r="O606" s="150" t="str">
        <f t="shared" si="111"/>
        <v>AW</v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str">
        <f t="shared" si="109"/>
        <v>AW</v>
      </c>
      <c r="N607" s="150">
        <f t="shared" si="110"/>
        <v>606</v>
      </c>
      <c r="O607" s="150" t="str">
        <f t="shared" si="111"/>
        <v>AW</v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str">
        <f t="shared" si="109"/>
        <v>AW</v>
      </c>
      <c r="N608" s="150">
        <f t="shared" si="110"/>
        <v>607</v>
      </c>
      <c r="O608" s="150" t="str">
        <f t="shared" si="111"/>
        <v>AW</v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str">
        <f t="shared" si="109"/>
        <v>AW</v>
      </c>
      <c r="N609" s="150">
        <f t="shared" si="110"/>
        <v>608</v>
      </c>
      <c r="O609" s="150" t="str">
        <f t="shared" si="111"/>
        <v>AW</v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str">
        <f t="shared" si="109"/>
        <v>AW</v>
      </c>
      <c r="N610" s="150">
        <f t="shared" si="110"/>
        <v>609</v>
      </c>
      <c r="O610" s="150" t="str">
        <f t="shared" si="111"/>
        <v>AW</v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str">
        <f t="shared" si="109"/>
        <v>AW</v>
      </c>
      <c r="N611" s="150">
        <f t="shared" si="110"/>
        <v>610</v>
      </c>
      <c r="O611" s="150" t="str">
        <f t="shared" si="111"/>
        <v>AW</v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str">
        <f t="shared" si="109"/>
        <v>AW</v>
      </c>
      <c r="N612" s="150">
        <f t="shared" si="110"/>
        <v>611</v>
      </c>
      <c r="O612" s="150" t="str">
        <f t="shared" si="111"/>
        <v>AW</v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str">
        <f t="shared" si="109"/>
        <v>AW</v>
      </c>
      <c r="N613" s="150">
        <f t="shared" si="110"/>
        <v>612</v>
      </c>
      <c r="O613" s="150" t="str">
        <f t="shared" si="111"/>
        <v>AW</v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str">
        <f t="shared" si="109"/>
        <v>AW</v>
      </c>
      <c r="N614" s="150">
        <f t="shared" si="110"/>
        <v>613</v>
      </c>
      <c r="O614" s="150" t="str">
        <f t="shared" si="111"/>
        <v>AW</v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str">
        <f t="shared" si="109"/>
        <v>AW</v>
      </c>
      <c r="N615" s="150">
        <f t="shared" si="110"/>
        <v>614</v>
      </c>
      <c r="O615" s="150" t="str">
        <f t="shared" si="111"/>
        <v>AW</v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str">
        <f t="shared" si="109"/>
        <v>AW</v>
      </c>
      <c r="N616" s="150">
        <f t="shared" si="110"/>
        <v>615</v>
      </c>
      <c r="O616" s="150" t="str">
        <f t="shared" si="111"/>
        <v>AW</v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str">
        <f t="shared" si="109"/>
        <v>AW</v>
      </c>
      <c r="N617" s="150">
        <f t="shared" si="110"/>
        <v>616</v>
      </c>
      <c r="O617" s="150" t="str">
        <f t="shared" si="111"/>
        <v>AW</v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str">
        <f t="shared" si="109"/>
        <v>AW</v>
      </c>
      <c r="N618" s="150">
        <f t="shared" si="110"/>
        <v>617</v>
      </c>
      <c r="O618" s="150" t="str">
        <f t="shared" si="111"/>
        <v>AW</v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str">
        <f t="shared" si="109"/>
        <v>AW</v>
      </c>
      <c r="N619" s="150">
        <f t="shared" si="110"/>
        <v>618</v>
      </c>
      <c r="O619" s="150" t="str">
        <f t="shared" si="111"/>
        <v>AW</v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str">
        <f t="shared" si="109"/>
        <v>AW</v>
      </c>
      <c r="N620" s="150">
        <f t="shared" si="110"/>
        <v>619</v>
      </c>
      <c r="O620" s="150" t="str">
        <f t="shared" si="111"/>
        <v>AW</v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str">
        <f t="shared" si="109"/>
        <v>AW</v>
      </c>
      <c r="N621" s="150">
        <f t="shared" si="110"/>
        <v>620</v>
      </c>
      <c r="O621" s="150" t="str">
        <f t="shared" si="111"/>
        <v>AW</v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str">
        <f t="shared" si="109"/>
        <v>AW</v>
      </c>
      <c r="N622" s="150">
        <f t="shared" si="110"/>
        <v>621</v>
      </c>
      <c r="O622" s="150" t="str">
        <f t="shared" si="111"/>
        <v>AW</v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str">
        <f t="shared" si="109"/>
        <v>AW</v>
      </c>
      <c r="N623" s="150">
        <f t="shared" si="110"/>
        <v>622</v>
      </c>
      <c r="O623" s="150" t="str">
        <f t="shared" si="111"/>
        <v>AW</v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str">
        <f t="shared" si="109"/>
        <v>AW</v>
      </c>
      <c r="N624" s="150">
        <f t="shared" si="110"/>
        <v>623</v>
      </c>
      <c r="O624" s="150" t="str">
        <f t="shared" si="111"/>
        <v>AW</v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str">
        <f t="shared" si="109"/>
        <v>AW</v>
      </c>
      <c r="N625" s="150">
        <f t="shared" si="110"/>
        <v>624</v>
      </c>
      <c r="O625" s="150" t="str">
        <f t="shared" si="111"/>
        <v>AW</v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str">
        <f t="shared" si="109"/>
        <v>AW</v>
      </c>
      <c r="N626" s="150">
        <f t="shared" si="110"/>
        <v>625</v>
      </c>
      <c r="O626" s="150" t="str">
        <f t="shared" si="111"/>
        <v>AW</v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str">
        <f t="shared" si="109"/>
        <v>AW</v>
      </c>
      <c r="N627" s="150">
        <f t="shared" si="110"/>
        <v>626</v>
      </c>
      <c r="O627" s="150" t="str">
        <f t="shared" si="111"/>
        <v>AW</v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str">
        <f t="shared" si="109"/>
        <v>AW</v>
      </c>
      <c r="N628" s="150">
        <f t="shared" si="110"/>
        <v>627</v>
      </c>
      <c r="O628" s="150" t="str">
        <f t="shared" si="111"/>
        <v>AW</v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str">
        <f t="shared" si="109"/>
        <v>AW</v>
      </c>
      <c r="N629" s="150">
        <f t="shared" si="110"/>
        <v>628</v>
      </c>
      <c r="O629" s="150" t="str">
        <f t="shared" si="111"/>
        <v>AW</v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str">
        <f t="shared" si="109"/>
        <v>AW</v>
      </c>
      <c r="N630" s="150">
        <f t="shared" si="110"/>
        <v>629</v>
      </c>
      <c r="O630" s="150" t="str">
        <f t="shared" si="111"/>
        <v>AW</v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str">
        <f t="shared" si="109"/>
        <v>AW</v>
      </c>
      <c r="N631" s="150">
        <f t="shared" si="110"/>
        <v>630</v>
      </c>
      <c r="O631" s="150" t="str">
        <f t="shared" si="111"/>
        <v>AW</v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str">
        <f t="shared" si="109"/>
        <v>AW</v>
      </c>
      <c r="N632" s="150">
        <f t="shared" si="110"/>
        <v>631</v>
      </c>
      <c r="O632" s="150" t="str">
        <f t="shared" si="111"/>
        <v>AW</v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str">
        <f t="shared" si="109"/>
        <v>AW</v>
      </c>
      <c r="N633" s="150">
        <f t="shared" si="110"/>
        <v>632</v>
      </c>
      <c r="O633" s="150" t="str">
        <f t="shared" si="111"/>
        <v>AW</v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str">
        <f t="shared" si="109"/>
        <v>AW</v>
      </c>
      <c r="N634" s="150">
        <f t="shared" si="110"/>
        <v>633</v>
      </c>
      <c r="O634" s="150" t="str">
        <f t="shared" si="111"/>
        <v>AW</v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str">
        <f t="shared" si="109"/>
        <v>AW</v>
      </c>
      <c r="N635" s="150">
        <f t="shared" si="110"/>
        <v>634</v>
      </c>
      <c r="O635" s="150" t="str">
        <f t="shared" si="111"/>
        <v>AW</v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str">
        <f t="shared" si="109"/>
        <v>AW</v>
      </c>
      <c r="N636" s="150">
        <f t="shared" si="110"/>
        <v>635</v>
      </c>
      <c r="O636" s="150" t="str">
        <f t="shared" si="111"/>
        <v>AW</v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str">
        <f t="shared" si="109"/>
        <v>AW</v>
      </c>
      <c r="N637" s="150">
        <f t="shared" si="110"/>
        <v>636</v>
      </c>
      <c r="O637" s="150" t="str">
        <f t="shared" si="111"/>
        <v>AW</v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str">
        <f t="shared" si="109"/>
        <v>AW</v>
      </c>
      <c r="N638" s="150">
        <f t="shared" si="110"/>
        <v>637</v>
      </c>
      <c r="O638" s="150" t="str">
        <f t="shared" si="111"/>
        <v>AW</v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str">
        <f t="shared" si="109"/>
        <v>AW</v>
      </c>
      <c r="N639" s="150">
        <f t="shared" si="110"/>
        <v>638</v>
      </c>
      <c r="O639" s="150" t="str">
        <f t="shared" si="111"/>
        <v>AW</v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str">
        <f t="shared" si="109"/>
        <v>AW</v>
      </c>
      <c r="N640" s="150">
        <f t="shared" si="110"/>
        <v>639</v>
      </c>
      <c r="O640" s="150" t="str">
        <f t="shared" si="111"/>
        <v>AW</v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str">
        <f t="shared" si="109"/>
        <v>AW</v>
      </c>
      <c r="N641" s="150">
        <f t="shared" si="110"/>
        <v>640</v>
      </c>
      <c r="O641" s="150" t="str">
        <f t="shared" si="111"/>
        <v>AW</v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str">
        <f t="shared" si="109"/>
        <v>AW</v>
      </c>
      <c r="N642" s="150">
        <f t="shared" si="110"/>
        <v>641</v>
      </c>
      <c r="O642" s="150" t="str">
        <f t="shared" si="111"/>
        <v>AW</v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str">
        <f t="shared" ref="M643:M706" si="121">IF(L643="","",IF(L643&lt;=$E$15,VLOOKUP($E$14,$I$1:$J$4,2,FALSE),VLOOKUP($F$14,$I$1:$J$4,2,FALSE)))</f>
        <v>AW</v>
      </c>
      <c r="N643" s="150">
        <f t="shared" ref="N643:N706" si="122">IF($B$20&gt;=K643,K643,"")</f>
        <v>642</v>
      </c>
      <c r="O643" s="150" t="str">
        <f t="shared" ref="O643:O706" si="123">IF(N643="","",IF(N643&lt;=$E$22,VLOOKUP($E$21,$I$1:$J$4,2,FALSE),VLOOKUP($F$21,$I$1:$J$4,2,FALSE)))</f>
        <v>AW</v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str">
        <f t="shared" si="121"/>
        <v>AW</v>
      </c>
      <c r="N644" s="150">
        <f t="shared" si="122"/>
        <v>643</v>
      </c>
      <c r="O644" s="150" t="str">
        <f t="shared" si="123"/>
        <v>AW</v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str">
        <f t="shared" si="121"/>
        <v>AW</v>
      </c>
      <c r="N645" s="150">
        <f t="shared" si="122"/>
        <v>644</v>
      </c>
      <c r="O645" s="150" t="str">
        <f t="shared" si="123"/>
        <v>AW</v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str">
        <f t="shared" si="121"/>
        <v>AW</v>
      </c>
      <c r="N646" s="150">
        <f t="shared" si="122"/>
        <v>645</v>
      </c>
      <c r="O646" s="150" t="str">
        <f t="shared" si="123"/>
        <v>AW</v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str">
        <f t="shared" si="121"/>
        <v>AW</v>
      </c>
      <c r="N647" s="150">
        <f t="shared" si="122"/>
        <v>646</v>
      </c>
      <c r="O647" s="150" t="str">
        <f t="shared" si="123"/>
        <v>AW</v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str">
        <f t="shared" si="121"/>
        <v>AW</v>
      </c>
      <c r="N648" s="150">
        <f t="shared" si="122"/>
        <v>647</v>
      </c>
      <c r="O648" s="150" t="str">
        <f t="shared" si="123"/>
        <v>AW</v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str">
        <f t="shared" si="121"/>
        <v>AW</v>
      </c>
      <c r="N649" s="150">
        <f t="shared" si="122"/>
        <v>648</v>
      </c>
      <c r="O649" s="150" t="str">
        <f t="shared" si="123"/>
        <v>AW</v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str">
        <f t="shared" si="121"/>
        <v>AW</v>
      </c>
      <c r="N650" s="150">
        <f t="shared" si="122"/>
        <v>649</v>
      </c>
      <c r="O650" s="150" t="str">
        <f t="shared" si="123"/>
        <v>AW</v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str">
        <f t="shared" si="121"/>
        <v>AW</v>
      </c>
      <c r="N651" s="150">
        <f t="shared" si="122"/>
        <v>650</v>
      </c>
      <c r="O651" s="150" t="str">
        <f t="shared" si="123"/>
        <v>AW</v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str">
        <f t="shared" si="121"/>
        <v>AW</v>
      </c>
      <c r="N652" s="150">
        <f t="shared" si="122"/>
        <v>651</v>
      </c>
      <c r="O652" s="150" t="str">
        <f t="shared" si="123"/>
        <v>AW</v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str">
        <f t="shared" si="121"/>
        <v>AW</v>
      </c>
      <c r="N653" s="150">
        <f t="shared" si="122"/>
        <v>652</v>
      </c>
      <c r="O653" s="150" t="str">
        <f t="shared" si="123"/>
        <v>AW</v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str">
        <f t="shared" si="121"/>
        <v>AW</v>
      </c>
      <c r="N654" s="150">
        <f t="shared" si="122"/>
        <v>653</v>
      </c>
      <c r="O654" s="150" t="str">
        <f t="shared" si="123"/>
        <v>AW</v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str">
        <f t="shared" si="121"/>
        <v>AW</v>
      </c>
      <c r="N655" s="150">
        <f t="shared" si="122"/>
        <v>654</v>
      </c>
      <c r="O655" s="150" t="str">
        <f t="shared" si="123"/>
        <v>AW</v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str">
        <f t="shared" si="121"/>
        <v>AW</v>
      </c>
      <c r="N656" s="150">
        <f t="shared" si="122"/>
        <v>655</v>
      </c>
      <c r="O656" s="150" t="str">
        <f t="shared" si="123"/>
        <v>AW</v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str">
        <f t="shared" si="121"/>
        <v>AW</v>
      </c>
      <c r="N657" s="150">
        <f t="shared" si="122"/>
        <v>656</v>
      </c>
      <c r="O657" s="150" t="str">
        <f t="shared" si="123"/>
        <v>AW</v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str">
        <f t="shared" si="121"/>
        <v>AW</v>
      </c>
      <c r="N658" s="150">
        <f t="shared" si="122"/>
        <v>657</v>
      </c>
      <c r="O658" s="150" t="str">
        <f t="shared" si="123"/>
        <v>AW</v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str">
        <f t="shared" si="121"/>
        <v>AW</v>
      </c>
      <c r="N659" s="150">
        <f t="shared" si="122"/>
        <v>658</v>
      </c>
      <c r="O659" s="150" t="str">
        <f t="shared" si="123"/>
        <v>AW</v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str">
        <f t="shared" si="121"/>
        <v>AW</v>
      </c>
      <c r="N660" s="150">
        <f t="shared" si="122"/>
        <v>659</v>
      </c>
      <c r="O660" s="150" t="str">
        <f t="shared" si="123"/>
        <v>AW</v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str">
        <f t="shared" si="121"/>
        <v>AW</v>
      </c>
      <c r="N661" s="150">
        <f t="shared" si="122"/>
        <v>660</v>
      </c>
      <c r="O661" s="150" t="str">
        <f t="shared" si="123"/>
        <v>AW</v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str">
        <f t="shared" si="121"/>
        <v>AW</v>
      </c>
      <c r="N662" s="150">
        <f t="shared" si="122"/>
        <v>661</v>
      </c>
      <c r="O662" s="150" t="str">
        <f t="shared" si="123"/>
        <v>AW</v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str">
        <f t="shared" si="121"/>
        <v>AW</v>
      </c>
      <c r="N663" s="150">
        <f t="shared" si="122"/>
        <v>662</v>
      </c>
      <c r="O663" s="150" t="str">
        <f t="shared" si="123"/>
        <v>AW</v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str">
        <f t="shared" si="121"/>
        <v>AW</v>
      </c>
      <c r="N664" s="150">
        <f t="shared" si="122"/>
        <v>663</v>
      </c>
      <c r="O664" s="150" t="str">
        <f t="shared" si="123"/>
        <v>AW</v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str">
        <f t="shared" si="121"/>
        <v>AW</v>
      </c>
      <c r="N665" s="150">
        <f t="shared" si="122"/>
        <v>664</v>
      </c>
      <c r="O665" s="150" t="str">
        <f t="shared" si="123"/>
        <v>AW</v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str">
        <f t="shared" si="121"/>
        <v>AW</v>
      </c>
      <c r="N666" s="150">
        <f t="shared" si="122"/>
        <v>665</v>
      </c>
      <c r="O666" s="150" t="str">
        <f t="shared" si="123"/>
        <v>AW</v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str">
        <f t="shared" si="121"/>
        <v>AW</v>
      </c>
      <c r="N667" s="150">
        <f t="shared" si="122"/>
        <v>666</v>
      </c>
      <c r="O667" s="150" t="str">
        <f t="shared" si="123"/>
        <v>AW</v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str">
        <f t="shared" si="121"/>
        <v>AW</v>
      </c>
      <c r="N668" s="150">
        <f t="shared" si="122"/>
        <v>667</v>
      </c>
      <c r="O668" s="150" t="str">
        <f t="shared" si="123"/>
        <v>AW</v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str">
        <f t="shared" si="121"/>
        <v>AW</v>
      </c>
      <c r="N669" s="150">
        <f t="shared" si="122"/>
        <v>668</v>
      </c>
      <c r="O669" s="150" t="str">
        <f t="shared" si="123"/>
        <v>AW</v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str">
        <f t="shared" si="121"/>
        <v>AW</v>
      </c>
      <c r="N670" s="150">
        <f t="shared" si="122"/>
        <v>669</v>
      </c>
      <c r="O670" s="150" t="str">
        <f t="shared" si="123"/>
        <v>AW</v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str">
        <f t="shared" si="121"/>
        <v>AW</v>
      </c>
      <c r="N671" s="150">
        <f t="shared" si="122"/>
        <v>670</v>
      </c>
      <c r="O671" s="150" t="str">
        <f t="shared" si="123"/>
        <v>AW</v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str">
        <f t="shared" si="121"/>
        <v>AW</v>
      </c>
      <c r="N672" s="150">
        <f t="shared" si="122"/>
        <v>671</v>
      </c>
      <c r="O672" s="150" t="str">
        <f t="shared" si="123"/>
        <v>AW</v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str">
        <f t="shared" si="121"/>
        <v>AW</v>
      </c>
      <c r="N673" s="150">
        <f t="shared" si="122"/>
        <v>672</v>
      </c>
      <c r="O673" s="150" t="str">
        <f t="shared" si="123"/>
        <v>AW</v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str">
        <f t="shared" si="121"/>
        <v>AW</v>
      </c>
      <c r="N674" s="150">
        <f t="shared" si="122"/>
        <v>673</v>
      </c>
      <c r="O674" s="150" t="str">
        <f t="shared" si="123"/>
        <v>AW</v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str">
        <f t="shared" si="121"/>
        <v>AW</v>
      </c>
      <c r="N675" s="150">
        <f t="shared" si="122"/>
        <v>674</v>
      </c>
      <c r="O675" s="150" t="str">
        <f t="shared" si="123"/>
        <v>AW</v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str">
        <f t="shared" si="121"/>
        <v>AW</v>
      </c>
      <c r="N676" s="150">
        <f t="shared" si="122"/>
        <v>675</v>
      </c>
      <c r="O676" s="150" t="str">
        <f t="shared" si="123"/>
        <v>AW</v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str">
        <f t="shared" si="121"/>
        <v>AW</v>
      </c>
      <c r="N677" s="150">
        <f t="shared" si="122"/>
        <v>676</v>
      </c>
      <c r="O677" s="150" t="str">
        <f t="shared" si="123"/>
        <v>AW</v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str">
        <f t="shared" si="121"/>
        <v>AW</v>
      </c>
      <c r="N678" s="150">
        <f t="shared" si="122"/>
        <v>677</v>
      </c>
      <c r="O678" s="150" t="str">
        <f t="shared" si="123"/>
        <v>AW</v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str">
        <f t="shared" si="121"/>
        <v>AW</v>
      </c>
      <c r="N679" s="150">
        <f t="shared" si="122"/>
        <v>678</v>
      </c>
      <c r="O679" s="150" t="str">
        <f t="shared" si="123"/>
        <v>AW</v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str">
        <f t="shared" si="121"/>
        <v>AW</v>
      </c>
      <c r="N680" s="150">
        <f t="shared" si="122"/>
        <v>679</v>
      </c>
      <c r="O680" s="150" t="str">
        <f t="shared" si="123"/>
        <v>AW</v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str">
        <f t="shared" si="121"/>
        <v>AW</v>
      </c>
      <c r="N681" s="150">
        <f t="shared" si="122"/>
        <v>680</v>
      </c>
      <c r="O681" s="150" t="str">
        <f t="shared" si="123"/>
        <v>AW</v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str">
        <f t="shared" si="121"/>
        <v>AW</v>
      </c>
      <c r="N682" s="150">
        <f t="shared" si="122"/>
        <v>681</v>
      </c>
      <c r="O682" s="150" t="str">
        <f t="shared" si="123"/>
        <v>AW</v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str">
        <f t="shared" si="121"/>
        <v>AW</v>
      </c>
      <c r="N683" s="150">
        <f t="shared" si="122"/>
        <v>682</v>
      </c>
      <c r="O683" s="150" t="str">
        <f t="shared" si="123"/>
        <v>AW</v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str">
        <f t="shared" si="121"/>
        <v>AW</v>
      </c>
      <c r="N684" s="150">
        <f t="shared" si="122"/>
        <v>683</v>
      </c>
      <c r="O684" s="150" t="str">
        <f t="shared" si="123"/>
        <v>AW</v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str">
        <f t="shared" si="121"/>
        <v>AW</v>
      </c>
      <c r="N685" s="150">
        <f t="shared" si="122"/>
        <v>684</v>
      </c>
      <c r="O685" s="150" t="str">
        <f t="shared" si="123"/>
        <v>AW</v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str">
        <f t="shared" si="121"/>
        <v>AW</v>
      </c>
      <c r="N686" s="150">
        <f t="shared" si="122"/>
        <v>685</v>
      </c>
      <c r="O686" s="150" t="str">
        <f t="shared" si="123"/>
        <v>AW</v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str">
        <f t="shared" si="121"/>
        <v>AW</v>
      </c>
      <c r="N687" s="150">
        <f t="shared" si="122"/>
        <v>686</v>
      </c>
      <c r="O687" s="150" t="str">
        <f t="shared" si="123"/>
        <v>AW</v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str">
        <f t="shared" si="121"/>
        <v>AW</v>
      </c>
      <c r="N688" s="150">
        <f t="shared" si="122"/>
        <v>687</v>
      </c>
      <c r="O688" s="150" t="str">
        <f t="shared" si="123"/>
        <v>AW</v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str">
        <f t="shared" si="121"/>
        <v>AW</v>
      </c>
      <c r="N689" s="150">
        <f t="shared" si="122"/>
        <v>688</v>
      </c>
      <c r="O689" s="150" t="str">
        <f t="shared" si="123"/>
        <v>AW</v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str">
        <f t="shared" si="121"/>
        <v>AW</v>
      </c>
      <c r="N690" s="150">
        <f t="shared" si="122"/>
        <v>689</v>
      </c>
      <c r="O690" s="150" t="str">
        <f t="shared" si="123"/>
        <v>AW</v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str">
        <f t="shared" si="121"/>
        <v>AW</v>
      </c>
      <c r="N691" s="150">
        <f t="shared" si="122"/>
        <v>690</v>
      </c>
      <c r="O691" s="150" t="str">
        <f t="shared" si="123"/>
        <v>AW</v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str">
        <f t="shared" si="121"/>
        <v>AW</v>
      </c>
      <c r="N692" s="150">
        <f t="shared" si="122"/>
        <v>691</v>
      </c>
      <c r="O692" s="150" t="str">
        <f t="shared" si="123"/>
        <v>AW</v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str">
        <f t="shared" si="121"/>
        <v>AW</v>
      </c>
      <c r="N693" s="150">
        <f t="shared" si="122"/>
        <v>692</v>
      </c>
      <c r="O693" s="150" t="str">
        <f t="shared" si="123"/>
        <v>AW</v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str">
        <f t="shared" si="121"/>
        <v>AW</v>
      </c>
      <c r="N694" s="150">
        <f t="shared" si="122"/>
        <v>693</v>
      </c>
      <c r="O694" s="150" t="str">
        <f t="shared" si="123"/>
        <v>AW</v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str">
        <f t="shared" si="121"/>
        <v>AW</v>
      </c>
      <c r="N695" s="150">
        <f t="shared" si="122"/>
        <v>694</v>
      </c>
      <c r="O695" s="150" t="str">
        <f t="shared" si="123"/>
        <v>AW</v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str">
        <f t="shared" si="121"/>
        <v>AW</v>
      </c>
      <c r="N696" s="150">
        <f t="shared" si="122"/>
        <v>695</v>
      </c>
      <c r="O696" s="150" t="str">
        <f t="shared" si="123"/>
        <v>AW</v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str">
        <f t="shared" si="121"/>
        <v>AW</v>
      </c>
      <c r="N697" s="150">
        <f t="shared" si="122"/>
        <v>696</v>
      </c>
      <c r="O697" s="150" t="str">
        <f t="shared" si="123"/>
        <v>AW</v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str">
        <f t="shared" si="121"/>
        <v>AW</v>
      </c>
      <c r="N698" s="150">
        <f t="shared" si="122"/>
        <v>697</v>
      </c>
      <c r="O698" s="150" t="str">
        <f t="shared" si="123"/>
        <v>AW</v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str">
        <f t="shared" si="121"/>
        <v>AW</v>
      </c>
      <c r="N699" s="150">
        <f t="shared" si="122"/>
        <v>698</v>
      </c>
      <c r="O699" s="150" t="str">
        <f t="shared" si="123"/>
        <v>AW</v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str">
        <f t="shared" si="121"/>
        <v>AW</v>
      </c>
      <c r="N700" s="150">
        <f t="shared" si="122"/>
        <v>699</v>
      </c>
      <c r="O700" s="150" t="str">
        <f t="shared" si="123"/>
        <v>AW</v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str">
        <f t="shared" si="121"/>
        <v>AW</v>
      </c>
      <c r="N701" s="150">
        <f t="shared" si="122"/>
        <v>700</v>
      </c>
      <c r="O701" s="150" t="str">
        <f t="shared" si="123"/>
        <v>AW</v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str">
        <f t="shared" si="121"/>
        <v>AW</v>
      </c>
      <c r="N702" s="150">
        <f t="shared" si="122"/>
        <v>701</v>
      </c>
      <c r="O702" s="150" t="str">
        <f t="shared" si="123"/>
        <v>AW</v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str">
        <f t="shared" si="121"/>
        <v>AW</v>
      </c>
      <c r="N703" s="150">
        <f t="shared" si="122"/>
        <v>702</v>
      </c>
      <c r="O703" s="150" t="str">
        <f t="shared" si="123"/>
        <v>AW</v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str">
        <f t="shared" si="121"/>
        <v>AW</v>
      </c>
      <c r="N704" s="150">
        <f t="shared" si="122"/>
        <v>703</v>
      </c>
      <c r="O704" s="150" t="str">
        <f t="shared" si="123"/>
        <v>AW</v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str">
        <f t="shared" si="121"/>
        <v>AW</v>
      </c>
      <c r="N705" s="150">
        <f t="shared" si="122"/>
        <v>704</v>
      </c>
      <c r="O705" s="150" t="str">
        <f t="shared" si="123"/>
        <v>AW</v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str">
        <f t="shared" si="121"/>
        <v>AW</v>
      </c>
      <c r="N706" s="150">
        <f t="shared" si="122"/>
        <v>705</v>
      </c>
      <c r="O706" s="150" t="str">
        <f t="shared" si="123"/>
        <v>AW</v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str">
        <f t="shared" ref="M707:M770" si="133">IF(L707="","",IF(L707&lt;=$E$15,VLOOKUP($E$14,$I$1:$J$4,2,FALSE),VLOOKUP($F$14,$I$1:$J$4,2,FALSE)))</f>
        <v>AW</v>
      </c>
      <c r="N707" s="150">
        <f t="shared" ref="N707:N770" si="134">IF($B$20&gt;=K707,K707,"")</f>
        <v>706</v>
      </c>
      <c r="O707" s="150" t="str">
        <f t="shared" ref="O707:O770" si="135">IF(N707="","",IF(N707&lt;=$E$22,VLOOKUP($E$21,$I$1:$J$4,2,FALSE),VLOOKUP($F$21,$I$1:$J$4,2,FALSE)))</f>
        <v>AW</v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str">
        <f t="shared" si="133"/>
        <v>AW</v>
      </c>
      <c r="N708" s="150">
        <f t="shared" si="134"/>
        <v>707</v>
      </c>
      <c r="O708" s="150" t="str">
        <f t="shared" si="135"/>
        <v>AW</v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str">
        <f t="shared" si="133"/>
        <v>AW</v>
      </c>
      <c r="N709" s="150">
        <f t="shared" si="134"/>
        <v>708</v>
      </c>
      <c r="O709" s="150" t="str">
        <f t="shared" si="135"/>
        <v>AW</v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str">
        <f t="shared" si="133"/>
        <v>AW</v>
      </c>
      <c r="N710" s="150">
        <f t="shared" si="134"/>
        <v>709</v>
      </c>
      <c r="O710" s="150" t="str">
        <f t="shared" si="135"/>
        <v>AW</v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str">
        <f t="shared" si="133"/>
        <v>AW</v>
      </c>
      <c r="N711" s="150">
        <f t="shared" si="134"/>
        <v>710</v>
      </c>
      <c r="O711" s="150" t="str">
        <f t="shared" si="135"/>
        <v>AW</v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str">
        <f t="shared" si="133"/>
        <v>AW</v>
      </c>
      <c r="N712" s="150">
        <f t="shared" si="134"/>
        <v>711</v>
      </c>
      <c r="O712" s="150" t="str">
        <f t="shared" si="135"/>
        <v>AW</v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str">
        <f t="shared" si="133"/>
        <v>AW</v>
      </c>
      <c r="N713" s="150">
        <f t="shared" si="134"/>
        <v>712</v>
      </c>
      <c r="O713" s="150" t="str">
        <f t="shared" si="135"/>
        <v>AW</v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str">
        <f t="shared" si="133"/>
        <v>AW</v>
      </c>
      <c r="N714" s="150">
        <f t="shared" si="134"/>
        <v>713</v>
      </c>
      <c r="O714" s="150" t="str">
        <f t="shared" si="135"/>
        <v>AW</v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str">
        <f t="shared" si="133"/>
        <v>AW</v>
      </c>
      <c r="N715" s="150">
        <f t="shared" si="134"/>
        <v>714</v>
      </c>
      <c r="O715" s="150" t="str">
        <f t="shared" si="135"/>
        <v>AW</v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str">
        <f t="shared" si="133"/>
        <v>AW</v>
      </c>
      <c r="N716" s="150">
        <f t="shared" si="134"/>
        <v>715</v>
      </c>
      <c r="O716" s="150" t="str">
        <f t="shared" si="135"/>
        <v>AW</v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str">
        <f t="shared" si="133"/>
        <v>AW</v>
      </c>
      <c r="N717" s="150">
        <f t="shared" si="134"/>
        <v>716</v>
      </c>
      <c r="O717" s="150" t="str">
        <f t="shared" si="135"/>
        <v>AW</v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str">
        <f t="shared" si="133"/>
        <v>AW</v>
      </c>
      <c r="N718" s="150">
        <f t="shared" si="134"/>
        <v>717</v>
      </c>
      <c r="O718" s="150" t="str">
        <f t="shared" si="135"/>
        <v>AW</v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str">
        <f t="shared" si="133"/>
        <v>AW</v>
      </c>
      <c r="N719" s="150">
        <f t="shared" si="134"/>
        <v>718</v>
      </c>
      <c r="O719" s="150" t="str">
        <f t="shared" si="135"/>
        <v>AW</v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str">
        <f t="shared" si="133"/>
        <v>AW</v>
      </c>
      <c r="N720" s="150">
        <f t="shared" si="134"/>
        <v>719</v>
      </c>
      <c r="O720" s="150" t="str">
        <f t="shared" si="135"/>
        <v>AW</v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str">
        <f t="shared" si="133"/>
        <v>AW</v>
      </c>
      <c r="N721" s="150">
        <f t="shared" si="134"/>
        <v>720</v>
      </c>
      <c r="O721" s="150" t="str">
        <f t="shared" si="135"/>
        <v>AW</v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str">
        <f t="shared" si="133"/>
        <v>AW</v>
      </c>
      <c r="N722" s="150">
        <f t="shared" si="134"/>
        <v>721</v>
      </c>
      <c r="O722" s="150" t="str">
        <f t="shared" si="135"/>
        <v>AW</v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str">
        <f t="shared" si="133"/>
        <v>AW</v>
      </c>
      <c r="N723" s="150">
        <f t="shared" si="134"/>
        <v>722</v>
      </c>
      <c r="O723" s="150" t="str">
        <f t="shared" si="135"/>
        <v>AW</v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str">
        <f t="shared" si="133"/>
        <v>AW</v>
      </c>
      <c r="N724" s="150">
        <f t="shared" si="134"/>
        <v>723</v>
      </c>
      <c r="O724" s="150" t="str">
        <f t="shared" si="135"/>
        <v>AW</v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str">
        <f t="shared" si="133"/>
        <v>AW</v>
      </c>
      <c r="N725" s="150">
        <f t="shared" si="134"/>
        <v>724</v>
      </c>
      <c r="O725" s="150" t="str">
        <f t="shared" si="135"/>
        <v>AW</v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str">
        <f t="shared" si="133"/>
        <v>AW</v>
      </c>
      <c r="N726" s="150">
        <f t="shared" si="134"/>
        <v>725</v>
      </c>
      <c r="O726" s="150" t="str">
        <f t="shared" si="135"/>
        <v>AW</v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str">
        <f t="shared" si="133"/>
        <v>AW</v>
      </c>
      <c r="N727" s="150">
        <f t="shared" si="134"/>
        <v>726</v>
      </c>
      <c r="O727" s="150" t="str">
        <f t="shared" si="135"/>
        <v>AW</v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str">
        <f t="shared" si="133"/>
        <v>AW</v>
      </c>
      <c r="N728" s="150">
        <f t="shared" si="134"/>
        <v>727</v>
      </c>
      <c r="O728" s="150" t="str">
        <f t="shared" si="135"/>
        <v>AW</v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str">
        <f t="shared" si="133"/>
        <v>AW</v>
      </c>
      <c r="N729" s="150">
        <f t="shared" si="134"/>
        <v>728</v>
      </c>
      <c r="O729" s="150" t="str">
        <f t="shared" si="135"/>
        <v>AW</v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str">
        <f t="shared" si="133"/>
        <v>AW</v>
      </c>
      <c r="N730" s="150">
        <f t="shared" si="134"/>
        <v>729</v>
      </c>
      <c r="O730" s="150" t="str">
        <f t="shared" si="135"/>
        <v>AW</v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str">
        <f t="shared" si="133"/>
        <v>AW</v>
      </c>
      <c r="N731" s="150">
        <f t="shared" si="134"/>
        <v>730</v>
      </c>
      <c r="O731" s="150" t="str">
        <f t="shared" si="135"/>
        <v>AW</v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str">
        <f t="shared" si="133"/>
        <v>AW</v>
      </c>
      <c r="N732" s="150">
        <f t="shared" si="134"/>
        <v>731</v>
      </c>
      <c r="O732" s="150" t="str">
        <f t="shared" si="135"/>
        <v>AW</v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str">
        <f t="shared" si="133"/>
        <v>AW</v>
      </c>
      <c r="N733" s="150">
        <f t="shared" si="134"/>
        <v>732</v>
      </c>
      <c r="O733" s="150" t="str">
        <f t="shared" si="135"/>
        <v>AW</v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str">
        <f t="shared" si="133"/>
        <v>AW</v>
      </c>
      <c r="N734" s="150">
        <f t="shared" si="134"/>
        <v>733</v>
      </c>
      <c r="O734" s="150" t="str">
        <f t="shared" si="135"/>
        <v>AW</v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str">
        <f t="shared" si="133"/>
        <v>AW</v>
      </c>
      <c r="N735" s="150">
        <f t="shared" si="134"/>
        <v>734</v>
      </c>
      <c r="O735" s="150" t="str">
        <f t="shared" si="135"/>
        <v>AW</v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str">
        <f t="shared" si="133"/>
        <v>AW</v>
      </c>
      <c r="N736" s="150">
        <f t="shared" si="134"/>
        <v>735</v>
      </c>
      <c r="O736" s="150" t="str">
        <f t="shared" si="135"/>
        <v>AW</v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str">
        <f t="shared" si="133"/>
        <v>AW</v>
      </c>
      <c r="N737" s="150">
        <f t="shared" si="134"/>
        <v>736</v>
      </c>
      <c r="O737" s="150" t="str">
        <f t="shared" si="135"/>
        <v>AW</v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str">
        <f t="shared" si="133"/>
        <v>AW</v>
      </c>
      <c r="N738" s="150">
        <f t="shared" si="134"/>
        <v>737</v>
      </c>
      <c r="O738" s="150" t="str">
        <f t="shared" si="135"/>
        <v>AW</v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str">
        <f t="shared" si="133"/>
        <v>AW</v>
      </c>
      <c r="N739" s="150">
        <f t="shared" si="134"/>
        <v>738</v>
      </c>
      <c r="O739" s="150" t="str">
        <f t="shared" si="135"/>
        <v>AW</v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str">
        <f t="shared" si="133"/>
        <v>AW</v>
      </c>
      <c r="N740" s="150">
        <f t="shared" si="134"/>
        <v>739</v>
      </c>
      <c r="O740" s="150" t="str">
        <f t="shared" si="135"/>
        <v>AW</v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str">
        <f t="shared" si="133"/>
        <v>AW</v>
      </c>
      <c r="N741" s="150">
        <f t="shared" si="134"/>
        <v>740</v>
      </c>
      <c r="O741" s="150" t="str">
        <f t="shared" si="135"/>
        <v>AW</v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str">
        <f t="shared" si="133"/>
        <v>AW</v>
      </c>
      <c r="N742" s="150">
        <f t="shared" si="134"/>
        <v>741</v>
      </c>
      <c r="O742" s="150" t="str">
        <f t="shared" si="135"/>
        <v>AW</v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str">
        <f t="shared" si="133"/>
        <v>AW</v>
      </c>
      <c r="N743" s="150">
        <f t="shared" si="134"/>
        <v>742</v>
      </c>
      <c r="O743" s="150" t="str">
        <f t="shared" si="135"/>
        <v>AW</v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str">
        <f t="shared" si="133"/>
        <v>AW</v>
      </c>
      <c r="N744" s="150">
        <f t="shared" si="134"/>
        <v>743</v>
      </c>
      <c r="O744" s="150" t="str">
        <f t="shared" si="135"/>
        <v>AW</v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str">
        <f t="shared" si="133"/>
        <v>AW</v>
      </c>
      <c r="N745" s="150">
        <f t="shared" si="134"/>
        <v>744</v>
      </c>
      <c r="O745" s="150" t="str">
        <f t="shared" si="135"/>
        <v>AW</v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str">
        <f t="shared" si="133"/>
        <v>AW</v>
      </c>
      <c r="N746" s="150">
        <f t="shared" si="134"/>
        <v>745</v>
      </c>
      <c r="O746" s="150" t="str">
        <f t="shared" si="135"/>
        <v>AW</v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str">
        <f t="shared" si="133"/>
        <v>AW</v>
      </c>
      <c r="N747" s="150">
        <f t="shared" si="134"/>
        <v>746</v>
      </c>
      <c r="O747" s="150" t="str">
        <f t="shared" si="135"/>
        <v>AW</v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str">
        <f t="shared" si="133"/>
        <v>AW</v>
      </c>
      <c r="N748" s="150">
        <f t="shared" si="134"/>
        <v>747</v>
      </c>
      <c r="O748" s="150" t="str">
        <f t="shared" si="135"/>
        <v>AW</v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str">
        <f t="shared" si="133"/>
        <v>AW</v>
      </c>
      <c r="N749" s="150">
        <f t="shared" si="134"/>
        <v>748</v>
      </c>
      <c r="O749" s="150" t="str">
        <f t="shared" si="135"/>
        <v>AW</v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str">
        <f t="shared" si="133"/>
        <v>AW</v>
      </c>
      <c r="N750" s="150">
        <f t="shared" si="134"/>
        <v>749</v>
      </c>
      <c r="O750" s="150" t="str">
        <f t="shared" si="135"/>
        <v>AW</v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str">
        <f t="shared" si="133"/>
        <v>AW</v>
      </c>
      <c r="N751" s="150">
        <f t="shared" si="134"/>
        <v>750</v>
      </c>
      <c r="O751" s="150" t="str">
        <f t="shared" si="135"/>
        <v>AW</v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str">
        <f t="shared" si="133"/>
        <v>AW</v>
      </c>
      <c r="N752" s="150">
        <f t="shared" si="134"/>
        <v>751</v>
      </c>
      <c r="O752" s="150" t="str">
        <f t="shared" si="135"/>
        <v>AW</v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str">
        <f t="shared" si="133"/>
        <v>AW</v>
      </c>
      <c r="N753" s="150">
        <f t="shared" si="134"/>
        <v>752</v>
      </c>
      <c r="O753" s="150" t="str">
        <f t="shared" si="135"/>
        <v>AW</v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str">
        <f t="shared" si="133"/>
        <v>AW</v>
      </c>
      <c r="N754" s="150">
        <f t="shared" si="134"/>
        <v>753</v>
      </c>
      <c r="O754" s="150" t="str">
        <f t="shared" si="135"/>
        <v>AW</v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str">
        <f t="shared" si="133"/>
        <v>AW</v>
      </c>
      <c r="N755" s="150">
        <f t="shared" si="134"/>
        <v>754</v>
      </c>
      <c r="O755" s="150" t="str">
        <f t="shared" si="135"/>
        <v>AW</v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str">
        <f t="shared" si="133"/>
        <v>AW</v>
      </c>
      <c r="N756" s="150">
        <f t="shared" si="134"/>
        <v>755</v>
      </c>
      <c r="O756" s="150" t="str">
        <f t="shared" si="135"/>
        <v>AW</v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str">
        <f t="shared" si="133"/>
        <v>AW</v>
      </c>
      <c r="N757" s="150">
        <f t="shared" si="134"/>
        <v>756</v>
      </c>
      <c r="O757" s="150" t="str">
        <f t="shared" si="135"/>
        <v>AW</v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str">
        <f t="shared" si="133"/>
        <v>AW</v>
      </c>
      <c r="N758" s="150">
        <f t="shared" si="134"/>
        <v>757</v>
      </c>
      <c r="O758" s="150" t="str">
        <f t="shared" si="135"/>
        <v>AW</v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str">
        <f t="shared" si="133"/>
        <v>AW</v>
      </c>
      <c r="N759" s="150">
        <f t="shared" si="134"/>
        <v>758</v>
      </c>
      <c r="O759" s="150" t="str">
        <f t="shared" si="135"/>
        <v>AW</v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str">
        <f t="shared" si="133"/>
        <v>AW</v>
      </c>
      <c r="N760" s="150">
        <f t="shared" si="134"/>
        <v>759</v>
      </c>
      <c r="O760" s="150" t="str">
        <f t="shared" si="135"/>
        <v>AW</v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str">
        <f t="shared" si="133"/>
        <v>AW</v>
      </c>
      <c r="N761" s="150">
        <f t="shared" si="134"/>
        <v>760</v>
      </c>
      <c r="O761" s="150" t="str">
        <f t="shared" si="135"/>
        <v>AW</v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str">
        <f t="shared" si="133"/>
        <v>AW</v>
      </c>
      <c r="N762" s="150">
        <f t="shared" si="134"/>
        <v>761</v>
      </c>
      <c r="O762" s="150" t="str">
        <f t="shared" si="135"/>
        <v>AW</v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str">
        <f t="shared" si="133"/>
        <v>AW</v>
      </c>
      <c r="N763" s="150">
        <f t="shared" si="134"/>
        <v>762</v>
      </c>
      <c r="O763" s="150" t="str">
        <f t="shared" si="135"/>
        <v>AW</v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str">
        <f t="shared" si="133"/>
        <v>AW</v>
      </c>
      <c r="N764" s="150">
        <f t="shared" si="134"/>
        <v>763</v>
      </c>
      <c r="O764" s="150" t="str">
        <f t="shared" si="135"/>
        <v>AW</v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str">
        <f t="shared" si="133"/>
        <v>AW</v>
      </c>
      <c r="N765" s="150">
        <f t="shared" si="134"/>
        <v>764</v>
      </c>
      <c r="O765" s="150" t="str">
        <f t="shared" si="135"/>
        <v>AW</v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str">
        <f t="shared" si="133"/>
        <v>AW</v>
      </c>
      <c r="N766" s="150">
        <f t="shared" si="134"/>
        <v>765</v>
      </c>
      <c r="O766" s="150" t="str">
        <f t="shared" si="135"/>
        <v>AW</v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str">
        <f t="shared" si="133"/>
        <v>AW</v>
      </c>
      <c r="N767" s="150">
        <f t="shared" si="134"/>
        <v>766</v>
      </c>
      <c r="O767" s="150" t="str">
        <f t="shared" si="135"/>
        <v>AW</v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str">
        <f t="shared" si="133"/>
        <v>AW</v>
      </c>
      <c r="N768" s="150">
        <f t="shared" si="134"/>
        <v>767</v>
      </c>
      <c r="O768" s="150" t="str">
        <f t="shared" si="135"/>
        <v>AW</v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str">
        <f t="shared" si="133"/>
        <v>AW</v>
      </c>
      <c r="N769" s="150">
        <f t="shared" si="134"/>
        <v>768</v>
      </c>
      <c r="O769" s="150" t="str">
        <f t="shared" si="135"/>
        <v>AW</v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str">
        <f t="shared" si="133"/>
        <v>AW</v>
      </c>
      <c r="N770" s="150">
        <f t="shared" si="134"/>
        <v>769</v>
      </c>
      <c r="O770" s="150" t="str">
        <f t="shared" si="135"/>
        <v>AW</v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str">
        <f t="shared" ref="M771:M834" si="145">IF(L771="","",IF(L771&lt;=$E$15,VLOOKUP($E$14,$I$1:$J$4,2,FALSE),VLOOKUP($F$14,$I$1:$J$4,2,FALSE)))</f>
        <v>AW</v>
      </c>
      <c r="N771" s="150">
        <f t="shared" ref="N771:N834" si="146">IF($B$20&gt;=K771,K771,"")</f>
        <v>770</v>
      </c>
      <c r="O771" s="150" t="str">
        <f t="shared" ref="O771:O834" si="147">IF(N771="","",IF(N771&lt;=$E$22,VLOOKUP($E$21,$I$1:$J$4,2,FALSE),VLOOKUP($F$21,$I$1:$J$4,2,FALSE)))</f>
        <v>AW</v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str">
        <f t="shared" si="145"/>
        <v>AW</v>
      </c>
      <c r="N772" s="150">
        <f t="shared" si="146"/>
        <v>771</v>
      </c>
      <c r="O772" s="150" t="str">
        <f t="shared" si="147"/>
        <v>AW</v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str">
        <f t="shared" si="145"/>
        <v>AW</v>
      </c>
      <c r="N773" s="150">
        <f t="shared" si="146"/>
        <v>772</v>
      </c>
      <c r="O773" s="150" t="str">
        <f t="shared" si="147"/>
        <v>AW</v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str">
        <f t="shared" si="145"/>
        <v>AW</v>
      </c>
      <c r="N774" s="150">
        <f t="shared" si="146"/>
        <v>773</v>
      </c>
      <c r="O774" s="150" t="str">
        <f t="shared" si="147"/>
        <v>AW</v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str">
        <f t="shared" si="145"/>
        <v>AW</v>
      </c>
      <c r="N775" s="150">
        <f t="shared" si="146"/>
        <v>774</v>
      </c>
      <c r="O775" s="150" t="str">
        <f t="shared" si="147"/>
        <v>AW</v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str">
        <f t="shared" si="145"/>
        <v>AW</v>
      </c>
      <c r="N776" s="150">
        <f t="shared" si="146"/>
        <v>775</v>
      </c>
      <c r="O776" s="150" t="str">
        <f t="shared" si="147"/>
        <v>AW</v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str">
        <f t="shared" si="145"/>
        <v>AW</v>
      </c>
      <c r="N777" s="150">
        <f t="shared" si="146"/>
        <v>776</v>
      </c>
      <c r="O777" s="150" t="str">
        <f t="shared" si="147"/>
        <v>AW</v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str">
        <f t="shared" si="145"/>
        <v>AW</v>
      </c>
      <c r="N778" s="150">
        <f t="shared" si="146"/>
        <v>777</v>
      </c>
      <c r="O778" s="150" t="str">
        <f t="shared" si="147"/>
        <v>AW</v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str">
        <f t="shared" si="145"/>
        <v>AW</v>
      </c>
      <c r="N779" s="150">
        <f t="shared" si="146"/>
        <v>778</v>
      </c>
      <c r="O779" s="150" t="str">
        <f t="shared" si="147"/>
        <v>AW</v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str">
        <f t="shared" si="145"/>
        <v>AW</v>
      </c>
      <c r="N780" s="150">
        <f t="shared" si="146"/>
        <v>779</v>
      </c>
      <c r="O780" s="150" t="str">
        <f t="shared" si="147"/>
        <v>AW</v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str">
        <f t="shared" si="145"/>
        <v>AW</v>
      </c>
      <c r="N781" s="150">
        <f t="shared" si="146"/>
        <v>780</v>
      </c>
      <c r="O781" s="150" t="str">
        <f t="shared" si="147"/>
        <v>AW</v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str">
        <f t="shared" si="145"/>
        <v>AW</v>
      </c>
      <c r="N782" s="150">
        <f t="shared" si="146"/>
        <v>781</v>
      </c>
      <c r="O782" s="150" t="str">
        <f t="shared" si="147"/>
        <v>AW</v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str">
        <f t="shared" si="145"/>
        <v>AW</v>
      </c>
      <c r="N783" s="150">
        <f t="shared" si="146"/>
        <v>782</v>
      </c>
      <c r="O783" s="150" t="str">
        <f t="shared" si="147"/>
        <v>AW</v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str">
        <f t="shared" si="145"/>
        <v>AW</v>
      </c>
      <c r="N784" s="150">
        <f t="shared" si="146"/>
        <v>783</v>
      </c>
      <c r="O784" s="150" t="str">
        <f t="shared" si="147"/>
        <v>AW</v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str">
        <f t="shared" si="145"/>
        <v>AW</v>
      </c>
      <c r="N785" s="150">
        <f t="shared" si="146"/>
        <v>784</v>
      </c>
      <c r="O785" s="150" t="str">
        <f t="shared" si="147"/>
        <v>AW</v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str">
        <f t="shared" si="145"/>
        <v>AW</v>
      </c>
      <c r="N786" s="150">
        <f t="shared" si="146"/>
        <v>785</v>
      </c>
      <c r="O786" s="150" t="str">
        <f t="shared" si="147"/>
        <v>AW</v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str">
        <f t="shared" si="145"/>
        <v>AW</v>
      </c>
      <c r="N787" s="150">
        <f t="shared" si="146"/>
        <v>786</v>
      </c>
      <c r="O787" s="150" t="str">
        <f t="shared" si="147"/>
        <v>AW</v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str">
        <f t="shared" si="145"/>
        <v>AW</v>
      </c>
      <c r="N788" s="150">
        <f t="shared" si="146"/>
        <v>787</v>
      </c>
      <c r="O788" s="150" t="str">
        <f t="shared" si="147"/>
        <v>AW</v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str">
        <f t="shared" si="145"/>
        <v>AW</v>
      </c>
      <c r="N789" s="150">
        <f t="shared" si="146"/>
        <v>788</v>
      </c>
      <c r="O789" s="150" t="str">
        <f t="shared" si="147"/>
        <v>AW</v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str">
        <f t="shared" si="145"/>
        <v>AW</v>
      </c>
      <c r="N790" s="150">
        <f t="shared" si="146"/>
        <v>789</v>
      </c>
      <c r="O790" s="150" t="str">
        <f t="shared" si="147"/>
        <v>AW</v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str">
        <f t="shared" si="145"/>
        <v>AW</v>
      </c>
      <c r="N791" s="150">
        <f t="shared" si="146"/>
        <v>790</v>
      </c>
      <c r="O791" s="150" t="str">
        <f t="shared" si="147"/>
        <v>AW</v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str">
        <f t="shared" si="145"/>
        <v>AW</v>
      </c>
      <c r="N792" s="150">
        <f t="shared" si="146"/>
        <v>791</v>
      </c>
      <c r="O792" s="150" t="str">
        <f t="shared" si="147"/>
        <v>AW</v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str">
        <f t="shared" si="145"/>
        <v>AW</v>
      </c>
      <c r="N793" s="150">
        <f t="shared" si="146"/>
        <v>792</v>
      </c>
      <c r="O793" s="150" t="str">
        <f t="shared" si="147"/>
        <v>AW</v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str">
        <f t="shared" si="145"/>
        <v>AW</v>
      </c>
      <c r="N794" s="150">
        <f t="shared" si="146"/>
        <v>793</v>
      </c>
      <c r="O794" s="150" t="str">
        <f t="shared" si="147"/>
        <v>AW</v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str">
        <f t="shared" si="145"/>
        <v>AW</v>
      </c>
      <c r="N795" s="150">
        <f t="shared" si="146"/>
        <v>794</v>
      </c>
      <c r="O795" s="150" t="str">
        <f t="shared" si="147"/>
        <v>AW</v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str">
        <f t="shared" si="145"/>
        <v>AW</v>
      </c>
      <c r="N796" s="150">
        <f t="shared" si="146"/>
        <v>795</v>
      </c>
      <c r="O796" s="150" t="str">
        <f t="shared" si="147"/>
        <v>AW</v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str">
        <f t="shared" si="145"/>
        <v>AW</v>
      </c>
      <c r="N797" s="150">
        <f t="shared" si="146"/>
        <v>796</v>
      </c>
      <c r="O797" s="150" t="str">
        <f t="shared" si="147"/>
        <v>AW</v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str">
        <f t="shared" si="145"/>
        <v>AW</v>
      </c>
      <c r="N798" s="150">
        <f t="shared" si="146"/>
        <v>797</v>
      </c>
      <c r="O798" s="150" t="str">
        <f t="shared" si="147"/>
        <v>AW</v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str">
        <f t="shared" si="145"/>
        <v>AW</v>
      </c>
      <c r="N799" s="150">
        <f t="shared" si="146"/>
        <v>798</v>
      </c>
      <c r="O799" s="150" t="str">
        <f t="shared" si="147"/>
        <v>AW</v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str">
        <f t="shared" si="145"/>
        <v>AW</v>
      </c>
      <c r="N800" s="150">
        <f t="shared" si="146"/>
        <v>799</v>
      </c>
      <c r="O800" s="150" t="str">
        <f t="shared" si="147"/>
        <v>AW</v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str">
        <f t="shared" si="145"/>
        <v>AW</v>
      </c>
      <c r="N801" s="150">
        <f t="shared" si="146"/>
        <v>800</v>
      </c>
      <c r="O801" s="150" t="str">
        <f t="shared" si="147"/>
        <v>AW</v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str">
        <f t="shared" si="145"/>
        <v>AW</v>
      </c>
      <c r="N802" s="150">
        <f t="shared" si="146"/>
        <v>801</v>
      </c>
      <c r="O802" s="150" t="str">
        <f t="shared" si="147"/>
        <v>AW</v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str">
        <f t="shared" si="145"/>
        <v>AW</v>
      </c>
      <c r="N803" s="150">
        <f t="shared" si="146"/>
        <v>802</v>
      </c>
      <c r="O803" s="150" t="str">
        <f t="shared" si="147"/>
        <v>AW</v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str">
        <f t="shared" si="145"/>
        <v>AW</v>
      </c>
      <c r="N804" s="150">
        <f t="shared" si="146"/>
        <v>803</v>
      </c>
      <c r="O804" s="150" t="str">
        <f t="shared" si="147"/>
        <v>AW</v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str">
        <f t="shared" si="145"/>
        <v>AW</v>
      </c>
      <c r="N805" s="150">
        <f t="shared" si="146"/>
        <v>804</v>
      </c>
      <c r="O805" s="150" t="str">
        <f t="shared" si="147"/>
        <v>AW</v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str">
        <f t="shared" si="145"/>
        <v>AW</v>
      </c>
      <c r="N806" s="150">
        <f t="shared" si="146"/>
        <v>805</v>
      </c>
      <c r="O806" s="150" t="str">
        <f t="shared" si="147"/>
        <v>AW</v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str">
        <f t="shared" si="145"/>
        <v>AW</v>
      </c>
      <c r="N807" s="150">
        <f t="shared" si="146"/>
        <v>806</v>
      </c>
      <c r="O807" s="150" t="str">
        <f t="shared" si="147"/>
        <v>AW</v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str">
        <f t="shared" si="145"/>
        <v>AW</v>
      </c>
      <c r="N808" s="150">
        <f t="shared" si="146"/>
        <v>807</v>
      </c>
      <c r="O808" s="150" t="str">
        <f t="shared" si="147"/>
        <v>AW</v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str">
        <f t="shared" si="145"/>
        <v>AW</v>
      </c>
      <c r="N809" s="150">
        <f t="shared" si="146"/>
        <v>808</v>
      </c>
      <c r="O809" s="150" t="str">
        <f t="shared" si="147"/>
        <v>AW</v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str">
        <f t="shared" si="145"/>
        <v>AW</v>
      </c>
      <c r="N810" s="150">
        <f t="shared" si="146"/>
        <v>809</v>
      </c>
      <c r="O810" s="150" t="str">
        <f t="shared" si="147"/>
        <v>AW</v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str">
        <f t="shared" si="145"/>
        <v>AW</v>
      </c>
      <c r="N811" s="150">
        <f t="shared" si="146"/>
        <v>810</v>
      </c>
      <c r="O811" s="150" t="str">
        <f t="shared" si="147"/>
        <v>AW</v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str">
        <f t="shared" si="145"/>
        <v>AW</v>
      </c>
      <c r="N812" s="150">
        <f t="shared" si="146"/>
        <v>811</v>
      </c>
      <c r="O812" s="150" t="str">
        <f t="shared" si="147"/>
        <v>AW</v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str">
        <f t="shared" si="145"/>
        <v>AW</v>
      </c>
      <c r="N813" s="150">
        <f t="shared" si="146"/>
        <v>812</v>
      </c>
      <c r="O813" s="150" t="str">
        <f t="shared" si="147"/>
        <v>AW</v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str">
        <f t="shared" si="145"/>
        <v>AW</v>
      </c>
      <c r="N814" s="150">
        <f t="shared" si="146"/>
        <v>813</v>
      </c>
      <c r="O814" s="150" t="str">
        <f t="shared" si="147"/>
        <v>AW</v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str">
        <f t="shared" si="145"/>
        <v>AW</v>
      </c>
      <c r="N815" s="150">
        <f t="shared" si="146"/>
        <v>814</v>
      </c>
      <c r="O815" s="150" t="str">
        <f t="shared" si="147"/>
        <v>AW</v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str">
        <f t="shared" si="145"/>
        <v>AW</v>
      </c>
      <c r="N816" s="150">
        <f t="shared" si="146"/>
        <v>815</v>
      </c>
      <c r="O816" s="150" t="str">
        <f t="shared" si="147"/>
        <v>AW</v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str">
        <f t="shared" si="145"/>
        <v>AW</v>
      </c>
      <c r="N817" s="150">
        <f t="shared" si="146"/>
        <v>816</v>
      </c>
      <c r="O817" s="150" t="str">
        <f t="shared" si="147"/>
        <v>AW</v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str">
        <f t="shared" si="145"/>
        <v>AW</v>
      </c>
      <c r="N818" s="150">
        <f t="shared" si="146"/>
        <v>817</v>
      </c>
      <c r="O818" s="150" t="str">
        <f t="shared" si="147"/>
        <v>AW</v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str">
        <f t="shared" si="145"/>
        <v>AW</v>
      </c>
      <c r="N819" s="150">
        <f t="shared" si="146"/>
        <v>818</v>
      </c>
      <c r="O819" s="150" t="str">
        <f t="shared" si="147"/>
        <v>AW</v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str">
        <f t="shared" si="145"/>
        <v>AW</v>
      </c>
      <c r="N820" s="150">
        <f t="shared" si="146"/>
        <v>819</v>
      </c>
      <c r="O820" s="150" t="str">
        <f t="shared" si="147"/>
        <v>AW</v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str">
        <f t="shared" si="145"/>
        <v>AW</v>
      </c>
      <c r="N821" s="150">
        <f t="shared" si="146"/>
        <v>820</v>
      </c>
      <c r="O821" s="150" t="str">
        <f t="shared" si="147"/>
        <v>AW</v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str">
        <f t="shared" si="145"/>
        <v>AW</v>
      </c>
      <c r="N822" s="150">
        <f t="shared" si="146"/>
        <v>821</v>
      </c>
      <c r="O822" s="150" t="str">
        <f t="shared" si="147"/>
        <v>AW</v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str">
        <f t="shared" si="145"/>
        <v>AW</v>
      </c>
      <c r="N823" s="150">
        <f t="shared" si="146"/>
        <v>822</v>
      </c>
      <c r="O823" s="150" t="str">
        <f t="shared" si="147"/>
        <v>AW</v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str">
        <f t="shared" si="145"/>
        <v>AW</v>
      </c>
      <c r="N824" s="150">
        <f t="shared" si="146"/>
        <v>823</v>
      </c>
      <c r="O824" s="150" t="str">
        <f t="shared" si="147"/>
        <v>AW</v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str">
        <f t="shared" si="145"/>
        <v>AW</v>
      </c>
      <c r="N825" s="150">
        <f t="shared" si="146"/>
        <v>824</v>
      </c>
      <c r="O825" s="150" t="str">
        <f t="shared" si="147"/>
        <v>AW</v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str">
        <f t="shared" si="145"/>
        <v>AW</v>
      </c>
      <c r="N826" s="150">
        <f t="shared" si="146"/>
        <v>825</v>
      </c>
      <c r="O826" s="150" t="str">
        <f t="shared" si="147"/>
        <v>AW</v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str">
        <f t="shared" si="145"/>
        <v>AW</v>
      </c>
      <c r="N827" s="150">
        <f t="shared" si="146"/>
        <v>826</v>
      </c>
      <c r="O827" s="150" t="str">
        <f t="shared" si="147"/>
        <v>AW</v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str">
        <f t="shared" si="145"/>
        <v>AW</v>
      </c>
      <c r="N828" s="150">
        <f t="shared" si="146"/>
        <v>827</v>
      </c>
      <c r="O828" s="150" t="str">
        <f t="shared" si="147"/>
        <v>AW</v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str">
        <f t="shared" si="145"/>
        <v>AW</v>
      </c>
      <c r="N829" s="150">
        <f t="shared" si="146"/>
        <v>828</v>
      </c>
      <c r="O829" s="150" t="str">
        <f t="shared" si="147"/>
        <v>AW</v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str">
        <f t="shared" si="145"/>
        <v>AW</v>
      </c>
      <c r="N830" s="150">
        <f t="shared" si="146"/>
        <v>829</v>
      </c>
      <c r="O830" s="150" t="str">
        <f t="shared" si="147"/>
        <v>AW</v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str">
        <f t="shared" si="145"/>
        <v>AW</v>
      </c>
      <c r="N831" s="150">
        <f t="shared" si="146"/>
        <v>830</v>
      </c>
      <c r="O831" s="150" t="str">
        <f t="shared" si="147"/>
        <v>AW</v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str">
        <f t="shared" si="145"/>
        <v>AW</v>
      </c>
      <c r="N832" s="150">
        <f t="shared" si="146"/>
        <v>831</v>
      </c>
      <c r="O832" s="150" t="str">
        <f t="shared" si="147"/>
        <v>AW</v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str">
        <f t="shared" si="145"/>
        <v>AW</v>
      </c>
      <c r="N833" s="150">
        <f t="shared" si="146"/>
        <v>832</v>
      </c>
      <c r="O833" s="150" t="str">
        <f t="shared" si="147"/>
        <v>AW</v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str">
        <f t="shared" si="145"/>
        <v>AW</v>
      </c>
      <c r="N834" s="150">
        <f t="shared" si="146"/>
        <v>833</v>
      </c>
      <c r="O834" s="150" t="str">
        <f t="shared" si="147"/>
        <v>AW</v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str">
        <f t="shared" ref="M835:M865" si="157">IF(L835="","",IF(L835&lt;=$E$15,VLOOKUP($E$14,$I$1:$J$4,2,FALSE),VLOOKUP($F$14,$I$1:$J$4,2,FALSE)))</f>
        <v>AW</v>
      </c>
      <c r="N835" s="150">
        <f t="shared" ref="N835:N865" si="158">IF($B$20&gt;=K835,K835,"")</f>
        <v>834</v>
      </c>
      <c r="O835" s="150" t="str">
        <f t="shared" ref="O835:O865" si="159">IF(N835="","",IF(N835&lt;=$E$22,VLOOKUP($E$21,$I$1:$J$4,2,FALSE),VLOOKUP($F$21,$I$1:$J$4,2,FALSE)))</f>
        <v>AW</v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str">
        <f t="shared" si="157"/>
        <v>AW</v>
      </c>
      <c r="N836" s="150">
        <f t="shared" si="158"/>
        <v>835</v>
      </c>
      <c r="O836" s="150" t="str">
        <f t="shared" si="159"/>
        <v>AW</v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str">
        <f t="shared" si="157"/>
        <v>AW</v>
      </c>
      <c r="N837" s="150">
        <f t="shared" si="158"/>
        <v>836</v>
      </c>
      <c r="O837" s="150" t="str">
        <f t="shared" si="159"/>
        <v>AW</v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str">
        <f t="shared" si="157"/>
        <v>AW</v>
      </c>
      <c r="N838" s="150">
        <f t="shared" si="158"/>
        <v>837</v>
      </c>
      <c r="O838" s="150" t="str">
        <f t="shared" si="159"/>
        <v>AW</v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str">
        <f t="shared" si="157"/>
        <v>AW</v>
      </c>
      <c r="N839" s="150">
        <f t="shared" si="158"/>
        <v>838</v>
      </c>
      <c r="O839" s="150" t="str">
        <f t="shared" si="159"/>
        <v>AW</v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str">
        <f t="shared" si="157"/>
        <v>AW</v>
      </c>
      <c r="N840" s="150">
        <f t="shared" si="158"/>
        <v>839</v>
      </c>
      <c r="O840" s="150" t="str">
        <f t="shared" si="159"/>
        <v>AW</v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str">
        <f t="shared" si="157"/>
        <v>AW</v>
      </c>
      <c r="N841" s="150">
        <f t="shared" si="158"/>
        <v>840</v>
      </c>
      <c r="O841" s="150" t="str">
        <f t="shared" si="159"/>
        <v>AW</v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str">
        <f t="shared" si="157"/>
        <v>AW</v>
      </c>
      <c r="N842" s="150">
        <f t="shared" si="158"/>
        <v>841</v>
      </c>
      <c r="O842" s="150" t="str">
        <f t="shared" si="159"/>
        <v>AW</v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str">
        <f t="shared" si="157"/>
        <v>AW</v>
      </c>
      <c r="N843" s="150">
        <f t="shared" si="158"/>
        <v>842</v>
      </c>
      <c r="O843" s="150" t="str">
        <f t="shared" si="159"/>
        <v>AW</v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str">
        <f t="shared" si="157"/>
        <v>AW</v>
      </c>
      <c r="N844" s="150">
        <f t="shared" si="158"/>
        <v>843</v>
      </c>
      <c r="O844" s="150" t="str">
        <f t="shared" si="159"/>
        <v>AW</v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str">
        <f t="shared" si="157"/>
        <v>AW</v>
      </c>
      <c r="N845" s="150">
        <f t="shared" si="158"/>
        <v>844</v>
      </c>
      <c r="O845" s="150" t="str">
        <f t="shared" si="159"/>
        <v>AW</v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str">
        <f t="shared" si="157"/>
        <v>AW</v>
      </c>
      <c r="N846" s="150">
        <f t="shared" si="158"/>
        <v>845</v>
      </c>
      <c r="O846" s="150" t="str">
        <f t="shared" si="159"/>
        <v>AW</v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str">
        <f t="shared" si="157"/>
        <v>AW</v>
      </c>
      <c r="N847" s="150">
        <f t="shared" si="158"/>
        <v>846</v>
      </c>
      <c r="O847" s="150" t="str">
        <f t="shared" si="159"/>
        <v>AW</v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str">
        <f t="shared" si="157"/>
        <v>AW</v>
      </c>
      <c r="N848" s="150">
        <f t="shared" si="158"/>
        <v>847</v>
      </c>
      <c r="O848" s="150" t="str">
        <f t="shared" si="159"/>
        <v>AW</v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str">
        <f t="shared" si="157"/>
        <v>AW</v>
      </c>
      <c r="N849" s="150">
        <f t="shared" si="158"/>
        <v>848</v>
      </c>
      <c r="O849" s="150" t="str">
        <f t="shared" si="159"/>
        <v>AW</v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str">
        <f t="shared" si="157"/>
        <v>AW</v>
      </c>
      <c r="N850" s="150">
        <f t="shared" si="158"/>
        <v>849</v>
      </c>
      <c r="O850" s="150" t="str">
        <f t="shared" si="159"/>
        <v>AW</v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str">
        <f t="shared" si="157"/>
        <v>AW</v>
      </c>
      <c r="N851" s="150">
        <f t="shared" si="158"/>
        <v>850</v>
      </c>
      <c r="O851" s="150" t="str">
        <f t="shared" si="159"/>
        <v>AW</v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str">
        <f t="shared" si="157"/>
        <v>AW</v>
      </c>
      <c r="N852" s="150">
        <f t="shared" si="158"/>
        <v>851</v>
      </c>
      <c r="O852" s="150" t="str">
        <f t="shared" si="159"/>
        <v>AW</v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str">
        <f t="shared" si="157"/>
        <v>AW</v>
      </c>
      <c r="N853" s="150">
        <f t="shared" si="158"/>
        <v>852</v>
      </c>
      <c r="O853" s="150" t="str">
        <f t="shared" si="159"/>
        <v>AW</v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str">
        <f t="shared" si="157"/>
        <v>AW</v>
      </c>
      <c r="N854" s="150">
        <f t="shared" si="158"/>
        <v>853</v>
      </c>
      <c r="O854" s="150" t="str">
        <f t="shared" si="159"/>
        <v>AW</v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str">
        <f t="shared" si="157"/>
        <v>AW</v>
      </c>
      <c r="N855" s="150">
        <f t="shared" si="158"/>
        <v>854</v>
      </c>
      <c r="O855" s="150" t="str">
        <f t="shared" si="159"/>
        <v>AW</v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str">
        <f t="shared" si="157"/>
        <v>AW</v>
      </c>
      <c r="N856" s="150">
        <f t="shared" si="158"/>
        <v>855</v>
      </c>
      <c r="O856" s="150" t="str">
        <f t="shared" si="159"/>
        <v>AW</v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str">
        <f t="shared" si="157"/>
        <v>AW</v>
      </c>
      <c r="N857" s="150">
        <f t="shared" si="158"/>
        <v>856</v>
      </c>
      <c r="O857" s="150" t="str">
        <f t="shared" si="159"/>
        <v>AW</v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str">
        <f t="shared" si="157"/>
        <v>AW</v>
      </c>
      <c r="N858" s="150">
        <f t="shared" si="158"/>
        <v>857</v>
      </c>
      <c r="O858" s="150" t="str">
        <f t="shared" si="159"/>
        <v>AW</v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str">
        <f t="shared" si="157"/>
        <v>AW</v>
      </c>
      <c r="N859" s="150">
        <f t="shared" si="158"/>
        <v>858</v>
      </c>
      <c r="O859" s="150" t="str">
        <f t="shared" si="159"/>
        <v>AW</v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str">
        <f t="shared" si="157"/>
        <v>AW</v>
      </c>
      <c r="N860" s="150">
        <f t="shared" si="158"/>
        <v>859</v>
      </c>
      <c r="O860" s="150" t="str">
        <f t="shared" si="159"/>
        <v>AW</v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str">
        <f t="shared" si="157"/>
        <v>AW</v>
      </c>
      <c r="N861" s="150">
        <f t="shared" si="158"/>
        <v>860</v>
      </c>
      <c r="O861" s="150" t="str">
        <f t="shared" si="159"/>
        <v>AW</v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str">
        <f t="shared" si="157"/>
        <v>AW</v>
      </c>
      <c r="N862" s="150">
        <f t="shared" si="158"/>
        <v>861</v>
      </c>
      <c r="O862" s="150" t="str">
        <f t="shared" si="159"/>
        <v>AW</v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str">
        <f t="shared" si="157"/>
        <v>AW</v>
      </c>
      <c r="N863" s="150">
        <f t="shared" si="158"/>
        <v>862</v>
      </c>
      <c r="O863" s="150" t="str">
        <f t="shared" si="159"/>
        <v>AW</v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str">
        <f t="shared" si="157"/>
        <v>AW</v>
      </c>
      <c r="N864" s="150">
        <f t="shared" si="158"/>
        <v>863</v>
      </c>
      <c r="O864" s="150" t="str">
        <f t="shared" si="159"/>
        <v>AW</v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str">
        <f t="shared" si="157"/>
        <v>AW</v>
      </c>
      <c r="N865" s="150">
        <f t="shared" si="158"/>
        <v>864</v>
      </c>
      <c r="O865" s="150" t="str">
        <f t="shared" si="159"/>
        <v>AW</v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51" priority="23">
      <formula>$B$18=""</formula>
    </cfRule>
  </conditionalFormatting>
  <conditionalFormatting sqref="C24:F24 B26:F29 D25:F25">
    <cfRule type="expression" dxfId="50" priority="22">
      <formula>$B$25=""</formula>
    </cfRule>
  </conditionalFormatting>
  <conditionalFormatting sqref="C31:F31 B33:F36 D32:F32">
    <cfRule type="expression" dxfId="49" priority="19">
      <formula>$B$32=""</formula>
    </cfRule>
  </conditionalFormatting>
  <conditionalFormatting sqref="C38:F43 B40:B43">
    <cfRule type="expression" dxfId="48" priority="17">
      <formula>$B$39=""</formula>
    </cfRule>
  </conditionalFormatting>
  <conditionalFormatting sqref="C45:F50 B47:B50">
    <cfRule type="expression" dxfId="47" priority="15">
      <formula>$B$46=""</formula>
    </cfRule>
  </conditionalFormatting>
  <conditionalFormatting sqref="B17:B18">
    <cfRule type="expression" dxfId="46" priority="13">
      <formula>$B$18=""</formula>
    </cfRule>
  </conditionalFormatting>
  <conditionalFormatting sqref="B24:B25">
    <cfRule type="expression" dxfId="45" priority="12">
      <formula>$B$25=""</formula>
    </cfRule>
  </conditionalFormatting>
  <conditionalFormatting sqref="B31:B32">
    <cfRule type="expression" dxfId="44" priority="11">
      <formula>$B$32=""</formula>
    </cfRule>
  </conditionalFormatting>
  <conditionalFormatting sqref="B38:B39">
    <cfRule type="expression" dxfId="43" priority="10">
      <formula>$B$39=""</formula>
    </cfRule>
  </conditionalFormatting>
  <conditionalFormatting sqref="B45:B46">
    <cfRule type="expression" dxfId="42" priority="9">
      <formula>$B$46=""</formula>
    </cfRule>
  </conditionalFormatting>
  <conditionalFormatting sqref="D26:D29">
    <cfRule type="expression" dxfId="41" priority="8">
      <formula>$B$18=""</formula>
    </cfRule>
  </conditionalFormatting>
  <conditionalFormatting sqref="D33:D36">
    <cfRule type="expression" dxfId="40" priority="7">
      <formula>$B$18=""</formula>
    </cfRule>
  </conditionalFormatting>
  <conditionalFormatting sqref="D40:D43">
    <cfRule type="expression" dxfId="39" priority="6">
      <formula>$B$18=""</formula>
    </cfRule>
  </conditionalFormatting>
  <conditionalFormatting sqref="D47:D50">
    <cfRule type="expression" dxfId="38" priority="5">
      <formula>$B$18=""</formula>
    </cfRule>
  </conditionalFormatting>
  <conditionalFormatting sqref="C25">
    <cfRule type="expression" dxfId="37" priority="2">
      <formula>$B$25=""</formula>
    </cfRule>
  </conditionalFormatting>
  <conditionalFormatting sqref="C32">
    <cfRule type="expression" dxfId="36" priority="1">
      <formula>$B$25=""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184150</xdr:colOff>
                <xdr:row>0</xdr:row>
                <xdr:rowOff>127000</xdr:rowOff>
              </from>
              <to>
                <xdr:col>27</xdr:col>
                <xdr:colOff>558800</xdr:colOff>
                <xdr:row>3</xdr:row>
                <xdr:rowOff>146050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796875" defaultRowHeight="12.5" x14ac:dyDescent="0.25"/>
  <cols>
    <col min="1" max="1" width="3.81640625" style="54" customWidth="1"/>
    <col min="2" max="4" width="25" style="54" customWidth="1"/>
    <col min="5" max="6" width="13.26953125" style="54" customWidth="1"/>
    <col min="7" max="7" width="3.81640625" style="54" customWidth="1"/>
    <col min="8" max="8" width="9.1796875" style="150" customWidth="1"/>
    <col min="9" max="9" width="14.81640625" style="150" customWidth="1"/>
    <col min="10" max="26" width="9.1796875" style="150" customWidth="1"/>
    <col min="27" max="147" width="9.1796875" style="150"/>
    <col min="148" max="16384" width="9.1796875" style="54"/>
  </cols>
  <sheetData>
    <row r="1" spans="1:147" ht="13.5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5" thickBot="1" x14ac:dyDescent="0.35">
      <c r="A2" s="62"/>
      <c r="B2" s="63" t="s">
        <v>7</v>
      </c>
      <c r="C2" s="64"/>
      <c r="D2" s="64"/>
      <c r="E2" s="333" t="s">
        <v>8</v>
      </c>
      <c r="F2" s="334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5" t="str">
        <f>'Cover - Location Info'!J8</f>
        <v>101519</v>
      </c>
      <c r="C3" s="22"/>
      <c r="D3" s="22"/>
      <c r="E3" s="338" t="str">
        <f>'Cover - Location Info'!J10</f>
        <v>1.0</v>
      </c>
      <c r="F3" s="339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" thickBot="1" x14ac:dyDescent="0.3">
      <c r="A4" s="67"/>
      <c r="B4" s="336"/>
      <c r="C4" s="22"/>
      <c r="D4" s="22"/>
      <c r="E4" s="340"/>
      <c r="F4" s="341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" x14ac:dyDescent="0.5">
      <c r="A6" s="67"/>
      <c r="B6" s="337" t="s">
        <v>1</v>
      </c>
      <c r="C6" s="337"/>
      <c r="D6" s="337"/>
      <c r="E6" s="337"/>
      <c r="F6" s="337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9" t="s">
        <v>19</v>
      </c>
      <c r="E10" s="320"/>
      <c r="F10" s="321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69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35">
      <c r="A12" s="67"/>
      <c r="B12" s="72" t="s">
        <v>21</v>
      </c>
      <c r="C12" s="73" t="s">
        <v>22</v>
      </c>
      <c r="D12" s="74" t="s">
        <v>50</v>
      </c>
      <c r="E12" s="325" t="s">
        <v>27</v>
      </c>
      <c r="F12" s="32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7"/>
      <c r="C13" s="33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8"/>
      <c r="C14" s="33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9"/>
      <c r="C15" s="33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3">
      <c r="A17" s="67"/>
      <c r="B17" s="70" t="s">
        <v>20</v>
      </c>
      <c r="C17" s="71" t="s">
        <v>18</v>
      </c>
      <c r="D17" s="319" t="s">
        <v>19</v>
      </c>
      <c r="E17" s="320"/>
      <c r="F17" s="321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69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5">
      <c r="A19" s="67"/>
      <c r="B19" s="72" t="s">
        <v>21</v>
      </c>
      <c r="C19" s="73" t="s">
        <v>22</v>
      </c>
      <c r="D19" s="74" t="s">
        <v>50</v>
      </c>
      <c r="E19" s="325" t="s">
        <v>27</v>
      </c>
      <c r="F19" s="32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7"/>
      <c r="C20" s="33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8"/>
      <c r="C21" s="33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9"/>
      <c r="C22" s="33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9" t="s">
        <v>19</v>
      </c>
      <c r="E24" s="320"/>
      <c r="F24" s="321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69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5">
      <c r="A26" s="67"/>
      <c r="B26" s="72" t="s">
        <v>21</v>
      </c>
      <c r="C26" s="73" t="s">
        <v>22</v>
      </c>
      <c r="D26" s="74" t="s">
        <v>50</v>
      </c>
      <c r="E26" s="325" t="s">
        <v>27</v>
      </c>
      <c r="F26" s="32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7"/>
      <c r="C27" s="33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8"/>
      <c r="C28" s="33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9"/>
      <c r="C29" s="33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3">
      <c r="A31" s="67"/>
      <c r="B31" s="70" t="s">
        <v>20</v>
      </c>
      <c r="C31" s="71" t="s">
        <v>18</v>
      </c>
      <c r="D31" s="319" t="s">
        <v>19</v>
      </c>
      <c r="E31" s="320"/>
      <c r="F31" s="321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69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5">
      <c r="A33" s="67"/>
      <c r="B33" s="72" t="s">
        <v>21</v>
      </c>
      <c r="C33" s="73" t="s">
        <v>22</v>
      </c>
      <c r="D33" s="74" t="s">
        <v>50</v>
      </c>
      <c r="E33" s="325" t="s">
        <v>27</v>
      </c>
      <c r="F33" s="32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7"/>
      <c r="C34" s="33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8"/>
      <c r="C35" s="33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9"/>
      <c r="C36" s="33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3">
      <c r="A38" s="67"/>
      <c r="B38" s="70" t="s">
        <v>20</v>
      </c>
      <c r="C38" s="71" t="s">
        <v>18</v>
      </c>
      <c r="D38" s="319" t="s">
        <v>19</v>
      </c>
      <c r="E38" s="320"/>
      <c r="F38" s="321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69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5">
      <c r="A40" s="67"/>
      <c r="B40" s="72" t="s">
        <v>21</v>
      </c>
      <c r="C40" s="73" t="s">
        <v>22</v>
      </c>
      <c r="D40" s="74" t="s">
        <v>50</v>
      </c>
      <c r="E40" s="325" t="s">
        <v>27</v>
      </c>
      <c r="F40" s="32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7"/>
      <c r="C41" s="33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8"/>
      <c r="C42" s="33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9"/>
      <c r="C43" s="33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3">
      <c r="A45" s="67"/>
      <c r="B45" s="70" t="s">
        <v>20</v>
      </c>
      <c r="C45" s="71" t="s">
        <v>18</v>
      </c>
      <c r="D45" s="319" t="s">
        <v>19</v>
      </c>
      <c r="E45" s="320"/>
      <c r="F45" s="321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69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5">
      <c r="A47" s="67"/>
      <c r="B47" s="72" t="s">
        <v>21</v>
      </c>
      <c r="C47" s="73" t="s">
        <v>22</v>
      </c>
      <c r="D47" s="74" t="s">
        <v>50</v>
      </c>
      <c r="E47" s="325" t="s">
        <v>27</v>
      </c>
      <c r="F47" s="32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7"/>
      <c r="C48" s="33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8"/>
      <c r="C49" s="33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9"/>
      <c r="C50" s="33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5" priority="14">
      <formula>$B$18=""</formula>
    </cfRule>
  </conditionalFormatting>
  <conditionalFormatting sqref="C24:F29 B26:B29">
    <cfRule type="expression" dxfId="34" priority="13">
      <formula>$B$25=""</formula>
    </cfRule>
  </conditionalFormatting>
  <conditionalFormatting sqref="C31:F36 B33:B36">
    <cfRule type="expression" dxfId="33" priority="12">
      <formula>$B$32=""</formula>
    </cfRule>
  </conditionalFormatting>
  <conditionalFormatting sqref="C38:F43 B40:B43">
    <cfRule type="expression" dxfId="32" priority="11">
      <formula>$B$39=""</formula>
    </cfRule>
  </conditionalFormatting>
  <conditionalFormatting sqref="C45:F50 B47:B50">
    <cfRule type="expression" dxfId="31" priority="10">
      <formula>$B$46=""</formula>
    </cfRule>
  </conditionalFormatting>
  <conditionalFormatting sqref="B17:B18">
    <cfRule type="expression" dxfId="30" priority="9">
      <formula>$B$18=""</formula>
    </cfRule>
  </conditionalFormatting>
  <conditionalFormatting sqref="B24:B25">
    <cfRule type="expression" dxfId="29" priority="8">
      <formula>$B$25=""</formula>
    </cfRule>
  </conditionalFormatting>
  <conditionalFormatting sqref="B31:B32">
    <cfRule type="expression" dxfId="28" priority="7">
      <formula>$B$32=""</formula>
    </cfRule>
  </conditionalFormatting>
  <conditionalFormatting sqref="B38:B39">
    <cfRule type="expression" dxfId="27" priority="6">
      <formula>$B$39=""</formula>
    </cfRule>
  </conditionalFormatting>
  <conditionalFormatting sqref="B45:B46">
    <cfRule type="expression" dxfId="26" priority="5">
      <formula>$B$46=""</formula>
    </cfRule>
  </conditionalFormatting>
  <conditionalFormatting sqref="D26:D29">
    <cfRule type="expression" dxfId="25" priority="4">
      <formula>$B$18=""</formula>
    </cfRule>
  </conditionalFormatting>
  <conditionalFormatting sqref="D33:D36">
    <cfRule type="expression" dxfId="24" priority="3">
      <formula>$B$18=""</formula>
    </cfRule>
  </conditionalFormatting>
  <conditionalFormatting sqref="D40:D43">
    <cfRule type="expression" dxfId="23" priority="2">
      <formula>$B$18=""</formula>
    </cfRule>
  </conditionalFormatting>
  <conditionalFormatting sqref="D47:D50">
    <cfRule type="expression" dxfId="22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5" x14ac:dyDescent="0.25"/>
  <cols>
    <col min="1" max="1" width="2.7265625" style="219" customWidth="1"/>
    <col min="2" max="3" width="22.7265625" style="219" customWidth="1"/>
    <col min="4" max="4" width="3.7265625" style="219" customWidth="1"/>
    <col min="5" max="6" width="22.7265625" style="219" customWidth="1"/>
    <col min="7" max="7" width="2.7265625" style="219" customWidth="1"/>
    <col min="8" max="106" width="9.1796875" style="218"/>
    <col min="107" max="256" width="9.1796875" style="219"/>
    <col min="257" max="257" width="2.7265625" style="219" customWidth="1"/>
    <col min="258" max="259" width="22.7265625" style="219" customWidth="1"/>
    <col min="260" max="260" width="3.7265625" style="219" customWidth="1"/>
    <col min="261" max="262" width="22.7265625" style="219" customWidth="1"/>
    <col min="263" max="263" width="2.7265625" style="219" customWidth="1"/>
    <col min="264" max="512" width="9.1796875" style="219"/>
    <col min="513" max="513" width="2.7265625" style="219" customWidth="1"/>
    <col min="514" max="515" width="22.7265625" style="219" customWidth="1"/>
    <col min="516" max="516" width="3.7265625" style="219" customWidth="1"/>
    <col min="517" max="518" width="22.7265625" style="219" customWidth="1"/>
    <col min="519" max="519" width="2.7265625" style="219" customWidth="1"/>
    <col min="520" max="768" width="9.1796875" style="219"/>
    <col min="769" max="769" width="2.7265625" style="219" customWidth="1"/>
    <col min="770" max="771" width="22.7265625" style="219" customWidth="1"/>
    <col min="772" max="772" width="3.7265625" style="219" customWidth="1"/>
    <col min="773" max="774" width="22.7265625" style="219" customWidth="1"/>
    <col min="775" max="775" width="2.7265625" style="219" customWidth="1"/>
    <col min="776" max="1024" width="9.1796875" style="219"/>
    <col min="1025" max="1025" width="2.7265625" style="219" customWidth="1"/>
    <col min="1026" max="1027" width="22.7265625" style="219" customWidth="1"/>
    <col min="1028" max="1028" width="3.7265625" style="219" customWidth="1"/>
    <col min="1029" max="1030" width="22.7265625" style="219" customWidth="1"/>
    <col min="1031" max="1031" width="2.7265625" style="219" customWidth="1"/>
    <col min="1032" max="1280" width="9.1796875" style="219"/>
    <col min="1281" max="1281" width="2.7265625" style="219" customWidth="1"/>
    <col min="1282" max="1283" width="22.7265625" style="219" customWidth="1"/>
    <col min="1284" max="1284" width="3.7265625" style="219" customWidth="1"/>
    <col min="1285" max="1286" width="22.7265625" style="219" customWidth="1"/>
    <col min="1287" max="1287" width="2.7265625" style="219" customWidth="1"/>
    <col min="1288" max="1536" width="9.1796875" style="219"/>
    <col min="1537" max="1537" width="2.7265625" style="219" customWidth="1"/>
    <col min="1538" max="1539" width="22.7265625" style="219" customWidth="1"/>
    <col min="1540" max="1540" width="3.7265625" style="219" customWidth="1"/>
    <col min="1541" max="1542" width="22.7265625" style="219" customWidth="1"/>
    <col min="1543" max="1543" width="2.7265625" style="219" customWidth="1"/>
    <col min="1544" max="1792" width="9.1796875" style="219"/>
    <col min="1793" max="1793" width="2.7265625" style="219" customWidth="1"/>
    <col min="1794" max="1795" width="22.7265625" style="219" customWidth="1"/>
    <col min="1796" max="1796" width="3.7265625" style="219" customWidth="1"/>
    <col min="1797" max="1798" width="22.7265625" style="219" customWidth="1"/>
    <col min="1799" max="1799" width="2.7265625" style="219" customWidth="1"/>
    <col min="1800" max="2048" width="9.1796875" style="219"/>
    <col min="2049" max="2049" width="2.7265625" style="219" customWidth="1"/>
    <col min="2050" max="2051" width="22.7265625" style="219" customWidth="1"/>
    <col min="2052" max="2052" width="3.7265625" style="219" customWidth="1"/>
    <col min="2053" max="2054" width="22.7265625" style="219" customWidth="1"/>
    <col min="2055" max="2055" width="2.7265625" style="219" customWidth="1"/>
    <col min="2056" max="2304" width="9.1796875" style="219"/>
    <col min="2305" max="2305" width="2.7265625" style="219" customWidth="1"/>
    <col min="2306" max="2307" width="22.7265625" style="219" customWidth="1"/>
    <col min="2308" max="2308" width="3.7265625" style="219" customWidth="1"/>
    <col min="2309" max="2310" width="22.7265625" style="219" customWidth="1"/>
    <col min="2311" max="2311" width="2.7265625" style="219" customWidth="1"/>
    <col min="2312" max="2560" width="9.1796875" style="219"/>
    <col min="2561" max="2561" width="2.7265625" style="219" customWidth="1"/>
    <col min="2562" max="2563" width="22.7265625" style="219" customWidth="1"/>
    <col min="2564" max="2564" width="3.7265625" style="219" customWidth="1"/>
    <col min="2565" max="2566" width="22.7265625" style="219" customWidth="1"/>
    <col min="2567" max="2567" width="2.7265625" style="219" customWidth="1"/>
    <col min="2568" max="2816" width="9.1796875" style="219"/>
    <col min="2817" max="2817" width="2.7265625" style="219" customWidth="1"/>
    <col min="2818" max="2819" width="22.7265625" style="219" customWidth="1"/>
    <col min="2820" max="2820" width="3.7265625" style="219" customWidth="1"/>
    <col min="2821" max="2822" width="22.7265625" style="219" customWidth="1"/>
    <col min="2823" max="2823" width="2.7265625" style="219" customWidth="1"/>
    <col min="2824" max="3072" width="9.1796875" style="219"/>
    <col min="3073" max="3073" width="2.7265625" style="219" customWidth="1"/>
    <col min="3074" max="3075" width="22.7265625" style="219" customWidth="1"/>
    <col min="3076" max="3076" width="3.7265625" style="219" customWidth="1"/>
    <col min="3077" max="3078" width="22.7265625" style="219" customWidth="1"/>
    <col min="3079" max="3079" width="2.7265625" style="219" customWidth="1"/>
    <col min="3080" max="3328" width="9.1796875" style="219"/>
    <col min="3329" max="3329" width="2.7265625" style="219" customWidth="1"/>
    <col min="3330" max="3331" width="22.7265625" style="219" customWidth="1"/>
    <col min="3332" max="3332" width="3.7265625" style="219" customWidth="1"/>
    <col min="3333" max="3334" width="22.7265625" style="219" customWidth="1"/>
    <col min="3335" max="3335" width="2.7265625" style="219" customWidth="1"/>
    <col min="3336" max="3584" width="9.1796875" style="219"/>
    <col min="3585" max="3585" width="2.7265625" style="219" customWidth="1"/>
    <col min="3586" max="3587" width="22.7265625" style="219" customWidth="1"/>
    <col min="3588" max="3588" width="3.7265625" style="219" customWidth="1"/>
    <col min="3589" max="3590" width="22.7265625" style="219" customWidth="1"/>
    <col min="3591" max="3591" width="2.7265625" style="219" customWidth="1"/>
    <col min="3592" max="3840" width="9.1796875" style="219"/>
    <col min="3841" max="3841" width="2.7265625" style="219" customWidth="1"/>
    <col min="3842" max="3843" width="22.7265625" style="219" customWidth="1"/>
    <col min="3844" max="3844" width="3.7265625" style="219" customWidth="1"/>
    <col min="3845" max="3846" width="22.7265625" style="219" customWidth="1"/>
    <col min="3847" max="3847" width="2.7265625" style="219" customWidth="1"/>
    <col min="3848" max="4096" width="9.1796875" style="219"/>
    <col min="4097" max="4097" width="2.7265625" style="219" customWidth="1"/>
    <col min="4098" max="4099" width="22.7265625" style="219" customWidth="1"/>
    <col min="4100" max="4100" width="3.7265625" style="219" customWidth="1"/>
    <col min="4101" max="4102" width="22.7265625" style="219" customWidth="1"/>
    <col min="4103" max="4103" width="2.7265625" style="219" customWidth="1"/>
    <col min="4104" max="4352" width="9.1796875" style="219"/>
    <col min="4353" max="4353" width="2.7265625" style="219" customWidth="1"/>
    <col min="4354" max="4355" width="22.7265625" style="219" customWidth="1"/>
    <col min="4356" max="4356" width="3.7265625" style="219" customWidth="1"/>
    <col min="4357" max="4358" width="22.7265625" style="219" customWidth="1"/>
    <col min="4359" max="4359" width="2.7265625" style="219" customWidth="1"/>
    <col min="4360" max="4608" width="9.1796875" style="219"/>
    <col min="4609" max="4609" width="2.7265625" style="219" customWidth="1"/>
    <col min="4610" max="4611" width="22.7265625" style="219" customWidth="1"/>
    <col min="4612" max="4612" width="3.7265625" style="219" customWidth="1"/>
    <col min="4613" max="4614" width="22.7265625" style="219" customWidth="1"/>
    <col min="4615" max="4615" width="2.7265625" style="219" customWidth="1"/>
    <col min="4616" max="4864" width="9.1796875" style="219"/>
    <col min="4865" max="4865" width="2.7265625" style="219" customWidth="1"/>
    <col min="4866" max="4867" width="22.7265625" style="219" customWidth="1"/>
    <col min="4868" max="4868" width="3.7265625" style="219" customWidth="1"/>
    <col min="4869" max="4870" width="22.7265625" style="219" customWidth="1"/>
    <col min="4871" max="4871" width="2.7265625" style="219" customWidth="1"/>
    <col min="4872" max="5120" width="9.1796875" style="219"/>
    <col min="5121" max="5121" width="2.7265625" style="219" customWidth="1"/>
    <col min="5122" max="5123" width="22.7265625" style="219" customWidth="1"/>
    <col min="5124" max="5124" width="3.7265625" style="219" customWidth="1"/>
    <col min="5125" max="5126" width="22.7265625" style="219" customWidth="1"/>
    <col min="5127" max="5127" width="2.7265625" style="219" customWidth="1"/>
    <col min="5128" max="5376" width="9.1796875" style="219"/>
    <col min="5377" max="5377" width="2.7265625" style="219" customWidth="1"/>
    <col min="5378" max="5379" width="22.7265625" style="219" customWidth="1"/>
    <col min="5380" max="5380" width="3.7265625" style="219" customWidth="1"/>
    <col min="5381" max="5382" width="22.7265625" style="219" customWidth="1"/>
    <col min="5383" max="5383" width="2.7265625" style="219" customWidth="1"/>
    <col min="5384" max="5632" width="9.1796875" style="219"/>
    <col min="5633" max="5633" width="2.7265625" style="219" customWidth="1"/>
    <col min="5634" max="5635" width="22.7265625" style="219" customWidth="1"/>
    <col min="5636" max="5636" width="3.7265625" style="219" customWidth="1"/>
    <col min="5637" max="5638" width="22.7265625" style="219" customWidth="1"/>
    <col min="5639" max="5639" width="2.7265625" style="219" customWidth="1"/>
    <col min="5640" max="5888" width="9.1796875" style="219"/>
    <col min="5889" max="5889" width="2.7265625" style="219" customWidth="1"/>
    <col min="5890" max="5891" width="22.7265625" style="219" customWidth="1"/>
    <col min="5892" max="5892" width="3.7265625" style="219" customWidth="1"/>
    <col min="5893" max="5894" width="22.7265625" style="219" customWidth="1"/>
    <col min="5895" max="5895" width="2.7265625" style="219" customWidth="1"/>
    <col min="5896" max="6144" width="9.1796875" style="219"/>
    <col min="6145" max="6145" width="2.7265625" style="219" customWidth="1"/>
    <col min="6146" max="6147" width="22.7265625" style="219" customWidth="1"/>
    <col min="6148" max="6148" width="3.7265625" style="219" customWidth="1"/>
    <col min="6149" max="6150" width="22.7265625" style="219" customWidth="1"/>
    <col min="6151" max="6151" width="2.7265625" style="219" customWidth="1"/>
    <col min="6152" max="6400" width="9.1796875" style="219"/>
    <col min="6401" max="6401" width="2.7265625" style="219" customWidth="1"/>
    <col min="6402" max="6403" width="22.7265625" style="219" customWidth="1"/>
    <col min="6404" max="6404" width="3.7265625" style="219" customWidth="1"/>
    <col min="6405" max="6406" width="22.7265625" style="219" customWidth="1"/>
    <col min="6407" max="6407" width="2.7265625" style="219" customWidth="1"/>
    <col min="6408" max="6656" width="9.1796875" style="219"/>
    <col min="6657" max="6657" width="2.7265625" style="219" customWidth="1"/>
    <col min="6658" max="6659" width="22.7265625" style="219" customWidth="1"/>
    <col min="6660" max="6660" width="3.7265625" style="219" customWidth="1"/>
    <col min="6661" max="6662" width="22.7265625" style="219" customWidth="1"/>
    <col min="6663" max="6663" width="2.7265625" style="219" customWidth="1"/>
    <col min="6664" max="6912" width="9.1796875" style="219"/>
    <col min="6913" max="6913" width="2.7265625" style="219" customWidth="1"/>
    <col min="6914" max="6915" width="22.7265625" style="219" customWidth="1"/>
    <col min="6916" max="6916" width="3.7265625" style="219" customWidth="1"/>
    <col min="6917" max="6918" width="22.7265625" style="219" customWidth="1"/>
    <col min="6919" max="6919" width="2.7265625" style="219" customWidth="1"/>
    <col min="6920" max="7168" width="9.1796875" style="219"/>
    <col min="7169" max="7169" width="2.7265625" style="219" customWidth="1"/>
    <col min="7170" max="7171" width="22.7265625" style="219" customWidth="1"/>
    <col min="7172" max="7172" width="3.7265625" style="219" customWidth="1"/>
    <col min="7173" max="7174" width="22.7265625" style="219" customWidth="1"/>
    <col min="7175" max="7175" width="2.7265625" style="219" customWidth="1"/>
    <col min="7176" max="7424" width="9.1796875" style="219"/>
    <col min="7425" max="7425" width="2.7265625" style="219" customWidth="1"/>
    <col min="7426" max="7427" width="22.7265625" style="219" customWidth="1"/>
    <col min="7428" max="7428" width="3.7265625" style="219" customWidth="1"/>
    <col min="7429" max="7430" width="22.7265625" style="219" customWidth="1"/>
    <col min="7431" max="7431" width="2.7265625" style="219" customWidth="1"/>
    <col min="7432" max="7680" width="9.1796875" style="219"/>
    <col min="7681" max="7681" width="2.7265625" style="219" customWidth="1"/>
    <col min="7682" max="7683" width="22.7265625" style="219" customWidth="1"/>
    <col min="7684" max="7684" width="3.7265625" style="219" customWidth="1"/>
    <col min="7685" max="7686" width="22.7265625" style="219" customWidth="1"/>
    <col min="7687" max="7687" width="2.7265625" style="219" customWidth="1"/>
    <col min="7688" max="7936" width="9.1796875" style="219"/>
    <col min="7937" max="7937" width="2.7265625" style="219" customWidth="1"/>
    <col min="7938" max="7939" width="22.7265625" style="219" customWidth="1"/>
    <col min="7940" max="7940" width="3.7265625" style="219" customWidth="1"/>
    <col min="7941" max="7942" width="22.7265625" style="219" customWidth="1"/>
    <col min="7943" max="7943" width="2.7265625" style="219" customWidth="1"/>
    <col min="7944" max="8192" width="9.1796875" style="219"/>
    <col min="8193" max="8193" width="2.7265625" style="219" customWidth="1"/>
    <col min="8194" max="8195" width="22.7265625" style="219" customWidth="1"/>
    <col min="8196" max="8196" width="3.7265625" style="219" customWidth="1"/>
    <col min="8197" max="8198" width="22.7265625" style="219" customWidth="1"/>
    <col min="8199" max="8199" width="2.7265625" style="219" customWidth="1"/>
    <col min="8200" max="8448" width="9.1796875" style="219"/>
    <col min="8449" max="8449" width="2.7265625" style="219" customWidth="1"/>
    <col min="8450" max="8451" width="22.7265625" style="219" customWidth="1"/>
    <col min="8452" max="8452" width="3.7265625" style="219" customWidth="1"/>
    <col min="8453" max="8454" width="22.7265625" style="219" customWidth="1"/>
    <col min="8455" max="8455" width="2.7265625" style="219" customWidth="1"/>
    <col min="8456" max="8704" width="9.1796875" style="219"/>
    <col min="8705" max="8705" width="2.7265625" style="219" customWidth="1"/>
    <col min="8706" max="8707" width="22.7265625" style="219" customWidth="1"/>
    <col min="8708" max="8708" width="3.7265625" style="219" customWidth="1"/>
    <col min="8709" max="8710" width="22.7265625" style="219" customWidth="1"/>
    <col min="8711" max="8711" width="2.7265625" style="219" customWidth="1"/>
    <col min="8712" max="8960" width="9.1796875" style="219"/>
    <col min="8961" max="8961" width="2.7265625" style="219" customWidth="1"/>
    <col min="8962" max="8963" width="22.7265625" style="219" customWidth="1"/>
    <col min="8964" max="8964" width="3.7265625" style="219" customWidth="1"/>
    <col min="8965" max="8966" width="22.7265625" style="219" customWidth="1"/>
    <col min="8967" max="8967" width="2.7265625" style="219" customWidth="1"/>
    <col min="8968" max="9216" width="9.1796875" style="219"/>
    <col min="9217" max="9217" width="2.7265625" style="219" customWidth="1"/>
    <col min="9218" max="9219" width="22.7265625" style="219" customWidth="1"/>
    <col min="9220" max="9220" width="3.7265625" style="219" customWidth="1"/>
    <col min="9221" max="9222" width="22.7265625" style="219" customWidth="1"/>
    <col min="9223" max="9223" width="2.7265625" style="219" customWidth="1"/>
    <col min="9224" max="9472" width="9.1796875" style="219"/>
    <col min="9473" max="9473" width="2.7265625" style="219" customWidth="1"/>
    <col min="9474" max="9475" width="22.7265625" style="219" customWidth="1"/>
    <col min="9476" max="9476" width="3.7265625" style="219" customWidth="1"/>
    <col min="9477" max="9478" width="22.7265625" style="219" customWidth="1"/>
    <col min="9479" max="9479" width="2.7265625" style="219" customWidth="1"/>
    <col min="9480" max="9728" width="9.1796875" style="219"/>
    <col min="9729" max="9729" width="2.7265625" style="219" customWidth="1"/>
    <col min="9730" max="9731" width="22.7265625" style="219" customWidth="1"/>
    <col min="9732" max="9732" width="3.7265625" style="219" customWidth="1"/>
    <col min="9733" max="9734" width="22.7265625" style="219" customWidth="1"/>
    <col min="9735" max="9735" width="2.7265625" style="219" customWidth="1"/>
    <col min="9736" max="9984" width="9.1796875" style="219"/>
    <col min="9985" max="9985" width="2.7265625" style="219" customWidth="1"/>
    <col min="9986" max="9987" width="22.7265625" style="219" customWidth="1"/>
    <col min="9988" max="9988" width="3.7265625" style="219" customWidth="1"/>
    <col min="9989" max="9990" width="22.7265625" style="219" customWidth="1"/>
    <col min="9991" max="9991" width="2.7265625" style="219" customWidth="1"/>
    <col min="9992" max="10240" width="9.1796875" style="219"/>
    <col min="10241" max="10241" width="2.7265625" style="219" customWidth="1"/>
    <col min="10242" max="10243" width="22.7265625" style="219" customWidth="1"/>
    <col min="10244" max="10244" width="3.7265625" style="219" customWidth="1"/>
    <col min="10245" max="10246" width="22.7265625" style="219" customWidth="1"/>
    <col min="10247" max="10247" width="2.7265625" style="219" customWidth="1"/>
    <col min="10248" max="10496" width="9.1796875" style="219"/>
    <col min="10497" max="10497" width="2.7265625" style="219" customWidth="1"/>
    <col min="10498" max="10499" width="22.7265625" style="219" customWidth="1"/>
    <col min="10500" max="10500" width="3.7265625" style="219" customWidth="1"/>
    <col min="10501" max="10502" width="22.7265625" style="219" customWidth="1"/>
    <col min="10503" max="10503" width="2.7265625" style="219" customWidth="1"/>
    <col min="10504" max="10752" width="9.1796875" style="219"/>
    <col min="10753" max="10753" width="2.7265625" style="219" customWidth="1"/>
    <col min="10754" max="10755" width="22.7265625" style="219" customWidth="1"/>
    <col min="10756" max="10756" width="3.7265625" style="219" customWidth="1"/>
    <col min="10757" max="10758" width="22.7265625" style="219" customWidth="1"/>
    <col min="10759" max="10759" width="2.7265625" style="219" customWidth="1"/>
    <col min="10760" max="11008" width="9.1796875" style="219"/>
    <col min="11009" max="11009" width="2.7265625" style="219" customWidth="1"/>
    <col min="11010" max="11011" width="22.7265625" style="219" customWidth="1"/>
    <col min="11012" max="11012" width="3.7265625" style="219" customWidth="1"/>
    <col min="11013" max="11014" width="22.7265625" style="219" customWidth="1"/>
    <col min="11015" max="11015" width="2.7265625" style="219" customWidth="1"/>
    <col min="11016" max="11264" width="9.1796875" style="219"/>
    <col min="11265" max="11265" width="2.7265625" style="219" customWidth="1"/>
    <col min="11266" max="11267" width="22.7265625" style="219" customWidth="1"/>
    <col min="11268" max="11268" width="3.7265625" style="219" customWidth="1"/>
    <col min="11269" max="11270" width="22.7265625" style="219" customWidth="1"/>
    <col min="11271" max="11271" width="2.7265625" style="219" customWidth="1"/>
    <col min="11272" max="11520" width="9.1796875" style="219"/>
    <col min="11521" max="11521" width="2.7265625" style="219" customWidth="1"/>
    <col min="11522" max="11523" width="22.7265625" style="219" customWidth="1"/>
    <col min="11524" max="11524" width="3.7265625" style="219" customWidth="1"/>
    <col min="11525" max="11526" width="22.7265625" style="219" customWidth="1"/>
    <col min="11527" max="11527" width="2.7265625" style="219" customWidth="1"/>
    <col min="11528" max="11776" width="9.1796875" style="219"/>
    <col min="11777" max="11777" width="2.7265625" style="219" customWidth="1"/>
    <col min="11778" max="11779" width="22.7265625" style="219" customWidth="1"/>
    <col min="11780" max="11780" width="3.7265625" style="219" customWidth="1"/>
    <col min="11781" max="11782" width="22.7265625" style="219" customWidth="1"/>
    <col min="11783" max="11783" width="2.7265625" style="219" customWidth="1"/>
    <col min="11784" max="12032" width="9.1796875" style="219"/>
    <col min="12033" max="12033" width="2.7265625" style="219" customWidth="1"/>
    <col min="12034" max="12035" width="22.7265625" style="219" customWidth="1"/>
    <col min="12036" max="12036" width="3.7265625" style="219" customWidth="1"/>
    <col min="12037" max="12038" width="22.7265625" style="219" customWidth="1"/>
    <col min="12039" max="12039" width="2.7265625" style="219" customWidth="1"/>
    <col min="12040" max="12288" width="9.1796875" style="219"/>
    <col min="12289" max="12289" width="2.7265625" style="219" customWidth="1"/>
    <col min="12290" max="12291" width="22.7265625" style="219" customWidth="1"/>
    <col min="12292" max="12292" width="3.7265625" style="219" customWidth="1"/>
    <col min="12293" max="12294" width="22.7265625" style="219" customWidth="1"/>
    <col min="12295" max="12295" width="2.7265625" style="219" customWidth="1"/>
    <col min="12296" max="12544" width="9.1796875" style="219"/>
    <col min="12545" max="12545" width="2.7265625" style="219" customWidth="1"/>
    <col min="12546" max="12547" width="22.7265625" style="219" customWidth="1"/>
    <col min="12548" max="12548" width="3.7265625" style="219" customWidth="1"/>
    <col min="12549" max="12550" width="22.7265625" style="219" customWidth="1"/>
    <col min="12551" max="12551" width="2.7265625" style="219" customWidth="1"/>
    <col min="12552" max="12800" width="9.1796875" style="219"/>
    <col min="12801" max="12801" width="2.7265625" style="219" customWidth="1"/>
    <col min="12802" max="12803" width="22.7265625" style="219" customWidth="1"/>
    <col min="12804" max="12804" width="3.7265625" style="219" customWidth="1"/>
    <col min="12805" max="12806" width="22.7265625" style="219" customWidth="1"/>
    <col min="12807" max="12807" width="2.7265625" style="219" customWidth="1"/>
    <col min="12808" max="13056" width="9.1796875" style="219"/>
    <col min="13057" max="13057" width="2.7265625" style="219" customWidth="1"/>
    <col min="13058" max="13059" width="22.7265625" style="219" customWidth="1"/>
    <col min="13060" max="13060" width="3.7265625" style="219" customWidth="1"/>
    <col min="13061" max="13062" width="22.7265625" style="219" customWidth="1"/>
    <col min="13063" max="13063" width="2.7265625" style="219" customWidth="1"/>
    <col min="13064" max="13312" width="9.1796875" style="219"/>
    <col min="13313" max="13313" width="2.7265625" style="219" customWidth="1"/>
    <col min="13314" max="13315" width="22.7265625" style="219" customWidth="1"/>
    <col min="13316" max="13316" width="3.7265625" style="219" customWidth="1"/>
    <col min="13317" max="13318" width="22.7265625" style="219" customWidth="1"/>
    <col min="13319" max="13319" width="2.7265625" style="219" customWidth="1"/>
    <col min="13320" max="13568" width="9.1796875" style="219"/>
    <col min="13569" max="13569" width="2.7265625" style="219" customWidth="1"/>
    <col min="13570" max="13571" width="22.7265625" style="219" customWidth="1"/>
    <col min="13572" max="13572" width="3.7265625" style="219" customWidth="1"/>
    <col min="13573" max="13574" width="22.7265625" style="219" customWidth="1"/>
    <col min="13575" max="13575" width="2.7265625" style="219" customWidth="1"/>
    <col min="13576" max="13824" width="9.1796875" style="219"/>
    <col min="13825" max="13825" width="2.7265625" style="219" customWidth="1"/>
    <col min="13826" max="13827" width="22.7265625" style="219" customWidth="1"/>
    <col min="13828" max="13828" width="3.7265625" style="219" customWidth="1"/>
    <col min="13829" max="13830" width="22.7265625" style="219" customWidth="1"/>
    <col min="13831" max="13831" width="2.7265625" style="219" customWidth="1"/>
    <col min="13832" max="14080" width="9.1796875" style="219"/>
    <col min="14081" max="14081" width="2.7265625" style="219" customWidth="1"/>
    <col min="14082" max="14083" width="22.7265625" style="219" customWidth="1"/>
    <col min="14084" max="14084" width="3.7265625" style="219" customWidth="1"/>
    <col min="14085" max="14086" width="22.7265625" style="219" customWidth="1"/>
    <col min="14087" max="14087" width="2.7265625" style="219" customWidth="1"/>
    <col min="14088" max="14336" width="9.1796875" style="219"/>
    <col min="14337" max="14337" width="2.7265625" style="219" customWidth="1"/>
    <col min="14338" max="14339" width="22.7265625" style="219" customWidth="1"/>
    <col min="14340" max="14340" width="3.7265625" style="219" customWidth="1"/>
    <col min="14341" max="14342" width="22.7265625" style="219" customWidth="1"/>
    <col min="14343" max="14343" width="2.7265625" style="219" customWidth="1"/>
    <col min="14344" max="14592" width="9.1796875" style="219"/>
    <col min="14593" max="14593" width="2.7265625" style="219" customWidth="1"/>
    <col min="14594" max="14595" width="22.7265625" style="219" customWidth="1"/>
    <col min="14596" max="14596" width="3.7265625" style="219" customWidth="1"/>
    <col min="14597" max="14598" width="22.7265625" style="219" customWidth="1"/>
    <col min="14599" max="14599" width="2.7265625" style="219" customWidth="1"/>
    <col min="14600" max="14848" width="9.1796875" style="219"/>
    <col min="14849" max="14849" width="2.7265625" style="219" customWidth="1"/>
    <col min="14850" max="14851" width="22.7265625" style="219" customWidth="1"/>
    <col min="14852" max="14852" width="3.7265625" style="219" customWidth="1"/>
    <col min="14853" max="14854" width="22.7265625" style="219" customWidth="1"/>
    <col min="14855" max="14855" width="2.7265625" style="219" customWidth="1"/>
    <col min="14856" max="15104" width="9.1796875" style="219"/>
    <col min="15105" max="15105" width="2.7265625" style="219" customWidth="1"/>
    <col min="15106" max="15107" width="22.7265625" style="219" customWidth="1"/>
    <col min="15108" max="15108" width="3.7265625" style="219" customWidth="1"/>
    <col min="15109" max="15110" width="22.7265625" style="219" customWidth="1"/>
    <col min="15111" max="15111" width="2.7265625" style="219" customWidth="1"/>
    <col min="15112" max="15360" width="9.1796875" style="219"/>
    <col min="15361" max="15361" width="2.7265625" style="219" customWidth="1"/>
    <col min="15362" max="15363" width="22.7265625" style="219" customWidth="1"/>
    <col min="15364" max="15364" width="3.7265625" style="219" customWidth="1"/>
    <col min="15365" max="15366" width="22.7265625" style="219" customWidth="1"/>
    <col min="15367" max="15367" width="2.7265625" style="219" customWidth="1"/>
    <col min="15368" max="15616" width="9.1796875" style="219"/>
    <col min="15617" max="15617" width="2.7265625" style="219" customWidth="1"/>
    <col min="15618" max="15619" width="22.7265625" style="219" customWidth="1"/>
    <col min="15620" max="15620" width="3.7265625" style="219" customWidth="1"/>
    <col min="15621" max="15622" width="22.7265625" style="219" customWidth="1"/>
    <col min="15623" max="15623" width="2.7265625" style="219" customWidth="1"/>
    <col min="15624" max="15872" width="9.1796875" style="219"/>
    <col min="15873" max="15873" width="2.7265625" style="219" customWidth="1"/>
    <col min="15874" max="15875" width="22.7265625" style="219" customWidth="1"/>
    <col min="15876" max="15876" width="3.7265625" style="219" customWidth="1"/>
    <col min="15877" max="15878" width="22.7265625" style="219" customWidth="1"/>
    <col min="15879" max="15879" width="2.7265625" style="219" customWidth="1"/>
    <col min="15880" max="16128" width="9.1796875" style="219"/>
    <col min="16129" max="16129" width="2.7265625" style="219" customWidth="1"/>
    <col min="16130" max="16131" width="22.7265625" style="219" customWidth="1"/>
    <col min="16132" max="16132" width="3.7265625" style="219" customWidth="1"/>
    <col min="16133" max="16134" width="22.7265625" style="219" customWidth="1"/>
    <col min="16135" max="16135" width="2.7265625" style="219" customWidth="1"/>
    <col min="16136" max="16384" width="9.1796875" style="219"/>
  </cols>
  <sheetData>
    <row r="1" spans="1:12" ht="13.5" thickTop="1" thickBot="1" x14ac:dyDescent="0.3">
      <c r="A1" s="215"/>
      <c r="B1" s="216"/>
      <c r="C1" s="216"/>
      <c r="D1" s="216"/>
      <c r="E1" s="216"/>
      <c r="F1" s="216"/>
      <c r="G1" s="217"/>
    </row>
    <row r="2" spans="1:12" ht="14.5" thickBot="1" x14ac:dyDescent="0.3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5" t="str">
        <f>'Cover - Location Info'!J8</f>
        <v>101519</v>
      </c>
      <c r="C3" s="221"/>
      <c r="D3" s="221"/>
      <c r="E3" s="221"/>
      <c r="F3" s="347" t="str">
        <f>'Cover - Location Info'!J10</f>
        <v>1.0</v>
      </c>
      <c r="G3" s="213"/>
    </row>
    <row r="4" spans="1:12" ht="12.75" customHeight="1" thickBot="1" x14ac:dyDescent="0.3">
      <c r="A4" s="220"/>
      <c r="B4" s="346"/>
      <c r="C4" s="221"/>
      <c r="D4" s="221"/>
      <c r="E4" s="221"/>
      <c r="F4" s="348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5" x14ac:dyDescent="0.5">
      <c r="A6" s="220"/>
      <c r="B6" s="349" t="s">
        <v>73</v>
      </c>
      <c r="C6" s="349"/>
      <c r="D6" s="349"/>
      <c r="E6" s="349"/>
      <c r="F6" s="349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50"/>
      <c r="C9" s="351"/>
      <c r="D9" s="351"/>
      <c r="E9" s="351"/>
      <c r="F9" s="352"/>
      <c r="G9" s="223"/>
      <c r="I9" s="224"/>
      <c r="J9" s="224"/>
      <c r="K9" s="224"/>
      <c r="L9" s="224"/>
    </row>
    <row r="10" spans="1:12" ht="15" customHeight="1" x14ac:dyDescent="0.25">
      <c r="A10" s="220"/>
      <c r="B10" s="342"/>
      <c r="C10" s="343"/>
      <c r="D10" s="343"/>
      <c r="E10" s="343"/>
      <c r="F10" s="344"/>
      <c r="G10" s="223"/>
      <c r="I10" s="224"/>
      <c r="J10" s="224"/>
      <c r="K10" s="224"/>
      <c r="L10" s="224"/>
    </row>
    <row r="11" spans="1:12" ht="15" customHeight="1" x14ac:dyDescent="0.25">
      <c r="A11" s="220"/>
      <c r="B11" s="353"/>
      <c r="C11" s="354"/>
      <c r="D11" s="354"/>
      <c r="E11" s="354"/>
      <c r="F11" s="355"/>
      <c r="G11" s="223"/>
      <c r="I11" s="224"/>
      <c r="J11" s="224"/>
      <c r="K11" s="225"/>
      <c r="L11" s="226"/>
    </row>
    <row r="12" spans="1:12" ht="15" customHeight="1" x14ac:dyDescent="0.25">
      <c r="A12" s="220"/>
      <c r="B12" s="342"/>
      <c r="C12" s="343"/>
      <c r="D12" s="343"/>
      <c r="E12" s="343"/>
      <c r="F12" s="344"/>
      <c r="G12" s="223"/>
      <c r="I12" s="224"/>
      <c r="J12" s="224"/>
      <c r="K12" s="225"/>
      <c r="L12" s="226"/>
    </row>
    <row r="13" spans="1:12" ht="15" customHeight="1" x14ac:dyDescent="0.25">
      <c r="A13" s="220"/>
      <c r="B13" s="342"/>
      <c r="C13" s="343"/>
      <c r="D13" s="343"/>
      <c r="E13" s="343"/>
      <c r="F13" s="344"/>
      <c r="G13" s="223"/>
      <c r="I13" s="224"/>
      <c r="J13" s="224"/>
      <c r="K13" s="225"/>
      <c r="L13" s="226"/>
    </row>
    <row r="14" spans="1:12" ht="15" customHeight="1" x14ac:dyDescent="0.25">
      <c r="A14" s="220"/>
      <c r="B14" s="342"/>
      <c r="C14" s="343"/>
      <c r="D14" s="343"/>
      <c r="E14" s="343"/>
      <c r="F14" s="344"/>
      <c r="G14" s="223"/>
      <c r="I14" s="224"/>
      <c r="J14" s="224"/>
      <c r="K14" s="226"/>
      <c r="L14" s="226"/>
    </row>
    <row r="15" spans="1:12" ht="15" customHeight="1" x14ac:dyDescent="0.25">
      <c r="A15" s="220"/>
      <c r="B15" s="342"/>
      <c r="C15" s="343"/>
      <c r="D15" s="343"/>
      <c r="E15" s="343"/>
      <c r="F15" s="344"/>
      <c r="G15" s="223"/>
      <c r="I15" s="224"/>
      <c r="J15" s="224"/>
      <c r="K15" s="227"/>
      <c r="L15" s="227"/>
    </row>
    <row r="16" spans="1:12" ht="15" customHeight="1" x14ac:dyDescent="0.25">
      <c r="A16" s="220"/>
      <c r="B16" s="342"/>
      <c r="C16" s="343"/>
      <c r="D16" s="343"/>
      <c r="E16" s="343"/>
      <c r="F16" s="344"/>
      <c r="G16" s="223"/>
      <c r="I16" s="224"/>
      <c r="J16" s="224"/>
      <c r="K16" s="228"/>
      <c r="L16" s="228"/>
    </row>
    <row r="17" spans="1:12" ht="15" customHeight="1" x14ac:dyDescent="0.25">
      <c r="A17" s="220"/>
      <c r="B17" s="342"/>
      <c r="C17" s="343"/>
      <c r="D17" s="343"/>
      <c r="E17" s="343"/>
      <c r="F17" s="344"/>
      <c r="G17" s="223"/>
      <c r="I17" s="224"/>
      <c r="J17" s="224"/>
      <c r="K17" s="228"/>
      <c r="L17" s="228"/>
    </row>
    <row r="18" spans="1:12" ht="15" customHeight="1" x14ac:dyDescent="0.25">
      <c r="A18" s="220"/>
      <c r="B18" s="342"/>
      <c r="C18" s="343"/>
      <c r="D18" s="343"/>
      <c r="E18" s="343"/>
      <c r="F18" s="344"/>
      <c r="G18" s="223"/>
      <c r="I18" s="224"/>
      <c r="J18" s="224"/>
      <c r="K18" s="227"/>
      <c r="L18" s="227"/>
    </row>
    <row r="19" spans="1:12" ht="15" customHeight="1" x14ac:dyDescent="0.25">
      <c r="A19" s="220"/>
      <c r="B19" s="342"/>
      <c r="C19" s="343"/>
      <c r="D19" s="343"/>
      <c r="E19" s="343"/>
      <c r="F19" s="344"/>
      <c r="G19" s="223"/>
      <c r="I19" s="224"/>
      <c r="J19" s="224"/>
      <c r="K19" s="227"/>
      <c r="L19" s="227"/>
    </row>
    <row r="20" spans="1:12" ht="15" customHeight="1" x14ac:dyDescent="0.25">
      <c r="A20" s="220"/>
      <c r="B20" s="342"/>
      <c r="C20" s="343"/>
      <c r="D20" s="343"/>
      <c r="E20" s="343"/>
      <c r="F20" s="344"/>
      <c r="G20" s="223"/>
      <c r="I20" s="224"/>
      <c r="J20" s="224"/>
      <c r="K20" s="227"/>
      <c r="L20" s="227"/>
    </row>
    <row r="21" spans="1:12" ht="15" customHeight="1" x14ac:dyDescent="0.25">
      <c r="A21" s="220"/>
      <c r="B21" s="342"/>
      <c r="C21" s="343"/>
      <c r="D21" s="343"/>
      <c r="E21" s="343"/>
      <c r="F21" s="344"/>
      <c r="G21" s="223"/>
      <c r="I21" s="224"/>
      <c r="J21" s="224"/>
      <c r="K21" s="225"/>
      <c r="L21" s="226"/>
    </row>
    <row r="22" spans="1:12" ht="15" customHeight="1" x14ac:dyDescent="0.25">
      <c r="A22" s="220"/>
      <c r="B22" s="342"/>
      <c r="C22" s="343"/>
      <c r="D22" s="343"/>
      <c r="E22" s="343"/>
      <c r="F22" s="344"/>
      <c r="G22" s="223"/>
      <c r="I22" s="224"/>
      <c r="J22" s="224"/>
      <c r="K22" s="225"/>
      <c r="L22" s="226"/>
    </row>
    <row r="23" spans="1:12" ht="15" customHeight="1" x14ac:dyDescent="0.25">
      <c r="A23" s="220"/>
      <c r="B23" s="342"/>
      <c r="C23" s="343"/>
      <c r="D23" s="343"/>
      <c r="E23" s="343"/>
      <c r="F23" s="344"/>
      <c r="G23" s="223"/>
      <c r="I23" s="224"/>
      <c r="J23" s="224"/>
      <c r="K23" s="226"/>
      <c r="L23" s="226"/>
    </row>
    <row r="24" spans="1:12" ht="15" customHeight="1" x14ac:dyDescent="0.25">
      <c r="A24" s="220"/>
      <c r="B24" s="342"/>
      <c r="C24" s="343"/>
      <c r="D24" s="343"/>
      <c r="E24" s="343"/>
      <c r="F24" s="344"/>
      <c r="G24" s="223"/>
      <c r="I24" s="224"/>
      <c r="J24" s="224"/>
      <c r="K24" s="226"/>
      <c r="L24" s="226"/>
    </row>
    <row r="25" spans="1:12" ht="15" customHeight="1" x14ac:dyDescent="0.25">
      <c r="A25" s="220"/>
      <c r="B25" s="342"/>
      <c r="C25" s="343"/>
      <c r="D25" s="343"/>
      <c r="E25" s="343"/>
      <c r="F25" s="344"/>
      <c r="G25" s="223"/>
      <c r="I25" s="224"/>
      <c r="J25" s="224"/>
      <c r="K25" s="226"/>
      <c r="L25" s="226"/>
    </row>
    <row r="26" spans="1:12" ht="15" customHeight="1" x14ac:dyDescent="0.25">
      <c r="A26" s="220"/>
      <c r="B26" s="342"/>
      <c r="C26" s="343"/>
      <c r="D26" s="343"/>
      <c r="E26" s="343"/>
      <c r="F26" s="344"/>
      <c r="G26" s="223"/>
      <c r="I26" s="224"/>
      <c r="J26" s="224"/>
      <c r="K26" s="226"/>
      <c r="L26" s="226"/>
    </row>
    <row r="27" spans="1:12" ht="15" customHeight="1" x14ac:dyDescent="0.25">
      <c r="A27" s="220"/>
      <c r="B27" s="342"/>
      <c r="C27" s="343"/>
      <c r="D27" s="343"/>
      <c r="E27" s="343"/>
      <c r="F27" s="344"/>
      <c r="G27" s="223"/>
      <c r="I27" s="224"/>
      <c r="J27" s="224"/>
      <c r="K27" s="226"/>
      <c r="L27" s="226"/>
    </row>
    <row r="28" spans="1:12" ht="15" customHeight="1" x14ac:dyDescent="0.25">
      <c r="A28" s="220"/>
      <c r="B28" s="359"/>
      <c r="C28" s="360"/>
      <c r="D28" s="360"/>
      <c r="E28" s="360"/>
      <c r="F28" s="361"/>
      <c r="G28" s="223"/>
      <c r="I28" s="224"/>
      <c r="J28" s="224"/>
      <c r="K28" s="224"/>
      <c r="L28" s="224"/>
    </row>
    <row r="29" spans="1:12" ht="15" customHeight="1" x14ac:dyDescent="0.25">
      <c r="A29" s="220"/>
      <c r="B29" s="356"/>
      <c r="C29" s="357"/>
      <c r="D29" s="357"/>
      <c r="E29" s="357"/>
      <c r="F29" s="358"/>
      <c r="G29" s="223"/>
      <c r="I29" s="224"/>
      <c r="J29" s="224"/>
      <c r="K29" s="224"/>
      <c r="L29" s="224"/>
    </row>
    <row r="30" spans="1:12" ht="15" customHeight="1" x14ac:dyDescent="0.25">
      <c r="A30" s="220"/>
      <c r="B30" s="356"/>
      <c r="C30" s="357"/>
      <c r="D30" s="357"/>
      <c r="E30" s="357"/>
      <c r="F30" s="358"/>
      <c r="G30" s="223"/>
    </row>
    <row r="31" spans="1:12" ht="15" customHeight="1" x14ac:dyDescent="0.25">
      <c r="A31" s="220"/>
      <c r="B31" s="356"/>
      <c r="C31" s="357"/>
      <c r="D31" s="357"/>
      <c r="E31" s="357"/>
      <c r="F31" s="358"/>
      <c r="G31" s="223"/>
    </row>
    <row r="32" spans="1:12" ht="15" customHeight="1" x14ac:dyDescent="0.25">
      <c r="A32" s="220"/>
      <c r="B32" s="356"/>
      <c r="C32" s="357"/>
      <c r="D32" s="357"/>
      <c r="E32" s="357"/>
      <c r="F32" s="358"/>
      <c r="G32" s="223"/>
    </row>
    <row r="33" spans="1:7" ht="15" customHeight="1" x14ac:dyDescent="0.25">
      <c r="A33" s="220"/>
      <c r="B33" s="342"/>
      <c r="C33" s="343"/>
      <c r="D33" s="343"/>
      <c r="E33" s="343"/>
      <c r="F33" s="344"/>
      <c r="G33" s="223"/>
    </row>
    <row r="34" spans="1:7" ht="15" customHeight="1" x14ac:dyDescent="0.25">
      <c r="A34" s="220"/>
      <c r="B34" s="342"/>
      <c r="C34" s="343"/>
      <c r="D34" s="343"/>
      <c r="E34" s="343"/>
      <c r="F34" s="344"/>
      <c r="G34" s="223"/>
    </row>
    <row r="35" spans="1:7" ht="15" customHeight="1" x14ac:dyDescent="0.25">
      <c r="A35" s="220"/>
      <c r="B35" s="362"/>
      <c r="C35" s="363"/>
      <c r="D35" s="363"/>
      <c r="E35" s="363"/>
      <c r="F35" s="364"/>
      <c r="G35" s="223"/>
    </row>
    <row r="36" spans="1:7" ht="15" customHeight="1" x14ac:dyDescent="0.25">
      <c r="A36" s="220"/>
      <c r="B36" s="353"/>
      <c r="C36" s="354"/>
      <c r="D36" s="354"/>
      <c r="E36" s="354"/>
      <c r="F36" s="355"/>
      <c r="G36" s="223"/>
    </row>
    <row r="37" spans="1:7" ht="15" customHeight="1" x14ac:dyDescent="0.25">
      <c r="A37" s="220"/>
      <c r="B37" s="353"/>
      <c r="C37" s="354"/>
      <c r="D37" s="354"/>
      <c r="E37" s="354"/>
      <c r="F37" s="355"/>
      <c r="G37" s="223"/>
    </row>
    <row r="38" spans="1:7" ht="15" customHeight="1" x14ac:dyDescent="0.25">
      <c r="A38" s="220"/>
      <c r="B38" s="342"/>
      <c r="C38" s="343"/>
      <c r="D38" s="343"/>
      <c r="E38" s="343"/>
      <c r="F38" s="344"/>
      <c r="G38" s="223"/>
    </row>
    <row r="39" spans="1:7" ht="15" customHeight="1" x14ac:dyDescent="0.25">
      <c r="A39" s="220"/>
      <c r="B39" s="342"/>
      <c r="C39" s="343"/>
      <c r="D39" s="343"/>
      <c r="E39" s="343"/>
      <c r="F39" s="344"/>
      <c r="G39" s="223"/>
    </row>
    <row r="40" spans="1:7" ht="15" customHeight="1" x14ac:dyDescent="0.25">
      <c r="A40" s="220"/>
      <c r="B40" s="342"/>
      <c r="C40" s="343"/>
      <c r="D40" s="343"/>
      <c r="E40" s="343"/>
      <c r="F40" s="344"/>
      <c r="G40" s="223"/>
    </row>
    <row r="41" spans="1:7" ht="15" customHeight="1" x14ac:dyDescent="0.25">
      <c r="A41" s="220"/>
      <c r="B41" s="342"/>
      <c r="C41" s="343"/>
      <c r="D41" s="343"/>
      <c r="E41" s="343"/>
      <c r="F41" s="344"/>
      <c r="G41" s="223"/>
    </row>
    <row r="42" spans="1:7" ht="15" customHeight="1" x14ac:dyDescent="0.25">
      <c r="A42" s="220"/>
      <c r="B42" s="342"/>
      <c r="C42" s="343"/>
      <c r="D42" s="343"/>
      <c r="E42" s="343"/>
      <c r="F42" s="344"/>
      <c r="G42" s="223"/>
    </row>
    <row r="43" spans="1:7" ht="15" customHeight="1" x14ac:dyDescent="0.25">
      <c r="A43" s="220"/>
      <c r="B43" s="371"/>
      <c r="C43" s="372"/>
      <c r="D43" s="372"/>
      <c r="E43" s="372"/>
      <c r="F43" s="373"/>
      <c r="G43" s="223"/>
    </row>
    <row r="44" spans="1:7" ht="15" customHeight="1" x14ac:dyDescent="0.25">
      <c r="A44" s="220"/>
      <c r="B44" s="365"/>
      <c r="C44" s="366"/>
      <c r="D44" s="366"/>
      <c r="E44" s="366"/>
      <c r="F44" s="367"/>
      <c r="G44" s="223"/>
    </row>
    <row r="45" spans="1:7" ht="15" customHeight="1" x14ac:dyDescent="0.25">
      <c r="A45" s="220"/>
      <c r="B45" s="365"/>
      <c r="C45" s="366"/>
      <c r="D45" s="366"/>
      <c r="E45" s="366"/>
      <c r="F45" s="367"/>
      <c r="G45" s="223"/>
    </row>
    <row r="46" spans="1:7" ht="15" customHeight="1" x14ac:dyDescent="0.25">
      <c r="A46" s="220"/>
      <c r="B46" s="374"/>
      <c r="C46" s="375"/>
      <c r="D46" s="375"/>
      <c r="E46" s="375"/>
      <c r="F46" s="376"/>
      <c r="G46" s="223"/>
    </row>
    <row r="47" spans="1:7" ht="15" customHeight="1" x14ac:dyDescent="0.25">
      <c r="A47" s="220"/>
      <c r="B47" s="371"/>
      <c r="C47" s="372"/>
      <c r="D47" s="372"/>
      <c r="E47" s="372"/>
      <c r="F47" s="373"/>
      <c r="G47" s="223"/>
    </row>
    <row r="48" spans="1:7" ht="15" customHeight="1" x14ac:dyDescent="0.25">
      <c r="A48" s="220"/>
      <c r="B48" s="365"/>
      <c r="C48" s="366"/>
      <c r="D48" s="366"/>
      <c r="E48" s="366"/>
      <c r="F48" s="367"/>
      <c r="G48" s="223"/>
    </row>
    <row r="49" spans="1:7" ht="15" customHeight="1" x14ac:dyDescent="0.25">
      <c r="A49" s="220"/>
      <c r="B49" s="365"/>
      <c r="C49" s="366"/>
      <c r="D49" s="366"/>
      <c r="E49" s="366"/>
      <c r="F49" s="367"/>
      <c r="G49" s="223"/>
    </row>
    <row r="50" spans="1:7" ht="15" customHeight="1" x14ac:dyDescent="0.25">
      <c r="A50" s="220"/>
      <c r="B50" s="365"/>
      <c r="C50" s="366"/>
      <c r="D50" s="366"/>
      <c r="E50" s="366"/>
      <c r="F50" s="367"/>
      <c r="G50" s="223"/>
    </row>
    <row r="51" spans="1:7" ht="15" customHeight="1" thickBot="1" x14ac:dyDescent="0.3">
      <c r="A51" s="220"/>
      <c r="B51" s="368"/>
      <c r="C51" s="369"/>
      <c r="D51" s="369"/>
      <c r="E51" s="369"/>
      <c r="F51" s="370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0"/>
  <sheetViews>
    <sheetView showGridLines="0" topLeftCell="A4" zoomScale="85" zoomScaleNormal="85" workbookViewId="0">
      <selection activeCell="R28" sqref="R28"/>
    </sheetView>
  </sheetViews>
  <sheetFormatPr defaultColWidth="9.1796875" defaultRowHeight="12.5" x14ac:dyDescent="0.25"/>
  <cols>
    <col min="1" max="1" width="1.7265625" style="122" customWidth="1"/>
    <col min="2" max="2" width="5.26953125" style="122" customWidth="1"/>
    <col min="3" max="3" width="25.26953125" style="122" customWidth="1"/>
    <col min="4" max="4" width="8.7265625" style="122" customWidth="1"/>
    <col min="5" max="5" width="6.54296875" style="122" customWidth="1"/>
    <col min="6" max="6" width="1.81640625" style="139" customWidth="1"/>
    <col min="7" max="7" width="6.54296875" style="122" customWidth="1"/>
    <col min="8" max="8" width="10.453125" style="122" bestFit="1" customWidth="1"/>
    <col min="9" max="9" width="6.54296875" style="122" customWidth="1"/>
    <col min="10" max="10" width="1.81640625" style="139" customWidth="1"/>
    <col min="11" max="11" width="6.54296875" style="122" customWidth="1"/>
    <col min="12" max="12" width="8.7265625" style="122" customWidth="1"/>
    <col min="13" max="13" width="24.1796875" style="122" customWidth="1"/>
    <col min="14" max="14" width="15.54296875" style="122" hidden="1" customWidth="1"/>
    <col min="15" max="15" width="9.81640625" style="185" hidden="1" customWidth="1"/>
    <col min="16" max="16" width="5.26953125" style="122" customWidth="1"/>
    <col min="17" max="17" width="2.1796875" style="140" customWidth="1"/>
    <col min="18" max="18" width="10.1796875" style="122" customWidth="1"/>
    <col min="19" max="19" width="10.26953125" style="122" customWidth="1"/>
    <col min="20" max="21" width="10.54296875" style="122" customWidth="1"/>
    <col min="22" max="22" width="6.7265625" style="185" customWidth="1"/>
    <col min="23" max="23" width="16.453125" style="185" customWidth="1"/>
    <col min="24" max="24" width="1.7265625" style="170" customWidth="1"/>
    <col min="25" max="25" width="7.81640625" style="255" hidden="1" customWidth="1"/>
    <col min="26" max="30" width="9.1796875" style="252" hidden="1" customWidth="1"/>
    <col min="31" max="34" width="9.1796875" style="251" hidden="1" customWidth="1"/>
    <col min="35" max="35" width="9.1796875" style="120" hidden="1" customWidth="1"/>
    <col min="36" max="38" width="9.1796875" style="121" hidden="1" customWidth="1"/>
    <col min="39" max="39" width="32.453125" style="121" hidden="1" customWidth="1"/>
    <col min="40" max="40" width="11.7265625" style="121" hidden="1" customWidth="1"/>
    <col min="41" max="41" width="10.7265625" style="121" hidden="1" customWidth="1"/>
    <col min="42" max="43" width="9.1796875" style="121" hidden="1" customWidth="1"/>
    <col min="44" max="44" width="27.26953125" style="121" hidden="1" customWidth="1"/>
    <col min="45" max="45" width="11.7265625" style="121" hidden="1" customWidth="1"/>
    <col min="46" max="46" width="10.7265625" style="121" hidden="1" customWidth="1"/>
    <col min="47" max="48" width="9.1796875" style="121" hidden="1" customWidth="1"/>
    <col min="49" max="49" width="27.26953125" style="121" hidden="1" customWidth="1"/>
    <col min="50" max="50" width="11.7265625" style="121" hidden="1" customWidth="1"/>
    <col min="51" max="51" width="10.7265625" style="121" hidden="1" customWidth="1"/>
    <col min="52" max="53" width="9.1796875" style="121" hidden="1" customWidth="1"/>
    <col min="54" max="54" width="27.26953125" style="121" hidden="1" customWidth="1"/>
    <col min="55" max="55" width="11.7265625" style="121" hidden="1" customWidth="1"/>
    <col min="56" max="56" width="10.7265625" style="121" hidden="1" customWidth="1"/>
    <col min="57" max="58" width="9.1796875" style="121" hidden="1" customWidth="1"/>
    <col min="59" max="59" width="27.26953125" style="121" hidden="1" customWidth="1"/>
    <col min="60" max="60" width="11.7265625" style="121" hidden="1" customWidth="1"/>
    <col min="61" max="61" width="10.7265625" style="121" hidden="1" customWidth="1"/>
    <col min="62" max="63" width="9.1796875" style="121" hidden="1" customWidth="1"/>
    <col min="64" max="64" width="27.26953125" style="121" hidden="1" customWidth="1"/>
    <col min="65" max="65" width="9.1796875" style="121" hidden="1" customWidth="1"/>
    <col min="66" max="88" width="9.1796875" style="122" hidden="1" customWidth="1"/>
    <col min="89" max="89" width="1.81640625" style="148" customWidth="1"/>
    <col min="90" max="90" width="104.1796875" style="148" customWidth="1"/>
    <col min="91" max="195" width="9.1796875" style="148"/>
    <col min="196" max="16384" width="9.1796875" style="122"/>
  </cols>
  <sheetData>
    <row r="1" spans="1:90" ht="13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1" t="s">
        <v>59</v>
      </c>
      <c r="Z1" s="252" t="s">
        <v>61</v>
      </c>
      <c r="AE1" s="251" t="s">
        <v>12</v>
      </c>
      <c r="AF1" s="251" t="str">
        <f>IF('Cable Info'!C11="","",CONCATENATE("[",AE1,"]"," ",'Cable Info'!C11))</f>
        <v>[A] WV-2</v>
      </c>
      <c r="AI1" s="120" t="s">
        <v>17</v>
      </c>
      <c r="AJ1" s="121" t="s">
        <v>12</v>
      </c>
      <c r="AM1" s="121" t="str">
        <f>AF1</f>
        <v>[A] WV-2</v>
      </c>
      <c r="AN1" s="121" t="s">
        <v>17</v>
      </c>
      <c r="AO1" s="121" t="s">
        <v>13</v>
      </c>
      <c r="AR1" s="121" t="str">
        <f>AF2</f>
        <v>[B] WV-2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35">
      <c r="A2" s="123"/>
      <c r="B2" s="383" t="s">
        <v>7</v>
      </c>
      <c r="C2" s="384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3" t="s">
        <v>8</v>
      </c>
      <c r="V2" s="392"/>
      <c r="W2" s="384"/>
      <c r="X2" s="166"/>
      <c r="Y2" s="251" t="s">
        <v>60</v>
      </c>
      <c r="Z2" s="252" t="s">
        <v>52</v>
      </c>
      <c r="AE2" s="251" t="s">
        <v>13</v>
      </c>
      <c r="AF2" s="251" t="str">
        <f>IF('Cable Info'!C18="","",CONCATENATE("[",AE2,"]"," ",'Cable Info'!C18))</f>
        <v>[B] WV-2</v>
      </c>
      <c r="AJ2" s="121" t="str">
        <f>IF('Cable Info'!L2="","",CONCATENATE('Cable Info'!L2," - ",'Cable Info'!M2))</f>
        <v>1 - LF</v>
      </c>
      <c r="AM2" s="121" t="str">
        <f>IF(AK2="",AJ2,CONCATENATE(AJ2,"  &lt;=&gt; ",AK2," ",AL2))</f>
        <v>1 - LF</v>
      </c>
      <c r="AO2" s="121" t="str">
        <f>IF('Cable Info'!N2="","",CONCATENATE('Cable Info'!N2," - ",'Cable Info'!O2))</f>
        <v>1 - LF</v>
      </c>
      <c r="AR2" s="121" t="str">
        <f>IF(AP2="",AO2,CONCATENATE(AO2,"  &lt;=&gt; ",AP2," ",AQ2))</f>
        <v>1 - LF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5" t="str">
        <f>'Cover - Location Info'!J8</f>
        <v>101519</v>
      </c>
      <c r="C3" s="386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3" t="str">
        <f>'Cover - Location Info'!J10</f>
        <v>1.0</v>
      </c>
      <c r="V3" s="394"/>
      <c r="W3" s="395"/>
      <c r="X3" s="166"/>
      <c r="Y3" s="251"/>
      <c r="AE3" s="251" t="s">
        <v>36</v>
      </c>
      <c r="AF3" s="251" t="str">
        <f>IF('Cable Info'!C25="","",CONCATENATE("[",AE3,"]"," ",'Cable Info'!C25))</f>
        <v/>
      </c>
      <c r="AJ3" s="121" t="str">
        <f>IF('Cable Info'!L3="","",CONCATENATE('Cable Info'!L3," - ",'Cable Info'!M3))</f>
        <v>2 - LF</v>
      </c>
      <c r="AM3" s="121" t="str">
        <f t="shared" ref="AM3:AM10" si="0">IF(AK3="",AJ3,CONCATENATE(AJ3,"  &lt;=&gt; ",AK3," ",AL3))</f>
        <v>2 - LF</v>
      </c>
      <c r="AO3" s="121" t="str">
        <f>IF('Cable Info'!N3="","",CONCATENATE('Cable Info'!N3," - ",'Cable Info'!O3))</f>
        <v>2 - LF</v>
      </c>
      <c r="AR3" s="121" t="str">
        <f t="shared" ref="AR3:AR10" si="1">IF(AP3="",AO3,CONCATENATE(AO3,"  &lt;=&gt; ",AP3," ",AQ3))</f>
        <v>2 - LF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7"/>
      <c r="C4" s="388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6"/>
      <c r="V4" s="397"/>
      <c r="W4" s="398"/>
      <c r="X4" s="166"/>
      <c r="Y4" s="251"/>
      <c r="AE4" s="252" t="s">
        <v>37</v>
      </c>
      <c r="AF4" s="251" t="str">
        <f>IF('Cable Info'!C32="","",CONCATENATE("[",AE4,"]"," ",'Cable Info'!C32))</f>
        <v/>
      </c>
      <c r="AJ4" s="121" t="str">
        <f>IF('Cable Info'!L4="","",CONCATENATE('Cable Info'!L4," - ",'Cable Info'!M4))</f>
        <v>3 - LF</v>
      </c>
      <c r="AM4" s="121" t="str">
        <f t="shared" si="0"/>
        <v>3 - LF</v>
      </c>
      <c r="AO4" s="121" t="str">
        <f>IF('Cable Info'!N4="","",CONCATENATE('Cable Info'!N4," - ",'Cable Info'!O4))</f>
        <v>3 - LF</v>
      </c>
      <c r="AR4" s="121" t="str">
        <f t="shared" si="1"/>
        <v>3 - LF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5">
      <c r="A5" s="123"/>
      <c r="B5" s="4"/>
      <c r="C5" s="4"/>
      <c r="D5" s="4"/>
      <c r="E5" s="4"/>
      <c r="F5" s="104"/>
      <c r="G5" s="399" t="str">
        <f>IF(AB9&gt;0,"COUNT MISMATCH","")</f>
        <v/>
      </c>
      <c r="H5" s="399"/>
      <c r="I5" s="399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0"/>
      <c r="W5" s="270"/>
      <c r="X5" s="166"/>
      <c r="Y5" s="251"/>
      <c r="Z5" s="252" t="s">
        <v>11</v>
      </c>
      <c r="AE5" s="252" t="s">
        <v>38</v>
      </c>
      <c r="AF5" s="251" t="str">
        <f>IF('Cable Info'!C39="","",CONCATENATE("[",AE5,"]"," ",'Cable Info'!C39))</f>
        <v/>
      </c>
      <c r="AJ5" s="121" t="str">
        <f>IF('Cable Info'!L5="","",CONCATENATE('Cable Info'!L5," - ",'Cable Info'!M5))</f>
        <v>4 - LF</v>
      </c>
      <c r="AM5" s="121" t="str">
        <f t="shared" si="0"/>
        <v>4 - LF</v>
      </c>
      <c r="AO5" s="121" t="str">
        <f>IF('Cable Info'!N5="","",CONCATENATE('Cable Info'!N5," - ",'Cable Info'!O5))</f>
        <v>4 - LF</v>
      </c>
      <c r="AR5" s="121" t="str">
        <f t="shared" si="1"/>
        <v>4 - LF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5">
      <c r="A6" s="123"/>
      <c r="B6" s="4"/>
      <c r="C6" s="9"/>
      <c r="D6" s="400" t="str">
        <f>IF(Y9&gt;0,"FIBERS OUT OF SEQ.","")</f>
        <v/>
      </c>
      <c r="E6" s="400"/>
      <c r="F6" s="400"/>
      <c r="G6" s="400"/>
      <c r="H6" s="109"/>
      <c r="I6" s="401" t="str">
        <f>IF(Z9&gt;0,"FIBERS OUT OF SEQ.","")</f>
        <v/>
      </c>
      <c r="J6" s="401"/>
      <c r="K6" s="401"/>
      <c r="L6" s="401"/>
      <c r="M6" s="106"/>
      <c r="N6" s="106"/>
      <c r="O6" s="176"/>
      <c r="P6" s="106"/>
      <c r="Q6" s="108"/>
      <c r="R6" s="106"/>
      <c r="S6" s="106"/>
      <c r="T6" s="106"/>
      <c r="U6" s="106"/>
      <c r="V6" s="270"/>
      <c r="W6" s="270"/>
      <c r="X6" s="166"/>
      <c r="Y6" s="251"/>
      <c r="AE6" s="252" t="s">
        <v>39</v>
      </c>
      <c r="AF6" s="251" t="str">
        <f>IF('Cable Info'!C46="","",CONCATENATE("[",AE6,"]"," ",'Cable Info'!C46))</f>
        <v/>
      </c>
      <c r="AJ6" s="121" t="str">
        <f>IF('Cable Info'!L6="","",CONCATENATE('Cable Info'!L6," - ",'Cable Info'!M6))</f>
        <v>5 - LF</v>
      </c>
      <c r="AM6" s="121" t="str">
        <f t="shared" si="0"/>
        <v>5 - LF</v>
      </c>
      <c r="AO6" s="121" t="str">
        <f>IF('Cable Info'!N6="","",CONCATENATE('Cable Info'!N6," - ",'Cable Info'!O6))</f>
        <v>5 - LF</v>
      </c>
      <c r="AR6" s="121" t="str">
        <f t="shared" si="1"/>
        <v>5 - LF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79" t="s">
        <v>26</v>
      </c>
      <c r="C7" s="380"/>
      <c r="D7" s="380"/>
      <c r="E7" s="382"/>
      <c r="F7" s="382"/>
      <c r="G7" s="382"/>
      <c r="H7" s="380"/>
      <c r="I7" s="380"/>
      <c r="J7" s="380"/>
      <c r="K7" s="380"/>
      <c r="L7" s="380"/>
      <c r="M7" s="380"/>
      <c r="N7" s="380"/>
      <c r="O7" s="380"/>
      <c r="P7" s="381"/>
      <c r="Q7" s="190"/>
      <c r="R7" s="379" t="s">
        <v>25</v>
      </c>
      <c r="S7" s="380"/>
      <c r="T7" s="380"/>
      <c r="U7" s="380"/>
      <c r="V7" s="380"/>
      <c r="W7" s="381"/>
      <c r="X7" s="193"/>
      <c r="Y7" s="251"/>
      <c r="AJ7" s="121" t="str">
        <f>IF('Cable Info'!L7="","",CONCATENATE('Cable Info'!L7," - ",'Cable Info'!M7))</f>
        <v>6 - LF</v>
      </c>
      <c r="AM7" s="121" t="str">
        <f t="shared" si="0"/>
        <v>6 - LF</v>
      </c>
      <c r="AO7" s="121" t="str">
        <f>IF('Cable Info'!N7="","",CONCATENATE('Cable Info'!N7," - ",'Cable Info'!O7))</f>
        <v>6 - LF</v>
      </c>
      <c r="AR7" s="121" t="str">
        <f t="shared" si="1"/>
        <v>6 - LF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3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1"/>
      <c r="W8" s="271"/>
      <c r="X8" s="193"/>
      <c r="Y8" s="251"/>
      <c r="AJ8" s="121" t="str">
        <f>IF('Cable Info'!L8="","",CONCATENATE('Cable Info'!L8," - ",'Cable Info'!M8))</f>
        <v>7 - LF</v>
      </c>
      <c r="AM8" s="121" t="str">
        <f t="shared" si="0"/>
        <v>7 - LF</v>
      </c>
      <c r="AO8" s="121" t="str">
        <f>IF('Cable Info'!N8="","",CONCATENATE('Cable Info'!N8," - ",'Cable Info'!O8))</f>
        <v>7 - LF</v>
      </c>
      <c r="AR8" s="121" t="str">
        <f t="shared" si="1"/>
        <v>7 - LF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7" t="s">
        <v>66</v>
      </c>
    </row>
    <row r="9" spans="1:90" ht="13.5" thickBot="1" x14ac:dyDescent="0.35">
      <c r="A9" s="189"/>
      <c r="B9" s="111" t="s">
        <v>20</v>
      </c>
      <c r="C9" s="112" t="s">
        <v>24</v>
      </c>
      <c r="D9" s="111" t="s">
        <v>2</v>
      </c>
      <c r="E9" s="389" t="s">
        <v>55</v>
      </c>
      <c r="F9" s="390"/>
      <c r="G9" s="391"/>
      <c r="H9" s="113" t="s">
        <v>63</v>
      </c>
      <c r="I9" s="389" t="s">
        <v>55</v>
      </c>
      <c r="J9" s="390"/>
      <c r="K9" s="391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2">
        <f>SUM(Y10:Y379)</f>
        <v>0</v>
      </c>
      <c r="Z9" s="252">
        <f>SUM(Z10:Z379)</f>
        <v>0</v>
      </c>
      <c r="AB9" s="252">
        <f>SUM(AB10:AB379)</f>
        <v>0</v>
      </c>
      <c r="AJ9" s="121" t="str">
        <f>IF('Cable Info'!L9="","",CONCATENATE('Cable Info'!L9," - ",'Cable Info'!M9))</f>
        <v>8 - LF</v>
      </c>
      <c r="AM9" s="121" t="str">
        <f t="shared" si="0"/>
        <v>8 - LF</v>
      </c>
      <c r="AO9" s="121" t="str">
        <f>IF('Cable Info'!N9="","",CONCATENATE('Cable Info'!N9," - ",'Cable Info'!O9))</f>
        <v>8 - LF</v>
      </c>
      <c r="AR9" s="121" t="str">
        <f t="shared" si="1"/>
        <v>8 - LF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8"/>
    </row>
    <row r="10" spans="1:90" ht="13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WV-2</v>
      </c>
      <c r="D10" s="243" t="s">
        <v>100</v>
      </c>
      <c r="E10" s="258">
        <v>1</v>
      </c>
      <c r="F10" s="110" t="s">
        <v>45</v>
      </c>
      <c r="G10" s="261">
        <v>12</v>
      </c>
      <c r="H10" s="114">
        <f>IF(G10="","",((E10-G10)-1)*(-1))</f>
        <v>12</v>
      </c>
      <c r="I10" s="257">
        <v>1</v>
      </c>
      <c r="J10" s="110" t="s">
        <v>45</v>
      </c>
      <c r="K10" s="266">
        <v>12</v>
      </c>
      <c r="L10" s="243" t="s">
        <v>100</v>
      </c>
      <c r="M10" s="114" t="str">
        <f>IFERROR(IF(P10="","",IF((COUNTIF('Cable Info'!$B$11:$C$50,P10)=0),VLOOKUP(P10,'Cable Info (2)'!$B$11:$C$50,2,FALSE),(VLOOKUP(P10,'Cable Info'!$B$11:$C$50,2,FALSE)))),"NO SUCH EXIT")</f>
        <v>WV-2</v>
      </c>
      <c r="N10" s="129"/>
      <c r="O10" s="179"/>
      <c r="P10" s="130" t="s">
        <v>13</v>
      </c>
      <c r="Q10" s="190"/>
      <c r="R10" s="131" t="s">
        <v>60</v>
      </c>
      <c r="S10" s="131" t="s">
        <v>52</v>
      </c>
      <c r="T10" s="132">
        <v>42675</v>
      </c>
      <c r="U10" s="132">
        <v>42676</v>
      </c>
      <c r="V10" s="133" t="s">
        <v>10</v>
      </c>
      <c r="W10" s="133" t="s">
        <v>112</v>
      </c>
      <c r="X10" s="194">
        <f>IF(V10="","",IF(R10="","",IF(S10="","",IF(R10="SPLICED",(IF(S10="SPLICE",0,9)),IF(V10=$U$3,(IF(S10="BREAK",12,11)),IF(S10="BREAK",2,1))))))</f>
        <v>0</v>
      </c>
      <c r="Y10" s="251" t="str">
        <f>IF(E10="","",IF(G10="","",IF(E10&gt;G10,1,"")))</f>
        <v/>
      </c>
      <c r="Z10" s="252" t="str">
        <f>IF(I10="","",IF(K10="","",IF(I10&gt;K10,1,"")))</f>
        <v/>
      </c>
      <c r="AA10" s="252">
        <f>IF(K10="","",((I10-K10)-1)*(-1))</f>
        <v>12</v>
      </c>
      <c r="AB10" s="252" t="str">
        <f>IF(E10="","",IF(G10="","",IF(I10="","",IF(K10="","",IF(AA10&lt;&gt;H10,1,"")))))</f>
        <v/>
      </c>
      <c r="AJ10" s="121" t="str">
        <f>IF('Cable Info'!L10="","",CONCATENATE('Cable Info'!L10," - ",'Cable Info'!M10))</f>
        <v>9 - LF</v>
      </c>
      <c r="AM10" s="121" t="str">
        <f t="shared" si="0"/>
        <v>9 - LF</v>
      </c>
      <c r="AO10" s="121" t="str">
        <f>IF('Cable Info'!N10="","",CONCATENATE('Cable Info'!N10," - ",'Cable Info'!O10))</f>
        <v>9 - LF</v>
      </c>
      <c r="AR10" s="121" t="str">
        <f t="shared" si="1"/>
        <v>9 - LF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49"/>
    </row>
    <row r="11" spans="1:90" x14ac:dyDescent="0.25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WV-2</v>
      </c>
      <c r="D11" s="244" t="s">
        <v>101</v>
      </c>
      <c r="E11" s="259">
        <v>13</v>
      </c>
      <c r="F11" s="105" t="s">
        <v>45</v>
      </c>
      <c r="G11" s="262">
        <v>24</v>
      </c>
      <c r="H11" s="115">
        <f>IF(G11="","",((E11-G11)-1)*(-1))</f>
        <v>12</v>
      </c>
      <c r="I11" s="264">
        <v>13</v>
      </c>
      <c r="J11" s="105" t="s">
        <v>45</v>
      </c>
      <c r="K11" s="267">
        <v>24</v>
      </c>
      <c r="L11" s="244" t="s">
        <v>101</v>
      </c>
      <c r="M11" s="115" t="str">
        <f>IFERROR(IF(P11="","",IF((COUNTIF('Cable Info'!$B$11:$C$50,P11)=0),VLOOKUP(P11,'Cable Info (2)'!$B$11:$C$50,2,FALSE),(VLOOKUP(P11,'Cable Info'!$B$11:$C$50,2,FALSE)))),"NO SUCH EXIT")</f>
        <v>WV-2</v>
      </c>
      <c r="N11" s="134"/>
      <c r="O11" s="180"/>
      <c r="P11" s="130" t="s">
        <v>13</v>
      </c>
      <c r="Q11" s="190"/>
      <c r="R11" s="136" t="s">
        <v>60</v>
      </c>
      <c r="S11" s="136" t="s">
        <v>52</v>
      </c>
      <c r="T11" s="132">
        <v>42675</v>
      </c>
      <c r="U11" s="132">
        <v>42676</v>
      </c>
      <c r="V11" s="133" t="s">
        <v>10</v>
      </c>
      <c r="W11" s="133" t="s">
        <v>112</v>
      </c>
      <c r="X11" s="195">
        <f t="shared" ref="X11" si="6">IF(V11="","",IF(R11="","",IF(S11="","",IF(R11="SPLICED",(IF(S11="SPLICE",0,9)),IF(V11=$U$3,(IF(S11="BREAK",12,11)),IF(S11="BREAK",2,1))))))</f>
        <v>0</v>
      </c>
      <c r="Y11" s="251" t="str">
        <f t="shared" ref="Y11" si="7">IF(E11="","",IF(G11="","",IF(E11&gt;G11,1,"")))</f>
        <v/>
      </c>
      <c r="Z11" s="252" t="str">
        <f t="shared" ref="Z11" si="8">IF(I11="","",IF(K11="","",IF(I11&gt;K11,1,"")))</f>
        <v/>
      </c>
      <c r="AA11" s="252">
        <f t="shared" ref="AA11" si="9">IF(K11="","",((I11-K11)-1)*(-1))</f>
        <v>12</v>
      </c>
      <c r="AB11" s="252" t="str">
        <f t="shared" ref="AB11" si="10">IF(E11="","",IF(G11="","",IF(I11="","",IF(K11="","",IF(AA11&lt;&gt;H11,1,"")))))</f>
        <v/>
      </c>
      <c r="AJ11" s="121" t="str">
        <f>IF('Cable Info'!L10="","",CONCATENATE('Cable Info'!L10," - ",'Cable Info'!M10))</f>
        <v>9 - LF</v>
      </c>
      <c r="AM11" s="121" t="str">
        <f t="shared" ref="AM11" si="11">IF(AK11="",AJ11,CONCATENATE(AJ11,"  &lt;=&gt; ",AK11," ",AL11))</f>
        <v>9 - LF</v>
      </c>
      <c r="AO11" s="121" t="str">
        <f>IF('Cable Info'!N10="","",CONCATENATE('Cable Info'!N10," - ",'Cable Info'!O10))</f>
        <v>9 - LF</v>
      </c>
      <c r="AR11" s="121" t="str">
        <f t="shared" ref="AR11" si="12">IF(AP11="",AO11,CONCATENATE(AO11,"  &lt;=&gt; ",AP11," ",AQ11))</f>
        <v>9 - LF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5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WV-2</v>
      </c>
      <c r="D12" s="244" t="s">
        <v>102</v>
      </c>
      <c r="E12" s="259">
        <v>25</v>
      </c>
      <c r="F12" s="105" t="s">
        <v>45</v>
      </c>
      <c r="G12" s="262">
        <v>36</v>
      </c>
      <c r="H12" s="115">
        <f t="shared" ref="H12" si="17">IF(G12="","",((E12-G12)-1)*(-1))</f>
        <v>12</v>
      </c>
      <c r="I12" s="264">
        <v>25</v>
      </c>
      <c r="J12" s="105" t="s">
        <v>45</v>
      </c>
      <c r="K12" s="267">
        <v>36</v>
      </c>
      <c r="L12" s="244" t="s">
        <v>102</v>
      </c>
      <c r="M12" s="115" t="str">
        <f>IFERROR(IF(P12="","",IF((COUNTIF('Cable Info'!$B$11:$C$50,P12)=0),VLOOKUP(P12,'Cable Info (2)'!$B$11:$C$50,2,FALSE),(VLOOKUP(P12,'Cable Info'!$B$11:$C$50,2,FALSE)))),"NO SUCH EXIT")</f>
        <v>WV-2</v>
      </c>
      <c r="N12" s="134"/>
      <c r="O12" s="180"/>
      <c r="P12" s="130" t="s">
        <v>13</v>
      </c>
      <c r="Q12" s="190"/>
      <c r="R12" s="136" t="s">
        <v>60</v>
      </c>
      <c r="S12" s="136" t="s">
        <v>52</v>
      </c>
      <c r="T12" s="132">
        <v>42675</v>
      </c>
      <c r="U12" s="132">
        <v>42676</v>
      </c>
      <c r="V12" s="133" t="s">
        <v>10</v>
      </c>
      <c r="W12" s="133" t="s">
        <v>112</v>
      </c>
      <c r="X12" s="195">
        <f t="shared" ref="X12" si="18">IF(V12="","",IF(R12="","",IF(S12="","",IF(R12="SPLICED",(IF(S12="SPLICE",0,9)),IF(V12=$U$3,(IF(S12="BREAK",12,11)),IF(S12="BREAK",2,1))))))</f>
        <v>0</v>
      </c>
      <c r="Y12" s="251" t="str">
        <f t="shared" ref="Y12" si="19">IF(E12="","",IF(G12="","",IF(E12&gt;G12,1,"")))</f>
        <v/>
      </c>
      <c r="Z12" s="252" t="str">
        <f t="shared" ref="Z12" si="20">IF(I12="","",IF(K12="","",IF(I12&gt;K12,1,"")))</f>
        <v/>
      </c>
      <c r="AA12" s="252">
        <f t="shared" ref="AA12" si="21">IF(K12="","",((I12-K12)-1)*(-1))</f>
        <v>12</v>
      </c>
      <c r="AB12" s="252" t="str">
        <f t="shared" ref="AB12" si="22">IF(E12="","",IF(G12="","",IF(I12="","",IF(K12="","",IF(AA12&lt;&gt;H12,1,"")))))</f>
        <v/>
      </c>
      <c r="AJ12" s="121" t="str">
        <f>IF('Cable Info'!L11="","",CONCATENATE('Cable Info'!L11," - ",'Cable Info'!M11))</f>
        <v>10 - LF</v>
      </c>
      <c r="AM12" s="121" t="str">
        <f t="shared" ref="AM12" si="23">IF(AK12="",AJ12,CONCATENATE(AJ12,"  &lt;=&gt; ",AK12," ",AL12))</f>
        <v>10 - LF</v>
      </c>
      <c r="AO12" s="121" t="str">
        <f>IF('Cable Info'!N11="","",CONCATENATE('Cable Info'!N11," - ",'Cable Info'!O11))</f>
        <v>10 - LF</v>
      </c>
      <c r="AR12" s="121" t="str">
        <f t="shared" ref="AR12" si="24">IF(AP12="",AO12,CONCATENATE(AO12,"  &lt;=&gt; ",AP12," ",AQ12))</f>
        <v>10 - LF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5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WV-2</v>
      </c>
      <c r="D13" s="244" t="s">
        <v>103</v>
      </c>
      <c r="E13" s="259">
        <v>37</v>
      </c>
      <c r="F13" s="105" t="s">
        <v>45</v>
      </c>
      <c r="G13" s="262">
        <v>48</v>
      </c>
      <c r="H13" s="115">
        <f t="shared" ref="H13:H75" si="29">IF(G13="","",((E13-G13)-1)*(-1))</f>
        <v>12</v>
      </c>
      <c r="I13" s="264">
        <v>37</v>
      </c>
      <c r="J13" s="105" t="s">
        <v>45</v>
      </c>
      <c r="K13" s="267">
        <v>48</v>
      </c>
      <c r="L13" s="244" t="s">
        <v>103</v>
      </c>
      <c r="M13" s="115" t="str">
        <f>IFERROR(IF(P13="","",IF((COUNTIF('Cable Info'!$B$11:$C$50,P13)=0),VLOOKUP(P13,'Cable Info (2)'!$B$11:$C$50,2,FALSE),(VLOOKUP(P13,'Cable Info'!$B$11:$C$50,2,FALSE)))),"NO SUCH EXIT")</f>
        <v>WV-2</v>
      </c>
      <c r="N13" s="134"/>
      <c r="O13" s="180"/>
      <c r="P13" s="130" t="s">
        <v>13</v>
      </c>
      <c r="Q13" s="190"/>
      <c r="R13" s="136" t="s">
        <v>60</v>
      </c>
      <c r="S13" s="136" t="s">
        <v>52</v>
      </c>
      <c r="T13" s="132">
        <v>42675</v>
      </c>
      <c r="U13" s="132">
        <v>42676</v>
      </c>
      <c r="V13" s="133" t="s">
        <v>10</v>
      </c>
      <c r="W13" s="133" t="s">
        <v>112</v>
      </c>
      <c r="X13" s="195">
        <f t="shared" ref="X13:X75" si="30">IF(V13="","",IF(R13="","",IF(S13="","",IF(R13="SPLICED",(IF(S13="SPLICE",0,9)),IF(V13=$U$3,(IF(S13="BREAK",12,11)),IF(S13="BREAK",2,1))))))</f>
        <v>0</v>
      </c>
      <c r="Y13" s="251" t="str">
        <f t="shared" ref="Y13:Y75" si="31">IF(E13="","",IF(G13="","",IF(E13&gt;G13,1,"")))</f>
        <v/>
      </c>
      <c r="Z13" s="252" t="str">
        <f t="shared" ref="Z13:Z75" si="32">IF(I13="","",IF(K13="","",IF(I13&gt;K13,1,"")))</f>
        <v/>
      </c>
      <c r="AA13" s="252">
        <f t="shared" ref="AA13:AA75" si="33">IF(K13="","",((I13-K13)-1)*(-1))</f>
        <v>12</v>
      </c>
      <c r="AB13" s="252" t="str">
        <f t="shared" ref="AB13:AB75" si="34">IF(E13="","",IF(G13="","",IF(I13="","",IF(K13="","",IF(AA13&lt;&gt;H13,1,"")))))</f>
        <v/>
      </c>
      <c r="AJ13" s="121" t="str">
        <f>IF('Cable Info'!L12="","",CONCATENATE('Cable Info'!L12," - ",'Cable Info'!M12))</f>
        <v>11 - LF</v>
      </c>
      <c r="AM13" s="121" t="str">
        <f t="shared" ref="AM13:AM75" si="35">IF(AK13="",AJ13,CONCATENATE(AJ13,"  &lt;=&gt; ",AK13," ",AL13))</f>
        <v>11 - LF</v>
      </c>
      <c r="AO13" s="121" t="str">
        <f>IF('Cable Info'!N12="","",CONCATENATE('Cable Info'!N12," - ",'Cable Info'!O12))</f>
        <v>11 - LF</v>
      </c>
      <c r="AR13" s="121" t="str">
        <f t="shared" ref="AR13:AR75" si="36">IF(AP13="",AO13,CONCATENATE(AO13,"  &lt;=&gt; ",AP13," ",AQ13))</f>
        <v>11 - LF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5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5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5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5" si="40">IF(BJ13="",BI13,CONCATENATE(BI13,"  &lt;=&gt; ",BJ13," ",BK13))</f>
        <v/>
      </c>
      <c r="CL13" s="250"/>
    </row>
    <row r="14" spans="1:90" x14ac:dyDescent="0.25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WV-2</v>
      </c>
      <c r="D14" s="244" t="s">
        <v>104</v>
      </c>
      <c r="E14" s="259">
        <v>49</v>
      </c>
      <c r="F14" s="105" t="s">
        <v>45</v>
      </c>
      <c r="G14" s="262">
        <v>60</v>
      </c>
      <c r="H14" s="115">
        <f t="shared" si="29"/>
        <v>12</v>
      </c>
      <c r="I14" s="264">
        <v>49</v>
      </c>
      <c r="J14" s="105" t="s">
        <v>45</v>
      </c>
      <c r="K14" s="267">
        <v>60</v>
      </c>
      <c r="L14" s="244" t="s">
        <v>104</v>
      </c>
      <c r="M14" s="115" t="str">
        <f>IFERROR(IF(P14="","",IF((COUNTIF('Cable Info'!$B$11:$C$50,P14)=0),VLOOKUP(P14,'Cable Info (2)'!$B$11:$C$50,2,FALSE),(VLOOKUP(P14,'Cable Info'!$B$11:$C$50,2,FALSE)))),"NO SUCH EXIT")</f>
        <v>WV-2</v>
      </c>
      <c r="N14" s="134"/>
      <c r="O14" s="180"/>
      <c r="P14" s="130" t="s">
        <v>13</v>
      </c>
      <c r="Q14" s="190"/>
      <c r="R14" s="136" t="s">
        <v>60</v>
      </c>
      <c r="S14" s="136" t="s">
        <v>52</v>
      </c>
      <c r="T14" s="132">
        <v>42675</v>
      </c>
      <c r="U14" s="132">
        <v>42676</v>
      </c>
      <c r="V14" s="133" t="s">
        <v>10</v>
      </c>
      <c r="W14" s="133" t="s">
        <v>112</v>
      </c>
      <c r="X14" s="195">
        <f t="shared" si="30"/>
        <v>0</v>
      </c>
      <c r="Y14" s="251" t="str">
        <f t="shared" si="31"/>
        <v/>
      </c>
      <c r="Z14" s="252" t="str">
        <f t="shared" si="32"/>
        <v/>
      </c>
      <c r="AA14" s="252">
        <f t="shared" si="33"/>
        <v>12</v>
      </c>
      <c r="AB14" s="252" t="str">
        <f t="shared" si="34"/>
        <v/>
      </c>
      <c r="AJ14" s="121" t="str">
        <f>IF('Cable Info'!L13="","",CONCATENATE('Cable Info'!L13," - ",'Cable Info'!M13))</f>
        <v>12 - LF</v>
      </c>
      <c r="AM14" s="121" t="str">
        <f t="shared" si="35"/>
        <v>12 - LF</v>
      </c>
      <c r="AO14" s="121" t="str">
        <f>IF('Cable Info'!N13="","",CONCATENATE('Cable Info'!N13," - ",'Cable Info'!O13))</f>
        <v>12 - LF</v>
      </c>
      <c r="AR14" s="121" t="str">
        <f t="shared" si="36"/>
        <v>12 - LF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0"/>
    </row>
    <row r="15" spans="1:90" x14ac:dyDescent="0.25">
      <c r="A15" s="188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WV-2</v>
      </c>
      <c r="D15" s="244" t="s">
        <v>105</v>
      </c>
      <c r="E15" s="259">
        <v>61</v>
      </c>
      <c r="F15" s="105" t="s">
        <v>45</v>
      </c>
      <c r="G15" s="262">
        <v>72</v>
      </c>
      <c r="H15" s="115">
        <f t="shared" si="29"/>
        <v>12</v>
      </c>
      <c r="I15" s="264">
        <v>61</v>
      </c>
      <c r="J15" s="105" t="s">
        <v>45</v>
      </c>
      <c r="K15" s="267">
        <v>72</v>
      </c>
      <c r="L15" s="244" t="s">
        <v>105</v>
      </c>
      <c r="M15" s="115" t="str">
        <f>IFERROR(IF(P15="","",IF((COUNTIF('Cable Info'!$B$11:$C$50,P15)=0),VLOOKUP(P15,'Cable Info (2)'!$B$11:$C$50,2,FALSE),(VLOOKUP(P15,'Cable Info'!$B$11:$C$50,2,FALSE)))),"NO SUCH EXIT")</f>
        <v>WV-2</v>
      </c>
      <c r="N15" s="134"/>
      <c r="O15" s="180"/>
      <c r="P15" s="130" t="s">
        <v>13</v>
      </c>
      <c r="Q15" s="190"/>
      <c r="R15" s="136" t="s">
        <v>60</v>
      </c>
      <c r="S15" s="136" t="s">
        <v>52</v>
      </c>
      <c r="T15" s="132">
        <v>42675</v>
      </c>
      <c r="U15" s="132">
        <v>42676</v>
      </c>
      <c r="V15" s="133" t="s">
        <v>10</v>
      </c>
      <c r="W15" s="133" t="s">
        <v>112</v>
      </c>
      <c r="X15" s="195">
        <f t="shared" si="30"/>
        <v>0</v>
      </c>
      <c r="Y15" s="251" t="str">
        <f t="shared" si="31"/>
        <v/>
      </c>
      <c r="Z15" s="252" t="str">
        <f t="shared" si="32"/>
        <v/>
      </c>
      <c r="AA15" s="252">
        <f t="shared" si="33"/>
        <v>12</v>
      </c>
      <c r="AB15" s="252" t="str">
        <f t="shared" si="34"/>
        <v/>
      </c>
      <c r="AJ15" s="121" t="str">
        <f>IF('Cable Info'!L14="","",CONCATENATE('Cable Info'!L14," - ",'Cable Info'!M14))</f>
        <v>13 - LF</v>
      </c>
      <c r="AM15" s="121" t="str">
        <f t="shared" si="35"/>
        <v>13 - LF</v>
      </c>
      <c r="AO15" s="121" t="str">
        <f>IF('Cable Info'!N14="","",CONCATENATE('Cable Info'!N14," - ",'Cable Info'!O14))</f>
        <v>13 - LF</v>
      </c>
      <c r="AR15" s="121" t="str">
        <f t="shared" si="36"/>
        <v>13 - LF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0"/>
    </row>
    <row r="16" spans="1:90" x14ac:dyDescent="0.25">
      <c r="A16" s="188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WV-2</v>
      </c>
      <c r="D16" s="244" t="s">
        <v>106</v>
      </c>
      <c r="E16" s="259">
        <v>73</v>
      </c>
      <c r="F16" s="105" t="s">
        <v>45</v>
      </c>
      <c r="G16" s="262">
        <v>84</v>
      </c>
      <c r="H16" s="115">
        <f t="shared" si="29"/>
        <v>12</v>
      </c>
      <c r="I16" s="259">
        <v>73</v>
      </c>
      <c r="J16" s="105" t="s">
        <v>45</v>
      </c>
      <c r="K16" s="267">
        <v>84</v>
      </c>
      <c r="L16" s="244" t="s">
        <v>106</v>
      </c>
      <c r="M16" s="115" t="str">
        <f>IFERROR(IF(P16="","",IF((COUNTIF('Cable Info'!$B$11:$C$50,P16)=0),VLOOKUP(P16,'Cable Info (2)'!$B$11:$C$50,2,FALSE),(VLOOKUP(P16,'Cable Info'!$B$11:$C$50,2,FALSE)))),"NO SUCH EXIT")</f>
        <v>WV-2</v>
      </c>
      <c r="N16" s="134"/>
      <c r="O16" s="180"/>
      <c r="P16" s="130" t="s">
        <v>13</v>
      </c>
      <c r="Q16" s="190"/>
      <c r="R16" s="136" t="s">
        <v>60</v>
      </c>
      <c r="S16" s="136" t="s">
        <v>52</v>
      </c>
      <c r="T16" s="132">
        <v>42675</v>
      </c>
      <c r="U16" s="132">
        <v>42676</v>
      </c>
      <c r="V16" s="133" t="s">
        <v>10</v>
      </c>
      <c r="W16" s="133" t="s">
        <v>112</v>
      </c>
      <c r="X16" s="195">
        <f t="shared" si="30"/>
        <v>0</v>
      </c>
      <c r="Y16" s="251" t="str">
        <f t="shared" si="31"/>
        <v/>
      </c>
      <c r="Z16" s="252" t="str">
        <f t="shared" si="32"/>
        <v/>
      </c>
      <c r="AA16" s="252">
        <f t="shared" si="33"/>
        <v>12</v>
      </c>
      <c r="AB16" s="252" t="str">
        <f t="shared" si="34"/>
        <v/>
      </c>
      <c r="AJ16" s="121" t="str">
        <f>IF('Cable Info'!L16="","",CONCATENATE('Cable Info'!L16," - ",'Cable Info'!M16))</f>
        <v>15 - LF</v>
      </c>
      <c r="AM16" s="121" t="str">
        <f t="shared" si="35"/>
        <v>15 - LF</v>
      </c>
      <c r="AO16" s="121" t="str">
        <f>IF('Cable Info'!N16="","",CONCATENATE('Cable Info'!N16," - ",'Cable Info'!O16))</f>
        <v>15 - LF</v>
      </c>
      <c r="AR16" s="121" t="str">
        <f t="shared" si="36"/>
        <v>15 - LF</v>
      </c>
      <c r="AT16" s="121" t="str">
        <f>IF('Cable Info'!P16="","",CONCATENATE('Cable Info'!P16," - ",'Cable Info'!Q16))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Info'!R16="","",CONCATENATE('Cable Info'!R16," - ",'Cable Info'!S16))</f>
        <v/>
      </c>
      <c r="BB16" s="121" t="str">
        <f t="shared" si="38"/>
        <v/>
      </c>
      <c r="BD16" s="121" t="str">
        <f>IF('Cable Info'!T16="","",CONCATENATE('Cable Info'!T16," - ",'Cable Info'!U16))</f>
        <v/>
      </c>
      <c r="BG16" s="121" t="str">
        <f t="shared" si="39"/>
        <v/>
      </c>
      <c r="BI16" s="121" t="str">
        <f>IF('Cable Info'!V16="","",CONCATENATE('Cable Info'!V16," - ",'Cable Info'!W16))</f>
        <v/>
      </c>
      <c r="BL16" s="121" t="str">
        <f t="shared" si="40"/>
        <v/>
      </c>
      <c r="CL16" s="250"/>
    </row>
    <row r="17" spans="1:90" x14ac:dyDescent="0.25">
      <c r="A17" s="188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WV-2</v>
      </c>
      <c r="D17" s="244" t="s">
        <v>107</v>
      </c>
      <c r="E17" s="259">
        <v>85</v>
      </c>
      <c r="F17" s="105" t="s">
        <v>45</v>
      </c>
      <c r="G17" s="262">
        <v>96</v>
      </c>
      <c r="H17" s="115">
        <f t="shared" si="29"/>
        <v>12</v>
      </c>
      <c r="I17" s="259">
        <v>85</v>
      </c>
      <c r="J17" s="105" t="s">
        <v>45</v>
      </c>
      <c r="K17" s="267">
        <v>96</v>
      </c>
      <c r="L17" s="244" t="s">
        <v>107</v>
      </c>
      <c r="M17" s="115" t="str">
        <f>IFERROR(IF(P17="","",IF((COUNTIF('Cable Info'!$B$11:$C$50,P17)=0),VLOOKUP(P17,'Cable Info (2)'!$B$11:$C$50,2,FALSE),(VLOOKUP(P17,'Cable Info'!$B$11:$C$50,2,FALSE)))),"NO SUCH EXIT")</f>
        <v>WV-2</v>
      </c>
      <c r="N17" s="134"/>
      <c r="O17" s="180"/>
      <c r="P17" s="130" t="s">
        <v>13</v>
      </c>
      <c r="Q17" s="190"/>
      <c r="R17" s="136" t="s">
        <v>60</v>
      </c>
      <c r="S17" s="136" t="s">
        <v>52</v>
      </c>
      <c r="T17" s="132">
        <v>42675</v>
      </c>
      <c r="U17" s="132">
        <v>42676</v>
      </c>
      <c r="V17" s="133" t="s">
        <v>10</v>
      </c>
      <c r="W17" s="133" t="s">
        <v>112</v>
      </c>
      <c r="X17" s="195">
        <f t="shared" si="30"/>
        <v>0</v>
      </c>
      <c r="Y17" s="251" t="str">
        <f t="shared" si="31"/>
        <v/>
      </c>
      <c r="Z17" s="252" t="str">
        <f t="shared" si="32"/>
        <v/>
      </c>
      <c r="AA17" s="252">
        <f t="shared" si="33"/>
        <v>12</v>
      </c>
      <c r="AB17" s="252" t="str">
        <f t="shared" si="34"/>
        <v/>
      </c>
      <c r="AJ17" s="121" t="str">
        <f>IF('Cable Info'!L17="","",CONCATENATE('Cable Info'!L17," - ",'Cable Info'!M17))</f>
        <v>16 - LF</v>
      </c>
      <c r="AM17" s="121" t="str">
        <f t="shared" si="35"/>
        <v>16 - LF</v>
      </c>
      <c r="AO17" s="121" t="str">
        <f>IF('Cable Info'!N17="","",CONCATENATE('Cable Info'!N17," - ",'Cable Info'!O17))</f>
        <v>16 - LF</v>
      </c>
      <c r="AR17" s="121" t="str">
        <f t="shared" si="36"/>
        <v>16 - LF</v>
      </c>
      <c r="AT17" s="121" t="str">
        <f>IF('Cable Info'!P17="","",CONCATENATE('Cable Info'!P17," - ",'Cable Info'!Q17))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Info'!R17="","",CONCATENATE('Cable Info'!R17," - ",'Cable Info'!S17))</f>
        <v/>
      </c>
      <c r="BB17" s="121" t="str">
        <f t="shared" si="38"/>
        <v/>
      </c>
      <c r="BD17" s="121" t="str">
        <f>IF('Cable Info'!T17="","",CONCATENATE('Cable Info'!T17," - ",'Cable Info'!U17))</f>
        <v/>
      </c>
      <c r="BG17" s="121" t="str">
        <f t="shared" si="39"/>
        <v/>
      </c>
      <c r="BI17" s="121" t="str">
        <f>IF('Cable Info'!V17="","",CONCATENATE('Cable Info'!V17," - ",'Cable Info'!W17))</f>
        <v/>
      </c>
      <c r="BL17" s="121" t="str">
        <f t="shared" si="40"/>
        <v/>
      </c>
      <c r="CL17" s="250"/>
    </row>
    <row r="18" spans="1:90" x14ac:dyDescent="0.25">
      <c r="A18" s="188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WV-2</v>
      </c>
      <c r="D18" s="244" t="s">
        <v>108</v>
      </c>
      <c r="E18" s="259">
        <v>97</v>
      </c>
      <c r="F18" s="105" t="s">
        <v>45</v>
      </c>
      <c r="G18" s="262">
        <v>108</v>
      </c>
      <c r="H18" s="115">
        <f t="shared" si="29"/>
        <v>12</v>
      </c>
      <c r="I18" s="259">
        <v>97</v>
      </c>
      <c r="J18" s="105" t="s">
        <v>45</v>
      </c>
      <c r="K18" s="267">
        <v>108</v>
      </c>
      <c r="L18" s="244" t="s">
        <v>108</v>
      </c>
      <c r="M18" s="115" t="str">
        <f>IFERROR(IF(P18="","",IF((COUNTIF('Cable Info'!$B$11:$C$50,P18)=0),VLOOKUP(P18,'Cable Info (2)'!$B$11:$C$50,2,FALSE),(VLOOKUP(P18,'Cable Info'!$B$11:$C$50,2,FALSE)))),"NO SUCH EXIT")</f>
        <v>WV-2</v>
      </c>
      <c r="N18" s="134"/>
      <c r="O18" s="180"/>
      <c r="P18" s="130" t="s">
        <v>13</v>
      </c>
      <c r="Q18" s="190"/>
      <c r="R18" s="136" t="s">
        <v>60</v>
      </c>
      <c r="S18" s="136" t="s">
        <v>52</v>
      </c>
      <c r="T18" s="132">
        <v>42675</v>
      </c>
      <c r="U18" s="132">
        <v>42676</v>
      </c>
      <c r="V18" s="133" t="s">
        <v>10</v>
      </c>
      <c r="W18" s="133" t="s">
        <v>112</v>
      </c>
      <c r="X18" s="195">
        <f t="shared" si="30"/>
        <v>0</v>
      </c>
      <c r="Y18" s="251" t="str">
        <f t="shared" si="31"/>
        <v/>
      </c>
      <c r="Z18" s="252" t="str">
        <f t="shared" si="32"/>
        <v/>
      </c>
      <c r="AA18" s="252">
        <f t="shared" si="33"/>
        <v>12</v>
      </c>
      <c r="AB18" s="252" t="str">
        <f t="shared" si="34"/>
        <v/>
      </c>
      <c r="AJ18" s="121" t="str">
        <f>IF('Cable Info'!L18="","",CONCATENATE('Cable Info'!L18," - ",'Cable Info'!M18))</f>
        <v>17 - LF</v>
      </c>
      <c r="AM18" s="121" t="str">
        <f t="shared" si="35"/>
        <v>17 - LF</v>
      </c>
      <c r="AO18" s="121" t="str">
        <f>IF('Cable Info'!N18="","",CONCATENATE('Cable Info'!N18," - ",'Cable Info'!O18))</f>
        <v>17 - LF</v>
      </c>
      <c r="AR18" s="121" t="str">
        <f t="shared" si="36"/>
        <v>17 - LF</v>
      </c>
      <c r="AT18" s="121" t="str">
        <f>IF('Cable Info'!P18="","",CONCATENATE('Cable Info'!P18," - ",'Cable Info'!Q18))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Info'!R18="","",CONCATENATE('Cable Info'!R18," - ",'Cable Info'!S18))</f>
        <v/>
      </c>
      <c r="BB18" s="121" t="str">
        <f t="shared" si="38"/>
        <v/>
      </c>
      <c r="BD18" s="121" t="str">
        <f>IF('Cable Info'!T18="","",CONCATENATE('Cable Info'!T18," - ",'Cable Info'!U18))</f>
        <v/>
      </c>
      <c r="BG18" s="121" t="str">
        <f t="shared" si="39"/>
        <v/>
      </c>
      <c r="BI18" s="121" t="str">
        <f>IF('Cable Info'!V18="","",CONCATENATE('Cable Info'!V18," - ",'Cable Info'!W18))</f>
        <v/>
      </c>
      <c r="BL18" s="121" t="str">
        <f t="shared" si="40"/>
        <v/>
      </c>
      <c r="CL18" s="250"/>
    </row>
    <row r="19" spans="1:90" x14ac:dyDescent="0.25">
      <c r="A19" s="188"/>
      <c r="B19" s="128" t="s">
        <v>12</v>
      </c>
      <c r="C19" s="115" t="str">
        <f>IFERROR(IF(B19="","",IF((COUNTIF('Cable Info'!$B$11:$C$50,B19)=0),VLOOKUP(B19,'Cable Info (2)'!$B$11:$C$50,2,FALSE),(VLOOKUP(B19,'Cable Info'!$B$11:$C$50,2,FALSE)))),"NO SUCH EXIT")</f>
        <v>WV-2</v>
      </c>
      <c r="D19" s="244" t="s">
        <v>109</v>
      </c>
      <c r="E19" s="259">
        <v>109</v>
      </c>
      <c r="F19" s="105" t="s">
        <v>45</v>
      </c>
      <c r="G19" s="262">
        <v>120</v>
      </c>
      <c r="H19" s="115">
        <f t="shared" si="29"/>
        <v>12</v>
      </c>
      <c r="I19" s="259">
        <v>109</v>
      </c>
      <c r="J19" s="105" t="s">
        <v>45</v>
      </c>
      <c r="K19" s="267">
        <v>120</v>
      </c>
      <c r="L19" s="244" t="s">
        <v>109</v>
      </c>
      <c r="M19" s="115" t="str">
        <f>IFERROR(IF(P19="","",IF((COUNTIF('Cable Info'!$B$11:$C$50,P19)=0),VLOOKUP(P19,'Cable Info (2)'!$B$11:$C$50,2,FALSE),(VLOOKUP(P19,'Cable Info'!$B$11:$C$50,2,FALSE)))),"NO SUCH EXIT")</f>
        <v>WV-2</v>
      </c>
      <c r="N19" s="134"/>
      <c r="O19" s="180"/>
      <c r="P19" s="130" t="s">
        <v>13</v>
      </c>
      <c r="Q19" s="190"/>
      <c r="R19" s="136" t="s">
        <v>60</v>
      </c>
      <c r="S19" s="136" t="s">
        <v>52</v>
      </c>
      <c r="T19" s="132">
        <v>42675</v>
      </c>
      <c r="U19" s="132">
        <v>42676</v>
      </c>
      <c r="V19" s="133" t="s">
        <v>10</v>
      </c>
      <c r="W19" s="133" t="s">
        <v>112</v>
      </c>
      <c r="X19" s="195">
        <f t="shared" si="30"/>
        <v>0</v>
      </c>
      <c r="Y19" s="251" t="str">
        <f t="shared" si="31"/>
        <v/>
      </c>
      <c r="Z19" s="252" t="str">
        <f t="shared" si="32"/>
        <v/>
      </c>
      <c r="AA19" s="252">
        <f t="shared" si="33"/>
        <v>12</v>
      </c>
      <c r="AB19" s="252" t="str">
        <f t="shared" si="34"/>
        <v/>
      </c>
      <c r="AJ19" s="121" t="str">
        <f>IF('Cable Info'!L19="","",CONCATENATE('Cable Info'!L19," - ",'Cable Info'!M19))</f>
        <v>18 - LF</v>
      </c>
      <c r="AM19" s="121" t="str">
        <f t="shared" si="35"/>
        <v>18 - LF</v>
      </c>
      <c r="AO19" s="121" t="str">
        <f>IF('Cable Info'!N19="","",CONCATENATE('Cable Info'!N19," - ",'Cable Info'!O19))</f>
        <v>18 - LF</v>
      </c>
      <c r="AR19" s="121" t="str">
        <f t="shared" si="36"/>
        <v>18 - LF</v>
      </c>
      <c r="AT19" s="121" t="str">
        <f>IF('Cable Info'!P19="","",CONCATENATE('Cable Info'!P19," - ",'Cable Info'!Q19))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Info'!R19="","",CONCATENATE('Cable Info'!R19," - ",'Cable Info'!S19))</f>
        <v/>
      </c>
      <c r="BB19" s="121" t="str">
        <f t="shared" si="38"/>
        <v/>
      </c>
      <c r="BD19" s="121" t="str">
        <f>IF('Cable Info'!T19="","",CONCATENATE('Cable Info'!T19," - ",'Cable Info'!U19))</f>
        <v/>
      </c>
      <c r="BG19" s="121" t="str">
        <f t="shared" si="39"/>
        <v/>
      </c>
      <c r="BI19" s="121" t="str">
        <f>IF('Cable Info'!V19="","",CONCATENATE('Cable Info'!V19," - ",'Cable Info'!W19))</f>
        <v/>
      </c>
      <c r="BL19" s="121" t="str">
        <f t="shared" si="40"/>
        <v/>
      </c>
      <c r="CL19" s="250"/>
    </row>
    <row r="20" spans="1:90" x14ac:dyDescent="0.25">
      <c r="A20" s="188"/>
      <c r="B20" s="128" t="s">
        <v>12</v>
      </c>
      <c r="C20" s="115" t="str">
        <f>IFERROR(IF(B20="","",IF((COUNTIF('Cable Info'!$B$11:$C$50,B20)=0),VLOOKUP(B20,'Cable Info (2)'!$B$11:$C$50,2,FALSE),(VLOOKUP(B20,'Cable Info'!$B$11:$C$50,2,FALSE)))),"NO SUCH EXIT")</f>
        <v>WV-2</v>
      </c>
      <c r="D20" s="244" t="s">
        <v>110</v>
      </c>
      <c r="E20" s="259">
        <v>121</v>
      </c>
      <c r="F20" s="105" t="s">
        <v>45</v>
      </c>
      <c r="G20" s="262">
        <v>132</v>
      </c>
      <c r="H20" s="115">
        <f t="shared" si="29"/>
        <v>12</v>
      </c>
      <c r="I20" s="259">
        <v>121</v>
      </c>
      <c r="J20" s="105" t="s">
        <v>45</v>
      </c>
      <c r="K20" s="267">
        <v>132</v>
      </c>
      <c r="L20" s="246" t="s">
        <v>110</v>
      </c>
      <c r="M20" s="115" t="str">
        <f>IFERROR(IF(P20="","",IF((COUNTIF('Cable Info'!$B$11:$C$50,P20)=0),VLOOKUP(P20,'Cable Info (2)'!$B$11:$C$50,2,FALSE),(VLOOKUP(P20,'Cable Info'!$B$11:$C$50,2,FALSE)))),"NO SUCH EXIT")</f>
        <v>WV-2</v>
      </c>
      <c r="N20" s="134"/>
      <c r="O20" s="180"/>
      <c r="P20" s="130" t="s">
        <v>13</v>
      </c>
      <c r="Q20" s="190"/>
      <c r="R20" s="136" t="s">
        <v>60</v>
      </c>
      <c r="S20" s="136" t="s">
        <v>52</v>
      </c>
      <c r="T20" s="132">
        <v>42675</v>
      </c>
      <c r="U20" s="132">
        <v>42676</v>
      </c>
      <c r="V20" s="133" t="s">
        <v>10</v>
      </c>
      <c r="W20" s="133" t="s">
        <v>112</v>
      </c>
      <c r="X20" s="195">
        <f t="shared" si="30"/>
        <v>0</v>
      </c>
      <c r="Y20" s="251" t="str">
        <f t="shared" si="31"/>
        <v/>
      </c>
      <c r="Z20" s="252" t="str">
        <f t="shared" si="32"/>
        <v/>
      </c>
      <c r="AA20" s="252">
        <f t="shared" si="33"/>
        <v>12</v>
      </c>
      <c r="AB20" s="252" t="str">
        <f t="shared" si="34"/>
        <v/>
      </c>
      <c r="AJ20" s="121" t="str">
        <f>IF('Cable Info'!L20="","",CONCATENATE('Cable Info'!L20," - ",'Cable Info'!M20))</f>
        <v>19 - LF</v>
      </c>
      <c r="AM20" s="121" t="str">
        <f t="shared" si="35"/>
        <v>19 - LF</v>
      </c>
      <c r="AO20" s="121" t="str">
        <f>IF('Cable Info'!N20="","",CONCATENATE('Cable Info'!N20," - ",'Cable Info'!O20))</f>
        <v>19 - LF</v>
      </c>
      <c r="AR20" s="121" t="str">
        <f t="shared" si="36"/>
        <v>19 - LF</v>
      </c>
      <c r="AT20" s="121" t="str">
        <f>IF('Cable Info'!P20="","",CONCATENATE('Cable Info'!P20," - ",'Cable Info'!Q20))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Info'!R20="","",CONCATENATE('Cable Info'!R20," - ",'Cable Info'!S20))</f>
        <v/>
      </c>
      <c r="BB20" s="121" t="str">
        <f t="shared" si="38"/>
        <v/>
      </c>
      <c r="BD20" s="121" t="str">
        <f>IF('Cable Info'!T20="","",CONCATENATE('Cable Info'!T20," - ",'Cable Info'!U20))</f>
        <v/>
      </c>
      <c r="BG20" s="121" t="str">
        <f t="shared" si="39"/>
        <v/>
      </c>
      <c r="BI20" s="121" t="str">
        <f>IF('Cable Info'!V20="","",CONCATENATE('Cable Info'!V20," - ",'Cable Info'!W20))</f>
        <v/>
      </c>
      <c r="BL20" s="121" t="str">
        <f t="shared" si="40"/>
        <v/>
      </c>
      <c r="CL20" s="250"/>
    </row>
    <row r="21" spans="1:90" x14ac:dyDescent="0.25">
      <c r="A21" s="188"/>
      <c r="B21" s="128" t="s">
        <v>12</v>
      </c>
      <c r="C21" s="115" t="str">
        <f>IFERROR(IF(B21="","",IF((COUNTIF('Cable Info'!$B$11:$C$50,B21)=0),VLOOKUP(B21,'Cable Info (2)'!$B$11:$C$50,2,FALSE),(VLOOKUP(B21,'Cable Info'!$B$11:$C$50,2,FALSE)))),"NO SUCH EXIT")</f>
        <v>WV-2</v>
      </c>
      <c r="D21" s="244" t="s">
        <v>111</v>
      </c>
      <c r="E21" s="259">
        <v>133</v>
      </c>
      <c r="F21" s="105" t="s">
        <v>45</v>
      </c>
      <c r="G21" s="262">
        <v>144</v>
      </c>
      <c r="H21" s="115">
        <f t="shared" si="29"/>
        <v>12</v>
      </c>
      <c r="I21" s="259">
        <v>133</v>
      </c>
      <c r="J21" s="105" t="s">
        <v>45</v>
      </c>
      <c r="K21" s="267">
        <v>144</v>
      </c>
      <c r="L21" s="246" t="s">
        <v>111</v>
      </c>
      <c r="M21" s="115" t="str">
        <f>IFERROR(IF(P21="","",IF((COUNTIF('Cable Info'!$B$11:$C$50,P21)=0),VLOOKUP(P21,'Cable Info (2)'!$B$11:$C$50,2,FALSE),(VLOOKUP(P21,'Cable Info'!$B$11:$C$50,2,FALSE)))),"NO SUCH EXIT")</f>
        <v>WV-2</v>
      </c>
      <c r="N21" s="134"/>
      <c r="O21" s="180"/>
      <c r="P21" s="130" t="s">
        <v>13</v>
      </c>
      <c r="Q21" s="190"/>
      <c r="R21" s="136" t="s">
        <v>60</v>
      </c>
      <c r="S21" s="136" t="s">
        <v>52</v>
      </c>
      <c r="T21" s="132">
        <v>42675</v>
      </c>
      <c r="U21" s="132">
        <v>42676</v>
      </c>
      <c r="V21" s="133" t="s">
        <v>10</v>
      </c>
      <c r="W21" s="133" t="s">
        <v>112</v>
      </c>
      <c r="X21" s="195">
        <f t="shared" si="30"/>
        <v>0</v>
      </c>
      <c r="Y21" s="251" t="str">
        <f t="shared" si="31"/>
        <v/>
      </c>
      <c r="Z21" s="252" t="str">
        <f t="shared" si="32"/>
        <v/>
      </c>
      <c r="AA21" s="252">
        <f t="shared" si="33"/>
        <v>12</v>
      </c>
      <c r="AB21" s="252" t="str">
        <f t="shared" si="34"/>
        <v/>
      </c>
      <c r="AJ21" s="121" t="str">
        <f>IF('Cable Info'!L21="","",CONCATENATE('Cable Info'!L21," - ",'Cable Info'!M21))</f>
        <v>20 - LF</v>
      </c>
      <c r="AM21" s="121" t="str">
        <f t="shared" si="35"/>
        <v>20 - LF</v>
      </c>
      <c r="AO21" s="121" t="str">
        <f>IF('Cable Info'!N21="","",CONCATENATE('Cable Info'!N21," - ",'Cable Info'!O21))</f>
        <v>20 - LF</v>
      </c>
      <c r="AR21" s="121" t="str">
        <f t="shared" si="36"/>
        <v>20 - LF</v>
      </c>
      <c r="AT21" s="121" t="str">
        <f>IF('Cable Info'!P21="","",CONCATENATE('Cable Info'!P21," - ",'Cable Info'!Q21))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Info'!R21="","",CONCATENATE('Cable Info'!R21," - ",'Cable Info'!S21))</f>
        <v/>
      </c>
      <c r="BB21" s="121" t="str">
        <f t="shared" si="38"/>
        <v/>
      </c>
      <c r="BD21" s="121" t="str">
        <f>IF('Cable Info'!T21="","",CONCATENATE('Cable Info'!T21," - ",'Cable Info'!U21))</f>
        <v/>
      </c>
      <c r="BG21" s="121" t="str">
        <f t="shared" si="39"/>
        <v/>
      </c>
      <c r="BI21" s="121" t="str">
        <f>IF('Cable Info'!V21="","",CONCATENATE('Cable Info'!V21," - ",'Cable Info'!W21))</f>
        <v/>
      </c>
      <c r="BL21" s="121" t="str">
        <f t="shared" si="40"/>
        <v/>
      </c>
      <c r="CL21" s="250"/>
    </row>
    <row r="22" spans="1:90" x14ac:dyDescent="0.25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59"/>
      <c r="F22" s="105" t="s">
        <v>45</v>
      </c>
      <c r="G22" s="262"/>
      <c r="H22" s="115" t="str">
        <f t="shared" si="29"/>
        <v/>
      </c>
      <c r="I22" s="264"/>
      <c r="J22" s="105" t="s">
        <v>45</v>
      </c>
      <c r="K22" s="267"/>
      <c r="L22" s="246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1" t="str">
        <f t="shared" si="31"/>
        <v/>
      </c>
      <c r="Z22" s="252" t="str">
        <f t="shared" si="32"/>
        <v/>
      </c>
      <c r="AA22" s="252" t="str">
        <f t="shared" si="33"/>
        <v/>
      </c>
      <c r="AB22" s="252" t="str">
        <f t="shared" si="34"/>
        <v/>
      </c>
      <c r="AJ22" s="121" t="str">
        <f>IF('Cable Info'!L22="","",CONCATENATE('Cable Info'!L22," - ",'Cable Info'!M22))</f>
        <v>21 - LF</v>
      </c>
      <c r="AM22" s="121" t="str">
        <f t="shared" si="35"/>
        <v>21 - LF</v>
      </c>
      <c r="AO22" s="121" t="str">
        <f>IF('Cable Info'!N22="","",CONCATENATE('Cable Info'!N22," - ",'Cable Info'!O22))</f>
        <v>21 - LF</v>
      </c>
      <c r="AR22" s="121" t="str">
        <f t="shared" si="36"/>
        <v>21 - LF</v>
      </c>
      <c r="AT22" s="121" t="str">
        <f>IF('Cable Info'!P22="","",CONCATENATE('Cable Info'!P22," - ",'Cable Info'!Q22))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Info'!R22="","",CONCATENATE('Cable Info'!R22," - ",'Cable Info'!S22))</f>
        <v/>
      </c>
      <c r="BB22" s="121" t="str">
        <f t="shared" si="38"/>
        <v/>
      </c>
      <c r="BD22" s="121" t="str">
        <f>IF('Cable Info'!T22="","",CONCATENATE('Cable Info'!T22," - ",'Cable Info'!U22))</f>
        <v/>
      </c>
      <c r="BG22" s="121" t="str">
        <f t="shared" si="39"/>
        <v/>
      </c>
      <c r="BI22" s="121" t="str">
        <f>IF('Cable Info'!V22="","",CONCATENATE('Cable Info'!V22," - ",'Cable Info'!W22))</f>
        <v/>
      </c>
      <c r="BL22" s="121" t="str">
        <f t="shared" si="40"/>
        <v/>
      </c>
      <c r="CL22" s="250"/>
    </row>
    <row r="23" spans="1:90" x14ac:dyDescent="0.25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59"/>
      <c r="F23" s="105" t="s">
        <v>45</v>
      </c>
      <c r="G23" s="262"/>
      <c r="H23" s="115" t="str">
        <f t="shared" si="29"/>
        <v/>
      </c>
      <c r="I23" s="264"/>
      <c r="J23" s="105" t="s">
        <v>45</v>
      </c>
      <c r="K23" s="267"/>
      <c r="L23" s="246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1" t="str">
        <f t="shared" si="31"/>
        <v/>
      </c>
      <c r="Z23" s="252" t="str">
        <f t="shared" si="32"/>
        <v/>
      </c>
      <c r="AA23" s="252" t="str">
        <f t="shared" si="33"/>
        <v/>
      </c>
      <c r="AB23" s="252" t="str">
        <f t="shared" si="34"/>
        <v/>
      </c>
      <c r="AJ23" s="121" t="str">
        <f>IF('Cable Info'!L23="","",CONCATENATE('Cable Info'!L23," - ",'Cable Info'!M23))</f>
        <v>22 - LF</v>
      </c>
      <c r="AM23" s="121" t="str">
        <f t="shared" si="35"/>
        <v>22 - LF</v>
      </c>
      <c r="AO23" s="121" t="str">
        <f>IF('Cable Info'!N23="","",CONCATENATE('Cable Info'!N23," - ",'Cable Info'!O23))</f>
        <v>22 - LF</v>
      </c>
      <c r="AR23" s="121" t="str">
        <f t="shared" si="36"/>
        <v>22 - LF</v>
      </c>
      <c r="AT23" s="121" t="str">
        <f>IF('Cable Info'!P23="","",CONCATENATE('Cable Info'!P23," - ",'Cable Info'!Q23))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Info'!R23="","",CONCATENATE('Cable Info'!R23," - ",'Cable Info'!S23))</f>
        <v/>
      </c>
      <c r="BB23" s="121" t="str">
        <f t="shared" si="38"/>
        <v/>
      </c>
      <c r="BD23" s="121" t="str">
        <f>IF('Cable Info'!T23="","",CONCATENATE('Cable Info'!T23," - ",'Cable Info'!U23))</f>
        <v/>
      </c>
      <c r="BG23" s="121" t="str">
        <f t="shared" si="39"/>
        <v/>
      </c>
      <c r="BI23" s="121" t="str">
        <f>IF('Cable Info'!V23="","",CONCATENATE('Cable Info'!V23," - ",'Cable Info'!W23))</f>
        <v/>
      </c>
      <c r="BL23" s="121" t="str">
        <f t="shared" si="40"/>
        <v/>
      </c>
      <c r="CL23" s="250"/>
    </row>
    <row r="24" spans="1:90" x14ac:dyDescent="0.25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59"/>
      <c r="F24" s="105" t="s">
        <v>45</v>
      </c>
      <c r="G24" s="262"/>
      <c r="H24" s="115" t="str">
        <f t="shared" si="29"/>
        <v/>
      </c>
      <c r="I24" s="264"/>
      <c r="J24" s="105" t="s">
        <v>45</v>
      </c>
      <c r="K24" s="267"/>
      <c r="L24" s="246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1" t="str">
        <f t="shared" si="31"/>
        <v/>
      </c>
      <c r="Z24" s="252" t="str">
        <f t="shared" si="32"/>
        <v/>
      </c>
      <c r="AA24" s="252" t="str">
        <f t="shared" si="33"/>
        <v/>
      </c>
      <c r="AB24" s="252" t="str">
        <f t="shared" si="34"/>
        <v/>
      </c>
      <c r="AJ24" s="121" t="str">
        <f>IF('Cable Info'!L24="","",CONCATENATE('Cable Info'!L24," - ",'Cable Info'!M24))</f>
        <v>23 - LF</v>
      </c>
      <c r="AM24" s="121" t="str">
        <f t="shared" si="35"/>
        <v>23 - LF</v>
      </c>
      <c r="AO24" s="121" t="str">
        <f>IF('Cable Info'!N24="","",CONCATENATE('Cable Info'!N24," - ",'Cable Info'!O24))</f>
        <v>23 - LF</v>
      </c>
      <c r="AR24" s="121" t="str">
        <f t="shared" si="36"/>
        <v>23 - LF</v>
      </c>
      <c r="AT24" s="121" t="str">
        <f>IF('Cable Info'!P24="","",CONCATENATE('Cable Info'!P24," - ",'Cable Info'!Q24))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Info'!R24="","",CONCATENATE('Cable Info'!R24," - ",'Cable Info'!S24))</f>
        <v/>
      </c>
      <c r="BB24" s="121" t="str">
        <f t="shared" si="38"/>
        <v/>
      </c>
      <c r="BD24" s="121" t="str">
        <f>IF('Cable Info'!T24="","",CONCATENATE('Cable Info'!T24," - ",'Cable Info'!U24))</f>
        <v/>
      </c>
      <c r="BG24" s="121" t="str">
        <f t="shared" si="39"/>
        <v/>
      </c>
      <c r="BI24" s="121" t="str">
        <f>IF('Cable Info'!V24="","",CONCATENATE('Cable Info'!V24," - ",'Cable Info'!W24))</f>
        <v/>
      </c>
      <c r="BL24" s="121" t="str">
        <f t="shared" si="40"/>
        <v/>
      </c>
      <c r="CL24" s="250"/>
    </row>
    <row r="25" spans="1:90" x14ac:dyDescent="0.25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59"/>
      <c r="F25" s="105" t="s">
        <v>45</v>
      </c>
      <c r="G25" s="262"/>
      <c r="H25" s="115" t="str">
        <f t="shared" si="29"/>
        <v/>
      </c>
      <c r="I25" s="264"/>
      <c r="J25" s="105" t="s">
        <v>45</v>
      </c>
      <c r="K25" s="267"/>
      <c r="L25" s="246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1" t="str">
        <f t="shared" si="31"/>
        <v/>
      </c>
      <c r="Z25" s="252" t="str">
        <f t="shared" si="32"/>
        <v/>
      </c>
      <c r="AA25" s="252" t="str">
        <f t="shared" si="33"/>
        <v/>
      </c>
      <c r="AB25" s="252" t="str">
        <f t="shared" si="34"/>
        <v/>
      </c>
      <c r="AJ25" s="121" t="str">
        <f>IF('Cable Info'!L25="","",CONCATENATE('Cable Info'!L25," - ",'Cable Info'!M25))</f>
        <v>24 - LF</v>
      </c>
      <c r="AM25" s="121" t="str">
        <f t="shared" si="35"/>
        <v>24 - LF</v>
      </c>
      <c r="AO25" s="121" t="str">
        <f>IF('Cable Info'!N25="","",CONCATENATE('Cable Info'!N25," - ",'Cable Info'!O25))</f>
        <v>24 - LF</v>
      </c>
      <c r="AR25" s="121" t="str">
        <f t="shared" si="36"/>
        <v>24 - LF</v>
      </c>
      <c r="AT25" s="121" t="str">
        <f>IF('Cable Info'!P25="","",CONCATENATE('Cable Info'!P25," - ",'Cable Info'!Q25))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Info'!R25="","",CONCATENATE('Cable Info'!R25," - ",'Cable Info'!S25))</f>
        <v/>
      </c>
      <c r="BB25" s="121" t="str">
        <f t="shared" si="38"/>
        <v/>
      </c>
      <c r="BD25" s="121" t="str">
        <f>IF('Cable Info'!T25="","",CONCATENATE('Cable Info'!T25," - ",'Cable Info'!U25))</f>
        <v/>
      </c>
      <c r="BG25" s="121" t="str">
        <f t="shared" si="39"/>
        <v/>
      </c>
      <c r="BI25" s="121" t="str">
        <f>IF('Cable Info'!V25="","",CONCATENATE('Cable Info'!V25," - ",'Cable Info'!W25))</f>
        <v/>
      </c>
      <c r="BL25" s="121" t="str">
        <f t="shared" si="40"/>
        <v/>
      </c>
      <c r="CL25" s="250"/>
    </row>
    <row r="26" spans="1:90" x14ac:dyDescent="0.25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59"/>
      <c r="F26" s="105" t="s">
        <v>45</v>
      </c>
      <c r="G26" s="262"/>
      <c r="H26" s="115" t="str">
        <f t="shared" si="29"/>
        <v/>
      </c>
      <c r="I26" s="264"/>
      <c r="J26" s="105" t="s">
        <v>45</v>
      </c>
      <c r="K26" s="267"/>
      <c r="L26" s="246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1" t="str">
        <f t="shared" si="31"/>
        <v/>
      </c>
      <c r="Z26" s="252" t="str">
        <f t="shared" si="32"/>
        <v/>
      </c>
      <c r="AA26" s="252" t="str">
        <f t="shared" si="33"/>
        <v/>
      </c>
      <c r="AB26" s="252" t="str">
        <f t="shared" si="34"/>
        <v/>
      </c>
      <c r="AJ26" s="121" t="str">
        <f>IF('Cable Info'!L26="","",CONCATENATE('Cable Info'!L26," - ",'Cable Info'!M26))</f>
        <v>25 - AW</v>
      </c>
      <c r="AM26" s="121" t="str">
        <f t="shared" si="35"/>
        <v>25 - AW</v>
      </c>
      <c r="AO26" s="121" t="str">
        <f>IF('Cable Info'!N26="","",CONCATENATE('Cable Info'!N26," - ",'Cable Info'!O26))</f>
        <v>25 - AW</v>
      </c>
      <c r="AR26" s="121" t="str">
        <f t="shared" si="36"/>
        <v>25 - AW</v>
      </c>
      <c r="AT26" s="121" t="str">
        <f>IF('Cable Info'!P26="","",CONCATENATE('Cable Info'!P26," - ",'Cable Info'!Q26))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Info'!R26="","",CONCATENATE('Cable Info'!R26," - ",'Cable Info'!S26))</f>
        <v/>
      </c>
      <c r="BB26" s="121" t="str">
        <f t="shared" si="38"/>
        <v/>
      </c>
      <c r="BD26" s="121" t="str">
        <f>IF('Cable Info'!T26="","",CONCATENATE('Cable Info'!T26," - ",'Cable Info'!U26))</f>
        <v/>
      </c>
      <c r="BG26" s="121" t="str">
        <f t="shared" si="39"/>
        <v/>
      </c>
      <c r="BI26" s="121" t="str">
        <f>IF('Cable Info'!V26="","",CONCATENATE('Cable Info'!V26," - ",'Cable Info'!W26))</f>
        <v/>
      </c>
      <c r="BL26" s="121" t="str">
        <f t="shared" si="40"/>
        <v/>
      </c>
      <c r="CL26" s="250"/>
    </row>
    <row r="27" spans="1:90" x14ac:dyDescent="0.25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59"/>
      <c r="F27" s="105" t="s">
        <v>45</v>
      </c>
      <c r="G27" s="262"/>
      <c r="H27" s="115" t="str">
        <f t="shared" si="29"/>
        <v/>
      </c>
      <c r="I27" s="264"/>
      <c r="J27" s="105" t="s">
        <v>45</v>
      </c>
      <c r="K27" s="267"/>
      <c r="L27" s="246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1" t="str">
        <f t="shared" si="31"/>
        <v/>
      </c>
      <c r="Z27" s="252" t="str">
        <f t="shared" si="32"/>
        <v/>
      </c>
      <c r="AA27" s="252" t="str">
        <f t="shared" si="33"/>
        <v/>
      </c>
      <c r="AB27" s="252" t="str">
        <f t="shared" si="34"/>
        <v/>
      </c>
      <c r="AJ27" s="121" t="str">
        <f>IF('Cable Info'!L27="","",CONCATENATE('Cable Info'!L27," - ",'Cable Info'!M27))</f>
        <v>26 - AW</v>
      </c>
      <c r="AM27" s="121" t="str">
        <f t="shared" si="35"/>
        <v>26 - AW</v>
      </c>
      <c r="AO27" s="121" t="str">
        <f>IF('Cable Info'!N27="","",CONCATENATE('Cable Info'!N27," - ",'Cable Info'!O27))</f>
        <v>26 - AW</v>
      </c>
      <c r="AR27" s="121" t="str">
        <f t="shared" si="36"/>
        <v>26 - AW</v>
      </c>
      <c r="AT27" s="121" t="str">
        <f>IF('Cable Info'!P27="","",CONCATENATE('Cable Info'!P27," - ",'Cable Info'!Q27))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Info'!R27="","",CONCATENATE('Cable Info'!R27," - ",'Cable Info'!S27))</f>
        <v/>
      </c>
      <c r="BB27" s="121" t="str">
        <f t="shared" si="38"/>
        <v/>
      </c>
      <c r="BD27" s="121" t="str">
        <f>IF('Cable Info'!T27="","",CONCATENATE('Cable Info'!T27," - ",'Cable Info'!U27))</f>
        <v/>
      </c>
      <c r="BG27" s="121" t="str">
        <f t="shared" si="39"/>
        <v/>
      </c>
      <c r="BI27" s="121" t="str">
        <f>IF('Cable Info'!V27="","",CONCATENATE('Cable Info'!V27," - ",'Cable Info'!W27))</f>
        <v/>
      </c>
      <c r="BL27" s="121" t="str">
        <f t="shared" si="40"/>
        <v/>
      </c>
      <c r="CL27" s="250"/>
    </row>
    <row r="28" spans="1:90" x14ac:dyDescent="0.25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59"/>
      <c r="F28" s="105" t="s">
        <v>45</v>
      </c>
      <c r="G28" s="262"/>
      <c r="H28" s="115" t="str">
        <f t="shared" si="29"/>
        <v/>
      </c>
      <c r="I28" s="264"/>
      <c r="J28" s="105" t="s">
        <v>45</v>
      </c>
      <c r="K28" s="267"/>
      <c r="L28" s="246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1" t="str">
        <f t="shared" si="31"/>
        <v/>
      </c>
      <c r="Z28" s="252" t="str">
        <f t="shared" si="32"/>
        <v/>
      </c>
      <c r="AA28" s="252" t="str">
        <f t="shared" si="33"/>
        <v/>
      </c>
      <c r="AB28" s="252" t="str">
        <f t="shared" si="34"/>
        <v/>
      </c>
      <c r="AJ28" s="121" t="str">
        <f>IF('Cable Info'!L28="","",CONCATENATE('Cable Info'!L28," - ",'Cable Info'!M28))</f>
        <v>27 - AW</v>
      </c>
      <c r="AM28" s="121" t="str">
        <f t="shared" si="35"/>
        <v>27 - AW</v>
      </c>
      <c r="AO28" s="121" t="str">
        <f>IF('Cable Info'!N28="","",CONCATENATE('Cable Info'!N28," - ",'Cable Info'!O28))</f>
        <v>27 - AW</v>
      </c>
      <c r="AR28" s="121" t="str">
        <f t="shared" si="36"/>
        <v>27 - AW</v>
      </c>
      <c r="AT28" s="121" t="str">
        <f>IF('Cable Info'!P28="","",CONCATENATE('Cable Info'!P28," - ",'Cable Info'!Q28))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Info'!R28="","",CONCATENATE('Cable Info'!R28," - ",'Cable Info'!S28))</f>
        <v/>
      </c>
      <c r="BB28" s="121" t="str">
        <f t="shared" si="38"/>
        <v/>
      </c>
      <c r="BD28" s="121" t="str">
        <f>IF('Cable Info'!T28="","",CONCATENATE('Cable Info'!T28," - ",'Cable Info'!U28))</f>
        <v/>
      </c>
      <c r="BG28" s="121" t="str">
        <f t="shared" si="39"/>
        <v/>
      </c>
      <c r="BI28" s="121" t="str">
        <f>IF('Cable Info'!V28="","",CONCATENATE('Cable Info'!V28," - ",'Cable Info'!W28))</f>
        <v/>
      </c>
      <c r="BL28" s="121" t="str">
        <f t="shared" si="40"/>
        <v/>
      </c>
      <c r="CL28" s="250"/>
    </row>
    <row r="29" spans="1:90" x14ac:dyDescent="0.25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59"/>
      <c r="F29" s="105" t="s">
        <v>45</v>
      </c>
      <c r="G29" s="262"/>
      <c r="H29" s="115" t="str">
        <f t="shared" si="29"/>
        <v/>
      </c>
      <c r="I29" s="264"/>
      <c r="J29" s="105" t="s">
        <v>45</v>
      </c>
      <c r="K29" s="267"/>
      <c r="L29" s="246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1" t="str">
        <f t="shared" si="31"/>
        <v/>
      </c>
      <c r="Z29" s="252" t="str">
        <f t="shared" si="32"/>
        <v/>
      </c>
      <c r="AA29" s="252" t="str">
        <f t="shared" si="33"/>
        <v/>
      </c>
      <c r="AB29" s="252" t="str">
        <f t="shared" si="34"/>
        <v/>
      </c>
      <c r="AJ29" s="121" t="str">
        <f>IF('Cable Info'!L29="","",CONCATENATE('Cable Info'!L29," - ",'Cable Info'!M29))</f>
        <v>28 - AW</v>
      </c>
      <c r="AM29" s="121" t="str">
        <f t="shared" si="35"/>
        <v>28 - AW</v>
      </c>
      <c r="AO29" s="121" t="str">
        <f>IF('Cable Info'!N29="","",CONCATENATE('Cable Info'!N29," - ",'Cable Info'!O29))</f>
        <v>28 - AW</v>
      </c>
      <c r="AR29" s="121" t="str">
        <f t="shared" si="36"/>
        <v>28 - AW</v>
      </c>
      <c r="AT29" s="121" t="str">
        <f>IF('Cable Info'!P29="","",CONCATENATE('Cable Info'!P29," - ",'Cable Info'!Q29))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Info'!R29="","",CONCATENATE('Cable Info'!R29," - ",'Cable Info'!S29))</f>
        <v/>
      </c>
      <c r="BB29" s="121" t="str">
        <f t="shared" si="38"/>
        <v/>
      </c>
      <c r="BD29" s="121" t="str">
        <f>IF('Cable Info'!T29="","",CONCATENATE('Cable Info'!T29," - ",'Cable Info'!U29))</f>
        <v/>
      </c>
      <c r="BG29" s="121" t="str">
        <f t="shared" si="39"/>
        <v/>
      </c>
      <c r="BI29" s="121" t="str">
        <f>IF('Cable Info'!V29="","",CONCATENATE('Cable Info'!V29," - ",'Cable Info'!W29))</f>
        <v/>
      </c>
      <c r="BL29" s="121" t="str">
        <f t="shared" si="40"/>
        <v/>
      </c>
      <c r="CL29" s="250"/>
    </row>
    <row r="30" spans="1:90" x14ac:dyDescent="0.25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59"/>
      <c r="F30" s="105" t="s">
        <v>45</v>
      </c>
      <c r="G30" s="262"/>
      <c r="H30" s="115" t="str">
        <f t="shared" si="29"/>
        <v/>
      </c>
      <c r="I30" s="264"/>
      <c r="J30" s="105" t="s">
        <v>45</v>
      </c>
      <c r="K30" s="267"/>
      <c r="L30" s="246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1" t="str">
        <f t="shared" si="31"/>
        <v/>
      </c>
      <c r="Z30" s="252" t="str">
        <f t="shared" si="32"/>
        <v/>
      </c>
      <c r="AA30" s="252" t="str">
        <f t="shared" si="33"/>
        <v/>
      </c>
      <c r="AB30" s="252" t="str">
        <f t="shared" si="34"/>
        <v/>
      </c>
      <c r="AJ30" s="121" t="str">
        <f>IF('Cable Info'!L30="","",CONCATENATE('Cable Info'!L30," - ",'Cable Info'!M30))</f>
        <v>29 - AW</v>
      </c>
      <c r="AM30" s="121" t="str">
        <f t="shared" si="35"/>
        <v>29 - AW</v>
      </c>
      <c r="AO30" s="121" t="str">
        <f>IF('Cable Info'!N30="","",CONCATENATE('Cable Info'!N30," - ",'Cable Info'!O30))</f>
        <v>29 - AW</v>
      </c>
      <c r="AR30" s="121" t="str">
        <f t="shared" si="36"/>
        <v>29 - AW</v>
      </c>
      <c r="AT30" s="121" t="str">
        <f>IF('Cable Info'!P30="","",CONCATENATE('Cable Info'!P30," - ",'Cable Info'!Q30))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Info'!R30="","",CONCATENATE('Cable Info'!R30," - ",'Cable Info'!S30))</f>
        <v/>
      </c>
      <c r="BB30" s="121" t="str">
        <f t="shared" si="38"/>
        <v/>
      </c>
      <c r="BD30" s="121" t="str">
        <f>IF('Cable Info'!T30="","",CONCATENATE('Cable Info'!T30," - ",'Cable Info'!U30))</f>
        <v/>
      </c>
      <c r="BG30" s="121" t="str">
        <f t="shared" si="39"/>
        <v/>
      </c>
      <c r="BI30" s="121" t="str">
        <f>IF('Cable Info'!V30="","",CONCATENATE('Cable Info'!V30," - ",'Cable Info'!W30))</f>
        <v/>
      </c>
      <c r="BL30" s="121" t="str">
        <f t="shared" si="40"/>
        <v/>
      </c>
      <c r="CL30" s="250"/>
    </row>
    <row r="31" spans="1:90" x14ac:dyDescent="0.25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59"/>
      <c r="F31" s="105" t="s">
        <v>45</v>
      </c>
      <c r="G31" s="262"/>
      <c r="H31" s="115" t="str">
        <f t="shared" si="29"/>
        <v/>
      </c>
      <c r="I31" s="264"/>
      <c r="J31" s="105" t="s">
        <v>45</v>
      </c>
      <c r="K31" s="267"/>
      <c r="L31" s="246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1" t="str">
        <f t="shared" si="31"/>
        <v/>
      </c>
      <c r="Z31" s="252" t="str">
        <f t="shared" si="32"/>
        <v/>
      </c>
      <c r="AA31" s="252" t="str">
        <f t="shared" si="33"/>
        <v/>
      </c>
      <c r="AB31" s="252" t="str">
        <f t="shared" si="34"/>
        <v/>
      </c>
      <c r="AJ31" s="121" t="str">
        <f>IF('Cable Info'!L31="","",CONCATENATE('Cable Info'!L31," - ",'Cable Info'!M31))</f>
        <v>30 - AW</v>
      </c>
      <c r="AM31" s="121" t="str">
        <f t="shared" si="35"/>
        <v>30 - AW</v>
      </c>
      <c r="AO31" s="121" t="str">
        <f>IF('Cable Info'!N31="","",CONCATENATE('Cable Info'!N31," - ",'Cable Info'!O31))</f>
        <v>30 - AW</v>
      </c>
      <c r="AR31" s="121" t="str">
        <f t="shared" si="36"/>
        <v>30 - AW</v>
      </c>
      <c r="AT31" s="121" t="str">
        <f>IF('Cable Info'!P31="","",CONCATENATE('Cable Info'!P31," - ",'Cable Info'!Q31))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Info'!R31="","",CONCATENATE('Cable Info'!R31," - ",'Cable Info'!S31))</f>
        <v/>
      </c>
      <c r="BB31" s="121" t="str">
        <f t="shared" si="38"/>
        <v/>
      </c>
      <c r="BD31" s="121" t="str">
        <f>IF('Cable Info'!T31="","",CONCATENATE('Cable Info'!T31," - ",'Cable Info'!U31))</f>
        <v/>
      </c>
      <c r="BG31" s="121" t="str">
        <f t="shared" si="39"/>
        <v/>
      </c>
      <c r="BI31" s="121" t="str">
        <f>IF('Cable Info'!V31="","",CONCATENATE('Cable Info'!V31," - ",'Cable Info'!W31))</f>
        <v/>
      </c>
      <c r="BL31" s="121" t="str">
        <f t="shared" si="40"/>
        <v/>
      </c>
      <c r="CL31" s="250"/>
    </row>
    <row r="32" spans="1:90" x14ac:dyDescent="0.25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59"/>
      <c r="F32" s="105" t="s">
        <v>45</v>
      </c>
      <c r="G32" s="262"/>
      <c r="H32" s="115" t="str">
        <f t="shared" si="29"/>
        <v/>
      </c>
      <c r="I32" s="264"/>
      <c r="J32" s="105" t="s">
        <v>45</v>
      </c>
      <c r="K32" s="267"/>
      <c r="L32" s="246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1" t="str">
        <f t="shared" si="31"/>
        <v/>
      </c>
      <c r="Z32" s="252" t="str">
        <f t="shared" si="32"/>
        <v/>
      </c>
      <c r="AA32" s="252" t="str">
        <f t="shared" si="33"/>
        <v/>
      </c>
      <c r="AB32" s="252" t="str">
        <f t="shared" si="34"/>
        <v/>
      </c>
      <c r="AJ32" s="121" t="str">
        <f>IF('Cable Info'!L32="","",CONCATENATE('Cable Info'!L32," - ",'Cable Info'!M32))</f>
        <v>31 - AW</v>
      </c>
      <c r="AM32" s="121" t="str">
        <f t="shared" si="35"/>
        <v>31 - AW</v>
      </c>
      <c r="AO32" s="121" t="str">
        <f>IF('Cable Info'!N32="","",CONCATENATE('Cable Info'!N32," - ",'Cable Info'!O32))</f>
        <v>31 - AW</v>
      </c>
      <c r="AR32" s="121" t="str">
        <f t="shared" si="36"/>
        <v>31 - AW</v>
      </c>
      <c r="AT32" s="121" t="str">
        <f>IF('Cable Info'!P32="","",CONCATENATE('Cable Info'!P32," - ",'Cable Info'!Q32))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Info'!R32="","",CONCATENATE('Cable Info'!R32," - ",'Cable Info'!S32))</f>
        <v/>
      </c>
      <c r="BB32" s="121" t="str">
        <f t="shared" si="38"/>
        <v/>
      </c>
      <c r="BD32" s="121" t="str">
        <f>IF('Cable Info'!T32="","",CONCATENATE('Cable Info'!T32," - ",'Cable Info'!U32))</f>
        <v/>
      </c>
      <c r="BG32" s="121" t="str">
        <f t="shared" si="39"/>
        <v/>
      </c>
      <c r="BI32" s="121" t="str">
        <f>IF('Cable Info'!V32="","",CONCATENATE('Cable Info'!V32," - ",'Cable Info'!W32))</f>
        <v/>
      </c>
      <c r="BL32" s="121" t="str">
        <f t="shared" si="40"/>
        <v/>
      </c>
      <c r="CL32" s="250"/>
    </row>
    <row r="33" spans="1:90" x14ac:dyDescent="0.25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59"/>
      <c r="F33" s="105" t="s">
        <v>45</v>
      </c>
      <c r="G33" s="262"/>
      <c r="H33" s="115" t="str">
        <f t="shared" si="29"/>
        <v/>
      </c>
      <c r="I33" s="264"/>
      <c r="J33" s="105" t="s">
        <v>45</v>
      </c>
      <c r="K33" s="267"/>
      <c r="L33" s="246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1" t="str">
        <f t="shared" si="31"/>
        <v/>
      </c>
      <c r="Z33" s="252" t="str">
        <f t="shared" si="32"/>
        <v/>
      </c>
      <c r="AA33" s="252" t="str">
        <f t="shared" si="33"/>
        <v/>
      </c>
      <c r="AB33" s="252" t="str">
        <f t="shared" si="34"/>
        <v/>
      </c>
      <c r="AJ33" s="121" t="str">
        <f>IF('Cable Info'!L33="","",CONCATENATE('Cable Info'!L33," - ",'Cable Info'!M33))</f>
        <v>32 - AW</v>
      </c>
      <c r="AM33" s="121" t="str">
        <f t="shared" si="35"/>
        <v>32 - AW</v>
      </c>
      <c r="AO33" s="121" t="str">
        <f>IF('Cable Info'!N33="","",CONCATENATE('Cable Info'!N33," - ",'Cable Info'!O33))</f>
        <v>32 - AW</v>
      </c>
      <c r="AR33" s="121" t="str">
        <f t="shared" si="36"/>
        <v>32 - AW</v>
      </c>
      <c r="AT33" s="121" t="str">
        <f>IF('Cable Info'!P33="","",CONCATENATE('Cable Info'!P33," - ",'Cable Info'!Q33))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Info'!R33="","",CONCATENATE('Cable Info'!R33," - ",'Cable Info'!S33))</f>
        <v/>
      </c>
      <c r="BB33" s="121" t="str">
        <f t="shared" si="38"/>
        <v/>
      </c>
      <c r="BD33" s="121" t="str">
        <f>IF('Cable Info'!T33="","",CONCATENATE('Cable Info'!T33," - ",'Cable Info'!U33))</f>
        <v/>
      </c>
      <c r="BG33" s="121" t="str">
        <f t="shared" si="39"/>
        <v/>
      </c>
      <c r="BI33" s="121" t="str">
        <f>IF('Cable Info'!V33="","",CONCATENATE('Cable Info'!V33," - ",'Cable Info'!W33))</f>
        <v/>
      </c>
      <c r="BL33" s="121" t="str">
        <f t="shared" si="40"/>
        <v/>
      </c>
      <c r="CL33" s="250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59"/>
      <c r="F34" s="105" t="s">
        <v>45</v>
      </c>
      <c r="G34" s="262"/>
      <c r="H34" s="115" t="str">
        <f t="shared" si="29"/>
        <v/>
      </c>
      <c r="I34" s="264"/>
      <c r="J34" s="105" t="s">
        <v>45</v>
      </c>
      <c r="K34" s="267"/>
      <c r="L34" s="246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1" t="str">
        <f t="shared" si="31"/>
        <v/>
      </c>
      <c r="Z34" s="252" t="str">
        <f t="shared" si="32"/>
        <v/>
      </c>
      <c r="AA34" s="252" t="str">
        <f t="shared" si="33"/>
        <v/>
      </c>
      <c r="AB34" s="252" t="str">
        <f t="shared" si="34"/>
        <v/>
      </c>
      <c r="AJ34" s="121" t="str">
        <f>IF('Cable Info'!L34="","",CONCATENATE('Cable Info'!L34," - ",'Cable Info'!M34))</f>
        <v>33 - AW</v>
      </c>
      <c r="AM34" s="121" t="str">
        <f t="shared" si="35"/>
        <v>33 - AW</v>
      </c>
      <c r="AO34" s="121" t="str">
        <f>IF('Cable Info'!N34="","",CONCATENATE('Cable Info'!N34," - ",'Cable Info'!O34))</f>
        <v>33 - AW</v>
      </c>
      <c r="AR34" s="121" t="str">
        <f t="shared" si="36"/>
        <v>33 - AW</v>
      </c>
      <c r="AT34" s="121" t="str">
        <f>IF('Cable Info'!P34="","",CONCATENATE('Cable Info'!P34," - ",'Cable Info'!Q34))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Info'!R34="","",CONCATENATE('Cable Info'!R34," - ",'Cable Info'!S34))</f>
        <v/>
      </c>
      <c r="BB34" s="121" t="str">
        <f t="shared" si="38"/>
        <v/>
      </c>
      <c r="BD34" s="121" t="str">
        <f>IF('Cable Info'!T34="","",CONCATENATE('Cable Info'!T34," - ",'Cable Info'!U34))</f>
        <v/>
      </c>
      <c r="BG34" s="121" t="str">
        <f t="shared" si="39"/>
        <v/>
      </c>
      <c r="BI34" s="121" t="str">
        <f>IF('Cable Info'!V34="","",CONCATENATE('Cable Info'!V34," - ",'Cable Info'!W34))</f>
        <v/>
      </c>
      <c r="BL34" s="121" t="str">
        <f t="shared" si="40"/>
        <v/>
      </c>
      <c r="CL34" s="250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59"/>
      <c r="F35" s="105" t="s">
        <v>45</v>
      </c>
      <c r="G35" s="262"/>
      <c r="H35" s="115" t="str">
        <f t="shared" si="29"/>
        <v/>
      </c>
      <c r="I35" s="264"/>
      <c r="J35" s="105" t="s">
        <v>45</v>
      </c>
      <c r="K35" s="267"/>
      <c r="L35" s="246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1" t="str">
        <f t="shared" si="31"/>
        <v/>
      </c>
      <c r="Z35" s="252" t="str">
        <f t="shared" si="32"/>
        <v/>
      </c>
      <c r="AA35" s="252" t="str">
        <f t="shared" si="33"/>
        <v/>
      </c>
      <c r="AB35" s="252" t="str">
        <f t="shared" si="34"/>
        <v/>
      </c>
      <c r="AJ35" s="121" t="str">
        <f>IF('Cable Info'!L35="","",CONCATENATE('Cable Info'!L35," - ",'Cable Info'!M35))</f>
        <v>34 - AW</v>
      </c>
      <c r="AM35" s="121" t="str">
        <f t="shared" si="35"/>
        <v>34 - AW</v>
      </c>
      <c r="AO35" s="121" t="str">
        <f>IF('Cable Info'!N35="","",CONCATENATE('Cable Info'!N35," - ",'Cable Info'!O35))</f>
        <v>34 - AW</v>
      </c>
      <c r="AR35" s="121" t="str">
        <f t="shared" si="36"/>
        <v>34 - AW</v>
      </c>
      <c r="AT35" s="121" t="str">
        <f>IF('Cable Info'!P35="","",CONCATENATE('Cable Info'!P35," - ",'Cable Info'!Q35))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Info'!R35="","",CONCATENATE('Cable Info'!R35," - ",'Cable Info'!S35))</f>
        <v/>
      </c>
      <c r="BB35" s="121" t="str">
        <f t="shared" si="38"/>
        <v/>
      </c>
      <c r="BD35" s="121" t="str">
        <f>IF('Cable Info'!T35="","",CONCATENATE('Cable Info'!T35," - ",'Cable Info'!U35))</f>
        <v/>
      </c>
      <c r="BG35" s="121" t="str">
        <f t="shared" si="39"/>
        <v/>
      </c>
      <c r="BI35" s="121" t="str">
        <f>IF('Cable Info'!V35="","",CONCATENATE('Cable Info'!V35," - ",'Cable Info'!W35))</f>
        <v/>
      </c>
      <c r="BL35" s="121" t="str">
        <f t="shared" si="40"/>
        <v/>
      </c>
      <c r="CL35" s="250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59"/>
      <c r="F36" s="105" t="s">
        <v>45</v>
      </c>
      <c r="G36" s="262"/>
      <c r="H36" s="115" t="str">
        <f t="shared" si="29"/>
        <v/>
      </c>
      <c r="I36" s="264"/>
      <c r="J36" s="105" t="s">
        <v>45</v>
      </c>
      <c r="K36" s="267"/>
      <c r="L36" s="246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1" t="str">
        <f t="shared" si="31"/>
        <v/>
      </c>
      <c r="Z36" s="252" t="str">
        <f t="shared" si="32"/>
        <v/>
      </c>
      <c r="AA36" s="252" t="str">
        <f t="shared" si="33"/>
        <v/>
      </c>
      <c r="AB36" s="252" t="str">
        <f t="shared" si="34"/>
        <v/>
      </c>
      <c r="AJ36" s="121" t="str">
        <f>IF('Cable Info'!L36="","",CONCATENATE('Cable Info'!L36," - ",'Cable Info'!M36))</f>
        <v>35 - AW</v>
      </c>
      <c r="AM36" s="121" t="str">
        <f t="shared" si="35"/>
        <v>35 - AW</v>
      </c>
      <c r="AO36" s="121" t="str">
        <f>IF('Cable Info'!N36="","",CONCATENATE('Cable Info'!N36," - ",'Cable Info'!O36))</f>
        <v>35 - AW</v>
      </c>
      <c r="AR36" s="121" t="str">
        <f t="shared" si="36"/>
        <v>35 - AW</v>
      </c>
      <c r="AT36" s="121" t="str">
        <f>IF('Cable Info'!P36="","",CONCATENATE('Cable Info'!P36," - ",'Cable Info'!Q36))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Info'!R36="","",CONCATENATE('Cable Info'!R36," - ",'Cable Info'!S36))</f>
        <v/>
      </c>
      <c r="BB36" s="121" t="str">
        <f t="shared" si="38"/>
        <v/>
      </c>
      <c r="BD36" s="121" t="str">
        <f>IF('Cable Info'!T36="","",CONCATENATE('Cable Info'!T36," - ",'Cable Info'!U36))</f>
        <v/>
      </c>
      <c r="BG36" s="121" t="str">
        <f t="shared" si="39"/>
        <v/>
      </c>
      <c r="BI36" s="121" t="str">
        <f>IF('Cable Info'!V36="","",CONCATENATE('Cable Info'!V36," - ",'Cable Info'!W36))</f>
        <v/>
      </c>
      <c r="BL36" s="121" t="str">
        <f t="shared" si="40"/>
        <v/>
      </c>
      <c r="CL36" s="250"/>
    </row>
    <row r="37" spans="1:90" x14ac:dyDescent="0.25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59"/>
      <c r="F37" s="105" t="s">
        <v>45</v>
      </c>
      <c r="G37" s="262"/>
      <c r="H37" s="115" t="str">
        <f t="shared" si="29"/>
        <v/>
      </c>
      <c r="I37" s="264"/>
      <c r="J37" s="105" t="s">
        <v>45</v>
      </c>
      <c r="K37" s="267"/>
      <c r="L37" s="246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1" t="str">
        <f t="shared" si="31"/>
        <v/>
      </c>
      <c r="Z37" s="252" t="str">
        <f t="shared" si="32"/>
        <v/>
      </c>
      <c r="AA37" s="252" t="str">
        <f t="shared" si="33"/>
        <v/>
      </c>
      <c r="AB37" s="252" t="str">
        <f t="shared" si="34"/>
        <v/>
      </c>
      <c r="AJ37" s="121" t="str">
        <f>IF('Cable Info'!L37="","",CONCATENATE('Cable Info'!L37," - ",'Cable Info'!M37))</f>
        <v>36 - AW</v>
      </c>
      <c r="AM37" s="121" t="str">
        <f t="shared" si="35"/>
        <v>36 - AW</v>
      </c>
      <c r="AO37" s="121" t="str">
        <f>IF('Cable Info'!N37="","",CONCATENATE('Cable Info'!N37," - ",'Cable Info'!O37))</f>
        <v>36 - AW</v>
      </c>
      <c r="AR37" s="121" t="str">
        <f t="shared" si="36"/>
        <v>36 - AW</v>
      </c>
      <c r="AT37" s="121" t="str">
        <f>IF('Cable Info'!P37="","",CONCATENATE('Cable Info'!P37," - ",'Cable Info'!Q37))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Info'!R37="","",CONCATENATE('Cable Info'!R37," - ",'Cable Info'!S37))</f>
        <v/>
      </c>
      <c r="BB37" s="121" t="str">
        <f t="shared" si="38"/>
        <v/>
      </c>
      <c r="BD37" s="121" t="str">
        <f>IF('Cable Info'!T37="","",CONCATENATE('Cable Info'!T37," - ",'Cable Info'!U37))</f>
        <v/>
      </c>
      <c r="BG37" s="121" t="str">
        <f t="shared" si="39"/>
        <v/>
      </c>
      <c r="BI37" s="121" t="str">
        <f>IF('Cable Info'!V37="","",CONCATENATE('Cable Info'!V37," - ",'Cable Info'!W37))</f>
        <v/>
      </c>
      <c r="BL37" s="121" t="str">
        <f t="shared" si="40"/>
        <v/>
      </c>
      <c r="CL37" s="250"/>
    </row>
    <row r="38" spans="1:90" x14ac:dyDescent="0.25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59"/>
      <c r="F38" s="105" t="s">
        <v>45</v>
      </c>
      <c r="G38" s="262"/>
      <c r="H38" s="115" t="str">
        <f t="shared" si="29"/>
        <v/>
      </c>
      <c r="I38" s="264"/>
      <c r="J38" s="105" t="s">
        <v>45</v>
      </c>
      <c r="K38" s="267"/>
      <c r="L38" s="246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1" t="str">
        <f t="shared" si="31"/>
        <v/>
      </c>
      <c r="Z38" s="252" t="str">
        <f t="shared" si="32"/>
        <v/>
      </c>
      <c r="AA38" s="252" t="str">
        <f t="shared" si="33"/>
        <v/>
      </c>
      <c r="AB38" s="252" t="str">
        <f t="shared" si="34"/>
        <v/>
      </c>
      <c r="AJ38" s="121" t="str">
        <f>IF('Cable Info'!L38="","",CONCATENATE('Cable Info'!L38," - ",'Cable Info'!M38))</f>
        <v>37 - AW</v>
      </c>
      <c r="AM38" s="121" t="str">
        <f t="shared" si="35"/>
        <v>37 - AW</v>
      </c>
      <c r="AO38" s="121" t="str">
        <f>IF('Cable Info'!N38="","",CONCATENATE('Cable Info'!N38," - ",'Cable Info'!O38))</f>
        <v>37 - AW</v>
      </c>
      <c r="AR38" s="121" t="str">
        <f t="shared" si="36"/>
        <v>37 - AW</v>
      </c>
      <c r="AT38" s="121" t="str">
        <f>IF('Cable Info'!P38="","",CONCATENATE('Cable Info'!P38," - ",'Cable Info'!Q38))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Info'!R38="","",CONCATENATE('Cable Info'!R38," - ",'Cable Info'!S38))</f>
        <v/>
      </c>
      <c r="BB38" s="121" t="str">
        <f t="shared" si="38"/>
        <v/>
      </c>
      <c r="BD38" s="121" t="str">
        <f>IF('Cable Info'!T38="","",CONCATENATE('Cable Info'!T38," - ",'Cable Info'!U38))</f>
        <v/>
      </c>
      <c r="BG38" s="121" t="str">
        <f t="shared" si="39"/>
        <v/>
      </c>
      <c r="BI38" s="121" t="str">
        <f>IF('Cable Info'!V38="","",CONCATENATE('Cable Info'!V38," - ",'Cable Info'!W38))</f>
        <v/>
      </c>
      <c r="BL38" s="121" t="str">
        <f t="shared" si="40"/>
        <v/>
      </c>
      <c r="CL38" s="250"/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59"/>
      <c r="F39" s="105" t="s">
        <v>45</v>
      </c>
      <c r="G39" s="262"/>
      <c r="H39" s="115" t="str">
        <f t="shared" si="29"/>
        <v/>
      </c>
      <c r="I39" s="264"/>
      <c r="J39" s="105" t="s">
        <v>45</v>
      </c>
      <c r="K39" s="267"/>
      <c r="L39" s="246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1" t="str">
        <f t="shared" si="31"/>
        <v/>
      </c>
      <c r="Z39" s="252" t="str">
        <f t="shared" si="32"/>
        <v/>
      </c>
      <c r="AA39" s="252" t="str">
        <f t="shared" si="33"/>
        <v/>
      </c>
      <c r="AB39" s="252" t="str">
        <f t="shared" si="34"/>
        <v/>
      </c>
      <c r="AJ39" s="121" t="str">
        <f>IF('Cable Info'!L39="","",CONCATENATE('Cable Info'!L39," - ",'Cable Info'!M39))</f>
        <v>38 - AW</v>
      </c>
      <c r="AM39" s="121" t="str">
        <f t="shared" si="35"/>
        <v>38 - AW</v>
      </c>
      <c r="AO39" s="121" t="str">
        <f>IF('Cable Info'!N39="","",CONCATENATE('Cable Info'!N39," - ",'Cable Info'!O39))</f>
        <v>38 - AW</v>
      </c>
      <c r="AR39" s="121" t="str">
        <f t="shared" si="36"/>
        <v>38 - AW</v>
      </c>
      <c r="AT39" s="121" t="str">
        <f>IF('Cable Info'!P39="","",CONCATENATE('Cable Info'!P39," - ",'Cable Info'!Q39))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Info'!R39="","",CONCATENATE('Cable Info'!R39," - ",'Cable Info'!S39))</f>
        <v/>
      </c>
      <c r="BB39" s="121" t="str">
        <f t="shared" si="38"/>
        <v/>
      </c>
      <c r="BD39" s="121" t="str">
        <f>IF('Cable Info'!T39="","",CONCATENATE('Cable Info'!T39," - ",'Cable Info'!U39))</f>
        <v/>
      </c>
      <c r="BG39" s="121" t="str">
        <f t="shared" si="39"/>
        <v/>
      </c>
      <c r="BI39" s="121" t="str">
        <f>IF('Cable Info'!V39="","",CONCATENATE('Cable Info'!V39," - ",'Cable Info'!W39))</f>
        <v/>
      </c>
      <c r="BL39" s="121" t="str">
        <f t="shared" si="40"/>
        <v/>
      </c>
      <c r="CL39" s="250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59"/>
      <c r="F40" s="105" t="s">
        <v>45</v>
      </c>
      <c r="G40" s="262"/>
      <c r="H40" s="115" t="str">
        <f t="shared" si="29"/>
        <v/>
      </c>
      <c r="I40" s="264"/>
      <c r="J40" s="105" t="s">
        <v>45</v>
      </c>
      <c r="K40" s="267"/>
      <c r="L40" s="246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1" t="str">
        <f t="shared" si="31"/>
        <v/>
      </c>
      <c r="Z40" s="252" t="str">
        <f t="shared" si="32"/>
        <v/>
      </c>
      <c r="AA40" s="252" t="str">
        <f t="shared" si="33"/>
        <v/>
      </c>
      <c r="AB40" s="252" t="str">
        <f t="shared" si="34"/>
        <v/>
      </c>
      <c r="AJ40" s="121" t="str">
        <f>IF('Cable Info'!L40="","",CONCATENATE('Cable Info'!L40," - ",'Cable Info'!M40))</f>
        <v>39 - AW</v>
      </c>
      <c r="AM40" s="121" t="str">
        <f t="shared" si="35"/>
        <v>39 - AW</v>
      </c>
      <c r="AO40" s="121" t="str">
        <f>IF('Cable Info'!N40="","",CONCATENATE('Cable Info'!N40," - ",'Cable Info'!O40))</f>
        <v>39 - AW</v>
      </c>
      <c r="AR40" s="121" t="str">
        <f t="shared" si="36"/>
        <v>39 - AW</v>
      </c>
      <c r="AT40" s="121" t="str">
        <f>IF('Cable Info'!P40="","",CONCATENATE('Cable Info'!P40," - ",'Cable Info'!Q40))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Info'!R40="","",CONCATENATE('Cable Info'!R40," - ",'Cable Info'!S40))</f>
        <v/>
      </c>
      <c r="BB40" s="121" t="str">
        <f t="shared" si="38"/>
        <v/>
      </c>
      <c r="BD40" s="121" t="str">
        <f>IF('Cable Info'!T40="","",CONCATENATE('Cable Info'!T40," - ",'Cable Info'!U40))</f>
        <v/>
      </c>
      <c r="BG40" s="121" t="str">
        <f t="shared" si="39"/>
        <v/>
      </c>
      <c r="BI40" s="121" t="str">
        <f>IF('Cable Info'!V40="","",CONCATENATE('Cable Info'!V40," - ",'Cable Info'!W40))</f>
        <v/>
      </c>
      <c r="BL40" s="121" t="str">
        <f t="shared" si="40"/>
        <v/>
      </c>
      <c r="CL40" s="250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59"/>
      <c r="F41" s="105" t="s">
        <v>45</v>
      </c>
      <c r="G41" s="262"/>
      <c r="H41" s="115" t="str">
        <f t="shared" si="29"/>
        <v/>
      </c>
      <c r="I41" s="264"/>
      <c r="J41" s="105" t="s">
        <v>45</v>
      </c>
      <c r="K41" s="267"/>
      <c r="L41" s="246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1" t="str">
        <f t="shared" si="31"/>
        <v/>
      </c>
      <c r="Z41" s="252" t="str">
        <f t="shared" si="32"/>
        <v/>
      </c>
      <c r="AA41" s="252" t="str">
        <f t="shared" si="33"/>
        <v/>
      </c>
      <c r="AB41" s="252" t="str">
        <f t="shared" si="34"/>
        <v/>
      </c>
      <c r="AJ41" s="121" t="str">
        <f>IF('Cable Info'!L41="","",CONCATENATE('Cable Info'!L41," - ",'Cable Info'!M41))</f>
        <v>40 - AW</v>
      </c>
      <c r="AM41" s="121" t="str">
        <f t="shared" si="35"/>
        <v>40 - AW</v>
      </c>
      <c r="AO41" s="121" t="str">
        <f>IF('Cable Info'!N41="","",CONCATENATE('Cable Info'!N41," - ",'Cable Info'!O41))</f>
        <v>40 - AW</v>
      </c>
      <c r="AR41" s="121" t="str">
        <f t="shared" si="36"/>
        <v>40 - AW</v>
      </c>
      <c r="AT41" s="121" t="str">
        <f>IF('Cable Info'!P41="","",CONCATENATE('Cable Info'!P41," - ",'Cable Info'!Q41))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Info'!R41="","",CONCATENATE('Cable Info'!R41," - ",'Cable Info'!S41))</f>
        <v/>
      </c>
      <c r="BB41" s="121" t="str">
        <f t="shared" si="38"/>
        <v/>
      </c>
      <c r="BD41" s="121" t="str">
        <f>IF('Cable Info'!T41="","",CONCATENATE('Cable Info'!T41," - ",'Cable Info'!U41))</f>
        <v/>
      </c>
      <c r="BG41" s="121" t="str">
        <f t="shared" si="39"/>
        <v/>
      </c>
      <c r="BI41" s="121" t="str">
        <f>IF('Cable Info'!V41="","",CONCATENATE('Cable Info'!V41," - ",'Cable Info'!W41))</f>
        <v/>
      </c>
      <c r="BL41" s="121" t="str">
        <f t="shared" si="40"/>
        <v/>
      </c>
      <c r="CL41" s="250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59"/>
      <c r="F42" s="105" t="s">
        <v>45</v>
      </c>
      <c r="G42" s="262"/>
      <c r="H42" s="115" t="str">
        <f t="shared" si="29"/>
        <v/>
      </c>
      <c r="I42" s="264"/>
      <c r="J42" s="105" t="s">
        <v>45</v>
      </c>
      <c r="K42" s="267"/>
      <c r="L42" s="246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1" t="str">
        <f t="shared" si="31"/>
        <v/>
      </c>
      <c r="Z42" s="252" t="str">
        <f t="shared" si="32"/>
        <v/>
      </c>
      <c r="AA42" s="252" t="str">
        <f t="shared" si="33"/>
        <v/>
      </c>
      <c r="AB42" s="252" t="str">
        <f t="shared" si="34"/>
        <v/>
      </c>
      <c r="AJ42" s="121" t="str">
        <f>IF('Cable Info'!L42="","",CONCATENATE('Cable Info'!L42," - ",'Cable Info'!M42))</f>
        <v>41 - AW</v>
      </c>
      <c r="AM42" s="121" t="str">
        <f t="shared" si="35"/>
        <v>41 - AW</v>
      </c>
      <c r="AO42" s="121" t="str">
        <f>IF('Cable Info'!N42="","",CONCATENATE('Cable Info'!N42," - ",'Cable Info'!O42))</f>
        <v>41 - AW</v>
      </c>
      <c r="AR42" s="121" t="str">
        <f t="shared" si="36"/>
        <v>41 - AW</v>
      </c>
      <c r="AT42" s="121" t="str">
        <f>IF('Cable Info'!P42="","",CONCATENATE('Cable Info'!P42," - ",'Cable Info'!Q42))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Info'!R42="","",CONCATENATE('Cable Info'!R42," - ",'Cable Info'!S42))</f>
        <v/>
      </c>
      <c r="BB42" s="121" t="str">
        <f t="shared" si="38"/>
        <v/>
      </c>
      <c r="BD42" s="121" t="str">
        <f>IF('Cable Info'!T42="","",CONCATENATE('Cable Info'!T42," - ",'Cable Info'!U42))</f>
        <v/>
      </c>
      <c r="BG42" s="121" t="str">
        <f t="shared" si="39"/>
        <v/>
      </c>
      <c r="BI42" s="121" t="str">
        <f>IF('Cable Info'!V42="","",CONCATENATE('Cable Info'!V42," - ",'Cable Info'!W42))</f>
        <v/>
      </c>
      <c r="BL42" s="121" t="str">
        <f t="shared" si="40"/>
        <v/>
      </c>
      <c r="CL42" s="250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59"/>
      <c r="F43" s="105" t="s">
        <v>45</v>
      </c>
      <c r="G43" s="262"/>
      <c r="H43" s="115" t="str">
        <f t="shared" si="29"/>
        <v/>
      </c>
      <c r="I43" s="264"/>
      <c r="J43" s="105" t="s">
        <v>45</v>
      </c>
      <c r="K43" s="267"/>
      <c r="L43" s="246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1" t="str">
        <f t="shared" si="31"/>
        <v/>
      </c>
      <c r="Z43" s="252" t="str">
        <f t="shared" si="32"/>
        <v/>
      </c>
      <c r="AA43" s="252" t="str">
        <f t="shared" si="33"/>
        <v/>
      </c>
      <c r="AB43" s="252" t="str">
        <f t="shared" si="34"/>
        <v/>
      </c>
      <c r="AJ43" s="121" t="str">
        <f>IF('Cable Info'!L43="","",CONCATENATE('Cable Info'!L43," - ",'Cable Info'!M43))</f>
        <v>42 - AW</v>
      </c>
      <c r="AM43" s="121" t="str">
        <f t="shared" si="35"/>
        <v>42 - AW</v>
      </c>
      <c r="AO43" s="121" t="str">
        <f>IF('Cable Info'!N43="","",CONCATENATE('Cable Info'!N43," - ",'Cable Info'!O43))</f>
        <v>42 - AW</v>
      </c>
      <c r="AR43" s="121" t="str">
        <f t="shared" si="36"/>
        <v>42 - AW</v>
      </c>
      <c r="AT43" s="121" t="str">
        <f>IF('Cable Info'!P43="","",CONCATENATE('Cable Info'!P43," - ",'Cable Info'!Q43))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Info'!R43="","",CONCATENATE('Cable Info'!R43," - ",'Cable Info'!S43))</f>
        <v/>
      </c>
      <c r="BB43" s="121" t="str">
        <f t="shared" si="38"/>
        <v/>
      </c>
      <c r="BD43" s="121" t="str">
        <f>IF('Cable Info'!T43="","",CONCATENATE('Cable Info'!T43," - ",'Cable Info'!U43))</f>
        <v/>
      </c>
      <c r="BG43" s="121" t="str">
        <f t="shared" si="39"/>
        <v/>
      </c>
      <c r="BI43" s="121" t="str">
        <f>IF('Cable Info'!V43="","",CONCATENATE('Cable Info'!V43," - ",'Cable Info'!W43))</f>
        <v/>
      </c>
      <c r="BL43" s="121" t="str">
        <f t="shared" si="40"/>
        <v/>
      </c>
      <c r="CL43" s="250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59"/>
      <c r="F44" s="105" t="s">
        <v>45</v>
      </c>
      <c r="G44" s="262"/>
      <c r="H44" s="115" t="str">
        <f t="shared" si="29"/>
        <v/>
      </c>
      <c r="I44" s="264"/>
      <c r="J44" s="105" t="s">
        <v>45</v>
      </c>
      <c r="K44" s="267"/>
      <c r="L44" s="246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1" t="str">
        <f t="shared" si="31"/>
        <v/>
      </c>
      <c r="Z44" s="252" t="str">
        <f t="shared" si="32"/>
        <v/>
      </c>
      <c r="AA44" s="252" t="str">
        <f t="shared" si="33"/>
        <v/>
      </c>
      <c r="AB44" s="252" t="str">
        <f t="shared" si="34"/>
        <v/>
      </c>
      <c r="AJ44" s="121" t="str">
        <f>IF('Cable Info'!L44="","",CONCATENATE('Cable Info'!L44," - ",'Cable Info'!M44))</f>
        <v>43 - AW</v>
      </c>
      <c r="AM44" s="121" t="str">
        <f t="shared" si="35"/>
        <v>43 - AW</v>
      </c>
      <c r="AO44" s="121" t="str">
        <f>IF('Cable Info'!N44="","",CONCATENATE('Cable Info'!N44," - ",'Cable Info'!O44))</f>
        <v>43 - AW</v>
      </c>
      <c r="AR44" s="121" t="str">
        <f t="shared" si="36"/>
        <v>43 - AW</v>
      </c>
      <c r="AT44" s="121" t="str">
        <f>IF('Cable Info'!P44="","",CONCATENATE('Cable Info'!P44," - ",'Cable Info'!Q44))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Info'!R44="","",CONCATENATE('Cable Info'!R44," - ",'Cable Info'!S44))</f>
        <v/>
      </c>
      <c r="BB44" s="121" t="str">
        <f t="shared" si="38"/>
        <v/>
      </c>
      <c r="BD44" s="121" t="str">
        <f>IF('Cable Info'!T44="","",CONCATENATE('Cable Info'!T44," - ",'Cable Info'!U44))</f>
        <v/>
      </c>
      <c r="BG44" s="121" t="str">
        <f t="shared" si="39"/>
        <v/>
      </c>
      <c r="BI44" s="121" t="str">
        <f>IF('Cable Info'!V44="","",CONCATENATE('Cable Info'!V44," - ",'Cable Info'!W44))</f>
        <v/>
      </c>
      <c r="BL44" s="121" t="str">
        <f t="shared" si="40"/>
        <v/>
      </c>
      <c r="CL44" s="250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59"/>
      <c r="F45" s="105" t="s">
        <v>45</v>
      </c>
      <c r="G45" s="262"/>
      <c r="H45" s="115" t="str">
        <f t="shared" si="29"/>
        <v/>
      </c>
      <c r="I45" s="264"/>
      <c r="J45" s="105" t="s">
        <v>45</v>
      </c>
      <c r="K45" s="267"/>
      <c r="L45" s="246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1" t="str">
        <f t="shared" si="31"/>
        <v/>
      </c>
      <c r="Z45" s="252" t="str">
        <f t="shared" si="32"/>
        <v/>
      </c>
      <c r="AA45" s="252" t="str">
        <f t="shared" si="33"/>
        <v/>
      </c>
      <c r="AB45" s="252" t="str">
        <f t="shared" si="34"/>
        <v/>
      </c>
      <c r="AJ45" s="121" t="str">
        <f>IF('Cable Info'!L45="","",CONCATENATE('Cable Info'!L45," - ",'Cable Info'!M45))</f>
        <v>44 - AW</v>
      </c>
      <c r="AM45" s="121" t="str">
        <f t="shared" si="35"/>
        <v>44 - AW</v>
      </c>
      <c r="AO45" s="121" t="str">
        <f>IF('Cable Info'!N45="","",CONCATENATE('Cable Info'!N45," - ",'Cable Info'!O45))</f>
        <v>44 - AW</v>
      </c>
      <c r="AR45" s="121" t="str">
        <f t="shared" si="36"/>
        <v>44 - AW</v>
      </c>
      <c r="AT45" s="121" t="str">
        <f>IF('Cable Info'!P45="","",CONCATENATE('Cable Info'!P45," - ",'Cable Info'!Q45))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Info'!R45="","",CONCATENATE('Cable Info'!R45," - ",'Cable Info'!S45))</f>
        <v/>
      </c>
      <c r="BB45" s="121" t="str">
        <f t="shared" si="38"/>
        <v/>
      </c>
      <c r="BD45" s="121" t="str">
        <f>IF('Cable Info'!T45="","",CONCATENATE('Cable Info'!T45," - ",'Cable Info'!U45))</f>
        <v/>
      </c>
      <c r="BG45" s="121" t="str">
        <f t="shared" si="39"/>
        <v/>
      </c>
      <c r="BI45" s="121" t="str">
        <f>IF('Cable Info'!V45="","",CONCATENATE('Cable Info'!V45," - ",'Cable Info'!W45))</f>
        <v/>
      </c>
      <c r="BL45" s="121" t="str">
        <f t="shared" si="40"/>
        <v/>
      </c>
      <c r="CL45" s="250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59"/>
      <c r="F46" s="105" t="s">
        <v>45</v>
      </c>
      <c r="G46" s="262"/>
      <c r="H46" s="115" t="str">
        <f t="shared" si="29"/>
        <v/>
      </c>
      <c r="I46" s="264"/>
      <c r="J46" s="105" t="s">
        <v>45</v>
      </c>
      <c r="K46" s="267"/>
      <c r="L46" s="246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1" t="str">
        <f t="shared" si="31"/>
        <v/>
      </c>
      <c r="Z46" s="252" t="str">
        <f t="shared" si="32"/>
        <v/>
      </c>
      <c r="AA46" s="252" t="str">
        <f t="shared" si="33"/>
        <v/>
      </c>
      <c r="AB46" s="252" t="str">
        <f t="shared" si="34"/>
        <v/>
      </c>
      <c r="AJ46" s="121" t="str">
        <f>IF('Cable Info'!L46="","",CONCATENATE('Cable Info'!L46," - ",'Cable Info'!M46))</f>
        <v>45 - AW</v>
      </c>
      <c r="AM46" s="121" t="str">
        <f t="shared" si="35"/>
        <v>45 - AW</v>
      </c>
      <c r="AO46" s="121" t="str">
        <f>IF('Cable Info'!N46="","",CONCATENATE('Cable Info'!N46," - ",'Cable Info'!O46))</f>
        <v>45 - AW</v>
      </c>
      <c r="AR46" s="121" t="str">
        <f t="shared" si="36"/>
        <v>45 - AW</v>
      </c>
      <c r="AT46" s="121" t="str">
        <f>IF('Cable Info'!P46="","",CONCATENATE('Cable Info'!P46," - ",'Cable Info'!Q46))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Info'!R46="","",CONCATENATE('Cable Info'!R46," - ",'Cable Info'!S46))</f>
        <v/>
      </c>
      <c r="BB46" s="121" t="str">
        <f t="shared" si="38"/>
        <v/>
      </c>
      <c r="BD46" s="121" t="str">
        <f>IF('Cable Info'!T46="","",CONCATENATE('Cable Info'!T46," - ",'Cable Info'!U46))</f>
        <v/>
      </c>
      <c r="BG46" s="121" t="str">
        <f t="shared" si="39"/>
        <v/>
      </c>
      <c r="BI46" s="121" t="str">
        <f>IF('Cable Info'!V46="","",CONCATENATE('Cable Info'!V46," - ",'Cable Info'!W46))</f>
        <v/>
      </c>
      <c r="BL46" s="121" t="str">
        <f t="shared" si="40"/>
        <v/>
      </c>
      <c r="CL46" s="250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59"/>
      <c r="F47" s="105" t="s">
        <v>45</v>
      </c>
      <c r="G47" s="262"/>
      <c r="H47" s="115" t="str">
        <f t="shared" si="29"/>
        <v/>
      </c>
      <c r="I47" s="264"/>
      <c r="J47" s="105" t="s">
        <v>45</v>
      </c>
      <c r="K47" s="267"/>
      <c r="L47" s="246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1" t="str">
        <f t="shared" si="31"/>
        <v/>
      </c>
      <c r="Z47" s="252" t="str">
        <f t="shared" si="32"/>
        <v/>
      </c>
      <c r="AA47" s="252" t="str">
        <f t="shared" si="33"/>
        <v/>
      </c>
      <c r="AB47" s="252" t="str">
        <f t="shared" si="34"/>
        <v/>
      </c>
      <c r="AJ47" s="121" t="str">
        <f>IF('Cable Info'!L47="","",CONCATENATE('Cable Info'!L47," - ",'Cable Info'!M47))</f>
        <v>46 - AW</v>
      </c>
      <c r="AM47" s="121" t="str">
        <f t="shared" si="35"/>
        <v>46 - AW</v>
      </c>
      <c r="AO47" s="121" t="str">
        <f>IF('Cable Info'!N47="","",CONCATENATE('Cable Info'!N47," - ",'Cable Info'!O47))</f>
        <v>46 - AW</v>
      </c>
      <c r="AR47" s="121" t="str">
        <f t="shared" si="36"/>
        <v>46 - AW</v>
      </c>
      <c r="AT47" s="121" t="str">
        <f>IF('Cable Info'!P47="","",CONCATENATE('Cable Info'!P47," - ",'Cable Info'!Q47))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Info'!R47="","",CONCATENATE('Cable Info'!R47," - ",'Cable Info'!S47))</f>
        <v/>
      </c>
      <c r="BB47" s="121" t="str">
        <f t="shared" si="38"/>
        <v/>
      </c>
      <c r="BD47" s="121" t="str">
        <f>IF('Cable Info'!T47="","",CONCATENATE('Cable Info'!T47," - ",'Cable Info'!U47))</f>
        <v/>
      </c>
      <c r="BG47" s="121" t="str">
        <f t="shared" si="39"/>
        <v/>
      </c>
      <c r="BI47" s="121" t="str">
        <f>IF('Cable Info'!V47="","",CONCATENATE('Cable Info'!V47," - ",'Cable Info'!W47))</f>
        <v/>
      </c>
      <c r="BL47" s="121" t="str">
        <f t="shared" si="40"/>
        <v/>
      </c>
      <c r="CL47" s="250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59"/>
      <c r="F48" s="105" t="s">
        <v>45</v>
      </c>
      <c r="G48" s="262"/>
      <c r="H48" s="115" t="str">
        <f t="shared" si="29"/>
        <v/>
      </c>
      <c r="I48" s="264"/>
      <c r="J48" s="105" t="s">
        <v>45</v>
      </c>
      <c r="K48" s="267"/>
      <c r="L48" s="246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1" t="str">
        <f t="shared" si="31"/>
        <v/>
      </c>
      <c r="Z48" s="252" t="str">
        <f t="shared" si="32"/>
        <v/>
      </c>
      <c r="AA48" s="252" t="str">
        <f t="shared" si="33"/>
        <v/>
      </c>
      <c r="AB48" s="252" t="str">
        <f t="shared" si="34"/>
        <v/>
      </c>
      <c r="AJ48" s="121" t="str">
        <f>IF('Cable Info'!L48="","",CONCATENATE('Cable Info'!L48," - ",'Cable Info'!M48))</f>
        <v>47 - AW</v>
      </c>
      <c r="AM48" s="121" t="str">
        <f t="shared" si="35"/>
        <v>47 - AW</v>
      </c>
      <c r="AO48" s="121" t="str">
        <f>IF('Cable Info'!N48="","",CONCATENATE('Cable Info'!N48," - ",'Cable Info'!O48))</f>
        <v>47 - AW</v>
      </c>
      <c r="AR48" s="121" t="str">
        <f t="shared" si="36"/>
        <v>47 - AW</v>
      </c>
      <c r="AT48" s="121" t="str">
        <f>IF('Cable Info'!P48="","",CONCATENATE('Cable Info'!P48," - ",'Cable Info'!Q48))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Info'!R48="","",CONCATENATE('Cable Info'!R48," - ",'Cable Info'!S48))</f>
        <v/>
      </c>
      <c r="BB48" s="121" t="str">
        <f t="shared" si="38"/>
        <v/>
      </c>
      <c r="BD48" s="121" t="str">
        <f>IF('Cable Info'!T48="","",CONCATENATE('Cable Info'!T48," - ",'Cable Info'!U48))</f>
        <v/>
      </c>
      <c r="BG48" s="121" t="str">
        <f t="shared" si="39"/>
        <v/>
      </c>
      <c r="BI48" s="121" t="str">
        <f>IF('Cable Info'!V48="","",CONCATENATE('Cable Info'!V48," - ",'Cable Info'!W48))</f>
        <v/>
      </c>
      <c r="BL48" s="121" t="str">
        <f t="shared" si="40"/>
        <v/>
      </c>
      <c r="CL48" s="250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59"/>
      <c r="F49" s="105" t="s">
        <v>45</v>
      </c>
      <c r="G49" s="262"/>
      <c r="H49" s="115" t="str">
        <f t="shared" si="29"/>
        <v/>
      </c>
      <c r="I49" s="264"/>
      <c r="J49" s="105" t="s">
        <v>45</v>
      </c>
      <c r="K49" s="267"/>
      <c r="L49" s="246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1" t="str">
        <f t="shared" si="31"/>
        <v/>
      </c>
      <c r="Z49" s="252" t="str">
        <f t="shared" si="32"/>
        <v/>
      </c>
      <c r="AA49" s="252" t="str">
        <f t="shared" si="33"/>
        <v/>
      </c>
      <c r="AB49" s="252" t="str">
        <f t="shared" si="34"/>
        <v/>
      </c>
      <c r="AJ49" s="121" t="str">
        <f>IF('Cable Info'!L49="","",CONCATENATE('Cable Info'!L49," - ",'Cable Info'!M49))</f>
        <v>48 - AW</v>
      </c>
      <c r="AM49" s="121" t="str">
        <f t="shared" si="35"/>
        <v>48 - AW</v>
      </c>
      <c r="AO49" s="121" t="str">
        <f>IF('Cable Info'!N49="","",CONCATENATE('Cable Info'!N49," - ",'Cable Info'!O49))</f>
        <v>48 - AW</v>
      </c>
      <c r="AR49" s="121" t="str">
        <f t="shared" si="36"/>
        <v>48 - AW</v>
      </c>
      <c r="AT49" s="121" t="str">
        <f>IF('Cable Info'!P49="","",CONCATENATE('Cable Info'!P49," - ",'Cable Info'!Q49))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Info'!R49="","",CONCATENATE('Cable Info'!R49," - ",'Cable Info'!S49))</f>
        <v/>
      </c>
      <c r="BB49" s="121" t="str">
        <f t="shared" si="38"/>
        <v/>
      </c>
      <c r="BD49" s="121" t="str">
        <f>IF('Cable Info'!T49="","",CONCATENATE('Cable Info'!T49," - ",'Cable Info'!U49))</f>
        <v/>
      </c>
      <c r="BG49" s="121" t="str">
        <f t="shared" si="39"/>
        <v/>
      </c>
      <c r="BI49" s="121" t="str">
        <f>IF('Cable Info'!V49="","",CONCATENATE('Cable Info'!V49," - ",'Cable Info'!W49))</f>
        <v/>
      </c>
      <c r="BL49" s="121" t="str">
        <f t="shared" si="40"/>
        <v/>
      </c>
      <c r="CL49" s="250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59"/>
      <c r="F50" s="105" t="s">
        <v>45</v>
      </c>
      <c r="G50" s="262"/>
      <c r="H50" s="115" t="str">
        <f t="shared" si="29"/>
        <v/>
      </c>
      <c r="I50" s="264"/>
      <c r="J50" s="105" t="s">
        <v>45</v>
      </c>
      <c r="K50" s="267"/>
      <c r="L50" s="246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1" t="str">
        <f t="shared" si="31"/>
        <v/>
      </c>
      <c r="Z50" s="252" t="str">
        <f t="shared" si="32"/>
        <v/>
      </c>
      <c r="AA50" s="252" t="str">
        <f t="shared" si="33"/>
        <v/>
      </c>
      <c r="AB50" s="252" t="str">
        <f t="shared" si="34"/>
        <v/>
      </c>
      <c r="AJ50" s="121" t="str">
        <f>IF('Cable Info'!L50="","",CONCATENATE('Cable Info'!L50," - ",'Cable Info'!M50))</f>
        <v>49 - AW</v>
      </c>
      <c r="AM50" s="121" t="str">
        <f t="shared" si="35"/>
        <v>49 - AW</v>
      </c>
      <c r="AO50" s="121" t="str">
        <f>IF('Cable Info'!N50="","",CONCATENATE('Cable Info'!N50," - ",'Cable Info'!O50))</f>
        <v>49 - AW</v>
      </c>
      <c r="AR50" s="121" t="str">
        <f t="shared" si="36"/>
        <v>49 - AW</v>
      </c>
      <c r="AT50" s="121" t="str">
        <f>IF('Cable Info'!P50="","",CONCATENATE('Cable Info'!P50," - ",'Cable Info'!Q50))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Info'!R50="","",CONCATENATE('Cable Info'!R50," - ",'Cable Info'!S50))</f>
        <v/>
      </c>
      <c r="BB50" s="121" t="str">
        <f t="shared" si="38"/>
        <v/>
      </c>
      <c r="BD50" s="121" t="str">
        <f>IF('Cable Info'!T50="","",CONCATENATE('Cable Info'!T50," - ",'Cable Info'!U50))</f>
        <v/>
      </c>
      <c r="BG50" s="121" t="str">
        <f t="shared" si="39"/>
        <v/>
      </c>
      <c r="BI50" s="121" t="str">
        <f>IF('Cable Info'!V50="","",CONCATENATE('Cable Info'!V50," - ",'Cable Info'!W50))</f>
        <v/>
      </c>
      <c r="BL50" s="121" t="str">
        <f t="shared" si="40"/>
        <v/>
      </c>
      <c r="CL50" s="250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59"/>
      <c r="F51" s="105" t="s">
        <v>45</v>
      </c>
      <c r="G51" s="262"/>
      <c r="H51" s="115" t="str">
        <f t="shared" si="29"/>
        <v/>
      </c>
      <c r="I51" s="264"/>
      <c r="J51" s="105" t="s">
        <v>45</v>
      </c>
      <c r="K51" s="267"/>
      <c r="L51" s="246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1" t="str">
        <f t="shared" si="31"/>
        <v/>
      </c>
      <c r="Z51" s="252" t="str">
        <f t="shared" si="32"/>
        <v/>
      </c>
      <c r="AA51" s="252" t="str">
        <f t="shared" si="33"/>
        <v/>
      </c>
      <c r="AB51" s="252" t="str">
        <f t="shared" si="34"/>
        <v/>
      </c>
      <c r="AJ51" s="121" t="str">
        <f>IF('Cable Info'!L51="","",CONCATENATE('Cable Info'!L51," - ",'Cable Info'!M51))</f>
        <v>50 - AW</v>
      </c>
      <c r="AM51" s="121" t="str">
        <f t="shared" si="35"/>
        <v>50 - AW</v>
      </c>
      <c r="AO51" s="121" t="str">
        <f>IF('Cable Info'!N51="","",CONCATENATE('Cable Info'!N51," - ",'Cable Info'!O51))</f>
        <v>50 - AW</v>
      </c>
      <c r="AR51" s="121" t="str">
        <f t="shared" si="36"/>
        <v>50 - AW</v>
      </c>
      <c r="AT51" s="121" t="str">
        <f>IF('Cable Info'!P51="","",CONCATENATE('Cable Info'!P51," - ",'Cable Info'!Q51))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Info'!R51="","",CONCATENATE('Cable Info'!R51," - ",'Cable Info'!S51))</f>
        <v/>
      </c>
      <c r="BB51" s="121" t="str">
        <f t="shared" si="38"/>
        <v/>
      </c>
      <c r="BD51" s="121" t="str">
        <f>IF('Cable Info'!T51="","",CONCATENATE('Cable Info'!T51," - ",'Cable Info'!U51))</f>
        <v/>
      </c>
      <c r="BG51" s="121" t="str">
        <f t="shared" si="39"/>
        <v/>
      </c>
      <c r="BI51" s="121" t="str">
        <f>IF('Cable Info'!V51="","",CONCATENATE('Cable Info'!V51," - ",'Cable Info'!W51))</f>
        <v/>
      </c>
      <c r="BL51" s="121" t="str">
        <f t="shared" si="40"/>
        <v/>
      </c>
      <c r="CL51" s="250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59"/>
      <c r="F52" s="105" t="s">
        <v>45</v>
      </c>
      <c r="G52" s="262"/>
      <c r="H52" s="115" t="str">
        <f t="shared" si="29"/>
        <v/>
      </c>
      <c r="I52" s="264"/>
      <c r="J52" s="105" t="s">
        <v>45</v>
      </c>
      <c r="K52" s="267"/>
      <c r="L52" s="246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1" t="str">
        <f t="shared" si="31"/>
        <v/>
      </c>
      <c r="Z52" s="252" t="str">
        <f t="shared" si="32"/>
        <v/>
      </c>
      <c r="AA52" s="252" t="str">
        <f t="shared" si="33"/>
        <v/>
      </c>
      <c r="AB52" s="252" t="str">
        <f t="shared" si="34"/>
        <v/>
      </c>
      <c r="AJ52" s="121" t="str">
        <f>IF('Cable Info'!L52="","",CONCATENATE('Cable Info'!L52," - ",'Cable Info'!M52))</f>
        <v>51 - AW</v>
      </c>
      <c r="AM52" s="121" t="str">
        <f t="shared" si="35"/>
        <v>51 - AW</v>
      </c>
      <c r="AO52" s="121" t="str">
        <f>IF('Cable Info'!N52="","",CONCATENATE('Cable Info'!N52," - ",'Cable Info'!O52))</f>
        <v>51 - AW</v>
      </c>
      <c r="AR52" s="121" t="str">
        <f t="shared" si="36"/>
        <v>51 - AW</v>
      </c>
      <c r="AT52" s="121" t="str">
        <f>IF('Cable Info'!P52="","",CONCATENATE('Cable Info'!P52," - ",'Cable Info'!Q52))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Info'!R52="","",CONCATENATE('Cable Info'!R52," - ",'Cable Info'!S52))</f>
        <v/>
      </c>
      <c r="BB52" s="121" t="str">
        <f t="shared" si="38"/>
        <v/>
      </c>
      <c r="BD52" s="121" t="str">
        <f>IF('Cable Info'!T52="","",CONCATENATE('Cable Info'!T52," - ",'Cable Info'!U52))</f>
        <v/>
      </c>
      <c r="BG52" s="121" t="str">
        <f t="shared" si="39"/>
        <v/>
      </c>
      <c r="BI52" s="121" t="str">
        <f>IF('Cable Info'!V52="","",CONCATENATE('Cable Info'!V52," - ",'Cable Info'!W52))</f>
        <v/>
      </c>
      <c r="BL52" s="121" t="str">
        <f t="shared" si="40"/>
        <v/>
      </c>
      <c r="CL52" s="250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59"/>
      <c r="F53" s="105" t="s">
        <v>45</v>
      </c>
      <c r="G53" s="262"/>
      <c r="H53" s="115" t="str">
        <f t="shared" si="29"/>
        <v/>
      </c>
      <c r="I53" s="264"/>
      <c r="J53" s="105" t="s">
        <v>45</v>
      </c>
      <c r="K53" s="267"/>
      <c r="L53" s="246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1" t="str">
        <f t="shared" si="31"/>
        <v/>
      </c>
      <c r="Z53" s="252" t="str">
        <f t="shared" si="32"/>
        <v/>
      </c>
      <c r="AA53" s="252" t="str">
        <f t="shared" si="33"/>
        <v/>
      </c>
      <c r="AB53" s="252" t="str">
        <f t="shared" si="34"/>
        <v/>
      </c>
      <c r="AJ53" s="121" t="str">
        <f>IF('Cable Info'!L53="","",CONCATENATE('Cable Info'!L53," - ",'Cable Info'!M53))</f>
        <v>52 - AW</v>
      </c>
      <c r="AM53" s="121" t="str">
        <f t="shared" si="35"/>
        <v>52 - AW</v>
      </c>
      <c r="AO53" s="121" t="str">
        <f>IF('Cable Info'!N53="","",CONCATENATE('Cable Info'!N53," - ",'Cable Info'!O53))</f>
        <v>52 - AW</v>
      </c>
      <c r="AR53" s="121" t="str">
        <f t="shared" si="36"/>
        <v>52 - AW</v>
      </c>
      <c r="AT53" s="121" t="str">
        <f>IF('Cable Info'!P53="","",CONCATENATE('Cable Info'!P53," - ",'Cable Info'!Q53))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Info'!R53="","",CONCATENATE('Cable Info'!R53," - ",'Cable Info'!S53))</f>
        <v/>
      </c>
      <c r="BB53" s="121" t="str">
        <f t="shared" si="38"/>
        <v/>
      </c>
      <c r="BD53" s="121" t="str">
        <f>IF('Cable Info'!T53="","",CONCATENATE('Cable Info'!T53," - ",'Cable Info'!U53))</f>
        <v/>
      </c>
      <c r="BG53" s="121" t="str">
        <f t="shared" si="39"/>
        <v/>
      </c>
      <c r="BI53" s="121" t="str">
        <f>IF('Cable Info'!V53="","",CONCATENATE('Cable Info'!V53," - ",'Cable Info'!W53))</f>
        <v/>
      </c>
      <c r="BL53" s="121" t="str">
        <f t="shared" si="40"/>
        <v/>
      </c>
      <c r="CL53" s="250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59"/>
      <c r="F54" s="105" t="s">
        <v>45</v>
      </c>
      <c r="G54" s="262"/>
      <c r="H54" s="115" t="str">
        <f t="shared" si="29"/>
        <v/>
      </c>
      <c r="I54" s="264"/>
      <c r="J54" s="105" t="s">
        <v>45</v>
      </c>
      <c r="K54" s="267"/>
      <c r="L54" s="246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1" t="str">
        <f t="shared" si="31"/>
        <v/>
      </c>
      <c r="Z54" s="252" t="str">
        <f t="shared" si="32"/>
        <v/>
      </c>
      <c r="AA54" s="252" t="str">
        <f t="shared" si="33"/>
        <v/>
      </c>
      <c r="AB54" s="252" t="str">
        <f t="shared" si="34"/>
        <v/>
      </c>
      <c r="AJ54" s="121" t="str">
        <f>IF('Cable Info'!L54="","",CONCATENATE('Cable Info'!L54," - ",'Cable Info'!M54))</f>
        <v>53 - AW</v>
      </c>
      <c r="AM54" s="121" t="str">
        <f t="shared" si="35"/>
        <v>53 - AW</v>
      </c>
      <c r="AO54" s="121" t="str">
        <f>IF('Cable Info'!N54="","",CONCATENATE('Cable Info'!N54," - ",'Cable Info'!O54))</f>
        <v>53 - AW</v>
      </c>
      <c r="AR54" s="121" t="str">
        <f t="shared" si="36"/>
        <v>53 - AW</v>
      </c>
      <c r="AT54" s="121" t="str">
        <f>IF('Cable Info'!P54="","",CONCATENATE('Cable Info'!P54," - ",'Cable Info'!Q54))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Info'!R54="","",CONCATENATE('Cable Info'!R54," - ",'Cable Info'!S54))</f>
        <v/>
      </c>
      <c r="BB54" s="121" t="str">
        <f t="shared" si="38"/>
        <v/>
      </c>
      <c r="BD54" s="121" t="str">
        <f>IF('Cable Info'!T54="","",CONCATENATE('Cable Info'!T54," - ",'Cable Info'!U54))</f>
        <v/>
      </c>
      <c r="BG54" s="121" t="str">
        <f t="shared" si="39"/>
        <v/>
      </c>
      <c r="BI54" s="121" t="str">
        <f>IF('Cable Info'!V54="","",CONCATENATE('Cable Info'!V54," - ",'Cable Info'!W54))</f>
        <v/>
      </c>
      <c r="BL54" s="121" t="str">
        <f t="shared" si="40"/>
        <v/>
      </c>
      <c r="CL54" s="250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59"/>
      <c r="F55" s="105" t="s">
        <v>45</v>
      </c>
      <c r="G55" s="262"/>
      <c r="H55" s="115" t="str">
        <f t="shared" si="29"/>
        <v/>
      </c>
      <c r="I55" s="264"/>
      <c r="J55" s="105" t="s">
        <v>45</v>
      </c>
      <c r="K55" s="267"/>
      <c r="L55" s="246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1" t="str">
        <f t="shared" si="31"/>
        <v/>
      </c>
      <c r="Z55" s="252" t="str">
        <f t="shared" si="32"/>
        <v/>
      </c>
      <c r="AA55" s="252" t="str">
        <f t="shared" si="33"/>
        <v/>
      </c>
      <c r="AB55" s="252" t="str">
        <f t="shared" si="34"/>
        <v/>
      </c>
      <c r="AJ55" s="121" t="str">
        <f>IF('Cable Info'!L55="","",CONCATENATE('Cable Info'!L55," - ",'Cable Info'!M55))</f>
        <v>54 - AW</v>
      </c>
      <c r="AM55" s="121" t="str">
        <f t="shared" si="35"/>
        <v>54 - AW</v>
      </c>
      <c r="AO55" s="121" t="str">
        <f>IF('Cable Info'!N55="","",CONCATENATE('Cable Info'!N55," - ",'Cable Info'!O55))</f>
        <v>54 - AW</v>
      </c>
      <c r="AR55" s="121" t="str">
        <f t="shared" si="36"/>
        <v>54 - AW</v>
      </c>
      <c r="AT55" s="121" t="str">
        <f>IF('Cable Info'!P55="","",CONCATENATE('Cable Info'!P55," - ",'Cable Info'!Q55))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Info'!R55="","",CONCATENATE('Cable Info'!R55," - ",'Cable Info'!S55))</f>
        <v/>
      </c>
      <c r="BB55" s="121" t="str">
        <f t="shared" si="38"/>
        <v/>
      </c>
      <c r="BD55" s="121" t="str">
        <f>IF('Cable Info'!T55="","",CONCATENATE('Cable Info'!T55," - ",'Cable Info'!U55))</f>
        <v/>
      </c>
      <c r="BG55" s="121" t="str">
        <f t="shared" si="39"/>
        <v/>
      </c>
      <c r="BI55" s="121" t="str">
        <f>IF('Cable Info'!V55="","",CONCATENATE('Cable Info'!V55," - ",'Cable Info'!W55))</f>
        <v/>
      </c>
      <c r="BL55" s="121" t="str">
        <f t="shared" si="40"/>
        <v/>
      </c>
      <c r="CL55" s="250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59"/>
      <c r="F56" s="105" t="s">
        <v>45</v>
      </c>
      <c r="G56" s="262"/>
      <c r="H56" s="115" t="str">
        <f t="shared" si="29"/>
        <v/>
      </c>
      <c r="I56" s="264"/>
      <c r="J56" s="105" t="s">
        <v>45</v>
      </c>
      <c r="K56" s="267"/>
      <c r="L56" s="246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1" t="str">
        <f t="shared" si="31"/>
        <v/>
      </c>
      <c r="Z56" s="252" t="str">
        <f t="shared" si="32"/>
        <v/>
      </c>
      <c r="AA56" s="252" t="str">
        <f t="shared" si="33"/>
        <v/>
      </c>
      <c r="AB56" s="252" t="str">
        <f t="shared" si="34"/>
        <v/>
      </c>
      <c r="AJ56" s="121" t="str">
        <f>IF('Cable Info'!L56="","",CONCATENATE('Cable Info'!L56," - ",'Cable Info'!M56))</f>
        <v>55 - AW</v>
      </c>
      <c r="AM56" s="121" t="str">
        <f t="shared" si="35"/>
        <v>55 - AW</v>
      </c>
      <c r="AO56" s="121" t="str">
        <f>IF('Cable Info'!N56="","",CONCATENATE('Cable Info'!N56," - ",'Cable Info'!O56))</f>
        <v>55 - AW</v>
      </c>
      <c r="AR56" s="121" t="str">
        <f t="shared" si="36"/>
        <v>55 - AW</v>
      </c>
      <c r="AT56" s="121" t="str">
        <f>IF('Cable Info'!P56="","",CONCATENATE('Cable Info'!P56," - ",'Cable Info'!Q56))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Info'!R56="","",CONCATENATE('Cable Info'!R56," - ",'Cable Info'!S56))</f>
        <v/>
      </c>
      <c r="BB56" s="121" t="str">
        <f t="shared" si="38"/>
        <v/>
      </c>
      <c r="BD56" s="121" t="str">
        <f>IF('Cable Info'!T56="","",CONCATENATE('Cable Info'!T56," - ",'Cable Info'!U56))</f>
        <v/>
      </c>
      <c r="BG56" s="121" t="str">
        <f t="shared" si="39"/>
        <v/>
      </c>
      <c r="BI56" s="121" t="str">
        <f>IF('Cable Info'!V56="","",CONCATENATE('Cable Info'!V56," - ",'Cable Info'!W56))</f>
        <v/>
      </c>
      <c r="BL56" s="121" t="str">
        <f t="shared" si="40"/>
        <v/>
      </c>
      <c r="CL56" s="250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59"/>
      <c r="F57" s="105" t="s">
        <v>45</v>
      </c>
      <c r="G57" s="262"/>
      <c r="H57" s="115" t="str">
        <f t="shared" si="29"/>
        <v/>
      </c>
      <c r="I57" s="264"/>
      <c r="J57" s="105" t="s">
        <v>45</v>
      </c>
      <c r="K57" s="267"/>
      <c r="L57" s="246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1" t="str">
        <f t="shared" si="31"/>
        <v/>
      </c>
      <c r="Z57" s="252" t="str">
        <f t="shared" si="32"/>
        <v/>
      </c>
      <c r="AA57" s="252" t="str">
        <f t="shared" si="33"/>
        <v/>
      </c>
      <c r="AB57" s="252" t="str">
        <f t="shared" si="34"/>
        <v/>
      </c>
      <c r="AJ57" s="121" t="str">
        <f>IF('Cable Info'!L57="","",CONCATENATE('Cable Info'!L57," - ",'Cable Info'!M57))</f>
        <v>56 - AW</v>
      </c>
      <c r="AM57" s="121" t="str">
        <f t="shared" si="35"/>
        <v>56 - AW</v>
      </c>
      <c r="AO57" s="121" t="str">
        <f>IF('Cable Info'!N57="","",CONCATENATE('Cable Info'!N57," - ",'Cable Info'!O57))</f>
        <v>56 - AW</v>
      </c>
      <c r="AR57" s="121" t="str">
        <f t="shared" si="36"/>
        <v>56 - AW</v>
      </c>
      <c r="AT57" s="121" t="str">
        <f>IF('Cable Info'!P57="","",CONCATENATE('Cable Info'!P57," - ",'Cable Info'!Q57))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Info'!R57="","",CONCATENATE('Cable Info'!R57," - ",'Cable Info'!S57))</f>
        <v/>
      </c>
      <c r="BB57" s="121" t="str">
        <f t="shared" si="38"/>
        <v/>
      </c>
      <c r="BD57" s="121" t="str">
        <f>IF('Cable Info'!T57="","",CONCATENATE('Cable Info'!T57," - ",'Cable Info'!U57))</f>
        <v/>
      </c>
      <c r="BG57" s="121" t="str">
        <f t="shared" si="39"/>
        <v/>
      </c>
      <c r="BI57" s="121" t="str">
        <f>IF('Cable Info'!V57="","",CONCATENATE('Cable Info'!V57," - ",'Cable Info'!W57))</f>
        <v/>
      </c>
      <c r="BL57" s="121" t="str">
        <f t="shared" si="40"/>
        <v/>
      </c>
      <c r="CL57" s="250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59"/>
      <c r="F58" s="105" t="s">
        <v>45</v>
      </c>
      <c r="G58" s="262"/>
      <c r="H58" s="115" t="str">
        <f t="shared" si="29"/>
        <v/>
      </c>
      <c r="I58" s="264"/>
      <c r="J58" s="105" t="s">
        <v>45</v>
      </c>
      <c r="K58" s="267"/>
      <c r="L58" s="246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1" t="str">
        <f t="shared" si="31"/>
        <v/>
      </c>
      <c r="Z58" s="252" t="str">
        <f t="shared" si="32"/>
        <v/>
      </c>
      <c r="AA58" s="252" t="str">
        <f t="shared" si="33"/>
        <v/>
      </c>
      <c r="AB58" s="252" t="str">
        <f t="shared" si="34"/>
        <v/>
      </c>
      <c r="AJ58" s="121" t="str">
        <f>IF('Cable Info'!L58="","",CONCATENATE('Cable Info'!L58," - ",'Cable Info'!M58))</f>
        <v>57 - AW</v>
      </c>
      <c r="AM58" s="121" t="str">
        <f t="shared" si="35"/>
        <v>57 - AW</v>
      </c>
      <c r="AO58" s="121" t="str">
        <f>IF('Cable Info'!N58="","",CONCATENATE('Cable Info'!N58," - ",'Cable Info'!O58))</f>
        <v>57 - AW</v>
      </c>
      <c r="AR58" s="121" t="str">
        <f t="shared" si="36"/>
        <v>57 - AW</v>
      </c>
      <c r="AT58" s="121" t="str">
        <f>IF('Cable Info'!P58="","",CONCATENATE('Cable Info'!P58," - ",'Cable Info'!Q58))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Info'!R58="","",CONCATENATE('Cable Info'!R58," - ",'Cable Info'!S58))</f>
        <v/>
      </c>
      <c r="BB58" s="121" t="str">
        <f t="shared" si="38"/>
        <v/>
      </c>
      <c r="BD58" s="121" t="str">
        <f>IF('Cable Info'!T58="","",CONCATENATE('Cable Info'!T58," - ",'Cable Info'!U58))</f>
        <v/>
      </c>
      <c r="BG58" s="121" t="str">
        <f t="shared" si="39"/>
        <v/>
      </c>
      <c r="BI58" s="121" t="str">
        <f>IF('Cable Info'!V58="","",CONCATENATE('Cable Info'!V58," - ",'Cable Info'!W58))</f>
        <v/>
      </c>
      <c r="BL58" s="121" t="str">
        <f t="shared" si="40"/>
        <v/>
      </c>
      <c r="CL58" s="250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59"/>
      <c r="F59" s="105" t="s">
        <v>45</v>
      </c>
      <c r="G59" s="262"/>
      <c r="H59" s="115" t="str">
        <f t="shared" si="29"/>
        <v/>
      </c>
      <c r="I59" s="264"/>
      <c r="J59" s="105" t="s">
        <v>45</v>
      </c>
      <c r="K59" s="267"/>
      <c r="L59" s="246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1" t="str">
        <f t="shared" si="31"/>
        <v/>
      </c>
      <c r="Z59" s="252" t="str">
        <f t="shared" si="32"/>
        <v/>
      </c>
      <c r="AA59" s="252" t="str">
        <f t="shared" si="33"/>
        <v/>
      </c>
      <c r="AB59" s="252" t="str">
        <f t="shared" si="34"/>
        <v/>
      </c>
      <c r="AJ59" s="121" t="str">
        <f>IF('Cable Info'!L59="","",CONCATENATE('Cable Info'!L59," - ",'Cable Info'!M59))</f>
        <v>58 - AW</v>
      </c>
      <c r="AM59" s="121" t="str">
        <f t="shared" si="35"/>
        <v>58 - AW</v>
      </c>
      <c r="AO59" s="121" t="str">
        <f>IF('Cable Info'!N59="","",CONCATENATE('Cable Info'!N59," - ",'Cable Info'!O59))</f>
        <v>58 - AW</v>
      </c>
      <c r="AR59" s="121" t="str">
        <f t="shared" si="36"/>
        <v>58 - AW</v>
      </c>
      <c r="AT59" s="121" t="str">
        <f>IF('Cable Info'!P59="","",CONCATENATE('Cable Info'!P59," - ",'Cable Info'!Q59))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Info'!R59="","",CONCATENATE('Cable Info'!R59," - ",'Cable Info'!S59))</f>
        <v/>
      </c>
      <c r="BB59" s="121" t="str">
        <f t="shared" si="38"/>
        <v/>
      </c>
      <c r="BD59" s="121" t="str">
        <f>IF('Cable Info'!T59="","",CONCATENATE('Cable Info'!T59," - ",'Cable Info'!U59))</f>
        <v/>
      </c>
      <c r="BG59" s="121" t="str">
        <f t="shared" si="39"/>
        <v/>
      </c>
      <c r="BI59" s="121" t="str">
        <f>IF('Cable Info'!V59="","",CONCATENATE('Cable Info'!V59," - ",'Cable Info'!W59))</f>
        <v/>
      </c>
      <c r="BL59" s="121" t="str">
        <f t="shared" si="40"/>
        <v/>
      </c>
      <c r="CL59" s="250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59"/>
      <c r="F60" s="105" t="s">
        <v>45</v>
      </c>
      <c r="G60" s="262"/>
      <c r="H60" s="115" t="str">
        <f t="shared" si="29"/>
        <v/>
      </c>
      <c r="I60" s="264"/>
      <c r="J60" s="105" t="s">
        <v>45</v>
      </c>
      <c r="K60" s="267"/>
      <c r="L60" s="246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1" t="str">
        <f t="shared" si="31"/>
        <v/>
      </c>
      <c r="Z60" s="252" t="str">
        <f t="shared" si="32"/>
        <v/>
      </c>
      <c r="AA60" s="252" t="str">
        <f t="shared" si="33"/>
        <v/>
      </c>
      <c r="AB60" s="252" t="str">
        <f t="shared" si="34"/>
        <v/>
      </c>
      <c r="AJ60" s="121" t="str">
        <f>IF('Cable Info'!L60="","",CONCATENATE('Cable Info'!L60," - ",'Cable Info'!M60))</f>
        <v>59 - AW</v>
      </c>
      <c r="AM60" s="121" t="str">
        <f t="shared" si="35"/>
        <v>59 - AW</v>
      </c>
      <c r="AO60" s="121" t="str">
        <f>IF('Cable Info'!N60="","",CONCATENATE('Cable Info'!N60," - ",'Cable Info'!O60))</f>
        <v>59 - AW</v>
      </c>
      <c r="AR60" s="121" t="str">
        <f t="shared" si="36"/>
        <v>59 - AW</v>
      </c>
      <c r="AT60" s="121" t="str">
        <f>IF('Cable Info'!P60="","",CONCATENATE('Cable Info'!P60," - ",'Cable Info'!Q60))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Info'!R60="","",CONCATENATE('Cable Info'!R60," - ",'Cable Info'!S60))</f>
        <v/>
      </c>
      <c r="BB60" s="121" t="str">
        <f t="shared" si="38"/>
        <v/>
      </c>
      <c r="BD60" s="121" t="str">
        <f>IF('Cable Info'!T60="","",CONCATENATE('Cable Info'!T60," - ",'Cable Info'!U60))</f>
        <v/>
      </c>
      <c r="BG60" s="121" t="str">
        <f t="shared" si="39"/>
        <v/>
      </c>
      <c r="BI60" s="121" t="str">
        <f>IF('Cable Info'!V60="","",CONCATENATE('Cable Info'!V60," - ",'Cable Info'!W60))</f>
        <v/>
      </c>
      <c r="BL60" s="121" t="str">
        <f t="shared" si="40"/>
        <v/>
      </c>
      <c r="CL60" s="250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59"/>
      <c r="F61" s="105" t="s">
        <v>45</v>
      </c>
      <c r="G61" s="262"/>
      <c r="H61" s="115" t="str">
        <f t="shared" si="29"/>
        <v/>
      </c>
      <c r="I61" s="264"/>
      <c r="J61" s="105" t="s">
        <v>45</v>
      </c>
      <c r="K61" s="267"/>
      <c r="L61" s="246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1" t="str">
        <f t="shared" si="31"/>
        <v/>
      </c>
      <c r="Z61" s="252" t="str">
        <f t="shared" si="32"/>
        <v/>
      </c>
      <c r="AA61" s="252" t="str">
        <f t="shared" si="33"/>
        <v/>
      </c>
      <c r="AB61" s="252" t="str">
        <f t="shared" si="34"/>
        <v/>
      </c>
      <c r="AJ61" s="121" t="str">
        <f>IF('Cable Info'!L61="","",CONCATENATE('Cable Info'!L61," - ",'Cable Info'!M61))</f>
        <v>60 - AW</v>
      </c>
      <c r="AM61" s="121" t="str">
        <f t="shared" si="35"/>
        <v>60 - AW</v>
      </c>
      <c r="AO61" s="121" t="str">
        <f>IF('Cable Info'!N61="","",CONCATENATE('Cable Info'!N61," - ",'Cable Info'!O61))</f>
        <v>60 - AW</v>
      </c>
      <c r="AR61" s="121" t="str">
        <f t="shared" si="36"/>
        <v>60 - AW</v>
      </c>
      <c r="AT61" s="121" t="str">
        <f>IF('Cable Info'!P61="","",CONCATENATE('Cable Info'!P61," - ",'Cable Info'!Q61))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Info'!R61="","",CONCATENATE('Cable Info'!R61," - ",'Cable Info'!S61))</f>
        <v/>
      </c>
      <c r="BB61" s="121" t="str">
        <f t="shared" si="38"/>
        <v/>
      </c>
      <c r="BD61" s="121" t="str">
        <f>IF('Cable Info'!T61="","",CONCATENATE('Cable Info'!T61," - ",'Cable Info'!U61))</f>
        <v/>
      </c>
      <c r="BG61" s="121" t="str">
        <f t="shared" si="39"/>
        <v/>
      </c>
      <c r="BI61" s="121" t="str">
        <f>IF('Cable Info'!V61="","",CONCATENATE('Cable Info'!V61," - ",'Cable Info'!W61))</f>
        <v/>
      </c>
      <c r="BL61" s="121" t="str">
        <f t="shared" si="40"/>
        <v/>
      </c>
      <c r="CL61" s="250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59"/>
      <c r="F62" s="105" t="s">
        <v>45</v>
      </c>
      <c r="G62" s="262"/>
      <c r="H62" s="115" t="str">
        <f t="shared" si="29"/>
        <v/>
      </c>
      <c r="I62" s="264"/>
      <c r="J62" s="105" t="s">
        <v>45</v>
      </c>
      <c r="K62" s="267"/>
      <c r="L62" s="246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1" t="str">
        <f t="shared" si="31"/>
        <v/>
      </c>
      <c r="Z62" s="252" t="str">
        <f t="shared" si="32"/>
        <v/>
      </c>
      <c r="AA62" s="252" t="str">
        <f t="shared" si="33"/>
        <v/>
      </c>
      <c r="AB62" s="252" t="str">
        <f t="shared" si="34"/>
        <v/>
      </c>
      <c r="AJ62" s="121" t="str">
        <f>IF('Cable Info'!L62="","",CONCATENATE('Cable Info'!L62," - ",'Cable Info'!M62))</f>
        <v>61 - AW</v>
      </c>
      <c r="AM62" s="121" t="str">
        <f t="shared" si="35"/>
        <v>61 - AW</v>
      </c>
      <c r="AO62" s="121" t="str">
        <f>IF('Cable Info'!N62="","",CONCATENATE('Cable Info'!N62," - ",'Cable Info'!O62))</f>
        <v>61 - AW</v>
      </c>
      <c r="AR62" s="121" t="str">
        <f t="shared" si="36"/>
        <v>61 - AW</v>
      </c>
      <c r="AT62" s="121" t="str">
        <f>IF('Cable Info'!P62="","",CONCATENATE('Cable Info'!P62," - ",'Cable Info'!Q62))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Info'!R62="","",CONCATENATE('Cable Info'!R62," - ",'Cable Info'!S62))</f>
        <v/>
      </c>
      <c r="BB62" s="121" t="str">
        <f t="shared" si="38"/>
        <v/>
      </c>
      <c r="BD62" s="121" t="str">
        <f>IF('Cable Info'!T62="","",CONCATENATE('Cable Info'!T62," - ",'Cable Info'!U62))</f>
        <v/>
      </c>
      <c r="BG62" s="121" t="str">
        <f t="shared" si="39"/>
        <v/>
      </c>
      <c r="BI62" s="121" t="str">
        <f>IF('Cable Info'!V62="","",CONCATENATE('Cable Info'!V62," - ",'Cable Info'!W62))</f>
        <v/>
      </c>
      <c r="BL62" s="121" t="str">
        <f t="shared" si="40"/>
        <v/>
      </c>
      <c r="CL62" s="250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59"/>
      <c r="F63" s="105" t="s">
        <v>45</v>
      </c>
      <c r="G63" s="262"/>
      <c r="H63" s="115" t="str">
        <f t="shared" si="29"/>
        <v/>
      </c>
      <c r="I63" s="264"/>
      <c r="J63" s="105" t="s">
        <v>45</v>
      </c>
      <c r="K63" s="267"/>
      <c r="L63" s="246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1" t="str">
        <f t="shared" si="31"/>
        <v/>
      </c>
      <c r="Z63" s="252" t="str">
        <f t="shared" si="32"/>
        <v/>
      </c>
      <c r="AA63" s="252" t="str">
        <f t="shared" si="33"/>
        <v/>
      </c>
      <c r="AB63" s="252" t="str">
        <f t="shared" si="34"/>
        <v/>
      </c>
      <c r="AJ63" s="121" t="str">
        <f>IF('Cable Info'!L63="","",CONCATENATE('Cable Info'!L63," - ",'Cable Info'!M63))</f>
        <v>62 - AW</v>
      </c>
      <c r="AM63" s="121" t="str">
        <f t="shared" si="35"/>
        <v>62 - AW</v>
      </c>
      <c r="AO63" s="121" t="str">
        <f>IF('Cable Info'!N63="","",CONCATENATE('Cable Info'!N63," - ",'Cable Info'!O63))</f>
        <v>62 - AW</v>
      </c>
      <c r="AR63" s="121" t="str">
        <f t="shared" si="36"/>
        <v>62 - AW</v>
      </c>
      <c r="AT63" s="121" t="str">
        <f>IF('Cable Info'!P63="","",CONCATENATE('Cable Info'!P63," - ",'Cable Info'!Q63))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Info'!R63="","",CONCATENATE('Cable Info'!R63," - ",'Cable Info'!S63))</f>
        <v/>
      </c>
      <c r="BB63" s="121" t="str">
        <f t="shared" si="38"/>
        <v/>
      </c>
      <c r="BD63" s="121" t="str">
        <f>IF('Cable Info'!T63="","",CONCATENATE('Cable Info'!T63," - ",'Cable Info'!U63))</f>
        <v/>
      </c>
      <c r="BG63" s="121" t="str">
        <f t="shared" si="39"/>
        <v/>
      </c>
      <c r="BI63" s="121" t="str">
        <f>IF('Cable Info'!V63="","",CONCATENATE('Cable Info'!V63," - ",'Cable Info'!W63))</f>
        <v/>
      </c>
      <c r="BL63" s="121" t="str">
        <f t="shared" si="40"/>
        <v/>
      </c>
      <c r="CL63" s="250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59"/>
      <c r="F64" s="105" t="s">
        <v>45</v>
      </c>
      <c r="G64" s="262"/>
      <c r="H64" s="115" t="str">
        <f t="shared" si="29"/>
        <v/>
      </c>
      <c r="I64" s="264"/>
      <c r="J64" s="105" t="s">
        <v>45</v>
      </c>
      <c r="K64" s="267"/>
      <c r="L64" s="246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1" t="str">
        <f t="shared" si="31"/>
        <v/>
      </c>
      <c r="Z64" s="252" t="str">
        <f t="shared" si="32"/>
        <v/>
      </c>
      <c r="AA64" s="252" t="str">
        <f t="shared" si="33"/>
        <v/>
      </c>
      <c r="AB64" s="252" t="str">
        <f t="shared" si="34"/>
        <v/>
      </c>
      <c r="AJ64" s="121" t="str">
        <f>IF('Cable Info'!L64="","",CONCATENATE('Cable Info'!L64," - ",'Cable Info'!M64))</f>
        <v>63 - AW</v>
      </c>
      <c r="AM64" s="121" t="str">
        <f t="shared" si="35"/>
        <v>63 - AW</v>
      </c>
      <c r="AO64" s="121" t="str">
        <f>IF('Cable Info'!N64="","",CONCATENATE('Cable Info'!N64," - ",'Cable Info'!O64))</f>
        <v>63 - AW</v>
      </c>
      <c r="AR64" s="121" t="str">
        <f t="shared" si="36"/>
        <v>63 - AW</v>
      </c>
      <c r="AT64" s="121" t="str">
        <f>IF('Cable Info'!P64="","",CONCATENATE('Cable Info'!P64," - ",'Cable Info'!Q64))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Info'!R64="","",CONCATENATE('Cable Info'!R64," - ",'Cable Info'!S64))</f>
        <v/>
      </c>
      <c r="BB64" s="121" t="str">
        <f t="shared" si="38"/>
        <v/>
      </c>
      <c r="BD64" s="121" t="str">
        <f>IF('Cable Info'!T64="","",CONCATENATE('Cable Info'!T64," - ",'Cable Info'!U64))</f>
        <v/>
      </c>
      <c r="BG64" s="121" t="str">
        <f t="shared" si="39"/>
        <v/>
      </c>
      <c r="BI64" s="121" t="str">
        <f>IF('Cable Info'!V64="","",CONCATENATE('Cable Info'!V64," - ",'Cable Info'!W64))</f>
        <v/>
      </c>
      <c r="BL64" s="121" t="str">
        <f t="shared" si="40"/>
        <v/>
      </c>
      <c r="CL64" s="250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59"/>
      <c r="F65" s="105" t="s">
        <v>45</v>
      </c>
      <c r="G65" s="262"/>
      <c r="H65" s="115" t="str">
        <f t="shared" si="29"/>
        <v/>
      </c>
      <c r="I65" s="264"/>
      <c r="J65" s="105" t="s">
        <v>45</v>
      </c>
      <c r="K65" s="267"/>
      <c r="L65" s="246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1" t="str">
        <f t="shared" si="31"/>
        <v/>
      </c>
      <c r="Z65" s="252" t="str">
        <f t="shared" si="32"/>
        <v/>
      </c>
      <c r="AA65" s="252" t="str">
        <f t="shared" si="33"/>
        <v/>
      </c>
      <c r="AB65" s="252" t="str">
        <f t="shared" si="34"/>
        <v/>
      </c>
      <c r="AJ65" s="121" t="str">
        <f>IF('Cable Info'!L65="","",CONCATENATE('Cable Info'!L65," - ",'Cable Info'!M65))</f>
        <v>64 - AW</v>
      </c>
      <c r="AM65" s="121" t="str">
        <f t="shared" si="35"/>
        <v>64 - AW</v>
      </c>
      <c r="AO65" s="121" t="str">
        <f>IF('Cable Info'!N65="","",CONCATENATE('Cable Info'!N65," - ",'Cable Info'!O65))</f>
        <v>64 - AW</v>
      </c>
      <c r="AR65" s="121" t="str">
        <f t="shared" si="36"/>
        <v>64 - AW</v>
      </c>
      <c r="AT65" s="121" t="str">
        <f>IF('Cable Info'!P65="","",CONCATENATE('Cable Info'!P65," - ",'Cable Info'!Q65))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Info'!R65="","",CONCATENATE('Cable Info'!R65," - ",'Cable Info'!S65))</f>
        <v/>
      </c>
      <c r="BB65" s="121" t="str">
        <f t="shared" si="38"/>
        <v/>
      </c>
      <c r="BD65" s="121" t="str">
        <f>IF('Cable Info'!T65="","",CONCATENATE('Cable Info'!T65," - ",'Cable Info'!U65))</f>
        <v/>
      </c>
      <c r="BG65" s="121" t="str">
        <f t="shared" si="39"/>
        <v/>
      </c>
      <c r="BI65" s="121" t="str">
        <f>IF('Cable Info'!V65="","",CONCATENATE('Cable Info'!V65," - ",'Cable Info'!W65))</f>
        <v/>
      </c>
      <c r="BL65" s="121" t="str">
        <f t="shared" si="40"/>
        <v/>
      </c>
      <c r="CL65" s="250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59"/>
      <c r="F66" s="105" t="s">
        <v>45</v>
      </c>
      <c r="G66" s="262"/>
      <c r="H66" s="115" t="str">
        <f t="shared" si="29"/>
        <v/>
      </c>
      <c r="I66" s="264"/>
      <c r="J66" s="105" t="s">
        <v>45</v>
      </c>
      <c r="K66" s="267"/>
      <c r="L66" s="246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1" t="str">
        <f t="shared" si="31"/>
        <v/>
      </c>
      <c r="Z66" s="252" t="str">
        <f t="shared" si="32"/>
        <v/>
      </c>
      <c r="AA66" s="252" t="str">
        <f t="shared" si="33"/>
        <v/>
      </c>
      <c r="AB66" s="252" t="str">
        <f t="shared" si="34"/>
        <v/>
      </c>
      <c r="AJ66" s="121" t="str">
        <f>IF('Cable Info'!L66="","",CONCATENATE('Cable Info'!L66," - ",'Cable Info'!M66))</f>
        <v>65 - AW</v>
      </c>
      <c r="AM66" s="121" t="str">
        <f t="shared" si="35"/>
        <v>65 - AW</v>
      </c>
      <c r="AO66" s="121" t="str">
        <f>IF('Cable Info'!N66="","",CONCATENATE('Cable Info'!N66," - ",'Cable Info'!O66))</f>
        <v>65 - AW</v>
      </c>
      <c r="AR66" s="121" t="str">
        <f t="shared" si="36"/>
        <v>65 - AW</v>
      </c>
      <c r="AT66" s="121" t="str">
        <f>IF('Cable Info'!P66="","",CONCATENATE('Cable Info'!P66," - ",'Cable Info'!Q66))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Info'!R66="","",CONCATENATE('Cable Info'!R66," - ",'Cable Info'!S66))</f>
        <v/>
      </c>
      <c r="BB66" s="121" t="str">
        <f t="shared" si="38"/>
        <v/>
      </c>
      <c r="BD66" s="121" t="str">
        <f>IF('Cable Info'!T66="","",CONCATENATE('Cable Info'!T66," - ",'Cable Info'!U66))</f>
        <v/>
      </c>
      <c r="BG66" s="121" t="str">
        <f t="shared" si="39"/>
        <v/>
      </c>
      <c r="BI66" s="121" t="str">
        <f>IF('Cable Info'!V66="","",CONCATENATE('Cable Info'!V66," - ",'Cable Info'!W66))</f>
        <v/>
      </c>
      <c r="BL66" s="121" t="str">
        <f t="shared" si="40"/>
        <v/>
      </c>
      <c r="CL66" s="250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59"/>
      <c r="F67" s="105" t="s">
        <v>45</v>
      </c>
      <c r="G67" s="262"/>
      <c r="H67" s="115" t="str">
        <f t="shared" si="29"/>
        <v/>
      </c>
      <c r="I67" s="264"/>
      <c r="J67" s="105" t="s">
        <v>45</v>
      </c>
      <c r="K67" s="267"/>
      <c r="L67" s="246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1" t="str">
        <f t="shared" si="31"/>
        <v/>
      </c>
      <c r="Z67" s="252" t="str">
        <f t="shared" si="32"/>
        <v/>
      </c>
      <c r="AA67" s="252" t="str">
        <f t="shared" si="33"/>
        <v/>
      </c>
      <c r="AB67" s="252" t="str">
        <f t="shared" si="34"/>
        <v/>
      </c>
      <c r="AJ67" s="121" t="str">
        <f>IF('Cable Info'!L67="","",CONCATENATE('Cable Info'!L67," - ",'Cable Info'!M67))</f>
        <v>66 - AW</v>
      </c>
      <c r="AM67" s="121" t="str">
        <f t="shared" si="35"/>
        <v>66 - AW</v>
      </c>
      <c r="AO67" s="121" t="str">
        <f>IF('Cable Info'!N67="","",CONCATENATE('Cable Info'!N67," - ",'Cable Info'!O67))</f>
        <v>66 - AW</v>
      </c>
      <c r="AR67" s="121" t="str">
        <f t="shared" si="36"/>
        <v>66 - AW</v>
      </c>
      <c r="AT67" s="121" t="str">
        <f>IF('Cable Info'!P67="","",CONCATENATE('Cable Info'!P67," - ",'Cable Info'!Q67))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Info'!R67="","",CONCATENATE('Cable Info'!R67," - ",'Cable Info'!S67))</f>
        <v/>
      </c>
      <c r="BB67" s="121" t="str">
        <f t="shared" si="38"/>
        <v/>
      </c>
      <c r="BD67" s="121" t="str">
        <f>IF('Cable Info'!T67="","",CONCATENATE('Cable Info'!T67," - ",'Cable Info'!U67))</f>
        <v/>
      </c>
      <c r="BG67" s="121" t="str">
        <f t="shared" si="39"/>
        <v/>
      </c>
      <c r="BI67" s="121" t="str">
        <f>IF('Cable Info'!V67="","",CONCATENATE('Cable Info'!V67," - ",'Cable Info'!W67))</f>
        <v/>
      </c>
      <c r="BL67" s="121" t="str">
        <f t="shared" si="40"/>
        <v/>
      </c>
      <c r="CL67" s="250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59"/>
      <c r="F68" s="105" t="s">
        <v>45</v>
      </c>
      <c r="G68" s="262"/>
      <c r="H68" s="115" t="str">
        <f t="shared" si="29"/>
        <v/>
      </c>
      <c r="I68" s="264"/>
      <c r="J68" s="105" t="s">
        <v>45</v>
      </c>
      <c r="K68" s="267"/>
      <c r="L68" s="246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1" t="str">
        <f t="shared" si="31"/>
        <v/>
      </c>
      <c r="Z68" s="252" t="str">
        <f t="shared" si="32"/>
        <v/>
      </c>
      <c r="AA68" s="252" t="str">
        <f t="shared" si="33"/>
        <v/>
      </c>
      <c r="AB68" s="252" t="str">
        <f t="shared" si="34"/>
        <v/>
      </c>
      <c r="AJ68" s="121" t="str">
        <f>IF('Cable Info'!L68="","",CONCATENATE('Cable Info'!L68," - ",'Cable Info'!M68))</f>
        <v>67 - AW</v>
      </c>
      <c r="AM68" s="121" t="str">
        <f t="shared" si="35"/>
        <v>67 - AW</v>
      </c>
      <c r="AO68" s="121" t="str">
        <f>IF('Cable Info'!N68="","",CONCATENATE('Cable Info'!N68," - ",'Cable Info'!O68))</f>
        <v>67 - AW</v>
      </c>
      <c r="AR68" s="121" t="str">
        <f t="shared" si="36"/>
        <v>67 - AW</v>
      </c>
      <c r="AT68" s="121" t="str">
        <f>IF('Cable Info'!P68="","",CONCATENATE('Cable Info'!P68," - ",'Cable Info'!Q68))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Info'!R68="","",CONCATENATE('Cable Info'!R68," - ",'Cable Info'!S68))</f>
        <v/>
      </c>
      <c r="BB68" s="121" t="str">
        <f t="shared" si="38"/>
        <v/>
      </c>
      <c r="BD68" s="121" t="str">
        <f>IF('Cable Info'!T68="","",CONCATENATE('Cable Info'!T68," - ",'Cable Info'!U68))</f>
        <v/>
      </c>
      <c r="BG68" s="121" t="str">
        <f t="shared" si="39"/>
        <v/>
      </c>
      <c r="BI68" s="121" t="str">
        <f>IF('Cable Info'!V68="","",CONCATENATE('Cable Info'!V68," - ",'Cable Info'!W68))</f>
        <v/>
      </c>
      <c r="BL68" s="121" t="str">
        <f t="shared" si="40"/>
        <v/>
      </c>
      <c r="CL68" s="250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59"/>
      <c r="F69" s="105" t="s">
        <v>45</v>
      </c>
      <c r="G69" s="262"/>
      <c r="H69" s="115" t="str">
        <f t="shared" si="29"/>
        <v/>
      </c>
      <c r="I69" s="264"/>
      <c r="J69" s="105" t="s">
        <v>45</v>
      </c>
      <c r="K69" s="267"/>
      <c r="L69" s="246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1" t="str">
        <f t="shared" si="31"/>
        <v/>
      </c>
      <c r="Z69" s="252" t="str">
        <f t="shared" si="32"/>
        <v/>
      </c>
      <c r="AA69" s="252" t="str">
        <f t="shared" si="33"/>
        <v/>
      </c>
      <c r="AB69" s="252" t="str">
        <f t="shared" si="34"/>
        <v/>
      </c>
      <c r="AJ69" s="121" t="str">
        <f>IF('Cable Info'!L69="","",CONCATENATE('Cable Info'!L69," - ",'Cable Info'!M69))</f>
        <v>68 - AW</v>
      </c>
      <c r="AM69" s="121" t="str">
        <f t="shared" si="35"/>
        <v>68 - AW</v>
      </c>
      <c r="AO69" s="121" t="str">
        <f>IF('Cable Info'!N69="","",CONCATENATE('Cable Info'!N69," - ",'Cable Info'!O69))</f>
        <v>68 - AW</v>
      </c>
      <c r="AR69" s="121" t="str">
        <f t="shared" si="36"/>
        <v>68 - AW</v>
      </c>
      <c r="AT69" s="121" t="str">
        <f>IF('Cable Info'!P69="","",CONCATENATE('Cable Info'!P69," - ",'Cable Info'!Q69))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Info'!R69="","",CONCATENATE('Cable Info'!R69," - ",'Cable Info'!S69))</f>
        <v/>
      </c>
      <c r="BB69" s="121" t="str">
        <f t="shared" si="38"/>
        <v/>
      </c>
      <c r="BD69" s="121" t="str">
        <f>IF('Cable Info'!T69="","",CONCATENATE('Cable Info'!T69," - ",'Cable Info'!U69))</f>
        <v/>
      </c>
      <c r="BG69" s="121" t="str">
        <f t="shared" si="39"/>
        <v/>
      </c>
      <c r="BI69" s="121" t="str">
        <f>IF('Cable Info'!V69="","",CONCATENATE('Cable Info'!V69," - ",'Cable Info'!W69))</f>
        <v/>
      </c>
      <c r="BL69" s="121" t="str">
        <f t="shared" si="40"/>
        <v/>
      </c>
      <c r="CL69" s="250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59"/>
      <c r="F70" s="105" t="s">
        <v>45</v>
      </c>
      <c r="G70" s="262"/>
      <c r="H70" s="115" t="str">
        <f t="shared" si="29"/>
        <v/>
      </c>
      <c r="I70" s="264"/>
      <c r="J70" s="105" t="s">
        <v>45</v>
      </c>
      <c r="K70" s="267"/>
      <c r="L70" s="246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1" t="str">
        <f t="shared" si="31"/>
        <v/>
      </c>
      <c r="Z70" s="252" t="str">
        <f t="shared" si="32"/>
        <v/>
      </c>
      <c r="AA70" s="252" t="str">
        <f t="shared" si="33"/>
        <v/>
      </c>
      <c r="AB70" s="252" t="str">
        <f t="shared" si="34"/>
        <v/>
      </c>
      <c r="AJ70" s="121" t="str">
        <f>IF('Cable Info'!L70="","",CONCATENATE('Cable Info'!L70," - ",'Cable Info'!M70))</f>
        <v>69 - AW</v>
      </c>
      <c r="AM70" s="121" t="str">
        <f t="shared" si="35"/>
        <v>69 - AW</v>
      </c>
      <c r="AO70" s="121" t="str">
        <f>IF('Cable Info'!N70="","",CONCATENATE('Cable Info'!N70," - ",'Cable Info'!O70))</f>
        <v>69 - AW</v>
      </c>
      <c r="AR70" s="121" t="str">
        <f t="shared" si="36"/>
        <v>69 - AW</v>
      </c>
      <c r="AT70" s="121" t="str">
        <f>IF('Cable Info'!P70="","",CONCATENATE('Cable Info'!P70," - ",'Cable Info'!Q70))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Info'!R70="","",CONCATENATE('Cable Info'!R70," - ",'Cable Info'!S70))</f>
        <v/>
      </c>
      <c r="BB70" s="121" t="str">
        <f t="shared" si="38"/>
        <v/>
      </c>
      <c r="BD70" s="121" t="str">
        <f>IF('Cable Info'!T70="","",CONCATENATE('Cable Info'!T70," - ",'Cable Info'!U70))</f>
        <v/>
      </c>
      <c r="BG70" s="121" t="str">
        <f t="shared" si="39"/>
        <v/>
      </c>
      <c r="BI70" s="121" t="str">
        <f>IF('Cable Info'!V70="","",CONCATENATE('Cable Info'!V70," - ",'Cable Info'!W70))</f>
        <v/>
      </c>
      <c r="BL70" s="121" t="str">
        <f t="shared" si="40"/>
        <v/>
      </c>
      <c r="CL70" s="250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59"/>
      <c r="F71" s="105" t="s">
        <v>45</v>
      </c>
      <c r="G71" s="262"/>
      <c r="H71" s="115" t="str">
        <f t="shared" si="29"/>
        <v/>
      </c>
      <c r="I71" s="264"/>
      <c r="J71" s="105" t="s">
        <v>45</v>
      </c>
      <c r="K71" s="267"/>
      <c r="L71" s="246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1" t="str">
        <f t="shared" si="31"/>
        <v/>
      </c>
      <c r="Z71" s="252" t="str">
        <f t="shared" si="32"/>
        <v/>
      </c>
      <c r="AA71" s="252" t="str">
        <f t="shared" si="33"/>
        <v/>
      </c>
      <c r="AB71" s="252" t="str">
        <f t="shared" si="34"/>
        <v/>
      </c>
      <c r="AJ71" s="121" t="str">
        <f>IF('Cable Info'!L71="","",CONCATENATE('Cable Info'!L71," - ",'Cable Info'!M71))</f>
        <v>70 - AW</v>
      </c>
      <c r="AM71" s="121" t="str">
        <f t="shared" si="35"/>
        <v>70 - AW</v>
      </c>
      <c r="AO71" s="121" t="str">
        <f>IF('Cable Info'!N71="","",CONCATENATE('Cable Info'!N71," - ",'Cable Info'!O71))</f>
        <v>70 - AW</v>
      </c>
      <c r="AR71" s="121" t="str">
        <f t="shared" si="36"/>
        <v>70 - AW</v>
      </c>
      <c r="AT71" s="121" t="str">
        <f>IF('Cable Info'!P71="","",CONCATENATE('Cable Info'!P71," - ",'Cable Info'!Q71))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Info'!R71="","",CONCATENATE('Cable Info'!R71," - ",'Cable Info'!S71))</f>
        <v/>
      </c>
      <c r="BB71" s="121" t="str">
        <f t="shared" si="38"/>
        <v/>
      </c>
      <c r="BD71" s="121" t="str">
        <f>IF('Cable Info'!T71="","",CONCATENATE('Cable Info'!T71," - ",'Cable Info'!U71))</f>
        <v/>
      </c>
      <c r="BG71" s="121" t="str">
        <f t="shared" si="39"/>
        <v/>
      </c>
      <c r="BI71" s="121" t="str">
        <f>IF('Cable Info'!V71="","",CONCATENATE('Cable Info'!V71," - ",'Cable Info'!W71))</f>
        <v/>
      </c>
      <c r="BL71" s="121" t="str">
        <f t="shared" si="40"/>
        <v/>
      </c>
      <c r="CL71" s="250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59"/>
      <c r="F72" s="105" t="s">
        <v>45</v>
      </c>
      <c r="G72" s="262"/>
      <c r="H72" s="115" t="str">
        <f t="shared" si="29"/>
        <v/>
      </c>
      <c r="I72" s="264"/>
      <c r="J72" s="105" t="s">
        <v>45</v>
      </c>
      <c r="K72" s="267"/>
      <c r="L72" s="246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1" t="str">
        <f t="shared" si="31"/>
        <v/>
      </c>
      <c r="Z72" s="252" t="str">
        <f t="shared" si="32"/>
        <v/>
      </c>
      <c r="AA72" s="252" t="str">
        <f t="shared" si="33"/>
        <v/>
      </c>
      <c r="AB72" s="252" t="str">
        <f t="shared" si="34"/>
        <v/>
      </c>
      <c r="AJ72" s="121" t="str">
        <f>IF('Cable Info'!L72="","",CONCATENATE('Cable Info'!L72," - ",'Cable Info'!M72))</f>
        <v>71 - AW</v>
      </c>
      <c r="AM72" s="121" t="str">
        <f t="shared" si="35"/>
        <v>71 - AW</v>
      </c>
      <c r="AO72" s="121" t="str">
        <f>IF('Cable Info'!N72="","",CONCATENATE('Cable Info'!N72," - ",'Cable Info'!O72))</f>
        <v>71 - AW</v>
      </c>
      <c r="AR72" s="121" t="str">
        <f t="shared" si="36"/>
        <v>71 - AW</v>
      </c>
      <c r="AT72" s="121" t="str">
        <f>IF('Cable Info'!P72="","",CONCATENATE('Cable Info'!P72," - ",'Cable Info'!Q72))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Info'!R72="","",CONCATENATE('Cable Info'!R72," - ",'Cable Info'!S72))</f>
        <v/>
      </c>
      <c r="BB72" s="121" t="str">
        <f t="shared" si="38"/>
        <v/>
      </c>
      <c r="BD72" s="121" t="str">
        <f>IF('Cable Info'!T72="","",CONCATENATE('Cable Info'!T72," - ",'Cable Info'!U72))</f>
        <v/>
      </c>
      <c r="BG72" s="121" t="str">
        <f t="shared" si="39"/>
        <v/>
      </c>
      <c r="BI72" s="121" t="str">
        <f>IF('Cable Info'!V72="","",CONCATENATE('Cable Info'!V72," - ",'Cable Info'!W72))</f>
        <v/>
      </c>
      <c r="BL72" s="121" t="str">
        <f t="shared" si="40"/>
        <v/>
      </c>
      <c r="CL72" s="250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59"/>
      <c r="F73" s="105" t="s">
        <v>45</v>
      </c>
      <c r="G73" s="262"/>
      <c r="H73" s="115" t="str">
        <f t="shared" si="29"/>
        <v/>
      </c>
      <c r="I73" s="264"/>
      <c r="J73" s="105" t="s">
        <v>45</v>
      </c>
      <c r="K73" s="267"/>
      <c r="L73" s="246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1" t="str">
        <f t="shared" si="31"/>
        <v/>
      </c>
      <c r="Z73" s="252" t="str">
        <f t="shared" si="32"/>
        <v/>
      </c>
      <c r="AA73" s="252" t="str">
        <f t="shared" si="33"/>
        <v/>
      </c>
      <c r="AB73" s="252" t="str">
        <f t="shared" si="34"/>
        <v/>
      </c>
      <c r="AJ73" s="121" t="str">
        <f>IF('Cable Info'!L73="","",CONCATENATE('Cable Info'!L73," - ",'Cable Info'!M73))</f>
        <v>72 - AW</v>
      </c>
      <c r="AM73" s="121" t="str">
        <f t="shared" si="35"/>
        <v>72 - AW</v>
      </c>
      <c r="AO73" s="121" t="str">
        <f>IF('Cable Info'!N73="","",CONCATENATE('Cable Info'!N73," - ",'Cable Info'!O73))</f>
        <v>72 - AW</v>
      </c>
      <c r="AR73" s="121" t="str">
        <f t="shared" si="36"/>
        <v>72 - AW</v>
      </c>
      <c r="AT73" s="121" t="str">
        <f>IF('Cable Info'!P73="","",CONCATENATE('Cable Info'!P73," - ",'Cable Info'!Q73))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Info'!R73="","",CONCATENATE('Cable Info'!R73," - ",'Cable Info'!S73))</f>
        <v/>
      </c>
      <c r="BB73" s="121" t="str">
        <f t="shared" si="38"/>
        <v/>
      </c>
      <c r="BD73" s="121" t="str">
        <f>IF('Cable Info'!T73="","",CONCATENATE('Cable Info'!T73," - ",'Cable Info'!U73))</f>
        <v/>
      </c>
      <c r="BG73" s="121" t="str">
        <f t="shared" si="39"/>
        <v/>
      </c>
      <c r="BI73" s="121" t="str">
        <f>IF('Cable Info'!V73="","",CONCATENATE('Cable Info'!V73," - ",'Cable Info'!W73))</f>
        <v/>
      </c>
      <c r="BL73" s="121" t="str">
        <f t="shared" si="40"/>
        <v/>
      </c>
      <c r="CL73" s="250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59"/>
      <c r="F74" s="105" t="s">
        <v>45</v>
      </c>
      <c r="G74" s="262"/>
      <c r="H74" s="115" t="str">
        <f t="shared" si="29"/>
        <v/>
      </c>
      <c r="I74" s="264"/>
      <c r="J74" s="105" t="s">
        <v>45</v>
      </c>
      <c r="K74" s="267"/>
      <c r="L74" s="246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1" t="str">
        <f t="shared" si="31"/>
        <v/>
      </c>
      <c r="Z74" s="252" t="str">
        <f t="shared" si="32"/>
        <v/>
      </c>
      <c r="AA74" s="252" t="str">
        <f t="shared" si="33"/>
        <v/>
      </c>
      <c r="AB74" s="252" t="str">
        <f t="shared" si="34"/>
        <v/>
      </c>
      <c r="AJ74" s="121" t="str">
        <f>IF('Cable Info'!L74="","",CONCATENATE('Cable Info'!L74," - ",'Cable Info'!M74))</f>
        <v>73 - AW</v>
      </c>
      <c r="AM74" s="121" t="str">
        <f t="shared" si="35"/>
        <v>73 - AW</v>
      </c>
      <c r="AO74" s="121" t="str">
        <f>IF('Cable Info'!N74="","",CONCATENATE('Cable Info'!N74," - ",'Cable Info'!O74))</f>
        <v>73 - AW</v>
      </c>
      <c r="AR74" s="121" t="str">
        <f t="shared" si="36"/>
        <v>73 - AW</v>
      </c>
      <c r="AT74" s="121" t="str">
        <f>IF('Cable Info'!P74="","",CONCATENATE('Cable Info'!P74," - ",'Cable Info'!Q74))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Info'!R74="","",CONCATENATE('Cable Info'!R74," - ",'Cable Info'!S74))</f>
        <v/>
      </c>
      <c r="BB74" s="121" t="str">
        <f t="shared" si="38"/>
        <v/>
      </c>
      <c r="BD74" s="121" t="str">
        <f>IF('Cable Info'!T74="","",CONCATENATE('Cable Info'!T74," - ",'Cable Info'!U74))</f>
        <v/>
      </c>
      <c r="BG74" s="121" t="str">
        <f t="shared" si="39"/>
        <v/>
      </c>
      <c r="BI74" s="121" t="str">
        <f>IF('Cable Info'!V74="","",CONCATENATE('Cable Info'!V74," - ",'Cable Info'!W74))</f>
        <v/>
      </c>
      <c r="BL74" s="121" t="str">
        <f t="shared" si="40"/>
        <v/>
      </c>
      <c r="CL74" s="250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59"/>
      <c r="F75" s="105" t="s">
        <v>45</v>
      </c>
      <c r="G75" s="262"/>
      <c r="H75" s="115" t="str">
        <f t="shared" si="29"/>
        <v/>
      </c>
      <c r="I75" s="264"/>
      <c r="J75" s="105" t="s">
        <v>45</v>
      </c>
      <c r="K75" s="267"/>
      <c r="L75" s="246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1" t="str">
        <f t="shared" si="31"/>
        <v/>
      </c>
      <c r="Z75" s="252" t="str">
        <f t="shared" si="32"/>
        <v/>
      </c>
      <c r="AA75" s="252" t="str">
        <f t="shared" si="33"/>
        <v/>
      </c>
      <c r="AB75" s="252" t="str">
        <f t="shared" si="34"/>
        <v/>
      </c>
      <c r="AJ75" s="121" t="str">
        <f>IF('Cable Info'!L75="","",CONCATENATE('Cable Info'!L75," - ",'Cable Info'!M75))</f>
        <v>74 - AW</v>
      </c>
      <c r="AM75" s="121" t="str">
        <f t="shared" si="35"/>
        <v>74 - AW</v>
      </c>
      <c r="AO75" s="121" t="str">
        <f>IF('Cable Info'!N75="","",CONCATENATE('Cable Info'!N75," - ",'Cable Info'!O75))</f>
        <v>74 - AW</v>
      </c>
      <c r="AR75" s="121" t="str">
        <f t="shared" si="36"/>
        <v>74 - AW</v>
      </c>
      <c r="AT75" s="121" t="str">
        <f>IF('Cable Info'!P75="","",CONCATENATE('Cable Info'!P75," - ",'Cable Info'!Q75))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Info'!R75="","",CONCATENATE('Cable Info'!R75," - ",'Cable Info'!S75))</f>
        <v/>
      </c>
      <c r="BB75" s="121" t="str">
        <f t="shared" si="38"/>
        <v/>
      </c>
      <c r="BD75" s="121" t="str">
        <f>IF('Cable Info'!T75="","",CONCATENATE('Cable Info'!T75," - ",'Cable Info'!U75))</f>
        <v/>
      </c>
      <c r="BG75" s="121" t="str">
        <f t="shared" si="39"/>
        <v/>
      </c>
      <c r="BI75" s="121" t="str">
        <f>IF('Cable Info'!V75="","",CONCATENATE('Cable Info'!V75," - ",'Cable Info'!W75))</f>
        <v/>
      </c>
      <c r="BL75" s="121" t="str">
        <f t="shared" si="40"/>
        <v/>
      </c>
      <c r="CL75" s="250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59"/>
      <c r="F76" s="105" t="s">
        <v>45</v>
      </c>
      <c r="G76" s="262"/>
      <c r="H76" s="115" t="str">
        <f t="shared" ref="H76:H139" si="41">IF(G76="","",((E76-G76)-1)*(-1))</f>
        <v/>
      </c>
      <c r="I76" s="264"/>
      <c r="J76" s="105" t="s">
        <v>45</v>
      </c>
      <c r="K76" s="267"/>
      <c r="L76" s="246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ref="X76:X139" si="42">IF(V76="","",IF(R76="","",IF(S76="","",IF(R76="SPLICED",(IF(S76="SPLICE",0,9)),IF(V76=$U$3,(IF(S76="BREAK",12,11)),IF(S76="BREAK",2,1))))))</f>
        <v/>
      </c>
      <c r="Y76" s="251" t="str">
        <f t="shared" ref="Y76:Y139" si="43">IF(E76="","",IF(G76="","",IF(E76&gt;G76,1,"")))</f>
        <v/>
      </c>
      <c r="Z76" s="252" t="str">
        <f t="shared" ref="Z76:Z139" si="44">IF(I76="","",IF(K76="","",IF(I76&gt;K76,1,"")))</f>
        <v/>
      </c>
      <c r="AA76" s="252" t="str">
        <f t="shared" ref="AA76:AA139" si="45">IF(K76="","",((I76-K76)-1)*(-1))</f>
        <v/>
      </c>
      <c r="AB76" s="252" t="str">
        <f t="shared" ref="AB76:AB139" si="46">IF(E76="","",IF(G76="","",IF(I76="","",IF(K76="","",IF(AA76&lt;&gt;H76,1,"")))))</f>
        <v/>
      </c>
      <c r="AJ76" s="121" t="str">
        <f>IF('Cable Info'!L76="","",CONCATENATE('Cable Info'!L76," - ",'Cable Info'!M76))</f>
        <v>75 - AW</v>
      </c>
      <c r="AM76" s="121" t="str">
        <f t="shared" ref="AM76:AM139" si="47">IF(AK76="",AJ76,CONCATENATE(AJ76,"  &lt;=&gt; ",AK76," ",AL76))</f>
        <v>75 - AW</v>
      </c>
      <c r="AO76" s="121" t="str">
        <f>IF('Cable Info'!N76="","",CONCATENATE('Cable Info'!N76," - ",'Cable Info'!O76))</f>
        <v>75 - AW</v>
      </c>
      <c r="AR76" s="121" t="str">
        <f t="shared" ref="AR76:AR139" si="48">IF(AP76="",AO76,CONCATENATE(AO76,"  &lt;=&gt; ",AP76," ",AQ76))</f>
        <v>75 - AW</v>
      </c>
      <c r="AT76" s="121" t="str">
        <f>IF('Cable Info'!P76="","",CONCATENATE('Cable Info'!P76," - ",'Cable Info'!Q76))</f>
        <v/>
      </c>
      <c r="AU76" s="121" t="s">
        <v>51</v>
      </c>
      <c r="AW76" s="121" t="str">
        <f t="shared" ref="AW76:AW139" si="49">IF(AU76="",AT76,CONCATENATE(AT76,"  &lt;=&gt; ",AU76," ",AV76))</f>
        <v xml:space="preserve">  &lt;=&gt; CABLEC </v>
      </c>
      <c r="AY76" s="121" t="str">
        <f>IF('Cable Info'!R76="","",CONCATENATE('Cable Info'!R76," - ",'Cable Info'!S76))</f>
        <v/>
      </c>
      <c r="BB76" s="121" t="str">
        <f t="shared" ref="BB76:BB139" si="50">IF(AZ76="",AY76,CONCATENATE(AY76,"  &lt;=&gt; ",AZ76," ",BA76))</f>
        <v/>
      </c>
      <c r="BD76" s="121" t="str">
        <f>IF('Cable Info'!T76="","",CONCATENATE('Cable Info'!T76," - ",'Cable Info'!U76))</f>
        <v/>
      </c>
      <c r="BG76" s="121" t="str">
        <f t="shared" ref="BG76:BG139" si="51">IF(BE76="",BD76,CONCATENATE(BD76,"  &lt;=&gt; ",BE76," ",BF76))</f>
        <v/>
      </c>
      <c r="BI76" s="121" t="str">
        <f>IF('Cable Info'!V76="","",CONCATENATE('Cable Info'!V76," - ",'Cable Info'!W76))</f>
        <v/>
      </c>
      <c r="BL76" s="121" t="str">
        <f t="shared" ref="BL76:BL139" si="52">IF(BJ76="",BI76,CONCATENATE(BI76,"  &lt;=&gt; ",BJ76," ",BK76))</f>
        <v/>
      </c>
      <c r="CL76" s="250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59"/>
      <c r="F77" s="105" t="s">
        <v>45</v>
      </c>
      <c r="G77" s="262"/>
      <c r="H77" s="115" t="str">
        <f t="shared" si="41"/>
        <v/>
      </c>
      <c r="I77" s="264"/>
      <c r="J77" s="105" t="s">
        <v>45</v>
      </c>
      <c r="K77" s="267"/>
      <c r="L77" s="246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si="42"/>
        <v/>
      </c>
      <c r="Y77" s="251" t="str">
        <f t="shared" si="43"/>
        <v/>
      </c>
      <c r="Z77" s="252" t="str">
        <f t="shared" si="44"/>
        <v/>
      </c>
      <c r="AA77" s="252" t="str">
        <f t="shared" si="45"/>
        <v/>
      </c>
      <c r="AB77" s="252" t="str">
        <f t="shared" si="46"/>
        <v/>
      </c>
      <c r="AJ77" s="121" t="str">
        <f>IF('Cable Info'!L77="","",CONCATENATE('Cable Info'!L77," - ",'Cable Info'!M77))</f>
        <v>76 - AW</v>
      </c>
      <c r="AM77" s="121" t="str">
        <f t="shared" si="47"/>
        <v>76 - AW</v>
      </c>
      <c r="AO77" s="121" t="str">
        <f>IF('Cable Info'!N77="","",CONCATENATE('Cable Info'!N77," - ",'Cable Info'!O77))</f>
        <v>76 - AW</v>
      </c>
      <c r="AR77" s="121" t="str">
        <f t="shared" si="48"/>
        <v>76 - AW</v>
      </c>
      <c r="AT77" s="121" t="str">
        <f>IF('Cable Info'!P77="","",CONCATENATE('Cable Info'!P77," - ",'Cable Info'!Q77))</f>
        <v/>
      </c>
      <c r="AU77" s="121" t="s">
        <v>51</v>
      </c>
      <c r="AW77" s="121" t="str">
        <f t="shared" si="49"/>
        <v xml:space="preserve">  &lt;=&gt; CABLEC </v>
      </c>
      <c r="AY77" s="121" t="str">
        <f>IF('Cable Info'!R77="","",CONCATENATE('Cable Info'!R77," - ",'Cable Info'!S77))</f>
        <v/>
      </c>
      <c r="BB77" s="121" t="str">
        <f t="shared" si="50"/>
        <v/>
      </c>
      <c r="BD77" s="121" t="str">
        <f>IF('Cable Info'!T77="","",CONCATENATE('Cable Info'!T77," - ",'Cable Info'!U77))</f>
        <v/>
      </c>
      <c r="BG77" s="121" t="str">
        <f t="shared" si="51"/>
        <v/>
      </c>
      <c r="BI77" s="121" t="str">
        <f>IF('Cable Info'!V77="","",CONCATENATE('Cable Info'!V77," - ",'Cable Info'!W77))</f>
        <v/>
      </c>
      <c r="BL77" s="121" t="str">
        <f t="shared" si="52"/>
        <v/>
      </c>
      <c r="CL77" s="250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59"/>
      <c r="F78" s="105" t="s">
        <v>45</v>
      </c>
      <c r="G78" s="262"/>
      <c r="H78" s="115" t="str">
        <f t="shared" si="41"/>
        <v/>
      </c>
      <c r="I78" s="264"/>
      <c r="J78" s="105" t="s">
        <v>45</v>
      </c>
      <c r="K78" s="267"/>
      <c r="L78" s="246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1" t="str">
        <f t="shared" si="43"/>
        <v/>
      </c>
      <c r="Z78" s="252" t="str">
        <f t="shared" si="44"/>
        <v/>
      </c>
      <c r="AA78" s="252" t="str">
        <f t="shared" si="45"/>
        <v/>
      </c>
      <c r="AB78" s="252" t="str">
        <f t="shared" si="46"/>
        <v/>
      </c>
      <c r="AJ78" s="121" t="str">
        <f>IF('Cable Info'!L78="","",CONCATENATE('Cable Info'!L78," - ",'Cable Info'!M78))</f>
        <v>77 - AW</v>
      </c>
      <c r="AM78" s="121" t="str">
        <f t="shared" si="47"/>
        <v>77 - AW</v>
      </c>
      <c r="AO78" s="121" t="str">
        <f>IF('Cable Info'!N78="","",CONCATENATE('Cable Info'!N78," - ",'Cable Info'!O78))</f>
        <v>77 - AW</v>
      </c>
      <c r="AR78" s="121" t="str">
        <f t="shared" si="48"/>
        <v>77 - AW</v>
      </c>
      <c r="AT78" s="121" t="str">
        <f>IF('Cable Info'!P78="","",CONCATENATE('Cable Info'!P78," - ",'Cable Info'!Q78))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Info'!R78="","",CONCATENATE('Cable Info'!R78," - ",'Cable Info'!S78))</f>
        <v/>
      </c>
      <c r="BB78" s="121" t="str">
        <f t="shared" si="50"/>
        <v/>
      </c>
      <c r="BD78" s="121" t="str">
        <f>IF('Cable Info'!T78="","",CONCATENATE('Cable Info'!T78," - ",'Cable Info'!U78))</f>
        <v/>
      </c>
      <c r="BG78" s="121" t="str">
        <f t="shared" si="51"/>
        <v/>
      </c>
      <c r="BI78" s="121" t="str">
        <f>IF('Cable Info'!V78="","",CONCATENATE('Cable Info'!V78," - ",'Cable Info'!W78))</f>
        <v/>
      </c>
      <c r="BL78" s="121" t="str">
        <f t="shared" si="52"/>
        <v/>
      </c>
      <c r="CL78" s="250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59"/>
      <c r="F79" s="105" t="s">
        <v>45</v>
      </c>
      <c r="G79" s="262"/>
      <c r="H79" s="115" t="str">
        <f t="shared" si="41"/>
        <v/>
      </c>
      <c r="I79" s="264"/>
      <c r="J79" s="105" t="s">
        <v>45</v>
      </c>
      <c r="K79" s="267"/>
      <c r="L79" s="246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1" t="str">
        <f t="shared" si="43"/>
        <v/>
      </c>
      <c r="Z79" s="252" t="str">
        <f t="shared" si="44"/>
        <v/>
      </c>
      <c r="AA79" s="252" t="str">
        <f t="shared" si="45"/>
        <v/>
      </c>
      <c r="AB79" s="252" t="str">
        <f t="shared" si="46"/>
        <v/>
      </c>
      <c r="AJ79" s="121" t="str">
        <f>IF('Cable Info'!L79="","",CONCATENATE('Cable Info'!L79," - ",'Cable Info'!M79))</f>
        <v>78 - AW</v>
      </c>
      <c r="AM79" s="121" t="str">
        <f t="shared" si="47"/>
        <v>78 - AW</v>
      </c>
      <c r="AO79" s="121" t="str">
        <f>IF('Cable Info'!N79="","",CONCATENATE('Cable Info'!N79," - ",'Cable Info'!O79))</f>
        <v>78 - AW</v>
      </c>
      <c r="AR79" s="121" t="str">
        <f t="shared" si="48"/>
        <v>78 - AW</v>
      </c>
      <c r="AT79" s="121" t="str">
        <f>IF('Cable Info'!P79="","",CONCATENATE('Cable Info'!P79," - ",'Cable Info'!Q79))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Info'!R79="","",CONCATENATE('Cable Info'!R79," - ",'Cable Info'!S79))</f>
        <v/>
      </c>
      <c r="BB79" s="121" t="str">
        <f t="shared" si="50"/>
        <v/>
      </c>
      <c r="BD79" s="121" t="str">
        <f>IF('Cable Info'!T79="","",CONCATENATE('Cable Info'!T79," - ",'Cable Info'!U79))</f>
        <v/>
      </c>
      <c r="BG79" s="121" t="str">
        <f t="shared" si="51"/>
        <v/>
      </c>
      <c r="BI79" s="121" t="str">
        <f>IF('Cable Info'!V79="","",CONCATENATE('Cable Info'!V79," - ",'Cable Info'!W79))</f>
        <v/>
      </c>
      <c r="BL79" s="121" t="str">
        <f t="shared" si="52"/>
        <v/>
      </c>
      <c r="CL79" s="250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59"/>
      <c r="F80" s="105" t="s">
        <v>45</v>
      </c>
      <c r="G80" s="262"/>
      <c r="H80" s="115" t="str">
        <f t="shared" si="41"/>
        <v/>
      </c>
      <c r="I80" s="264"/>
      <c r="J80" s="105" t="s">
        <v>45</v>
      </c>
      <c r="K80" s="267"/>
      <c r="L80" s="246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1" t="str">
        <f t="shared" si="43"/>
        <v/>
      </c>
      <c r="Z80" s="252" t="str">
        <f t="shared" si="44"/>
        <v/>
      </c>
      <c r="AA80" s="252" t="str">
        <f t="shared" si="45"/>
        <v/>
      </c>
      <c r="AB80" s="252" t="str">
        <f t="shared" si="46"/>
        <v/>
      </c>
      <c r="AJ80" s="121" t="str">
        <f>IF('Cable Info'!L80="","",CONCATENATE('Cable Info'!L80," - ",'Cable Info'!M80))</f>
        <v>79 - AW</v>
      </c>
      <c r="AM80" s="121" t="str">
        <f t="shared" si="47"/>
        <v>79 - AW</v>
      </c>
      <c r="AO80" s="121" t="str">
        <f>IF('Cable Info'!N80="","",CONCATENATE('Cable Info'!N80," - ",'Cable Info'!O80))</f>
        <v>79 - AW</v>
      </c>
      <c r="AR80" s="121" t="str">
        <f t="shared" si="48"/>
        <v>79 - AW</v>
      </c>
      <c r="AT80" s="121" t="str">
        <f>IF('Cable Info'!P80="","",CONCATENATE('Cable Info'!P80," - ",'Cable Info'!Q80))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Info'!R80="","",CONCATENATE('Cable Info'!R80," - ",'Cable Info'!S80))</f>
        <v/>
      </c>
      <c r="BB80" s="121" t="str">
        <f t="shared" si="50"/>
        <v/>
      </c>
      <c r="BD80" s="121" t="str">
        <f>IF('Cable Info'!T80="","",CONCATENATE('Cable Info'!T80," - ",'Cable Info'!U80))</f>
        <v/>
      </c>
      <c r="BG80" s="121" t="str">
        <f t="shared" si="51"/>
        <v/>
      </c>
      <c r="BI80" s="121" t="str">
        <f>IF('Cable Info'!V80="","",CONCATENATE('Cable Info'!V80," - ",'Cable Info'!W80))</f>
        <v/>
      </c>
      <c r="BL80" s="121" t="str">
        <f t="shared" si="52"/>
        <v/>
      </c>
      <c r="CL80" s="250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59"/>
      <c r="F81" s="105" t="s">
        <v>45</v>
      </c>
      <c r="G81" s="262"/>
      <c r="H81" s="115" t="str">
        <f t="shared" si="41"/>
        <v/>
      </c>
      <c r="I81" s="264"/>
      <c r="J81" s="105" t="s">
        <v>45</v>
      </c>
      <c r="K81" s="267"/>
      <c r="L81" s="246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1" t="str">
        <f t="shared" si="43"/>
        <v/>
      </c>
      <c r="Z81" s="252" t="str">
        <f t="shared" si="44"/>
        <v/>
      </c>
      <c r="AA81" s="252" t="str">
        <f t="shared" si="45"/>
        <v/>
      </c>
      <c r="AB81" s="252" t="str">
        <f t="shared" si="46"/>
        <v/>
      </c>
      <c r="AJ81" s="121" t="str">
        <f>IF('Cable Info'!L81="","",CONCATENATE('Cable Info'!L81," - ",'Cable Info'!M81))</f>
        <v>80 - AW</v>
      </c>
      <c r="AM81" s="121" t="str">
        <f t="shared" si="47"/>
        <v>80 - AW</v>
      </c>
      <c r="AO81" s="121" t="str">
        <f>IF('Cable Info'!N81="","",CONCATENATE('Cable Info'!N81," - ",'Cable Info'!O81))</f>
        <v>80 - AW</v>
      </c>
      <c r="AR81" s="121" t="str">
        <f t="shared" si="48"/>
        <v>80 - AW</v>
      </c>
      <c r="AT81" s="121" t="str">
        <f>IF('Cable Info'!P81="","",CONCATENATE('Cable Info'!P81," - ",'Cable Info'!Q81))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Info'!R81="","",CONCATENATE('Cable Info'!R81," - ",'Cable Info'!S81))</f>
        <v/>
      </c>
      <c r="BB81" s="121" t="str">
        <f t="shared" si="50"/>
        <v/>
      </c>
      <c r="BD81" s="121" t="str">
        <f>IF('Cable Info'!T81="","",CONCATENATE('Cable Info'!T81," - ",'Cable Info'!U81))</f>
        <v/>
      </c>
      <c r="BG81" s="121" t="str">
        <f t="shared" si="51"/>
        <v/>
      </c>
      <c r="BI81" s="121" t="str">
        <f>IF('Cable Info'!V81="","",CONCATENATE('Cable Info'!V81," - ",'Cable Info'!W81))</f>
        <v/>
      </c>
      <c r="BL81" s="121" t="str">
        <f t="shared" si="52"/>
        <v/>
      </c>
      <c r="CL81" s="250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59"/>
      <c r="F82" s="105" t="s">
        <v>45</v>
      </c>
      <c r="G82" s="262"/>
      <c r="H82" s="115" t="str">
        <f t="shared" si="41"/>
        <v/>
      </c>
      <c r="I82" s="264"/>
      <c r="J82" s="105" t="s">
        <v>45</v>
      </c>
      <c r="K82" s="267"/>
      <c r="L82" s="246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1" t="str">
        <f t="shared" si="43"/>
        <v/>
      </c>
      <c r="Z82" s="252" t="str">
        <f t="shared" si="44"/>
        <v/>
      </c>
      <c r="AA82" s="252" t="str">
        <f t="shared" si="45"/>
        <v/>
      </c>
      <c r="AB82" s="252" t="str">
        <f t="shared" si="46"/>
        <v/>
      </c>
      <c r="AJ82" s="121" t="str">
        <f>IF('Cable Info'!L82="","",CONCATENATE('Cable Info'!L82," - ",'Cable Info'!M82))</f>
        <v>81 - AW</v>
      </c>
      <c r="AM82" s="121" t="str">
        <f t="shared" si="47"/>
        <v>81 - AW</v>
      </c>
      <c r="AO82" s="121" t="str">
        <f>IF('Cable Info'!N82="","",CONCATENATE('Cable Info'!N82," - ",'Cable Info'!O82))</f>
        <v>81 - AW</v>
      </c>
      <c r="AR82" s="121" t="str">
        <f t="shared" si="48"/>
        <v>81 - AW</v>
      </c>
      <c r="AT82" s="121" t="str">
        <f>IF('Cable Info'!P82="","",CONCATENATE('Cable Info'!P82," - ",'Cable Info'!Q82))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Info'!R82="","",CONCATENATE('Cable Info'!R82," - ",'Cable Info'!S82))</f>
        <v/>
      </c>
      <c r="BB82" s="121" t="str">
        <f t="shared" si="50"/>
        <v/>
      </c>
      <c r="BD82" s="121" t="str">
        <f>IF('Cable Info'!T82="","",CONCATENATE('Cable Info'!T82," - ",'Cable Info'!U82))</f>
        <v/>
      </c>
      <c r="BG82" s="121" t="str">
        <f t="shared" si="51"/>
        <v/>
      </c>
      <c r="BI82" s="121" t="str">
        <f>IF('Cable Info'!V82="","",CONCATENATE('Cable Info'!V82," - ",'Cable Info'!W82))</f>
        <v/>
      </c>
      <c r="BL82" s="121" t="str">
        <f t="shared" si="52"/>
        <v/>
      </c>
      <c r="CL82" s="250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59"/>
      <c r="F83" s="105" t="s">
        <v>45</v>
      </c>
      <c r="G83" s="262"/>
      <c r="H83" s="115" t="str">
        <f t="shared" si="41"/>
        <v/>
      </c>
      <c r="I83" s="264"/>
      <c r="J83" s="105" t="s">
        <v>45</v>
      </c>
      <c r="K83" s="267"/>
      <c r="L83" s="246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1" t="str">
        <f t="shared" si="43"/>
        <v/>
      </c>
      <c r="Z83" s="252" t="str">
        <f t="shared" si="44"/>
        <v/>
      </c>
      <c r="AA83" s="252" t="str">
        <f t="shared" si="45"/>
        <v/>
      </c>
      <c r="AB83" s="252" t="str">
        <f t="shared" si="46"/>
        <v/>
      </c>
      <c r="AJ83" s="121" t="str">
        <f>IF('Cable Info'!L83="","",CONCATENATE('Cable Info'!L83," - ",'Cable Info'!M83))</f>
        <v>82 - AW</v>
      </c>
      <c r="AM83" s="121" t="str">
        <f t="shared" si="47"/>
        <v>82 - AW</v>
      </c>
      <c r="AO83" s="121" t="str">
        <f>IF('Cable Info'!N83="","",CONCATENATE('Cable Info'!N83," - ",'Cable Info'!O83))</f>
        <v>82 - AW</v>
      </c>
      <c r="AR83" s="121" t="str">
        <f t="shared" si="48"/>
        <v>82 - AW</v>
      </c>
      <c r="AT83" s="121" t="str">
        <f>IF('Cable Info'!P83="","",CONCATENATE('Cable Info'!P83," - ",'Cable Info'!Q83))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Info'!R83="","",CONCATENATE('Cable Info'!R83," - ",'Cable Info'!S83))</f>
        <v/>
      </c>
      <c r="BB83" s="121" t="str">
        <f t="shared" si="50"/>
        <v/>
      </c>
      <c r="BD83" s="121" t="str">
        <f>IF('Cable Info'!T83="","",CONCATENATE('Cable Info'!T83," - ",'Cable Info'!U83))</f>
        <v/>
      </c>
      <c r="BG83" s="121" t="str">
        <f t="shared" si="51"/>
        <v/>
      </c>
      <c r="BI83" s="121" t="str">
        <f>IF('Cable Info'!V83="","",CONCATENATE('Cable Info'!V83," - ",'Cable Info'!W83))</f>
        <v/>
      </c>
      <c r="BL83" s="121" t="str">
        <f t="shared" si="52"/>
        <v/>
      </c>
      <c r="CL83" s="250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59"/>
      <c r="F84" s="105" t="s">
        <v>45</v>
      </c>
      <c r="G84" s="262"/>
      <c r="H84" s="115" t="str">
        <f t="shared" si="41"/>
        <v/>
      </c>
      <c r="I84" s="264"/>
      <c r="J84" s="105" t="s">
        <v>45</v>
      </c>
      <c r="K84" s="267"/>
      <c r="L84" s="246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1" t="str">
        <f t="shared" si="43"/>
        <v/>
      </c>
      <c r="Z84" s="252" t="str">
        <f t="shared" si="44"/>
        <v/>
      </c>
      <c r="AA84" s="252" t="str">
        <f t="shared" si="45"/>
        <v/>
      </c>
      <c r="AB84" s="252" t="str">
        <f t="shared" si="46"/>
        <v/>
      </c>
      <c r="AJ84" s="121" t="str">
        <f>IF('Cable Info'!L84="","",CONCATENATE('Cable Info'!L84," - ",'Cable Info'!M84))</f>
        <v>83 - AW</v>
      </c>
      <c r="AM84" s="121" t="str">
        <f t="shared" si="47"/>
        <v>83 - AW</v>
      </c>
      <c r="AO84" s="121" t="str">
        <f>IF('Cable Info'!N84="","",CONCATENATE('Cable Info'!N84," - ",'Cable Info'!O84))</f>
        <v>83 - AW</v>
      </c>
      <c r="AR84" s="121" t="str">
        <f t="shared" si="48"/>
        <v>83 - AW</v>
      </c>
      <c r="AT84" s="121" t="str">
        <f>IF('Cable Info'!P84="","",CONCATENATE('Cable Info'!P84," - ",'Cable Info'!Q84))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Info'!R84="","",CONCATENATE('Cable Info'!R84," - ",'Cable Info'!S84))</f>
        <v/>
      </c>
      <c r="BB84" s="121" t="str">
        <f t="shared" si="50"/>
        <v/>
      </c>
      <c r="BD84" s="121" t="str">
        <f>IF('Cable Info'!T84="","",CONCATENATE('Cable Info'!T84," - ",'Cable Info'!U84))</f>
        <v/>
      </c>
      <c r="BG84" s="121" t="str">
        <f t="shared" si="51"/>
        <v/>
      </c>
      <c r="BI84" s="121" t="str">
        <f>IF('Cable Info'!V84="","",CONCATENATE('Cable Info'!V84," - ",'Cable Info'!W84))</f>
        <v/>
      </c>
      <c r="BL84" s="121" t="str">
        <f t="shared" si="52"/>
        <v/>
      </c>
      <c r="CL84" s="250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59"/>
      <c r="F85" s="105" t="s">
        <v>45</v>
      </c>
      <c r="G85" s="262"/>
      <c r="H85" s="115" t="str">
        <f t="shared" si="41"/>
        <v/>
      </c>
      <c r="I85" s="264"/>
      <c r="J85" s="105" t="s">
        <v>45</v>
      </c>
      <c r="K85" s="267"/>
      <c r="L85" s="246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1" t="str">
        <f t="shared" si="43"/>
        <v/>
      </c>
      <c r="Z85" s="252" t="str">
        <f t="shared" si="44"/>
        <v/>
      </c>
      <c r="AA85" s="252" t="str">
        <f t="shared" si="45"/>
        <v/>
      </c>
      <c r="AB85" s="252" t="str">
        <f t="shared" si="46"/>
        <v/>
      </c>
      <c r="AJ85" s="121" t="str">
        <f>IF('Cable Info'!L85="","",CONCATENATE('Cable Info'!L85," - ",'Cable Info'!M85))</f>
        <v>84 - AW</v>
      </c>
      <c r="AM85" s="121" t="str">
        <f t="shared" si="47"/>
        <v>84 - AW</v>
      </c>
      <c r="AO85" s="121" t="str">
        <f>IF('Cable Info'!N85="","",CONCATENATE('Cable Info'!N85," - ",'Cable Info'!O85))</f>
        <v>84 - AW</v>
      </c>
      <c r="AR85" s="121" t="str">
        <f t="shared" si="48"/>
        <v>84 - AW</v>
      </c>
      <c r="AT85" s="121" t="str">
        <f>IF('Cable Info'!P85="","",CONCATENATE('Cable Info'!P85," - ",'Cable Info'!Q85))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Info'!R85="","",CONCATENATE('Cable Info'!R85," - ",'Cable Info'!S85))</f>
        <v/>
      </c>
      <c r="BB85" s="121" t="str">
        <f t="shared" si="50"/>
        <v/>
      </c>
      <c r="BD85" s="121" t="str">
        <f>IF('Cable Info'!T85="","",CONCATENATE('Cable Info'!T85," - ",'Cable Info'!U85))</f>
        <v/>
      </c>
      <c r="BG85" s="121" t="str">
        <f t="shared" si="51"/>
        <v/>
      </c>
      <c r="BI85" s="121" t="str">
        <f>IF('Cable Info'!V85="","",CONCATENATE('Cable Info'!V85," - ",'Cable Info'!W85))</f>
        <v/>
      </c>
      <c r="BL85" s="121" t="str">
        <f t="shared" si="52"/>
        <v/>
      </c>
      <c r="CL85" s="250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59"/>
      <c r="F86" s="105" t="s">
        <v>45</v>
      </c>
      <c r="G86" s="262"/>
      <c r="H86" s="115" t="str">
        <f t="shared" si="41"/>
        <v/>
      </c>
      <c r="I86" s="264"/>
      <c r="J86" s="105" t="s">
        <v>45</v>
      </c>
      <c r="K86" s="267"/>
      <c r="L86" s="246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1" t="str">
        <f t="shared" si="43"/>
        <v/>
      </c>
      <c r="Z86" s="252" t="str">
        <f t="shared" si="44"/>
        <v/>
      </c>
      <c r="AA86" s="252" t="str">
        <f t="shared" si="45"/>
        <v/>
      </c>
      <c r="AB86" s="252" t="str">
        <f t="shared" si="46"/>
        <v/>
      </c>
      <c r="AJ86" s="121" t="str">
        <f>IF('Cable Info'!L86="","",CONCATENATE('Cable Info'!L86," - ",'Cable Info'!M86))</f>
        <v>85 - AW</v>
      </c>
      <c r="AM86" s="121" t="str">
        <f t="shared" si="47"/>
        <v>85 - AW</v>
      </c>
      <c r="AO86" s="121" t="str">
        <f>IF('Cable Info'!N86="","",CONCATENATE('Cable Info'!N86," - ",'Cable Info'!O86))</f>
        <v>85 - AW</v>
      </c>
      <c r="AR86" s="121" t="str">
        <f t="shared" si="48"/>
        <v>85 - AW</v>
      </c>
      <c r="AT86" s="121" t="str">
        <f>IF('Cable Info'!P86="","",CONCATENATE('Cable Info'!P86," - ",'Cable Info'!Q86))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Info'!R86="","",CONCATENATE('Cable Info'!R86," - ",'Cable Info'!S86))</f>
        <v/>
      </c>
      <c r="BB86" s="121" t="str">
        <f t="shared" si="50"/>
        <v/>
      </c>
      <c r="BD86" s="121" t="str">
        <f>IF('Cable Info'!T86="","",CONCATENATE('Cable Info'!T86," - ",'Cable Info'!U86))</f>
        <v/>
      </c>
      <c r="BG86" s="121" t="str">
        <f t="shared" si="51"/>
        <v/>
      </c>
      <c r="BI86" s="121" t="str">
        <f>IF('Cable Info'!V86="","",CONCATENATE('Cable Info'!V86," - ",'Cable Info'!W86))</f>
        <v/>
      </c>
      <c r="BL86" s="121" t="str">
        <f t="shared" si="52"/>
        <v/>
      </c>
      <c r="CL86" s="250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59"/>
      <c r="F87" s="105" t="s">
        <v>45</v>
      </c>
      <c r="G87" s="262"/>
      <c r="H87" s="115" t="str">
        <f t="shared" si="41"/>
        <v/>
      </c>
      <c r="I87" s="264"/>
      <c r="J87" s="105" t="s">
        <v>45</v>
      </c>
      <c r="K87" s="267"/>
      <c r="L87" s="246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1" t="str">
        <f t="shared" si="43"/>
        <v/>
      </c>
      <c r="Z87" s="252" t="str">
        <f t="shared" si="44"/>
        <v/>
      </c>
      <c r="AA87" s="252" t="str">
        <f t="shared" si="45"/>
        <v/>
      </c>
      <c r="AB87" s="252" t="str">
        <f t="shared" si="46"/>
        <v/>
      </c>
      <c r="AJ87" s="121" t="str">
        <f>IF('Cable Info'!L87="","",CONCATENATE('Cable Info'!L87," - ",'Cable Info'!M87))</f>
        <v>86 - AW</v>
      </c>
      <c r="AM87" s="121" t="str">
        <f t="shared" si="47"/>
        <v>86 - AW</v>
      </c>
      <c r="AO87" s="121" t="str">
        <f>IF('Cable Info'!N87="","",CONCATENATE('Cable Info'!N87," - ",'Cable Info'!O87))</f>
        <v>86 - AW</v>
      </c>
      <c r="AR87" s="121" t="str">
        <f t="shared" si="48"/>
        <v>86 - AW</v>
      </c>
      <c r="AT87" s="121" t="str">
        <f>IF('Cable Info'!P87="","",CONCATENATE('Cable Info'!P87," - ",'Cable Info'!Q87))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Info'!R87="","",CONCATENATE('Cable Info'!R87," - ",'Cable Info'!S87))</f>
        <v/>
      </c>
      <c r="BB87" s="121" t="str">
        <f t="shared" si="50"/>
        <v/>
      </c>
      <c r="BD87" s="121" t="str">
        <f>IF('Cable Info'!T87="","",CONCATENATE('Cable Info'!T87," - ",'Cable Info'!U87))</f>
        <v/>
      </c>
      <c r="BG87" s="121" t="str">
        <f t="shared" si="51"/>
        <v/>
      </c>
      <c r="BI87" s="121" t="str">
        <f>IF('Cable Info'!V87="","",CONCATENATE('Cable Info'!V87," - ",'Cable Info'!W87))</f>
        <v/>
      </c>
      <c r="BL87" s="121" t="str">
        <f t="shared" si="52"/>
        <v/>
      </c>
      <c r="CL87" s="250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59"/>
      <c r="F88" s="105" t="s">
        <v>45</v>
      </c>
      <c r="G88" s="262"/>
      <c r="H88" s="115" t="str">
        <f t="shared" si="41"/>
        <v/>
      </c>
      <c r="I88" s="264"/>
      <c r="J88" s="105" t="s">
        <v>45</v>
      </c>
      <c r="K88" s="267"/>
      <c r="L88" s="246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1" t="str">
        <f t="shared" si="43"/>
        <v/>
      </c>
      <c r="Z88" s="252" t="str">
        <f t="shared" si="44"/>
        <v/>
      </c>
      <c r="AA88" s="252" t="str">
        <f t="shared" si="45"/>
        <v/>
      </c>
      <c r="AB88" s="252" t="str">
        <f t="shared" si="46"/>
        <v/>
      </c>
      <c r="AJ88" s="121" t="str">
        <f>IF('Cable Info'!L88="","",CONCATENATE('Cable Info'!L88," - ",'Cable Info'!M88))</f>
        <v>87 - AW</v>
      </c>
      <c r="AM88" s="121" t="str">
        <f t="shared" si="47"/>
        <v>87 - AW</v>
      </c>
      <c r="AO88" s="121" t="str">
        <f>IF('Cable Info'!N88="","",CONCATENATE('Cable Info'!N88," - ",'Cable Info'!O88))</f>
        <v>87 - AW</v>
      </c>
      <c r="AR88" s="121" t="str">
        <f t="shared" si="48"/>
        <v>87 - AW</v>
      </c>
      <c r="AT88" s="121" t="str">
        <f>IF('Cable Info'!P88="","",CONCATENATE('Cable Info'!P88," - ",'Cable Info'!Q88))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Info'!R88="","",CONCATENATE('Cable Info'!R88," - ",'Cable Info'!S88))</f>
        <v/>
      </c>
      <c r="BB88" s="121" t="str">
        <f t="shared" si="50"/>
        <v/>
      </c>
      <c r="BD88" s="121" t="str">
        <f>IF('Cable Info'!T88="","",CONCATENATE('Cable Info'!T88," - ",'Cable Info'!U88))</f>
        <v/>
      </c>
      <c r="BG88" s="121" t="str">
        <f t="shared" si="51"/>
        <v/>
      </c>
      <c r="BI88" s="121" t="str">
        <f>IF('Cable Info'!V88="","",CONCATENATE('Cable Info'!V88," - ",'Cable Info'!W88))</f>
        <v/>
      </c>
      <c r="BL88" s="121" t="str">
        <f t="shared" si="52"/>
        <v/>
      </c>
      <c r="CL88" s="250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59"/>
      <c r="F89" s="105" t="s">
        <v>45</v>
      </c>
      <c r="G89" s="262"/>
      <c r="H89" s="115" t="str">
        <f t="shared" si="41"/>
        <v/>
      </c>
      <c r="I89" s="264"/>
      <c r="J89" s="105" t="s">
        <v>45</v>
      </c>
      <c r="K89" s="267"/>
      <c r="L89" s="246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1" t="str">
        <f t="shared" si="43"/>
        <v/>
      </c>
      <c r="Z89" s="252" t="str">
        <f t="shared" si="44"/>
        <v/>
      </c>
      <c r="AA89" s="252" t="str">
        <f t="shared" si="45"/>
        <v/>
      </c>
      <c r="AB89" s="252" t="str">
        <f t="shared" si="46"/>
        <v/>
      </c>
      <c r="AJ89" s="121" t="str">
        <f>IF('Cable Info'!L89="","",CONCATENATE('Cable Info'!L89," - ",'Cable Info'!M89))</f>
        <v>88 - AW</v>
      </c>
      <c r="AM89" s="121" t="str">
        <f t="shared" si="47"/>
        <v>88 - AW</v>
      </c>
      <c r="AO89" s="121" t="str">
        <f>IF('Cable Info'!N89="","",CONCATENATE('Cable Info'!N89," - ",'Cable Info'!O89))</f>
        <v>88 - AW</v>
      </c>
      <c r="AR89" s="121" t="str">
        <f t="shared" si="48"/>
        <v>88 - AW</v>
      </c>
      <c r="AT89" s="121" t="str">
        <f>IF('Cable Info'!P89="","",CONCATENATE('Cable Info'!P89," - ",'Cable Info'!Q89))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Info'!R89="","",CONCATENATE('Cable Info'!R89," - ",'Cable Info'!S89))</f>
        <v/>
      </c>
      <c r="BB89" s="121" t="str">
        <f t="shared" si="50"/>
        <v/>
      </c>
      <c r="BD89" s="121" t="str">
        <f>IF('Cable Info'!T89="","",CONCATENATE('Cable Info'!T89," - ",'Cable Info'!U89))</f>
        <v/>
      </c>
      <c r="BG89" s="121" t="str">
        <f t="shared" si="51"/>
        <v/>
      </c>
      <c r="BI89" s="121" t="str">
        <f>IF('Cable Info'!V89="","",CONCATENATE('Cable Info'!V89," - ",'Cable Info'!W89))</f>
        <v/>
      </c>
      <c r="BL89" s="121" t="str">
        <f t="shared" si="52"/>
        <v/>
      </c>
      <c r="CL89" s="250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59"/>
      <c r="F90" s="105" t="s">
        <v>45</v>
      </c>
      <c r="G90" s="262"/>
      <c r="H90" s="115" t="str">
        <f t="shared" si="41"/>
        <v/>
      </c>
      <c r="I90" s="264"/>
      <c r="J90" s="105" t="s">
        <v>45</v>
      </c>
      <c r="K90" s="267"/>
      <c r="L90" s="246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1" t="str">
        <f t="shared" si="43"/>
        <v/>
      </c>
      <c r="Z90" s="252" t="str">
        <f t="shared" si="44"/>
        <v/>
      </c>
      <c r="AA90" s="252" t="str">
        <f t="shared" si="45"/>
        <v/>
      </c>
      <c r="AB90" s="252" t="str">
        <f t="shared" si="46"/>
        <v/>
      </c>
      <c r="AJ90" s="121" t="str">
        <f>IF('Cable Info'!L90="","",CONCATENATE('Cable Info'!L90," - ",'Cable Info'!M90))</f>
        <v>89 - AW</v>
      </c>
      <c r="AM90" s="121" t="str">
        <f t="shared" si="47"/>
        <v>89 - AW</v>
      </c>
      <c r="AO90" s="121" t="str">
        <f>IF('Cable Info'!N90="","",CONCATENATE('Cable Info'!N90," - ",'Cable Info'!O90))</f>
        <v>89 - AW</v>
      </c>
      <c r="AR90" s="121" t="str">
        <f t="shared" si="48"/>
        <v>89 - AW</v>
      </c>
      <c r="AT90" s="121" t="str">
        <f>IF('Cable Info'!P90="","",CONCATENATE('Cable Info'!P90," - ",'Cable Info'!Q90))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Info'!R90="","",CONCATENATE('Cable Info'!R90," - ",'Cable Info'!S90))</f>
        <v/>
      </c>
      <c r="BB90" s="121" t="str">
        <f t="shared" si="50"/>
        <v/>
      </c>
      <c r="BD90" s="121" t="str">
        <f>IF('Cable Info'!T90="","",CONCATENATE('Cable Info'!T90," - ",'Cable Info'!U90))</f>
        <v/>
      </c>
      <c r="BG90" s="121" t="str">
        <f t="shared" si="51"/>
        <v/>
      </c>
      <c r="BI90" s="121" t="str">
        <f>IF('Cable Info'!V90="","",CONCATENATE('Cable Info'!V90," - ",'Cable Info'!W90))</f>
        <v/>
      </c>
      <c r="BL90" s="121" t="str">
        <f t="shared" si="52"/>
        <v/>
      </c>
      <c r="CL90" s="250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59"/>
      <c r="F91" s="105" t="s">
        <v>45</v>
      </c>
      <c r="G91" s="262"/>
      <c r="H91" s="115" t="str">
        <f t="shared" si="41"/>
        <v/>
      </c>
      <c r="I91" s="264"/>
      <c r="J91" s="105" t="s">
        <v>45</v>
      </c>
      <c r="K91" s="267"/>
      <c r="L91" s="246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1" t="str">
        <f t="shared" si="43"/>
        <v/>
      </c>
      <c r="Z91" s="252" t="str">
        <f t="shared" si="44"/>
        <v/>
      </c>
      <c r="AA91" s="252" t="str">
        <f t="shared" si="45"/>
        <v/>
      </c>
      <c r="AB91" s="252" t="str">
        <f t="shared" si="46"/>
        <v/>
      </c>
      <c r="AJ91" s="121" t="str">
        <f>IF('Cable Info'!L91="","",CONCATENATE('Cable Info'!L91," - ",'Cable Info'!M91))</f>
        <v>90 - AW</v>
      </c>
      <c r="AM91" s="121" t="str">
        <f t="shared" si="47"/>
        <v>90 - AW</v>
      </c>
      <c r="AO91" s="121" t="str">
        <f>IF('Cable Info'!N91="","",CONCATENATE('Cable Info'!N91," - ",'Cable Info'!O91))</f>
        <v>90 - AW</v>
      </c>
      <c r="AR91" s="121" t="str">
        <f t="shared" si="48"/>
        <v>90 - AW</v>
      </c>
      <c r="AT91" s="121" t="str">
        <f>IF('Cable Info'!P91="","",CONCATENATE('Cable Info'!P91," - ",'Cable Info'!Q91))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Info'!R91="","",CONCATENATE('Cable Info'!R91," - ",'Cable Info'!S91))</f>
        <v/>
      </c>
      <c r="BB91" s="121" t="str">
        <f t="shared" si="50"/>
        <v/>
      </c>
      <c r="BD91" s="121" t="str">
        <f>IF('Cable Info'!T91="","",CONCATENATE('Cable Info'!T91," - ",'Cable Info'!U91))</f>
        <v/>
      </c>
      <c r="BG91" s="121" t="str">
        <f t="shared" si="51"/>
        <v/>
      </c>
      <c r="BI91" s="121" t="str">
        <f>IF('Cable Info'!V91="","",CONCATENATE('Cable Info'!V91," - ",'Cable Info'!W91))</f>
        <v/>
      </c>
      <c r="BL91" s="121" t="str">
        <f t="shared" si="52"/>
        <v/>
      </c>
      <c r="CL91" s="250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59"/>
      <c r="F92" s="105" t="s">
        <v>45</v>
      </c>
      <c r="G92" s="262"/>
      <c r="H92" s="115" t="str">
        <f t="shared" si="41"/>
        <v/>
      </c>
      <c r="I92" s="264"/>
      <c r="J92" s="105" t="s">
        <v>45</v>
      </c>
      <c r="K92" s="267"/>
      <c r="L92" s="246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1" t="str">
        <f t="shared" si="43"/>
        <v/>
      </c>
      <c r="Z92" s="252" t="str">
        <f t="shared" si="44"/>
        <v/>
      </c>
      <c r="AA92" s="252" t="str">
        <f t="shared" si="45"/>
        <v/>
      </c>
      <c r="AB92" s="252" t="str">
        <f t="shared" si="46"/>
        <v/>
      </c>
      <c r="AJ92" s="121" t="str">
        <f>IF('Cable Info'!L92="","",CONCATENATE('Cable Info'!L92," - ",'Cable Info'!M92))</f>
        <v>91 - AW</v>
      </c>
      <c r="AM92" s="121" t="str">
        <f t="shared" si="47"/>
        <v>91 - AW</v>
      </c>
      <c r="AO92" s="121" t="str">
        <f>IF('Cable Info'!N92="","",CONCATENATE('Cable Info'!N92," - ",'Cable Info'!O92))</f>
        <v>91 - AW</v>
      </c>
      <c r="AR92" s="121" t="str">
        <f t="shared" si="48"/>
        <v>91 - AW</v>
      </c>
      <c r="AT92" s="121" t="str">
        <f>IF('Cable Info'!P92="","",CONCATENATE('Cable Info'!P92," - ",'Cable Info'!Q92))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Info'!R92="","",CONCATENATE('Cable Info'!R92," - ",'Cable Info'!S92))</f>
        <v/>
      </c>
      <c r="BB92" s="121" t="str">
        <f t="shared" si="50"/>
        <v/>
      </c>
      <c r="BD92" s="121" t="str">
        <f>IF('Cable Info'!T92="","",CONCATENATE('Cable Info'!T92," - ",'Cable Info'!U92))</f>
        <v/>
      </c>
      <c r="BG92" s="121" t="str">
        <f t="shared" si="51"/>
        <v/>
      </c>
      <c r="BI92" s="121" t="str">
        <f>IF('Cable Info'!V92="","",CONCATENATE('Cable Info'!V92," - ",'Cable Info'!W92))</f>
        <v/>
      </c>
      <c r="BL92" s="121" t="str">
        <f t="shared" si="52"/>
        <v/>
      </c>
      <c r="CL92" s="250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59"/>
      <c r="F93" s="105" t="s">
        <v>45</v>
      </c>
      <c r="G93" s="262"/>
      <c r="H93" s="115" t="str">
        <f t="shared" si="41"/>
        <v/>
      </c>
      <c r="I93" s="264"/>
      <c r="J93" s="105" t="s">
        <v>45</v>
      </c>
      <c r="K93" s="267"/>
      <c r="L93" s="246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1" t="str">
        <f t="shared" si="43"/>
        <v/>
      </c>
      <c r="Z93" s="252" t="str">
        <f t="shared" si="44"/>
        <v/>
      </c>
      <c r="AA93" s="252" t="str">
        <f t="shared" si="45"/>
        <v/>
      </c>
      <c r="AB93" s="252" t="str">
        <f t="shared" si="46"/>
        <v/>
      </c>
      <c r="AJ93" s="121" t="str">
        <f>IF('Cable Info'!L93="","",CONCATENATE('Cable Info'!L93," - ",'Cable Info'!M93))</f>
        <v>92 - AW</v>
      </c>
      <c r="AM93" s="121" t="str">
        <f t="shared" si="47"/>
        <v>92 - AW</v>
      </c>
      <c r="AO93" s="121" t="str">
        <f>IF('Cable Info'!N93="","",CONCATENATE('Cable Info'!N93," - ",'Cable Info'!O93))</f>
        <v>92 - AW</v>
      </c>
      <c r="AR93" s="121" t="str">
        <f t="shared" si="48"/>
        <v>92 - AW</v>
      </c>
      <c r="AT93" s="121" t="str">
        <f>IF('Cable Info'!P93="","",CONCATENATE('Cable Info'!P93," - ",'Cable Info'!Q93))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Info'!R93="","",CONCATENATE('Cable Info'!R93," - ",'Cable Info'!S93))</f>
        <v/>
      </c>
      <c r="BB93" s="121" t="str">
        <f t="shared" si="50"/>
        <v/>
      </c>
      <c r="BD93" s="121" t="str">
        <f>IF('Cable Info'!T93="","",CONCATENATE('Cable Info'!T93," - ",'Cable Info'!U93))</f>
        <v/>
      </c>
      <c r="BG93" s="121" t="str">
        <f t="shared" si="51"/>
        <v/>
      </c>
      <c r="BI93" s="121" t="str">
        <f>IF('Cable Info'!V93="","",CONCATENATE('Cable Info'!V93," - ",'Cable Info'!W93))</f>
        <v/>
      </c>
      <c r="BL93" s="121" t="str">
        <f t="shared" si="52"/>
        <v/>
      </c>
      <c r="CL93" s="250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59"/>
      <c r="F94" s="105" t="s">
        <v>45</v>
      </c>
      <c r="G94" s="262"/>
      <c r="H94" s="115" t="str">
        <f t="shared" si="41"/>
        <v/>
      </c>
      <c r="I94" s="264"/>
      <c r="J94" s="105" t="s">
        <v>45</v>
      </c>
      <c r="K94" s="267"/>
      <c r="L94" s="246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1" t="str">
        <f t="shared" si="43"/>
        <v/>
      </c>
      <c r="Z94" s="252" t="str">
        <f t="shared" si="44"/>
        <v/>
      </c>
      <c r="AA94" s="252" t="str">
        <f t="shared" si="45"/>
        <v/>
      </c>
      <c r="AB94" s="252" t="str">
        <f t="shared" si="46"/>
        <v/>
      </c>
      <c r="AJ94" s="121" t="str">
        <f>IF('Cable Info'!L94="","",CONCATENATE('Cable Info'!L94," - ",'Cable Info'!M94))</f>
        <v>93 - AW</v>
      </c>
      <c r="AM94" s="121" t="str">
        <f t="shared" si="47"/>
        <v>93 - AW</v>
      </c>
      <c r="AO94" s="121" t="str">
        <f>IF('Cable Info'!N94="","",CONCATENATE('Cable Info'!N94," - ",'Cable Info'!O94))</f>
        <v>93 - AW</v>
      </c>
      <c r="AR94" s="121" t="str">
        <f t="shared" si="48"/>
        <v>93 - AW</v>
      </c>
      <c r="AT94" s="121" t="str">
        <f>IF('Cable Info'!P94="","",CONCATENATE('Cable Info'!P94," - ",'Cable Info'!Q94))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Info'!R94="","",CONCATENATE('Cable Info'!R94," - ",'Cable Info'!S94))</f>
        <v/>
      </c>
      <c r="BB94" s="121" t="str">
        <f t="shared" si="50"/>
        <v/>
      </c>
      <c r="BD94" s="121" t="str">
        <f>IF('Cable Info'!T94="","",CONCATENATE('Cable Info'!T94," - ",'Cable Info'!U94))</f>
        <v/>
      </c>
      <c r="BG94" s="121" t="str">
        <f t="shared" si="51"/>
        <v/>
      </c>
      <c r="BI94" s="121" t="str">
        <f>IF('Cable Info'!V94="","",CONCATENATE('Cable Info'!V94," - ",'Cable Info'!W94))</f>
        <v/>
      </c>
      <c r="BL94" s="121" t="str">
        <f t="shared" si="52"/>
        <v/>
      </c>
      <c r="CL94" s="250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59"/>
      <c r="F95" s="105" t="s">
        <v>45</v>
      </c>
      <c r="G95" s="262"/>
      <c r="H95" s="115" t="str">
        <f t="shared" si="41"/>
        <v/>
      </c>
      <c r="I95" s="264"/>
      <c r="J95" s="105" t="s">
        <v>45</v>
      </c>
      <c r="K95" s="267"/>
      <c r="L95" s="246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1" t="str">
        <f t="shared" si="43"/>
        <v/>
      </c>
      <c r="Z95" s="252" t="str">
        <f t="shared" si="44"/>
        <v/>
      </c>
      <c r="AA95" s="252" t="str">
        <f t="shared" si="45"/>
        <v/>
      </c>
      <c r="AB95" s="252" t="str">
        <f t="shared" si="46"/>
        <v/>
      </c>
      <c r="AJ95" s="121" t="str">
        <f>IF('Cable Info'!L95="","",CONCATENATE('Cable Info'!L95," - ",'Cable Info'!M95))</f>
        <v>94 - AW</v>
      </c>
      <c r="AM95" s="121" t="str">
        <f t="shared" si="47"/>
        <v>94 - AW</v>
      </c>
      <c r="AO95" s="121" t="str">
        <f>IF('Cable Info'!N95="","",CONCATENATE('Cable Info'!N95," - ",'Cable Info'!O95))</f>
        <v>94 - AW</v>
      </c>
      <c r="AR95" s="121" t="str">
        <f t="shared" si="48"/>
        <v>94 - AW</v>
      </c>
      <c r="AT95" s="121" t="str">
        <f>IF('Cable Info'!P95="","",CONCATENATE('Cable Info'!P95," - ",'Cable Info'!Q95))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Info'!R95="","",CONCATENATE('Cable Info'!R95," - ",'Cable Info'!S95))</f>
        <v/>
      </c>
      <c r="BB95" s="121" t="str">
        <f t="shared" si="50"/>
        <v/>
      </c>
      <c r="BD95" s="121" t="str">
        <f>IF('Cable Info'!T95="","",CONCATENATE('Cable Info'!T95," - ",'Cable Info'!U95))</f>
        <v/>
      </c>
      <c r="BG95" s="121" t="str">
        <f t="shared" si="51"/>
        <v/>
      </c>
      <c r="BI95" s="121" t="str">
        <f>IF('Cable Info'!V95="","",CONCATENATE('Cable Info'!V95," - ",'Cable Info'!W95))</f>
        <v/>
      </c>
      <c r="BL95" s="121" t="str">
        <f t="shared" si="52"/>
        <v/>
      </c>
      <c r="CL95" s="250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59"/>
      <c r="F96" s="105" t="s">
        <v>45</v>
      </c>
      <c r="G96" s="262"/>
      <c r="H96" s="115" t="str">
        <f t="shared" si="41"/>
        <v/>
      </c>
      <c r="I96" s="264"/>
      <c r="J96" s="105" t="s">
        <v>45</v>
      </c>
      <c r="K96" s="267"/>
      <c r="L96" s="246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1" t="str">
        <f t="shared" si="43"/>
        <v/>
      </c>
      <c r="Z96" s="252" t="str">
        <f t="shared" si="44"/>
        <v/>
      </c>
      <c r="AA96" s="252" t="str">
        <f t="shared" si="45"/>
        <v/>
      </c>
      <c r="AB96" s="252" t="str">
        <f t="shared" si="46"/>
        <v/>
      </c>
      <c r="AJ96" s="121" t="str">
        <f>IF('Cable Info'!L96="","",CONCATENATE('Cable Info'!L96," - ",'Cable Info'!M96))</f>
        <v>95 - AW</v>
      </c>
      <c r="AM96" s="121" t="str">
        <f t="shared" si="47"/>
        <v>95 - AW</v>
      </c>
      <c r="AO96" s="121" t="str">
        <f>IF('Cable Info'!N96="","",CONCATENATE('Cable Info'!N96," - ",'Cable Info'!O96))</f>
        <v>95 - AW</v>
      </c>
      <c r="AR96" s="121" t="str">
        <f t="shared" si="48"/>
        <v>95 - AW</v>
      </c>
      <c r="AT96" s="121" t="str">
        <f>IF('Cable Info'!P96="","",CONCATENATE('Cable Info'!P96," - ",'Cable Info'!Q96))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Info'!R96="","",CONCATENATE('Cable Info'!R96," - ",'Cable Info'!S96))</f>
        <v/>
      </c>
      <c r="BB96" s="121" t="str">
        <f t="shared" si="50"/>
        <v/>
      </c>
      <c r="BD96" s="121" t="str">
        <f>IF('Cable Info'!T96="","",CONCATENATE('Cable Info'!T96," - ",'Cable Info'!U96))</f>
        <v/>
      </c>
      <c r="BG96" s="121" t="str">
        <f t="shared" si="51"/>
        <v/>
      </c>
      <c r="BI96" s="121" t="str">
        <f>IF('Cable Info'!V96="","",CONCATENATE('Cable Info'!V96," - ",'Cable Info'!W96))</f>
        <v/>
      </c>
      <c r="BL96" s="121" t="str">
        <f t="shared" si="52"/>
        <v/>
      </c>
      <c r="CL96" s="250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59"/>
      <c r="F97" s="105" t="s">
        <v>45</v>
      </c>
      <c r="G97" s="262"/>
      <c r="H97" s="115" t="str">
        <f t="shared" si="41"/>
        <v/>
      </c>
      <c r="I97" s="264"/>
      <c r="J97" s="105" t="s">
        <v>45</v>
      </c>
      <c r="K97" s="267"/>
      <c r="L97" s="246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1" t="str">
        <f t="shared" si="43"/>
        <v/>
      </c>
      <c r="Z97" s="252" t="str">
        <f t="shared" si="44"/>
        <v/>
      </c>
      <c r="AA97" s="252" t="str">
        <f t="shared" si="45"/>
        <v/>
      </c>
      <c r="AB97" s="252" t="str">
        <f t="shared" si="46"/>
        <v/>
      </c>
      <c r="AJ97" s="121" t="str">
        <f>IF('Cable Info'!L97="","",CONCATENATE('Cable Info'!L97," - ",'Cable Info'!M97))</f>
        <v>96 - AW</v>
      </c>
      <c r="AM97" s="121" t="str">
        <f t="shared" si="47"/>
        <v>96 - AW</v>
      </c>
      <c r="AO97" s="121" t="str">
        <f>IF('Cable Info'!N97="","",CONCATENATE('Cable Info'!N97," - ",'Cable Info'!O97))</f>
        <v>96 - AW</v>
      </c>
      <c r="AR97" s="121" t="str">
        <f t="shared" si="48"/>
        <v>96 - AW</v>
      </c>
      <c r="AT97" s="121" t="str">
        <f>IF('Cable Info'!P97="","",CONCATENATE('Cable Info'!P97," - ",'Cable Info'!Q97))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Info'!R97="","",CONCATENATE('Cable Info'!R97," - ",'Cable Info'!S97))</f>
        <v/>
      </c>
      <c r="BB97" s="121" t="str">
        <f t="shared" si="50"/>
        <v/>
      </c>
      <c r="BD97" s="121" t="str">
        <f>IF('Cable Info'!T97="","",CONCATENATE('Cable Info'!T97," - ",'Cable Info'!U97))</f>
        <v/>
      </c>
      <c r="BG97" s="121" t="str">
        <f t="shared" si="51"/>
        <v/>
      </c>
      <c r="BI97" s="121" t="str">
        <f>IF('Cable Info'!V97="","",CONCATENATE('Cable Info'!V97," - ",'Cable Info'!W97))</f>
        <v/>
      </c>
      <c r="BL97" s="121" t="str">
        <f t="shared" si="52"/>
        <v/>
      </c>
      <c r="CL97" s="250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59"/>
      <c r="F98" s="105" t="s">
        <v>45</v>
      </c>
      <c r="G98" s="262"/>
      <c r="H98" s="115" t="str">
        <f t="shared" si="41"/>
        <v/>
      </c>
      <c r="I98" s="264"/>
      <c r="J98" s="105" t="s">
        <v>45</v>
      </c>
      <c r="K98" s="267"/>
      <c r="L98" s="246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1" t="str">
        <f t="shared" si="43"/>
        <v/>
      </c>
      <c r="Z98" s="252" t="str">
        <f t="shared" si="44"/>
        <v/>
      </c>
      <c r="AA98" s="252" t="str">
        <f t="shared" si="45"/>
        <v/>
      </c>
      <c r="AB98" s="252" t="str">
        <f t="shared" si="46"/>
        <v/>
      </c>
      <c r="AJ98" s="121" t="str">
        <f>IF('Cable Info'!L98="","",CONCATENATE('Cable Info'!L98," - ",'Cable Info'!M98))</f>
        <v>97 - AW</v>
      </c>
      <c r="AM98" s="121" t="str">
        <f t="shared" si="47"/>
        <v>97 - AW</v>
      </c>
      <c r="AO98" s="121" t="str">
        <f>IF('Cable Info'!N98="","",CONCATENATE('Cable Info'!N98," - ",'Cable Info'!O98))</f>
        <v>97 - AW</v>
      </c>
      <c r="AR98" s="121" t="str">
        <f t="shared" si="48"/>
        <v>97 - AW</v>
      </c>
      <c r="AT98" s="121" t="str">
        <f>IF('Cable Info'!P98="","",CONCATENATE('Cable Info'!P98," - ",'Cable Info'!Q98))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Info'!R98="","",CONCATENATE('Cable Info'!R98," - ",'Cable Info'!S98))</f>
        <v/>
      </c>
      <c r="BB98" s="121" t="str">
        <f t="shared" si="50"/>
        <v/>
      </c>
      <c r="BD98" s="121" t="str">
        <f>IF('Cable Info'!T98="","",CONCATENATE('Cable Info'!T98," - ",'Cable Info'!U98))</f>
        <v/>
      </c>
      <c r="BG98" s="121" t="str">
        <f t="shared" si="51"/>
        <v/>
      </c>
      <c r="BI98" s="121" t="str">
        <f>IF('Cable Info'!V98="","",CONCATENATE('Cable Info'!V98," - ",'Cable Info'!W98))</f>
        <v/>
      </c>
      <c r="BL98" s="121" t="str">
        <f t="shared" si="52"/>
        <v/>
      </c>
      <c r="CL98" s="250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59"/>
      <c r="F99" s="105" t="s">
        <v>45</v>
      </c>
      <c r="G99" s="262"/>
      <c r="H99" s="115" t="str">
        <f t="shared" si="41"/>
        <v/>
      </c>
      <c r="I99" s="264"/>
      <c r="J99" s="105" t="s">
        <v>45</v>
      </c>
      <c r="K99" s="267"/>
      <c r="L99" s="246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1" t="str">
        <f t="shared" si="43"/>
        <v/>
      </c>
      <c r="Z99" s="252" t="str">
        <f t="shared" si="44"/>
        <v/>
      </c>
      <c r="AA99" s="252" t="str">
        <f t="shared" si="45"/>
        <v/>
      </c>
      <c r="AB99" s="252" t="str">
        <f t="shared" si="46"/>
        <v/>
      </c>
      <c r="AJ99" s="121" t="str">
        <f>IF('Cable Info'!L99="","",CONCATENATE('Cable Info'!L99," - ",'Cable Info'!M99))</f>
        <v>98 - AW</v>
      </c>
      <c r="AM99" s="121" t="str">
        <f t="shared" si="47"/>
        <v>98 - AW</v>
      </c>
      <c r="AO99" s="121" t="str">
        <f>IF('Cable Info'!N99="","",CONCATENATE('Cable Info'!N99," - ",'Cable Info'!O99))</f>
        <v>98 - AW</v>
      </c>
      <c r="AR99" s="121" t="str">
        <f t="shared" si="48"/>
        <v>98 - AW</v>
      </c>
      <c r="AT99" s="121" t="str">
        <f>IF('Cable Info'!P99="","",CONCATENATE('Cable Info'!P99," - ",'Cable Info'!Q99))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Info'!R99="","",CONCATENATE('Cable Info'!R99," - ",'Cable Info'!S99))</f>
        <v/>
      </c>
      <c r="BB99" s="121" t="str">
        <f t="shared" si="50"/>
        <v/>
      </c>
      <c r="BD99" s="121" t="str">
        <f>IF('Cable Info'!T99="","",CONCATENATE('Cable Info'!T99," - ",'Cable Info'!U99))</f>
        <v/>
      </c>
      <c r="BG99" s="121" t="str">
        <f t="shared" si="51"/>
        <v/>
      </c>
      <c r="BI99" s="121" t="str">
        <f>IF('Cable Info'!V99="","",CONCATENATE('Cable Info'!V99," - ",'Cable Info'!W99))</f>
        <v/>
      </c>
      <c r="BL99" s="121" t="str">
        <f t="shared" si="52"/>
        <v/>
      </c>
      <c r="CL99" s="250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59"/>
      <c r="F100" s="105" t="s">
        <v>45</v>
      </c>
      <c r="G100" s="262"/>
      <c r="H100" s="115" t="str">
        <f t="shared" si="41"/>
        <v/>
      </c>
      <c r="I100" s="264"/>
      <c r="J100" s="105" t="s">
        <v>45</v>
      </c>
      <c r="K100" s="267"/>
      <c r="L100" s="246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1" t="str">
        <f t="shared" si="43"/>
        <v/>
      </c>
      <c r="Z100" s="252" t="str">
        <f t="shared" si="44"/>
        <v/>
      </c>
      <c r="AA100" s="252" t="str">
        <f t="shared" si="45"/>
        <v/>
      </c>
      <c r="AB100" s="252" t="str">
        <f t="shared" si="46"/>
        <v/>
      </c>
      <c r="AJ100" s="121" t="str">
        <f>IF('Cable Info'!L100="","",CONCATENATE('Cable Info'!L100," - ",'Cable Info'!M100))</f>
        <v>99 - AW</v>
      </c>
      <c r="AM100" s="121" t="str">
        <f t="shared" si="47"/>
        <v>99 - AW</v>
      </c>
      <c r="AO100" s="121" t="str">
        <f>IF('Cable Info'!N100="","",CONCATENATE('Cable Info'!N100," - ",'Cable Info'!O100))</f>
        <v>99 - AW</v>
      </c>
      <c r="AR100" s="121" t="str">
        <f t="shared" si="48"/>
        <v>99 - AW</v>
      </c>
      <c r="AT100" s="121" t="str">
        <f>IF('Cable Info'!P100="","",CONCATENATE('Cable Info'!P100," - ",'Cable Info'!Q100))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Info'!R100="","",CONCATENATE('Cable Info'!R100," - ",'Cable Info'!S100))</f>
        <v/>
      </c>
      <c r="BB100" s="121" t="str">
        <f t="shared" si="50"/>
        <v/>
      </c>
      <c r="BD100" s="121" t="str">
        <f>IF('Cable Info'!T100="","",CONCATENATE('Cable Info'!T100," - ",'Cable Info'!U100))</f>
        <v/>
      </c>
      <c r="BG100" s="121" t="str">
        <f t="shared" si="51"/>
        <v/>
      </c>
      <c r="BI100" s="121" t="str">
        <f>IF('Cable Info'!V100="","",CONCATENATE('Cable Info'!V100," - ",'Cable Info'!W100))</f>
        <v/>
      </c>
      <c r="BL100" s="121" t="str">
        <f t="shared" si="52"/>
        <v/>
      </c>
      <c r="CL100" s="250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59"/>
      <c r="F101" s="105" t="s">
        <v>45</v>
      </c>
      <c r="G101" s="262"/>
      <c r="H101" s="115" t="str">
        <f t="shared" si="41"/>
        <v/>
      </c>
      <c r="I101" s="264"/>
      <c r="J101" s="105" t="s">
        <v>45</v>
      </c>
      <c r="K101" s="267"/>
      <c r="L101" s="246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1" t="str">
        <f t="shared" si="43"/>
        <v/>
      </c>
      <c r="Z101" s="252" t="str">
        <f t="shared" si="44"/>
        <v/>
      </c>
      <c r="AA101" s="252" t="str">
        <f t="shared" si="45"/>
        <v/>
      </c>
      <c r="AB101" s="252" t="str">
        <f t="shared" si="46"/>
        <v/>
      </c>
      <c r="AJ101" s="121" t="str">
        <f>IF('Cable Info'!L101="","",CONCATENATE('Cable Info'!L101," - ",'Cable Info'!M101))</f>
        <v>100 - AW</v>
      </c>
      <c r="AM101" s="121" t="str">
        <f t="shared" si="47"/>
        <v>100 - AW</v>
      </c>
      <c r="AO101" s="121" t="str">
        <f>IF('Cable Info'!N101="","",CONCATENATE('Cable Info'!N101," - ",'Cable Info'!O101))</f>
        <v>100 - AW</v>
      </c>
      <c r="AR101" s="121" t="str">
        <f t="shared" si="48"/>
        <v>100 - AW</v>
      </c>
      <c r="AT101" s="121" t="str">
        <f>IF('Cable Info'!P101="","",CONCATENATE('Cable Info'!P101," - ",'Cable Info'!Q101))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Info'!R101="","",CONCATENATE('Cable Info'!R101," - ",'Cable Info'!S101))</f>
        <v/>
      </c>
      <c r="BB101" s="121" t="str">
        <f t="shared" si="50"/>
        <v/>
      </c>
      <c r="BD101" s="121" t="str">
        <f>IF('Cable Info'!T101="","",CONCATENATE('Cable Info'!T101," - ",'Cable Info'!U101))</f>
        <v/>
      </c>
      <c r="BG101" s="121" t="str">
        <f t="shared" si="51"/>
        <v/>
      </c>
      <c r="BI101" s="121" t="str">
        <f>IF('Cable Info'!V101="","",CONCATENATE('Cable Info'!V101," - ",'Cable Info'!W101))</f>
        <v/>
      </c>
      <c r="BL101" s="121" t="str">
        <f t="shared" si="52"/>
        <v/>
      </c>
      <c r="CL101" s="250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59"/>
      <c r="F102" s="105" t="s">
        <v>45</v>
      </c>
      <c r="G102" s="262"/>
      <c r="H102" s="115" t="str">
        <f t="shared" si="41"/>
        <v/>
      </c>
      <c r="I102" s="264"/>
      <c r="J102" s="105" t="s">
        <v>45</v>
      </c>
      <c r="K102" s="267"/>
      <c r="L102" s="246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1" t="str">
        <f t="shared" si="43"/>
        <v/>
      </c>
      <c r="Z102" s="252" t="str">
        <f t="shared" si="44"/>
        <v/>
      </c>
      <c r="AA102" s="252" t="str">
        <f t="shared" si="45"/>
        <v/>
      </c>
      <c r="AB102" s="252" t="str">
        <f t="shared" si="46"/>
        <v/>
      </c>
      <c r="AJ102" s="121" t="str">
        <f>IF('Cable Info'!L102="","",CONCATENATE('Cable Info'!L102," - ",'Cable Info'!M102))</f>
        <v>101 - AW</v>
      </c>
      <c r="AM102" s="121" t="str">
        <f t="shared" si="47"/>
        <v>101 - AW</v>
      </c>
      <c r="AO102" s="121" t="str">
        <f>IF('Cable Info'!N102="","",CONCATENATE('Cable Info'!N102," - ",'Cable Info'!O102))</f>
        <v>101 - AW</v>
      </c>
      <c r="AR102" s="121" t="str">
        <f t="shared" si="48"/>
        <v>101 - AW</v>
      </c>
      <c r="AT102" s="121" t="str">
        <f>IF('Cable Info'!P102="","",CONCATENATE('Cable Info'!P102," - ",'Cable Info'!Q102))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Info'!R102="","",CONCATENATE('Cable Info'!R102," - ",'Cable Info'!S102))</f>
        <v/>
      </c>
      <c r="BB102" s="121" t="str">
        <f t="shared" si="50"/>
        <v/>
      </c>
      <c r="BD102" s="121" t="str">
        <f>IF('Cable Info'!T102="","",CONCATENATE('Cable Info'!T102," - ",'Cable Info'!U102))</f>
        <v/>
      </c>
      <c r="BG102" s="121" t="str">
        <f t="shared" si="51"/>
        <v/>
      </c>
      <c r="BI102" s="121" t="str">
        <f>IF('Cable Info'!V102="","",CONCATENATE('Cable Info'!V102," - ",'Cable Info'!W102))</f>
        <v/>
      </c>
      <c r="BL102" s="121" t="str">
        <f t="shared" si="52"/>
        <v/>
      </c>
      <c r="CL102" s="250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59"/>
      <c r="F103" s="105" t="s">
        <v>45</v>
      </c>
      <c r="G103" s="262"/>
      <c r="H103" s="115" t="str">
        <f t="shared" si="41"/>
        <v/>
      </c>
      <c r="I103" s="264"/>
      <c r="J103" s="105" t="s">
        <v>45</v>
      </c>
      <c r="K103" s="267"/>
      <c r="L103" s="246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1" t="str">
        <f t="shared" si="43"/>
        <v/>
      </c>
      <c r="Z103" s="252" t="str">
        <f t="shared" si="44"/>
        <v/>
      </c>
      <c r="AA103" s="252" t="str">
        <f t="shared" si="45"/>
        <v/>
      </c>
      <c r="AB103" s="252" t="str">
        <f t="shared" si="46"/>
        <v/>
      </c>
      <c r="AJ103" s="121" t="str">
        <f>IF('Cable Info'!L103="","",CONCATENATE('Cable Info'!L103," - ",'Cable Info'!M103))</f>
        <v>102 - AW</v>
      </c>
      <c r="AM103" s="121" t="str">
        <f t="shared" si="47"/>
        <v>102 - AW</v>
      </c>
      <c r="AO103" s="121" t="str">
        <f>IF('Cable Info'!N103="","",CONCATENATE('Cable Info'!N103," - ",'Cable Info'!O103))</f>
        <v>102 - AW</v>
      </c>
      <c r="AR103" s="121" t="str">
        <f t="shared" si="48"/>
        <v>102 - AW</v>
      </c>
      <c r="AT103" s="121" t="str">
        <f>IF('Cable Info'!P103="","",CONCATENATE('Cable Info'!P103," - ",'Cable Info'!Q103))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Info'!R103="","",CONCATENATE('Cable Info'!R103," - ",'Cable Info'!S103))</f>
        <v/>
      </c>
      <c r="BB103" s="121" t="str">
        <f t="shared" si="50"/>
        <v/>
      </c>
      <c r="BD103" s="121" t="str">
        <f>IF('Cable Info'!T103="","",CONCATENATE('Cable Info'!T103," - ",'Cable Info'!U103))</f>
        <v/>
      </c>
      <c r="BG103" s="121" t="str">
        <f t="shared" si="51"/>
        <v/>
      </c>
      <c r="BI103" s="121" t="str">
        <f>IF('Cable Info'!V103="","",CONCATENATE('Cable Info'!V103," - ",'Cable Info'!W103))</f>
        <v/>
      </c>
      <c r="BL103" s="121" t="str">
        <f t="shared" si="52"/>
        <v/>
      </c>
      <c r="CL103" s="250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59"/>
      <c r="F104" s="105" t="s">
        <v>45</v>
      </c>
      <c r="G104" s="262"/>
      <c r="H104" s="115" t="str">
        <f t="shared" si="41"/>
        <v/>
      </c>
      <c r="I104" s="264"/>
      <c r="J104" s="105" t="s">
        <v>45</v>
      </c>
      <c r="K104" s="267"/>
      <c r="L104" s="246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1" t="str">
        <f t="shared" si="43"/>
        <v/>
      </c>
      <c r="Z104" s="252" t="str">
        <f t="shared" si="44"/>
        <v/>
      </c>
      <c r="AA104" s="252" t="str">
        <f t="shared" si="45"/>
        <v/>
      </c>
      <c r="AB104" s="252" t="str">
        <f t="shared" si="46"/>
        <v/>
      </c>
      <c r="AJ104" s="121" t="str">
        <f>IF('Cable Info'!L104="","",CONCATENATE('Cable Info'!L104," - ",'Cable Info'!M104))</f>
        <v>103 - AW</v>
      </c>
      <c r="AM104" s="121" t="str">
        <f t="shared" si="47"/>
        <v>103 - AW</v>
      </c>
      <c r="AO104" s="121" t="str">
        <f>IF('Cable Info'!N104="","",CONCATENATE('Cable Info'!N104," - ",'Cable Info'!O104))</f>
        <v>103 - AW</v>
      </c>
      <c r="AR104" s="121" t="str">
        <f t="shared" si="48"/>
        <v>103 - AW</v>
      </c>
      <c r="AT104" s="121" t="str">
        <f>IF('Cable Info'!P104="","",CONCATENATE('Cable Info'!P104," - ",'Cable Info'!Q104))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Info'!R104="","",CONCATENATE('Cable Info'!R104," - ",'Cable Info'!S104))</f>
        <v/>
      </c>
      <c r="BB104" s="121" t="str">
        <f t="shared" si="50"/>
        <v/>
      </c>
      <c r="BD104" s="121" t="str">
        <f>IF('Cable Info'!T104="","",CONCATENATE('Cable Info'!T104," - ",'Cable Info'!U104))</f>
        <v/>
      </c>
      <c r="BG104" s="121" t="str">
        <f t="shared" si="51"/>
        <v/>
      </c>
      <c r="BI104" s="121" t="str">
        <f>IF('Cable Info'!V104="","",CONCATENATE('Cable Info'!V104," - ",'Cable Info'!W104))</f>
        <v/>
      </c>
      <c r="BL104" s="121" t="str">
        <f t="shared" si="52"/>
        <v/>
      </c>
      <c r="CL104" s="250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59"/>
      <c r="F105" s="105" t="s">
        <v>45</v>
      </c>
      <c r="G105" s="262"/>
      <c r="H105" s="115" t="str">
        <f t="shared" si="41"/>
        <v/>
      </c>
      <c r="I105" s="264"/>
      <c r="J105" s="105" t="s">
        <v>45</v>
      </c>
      <c r="K105" s="267"/>
      <c r="L105" s="246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1" t="str">
        <f t="shared" si="43"/>
        <v/>
      </c>
      <c r="Z105" s="252" t="str">
        <f t="shared" si="44"/>
        <v/>
      </c>
      <c r="AA105" s="252" t="str">
        <f t="shared" si="45"/>
        <v/>
      </c>
      <c r="AB105" s="252" t="str">
        <f t="shared" si="46"/>
        <v/>
      </c>
      <c r="AJ105" s="121" t="str">
        <f>IF('Cable Info'!L105="","",CONCATENATE('Cable Info'!L105," - ",'Cable Info'!M105))</f>
        <v>104 - AW</v>
      </c>
      <c r="AM105" s="121" t="str">
        <f t="shared" si="47"/>
        <v>104 - AW</v>
      </c>
      <c r="AO105" s="121" t="str">
        <f>IF('Cable Info'!N105="","",CONCATENATE('Cable Info'!N105," - ",'Cable Info'!O105))</f>
        <v>104 - AW</v>
      </c>
      <c r="AR105" s="121" t="str">
        <f t="shared" si="48"/>
        <v>104 - AW</v>
      </c>
      <c r="AT105" s="121" t="str">
        <f>IF('Cable Info'!P105="","",CONCATENATE('Cable Info'!P105," - ",'Cable Info'!Q105))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Info'!R105="","",CONCATENATE('Cable Info'!R105," - ",'Cable Info'!S105))</f>
        <v/>
      </c>
      <c r="BB105" s="121" t="str">
        <f t="shared" si="50"/>
        <v/>
      </c>
      <c r="BD105" s="121" t="str">
        <f>IF('Cable Info'!T105="","",CONCATENATE('Cable Info'!T105," - ",'Cable Info'!U105))</f>
        <v/>
      </c>
      <c r="BG105" s="121" t="str">
        <f t="shared" si="51"/>
        <v/>
      </c>
      <c r="BI105" s="121" t="str">
        <f>IF('Cable Info'!V105="","",CONCATENATE('Cable Info'!V105," - ",'Cable Info'!W105))</f>
        <v/>
      </c>
      <c r="BL105" s="121" t="str">
        <f t="shared" si="52"/>
        <v/>
      </c>
      <c r="CL105" s="250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59"/>
      <c r="F106" s="105" t="s">
        <v>45</v>
      </c>
      <c r="G106" s="262"/>
      <c r="H106" s="115" t="str">
        <f t="shared" si="41"/>
        <v/>
      </c>
      <c r="I106" s="264"/>
      <c r="J106" s="105" t="s">
        <v>45</v>
      </c>
      <c r="K106" s="267"/>
      <c r="L106" s="246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1" t="str">
        <f t="shared" si="43"/>
        <v/>
      </c>
      <c r="Z106" s="252" t="str">
        <f t="shared" si="44"/>
        <v/>
      </c>
      <c r="AA106" s="252" t="str">
        <f t="shared" si="45"/>
        <v/>
      </c>
      <c r="AB106" s="252" t="str">
        <f t="shared" si="46"/>
        <v/>
      </c>
      <c r="AJ106" s="121" t="str">
        <f>IF('Cable Info'!L106="","",CONCATENATE('Cable Info'!L106," - ",'Cable Info'!M106))</f>
        <v>105 - AW</v>
      </c>
      <c r="AM106" s="121" t="str">
        <f t="shared" si="47"/>
        <v>105 - AW</v>
      </c>
      <c r="AO106" s="121" t="str">
        <f>IF('Cable Info'!N106="","",CONCATENATE('Cable Info'!N106," - ",'Cable Info'!O106))</f>
        <v>105 - AW</v>
      </c>
      <c r="AR106" s="121" t="str">
        <f t="shared" si="48"/>
        <v>105 - AW</v>
      </c>
      <c r="AT106" s="121" t="str">
        <f>IF('Cable Info'!P106="","",CONCATENATE('Cable Info'!P106," - ",'Cable Info'!Q106))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Info'!R106="","",CONCATENATE('Cable Info'!R106," - ",'Cable Info'!S106))</f>
        <v/>
      </c>
      <c r="BB106" s="121" t="str">
        <f t="shared" si="50"/>
        <v/>
      </c>
      <c r="BD106" s="121" t="str">
        <f>IF('Cable Info'!T106="","",CONCATENATE('Cable Info'!T106," - ",'Cable Info'!U106))</f>
        <v/>
      </c>
      <c r="BG106" s="121" t="str">
        <f t="shared" si="51"/>
        <v/>
      </c>
      <c r="BI106" s="121" t="str">
        <f>IF('Cable Info'!V106="","",CONCATENATE('Cable Info'!V106," - ",'Cable Info'!W106))</f>
        <v/>
      </c>
      <c r="BL106" s="121" t="str">
        <f t="shared" si="52"/>
        <v/>
      </c>
      <c r="CL106" s="250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59"/>
      <c r="F107" s="105" t="s">
        <v>45</v>
      </c>
      <c r="G107" s="262"/>
      <c r="H107" s="115" t="str">
        <f t="shared" si="41"/>
        <v/>
      </c>
      <c r="I107" s="264"/>
      <c r="J107" s="105" t="s">
        <v>45</v>
      </c>
      <c r="K107" s="267"/>
      <c r="L107" s="246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1" t="str">
        <f t="shared" si="43"/>
        <v/>
      </c>
      <c r="Z107" s="252" t="str">
        <f t="shared" si="44"/>
        <v/>
      </c>
      <c r="AA107" s="252" t="str">
        <f t="shared" si="45"/>
        <v/>
      </c>
      <c r="AB107" s="252" t="str">
        <f t="shared" si="46"/>
        <v/>
      </c>
      <c r="AJ107" s="121" t="str">
        <f>IF('Cable Info'!L107="","",CONCATENATE('Cable Info'!L107," - ",'Cable Info'!M107))</f>
        <v>106 - AW</v>
      </c>
      <c r="AM107" s="121" t="str">
        <f t="shared" si="47"/>
        <v>106 - AW</v>
      </c>
      <c r="AO107" s="121" t="str">
        <f>IF('Cable Info'!N107="","",CONCATENATE('Cable Info'!N107," - ",'Cable Info'!O107))</f>
        <v>106 - AW</v>
      </c>
      <c r="AR107" s="121" t="str">
        <f t="shared" si="48"/>
        <v>106 - AW</v>
      </c>
      <c r="AT107" s="121" t="str">
        <f>IF('Cable Info'!P107="","",CONCATENATE('Cable Info'!P107," - ",'Cable Info'!Q107))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Info'!R107="","",CONCATENATE('Cable Info'!R107," - ",'Cable Info'!S107))</f>
        <v/>
      </c>
      <c r="BB107" s="121" t="str">
        <f t="shared" si="50"/>
        <v/>
      </c>
      <c r="BD107" s="121" t="str">
        <f>IF('Cable Info'!T107="","",CONCATENATE('Cable Info'!T107," - ",'Cable Info'!U107))</f>
        <v/>
      </c>
      <c r="BG107" s="121" t="str">
        <f t="shared" si="51"/>
        <v/>
      </c>
      <c r="BI107" s="121" t="str">
        <f>IF('Cable Info'!V107="","",CONCATENATE('Cable Info'!V107," - ",'Cable Info'!W107))</f>
        <v/>
      </c>
      <c r="BL107" s="121" t="str">
        <f t="shared" si="52"/>
        <v/>
      </c>
      <c r="CL107" s="250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59"/>
      <c r="F108" s="105" t="s">
        <v>45</v>
      </c>
      <c r="G108" s="262"/>
      <c r="H108" s="115" t="str">
        <f t="shared" si="41"/>
        <v/>
      </c>
      <c r="I108" s="264"/>
      <c r="J108" s="105" t="s">
        <v>45</v>
      </c>
      <c r="K108" s="267"/>
      <c r="L108" s="246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1" t="str">
        <f t="shared" si="43"/>
        <v/>
      </c>
      <c r="Z108" s="252" t="str">
        <f t="shared" si="44"/>
        <v/>
      </c>
      <c r="AA108" s="252" t="str">
        <f t="shared" si="45"/>
        <v/>
      </c>
      <c r="AB108" s="252" t="str">
        <f t="shared" si="46"/>
        <v/>
      </c>
      <c r="AJ108" s="121" t="str">
        <f>IF('Cable Info'!L108="","",CONCATENATE('Cable Info'!L108," - ",'Cable Info'!M108))</f>
        <v>107 - AW</v>
      </c>
      <c r="AM108" s="121" t="str">
        <f t="shared" si="47"/>
        <v>107 - AW</v>
      </c>
      <c r="AO108" s="121" t="str">
        <f>IF('Cable Info'!N108="","",CONCATENATE('Cable Info'!N108," - ",'Cable Info'!O108))</f>
        <v>107 - AW</v>
      </c>
      <c r="AR108" s="121" t="str">
        <f t="shared" si="48"/>
        <v>107 - AW</v>
      </c>
      <c r="AT108" s="121" t="str">
        <f>IF('Cable Info'!P108="","",CONCATENATE('Cable Info'!P108," - ",'Cable Info'!Q108))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Info'!R108="","",CONCATENATE('Cable Info'!R108," - ",'Cable Info'!S108))</f>
        <v/>
      </c>
      <c r="BB108" s="121" t="str">
        <f t="shared" si="50"/>
        <v/>
      </c>
      <c r="BD108" s="121" t="str">
        <f>IF('Cable Info'!T108="","",CONCATENATE('Cable Info'!T108," - ",'Cable Info'!U108))</f>
        <v/>
      </c>
      <c r="BG108" s="121" t="str">
        <f t="shared" si="51"/>
        <v/>
      </c>
      <c r="BI108" s="121" t="str">
        <f>IF('Cable Info'!V108="","",CONCATENATE('Cable Info'!V108," - ",'Cable Info'!W108))</f>
        <v/>
      </c>
      <c r="BL108" s="121" t="str">
        <f t="shared" si="52"/>
        <v/>
      </c>
      <c r="CL108" s="250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59"/>
      <c r="F109" s="105" t="s">
        <v>45</v>
      </c>
      <c r="G109" s="262"/>
      <c r="H109" s="115" t="str">
        <f t="shared" si="41"/>
        <v/>
      </c>
      <c r="I109" s="264"/>
      <c r="J109" s="105" t="s">
        <v>45</v>
      </c>
      <c r="K109" s="267"/>
      <c r="L109" s="246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1" t="str">
        <f t="shared" si="43"/>
        <v/>
      </c>
      <c r="Z109" s="252" t="str">
        <f t="shared" si="44"/>
        <v/>
      </c>
      <c r="AA109" s="252" t="str">
        <f t="shared" si="45"/>
        <v/>
      </c>
      <c r="AB109" s="252" t="str">
        <f t="shared" si="46"/>
        <v/>
      </c>
      <c r="AJ109" s="121" t="str">
        <f>IF('Cable Info'!L109="","",CONCATENATE('Cable Info'!L109," - ",'Cable Info'!M109))</f>
        <v>108 - AW</v>
      </c>
      <c r="AM109" s="121" t="str">
        <f t="shared" si="47"/>
        <v>108 - AW</v>
      </c>
      <c r="AO109" s="121" t="str">
        <f>IF('Cable Info'!N109="","",CONCATENATE('Cable Info'!N109," - ",'Cable Info'!O109))</f>
        <v>108 - AW</v>
      </c>
      <c r="AR109" s="121" t="str">
        <f t="shared" si="48"/>
        <v>108 - AW</v>
      </c>
      <c r="AT109" s="121" t="str">
        <f>IF('Cable Info'!P109="","",CONCATENATE('Cable Info'!P109," - ",'Cable Info'!Q109))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Info'!R109="","",CONCATENATE('Cable Info'!R109," - ",'Cable Info'!S109))</f>
        <v/>
      </c>
      <c r="BB109" s="121" t="str">
        <f t="shared" si="50"/>
        <v/>
      </c>
      <c r="BD109" s="121" t="str">
        <f>IF('Cable Info'!T109="","",CONCATENATE('Cable Info'!T109," - ",'Cable Info'!U109))</f>
        <v/>
      </c>
      <c r="BG109" s="121" t="str">
        <f t="shared" si="51"/>
        <v/>
      </c>
      <c r="BI109" s="121" t="str">
        <f>IF('Cable Info'!V109="","",CONCATENATE('Cable Info'!V109," - ",'Cable Info'!W109))</f>
        <v/>
      </c>
      <c r="BL109" s="121" t="str">
        <f t="shared" si="52"/>
        <v/>
      </c>
      <c r="CL109" s="250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59"/>
      <c r="F110" s="105" t="s">
        <v>45</v>
      </c>
      <c r="G110" s="262"/>
      <c r="H110" s="115" t="str">
        <f t="shared" si="41"/>
        <v/>
      </c>
      <c r="I110" s="264"/>
      <c r="J110" s="105" t="s">
        <v>45</v>
      </c>
      <c r="K110" s="267"/>
      <c r="L110" s="246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1" t="str">
        <f t="shared" si="43"/>
        <v/>
      </c>
      <c r="Z110" s="252" t="str">
        <f t="shared" si="44"/>
        <v/>
      </c>
      <c r="AA110" s="252" t="str">
        <f t="shared" si="45"/>
        <v/>
      </c>
      <c r="AB110" s="252" t="str">
        <f t="shared" si="46"/>
        <v/>
      </c>
      <c r="AJ110" s="121" t="str">
        <f>IF('Cable Info'!L110="","",CONCATENATE('Cable Info'!L110," - ",'Cable Info'!M110))</f>
        <v>109 - AW</v>
      </c>
      <c r="AM110" s="121" t="str">
        <f t="shared" si="47"/>
        <v>109 - AW</v>
      </c>
      <c r="AO110" s="121" t="str">
        <f>IF('Cable Info'!N110="","",CONCATENATE('Cable Info'!N110," - ",'Cable Info'!O110))</f>
        <v>109 - AW</v>
      </c>
      <c r="AR110" s="121" t="str">
        <f t="shared" si="48"/>
        <v>109 - AW</v>
      </c>
      <c r="AT110" s="121" t="str">
        <f>IF('Cable Info'!P110="","",CONCATENATE('Cable Info'!P110," - ",'Cable Info'!Q110))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Info'!R110="","",CONCATENATE('Cable Info'!R110," - ",'Cable Info'!S110))</f>
        <v/>
      </c>
      <c r="BB110" s="121" t="str">
        <f t="shared" si="50"/>
        <v/>
      </c>
      <c r="BD110" s="121" t="str">
        <f>IF('Cable Info'!T110="","",CONCATENATE('Cable Info'!T110," - ",'Cable Info'!U110))</f>
        <v/>
      </c>
      <c r="BG110" s="121" t="str">
        <f t="shared" si="51"/>
        <v/>
      </c>
      <c r="BI110" s="121" t="str">
        <f>IF('Cable Info'!V110="","",CONCATENATE('Cable Info'!V110," - ",'Cable Info'!W110))</f>
        <v/>
      </c>
      <c r="BL110" s="121" t="str">
        <f t="shared" si="52"/>
        <v/>
      </c>
      <c r="CL110" s="250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59"/>
      <c r="F111" s="105" t="s">
        <v>45</v>
      </c>
      <c r="G111" s="262"/>
      <c r="H111" s="115" t="str">
        <f t="shared" si="41"/>
        <v/>
      </c>
      <c r="I111" s="264"/>
      <c r="J111" s="105" t="s">
        <v>45</v>
      </c>
      <c r="K111" s="267"/>
      <c r="L111" s="246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1" t="str">
        <f t="shared" si="43"/>
        <v/>
      </c>
      <c r="Z111" s="252" t="str">
        <f t="shared" si="44"/>
        <v/>
      </c>
      <c r="AA111" s="252" t="str">
        <f t="shared" si="45"/>
        <v/>
      </c>
      <c r="AB111" s="252" t="str">
        <f t="shared" si="46"/>
        <v/>
      </c>
      <c r="AJ111" s="121" t="str">
        <f>IF('Cable Info'!L111="","",CONCATENATE('Cable Info'!L111," - ",'Cable Info'!M111))</f>
        <v>110 - AW</v>
      </c>
      <c r="AM111" s="121" t="str">
        <f t="shared" si="47"/>
        <v>110 - AW</v>
      </c>
      <c r="AO111" s="121" t="str">
        <f>IF('Cable Info'!N111="","",CONCATENATE('Cable Info'!N111," - ",'Cable Info'!O111))</f>
        <v>110 - AW</v>
      </c>
      <c r="AR111" s="121" t="str">
        <f t="shared" si="48"/>
        <v>110 - AW</v>
      </c>
      <c r="AT111" s="121" t="str">
        <f>IF('Cable Info'!P111="","",CONCATENATE('Cable Info'!P111," - ",'Cable Info'!Q111))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Info'!R111="","",CONCATENATE('Cable Info'!R111," - ",'Cable Info'!S111))</f>
        <v/>
      </c>
      <c r="BB111" s="121" t="str">
        <f t="shared" si="50"/>
        <v/>
      </c>
      <c r="BD111" s="121" t="str">
        <f>IF('Cable Info'!T111="","",CONCATENATE('Cable Info'!T111," - ",'Cable Info'!U111))</f>
        <v/>
      </c>
      <c r="BG111" s="121" t="str">
        <f t="shared" si="51"/>
        <v/>
      </c>
      <c r="BI111" s="121" t="str">
        <f>IF('Cable Info'!V111="","",CONCATENATE('Cable Info'!V111," - ",'Cable Info'!W111))</f>
        <v/>
      </c>
      <c r="BL111" s="121" t="str">
        <f t="shared" si="52"/>
        <v/>
      </c>
      <c r="CL111" s="250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59"/>
      <c r="F112" s="105" t="s">
        <v>45</v>
      </c>
      <c r="G112" s="262"/>
      <c r="H112" s="115" t="str">
        <f t="shared" si="41"/>
        <v/>
      </c>
      <c r="I112" s="264"/>
      <c r="J112" s="105" t="s">
        <v>45</v>
      </c>
      <c r="K112" s="267"/>
      <c r="L112" s="246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1" t="str">
        <f t="shared" si="43"/>
        <v/>
      </c>
      <c r="Z112" s="252" t="str">
        <f t="shared" si="44"/>
        <v/>
      </c>
      <c r="AA112" s="252" t="str">
        <f t="shared" si="45"/>
        <v/>
      </c>
      <c r="AB112" s="252" t="str">
        <f t="shared" si="46"/>
        <v/>
      </c>
      <c r="AJ112" s="121" t="str">
        <f>IF('Cable Info'!L112="","",CONCATENATE('Cable Info'!L112," - ",'Cable Info'!M112))</f>
        <v>111 - AW</v>
      </c>
      <c r="AM112" s="121" t="str">
        <f t="shared" si="47"/>
        <v>111 - AW</v>
      </c>
      <c r="AO112" s="121" t="str">
        <f>IF('Cable Info'!N112="","",CONCATENATE('Cable Info'!N112," - ",'Cable Info'!O112))</f>
        <v>111 - AW</v>
      </c>
      <c r="AR112" s="121" t="str">
        <f t="shared" si="48"/>
        <v>111 - AW</v>
      </c>
      <c r="AT112" s="121" t="str">
        <f>IF('Cable Info'!P112="","",CONCATENATE('Cable Info'!P112," - ",'Cable Info'!Q112))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Info'!R112="","",CONCATENATE('Cable Info'!R112," - ",'Cable Info'!S112))</f>
        <v/>
      </c>
      <c r="BB112" s="121" t="str">
        <f t="shared" si="50"/>
        <v/>
      </c>
      <c r="BD112" s="121" t="str">
        <f>IF('Cable Info'!T112="","",CONCATENATE('Cable Info'!T112," - ",'Cable Info'!U112))</f>
        <v/>
      </c>
      <c r="BG112" s="121" t="str">
        <f t="shared" si="51"/>
        <v/>
      </c>
      <c r="BI112" s="121" t="str">
        <f>IF('Cable Info'!V112="","",CONCATENATE('Cable Info'!V112," - ",'Cable Info'!W112))</f>
        <v/>
      </c>
      <c r="BL112" s="121" t="str">
        <f t="shared" si="52"/>
        <v/>
      </c>
      <c r="CL112" s="250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59"/>
      <c r="F113" s="105" t="s">
        <v>45</v>
      </c>
      <c r="G113" s="262"/>
      <c r="H113" s="115" t="str">
        <f t="shared" si="41"/>
        <v/>
      </c>
      <c r="I113" s="264"/>
      <c r="J113" s="105" t="s">
        <v>45</v>
      </c>
      <c r="K113" s="267"/>
      <c r="L113" s="246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1" t="str">
        <f t="shared" si="43"/>
        <v/>
      </c>
      <c r="Z113" s="252" t="str">
        <f t="shared" si="44"/>
        <v/>
      </c>
      <c r="AA113" s="252" t="str">
        <f t="shared" si="45"/>
        <v/>
      </c>
      <c r="AB113" s="252" t="str">
        <f t="shared" si="46"/>
        <v/>
      </c>
      <c r="AJ113" s="121" t="str">
        <f>IF('Cable Info'!L113="","",CONCATENATE('Cable Info'!L113," - ",'Cable Info'!M113))</f>
        <v>112 - AW</v>
      </c>
      <c r="AM113" s="121" t="str">
        <f t="shared" si="47"/>
        <v>112 - AW</v>
      </c>
      <c r="AO113" s="121" t="str">
        <f>IF('Cable Info'!N113="","",CONCATENATE('Cable Info'!N113," - ",'Cable Info'!O113))</f>
        <v>112 - AW</v>
      </c>
      <c r="AR113" s="121" t="str">
        <f t="shared" si="48"/>
        <v>112 - AW</v>
      </c>
      <c r="AT113" s="121" t="str">
        <f>IF('Cable Info'!P113="","",CONCATENATE('Cable Info'!P113," - ",'Cable Info'!Q113))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Info'!R113="","",CONCATENATE('Cable Info'!R113," - ",'Cable Info'!S113))</f>
        <v/>
      </c>
      <c r="BB113" s="121" t="str">
        <f t="shared" si="50"/>
        <v/>
      </c>
      <c r="BD113" s="121" t="str">
        <f>IF('Cable Info'!T113="","",CONCATENATE('Cable Info'!T113," - ",'Cable Info'!U113))</f>
        <v/>
      </c>
      <c r="BG113" s="121" t="str">
        <f t="shared" si="51"/>
        <v/>
      </c>
      <c r="BI113" s="121" t="str">
        <f>IF('Cable Info'!V113="","",CONCATENATE('Cable Info'!V113," - ",'Cable Info'!W113))</f>
        <v/>
      </c>
      <c r="BL113" s="121" t="str">
        <f t="shared" si="52"/>
        <v/>
      </c>
      <c r="CL113" s="250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59"/>
      <c r="F114" s="105" t="s">
        <v>45</v>
      </c>
      <c r="G114" s="262"/>
      <c r="H114" s="115" t="str">
        <f t="shared" si="41"/>
        <v/>
      </c>
      <c r="I114" s="264"/>
      <c r="J114" s="105" t="s">
        <v>45</v>
      </c>
      <c r="K114" s="267"/>
      <c r="L114" s="246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1" t="str">
        <f t="shared" si="43"/>
        <v/>
      </c>
      <c r="Z114" s="252" t="str">
        <f t="shared" si="44"/>
        <v/>
      </c>
      <c r="AA114" s="252" t="str">
        <f t="shared" si="45"/>
        <v/>
      </c>
      <c r="AB114" s="252" t="str">
        <f t="shared" si="46"/>
        <v/>
      </c>
      <c r="AJ114" s="121" t="str">
        <f>IF('Cable Info'!L114="","",CONCATENATE('Cable Info'!L114," - ",'Cable Info'!M114))</f>
        <v>113 - AW</v>
      </c>
      <c r="AM114" s="121" t="str">
        <f t="shared" si="47"/>
        <v>113 - AW</v>
      </c>
      <c r="AO114" s="121" t="str">
        <f>IF('Cable Info'!N114="","",CONCATENATE('Cable Info'!N114," - ",'Cable Info'!O114))</f>
        <v>113 - AW</v>
      </c>
      <c r="AR114" s="121" t="str">
        <f t="shared" si="48"/>
        <v>113 - AW</v>
      </c>
      <c r="AT114" s="121" t="str">
        <f>IF('Cable Info'!P114="","",CONCATENATE('Cable Info'!P114," - ",'Cable Info'!Q114))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Info'!R114="","",CONCATENATE('Cable Info'!R114," - ",'Cable Info'!S114))</f>
        <v/>
      </c>
      <c r="BB114" s="121" t="str">
        <f t="shared" si="50"/>
        <v/>
      </c>
      <c r="BD114" s="121" t="str">
        <f>IF('Cable Info'!T114="","",CONCATENATE('Cable Info'!T114," - ",'Cable Info'!U114))</f>
        <v/>
      </c>
      <c r="BG114" s="121" t="str">
        <f t="shared" si="51"/>
        <v/>
      </c>
      <c r="BI114" s="121" t="str">
        <f>IF('Cable Info'!V114="","",CONCATENATE('Cable Info'!V114," - ",'Cable Info'!W114))</f>
        <v/>
      </c>
      <c r="BL114" s="121" t="str">
        <f t="shared" si="52"/>
        <v/>
      </c>
      <c r="CL114" s="250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59"/>
      <c r="F115" s="105" t="s">
        <v>45</v>
      </c>
      <c r="G115" s="262"/>
      <c r="H115" s="115" t="str">
        <f t="shared" si="41"/>
        <v/>
      </c>
      <c r="I115" s="264"/>
      <c r="J115" s="105" t="s">
        <v>45</v>
      </c>
      <c r="K115" s="267"/>
      <c r="L115" s="246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1" t="str">
        <f t="shared" si="43"/>
        <v/>
      </c>
      <c r="Z115" s="252" t="str">
        <f t="shared" si="44"/>
        <v/>
      </c>
      <c r="AA115" s="252" t="str">
        <f t="shared" si="45"/>
        <v/>
      </c>
      <c r="AB115" s="252" t="str">
        <f t="shared" si="46"/>
        <v/>
      </c>
      <c r="AJ115" s="121" t="str">
        <f>IF('Cable Info'!L115="","",CONCATENATE('Cable Info'!L115," - ",'Cable Info'!M115))</f>
        <v>114 - AW</v>
      </c>
      <c r="AM115" s="121" t="str">
        <f t="shared" si="47"/>
        <v>114 - AW</v>
      </c>
      <c r="AO115" s="121" t="str">
        <f>IF('Cable Info'!N115="","",CONCATENATE('Cable Info'!N115," - ",'Cable Info'!O115))</f>
        <v>114 - AW</v>
      </c>
      <c r="AR115" s="121" t="str">
        <f t="shared" si="48"/>
        <v>114 - AW</v>
      </c>
      <c r="AT115" s="121" t="str">
        <f>IF('Cable Info'!P115="","",CONCATENATE('Cable Info'!P115," - ",'Cable Info'!Q115))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Info'!R115="","",CONCATENATE('Cable Info'!R115," - ",'Cable Info'!S115))</f>
        <v/>
      </c>
      <c r="BB115" s="121" t="str">
        <f t="shared" si="50"/>
        <v/>
      </c>
      <c r="BD115" s="121" t="str">
        <f>IF('Cable Info'!T115="","",CONCATENATE('Cable Info'!T115," - ",'Cable Info'!U115))</f>
        <v/>
      </c>
      <c r="BG115" s="121" t="str">
        <f t="shared" si="51"/>
        <v/>
      </c>
      <c r="BI115" s="121" t="str">
        <f>IF('Cable Info'!V115="","",CONCATENATE('Cable Info'!V115," - ",'Cable Info'!W115))</f>
        <v/>
      </c>
      <c r="BL115" s="121" t="str">
        <f t="shared" si="52"/>
        <v/>
      </c>
      <c r="CL115" s="250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59"/>
      <c r="F116" s="105" t="s">
        <v>45</v>
      </c>
      <c r="G116" s="262"/>
      <c r="H116" s="115" t="str">
        <f t="shared" si="41"/>
        <v/>
      </c>
      <c r="I116" s="264"/>
      <c r="J116" s="105" t="s">
        <v>45</v>
      </c>
      <c r="K116" s="267"/>
      <c r="L116" s="246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1" t="str">
        <f t="shared" si="43"/>
        <v/>
      </c>
      <c r="Z116" s="252" t="str">
        <f t="shared" si="44"/>
        <v/>
      </c>
      <c r="AA116" s="252" t="str">
        <f t="shared" si="45"/>
        <v/>
      </c>
      <c r="AB116" s="252" t="str">
        <f t="shared" si="46"/>
        <v/>
      </c>
      <c r="AJ116" s="121" t="str">
        <f>IF('Cable Info'!L116="","",CONCATENATE('Cable Info'!L116," - ",'Cable Info'!M116))</f>
        <v>115 - AW</v>
      </c>
      <c r="AM116" s="121" t="str">
        <f t="shared" si="47"/>
        <v>115 - AW</v>
      </c>
      <c r="AO116" s="121" t="str">
        <f>IF('Cable Info'!N116="","",CONCATENATE('Cable Info'!N116," - ",'Cable Info'!O116))</f>
        <v>115 - AW</v>
      </c>
      <c r="AR116" s="121" t="str">
        <f t="shared" si="48"/>
        <v>115 - AW</v>
      </c>
      <c r="AT116" s="121" t="str">
        <f>IF('Cable Info'!P116="","",CONCATENATE('Cable Info'!P116," - ",'Cable Info'!Q116))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Info'!R116="","",CONCATENATE('Cable Info'!R116," - ",'Cable Info'!S116))</f>
        <v/>
      </c>
      <c r="BB116" s="121" t="str">
        <f t="shared" si="50"/>
        <v/>
      </c>
      <c r="BD116" s="121" t="str">
        <f>IF('Cable Info'!T116="","",CONCATENATE('Cable Info'!T116," - ",'Cable Info'!U116))</f>
        <v/>
      </c>
      <c r="BG116" s="121" t="str">
        <f t="shared" si="51"/>
        <v/>
      </c>
      <c r="BI116" s="121" t="str">
        <f>IF('Cable Info'!V116="","",CONCATENATE('Cable Info'!V116," - ",'Cable Info'!W116))</f>
        <v/>
      </c>
      <c r="BL116" s="121" t="str">
        <f t="shared" si="52"/>
        <v/>
      </c>
      <c r="CL116" s="250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59"/>
      <c r="F117" s="105" t="s">
        <v>45</v>
      </c>
      <c r="G117" s="262"/>
      <c r="H117" s="115" t="str">
        <f t="shared" si="41"/>
        <v/>
      </c>
      <c r="I117" s="264"/>
      <c r="J117" s="105" t="s">
        <v>45</v>
      </c>
      <c r="K117" s="267"/>
      <c r="L117" s="246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1" t="str">
        <f t="shared" si="43"/>
        <v/>
      </c>
      <c r="Z117" s="252" t="str">
        <f t="shared" si="44"/>
        <v/>
      </c>
      <c r="AA117" s="252" t="str">
        <f t="shared" si="45"/>
        <v/>
      </c>
      <c r="AB117" s="252" t="str">
        <f t="shared" si="46"/>
        <v/>
      </c>
      <c r="AJ117" s="121" t="str">
        <f>IF('Cable Info'!L117="","",CONCATENATE('Cable Info'!L117," - ",'Cable Info'!M117))</f>
        <v>116 - AW</v>
      </c>
      <c r="AM117" s="121" t="str">
        <f t="shared" si="47"/>
        <v>116 - AW</v>
      </c>
      <c r="AO117" s="121" t="str">
        <f>IF('Cable Info'!N117="","",CONCATENATE('Cable Info'!N117," - ",'Cable Info'!O117))</f>
        <v>116 - AW</v>
      </c>
      <c r="AR117" s="121" t="str">
        <f t="shared" si="48"/>
        <v>116 - AW</v>
      </c>
      <c r="AT117" s="121" t="str">
        <f>IF('Cable Info'!P117="","",CONCATENATE('Cable Info'!P117," - ",'Cable Info'!Q117))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Info'!R117="","",CONCATENATE('Cable Info'!R117," - ",'Cable Info'!S117))</f>
        <v/>
      </c>
      <c r="BB117" s="121" t="str">
        <f t="shared" si="50"/>
        <v/>
      </c>
      <c r="BD117" s="121" t="str">
        <f>IF('Cable Info'!T117="","",CONCATENATE('Cable Info'!T117," - ",'Cable Info'!U117))</f>
        <v/>
      </c>
      <c r="BG117" s="121" t="str">
        <f t="shared" si="51"/>
        <v/>
      </c>
      <c r="BI117" s="121" t="str">
        <f>IF('Cable Info'!V117="","",CONCATENATE('Cable Info'!V117," - ",'Cable Info'!W117))</f>
        <v/>
      </c>
      <c r="BL117" s="121" t="str">
        <f t="shared" si="52"/>
        <v/>
      </c>
      <c r="CL117" s="250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59"/>
      <c r="F118" s="105" t="s">
        <v>45</v>
      </c>
      <c r="G118" s="262"/>
      <c r="H118" s="115" t="str">
        <f t="shared" si="41"/>
        <v/>
      </c>
      <c r="I118" s="264"/>
      <c r="J118" s="105" t="s">
        <v>45</v>
      </c>
      <c r="K118" s="267"/>
      <c r="L118" s="246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1" t="str">
        <f t="shared" si="43"/>
        <v/>
      </c>
      <c r="Z118" s="252" t="str">
        <f t="shared" si="44"/>
        <v/>
      </c>
      <c r="AA118" s="252" t="str">
        <f t="shared" si="45"/>
        <v/>
      </c>
      <c r="AB118" s="252" t="str">
        <f t="shared" si="46"/>
        <v/>
      </c>
      <c r="AJ118" s="121" t="str">
        <f>IF('Cable Info'!L118="","",CONCATENATE('Cable Info'!L118," - ",'Cable Info'!M118))</f>
        <v>117 - AW</v>
      </c>
      <c r="AM118" s="121" t="str">
        <f t="shared" si="47"/>
        <v>117 - AW</v>
      </c>
      <c r="AO118" s="121" t="str">
        <f>IF('Cable Info'!N118="","",CONCATENATE('Cable Info'!N118," - ",'Cable Info'!O118))</f>
        <v>117 - AW</v>
      </c>
      <c r="AR118" s="121" t="str">
        <f t="shared" si="48"/>
        <v>117 - AW</v>
      </c>
      <c r="AT118" s="121" t="str">
        <f>IF('Cable Info'!P118="","",CONCATENATE('Cable Info'!P118," - ",'Cable Info'!Q118))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Info'!R118="","",CONCATENATE('Cable Info'!R118," - ",'Cable Info'!S118))</f>
        <v/>
      </c>
      <c r="BB118" s="121" t="str">
        <f t="shared" si="50"/>
        <v/>
      </c>
      <c r="BD118" s="121" t="str">
        <f>IF('Cable Info'!T118="","",CONCATENATE('Cable Info'!T118," - ",'Cable Info'!U118))</f>
        <v/>
      </c>
      <c r="BG118" s="121" t="str">
        <f t="shared" si="51"/>
        <v/>
      </c>
      <c r="BI118" s="121" t="str">
        <f>IF('Cable Info'!V118="","",CONCATENATE('Cable Info'!V118," - ",'Cable Info'!W118))</f>
        <v/>
      </c>
      <c r="BL118" s="121" t="str">
        <f t="shared" si="52"/>
        <v/>
      </c>
      <c r="CL118" s="250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59"/>
      <c r="F119" s="105" t="s">
        <v>45</v>
      </c>
      <c r="G119" s="262"/>
      <c r="H119" s="115" t="str">
        <f t="shared" si="41"/>
        <v/>
      </c>
      <c r="I119" s="264"/>
      <c r="J119" s="105" t="s">
        <v>45</v>
      </c>
      <c r="K119" s="267"/>
      <c r="L119" s="246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1" t="str">
        <f t="shared" si="43"/>
        <v/>
      </c>
      <c r="Z119" s="252" t="str">
        <f t="shared" si="44"/>
        <v/>
      </c>
      <c r="AA119" s="252" t="str">
        <f t="shared" si="45"/>
        <v/>
      </c>
      <c r="AB119" s="252" t="str">
        <f t="shared" si="46"/>
        <v/>
      </c>
      <c r="AJ119" s="121" t="str">
        <f>IF('Cable Info'!L119="","",CONCATENATE('Cable Info'!L119," - ",'Cable Info'!M119))</f>
        <v>118 - AW</v>
      </c>
      <c r="AM119" s="121" t="str">
        <f t="shared" si="47"/>
        <v>118 - AW</v>
      </c>
      <c r="AO119" s="121" t="str">
        <f>IF('Cable Info'!N119="","",CONCATENATE('Cable Info'!N119," - ",'Cable Info'!O119))</f>
        <v>118 - AW</v>
      </c>
      <c r="AR119" s="121" t="str">
        <f t="shared" si="48"/>
        <v>118 - AW</v>
      </c>
      <c r="AT119" s="121" t="str">
        <f>IF('Cable Info'!P119="","",CONCATENATE('Cable Info'!P119," - ",'Cable Info'!Q119))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Info'!R119="","",CONCATENATE('Cable Info'!R119," - ",'Cable Info'!S119))</f>
        <v/>
      </c>
      <c r="BB119" s="121" t="str">
        <f t="shared" si="50"/>
        <v/>
      </c>
      <c r="BD119" s="121" t="str">
        <f>IF('Cable Info'!T119="","",CONCATENATE('Cable Info'!T119," - ",'Cable Info'!U119))</f>
        <v/>
      </c>
      <c r="BG119" s="121" t="str">
        <f t="shared" si="51"/>
        <v/>
      </c>
      <c r="BI119" s="121" t="str">
        <f>IF('Cable Info'!V119="","",CONCATENATE('Cable Info'!V119," - ",'Cable Info'!W119))</f>
        <v/>
      </c>
      <c r="BL119" s="121" t="str">
        <f t="shared" si="52"/>
        <v/>
      </c>
      <c r="CL119" s="250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59"/>
      <c r="F120" s="105" t="s">
        <v>45</v>
      </c>
      <c r="G120" s="262"/>
      <c r="H120" s="115" t="str">
        <f t="shared" si="41"/>
        <v/>
      </c>
      <c r="I120" s="264"/>
      <c r="J120" s="105" t="s">
        <v>45</v>
      </c>
      <c r="K120" s="267"/>
      <c r="L120" s="246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1" t="str">
        <f t="shared" si="43"/>
        <v/>
      </c>
      <c r="Z120" s="252" t="str">
        <f t="shared" si="44"/>
        <v/>
      </c>
      <c r="AA120" s="252" t="str">
        <f t="shared" si="45"/>
        <v/>
      </c>
      <c r="AB120" s="252" t="str">
        <f t="shared" si="46"/>
        <v/>
      </c>
      <c r="AJ120" s="121" t="str">
        <f>IF('Cable Info'!L120="","",CONCATENATE('Cable Info'!L120," - ",'Cable Info'!M120))</f>
        <v>119 - AW</v>
      </c>
      <c r="AM120" s="121" t="str">
        <f t="shared" si="47"/>
        <v>119 - AW</v>
      </c>
      <c r="AO120" s="121" t="str">
        <f>IF('Cable Info'!N120="","",CONCATENATE('Cable Info'!N120," - ",'Cable Info'!O120))</f>
        <v>119 - AW</v>
      </c>
      <c r="AR120" s="121" t="str">
        <f t="shared" si="48"/>
        <v>119 - AW</v>
      </c>
      <c r="AT120" s="121" t="str">
        <f>IF('Cable Info'!P120="","",CONCATENATE('Cable Info'!P120," - ",'Cable Info'!Q120))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Info'!R120="","",CONCATENATE('Cable Info'!R120," - ",'Cable Info'!S120))</f>
        <v/>
      </c>
      <c r="BB120" s="121" t="str">
        <f t="shared" si="50"/>
        <v/>
      </c>
      <c r="BD120" s="121" t="str">
        <f>IF('Cable Info'!T120="","",CONCATENATE('Cable Info'!T120," - ",'Cable Info'!U120))</f>
        <v/>
      </c>
      <c r="BG120" s="121" t="str">
        <f t="shared" si="51"/>
        <v/>
      </c>
      <c r="BI120" s="121" t="str">
        <f>IF('Cable Info'!V120="","",CONCATENATE('Cable Info'!V120," - ",'Cable Info'!W120))</f>
        <v/>
      </c>
      <c r="BL120" s="121" t="str">
        <f t="shared" si="52"/>
        <v/>
      </c>
      <c r="CL120" s="250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59"/>
      <c r="F121" s="105" t="s">
        <v>45</v>
      </c>
      <c r="G121" s="262"/>
      <c r="H121" s="115" t="str">
        <f t="shared" si="41"/>
        <v/>
      </c>
      <c r="I121" s="264"/>
      <c r="J121" s="105" t="s">
        <v>45</v>
      </c>
      <c r="K121" s="267"/>
      <c r="L121" s="246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1" t="str">
        <f t="shared" si="43"/>
        <v/>
      </c>
      <c r="Z121" s="252" t="str">
        <f t="shared" si="44"/>
        <v/>
      </c>
      <c r="AA121" s="252" t="str">
        <f t="shared" si="45"/>
        <v/>
      </c>
      <c r="AB121" s="252" t="str">
        <f t="shared" si="46"/>
        <v/>
      </c>
      <c r="AJ121" s="121" t="str">
        <f>IF('Cable Info'!L121="","",CONCATENATE('Cable Info'!L121," - ",'Cable Info'!M121))</f>
        <v>120 - AW</v>
      </c>
      <c r="AM121" s="121" t="str">
        <f t="shared" si="47"/>
        <v>120 - AW</v>
      </c>
      <c r="AO121" s="121" t="str">
        <f>IF('Cable Info'!N121="","",CONCATENATE('Cable Info'!N121," - ",'Cable Info'!O121))</f>
        <v>120 - AW</v>
      </c>
      <c r="AR121" s="121" t="str">
        <f t="shared" si="48"/>
        <v>120 - AW</v>
      </c>
      <c r="AT121" s="121" t="str">
        <f>IF('Cable Info'!P121="","",CONCATENATE('Cable Info'!P121," - ",'Cable Info'!Q121))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Info'!R121="","",CONCATENATE('Cable Info'!R121," - ",'Cable Info'!S121))</f>
        <v/>
      </c>
      <c r="BB121" s="121" t="str">
        <f t="shared" si="50"/>
        <v/>
      </c>
      <c r="BD121" s="121" t="str">
        <f>IF('Cable Info'!T121="","",CONCATENATE('Cable Info'!T121," - ",'Cable Info'!U121))</f>
        <v/>
      </c>
      <c r="BG121" s="121" t="str">
        <f t="shared" si="51"/>
        <v/>
      </c>
      <c r="BI121" s="121" t="str">
        <f>IF('Cable Info'!V121="","",CONCATENATE('Cable Info'!V121," - ",'Cable Info'!W121))</f>
        <v/>
      </c>
      <c r="BL121" s="121" t="str">
        <f t="shared" si="52"/>
        <v/>
      </c>
      <c r="CL121" s="250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59"/>
      <c r="F122" s="105" t="s">
        <v>45</v>
      </c>
      <c r="G122" s="262"/>
      <c r="H122" s="115" t="str">
        <f t="shared" si="41"/>
        <v/>
      </c>
      <c r="I122" s="264"/>
      <c r="J122" s="105" t="s">
        <v>45</v>
      </c>
      <c r="K122" s="267"/>
      <c r="L122" s="246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1" t="str">
        <f t="shared" si="43"/>
        <v/>
      </c>
      <c r="Z122" s="252" t="str">
        <f t="shared" si="44"/>
        <v/>
      </c>
      <c r="AA122" s="252" t="str">
        <f t="shared" si="45"/>
        <v/>
      </c>
      <c r="AB122" s="252" t="str">
        <f t="shared" si="46"/>
        <v/>
      </c>
      <c r="AJ122" s="121" t="str">
        <f>IF('Cable Info'!L122="","",CONCATENATE('Cable Info'!L122," - ",'Cable Info'!M122))</f>
        <v>121 - AW</v>
      </c>
      <c r="AM122" s="121" t="str">
        <f t="shared" si="47"/>
        <v>121 - AW</v>
      </c>
      <c r="AO122" s="121" t="str">
        <f>IF('Cable Info'!N122="","",CONCATENATE('Cable Info'!N122," - ",'Cable Info'!O122))</f>
        <v>121 - AW</v>
      </c>
      <c r="AR122" s="121" t="str">
        <f t="shared" si="48"/>
        <v>121 - AW</v>
      </c>
      <c r="AT122" s="121" t="str">
        <f>IF('Cable Info'!P122="","",CONCATENATE('Cable Info'!P122," - ",'Cable Info'!Q122))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Info'!R122="","",CONCATENATE('Cable Info'!R122," - ",'Cable Info'!S122))</f>
        <v/>
      </c>
      <c r="BB122" s="121" t="str">
        <f t="shared" si="50"/>
        <v/>
      </c>
      <c r="BD122" s="121" t="str">
        <f>IF('Cable Info'!T122="","",CONCATENATE('Cable Info'!T122," - ",'Cable Info'!U122))</f>
        <v/>
      </c>
      <c r="BG122" s="121" t="str">
        <f t="shared" si="51"/>
        <v/>
      </c>
      <c r="BI122" s="121" t="str">
        <f>IF('Cable Info'!V122="","",CONCATENATE('Cable Info'!V122," - ",'Cable Info'!W122))</f>
        <v/>
      </c>
      <c r="BL122" s="121" t="str">
        <f t="shared" si="52"/>
        <v/>
      </c>
      <c r="CL122" s="250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59"/>
      <c r="F123" s="105" t="s">
        <v>45</v>
      </c>
      <c r="G123" s="262"/>
      <c r="H123" s="115" t="str">
        <f t="shared" si="41"/>
        <v/>
      </c>
      <c r="I123" s="264"/>
      <c r="J123" s="105" t="s">
        <v>45</v>
      </c>
      <c r="K123" s="267"/>
      <c r="L123" s="246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1" t="str">
        <f t="shared" si="43"/>
        <v/>
      </c>
      <c r="Z123" s="252" t="str">
        <f t="shared" si="44"/>
        <v/>
      </c>
      <c r="AA123" s="252" t="str">
        <f t="shared" si="45"/>
        <v/>
      </c>
      <c r="AB123" s="252" t="str">
        <f t="shared" si="46"/>
        <v/>
      </c>
      <c r="AJ123" s="121" t="str">
        <f>IF('Cable Info'!L123="","",CONCATENATE('Cable Info'!L123," - ",'Cable Info'!M123))</f>
        <v>122 - AW</v>
      </c>
      <c r="AM123" s="121" t="str">
        <f t="shared" si="47"/>
        <v>122 - AW</v>
      </c>
      <c r="AO123" s="121" t="str">
        <f>IF('Cable Info'!N123="","",CONCATENATE('Cable Info'!N123," - ",'Cable Info'!O123))</f>
        <v>122 - AW</v>
      </c>
      <c r="AR123" s="121" t="str">
        <f t="shared" si="48"/>
        <v>122 - AW</v>
      </c>
      <c r="AT123" s="121" t="str">
        <f>IF('Cable Info'!P123="","",CONCATENATE('Cable Info'!P123," - ",'Cable Info'!Q123))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Info'!R123="","",CONCATENATE('Cable Info'!R123," - ",'Cable Info'!S123))</f>
        <v/>
      </c>
      <c r="BB123" s="121" t="str">
        <f t="shared" si="50"/>
        <v/>
      </c>
      <c r="BD123" s="121" t="str">
        <f>IF('Cable Info'!T123="","",CONCATENATE('Cable Info'!T123," - ",'Cable Info'!U123))</f>
        <v/>
      </c>
      <c r="BG123" s="121" t="str">
        <f t="shared" si="51"/>
        <v/>
      </c>
      <c r="BI123" s="121" t="str">
        <f>IF('Cable Info'!V123="","",CONCATENATE('Cable Info'!V123," - ",'Cable Info'!W123))</f>
        <v/>
      </c>
      <c r="BL123" s="121" t="str">
        <f t="shared" si="52"/>
        <v/>
      </c>
      <c r="CL123" s="250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59"/>
      <c r="F124" s="105" t="s">
        <v>45</v>
      </c>
      <c r="G124" s="262"/>
      <c r="H124" s="115" t="str">
        <f t="shared" si="41"/>
        <v/>
      </c>
      <c r="I124" s="264"/>
      <c r="J124" s="105" t="s">
        <v>45</v>
      </c>
      <c r="K124" s="267"/>
      <c r="L124" s="246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1" t="str">
        <f t="shared" si="43"/>
        <v/>
      </c>
      <c r="Z124" s="252" t="str">
        <f t="shared" si="44"/>
        <v/>
      </c>
      <c r="AA124" s="252" t="str">
        <f t="shared" si="45"/>
        <v/>
      </c>
      <c r="AB124" s="252" t="str">
        <f t="shared" si="46"/>
        <v/>
      </c>
      <c r="AJ124" s="121" t="str">
        <f>IF('Cable Info'!L124="","",CONCATENATE('Cable Info'!L124," - ",'Cable Info'!M124))</f>
        <v>123 - AW</v>
      </c>
      <c r="AM124" s="121" t="str">
        <f t="shared" si="47"/>
        <v>123 - AW</v>
      </c>
      <c r="AO124" s="121" t="str">
        <f>IF('Cable Info'!N124="","",CONCATENATE('Cable Info'!N124," - ",'Cable Info'!O124))</f>
        <v>123 - AW</v>
      </c>
      <c r="AR124" s="121" t="str">
        <f t="shared" si="48"/>
        <v>123 - AW</v>
      </c>
      <c r="AT124" s="121" t="str">
        <f>IF('Cable Info'!P124="","",CONCATENATE('Cable Info'!P124," - ",'Cable Info'!Q124))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Info'!R124="","",CONCATENATE('Cable Info'!R124," - ",'Cable Info'!S124))</f>
        <v/>
      </c>
      <c r="BB124" s="121" t="str">
        <f t="shared" si="50"/>
        <v/>
      </c>
      <c r="BD124" s="121" t="str">
        <f>IF('Cable Info'!T124="","",CONCATENATE('Cable Info'!T124," - ",'Cable Info'!U124))</f>
        <v/>
      </c>
      <c r="BG124" s="121" t="str">
        <f t="shared" si="51"/>
        <v/>
      </c>
      <c r="BI124" s="121" t="str">
        <f>IF('Cable Info'!V124="","",CONCATENATE('Cable Info'!V124," - ",'Cable Info'!W124))</f>
        <v/>
      </c>
      <c r="BL124" s="121" t="str">
        <f t="shared" si="52"/>
        <v/>
      </c>
      <c r="CL124" s="250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59"/>
      <c r="F125" s="105" t="s">
        <v>45</v>
      </c>
      <c r="G125" s="262"/>
      <c r="H125" s="115" t="str">
        <f t="shared" si="41"/>
        <v/>
      </c>
      <c r="I125" s="264"/>
      <c r="J125" s="105" t="s">
        <v>45</v>
      </c>
      <c r="K125" s="267"/>
      <c r="L125" s="246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1" t="str">
        <f t="shared" si="43"/>
        <v/>
      </c>
      <c r="Z125" s="252" t="str">
        <f t="shared" si="44"/>
        <v/>
      </c>
      <c r="AA125" s="252" t="str">
        <f t="shared" si="45"/>
        <v/>
      </c>
      <c r="AB125" s="252" t="str">
        <f t="shared" si="46"/>
        <v/>
      </c>
      <c r="AJ125" s="121" t="str">
        <f>IF('Cable Info'!L125="","",CONCATENATE('Cable Info'!L125," - ",'Cable Info'!M125))</f>
        <v>124 - AW</v>
      </c>
      <c r="AM125" s="121" t="str">
        <f t="shared" si="47"/>
        <v>124 - AW</v>
      </c>
      <c r="AO125" s="121" t="str">
        <f>IF('Cable Info'!N125="","",CONCATENATE('Cable Info'!N125," - ",'Cable Info'!O125))</f>
        <v>124 - AW</v>
      </c>
      <c r="AR125" s="121" t="str">
        <f t="shared" si="48"/>
        <v>124 - AW</v>
      </c>
      <c r="AT125" s="121" t="str">
        <f>IF('Cable Info'!P125="","",CONCATENATE('Cable Info'!P125," - ",'Cable Info'!Q125))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Info'!R125="","",CONCATENATE('Cable Info'!R125," - ",'Cable Info'!S125))</f>
        <v/>
      </c>
      <c r="BB125" s="121" t="str">
        <f t="shared" si="50"/>
        <v/>
      </c>
      <c r="BD125" s="121" t="str">
        <f>IF('Cable Info'!T125="","",CONCATENATE('Cable Info'!T125," - ",'Cable Info'!U125))</f>
        <v/>
      </c>
      <c r="BG125" s="121" t="str">
        <f t="shared" si="51"/>
        <v/>
      </c>
      <c r="BI125" s="121" t="str">
        <f>IF('Cable Info'!V125="","",CONCATENATE('Cable Info'!V125," - ",'Cable Info'!W125))</f>
        <v/>
      </c>
      <c r="BL125" s="121" t="str">
        <f t="shared" si="52"/>
        <v/>
      </c>
      <c r="CL125" s="250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59"/>
      <c r="F126" s="105" t="s">
        <v>45</v>
      </c>
      <c r="G126" s="262"/>
      <c r="H126" s="115" t="str">
        <f t="shared" si="41"/>
        <v/>
      </c>
      <c r="I126" s="264"/>
      <c r="J126" s="105" t="s">
        <v>45</v>
      </c>
      <c r="K126" s="267"/>
      <c r="L126" s="246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1" t="str">
        <f t="shared" si="43"/>
        <v/>
      </c>
      <c r="Z126" s="252" t="str">
        <f t="shared" si="44"/>
        <v/>
      </c>
      <c r="AA126" s="252" t="str">
        <f t="shared" si="45"/>
        <v/>
      </c>
      <c r="AB126" s="252" t="str">
        <f t="shared" si="46"/>
        <v/>
      </c>
      <c r="AJ126" s="121" t="str">
        <f>IF('Cable Info'!L126="","",CONCATENATE('Cable Info'!L126," - ",'Cable Info'!M126))</f>
        <v>125 - AW</v>
      </c>
      <c r="AM126" s="121" t="str">
        <f t="shared" si="47"/>
        <v>125 - AW</v>
      </c>
      <c r="AO126" s="121" t="str">
        <f>IF('Cable Info'!N126="","",CONCATENATE('Cable Info'!N126," - ",'Cable Info'!O126))</f>
        <v>125 - AW</v>
      </c>
      <c r="AR126" s="121" t="str">
        <f t="shared" si="48"/>
        <v>125 - AW</v>
      </c>
      <c r="AT126" s="121" t="str">
        <f>IF('Cable Info'!P126="","",CONCATENATE('Cable Info'!P126," - ",'Cable Info'!Q126))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Info'!R126="","",CONCATENATE('Cable Info'!R126," - ",'Cable Info'!S126))</f>
        <v/>
      </c>
      <c r="BB126" s="121" t="str">
        <f t="shared" si="50"/>
        <v/>
      </c>
      <c r="BD126" s="121" t="str">
        <f>IF('Cable Info'!T126="","",CONCATENATE('Cable Info'!T126," - ",'Cable Info'!U126))</f>
        <v/>
      </c>
      <c r="BG126" s="121" t="str">
        <f t="shared" si="51"/>
        <v/>
      </c>
      <c r="BI126" s="121" t="str">
        <f>IF('Cable Info'!V126="","",CONCATENATE('Cable Info'!V126," - ",'Cable Info'!W126))</f>
        <v/>
      </c>
      <c r="BL126" s="121" t="str">
        <f t="shared" si="52"/>
        <v/>
      </c>
      <c r="CL126" s="250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59"/>
      <c r="F127" s="105" t="s">
        <v>45</v>
      </c>
      <c r="G127" s="262"/>
      <c r="H127" s="115" t="str">
        <f t="shared" si="41"/>
        <v/>
      </c>
      <c r="I127" s="264"/>
      <c r="J127" s="105" t="s">
        <v>45</v>
      </c>
      <c r="K127" s="267"/>
      <c r="L127" s="246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1" t="str">
        <f t="shared" si="43"/>
        <v/>
      </c>
      <c r="Z127" s="252" t="str">
        <f t="shared" si="44"/>
        <v/>
      </c>
      <c r="AA127" s="252" t="str">
        <f t="shared" si="45"/>
        <v/>
      </c>
      <c r="AB127" s="252" t="str">
        <f t="shared" si="46"/>
        <v/>
      </c>
      <c r="AJ127" s="121" t="str">
        <f>IF('Cable Info'!L127="","",CONCATENATE('Cable Info'!L127," - ",'Cable Info'!M127))</f>
        <v>126 - AW</v>
      </c>
      <c r="AM127" s="121" t="str">
        <f t="shared" si="47"/>
        <v>126 - AW</v>
      </c>
      <c r="AO127" s="121" t="str">
        <f>IF('Cable Info'!N127="","",CONCATENATE('Cable Info'!N127," - ",'Cable Info'!O127))</f>
        <v>126 - AW</v>
      </c>
      <c r="AR127" s="121" t="str">
        <f t="shared" si="48"/>
        <v>126 - AW</v>
      </c>
      <c r="AT127" s="121" t="str">
        <f>IF('Cable Info'!P127="","",CONCATENATE('Cable Info'!P127," - ",'Cable Info'!Q127))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Info'!R127="","",CONCATENATE('Cable Info'!R127," - ",'Cable Info'!S127))</f>
        <v/>
      </c>
      <c r="BB127" s="121" t="str">
        <f t="shared" si="50"/>
        <v/>
      </c>
      <c r="BD127" s="121" t="str">
        <f>IF('Cable Info'!T127="","",CONCATENATE('Cable Info'!T127," - ",'Cable Info'!U127))</f>
        <v/>
      </c>
      <c r="BG127" s="121" t="str">
        <f t="shared" si="51"/>
        <v/>
      </c>
      <c r="BI127" s="121" t="str">
        <f>IF('Cable Info'!V127="","",CONCATENATE('Cable Info'!V127," - ",'Cable Info'!W127))</f>
        <v/>
      </c>
      <c r="BL127" s="121" t="str">
        <f t="shared" si="52"/>
        <v/>
      </c>
      <c r="CL127" s="250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59"/>
      <c r="F128" s="105" t="s">
        <v>45</v>
      </c>
      <c r="G128" s="262"/>
      <c r="H128" s="115" t="str">
        <f t="shared" si="41"/>
        <v/>
      </c>
      <c r="I128" s="264"/>
      <c r="J128" s="105" t="s">
        <v>45</v>
      </c>
      <c r="K128" s="267"/>
      <c r="L128" s="246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1" t="str">
        <f t="shared" si="43"/>
        <v/>
      </c>
      <c r="Z128" s="252" t="str">
        <f t="shared" si="44"/>
        <v/>
      </c>
      <c r="AA128" s="252" t="str">
        <f t="shared" si="45"/>
        <v/>
      </c>
      <c r="AB128" s="252" t="str">
        <f t="shared" si="46"/>
        <v/>
      </c>
      <c r="AJ128" s="121" t="str">
        <f>IF('Cable Info'!L128="","",CONCATENATE('Cable Info'!L128," - ",'Cable Info'!M128))</f>
        <v>127 - AW</v>
      </c>
      <c r="AM128" s="121" t="str">
        <f t="shared" si="47"/>
        <v>127 - AW</v>
      </c>
      <c r="AO128" s="121" t="str">
        <f>IF('Cable Info'!N128="","",CONCATENATE('Cable Info'!N128," - ",'Cable Info'!O128))</f>
        <v>127 - AW</v>
      </c>
      <c r="AR128" s="121" t="str">
        <f t="shared" si="48"/>
        <v>127 - AW</v>
      </c>
      <c r="AT128" s="121" t="str">
        <f>IF('Cable Info'!P128="","",CONCATENATE('Cable Info'!P128," - ",'Cable Info'!Q128))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Info'!R128="","",CONCATENATE('Cable Info'!R128," - ",'Cable Info'!S128))</f>
        <v/>
      </c>
      <c r="BB128" s="121" t="str">
        <f t="shared" si="50"/>
        <v/>
      </c>
      <c r="BD128" s="121" t="str">
        <f>IF('Cable Info'!T128="","",CONCATENATE('Cable Info'!T128," - ",'Cable Info'!U128))</f>
        <v/>
      </c>
      <c r="BG128" s="121" t="str">
        <f t="shared" si="51"/>
        <v/>
      </c>
      <c r="BI128" s="121" t="str">
        <f>IF('Cable Info'!V128="","",CONCATENATE('Cable Info'!V128," - ",'Cable Info'!W128))</f>
        <v/>
      </c>
      <c r="BL128" s="121" t="str">
        <f t="shared" si="52"/>
        <v/>
      </c>
      <c r="CL128" s="250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59"/>
      <c r="F129" s="105" t="s">
        <v>45</v>
      </c>
      <c r="G129" s="262"/>
      <c r="H129" s="115" t="str">
        <f t="shared" si="41"/>
        <v/>
      </c>
      <c r="I129" s="264"/>
      <c r="J129" s="105" t="s">
        <v>45</v>
      </c>
      <c r="K129" s="267"/>
      <c r="L129" s="246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1" t="str">
        <f t="shared" si="43"/>
        <v/>
      </c>
      <c r="Z129" s="252" t="str">
        <f t="shared" si="44"/>
        <v/>
      </c>
      <c r="AA129" s="252" t="str">
        <f t="shared" si="45"/>
        <v/>
      </c>
      <c r="AB129" s="252" t="str">
        <f t="shared" si="46"/>
        <v/>
      </c>
      <c r="AJ129" s="121" t="str">
        <f>IF('Cable Info'!L129="","",CONCATENATE('Cable Info'!L129," - ",'Cable Info'!M129))</f>
        <v>128 - AW</v>
      </c>
      <c r="AM129" s="121" t="str">
        <f t="shared" si="47"/>
        <v>128 - AW</v>
      </c>
      <c r="AO129" s="121" t="str">
        <f>IF('Cable Info'!N129="","",CONCATENATE('Cable Info'!N129," - ",'Cable Info'!O129))</f>
        <v>128 - AW</v>
      </c>
      <c r="AR129" s="121" t="str">
        <f t="shared" si="48"/>
        <v>128 - AW</v>
      </c>
      <c r="AT129" s="121" t="str">
        <f>IF('Cable Info'!P129="","",CONCATENATE('Cable Info'!P129," - ",'Cable Info'!Q129))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Info'!R129="","",CONCATENATE('Cable Info'!R129," - ",'Cable Info'!S129))</f>
        <v/>
      </c>
      <c r="BB129" s="121" t="str">
        <f t="shared" si="50"/>
        <v/>
      </c>
      <c r="BD129" s="121" t="str">
        <f>IF('Cable Info'!T129="","",CONCATENATE('Cable Info'!T129," - ",'Cable Info'!U129))</f>
        <v/>
      </c>
      <c r="BG129" s="121" t="str">
        <f t="shared" si="51"/>
        <v/>
      </c>
      <c r="BI129" s="121" t="str">
        <f>IF('Cable Info'!V129="","",CONCATENATE('Cable Info'!V129," - ",'Cable Info'!W129))</f>
        <v/>
      </c>
      <c r="BL129" s="121" t="str">
        <f t="shared" si="52"/>
        <v/>
      </c>
      <c r="CL129" s="250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59"/>
      <c r="F130" s="105" t="s">
        <v>45</v>
      </c>
      <c r="G130" s="262"/>
      <c r="H130" s="115" t="str">
        <f t="shared" si="41"/>
        <v/>
      </c>
      <c r="I130" s="264"/>
      <c r="J130" s="105" t="s">
        <v>45</v>
      </c>
      <c r="K130" s="267"/>
      <c r="L130" s="246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1" t="str">
        <f t="shared" si="43"/>
        <v/>
      </c>
      <c r="Z130" s="252" t="str">
        <f t="shared" si="44"/>
        <v/>
      </c>
      <c r="AA130" s="252" t="str">
        <f t="shared" si="45"/>
        <v/>
      </c>
      <c r="AB130" s="252" t="str">
        <f t="shared" si="46"/>
        <v/>
      </c>
      <c r="AJ130" s="121" t="str">
        <f>IF('Cable Info'!L130="","",CONCATENATE('Cable Info'!L130," - ",'Cable Info'!M130))</f>
        <v>129 - AW</v>
      </c>
      <c r="AM130" s="121" t="str">
        <f t="shared" si="47"/>
        <v>129 - AW</v>
      </c>
      <c r="AO130" s="121" t="str">
        <f>IF('Cable Info'!N130="","",CONCATENATE('Cable Info'!N130," - ",'Cable Info'!O130))</f>
        <v>129 - AW</v>
      </c>
      <c r="AR130" s="121" t="str">
        <f t="shared" si="48"/>
        <v>129 - AW</v>
      </c>
      <c r="AT130" s="121" t="str">
        <f>IF('Cable Info'!P130="","",CONCATENATE('Cable Info'!P130," - ",'Cable Info'!Q130))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Info'!R130="","",CONCATENATE('Cable Info'!R130," - ",'Cable Info'!S130))</f>
        <v/>
      </c>
      <c r="BB130" s="121" t="str">
        <f t="shared" si="50"/>
        <v/>
      </c>
      <c r="BD130" s="121" t="str">
        <f>IF('Cable Info'!T130="","",CONCATENATE('Cable Info'!T130," - ",'Cable Info'!U130))</f>
        <v/>
      </c>
      <c r="BG130" s="121" t="str">
        <f t="shared" si="51"/>
        <v/>
      </c>
      <c r="BI130" s="121" t="str">
        <f>IF('Cable Info'!V130="","",CONCATENATE('Cable Info'!V130," - ",'Cable Info'!W130))</f>
        <v/>
      </c>
      <c r="BL130" s="121" t="str">
        <f t="shared" si="52"/>
        <v/>
      </c>
      <c r="CL130" s="250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59"/>
      <c r="F131" s="105" t="s">
        <v>45</v>
      </c>
      <c r="G131" s="262"/>
      <c r="H131" s="115" t="str">
        <f t="shared" si="41"/>
        <v/>
      </c>
      <c r="I131" s="264"/>
      <c r="J131" s="105" t="s">
        <v>45</v>
      </c>
      <c r="K131" s="267"/>
      <c r="L131" s="246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1" t="str">
        <f t="shared" si="43"/>
        <v/>
      </c>
      <c r="Z131" s="252" t="str">
        <f t="shared" si="44"/>
        <v/>
      </c>
      <c r="AA131" s="252" t="str">
        <f t="shared" si="45"/>
        <v/>
      </c>
      <c r="AB131" s="252" t="str">
        <f t="shared" si="46"/>
        <v/>
      </c>
      <c r="AJ131" s="121" t="str">
        <f>IF('Cable Info'!L131="","",CONCATENATE('Cable Info'!L131," - ",'Cable Info'!M131))</f>
        <v>130 - AW</v>
      </c>
      <c r="AM131" s="121" t="str">
        <f t="shared" si="47"/>
        <v>130 - AW</v>
      </c>
      <c r="AO131" s="121" t="str">
        <f>IF('Cable Info'!N131="","",CONCATENATE('Cable Info'!N131," - ",'Cable Info'!O131))</f>
        <v>130 - AW</v>
      </c>
      <c r="AR131" s="121" t="str">
        <f t="shared" si="48"/>
        <v>130 - AW</v>
      </c>
      <c r="AT131" s="121" t="str">
        <f>IF('Cable Info'!P131="","",CONCATENATE('Cable Info'!P131," - ",'Cable Info'!Q131))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Info'!R131="","",CONCATENATE('Cable Info'!R131," - ",'Cable Info'!S131))</f>
        <v/>
      </c>
      <c r="BB131" s="121" t="str">
        <f t="shared" si="50"/>
        <v/>
      </c>
      <c r="BD131" s="121" t="str">
        <f>IF('Cable Info'!T131="","",CONCATENATE('Cable Info'!T131," - ",'Cable Info'!U131))</f>
        <v/>
      </c>
      <c r="BG131" s="121" t="str">
        <f t="shared" si="51"/>
        <v/>
      </c>
      <c r="BI131" s="121" t="str">
        <f>IF('Cable Info'!V131="","",CONCATENATE('Cable Info'!V131," - ",'Cable Info'!W131))</f>
        <v/>
      </c>
      <c r="BL131" s="121" t="str">
        <f t="shared" si="52"/>
        <v/>
      </c>
      <c r="CL131" s="250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59"/>
      <c r="F132" s="105" t="s">
        <v>45</v>
      </c>
      <c r="G132" s="262"/>
      <c r="H132" s="115" t="str">
        <f t="shared" si="41"/>
        <v/>
      </c>
      <c r="I132" s="264"/>
      <c r="J132" s="105" t="s">
        <v>45</v>
      </c>
      <c r="K132" s="267"/>
      <c r="L132" s="246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1" t="str">
        <f t="shared" si="43"/>
        <v/>
      </c>
      <c r="Z132" s="252" t="str">
        <f t="shared" si="44"/>
        <v/>
      </c>
      <c r="AA132" s="252" t="str">
        <f t="shared" si="45"/>
        <v/>
      </c>
      <c r="AB132" s="252" t="str">
        <f t="shared" si="46"/>
        <v/>
      </c>
      <c r="AJ132" s="121" t="str">
        <f>IF('Cable Info'!L132="","",CONCATENATE('Cable Info'!L132," - ",'Cable Info'!M132))</f>
        <v>131 - AW</v>
      </c>
      <c r="AM132" s="121" t="str">
        <f t="shared" si="47"/>
        <v>131 - AW</v>
      </c>
      <c r="AO132" s="121" t="str">
        <f>IF('Cable Info'!N132="","",CONCATENATE('Cable Info'!N132," - ",'Cable Info'!O132))</f>
        <v>131 - AW</v>
      </c>
      <c r="AR132" s="121" t="str">
        <f t="shared" si="48"/>
        <v>131 - AW</v>
      </c>
      <c r="AT132" s="121" t="str">
        <f>IF('Cable Info'!P132="","",CONCATENATE('Cable Info'!P132," - ",'Cable Info'!Q132))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Info'!R132="","",CONCATENATE('Cable Info'!R132," - ",'Cable Info'!S132))</f>
        <v/>
      </c>
      <c r="BB132" s="121" t="str">
        <f t="shared" si="50"/>
        <v/>
      </c>
      <c r="BD132" s="121" t="str">
        <f>IF('Cable Info'!T132="","",CONCATENATE('Cable Info'!T132," - ",'Cable Info'!U132))</f>
        <v/>
      </c>
      <c r="BG132" s="121" t="str">
        <f t="shared" si="51"/>
        <v/>
      </c>
      <c r="BI132" s="121" t="str">
        <f>IF('Cable Info'!V132="","",CONCATENATE('Cable Info'!V132," - ",'Cable Info'!W132))</f>
        <v/>
      </c>
      <c r="BL132" s="121" t="str">
        <f t="shared" si="52"/>
        <v/>
      </c>
      <c r="CL132" s="250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59"/>
      <c r="F133" s="105" t="s">
        <v>45</v>
      </c>
      <c r="G133" s="262"/>
      <c r="H133" s="115" t="str">
        <f t="shared" si="41"/>
        <v/>
      </c>
      <c r="I133" s="264"/>
      <c r="J133" s="105" t="s">
        <v>45</v>
      </c>
      <c r="K133" s="267"/>
      <c r="L133" s="246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1" t="str">
        <f t="shared" si="43"/>
        <v/>
      </c>
      <c r="Z133" s="252" t="str">
        <f t="shared" si="44"/>
        <v/>
      </c>
      <c r="AA133" s="252" t="str">
        <f t="shared" si="45"/>
        <v/>
      </c>
      <c r="AB133" s="252" t="str">
        <f t="shared" si="46"/>
        <v/>
      </c>
      <c r="AJ133" s="121" t="str">
        <f>IF('Cable Info'!L133="","",CONCATENATE('Cable Info'!L133," - ",'Cable Info'!M133))</f>
        <v>132 - AW</v>
      </c>
      <c r="AM133" s="121" t="str">
        <f t="shared" si="47"/>
        <v>132 - AW</v>
      </c>
      <c r="AO133" s="121" t="str">
        <f>IF('Cable Info'!N133="","",CONCATENATE('Cable Info'!N133," - ",'Cable Info'!O133))</f>
        <v>132 - AW</v>
      </c>
      <c r="AR133" s="121" t="str">
        <f t="shared" si="48"/>
        <v>132 - AW</v>
      </c>
      <c r="AT133" s="121" t="str">
        <f>IF('Cable Info'!P133="","",CONCATENATE('Cable Info'!P133," - ",'Cable Info'!Q133))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Info'!R133="","",CONCATENATE('Cable Info'!R133," - ",'Cable Info'!S133))</f>
        <v/>
      </c>
      <c r="BB133" s="121" t="str">
        <f t="shared" si="50"/>
        <v/>
      </c>
      <c r="BD133" s="121" t="str">
        <f>IF('Cable Info'!T133="","",CONCATENATE('Cable Info'!T133," - ",'Cable Info'!U133))</f>
        <v/>
      </c>
      <c r="BG133" s="121" t="str">
        <f t="shared" si="51"/>
        <v/>
      </c>
      <c r="BI133" s="121" t="str">
        <f>IF('Cable Info'!V133="","",CONCATENATE('Cable Info'!V133," - ",'Cable Info'!W133))</f>
        <v/>
      </c>
      <c r="BL133" s="121" t="str">
        <f t="shared" si="52"/>
        <v/>
      </c>
      <c r="CL133" s="250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59"/>
      <c r="F134" s="105" t="s">
        <v>45</v>
      </c>
      <c r="G134" s="262"/>
      <c r="H134" s="115" t="str">
        <f t="shared" si="41"/>
        <v/>
      </c>
      <c r="I134" s="264"/>
      <c r="J134" s="105" t="s">
        <v>45</v>
      </c>
      <c r="K134" s="267"/>
      <c r="L134" s="246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1" t="str">
        <f t="shared" si="43"/>
        <v/>
      </c>
      <c r="Z134" s="252" t="str">
        <f t="shared" si="44"/>
        <v/>
      </c>
      <c r="AA134" s="252" t="str">
        <f t="shared" si="45"/>
        <v/>
      </c>
      <c r="AB134" s="252" t="str">
        <f t="shared" si="46"/>
        <v/>
      </c>
      <c r="AJ134" s="121" t="str">
        <f>IF('Cable Info'!L134="","",CONCATENATE('Cable Info'!L134," - ",'Cable Info'!M134))</f>
        <v>133 - AW</v>
      </c>
      <c r="AM134" s="121" t="str">
        <f t="shared" si="47"/>
        <v>133 - AW</v>
      </c>
      <c r="AO134" s="121" t="str">
        <f>IF('Cable Info'!N134="","",CONCATENATE('Cable Info'!N134," - ",'Cable Info'!O134))</f>
        <v>133 - AW</v>
      </c>
      <c r="AR134" s="121" t="str">
        <f t="shared" si="48"/>
        <v>133 - AW</v>
      </c>
      <c r="AT134" s="121" t="str">
        <f>IF('Cable Info'!P134="","",CONCATENATE('Cable Info'!P134," - ",'Cable Info'!Q134))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Info'!R134="","",CONCATENATE('Cable Info'!R134," - ",'Cable Info'!S134))</f>
        <v/>
      </c>
      <c r="BB134" s="121" t="str">
        <f t="shared" si="50"/>
        <v/>
      </c>
      <c r="BD134" s="121" t="str">
        <f>IF('Cable Info'!T134="","",CONCATENATE('Cable Info'!T134," - ",'Cable Info'!U134))</f>
        <v/>
      </c>
      <c r="BG134" s="121" t="str">
        <f t="shared" si="51"/>
        <v/>
      </c>
      <c r="BI134" s="121" t="str">
        <f>IF('Cable Info'!V134="","",CONCATENATE('Cable Info'!V134," - ",'Cable Info'!W134))</f>
        <v/>
      </c>
      <c r="BL134" s="121" t="str">
        <f t="shared" si="52"/>
        <v/>
      </c>
      <c r="CL134" s="250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59"/>
      <c r="F135" s="105" t="s">
        <v>45</v>
      </c>
      <c r="G135" s="262"/>
      <c r="H135" s="115" t="str">
        <f t="shared" si="41"/>
        <v/>
      </c>
      <c r="I135" s="264"/>
      <c r="J135" s="105" t="s">
        <v>45</v>
      </c>
      <c r="K135" s="267"/>
      <c r="L135" s="246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1" t="str">
        <f t="shared" si="43"/>
        <v/>
      </c>
      <c r="Z135" s="252" t="str">
        <f t="shared" si="44"/>
        <v/>
      </c>
      <c r="AA135" s="252" t="str">
        <f t="shared" si="45"/>
        <v/>
      </c>
      <c r="AB135" s="252" t="str">
        <f t="shared" si="46"/>
        <v/>
      </c>
      <c r="AJ135" s="121" t="str">
        <f>IF('Cable Info'!L135="","",CONCATENATE('Cable Info'!L135," - ",'Cable Info'!M135))</f>
        <v>134 - AW</v>
      </c>
      <c r="AM135" s="121" t="str">
        <f t="shared" si="47"/>
        <v>134 - AW</v>
      </c>
      <c r="AO135" s="121" t="str">
        <f>IF('Cable Info'!N135="","",CONCATENATE('Cable Info'!N135," - ",'Cable Info'!O135))</f>
        <v>134 - AW</v>
      </c>
      <c r="AR135" s="121" t="str">
        <f t="shared" si="48"/>
        <v>134 - AW</v>
      </c>
      <c r="AT135" s="121" t="str">
        <f>IF('Cable Info'!P135="","",CONCATENATE('Cable Info'!P135," - ",'Cable Info'!Q135))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Info'!R135="","",CONCATENATE('Cable Info'!R135," - ",'Cable Info'!S135))</f>
        <v/>
      </c>
      <c r="BB135" s="121" t="str">
        <f t="shared" si="50"/>
        <v/>
      </c>
      <c r="BD135" s="121" t="str">
        <f>IF('Cable Info'!T135="","",CONCATENATE('Cable Info'!T135," - ",'Cable Info'!U135))</f>
        <v/>
      </c>
      <c r="BG135" s="121" t="str">
        <f t="shared" si="51"/>
        <v/>
      </c>
      <c r="BI135" s="121" t="str">
        <f>IF('Cable Info'!V135="","",CONCATENATE('Cable Info'!V135," - ",'Cable Info'!W135))</f>
        <v/>
      </c>
      <c r="BL135" s="121" t="str">
        <f t="shared" si="52"/>
        <v/>
      </c>
      <c r="CL135" s="250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59"/>
      <c r="F136" s="105" t="s">
        <v>45</v>
      </c>
      <c r="G136" s="262"/>
      <c r="H136" s="115" t="str">
        <f t="shared" si="41"/>
        <v/>
      </c>
      <c r="I136" s="264"/>
      <c r="J136" s="105" t="s">
        <v>45</v>
      </c>
      <c r="K136" s="267"/>
      <c r="L136" s="246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1" t="str">
        <f t="shared" si="43"/>
        <v/>
      </c>
      <c r="Z136" s="252" t="str">
        <f t="shared" si="44"/>
        <v/>
      </c>
      <c r="AA136" s="252" t="str">
        <f t="shared" si="45"/>
        <v/>
      </c>
      <c r="AB136" s="252" t="str">
        <f t="shared" si="46"/>
        <v/>
      </c>
      <c r="AJ136" s="121" t="str">
        <f>IF('Cable Info'!L136="","",CONCATENATE('Cable Info'!L136," - ",'Cable Info'!M136))</f>
        <v>135 - AW</v>
      </c>
      <c r="AM136" s="121" t="str">
        <f t="shared" si="47"/>
        <v>135 - AW</v>
      </c>
      <c r="AO136" s="121" t="str">
        <f>IF('Cable Info'!N136="","",CONCATENATE('Cable Info'!N136," - ",'Cable Info'!O136))</f>
        <v>135 - AW</v>
      </c>
      <c r="AR136" s="121" t="str">
        <f t="shared" si="48"/>
        <v>135 - AW</v>
      </c>
      <c r="AT136" s="121" t="str">
        <f>IF('Cable Info'!P136="","",CONCATENATE('Cable Info'!P136," - ",'Cable Info'!Q136))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Info'!R136="","",CONCATENATE('Cable Info'!R136," - ",'Cable Info'!S136))</f>
        <v/>
      </c>
      <c r="BB136" s="121" t="str">
        <f t="shared" si="50"/>
        <v/>
      </c>
      <c r="BD136" s="121" t="str">
        <f>IF('Cable Info'!T136="","",CONCATENATE('Cable Info'!T136," - ",'Cable Info'!U136))</f>
        <v/>
      </c>
      <c r="BG136" s="121" t="str">
        <f t="shared" si="51"/>
        <v/>
      </c>
      <c r="BI136" s="121" t="str">
        <f>IF('Cable Info'!V136="","",CONCATENATE('Cable Info'!V136," - ",'Cable Info'!W136))</f>
        <v/>
      </c>
      <c r="BL136" s="121" t="str">
        <f t="shared" si="52"/>
        <v/>
      </c>
      <c r="CL136" s="250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59"/>
      <c r="F137" s="105" t="s">
        <v>45</v>
      </c>
      <c r="G137" s="262"/>
      <c r="H137" s="115" t="str">
        <f t="shared" si="41"/>
        <v/>
      </c>
      <c r="I137" s="264"/>
      <c r="J137" s="105" t="s">
        <v>45</v>
      </c>
      <c r="K137" s="267"/>
      <c r="L137" s="246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1" t="str">
        <f t="shared" si="43"/>
        <v/>
      </c>
      <c r="Z137" s="252" t="str">
        <f t="shared" si="44"/>
        <v/>
      </c>
      <c r="AA137" s="252" t="str">
        <f t="shared" si="45"/>
        <v/>
      </c>
      <c r="AB137" s="252" t="str">
        <f t="shared" si="46"/>
        <v/>
      </c>
      <c r="AJ137" s="121" t="str">
        <f>IF('Cable Info'!L137="","",CONCATENATE('Cable Info'!L137," - ",'Cable Info'!M137))</f>
        <v>136 - AW</v>
      </c>
      <c r="AM137" s="121" t="str">
        <f t="shared" si="47"/>
        <v>136 - AW</v>
      </c>
      <c r="AO137" s="121" t="str">
        <f>IF('Cable Info'!N137="","",CONCATENATE('Cable Info'!N137," - ",'Cable Info'!O137))</f>
        <v>136 - AW</v>
      </c>
      <c r="AR137" s="121" t="str">
        <f t="shared" si="48"/>
        <v>136 - AW</v>
      </c>
      <c r="AT137" s="121" t="str">
        <f>IF('Cable Info'!P137="","",CONCATENATE('Cable Info'!P137," - ",'Cable Info'!Q137))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Info'!R137="","",CONCATENATE('Cable Info'!R137," - ",'Cable Info'!S137))</f>
        <v/>
      </c>
      <c r="BB137" s="121" t="str">
        <f t="shared" si="50"/>
        <v/>
      </c>
      <c r="BD137" s="121" t="str">
        <f>IF('Cable Info'!T137="","",CONCATENATE('Cable Info'!T137," - ",'Cable Info'!U137))</f>
        <v/>
      </c>
      <c r="BG137" s="121" t="str">
        <f t="shared" si="51"/>
        <v/>
      </c>
      <c r="BI137" s="121" t="str">
        <f>IF('Cable Info'!V137="","",CONCATENATE('Cable Info'!V137," - ",'Cable Info'!W137))</f>
        <v/>
      </c>
      <c r="BL137" s="121" t="str">
        <f t="shared" si="52"/>
        <v/>
      </c>
      <c r="CL137" s="250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59"/>
      <c r="F138" s="105" t="s">
        <v>45</v>
      </c>
      <c r="G138" s="262"/>
      <c r="H138" s="115" t="str">
        <f t="shared" si="41"/>
        <v/>
      </c>
      <c r="I138" s="264"/>
      <c r="J138" s="105" t="s">
        <v>45</v>
      </c>
      <c r="K138" s="267"/>
      <c r="L138" s="246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1" t="str">
        <f t="shared" si="43"/>
        <v/>
      </c>
      <c r="Z138" s="252" t="str">
        <f t="shared" si="44"/>
        <v/>
      </c>
      <c r="AA138" s="252" t="str">
        <f t="shared" si="45"/>
        <v/>
      </c>
      <c r="AB138" s="252" t="str">
        <f t="shared" si="46"/>
        <v/>
      </c>
      <c r="AJ138" s="121" t="str">
        <f>IF('Cable Info'!L138="","",CONCATENATE('Cable Info'!L138," - ",'Cable Info'!M138))</f>
        <v>137 - AW</v>
      </c>
      <c r="AM138" s="121" t="str">
        <f t="shared" si="47"/>
        <v>137 - AW</v>
      </c>
      <c r="AO138" s="121" t="str">
        <f>IF('Cable Info'!N138="","",CONCATENATE('Cable Info'!N138," - ",'Cable Info'!O138))</f>
        <v>137 - AW</v>
      </c>
      <c r="AR138" s="121" t="str">
        <f t="shared" si="48"/>
        <v>137 - AW</v>
      </c>
      <c r="AT138" s="121" t="str">
        <f>IF('Cable Info'!P138="","",CONCATENATE('Cable Info'!P138," - ",'Cable Info'!Q138))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Info'!R138="","",CONCATENATE('Cable Info'!R138," - ",'Cable Info'!S138))</f>
        <v/>
      </c>
      <c r="BB138" s="121" t="str">
        <f t="shared" si="50"/>
        <v/>
      </c>
      <c r="BD138" s="121" t="str">
        <f>IF('Cable Info'!T138="","",CONCATENATE('Cable Info'!T138," - ",'Cable Info'!U138))</f>
        <v/>
      </c>
      <c r="BG138" s="121" t="str">
        <f t="shared" si="51"/>
        <v/>
      </c>
      <c r="BI138" s="121" t="str">
        <f>IF('Cable Info'!V138="","",CONCATENATE('Cable Info'!V138," - ",'Cable Info'!W138))</f>
        <v/>
      </c>
      <c r="BL138" s="121" t="str">
        <f t="shared" si="52"/>
        <v/>
      </c>
      <c r="CL138" s="250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59"/>
      <c r="F139" s="105" t="s">
        <v>45</v>
      </c>
      <c r="G139" s="262"/>
      <c r="H139" s="115" t="str">
        <f t="shared" si="41"/>
        <v/>
      </c>
      <c r="I139" s="264"/>
      <c r="J139" s="105" t="s">
        <v>45</v>
      </c>
      <c r="K139" s="267"/>
      <c r="L139" s="246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1" t="str">
        <f t="shared" si="43"/>
        <v/>
      </c>
      <c r="Z139" s="252" t="str">
        <f t="shared" si="44"/>
        <v/>
      </c>
      <c r="AA139" s="252" t="str">
        <f t="shared" si="45"/>
        <v/>
      </c>
      <c r="AB139" s="252" t="str">
        <f t="shared" si="46"/>
        <v/>
      </c>
      <c r="AJ139" s="121" t="str">
        <f>IF('Cable Info'!L139="","",CONCATENATE('Cable Info'!L139," - ",'Cable Info'!M139))</f>
        <v>138 - AW</v>
      </c>
      <c r="AM139" s="121" t="str">
        <f t="shared" si="47"/>
        <v>138 - AW</v>
      </c>
      <c r="AO139" s="121" t="str">
        <f>IF('Cable Info'!N139="","",CONCATENATE('Cable Info'!N139," - ",'Cable Info'!O139))</f>
        <v>138 - AW</v>
      </c>
      <c r="AR139" s="121" t="str">
        <f t="shared" si="48"/>
        <v>138 - AW</v>
      </c>
      <c r="AT139" s="121" t="str">
        <f>IF('Cable Info'!P139="","",CONCATENATE('Cable Info'!P139," - ",'Cable Info'!Q139))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Info'!R139="","",CONCATENATE('Cable Info'!R139," - ",'Cable Info'!S139))</f>
        <v/>
      </c>
      <c r="BB139" s="121" t="str">
        <f t="shared" si="50"/>
        <v/>
      </c>
      <c r="BD139" s="121" t="str">
        <f>IF('Cable Info'!T139="","",CONCATENATE('Cable Info'!T139," - ",'Cable Info'!U139))</f>
        <v/>
      </c>
      <c r="BG139" s="121" t="str">
        <f t="shared" si="51"/>
        <v/>
      </c>
      <c r="BI139" s="121" t="str">
        <f>IF('Cable Info'!V139="","",CONCATENATE('Cable Info'!V139," - ",'Cable Info'!W139))</f>
        <v/>
      </c>
      <c r="BL139" s="121" t="str">
        <f t="shared" si="52"/>
        <v/>
      </c>
      <c r="CL139" s="250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59"/>
      <c r="F140" s="105" t="s">
        <v>45</v>
      </c>
      <c r="G140" s="262"/>
      <c r="H140" s="115" t="str">
        <f t="shared" ref="H140:H203" si="53">IF(G140="","",((E140-G140)-1)*(-1))</f>
        <v/>
      </c>
      <c r="I140" s="264"/>
      <c r="J140" s="105" t="s">
        <v>45</v>
      </c>
      <c r="K140" s="267"/>
      <c r="L140" s="246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ref="X140:X203" si="54">IF(V140="","",IF(R140="","",IF(S140="","",IF(R140="SPLICED",(IF(S140="SPLICE",0,9)),IF(V140=$U$3,(IF(S140="BREAK",12,11)),IF(S140="BREAK",2,1))))))</f>
        <v/>
      </c>
      <c r="Y140" s="251" t="str">
        <f t="shared" ref="Y140:Y203" si="55">IF(E140="","",IF(G140="","",IF(E140&gt;G140,1,"")))</f>
        <v/>
      </c>
      <c r="Z140" s="252" t="str">
        <f t="shared" ref="Z140:Z203" si="56">IF(I140="","",IF(K140="","",IF(I140&gt;K140,1,"")))</f>
        <v/>
      </c>
      <c r="AA140" s="252" t="str">
        <f t="shared" ref="AA140:AA203" si="57">IF(K140="","",((I140-K140)-1)*(-1))</f>
        <v/>
      </c>
      <c r="AB140" s="252" t="str">
        <f t="shared" ref="AB140:AB203" si="58">IF(E140="","",IF(G140="","",IF(I140="","",IF(K140="","",IF(AA140&lt;&gt;H140,1,"")))))</f>
        <v/>
      </c>
      <c r="AJ140" s="121" t="str">
        <f>IF('Cable Info'!L140="","",CONCATENATE('Cable Info'!L140," - ",'Cable Info'!M140))</f>
        <v>139 - AW</v>
      </c>
      <c r="AM140" s="121" t="str">
        <f t="shared" ref="AM140:AM203" si="59">IF(AK140="",AJ140,CONCATENATE(AJ140,"  &lt;=&gt; ",AK140," ",AL140))</f>
        <v>139 - AW</v>
      </c>
      <c r="AO140" s="121" t="str">
        <f>IF('Cable Info'!N140="","",CONCATENATE('Cable Info'!N140," - ",'Cable Info'!O140))</f>
        <v>139 - AW</v>
      </c>
      <c r="AR140" s="121" t="str">
        <f t="shared" ref="AR140:AR203" si="60">IF(AP140="",AO140,CONCATENATE(AO140,"  &lt;=&gt; ",AP140," ",AQ140))</f>
        <v>139 - AW</v>
      </c>
      <c r="AT140" s="121" t="str">
        <f>IF('Cable Info'!P140="","",CONCATENATE('Cable Info'!P140," - ",'Cable Info'!Q140))</f>
        <v/>
      </c>
      <c r="AU140" s="121" t="s">
        <v>51</v>
      </c>
      <c r="AW140" s="121" t="str">
        <f t="shared" ref="AW140:AW203" si="61">IF(AU140="",AT140,CONCATENATE(AT140,"  &lt;=&gt; ",AU140," ",AV140))</f>
        <v xml:space="preserve">  &lt;=&gt; CABLEC </v>
      </c>
      <c r="AY140" s="121" t="str">
        <f>IF('Cable Info'!R140="","",CONCATENATE('Cable Info'!R140," - ",'Cable Info'!S140))</f>
        <v/>
      </c>
      <c r="BB140" s="121" t="str">
        <f t="shared" ref="BB140:BB203" si="62">IF(AZ140="",AY140,CONCATENATE(AY140,"  &lt;=&gt; ",AZ140," ",BA140))</f>
        <v/>
      </c>
      <c r="BD140" s="121" t="str">
        <f>IF('Cable Info'!T140="","",CONCATENATE('Cable Info'!T140," - ",'Cable Info'!U140))</f>
        <v/>
      </c>
      <c r="BG140" s="121" t="str">
        <f t="shared" ref="BG140:BG203" si="63">IF(BE140="",BD140,CONCATENATE(BD140,"  &lt;=&gt; ",BE140," ",BF140))</f>
        <v/>
      </c>
      <c r="BI140" s="121" t="str">
        <f>IF('Cable Info'!V140="","",CONCATENATE('Cable Info'!V140," - ",'Cable Info'!W140))</f>
        <v/>
      </c>
      <c r="BL140" s="121" t="str">
        <f t="shared" ref="BL140:BL203" si="64">IF(BJ140="",BI140,CONCATENATE(BI140,"  &lt;=&gt; ",BJ140," ",BK140))</f>
        <v/>
      </c>
      <c r="CL140" s="250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59"/>
      <c r="F141" s="105" t="s">
        <v>45</v>
      </c>
      <c r="G141" s="262"/>
      <c r="H141" s="115" t="str">
        <f t="shared" si="53"/>
        <v/>
      </c>
      <c r="I141" s="264"/>
      <c r="J141" s="105" t="s">
        <v>45</v>
      </c>
      <c r="K141" s="267"/>
      <c r="L141" s="246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si="54"/>
        <v/>
      </c>
      <c r="Y141" s="251" t="str">
        <f t="shared" si="55"/>
        <v/>
      </c>
      <c r="Z141" s="252" t="str">
        <f t="shared" si="56"/>
        <v/>
      </c>
      <c r="AA141" s="252" t="str">
        <f t="shared" si="57"/>
        <v/>
      </c>
      <c r="AB141" s="252" t="str">
        <f t="shared" si="58"/>
        <v/>
      </c>
      <c r="AJ141" s="121" t="str">
        <f>IF('Cable Info'!L141="","",CONCATENATE('Cable Info'!L141," - ",'Cable Info'!M141))</f>
        <v>140 - AW</v>
      </c>
      <c r="AM141" s="121" t="str">
        <f t="shared" si="59"/>
        <v>140 - AW</v>
      </c>
      <c r="AO141" s="121" t="str">
        <f>IF('Cable Info'!N141="","",CONCATENATE('Cable Info'!N141," - ",'Cable Info'!O141))</f>
        <v>140 - AW</v>
      </c>
      <c r="AR141" s="121" t="str">
        <f t="shared" si="60"/>
        <v>140 - AW</v>
      </c>
      <c r="AT141" s="121" t="str">
        <f>IF('Cable Info'!P141="","",CONCATENATE('Cable Info'!P141," - ",'Cable Info'!Q141))</f>
        <v/>
      </c>
      <c r="AU141" s="121" t="s">
        <v>51</v>
      </c>
      <c r="AW141" s="121" t="str">
        <f t="shared" si="61"/>
        <v xml:space="preserve">  &lt;=&gt; CABLEC </v>
      </c>
      <c r="AY141" s="121" t="str">
        <f>IF('Cable Info'!R141="","",CONCATENATE('Cable Info'!R141," - ",'Cable Info'!S141))</f>
        <v/>
      </c>
      <c r="BB141" s="121" t="str">
        <f t="shared" si="62"/>
        <v/>
      </c>
      <c r="BD141" s="121" t="str">
        <f>IF('Cable Info'!T141="","",CONCATENATE('Cable Info'!T141," - ",'Cable Info'!U141))</f>
        <v/>
      </c>
      <c r="BG141" s="121" t="str">
        <f t="shared" si="63"/>
        <v/>
      </c>
      <c r="BI141" s="121" t="str">
        <f>IF('Cable Info'!V141="","",CONCATENATE('Cable Info'!V141," - ",'Cable Info'!W141))</f>
        <v/>
      </c>
      <c r="BL141" s="121" t="str">
        <f t="shared" si="64"/>
        <v/>
      </c>
      <c r="CL141" s="250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59"/>
      <c r="F142" s="105" t="s">
        <v>45</v>
      </c>
      <c r="G142" s="262"/>
      <c r="H142" s="115" t="str">
        <f t="shared" si="53"/>
        <v/>
      </c>
      <c r="I142" s="264"/>
      <c r="J142" s="105" t="s">
        <v>45</v>
      </c>
      <c r="K142" s="267"/>
      <c r="L142" s="246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1" t="str">
        <f t="shared" si="55"/>
        <v/>
      </c>
      <c r="Z142" s="252" t="str">
        <f t="shared" si="56"/>
        <v/>
      </c>
      <c r="AA142" s="252" t="str">
        <f t="shared" si="57"/>
        <v/>
      </c>
      <c r="AB142" s="252" t="str">
        <f t="shared" si="58"/>
        <v/>
      </c>
      <c r="AJ142" s="121" t="str">
        <f>IF('Cable Info'!L142="","",CONCATENATE('Cable Info'!L142," - ",'Cable Info'!M142))</f>
        <v>141 - AW</v>
      </c>
      <c r="AM142" s="121" t="str">
        <f t="shared" si="59"/>
        <v>141 - AW</v>
      </c>
      <c r="AO142" s="121" t="str">
        <f>IF('Cable Info'!N142="","",CONCATENATE('Cable Info'!N142," - ",'Cable Info'!O142))</f>
        <v>141 - AW</v>
      </c>
      <c r="AR142" s="121" t="str">
        <f t="shared" si="60"/>
        <v>141 - AW</v>
      </c>
      <c r="AT142" s="121" t="str">
        <f>IF('Cable Info'!P142="","",CONCATENATE('Cable Info'!P142," - ",'Cable Info'!Q142))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Info'!R142="","",CONCATENATE('Cable Info'!R142," - ",'Cable Info'!S142))</f>
        <v/>
      </c>
      <c r="BB142" s="121" t="str">
        <f t="shared" si="62"/>
        <v/>
      </c>
      <c r="BD142" s="121" t="str">
        <f>IF('Cable Info'!T142="","",CONCATENATE('Cable Info'!T142," - ",'Cable Info'!U142))</f>
        <v/>
      </c>
      <c r="BG142" s="121" t="str">
        <f t="shared" si="63"/>
        <v/>
      </c>
      <c r="BI142" s="121" t="str">
        <f>IF('Cable Info'!V142="","",CONCATENATE('Cable Info'!V142," - ",'Cable Info'!W142))</f>
        <v/>
      </c>
      <c r="BL142" s="121" t="str">
        <f t="shared" si="64"/>
        <v/>
      </c>
      <c r="CL142" s="250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59"/>
      <c r="F143" s="105" t="s">
        <v>45</v>
      </c>
      <c r="G143" s="262"/>
      <c r="H143" s="115" t="str">
        <f t="shared" si="53"/>
        <v/>
      </c>
      <c r="I143" s="264"/>
      <c r="J143" s="105" t="s">
        <v>45</v>
      </c>
      <c r="K143" s="267"/>
      <c r="L143" s="246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1" t="str">
        <f t="shared" si="55"/>
        <v/>
      </c>
      <c r="Z143" s="252" t="str">
        <f t="shared" si="56"/>
        <v/>
      </c>
      <c r="AA143" s="252" t="str">
        <f t="shared" si="57"/>
        <v/>
      </c>
      <c r="AB143" s="252" t="str">
        <f t="shared" si="58"/>
        <v/>
      </c>
      <c r="AJ143" s="121" t="str">
        <f>IF('Cable Info'!L143="","",CONCATENATE('Cable Info'!L143," - ",'Cable Info'!M143))</f>
        <v>142 - AW</v>
      </c>
      <c r="AM143" s="121" t="str">
        <f t="shared" si="59"/>
        <v>142 - AW</v>
      </c>
      <c r="AO143" s="121" t="str">
        <f>IF('Cable Info'!N143="","",CONCATENATE('Cable Info'!N143," - ",'Cable Info'!O143))</f>
        <v>142 - AW</v>
      </c>
      <c r="AR143" s="121" t="str">
        <f t="shared" si="60"/>
        <v>142 - AW</v>
      </c>
      <c r="AT143" s="121" t="str">
        <f>IF('Cable Info'!P143="","",CONCATENATE('Cable Info'!P143," - ",'Cable Info'!Q143))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Info'!R143="","",CONCATENATE('Cable Info'!R143," - ",'Cable Info'!S143))</f>
        <v/>
      </c>
      <c r="BB143" s="121" t="str">
        <f t="shared" si="62"/>
        <v/>
      </c>
      <c r="BD143" s="121" t="str">
        <f>IF('Cable Info'!T143="","",CONCATENATE('Cable Info'!T143," - ",'Cable Info'!U143))</f>
        <v/>
      </c>
      <c r="BG143" s="121" t="str">
        <f t="shared" si="63"/>
        <v/>
      </c>
      <c r="BI143" s="121" t="str">
        <f>IF('Cable Info'!V143="","",CONCATENATE('Cable Info'!V143," - ",'Cable Info'!W143))</f>
        <v/>
      </c>
      <c r="BL143" s="121" t="str">
        <f t="shared" si="64"/>
        <v/>
      </c>
      <c r="CL143" s="250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59"/>
      <c r="F144" s="105" t="s">
        <v>45</v>
      </c>
      <c r="G144" s="262"/>
      <c r="H144" s="115" t="str">
        <f t="shared" si="53"/>
        <v/>
      </c>
      <c r="I144" s="264"/>
      <c r="J144" s="105" t="s">
        <v>45</v>
      </c>
      <c r="K144" s="267"/>
      <c r="L144" s="246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1" t="str">
        <f t="shared" si="55"/>
        <v/>
      </c>
      <c r="Z144" s="252" t="str">
        <f t="shared" si="56"/>
        <v/>
      </c>
      <c r="AA144" s="252" t="str">
        <f t="shared" si="57"/>
        <v/>
      </c>
      <c r="AB144" s="252" t="str">
        <f t="shared" si="58"/>
        <v/>
      </c>
      <c r="AJ144" s="121" t="str">
        <f>IF('Cable Info'!L144="","",CONCATENATE('Cable Info'!L144," - ",'Cable Info'!M144))</f>
        <v>143 - AW</v>
      </c>
      <c r="AM144" s="121" t="str">
        <f t="shared" si="59"/>
        <v>143 - AW</v>
      </c>
      <c r="AO144" s="121" t="str">
        <f>IF('Cable Info'!N144="","",CONCATENATE('Cable Info'!N144," - ",'Cable Info'!O144))</f>
        <v>143 - AW</v>
      </c>
      <c r="AR144" s="121" t="str">
        <f t="shared" si="60"/>
        <v>143 - AW</v>
      </c>
      <c r="AT144" s="121" t="str">
        <f>IF('Cable Info'!P144="","",CONCATENATE('Cable Info'!P144," - ",'Cable Info'!Q144))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Info'!R144="","",CONCATENATE('Cable Info'!R144," - ",'Cable Info'!S144))</f>
        <v/>
      </c>
      <c r="BB144" s="121" t="str">
        <f t="shared" si="62"/>
        <v/>
      </c>
      <c r="BD144" s="121" t="str">
        <f>IF('Cable Info'!T144="","",CONCATENATE('Cable Info'!T144," - ",'Cable Info'!U144))</f>
        <v/>
      </c>
      <c r="BG144" s="121" t="str">
        <f t="shared" si="63"/>
        <v/>
      </c>
      <c r="BI144" s="121" t="str">
        <f>IF('Cable Info'!V144="","",CONCATENATE('Cable Info'!V144," - ",'Cable Info'!W144))</f>
        <v/>
      </c>
      <c r="BL144" s="121" t="str">
        <f t="shared" si="64"/>
        <v/>
      </c>
      <c r="CL144" s="250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59"/>
      <c r="F145" s="105" t="s">
        <v>45</v>
      </c>
      <c r="G145" s="262"/>
      <c r="H145" s="115" t="str">
        <f t="shared" si="53"/>
        <v/>
      </c>
      <c r="I145" s="264"/>
      <c r="J145" s="105" t="s">
        <v>45</v>
      </c>
      <c r="K145" s="267"/>
      <c r="L145" s="246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1" t="str">
        <f t="shared" si="55"/>
        <v/>
      </c>
      <c r="Z145" s="252" t="str">
        <f t="shared" si="56"/>
        <v/>
      </c>
      <c r="AA145" s="252" t="str">
        <f t="shared" si="57"/>
        <v/>
      </c>
      <c r="AB145" s="252" t="str">
        <f t="shared" si="58"/>
        <v/>
      </c>
      <c r="AJ145" s="121" t="str">
        <f>IF('Cable Info'!L145="","",CONCATENATE('Cable Info'!L145," - ",'Cable Info'!M145))</f>
        <v>144 - AW</v>
      </c>
      <c r="AM145" s="121" t="str">
        <f t="shared" si="59"/>
        <v>144 - AW</v>
      </c>
      <c r="AO145" s="121" t="str">
        <f>IF('Cable Info'!N145="","",CONCATENATE('Cable Info'!N145," - ",'Cable Info'!O145))</f>
        <v>144 - AW</v>
      </c>
      <c r="AR145" s="121" t="str">
        <f t="shared" si="60"/>
        <v>144 - AW</v>
      </c>
      <c r="AT145" s="121" t="str">
        <f>IF('Cable Info'!P145="","",CONCATENATE('Cable Info'!P145," - ",'Cable Info'!Q145))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Info'!R145="","",CONCATENATE('Cable Info'!R145," - ",'Cable Info'!S145))</f>
        <v/>
      </c>
      <c r="BB145" s="121" t="str">
        <f t="shared" si="62"/>
        <v/>
      </c>
      <c r="BD145" s="121" t="str">
        <f>IF('Cable Info'!T145="","",CONCATENATE('Cable Info'!T145," - ",'Cable Info'!U145))</f>
        <v/>
      </c>
      <c r="BG145" s="121" t="str">
        <f t="shared" si="63"/>
        <v/>
      </c>
      <c r="BI145" s="121" t="str">
        <f>IF('Cable Info'!V145="","",CONCATENATE('Cable Info'!V145," - ",'Cable Info'!W145))</f>
        <v/>
      </c>
      <c r="BL145" s="121" t="str">
        <f t="shared" si="64"/>
        <v/>
      </c>
      <c r="CL145" s="250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59"/>
      <c r="F146" s="105" t="s">
        <v>45</v>
      </c>
      <c r="G146" s="262"/>
      <c r="H146" s="115" t="str">
        <f t="shared" si="53"/>
        <v/>
      </c>
      <c r="I146" s="264"/>
      <c r="J146" s="105" t="s">
        <v>45</v>
      </c>
      <c r="K146" s="267"/>
      <c r="L146" s="246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1" t="str">
        <f t="shared" si="55"/>
        <v/>
      </c>
      <c r="Z146" s="252" t="str">
        <f t="shared" si="56"/>
        <v/>
      </c>
      <c r="AA146" s="252" t="str">
        <f t="shared" si="57"/>
        <v/>
      </c>
      <c r="AB146" s="252" t="str">
        <f t="shared" si="58"/>
        <v/>
      </c>
      <c r="AJ146" s="121" t="str">
        <f>IF('Cable Info'!L146="","",CONCATENATE('Cable Info'!L146," - ",'Cable Info'!M146))</f>
        <v>145 - AW</v>
      </c>
      <c r="AM146" s="121" t="str">
        <f t="shared" si="59"/>
        <v>145 - AW</v>
      </c>
      <c r="AO146" s="121" t="str">
        <f>IF('Cable Info'!N146="","",CONCATENATE('Cable Info'!N146," - ",'Cable Info'!O146))</f>
        <v>145 - AW</v>
      </c>
      <c r="AR146" s="121" t="str">
        <f t="shared" si="60"/>
        <v>145 - AW</v>
      </c>
      <c r="AT146" s="121" t="str">
        <f>IF('Cable Info'!P146="","",CONCATENATE('Cable Info'!P146," - ",'Cable Info'!Q146))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Info'!R146="","",CONCATENATE('Cable Info'!R146," - ",'Cable Info'!S146))</f>
        <v/>
      </c>
      <c r="BB146" s="121" t="str">
        <f t="shared" si="62"/>
        <v/>
      </c>
      <c r="BD146" s="121" t="str">
        <f>IF('Cable Info'!T146="","",CONCATENATE('Cable Info'!T146," - ",'Cable Info'!U146))</f>
        <v/>
      </c>
      <c r="BG146" s="121" t="str">
        <f t="shared" si="63"/>
        <v/>
      </c>
      <c r="BI146" s="121" t="str">
        <f>IF('Cable Info'!V146="","",CONCATENATE('Cable Info'!V146," - ",'Cable Info'!W146))</f>
        <v/>
      </c>
      <c r="BL146" s="121" t="str">
        <f t="shared" si="64"/>
        <v/>
      </c>
      <c r="CL146" s="250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59"/>
      <c r="F147" s="105" t="s">
        <v>45</v>
      </c>
      <c r="G147" s="262"/>
      <c r="H147" s="115" t="str">
        <f t="shared" si="53"/>
        <v/>
      </c>
      <c r="I147" s="264"/>
      <c r="J147" s="105" t="s">
        <v>45</v>
      </c>
      <c r="K147" s="267"/>
      <c r="L147" s="246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1" t="str">
        <f t="shared" si="55"/>
        <v/>
      </c>
      <c r="Z147" s="252" t="str">
        <f t="shared" si="56"/>
        <v/>
      </c>
      <c r="AA147" s="252" t="str">
        <f t="shared" si="57"/>
        <v/>
      </c>
      <c r="AB147" s="252" t="str">
        <f t="shared" si="58"/>
        <v/>
      </c>
      <c r="AJ147" s="121" t="str">
        <f>IF('Cable Info'!L147="","",CONCATENATE('Cable Info'!L147," - ",'Cable Info'!M147))</f>
        <v>146 - AW</v>
      </c>
      <c r="AM147" s="121" t="str">
        <f t="shared" si="59"/>
        <v>146 - AW</v>
      </c>
      <c r="AO147" s="121" t="str">
        <f>IF('Cable Info'!N147="","",CONCATENATE('Cable Info'!N147," - ",'Cable Info'!O147))</f>
        <v>146 - AW</v>
      </c>
      <c r="AR147" s="121" t="str">
        <f t="shared" si="60"/>
        <v>146 - AW</v>
      </c>
      <c r="AT147" s="121" t="str">
        <f>IF('Cable Info'!P147="","",CONCATENATE('Cable Info'!P147," - ",'Cable Info'!Q147))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Info'!R147="","",CONCATENATE('Cable Info'!R147," - ",'Cable Info'!S147))</f>
        <v/>
      </c>
      <c r="BB147" s="121" t="str">
        <f t="shared" si="62"/>
        <v/>
      </c>
      <c r="BD147" s="121" t="str">
        <f>IF('Cable Info'!T147="","",CONCATENATE('Cable Info'!T147," - ",'Cable Info'!U147))</f>
        <v/>
      </c>
      <c r="BG147" s="121" t="str">
        <f t="shared" si="63"/>
        <v/>
      </c>
      <c r="BI147" s="121" t="str">
        <f>IF('Cable Info'!V147="","",CONCATENATE('Cable Info'!V147," - ",'Cable Info'!W147))</f>
        <v/>
      </c>
      <c r="BL147" s="121" t="str">
        <f t="shared" si="64"/>
        <v/>
      </c>
      <c r="CL147" s="250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59"/>
      <c r="F148" s="105" t="s">
        <v>45</v>
      </c>
      <c r="G148" s="262"/>
      <c r="H148" s="115" t="str">
        <f t="shared" si="53"/>
        <v/>
      </c>
      <c r="I148" s="264"/>
      <c r="J148" s="105" t="s">
        <v>45</v>
      </c>
      <c r="K148" s="267"/>
      <c r="L148" s="246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1" t="str">
        <f t="shared" si="55"/>
        <v/>
      </c>
      <c r="Z148" s="252" t="str">
        <f t="shared" si="56"/>
        <v/>
      </c>
      <c r="AA148" s="252" t="str">
        <f t="shared" si="57"/>
        <v/>
      </c>
      <c r="AB148" s="252" t="str">
        <f t="shared" si="58"/>
        <v/>
      </c>
      <c r="AJ148" s="121" t="str">
        <f>IF('Cable Info'!L148="","",CONCATENATE('Cable Info'!L148," - ",'Cable Info'!M148))</f>
        <v>147 - AW</v>
      </c>
      <c r="AM148" s="121" t="str">
        <f t="shared" si="59"/>
        <v>147 - AW</v>
      </c>
      <c r="AO148" s="121" t="str">
        <f>IF('Cable Info'!N148="","",CONCATENATE('Cable Info'!N148," - ",'Cable Info'!O148))</f>
        <v>147 - AW</v>
      </c>
      <c r="AR148" s="121" t="str">
        <f t="shared" si="60"/>
        <v>147 - AW</v>
      </c>
      <c r="AT148" s="121" t="str">
        <f>IF('Cable Info'!P148="","",CONCATENATE('Cable Info'!P148," - ",'Cable Info'!Q148))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Info'!R148="","",CONCATENATE('Cable Info'!R148," - ",'Cable Info'!S148))</f>
        <v/>
      </c>
      <c r="BB148" s="121" t="str">
        <f t="shared" si="62"/>
        <v/>
      </c>
      <c r="BD148" s="121" t="str">
        <f>IF('Cable Info'!T148="","",CONCATENATE('Cable Info'!T148," - ",'Cable Info'!U148))</f>
        <v/>
      </c>
      <c r="BG148" s="121" t="str">
        <f t="shared" si="63"/>
        <v/>
      </c>
      <c r="BI148" s="121" t="str">
        <f>IF('Cable Info'!V148="","",CONCATENATE('Cable Info'!V148," - ",'Cable Info'!W148))</f>
        <v/>
      </c>
      <c r="BL148" s="121" t="str">
        <f t="shared" si="64"/>
        <v/>
      </c>
      <c r="CL148" s="250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59"/>
      <c r="F149" s="105" t="s">
        <v>45</v>
      </c>
      <c r="G149" s="262"/>
      <c r="H149" s="115" t="str">
        <f t="shared" si="53"/>
        <v/>
      </c>
      <c r="I149" s="264"/>
      <c r="J149" s="105" t="s">
        <v>45</v>
      </c>
      <c r="K149" s="267"/>
      <c r="L149" s="246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1" t="str">
        <f t="shared" si="55"/>
        <v/>
      </c>
      <c r="Z149" s="252" t="str">
        <f t="shared" si="56"/>
        <v/>
      </c>
      <c r="AA149" s="252" t="str">
        <f t="shared" si="57"/>
        <v/>
      </c>
      <c r="AB149" s="252" t="str">
        <f t="shared" si="58"/>
        <v/>
      </c>
      <c r="AJ149" s="121" t="str">
        <f>IF('Cable Info'!L149="","",CONCATENATE('Cable Info'!L149," - ",'Cable Info'!M149))</f>
        <v>148 - AW</v>
      </c>
      <c r="AM149" s="121" t="str">
        <f t="shared" si="59"/>
        <v>148 - AW</v>
      </c>
      <c r="AO149" s="121" t="str">
        <f>IF('Cable Info'!N149="","",CONCATENATE('Cable Info'!N149," - ",'Cable Info'!O149))</f>
        <v>148 - AW</v>
      </c>
      <c r="AR149" s="121" t="str">
        <f t="shared" si="60"/>
        <v>148 - AW</v>
      </c>
      <c r="AT149" s="121" t="str">
        <f>IF('Cable Info'!P149="","",CONCATENATE('Cable Info'!P149," - ",'Cable Info'!Q149))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Info'!R149="","",CONCATENATE('Cable Info'!R149," - ",'Cable Info'!S149))</f>
        <v/>
      </c>
      <c r="BB149" s="121" t="str">
        <f t="shared" si="62"/>
        <v/>
      </c>
      <c r="BD149" s="121" t="str">
        <f>IF('Cable Info'!T149="","",CONCATENATE('Cable Info'!T149," - ",'Cable Info'!U149))</f>
        <v/>
      </c>
      <c r="BG149" s="121" t="str">
        <f t="shared" si="63"/>
        <v/>
      </c>
      <c r="BI149" s="121" t="str">
        <f>IF('Cable Info'!V149="","",CONCATENATE('Cable Info'!V149," - ",'Cable Info'!W149))</f>
        <v/>
      </c>
      <c r="BL149" s="121" t="str">
        <f t="shared" si="64"/>
        <v/>
      </c>
      <c r="CL149" s="250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59"/>
      <c r="F150" s="105" t="s">
        <v>45</v>
      </c>
      <c r="G150" s="262"/>
      <c r="H150" s="115" t="str">
        <f t="shared" si="53"/>
        <v/>
      </c>
      <c r="I150" s="264"/>
      <c r="J150" s="105" t="s">
        <v>45</v>
      </c>
      <c r="K150" s="267"/>
      <c r="L150" s="246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1" t="str">
        <f t="shared" si="55"/>
        <v/>
      </c>
      <c r="Z150" s="252" t="str">
        <f t="shared" si="56"/>
        <v/>
      </c>
      <c r="AA150" s="252" t="str">
        <f t="shared" si="57"/>
        <v/>
      </c>
      <c r="AB150" s="252" t="str">
        <f t="shared" si="58"/>
        <v/>
      </c>
      <c r="AJ150" s="121" t="str">
        <f>IF('Cable Info'!L150="","",CONCATENATE('Cable Info'!L150," - ",'Cable Info'!M150))</f>
        <v>149 - AW</v>
      </c>
      <c r="AM150" s="121" t="str">
        <f t="shared" si="59"/>
        <v>149 - AW</v>
      </c>
      <c r="AO150" s="121" t="str">
        <f>IF('Cable Info'!N150="","",CONCATENATE('Cable Info'!N150," - ",'Cable Info'!O150))</f>
        <v>149 - AW</v>
      </c>
      <c r="AR150" s="121" t="str">
        <f t="shared" si="60"/>
        <v>149 - AW</v>
      </c>
      <c r="AT150" s="121" t="str">
        <f>IF('Cable Info'!P150="","",CONCATENATE('Cable Info'!P150," - ",'Cable Info'!Q150))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Info'!R150="","",CONCATENATE('Cable Info'!R150," - ",'Cable Info'!S150))</f>
        <v/>
      </c>
      <c r="BB150" s="121" t="str">
        <f t="shared" si="62"/>
        <v/>
      </c>
      <c r="BD150" s="121" t="str">
        <f>IF('Cable Info'!T150="","",CONCATENATE('Cable Info'!T150," - ",'Cable Info'!U150))</f>
        <v/>
      </c>
      <c r="BG150" s="121" t="str">
        <f t="shared" si="63"/>
        <v/>
      </c>
      <c r="BI150" s="121" t="str">
        <f>IF('Cable Info'!V150="","",CONCATENATE('Cable Info'!V150," - ",'Cable Info'!W150))</f>
        <v/>
      </c>
      <c r="BL150" s="121" t="str">
        <f t="shared" si="64"/>
        <v/>
      </c>
      <c r="CL150" s="250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59"/>
      <c r="F151" s="105" t="s">
        <v>45</v>
      </c>
      <c r="G151" s="262"/>
      <c r="H151" s="115" t="str">
        <f t="shared" si="53"/>
        <v/>
      </c>
      <c r="I151" s="264"/>
      <c r="J151" s="105" t="s">
        <v>45</v>
      </c>
      <c r="K151" s="267"/>
      <c r="L151" s="246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1" t="str">
        <f t="shared" si="55"/>
        <v/>
      </c>
      <c r="Z151" s="252" t="str">
        <f t="shared" si="56"/>
        <v/>
      </c>
      <c r="AA151" s="252" t="str">
        <f t="shared" si="57"/>
        <v/>
      </c>
      <c r="AB151" s="252" t="str">
        <f t="shared" si="58"/>
        <v/>
      </c>
      <c r="AJ151" s="121" t="str">
        <f>IF('Cable Info'!L151="","",CONCATENATE('Cable Info'!L151," - ",'Cable Info'!M151))</f>
        <v>150 - AW</v>
      </c>
      <c r="AM151" s="121" t="str">
        <f t="shared" si="59"/>
        <v>150 - AW</v>
      </c>
      <c r="AO151" s="121" t="str">
        <f>IF('Cable Info'!N151="","",CONCATENATE('Cable Info'!N151," - ",'Cable Info'!O151))</f>
        <v>150 - AW</v>
      </c>
      <c r="AR151" s="121" t="str">
        <f t="shared" si="60"/>
        <v>150 - AW</v>
      </c>
      <c r="AT151" s="121" t="str">
        <f>IF('Cable Info'!P151="","",CONCATENATE('Cable Info'!P151," - ",'Cable Info'!Q151))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Info'!R151="","",CONCATENATE('Cable Info'!R151," - ",'Cable Info'!S151))</f>
        <v/>
      </c>
      <c r="BB151" s="121" t="str">
        <f t="shared" si="62"/>
        <v/>
      </c>
      <c r="BD151" s="121" t="str">
        <f>IF('Cable Info'!T151="","",CONCATENATE('Cable Info'!T151," - ",'Cable Info'!U151))</f>
        <v/>
      </c>
      <c r="BG151" s="121" t="str">
        <f t="shared" si="63"/>
        <v/>
      </c>
      <c r="BI151" s="121" t="str">
        <f>IF('Cable Info'!V151="","",CONCATENATE('Cable Info'!V151," - ",'Cable Info'!W151))</f>
        <v/>
      </c>
      <c r="BL151" s="121" t="str">
        <f t="shared" si="64"/>
        <v/>
      </c>
      <c r="CL151" s="250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59"/>
      <c r="F152" s="105" t="s">
        <v>45</v>
      </c>
      <c r="G152" s="262"/>
      <c r="H152" s="115" t="str">
        <f t="shared" si="53"/>
        <v/>
      </c>
      <c r="I152" s="264"/>
      <c r="J152" s="105" t="s">
        <v>45</v>
      </c>
      <c r="K152" s="267"/>
      <c r="L152" s="246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1" t="str">
        <f t="shared" si="55"/>
        <v/>
      </c>
      <c r="Z152" s="252" t="str">
        <f t="shared" si="56"/>
        <v/>
      </c>
      <c r="AA152" s="252" t="str">
        <f t="shared" si="57"/>
        <v/>
      </c>
      <c r="AB152" s="252" t="str">
        <f t="shared" si="58"/>
        <v/>
      </c>
      <c r="AJ152" s="121" t="str">
        <f>IF('Cable Info'!L152="","",CONCATENATE('Cable Info'!L152," - ",'Cable Info'!M152))</f>
        <v>151 - AW</v>
      </c>
      <c r="AM152" s="121" t="str">
        <f t="shared" si="59"/>
        <v>151 - AW</v>
      </c>
      <c r="AO152" s="121" t="str">
        <f>IF('Cable Info'!N152="","",CONCATENATE('Cable Info'!N152," - ",'Cable Info'!O152))</f>
        <v>151 - AW</v>
      </c>
      <c r="AR152" s="121" t="str">
        <f t="shared" si="60"/>
        <v>151 - AW</v>
      </c>
      <c r="AT152" s="121" t="str">
        <f>IF('Cable Info'!P152="","",CONCATENATE('Cable Info'!P152," - ",'Cable Info'!Q152))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Info'!R152="","",CONCATENATE('Cable Info'!R152," - ",'Cable Info'!S152))</f>
        <v/>
      </c>
      <c r="BB152" s="121" t="str">
        <f t="shared" si="62"/>
        <v/>
      </c>
      <c r="BD152" s="121" t="str">
        <f>IF('Cable Info'!T152="","",CONCATENATE('Cable Info'!T152," - ",'Cable Info'!U152))</f>
        <v/>
      </c>
      <c r="BG152" s="121" t="str">
        <f t="shared" si="63"/>
        <v/>
      </c>
      <c r="BI152" s="121" t="str">
        <f>IF('Cable Info'!V152="","",CONCATENATE('Cable Info'!V152," - ",'Cable Info'!W152))</f>
        <v/>
      </c>
      <c r="BL152" s="121" t="str">
        <f t="shared" si="64"/>
        <v/>
      </c>
      <c r="CL152" s="250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59"/>
      <c r="F153" s="105" t="s">
        <v>45</v>
      </c>
      <c r="G153" s="262"/>
      <c r="H153" s="115" t="str">
        <f t="shared" si="53"/>
        <v/>
      </c>
      <c r="I153" s="264"/>
      <c r="J153" s="105" t="s">
        <v>45</v>
      </c>
      <c r="K153" s="267"/>
      <c r="L153" s="246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1" t="str">
        <f t="shared" si="55"/>
        <v/>
      </c>
      <c r="Z153" s="252" t="str">
        <f t="shared" si="56"/>
        <v/>
      </c>
      <c r="AA153" s="252" t="str">
        <f t="shared" si="57"/>
        <v/>
      </c>
      <c r="AB153" s="252" t="str">
        <f t="shared" si="58"/>
        <v/>
      </c>
      <c r="AJ153" s="121" t="str">
        <f>IF('Cable Info'!L153="","",CONCATENATE('Cable Info'!L153," - ",'Cable Info'!M153))</f>
        <v>152 - AW</v>
      </c>
      <c r="AM153" s="121" t="str">
        <f t="shared" si="59"/>
        <v>152 - AW</v>
      </c>
      <c r="AO153" s="121" t="str">
        <f>IF('Cable Info'!N153="","",CONCATENATE('Cable Info'!N153," - ",'Cable Info'!O153))</f>
        <v>152 - AW</v>
      </c>
      <c r="AR153" s="121" t="str">
        <f t="shared" si="60"/>
        <v>152 - AW</v>
      </c>
      <c r="AT153" s="121" t="str">
        <f>IF('Cable Info'!P153="","",CONCATENATE('Cable Info'!P153," - ",'Cable Info'!Q153))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Info'!R153="","",CONCATENATE('Cable Info'!R153," - ",'Cable Info'!S153))</f>
        <v/>
      </c>
      <c r="BB153" s="121" t="str">
        <f t="shared" si="62"/>
        <v/>
      </c>
      <c r="BD153" s="121" t="str">
        <f>IF('Cable Info'!T153="","",CONCATENATE('Cable Info'!T153," - ",'Cable Info'!U153))</f>
        <v/>
      </c>
      <c r="BG153" s="121" t="str">
        <f t="shared" si="63"/>
        <v/>
      </c>
      <c r="BI153" s="121" t="str">
        <f>IF('Cable Info'!V153="","",CONCATENATE('Cable Info'!V153," - ",'Cable Info'!W153))</f>
        <v/>
      </c>
      <c r="BL153" s="121" t="str">
        <f t="shared" si="64"/>
        <v/>
      </c>
      <c r="CL153" s="250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59"/>
      <c r="F154" s="105" t="s">
        <v>45</v>
      </c>
      <c r="G154" s="262"/>
      <c r="H154" s="115" t="str">
        <f t="shared" si="53"/>
        <v/>
      </c>
      <c r="I154" s="264"/>
      <c r="J154" s="105" t="s">
        <v>45</v>
      </c>
      <c r="K154" s="267"/>
      <c r="L154" s="246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1" t="str">
        <f t="shared" si="55"/>
        <v/>
      </c>
      <c r="Z154" s="252" t="str">
        <f t="shared" si="56"/>
        <v/>
      </c>
      <c r="AA154" s="252" t="str">
        <f t="shared" si="57"/>
        <v/>
      </c>
      <c r="AB154" s="252" t="str">
        <f t="shared" si="58"/>
        <v/>
      </c>
      <c r="AJ154" s="121" t="str">
        <f>IF('Cable Info'!L154="","",CONCATENATE('Cable Info'!L154," - ",'Cable Info'!M154))</f>
        <v>153 - AW</v>
      </c>
      <c r="AM154" s="121" t="str">
        <f t="shared" si="59"/>
        <v>153 - AW</v>
      </c>
      <c r="AO154" s="121" t="str">
        <f>IF('Cable Info'!N154="","",CONCATENATE('Cable Info'!N154," - ",'Cable Info'!O154))</f>
        <v>153 - AW</v>
      </c>
      <c r="AR154" s="121" t="str">
        <f t="shared" si="60"/>
        <v>153 - AW</v>
      </c>
      <c r="AT154" s="121" t="str">
        <f>IF('Cable Info'!P154="","",CONCATENATE('Cable Info'!P154," - ",'Cable Info'!Q154))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Info'!R154="","",CONCATENATE('Cable Info'!R154," - ",'Cable Info'!S154))</f>
        <v/>
      </c>
      <c r="BB154" s="121" t="str">
        <f t="shared" si="62"/>
        <v/>
      </c>
      <c r="BD154" s="121" t="str">
        <f>IF('Cable Info'!T154="","",CONCATENATE('Cable Info'!T154," - ",'Cable Info'!U154))</f>
        <v/>
      </c>
      <c r="BG154" s="121" t="str">
        <f t="shared" si="63"/>
        <v/>
      </c>
      <c r="BI154" s="121" t="str">
        <f>IF('Cable Info'!V154="","",CONCATENATE('Cable Info'!V154," - ",'Cable Info'!W154))</f>
        <v/>
      </c>
      <c r="BL154" s="121" t="str">
        <f t="shared" si="64"/>
        <v/>
      </c>
      <c r="CL154" s="250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59"/>
      <c r="F155" s="105" t="s">
        <v>45</v>
      </c>
      <c r="G155" s="262"/>
      <c r="H155" s="115" t="str">
        <f t="shared" si="53"/>
        <v/>
      </c>
      <c r="I155" s="264"/>
      <c r="J155" s="105" t="s">
        <v>45</v>
      </c>
      <c r="K155" s="267"/>
      <c r="L155" s="246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1" t="str">
        <f t="shared" si="55"/>
        <v/>
      </c>
      <c r="Z155" s="252" t="str">
        <f t="shared" si="56"/>
        <v/>
      </c>
      <c r="AA155" s="252" t="str">
        <f t="shared" si="57"/>
        <v/>
      </c>
      <c r="AB155" s="252" t="str">
        <f t="shared" si="58"/>
        <v/>
      </c>
      <c r="AJ155" s="121" t="str">
        <f>IF('Cable Info'!L155="","",CONCATENATE('Cable Info'!L155," - ",'Cable Info'!M155))</f>
        <v>154 - AW</v>
      </c>
      <c r="AM155" s="121" t="str">
        <f t="shared" si="59"/>
        <v>154 - AW</v>
      </c>
      <c r="AO155" s="121" t="str">
        <f>IF('Cable Info'!N155="","",CONCATENATE('Cable Info'!N155," - ",'Cable Info'!O155))</f>
        <v>154 - AW</v>
      </c>
      <c r="AR155" s="121" t="str">
        <f t="shared" si="60"/>
        <v>154 - AW</v>
      </c>
      <c r="AT155" s="121" t="str">
        <f>IF('Cable Info'!P155="","",CONCATENATE('Cable Info'!P155," - ",'Cable Info'!Q155))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Info'!R155="","",CONCATENATE('Cable Info'!R155," - ",'Cable Info'!S155))</f>
        <v/>
      </c>
      <c r="BB155" s="121" t="str">
        <f t="shared" si="62"/>
        <v/>
      </c>
      <c r="BD155" s="121" t="str">
        <f>IF('Cable Info'!T155="","",CONCATENATE('Cable Info'!T155," - ",'Cable Info'!U155))</f>
        <v/>
      </c>
      <c r="BG155" s="121" t="str">
        <f t="shared" si="63"/>
        <v/>
      </c>
      <c r="BI155" s="121" t="str">
        <f>IF('Cable Info'!V155="","",CONCATENATE('Cable Info'!V155," - ",'Cable Info'!W155))</f>
        <v/>
      </c>
      <c r="BL155" s="121" t="str">
        <f t="shared" si="64"/>
        <v/>
      </c>
      <c r="CL155" s="250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59"/>
      <c r="F156" s="105" t="s">
        <v>45</v>
      </c>
      <c r="G156" s="262"/>
      <c r="H156" s="115" t="str">
        <f t="shared" si="53"/>
        <v/>
      </c>
      <c r="I156" s="264"/>
      <c r="J156" s="105" t="s">
        <v>45</v>
      </c>
      <c r="K156" s="267"/>
      <c r="L156" s="246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1" t="str">
        <f t="shared" si="55"/>
        <v/>
      </c>
      <c r="Z156" s="252" t="str">
        <f t="shared" si="56"/>
        <v/>
      </c>
      <c r="AA156" s="252" t="str">
        <f t="shared" si="57"/>
        <v/>
      </c>
      <c r="AB156" s="252" t="str">
        <f t="shared" si="58"/>
        <v/>
      </c>
      <c r="AJ156" s="121" t="str">
        <f>IF('Cable Info'!L156="","",CONCATENATE('Cable Info'!L156," - ",'Cable Info'!M156))</f>
        <v>155 - AW</v>
      </c>
      <c r="AM156" s="121" t="str">
        <f t="shared" si="59"/>
        <v>155 - AW</v>
      </c>
      <c r="AO156" s="121" t="str">
        <f>IF('Cable Info'!N156="","",CONCATENATE('Cable Info'!N156," - ",'Cable Info'!O156))</f>
        <v>155 - AW</v>
      </c>
      <c r="AR156" s="121" t="str">
        <f t="shared" si="60"/>
        <v>155 - AW</v>
      </c>
      <c r="AT156" s="121" t="str">
        <f>IF('Cable Info'!P156="","",CONCATENATE('Cable Info'!P156," - ",'Cable Info'!Q156))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Info'!R156="","",CONCATENATE('Cable Info'!R156," - ",'Cable Info'!S156))</f>
        <v/>
      </c>
      <c r="BB156" s="121" t="str">
        <f t="shared" si="62"/>
        <v/>
      </c>
      <c r="BD156" s="121" t="str">
        <f>IF('Cable Info'!T156="","",CONCATENATE('Cable Info'!T156," - ",'Cable Info'!U156))</f>
        <v/>
      </c>
      <c r="BG156" s="121" t="str">
        <f t="shared" si="63"/>
        <v/>
      </c>
      <c r="BI156" s="121" t="str">
        <f>IF('Cable Info'!V156="","",CONCATENATE('Cable Info'!V156," - ",'Cable Info'!W156))</f>
        <v/>
      </c>
      <c r="BL156" s="121" t="str">
        <f t="shared" si="64"/>
        <v/>
      </c>
      <c r="CL156" s="250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59"/>
      <c r="F157" s="105" t="s">
        <v>45</v>
      </c>
      <c r="G157" s="262"/>
      <c r="H157" s="115" t="str">
        <f t="shared" si="53"/>
        <v/>
      </c>
      <c r="I157" s="264"/>
      <c r="J157" s="105" t="s">
        <v>45</v>
      </c>
      <c r="K157" s="267"/>
      <c r="L157" s="246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1" t="str">
        <f t="shared" si="55"/>
        <v/>
      </c>
      <c r="Z157" s="252" t="str">
        <f t="shared" si="56"/>
        <v/>
      </c>
      <c r="AA157" s="252" t="str">
        <f t="shared" si="57"/>
        <v/>
      </c>
      <c r="AB157" s="252" t="str">
        <f t="shared" si="58"/>
        <v/>
      </c>
      <c r="AJ157" s="121" t="str">
        <f>IF('Cable Info'!L157="","",CONCATENATE('Cable Info'!L157," - ",'Cable Info'!M157))</f>
        <v>156 - AW</v>
      </c>
      <c r="AM157" s="121" t="str">
        <f t="shared" si="59"/>
        <v>156 - AW</v>
      </c>
      <c r="AO157" s="121" t="str">
        <f>IF('Cable Info'!N157="","",CONCATENATE('Cable Info'!N157," - ",'Cable Info'!O157))</f>
        <v>156 - AW</v>
      </c>
      <c r="AR157" s="121" t="str">
        <f t="shared" si="60"/>
        <v>156 - AW</v>
      </c>
      <c r="AT157" s="121" t="str">
        <f>IF('Cable Info'!P157="","",CONCATENATE('Cable Info'!P157," - ",'Cable Info'!Q157))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Info'!R157="","",CONCATENATE('Cable Info'!R157," - ",'Cable Info'!S157))</f>
        <v/>
      </c>
      <c r="BB157" s="121" t="str">
        <f t="shared" si="62"/>
        <v/>
      </c>
      <c r="BD157" s="121" t="str">
        <f>IF('Cable Info'!T157="","",CONCATENATE('Cable Info'!T157," - ",'Cable Info'!U157))</f>
        <v/>
      </c>
      <c r="BG157" s="121" t="str">
        <f t="shared" si="63"/>
        <v/>
      </c>
      <c r="BI157" s="121" t="str">
        <f>IF('Cable Info'!V157="","",CONCATENATE('Cable Info'!V157," - ",'Cable Info'!W157))</f>
        <v/>
      </c>
      <c r="BL157" s="121" t="str">
        <f t="shared" si="64"/>
        <v/>
      </c>
      <c r="CL157" s="250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59"/>
      <c r="F158" s="105" t="s">
        <v>45</v>
      </c>
      <c r="G158" s="262"/>
      <c r="H158" s="115" t="str">
        <f t="shared" si="53"/>
        <v/>
      </c>
      <c r="I158" s="264"/>
      <c r="J158" s="105" t="s">
        <v>45</v>
      </c>
      <c r="K158" s="267"/>
      <c r="L158" s="246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1" t="str">
        <f t="shared" si="55"/>
        <v/>
      </c>
      <c r="Z158" s="252" t="str">
        <f t="shared" si="56"/>
        <v/>
      </c>
      <c r="AA158" s="252" t="str">
        <f t="shared" si="57"/>
        <v/>
      </c>
      <c r="AB158" s="252" t="str">
        <f t="shared" si="58"/>
        <v/>
      </c>
      <c r="AJ158" s="121" t="str">
        <f>IF('Cable Info'!L158="","",CONCATENATE('Cable Info'!L158," - ",'Cable Info'!M158))</f>
        <v>157 - AW</v>
      </c>
      <c r="AM158" s="121" t="str">
        <f t="shared" si="59"/>
        <v>157 - AW</v>
      </c>
      <c r="AO158" s="121" t="str">
        <f>IF('Cable Info'!N158="","",CONCATENATE('Cable Info'!N158," - ",'Cable Info'!O158))</f>
        <v>157 - AW</v>
      </c>
      <c r="AR158" s="121" t="str">
        <f t="shared" si="60"/>
        <v>157 - AW</v>
      </c>
      <c r="AT158" s="121" t="str">
        <f>IF('Cable Info'!P158="","",CONCATENATE('Cable Info'!P158," - ",'Cable Info'!Q158))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Info'!R158="","",CONCATENATE('Cable Info'!R158," - ",'Cable Info'!S158))</f>
        <v/>
      </c>
      <c r="BB158" s="121" t="str">
        <f t="shared" si="62"/>
        <v/>
      </c>
      <c r="BD158" s="121" t="str">
        <f>IF('Cable Info'!T158="","",CONCATENATE('Cable Info'!T158," - ",'Cable Info'!U158))</f>
        <v/>
      </c>
      <c r="BG158" s="121" t="str">
        <f t="shared" si="63"/>
        <v/>
      </c>
      <c r="BI158" s="121" t="str">
        <f>IF('Cable Info'!V158="","",CONCATENATE('Cable Info'!V158," - ",'Cable Info'!W158))</f>
        <v/>
      </c>
      <c r="BL158" s="121" t="str">
        <f t="shared" si="64"/>
        <v/>
      </c>
      <c r="CL158" s="250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59"/>
      <c r="F159" s="105" t="s">
        <v>45</v>
      </c>
      <c r="G159" s="262"/>
      <c r="H159" s="115" t="str">
        <f t="shared" si="53"/>
        <v/>
      </c>
      <c r="I159" s="264"/>
      <c r="J159" s="105" t="s">
        <v>45</v>
      </c>
      <c r="K159" s="267"/>
      <c r="L159" s="246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1" t="str">
        <f t="shared" si="55"/>
        <v/>
      </c>
      <c r="Z159" s="252" t="str">
        <f t="shared" si="56"/>
        <v/>
      </c>
      <c r="AA159" s="252" t="str">
        <f t="shared" si="57"/>
        <v/>
      </c>
      <c r="AB159" s="252" t="str">
        <f t="shared" si="58"/>
        <v/>
      </c>
      <c r="AJ159" s="121" t="str">
        <f>IF('Cable Info'!L159="","",CONCATENATE('Cable Info'!L159," - ",'Cable Info'!M159))</f>
        <v>158 - AW</v>
      </c>
      <c r="AM159" s="121" t="str">
        <f t="shared" si="59"/>
        <v>158 - AW</v>
      </c>
      <c r="AO159" s="121" t="str">
        <f>IF('Cable Info'!N159="","",CONCATENATE('Cable Info'!N159," - ",'Cable Info'!O159))</f>
        <v>158 - AW</v>
      </c>
      <c r="AR159" s="121" t="str">
        <f t="shared" si="60"/>
        <v>158 - AW</v>
      </c>
      <c r="AT159" s="121" t="str">
        <f>IF('Cable Info'!P159="","",CONCATENATE('Cable Info'!P159," - ",'Cable Info'!Q159))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Info'!R159="","",CONCATENATE('Cable Info'!R159," - ",'Cable Info'!S159))</f>
        <v/>
      </c>
      <c r="BB159" s="121" t="str">
        <f t="shared" si="62"/>
        <v/>
      </c>
      <c r="BD159" s="121" t="str">
        <f>IF('Cable Info'!T159="","",CONCATENATE('Cable Info'!T159," - ",'Cable Info'!U159))</f>
        <v/>
      </c>
      <c r="BG159" s="121" t="str">
        <f t="shared" si="63"/>
        <v/>
      </c>
      <c r="BI159" s="121" t="str">
        <f>IF('Cable Info'!V159="","",CONCATENATE('Cable Info'!V159," - ",'Cable Info'!W159))</f>
        <v/>
      </c>
      <c r="BL159" s="121" t="str">
        <f t="shared" si="64"/>
        <v/>
      </c>
      <c r="CL159" s="250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59"/>
      <c r="F160" s="105" t="s">
        <v>45</v>
      </c>
      <c r="G160" s="262"/>
      <c r="H160" s="115" t="str">
        <f t="shared" si="53"/>
        <v/>
      </c>
      <c r="I160" s="264"/>
      <c r="J160" s="105" t="s">
        <v>45</v>
      </c>
      <c r="K160" s="267"/>
      <c r="L160" s="246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1" t="str">
        <f t="shared" si="55"/>
        <v/>
      </c>
      <c r="Z160" s="252" t="str">
        <f t="shared" si="56"/>
        <v/>
      </c>
      <c r="AA160" s="252" t="str">
        <f t="shared" si="57"/>
        <v/>
      </c>
      <c r="AB160" s="252" t="str">
        <f t="shared" si="58"/>
        <v/>
      </c>
      <c r="AJ160" s="121" t="str">
        <f>IF('Cable Info'!L160="","",CONCATENATE('Cable Info'!L160," - ",'Cable Info'!M160))</f>
        <v>159 - AW</v>
      </c>
      <c r="AM160" s="121" t="str">
        <f t="shared" si="59"/>
        <v>159 - AW</v>
      </c>
      <c r="AO160" s="121" t="str">
        <f>IF('Cable Info'!N160="","",CONCATENATE('Cable Info'!N160," - ",'Cable Info'!O160))</f>
        <v>159 - AW</v>
      </c>
      <c r="AR160" s="121" t="str">
        <f t="shared" si="60"/>
        <v>159 - AW</v>
      </c>
      <c r="AT160" s="121" t="str">
        <f>IF('Cable Info'!P160="","",CONCATENATE('Cable Info'!P160," - ",'Cable Info'!Q160))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Info'!R160="","",CONCATENATE('Cable Info'!R160," - ",'Cable Info'!S160))</f>
        <v/>
      </c>
      <c r="BB160" s="121" t="str">
        <f t="shared" si="62"/>
        <v/>
      </c>
      <c r="BD160" s="121" t="str">
        <f>IF('Cable Info'!T160="","",CONCATENATE('Cable Info'!T160," - ",'Cable Info'!U160))</f>
        <v/>
      </c>
      <c r="BG160" s="121" t="str">
        <f t="shared" si="63"/>
        <v/>
      </c>
      <c r="BI160" s="121" t="str">
        <f>IF('Cable Info'!V160="","",CONCATENATE('Cable Info'!V160," - ",'Cable Info'!W160))</f>
        <v/>
      </c>
      <c r="BL160" s="121" t="str">
        <f t="shared" si="64"/>
        <v/>
      </c>
      <c r="CL160" s="250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59"/>
      <c r="F161" s="105" t="s">
        <v>45</v>
      </c>
      <c r="G161" s="262"/>
      <c r="H161" s="115" t="str">
        <f t="shared" si="53"/>
        <v/>
      </c>
      <c r="I161" s="264"/>
      <c r="J161" s="105" t="s">
        <v>45</v>
      </c>
      <c r="K161" s="267"/>
      <c r="L161" s="246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1" t="str">
        <f t="shared" si="55"/>
        <v/>
      </c>
      <c r="Z161" s="252" t="str">
        <f t="shared" si="56"/>
        <v/>
      </c>
      <c r="AA161" s="252" t="str">
        <f t="shared" si="57"/>
        <v/>
      </c>
      <c r="AB161" s="252" t="str">
        <f t="shared" si="58"/>
        <v/>
      </c>
      <c r="AJ161" s="121" t="str">
        <f>IF('Cable Info'!L161="","",CONCATENATE('Cable Info'!L161," - ",'Cable Info'!M161))</f>
        <v>160 - AW</v>
      </c>
      <c r="AM161" s="121" t="str">
        <f t="shared" si="59"/>
        <v>160 - AW</v>
      </c>
      <c r="AO161" s="121" t="str">
        <f>IF('Cable Info'!N161="","",CONCATENATE('Cable Info'!N161," - ",'Cable Info'!O161))</f>
        <v>160 - AW</v>
      </c>
      <c r="AR161" s="121" t="str">
        <f t="shared" si="60"/>
        <v>160 - AW</v>
      </c>
      <c r="AT161" s="121" t="str">
        <f>IF('Cable Info'!P161="","",CONCATENATE('Cable Info'!P161," - ",'Cable Info'!Q161))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Info'!R161="","",CONCATENATE('Cable Info'!R161," - ",'Cable Info'!S161))</f>
        <v/>
      </c>
      <c r="BB161" s="121" t="str">
        <f t="shared" si="62"/>
        <v/>
      </c>
      <c r="BD161" s="121" t="str">
        <f>IF('Cable Info'!T161="","",CONCATENATE('Cable Info'!T161," - ",'Cable Info'!U161))</f>
        <v/>
      </c>
      <c r="BG161" s="121" t="str">
        <f t="shared" si="63"/>
        <v/>
      </c>
      <c r="BI161" s="121" t="str">
        <f>IF('Cable Info'!V161="","",CONCATENATE('Cable Info'!V161," - ",'Cable Info'!W161))</f>
        <v/>
      </c>
      <c r="BL161" s="121" t="str">
        <f t="shared" si="64"/>
        <v/>
      </c>
      <c r="CL161" s="250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59"/>
      <c r="F162" s="105" t="s">
        <v>45</v>
      </c>
      <c r="G162" s="262"/>
      <c r="H162" s="115" t="str">
        <f t="shared" si="53"/>
        <v/>
      </c>
      <c r="I162" s="264"/>
      <c r="J162" s="105" t="s">
        <v>45</v>
      </c>
      <c r="K162" s="267"/>
      <c r="L162" s="246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1" t="str">
        <f t="shared" si="55"/>
        <v/>
      </c>
      <c r="Z162" s="252" t="str">
        <f t="shared" si="56"/>
        <v/>
      </c>
      <c r="AA162" s="252" t="str">
        <f t="shared" si="57"/>
        <v/>
      </c>
      <c r="AB162" s="252" t="str">
        <f t="shared" si="58"/>
        <v/>
      </c>
      <c r="AJ162" s="121" t="str">
        <f>IF('Cable Info'!L162="","",CONCATENATE('Cable Info'!L162," - ",'Cable Info'!M162))</f>
        <v>161 - AW</v>
      </c>
      <c r="AM162" s="121" t="str">
        <f t="shared" si="59"/>
        <v>161 - AW</v>
      </c>
      <c r="AO162" s="121" t="str">
        <f>IF('Cable Info'!N162="","",CONCATENATE('Cable Info'!N162," - ",'Cable Info'!O162))</f>
        <v>161 - AW</v>
      </c>
      <c r="AR162" s="121" t="str">
        <f t="shared" si="60"/>
        <v>161 - AW</v>
      </c>
      <c r="AT162" s="121" t="str">
        <f>IF('Cable Info'!P162="","",CONCATENATE('Cable Info'!P162," - ",'Cable Info'!Q162))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Info'!R162="","",CONCATENATE('Cable Info'!R162," - ",'Cable Info'!S162))</f>
        <v/>
      </c>
      <c r="BB162" s="121" t="str">
        <f t="shared" si="62"/>
        <v/>
      </c>
      <c r="BD162" s="121" t="str">
        <f>IF('Cable Info'!T162="","",CONCATENATE('Cable Info'!T162," - ",'Cable Info'!U162))</f>
        <v/>
      </c>
      <c r="BG162" s="121" t="str">
        <f t="shared" si="63"/>
        <v/>
      </c>
      <c r="BI162" s="121" t="str">
        <f>IF('Cable Info'!V162="","",CONCATENATE('Cable Info'!V162," - ",'Cable Info'!W162))</f>
        <v/>
      </c>
      <c r="BL162" s="121" t="str">
        <f t="shared" si="64"/>
        <v/>
      </c>
      <c r="CL162" s="250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59"/>
      <c r="F163" s="105" t="s">
        <v>45</v>
      </c>
      <c r="G163" s="262"/>
      <c r="H163" s="115" t="str">
        <f t="shared" si="53"/>
        <v/>
      </c>
      <c r="I163" s="264"/>
      <c r="J163" s="105" t="s">
        <v>45</v>
      </c>
      <c r="K163" s="267"/>
      <c r="L163" s="246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1" t="str">
        <f t="shared" si="55"/>
        <v/>
      </c>
      <c r="Z163" s="252" t="str">
        <f t="shared" si="56"/>
        <v/>
      </c>
      <c r="AA163" s="252" t="str">
        <f t="shared" si="57"/>
        <v/>
      </c>
      <c r="AB163" s="252" t="str">
        <f t="shared" si="58"/>
        <v/>
      </c>
      <c r="AJ163" s="121" t="str">
        <f>IF('Cable Info'!L163="","",CONCATENATE('Cable Info'!L163," - ",'Cable Info'!M163))</f>
        <v>162 - AW</v>
      </c>
      <c r="AM163" s="121" t="str">
        <f t="shared" si="59"/>
        <v>162 - AW</v>
      </c>
      <c r="AO163" s="121" t="str">
        <f>IF('Cable Info'!N163="","",CONCATENATE('Cable Info'!N163," - ",'Cable Info'!O163))</f>
        <v>162 - AW</v>
      </c>
      <c r="AR163" s="121" t="str">
        <f t="shared" si="60"/>
        <v>162 - AW</v>
      </c>
      <c r="AT163" s="121" t="str">
        <f>IF('Cable Info'!P163="","",CONCATENATE('Cable Info'!P163," - ",'Cable Info'!Q163))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Info'!R163="","",CONCATENATE('Cable Info'!R163," - ",'Cable Info'!S163))</f>
        <v/>
      </c>
      <c r="BB163" s="121" t="str">
        <f t="shared" si="62"/>
        <v/>
      </c>
      <c r="BD163" s="121" t="str">
        <f>IF('Cable Info'!T163="","",CONCATENATE('Cable Info'!T163," - ",'Cable Info'!U163))</f>
        <v/>
      </c>
      <c r="BG163" s="121" t="str">
        <f t="shared" si="63"/>
        <v/>
      </c>
      <c r="BI163" s="121" t="str">
        <f>IF('Cable Info'!V163="","",CONCATENATE('Cable Info'!V163," - ",'Cable Info'!W163))</f>
        <v/>
      </c>
      <c r="BL163" s="121" t="str">
        <f t="shared" si="64"/>
        <v/>
      </c>
      <c r="CL163" s="250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59"/>
      <c r="F164" s="105" t="s">
        <v>45</v>
      </c>
      <c r="G164" s="262"/>
      <c r="H164" s="115" t="str">
        <f t="shared" si="53"/>
        <v/>
      </c>
      <c r="I164" s="264"/>
      <c r="J164" s="105" t="s">
        <v>45</v>
      </c>
      <c r="K164" s="267"/>
      <c r="L164" s="246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1" t="str">
        <f t="shared" si="55"/>
        <v/>
      </c>
      <c r="Z164" s="252" t="str">
        <f t="shared" si="56"/>
        <v/>
      </c>
      <c r="AA164" s="252" t="str">
        <f t="shared" si="57"/>
        <v/>
      </c>
      <c r="AB164" s="252" t="str">
        <f t="shared" si="58"/>
        <v/>
      </c>
      <c r="AJ164" s="121" t="str">
        <f>IF('Cable Info'!L164="","",CONCATENATE('Cable Info'!L164," - ",'Cable Info'!M164))</f>
        <v>163 - AW</v>
      </c>
      <c r="AM164" s="121" t="str">
        <f t="shared" si="59"/>
        <v>163 - AW</v>
      </c>
      <c r="AO164" s="121" t="str">
        <f>IF('Cable Info'!N164="","",CONCATENATE('Cable Info'!N164," - ",'Cable Info'!O164))</f>
        <v>163 - AW</v>
      </c>
      <c r="AR164" s="121" t="str">
        <f t="shared" si="60"/>
        <v>163 - AW</v>
      </c>
      <c r="AT164" s="121" t="str">
        <f>IF('Cable Info'!P164="","",CONCATENATE('Cable Info'!P164," - ",'Cable Info'!Q164))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Info'!R164="","",CONCATENATE('Cable Info'!R164," - ",'Cable Info'!S164))</f>
        <v/>
      </c>
      <c r="BB164" s="121" t="str">
        <f t="shared" si="62"/>
        <v/>
      </c>
      <c r="BD164" s="121" t="str">
        <f>IF('Cable Info'!T164="","",CONCATENATE('Cable Info'!T164," - ",'Cable Info'!U164))</f>
        <v/>
      </c>
      <c r="BG164" s="121" t="str">
        <f t="shared" si="63"/>
        <v/>
      </c>
      <c r="BI164" s="121" t="str">
        <f>IF('Cable Info'!V164="","",CONCATENATE('Cable Info'!V164," - ",'Cable Info'!W164))</f>
        <v/>
      </c>
      <c r="BL164" s="121" t="str">
        <f t="shared" si="64"/>
        <v/>
      </c>
      <c r="CL164" s="250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59"/>
      <c r="F165" s="105" t="s">
        <v>45</v>
      </c>
      <c r="G165" s="262"/>
      <c r="H165" s="115" t="str">
        <f t="shared" si="53"/>
        <v/>
      </c>
      <c r="I165" s="264"/>
      <c r="J165" s="105" t="s">
        <v>45</v>
      </c>
      <c r="K165" s="267"/>
      <c r="L165" s="246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1" t="str">
        <f t="shared" si="55"/>
        <v/>
      </c>
      <c r="Z165" s="252" t="str">
        <f t="shared" si="56"/>
        <v/>
      </c>
      <c r="AA165" s="252" t="str">
        <f t="shared" si="57"/>
        <v/>
      </c>
      <c r="AB165" s="252" t="str">
        <f t="shared" si="58"/>
        <v/>
      </c>
      <c r="AJ165" s="121" t="str">
        <f>IF('Cable Info'!L165="","",CONCATENATE('Cable Info'!L165," - ",'Cable Info'!M165))</f>
        <v>164 - AW</v>
      </c>
      <c r="AM165" s="121" t="str">
        <f t="shared" si="59"/>
        <v>164 - AW</v>
      </c>
      <c r="AO165" s="121" t="str">
        <f>IF('Cable Info'!N165="","",CONCATENATE('Cable Info'!N165," - ",'Cable Info'!O165))</f>
        <v>164 - AW</v>
      </c>
      <c r="AR165" s="121" t="str">
        <f t="shared" si="60"/>
        <v>164 - AW</v>
      </c>
      <c r="AT165" s="121" t="str">
        <f>IF('Cable Info'!P165="","",CONCATENATE('Cable Info'!P165," - ",'Cable Info'!Q165))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Info'!R165="","",CONCATENATE('Cable Info'!R165," - ",'Cable Info'!S165))</f>
        <v/>
      </c>
      <c r="BB165" s="121" t="str">
        <f t="shared" si="62"/>
        <v/>
      </c>
      <c r="BD165" s="121" t="str">
        <f>IF('Cable Info'!T165="","",CONCATENATE('Cable Info'!T165," - ",'Cable Info'!U165))</f>
        <v/>
      </c>
      <c r="BG165" s="121" t="str">
        <f t="shared" si="63"/>
        <v/>
      </c>
      <c r="BI165" s="121" t="str">
        <f>IF('Cable Info'!V165="","",CONCATENATE('Cable Info'!V165," - ",'Cable Info'!W165))</f>
        <v/>
      </c>
      <c r="BL165" s="121" t="str">
        <f t="shared" si="64"/>
        <v/>
      </c>
      <c r="CL165" s="250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59"/>
      <c r="F166" s="105" t="s">
        <v>45</v>
      </c>
      <c r="G166" s="262"/>
      <c r="H166" s="115" t="str">
        <f t="shared" si="53"/>
        <v/>
      </c>
      <c r="I166" s="264"/>
      <c r="J166" s="105" t="s">
        <v>45</v>
      </c>
      <c r="K166" s="267"/>
      <c r="L166" s="246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1" t="str">
        <f t="shared" si="55"/>
        <v/>
      </c>
      <c r="Z166" s="252" t="str">
        <f t="shared" si="56"/>
        <v/>
      </c>
      <c r="AA166" s="252" t="str">
        <f t="shared" si="57"/>
        <v/>
      </c>
      <c r="AB166" s="252" t="str">
        <f t="shared" si="58"/>
        <v/>
      </c>
      <c r="AJ166" s="121" t="str">
        <f>IF('Cable Info'!L166="","",CONCATENATE('Cable Info'!L166," - ",'Cable Info'!M166))</f>
        <v>165 - AW</v>
      </c>
      <c r="AM166" s="121" t="str">
        <f t="shared" si="59"/>
        <v>165 - AW</v>
      </c>
      <c r="AO166" s="121" t="str">
        <f>IF('Cable Info'!N166="","",CONCATENATE('Cable Info'!N166," - ",'Cable Info'!O166))</f>
        <v>165 - AW</v>
      </c>
      <c r="AR166" s="121" t="str">
        <f t="shared" si="60"/>
        <v>165 - AW</v>
      </c>
      <c r="AT166" s="121" t="str">
        <f>IF('Cable Info'!P166="","",CONCATENATE('Cable Info'!P166," - ",'Cable Info'!Q166))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Info'!R166="","",CONCATENATE('Cable Info'!R166," - ",'Cable Info'!S166))</f>
        <v/>
      </c>
      <c r="BB166" s="121" t="str">
        <f t="shared" si="62"/>
        <v/>
      </c>
      <c r="BD166" s="121" t="str">
        <f>IF('Cable Info'!T166="","",CONCATENATE('Cable Info'!T166," - ",'Cable Info'!U166))</f>
        <v/>
      </c>
      <c r="BG166" s="121" t="str">
        <f t="shared" si="63"/>
        <v/>
      </c>
      <c r="BI166" s="121" t="str">
        <f>IF('Cable Info'!V166="","",CONCATENATE('Cable Info'!V166," - ",'Cable Info'!W166))</f>
        <v/>
      </c>
      <c r="BL166" s="121" t="str">
        <f t="shared" si="64"/>
        <v/>
      </c>
      <c r="CL166" s="250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59"/>
      <c r="F167" s="105" t="s">
        <v>45</v>
      </c>
      <c r="G167" s="262"/>
      <c r="H167" s="115" t="str">
        <f t="shared" si="53"/>
        <v/>
      </c>
      <c r="I167" s="264"/>
      <c r="J167" s="105" t="s">
        <v>45</v>
      </c>
      <c r="K167" s="267"/>
      <c r="L167" s="246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1" t="str">
        <f t="shared" si="55"/>
        <v/>
      </c>
      <c r="Z167" s="252" t="str">
        <f t="shared" si="56"/>
        <v/>
      </c>
      <c r="AA167" s="252" t="str">
        <f t="shared" si="57"/>
        <v/>
      </c>
      <c r="AB167" s="252" t="str">
        <f t="shared" si="58"/>
        <v/>
      </c>
      <c r="AJ167" s="121" t="str">
        <f>IF('Cable Info'!L167="","",CONCATENATE('Cable Info'!L167," - ",'Cable Info'!M167))</f>
        <v>166 - AW</v>
      </c>
      <c r="AM167" s="121" t="str">
        <f t="shared" si="59"/>
        <v>166 - AW</v>
      </c>
      <c r="AO167" s="121" t="str">
        <f>IF('Cable Info'!N167="","",CONCATENATE('Cable Info'!N167," - ",'Cable Info'!O167))</f>
        <v>166 - AW</v>
      </c>
      <c r="AR167" s="121" t="str">
        <f t="shared" si="60"/>
        <v>166 - AW</v>
      </c>
      <c r="AT167" s="121" t="str">
        <f>IF('Cable Info'!P167="","",CONCATENATE('Cable Info'!P167," - ",'Cable Info'!Q167))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Info'!R167="","",CONCATENATE('Cable Info'!R167," - ",'Cable Info'!S167))</f>
        <v/>
      </c>
      <c r="BB167" s="121" t="str">
        <f t="shared" si="62"/>
        <v/>
      </c>
      <c r="BD167" s="121" t="str">
        <f>IF('Cable Info'!T167="","",CONCATENATE('Cable Info'!T167," - ",'Cable Info'!U167))</f>
        <v/>
      </c>
      <c r="BG167" s="121" t="str">
        <f t="shared" si="63"/>
        <v/>
      </c>
      <c r="BI167" s="121" t="str">
        <f>IF('Cable Info'!V167="","",CONCATENATE('Cable Info'!V167," - ",'Cable Info'!W167))</f>
        <v/>
      </c>
      <c r="BL167" s="121" t="str">
        <f t="shared" si="64"/>
        <v/>
      </c>
      <c r="CL167" s="250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59"/>
      <c r="F168" s="105" t="s">
        <v>45</v>
      </c>
      <c r="G168" s="262"/>
      <c r="H168" s="115" t="str">
        <f t="shared" si="53"/>
        <v/>
      </c>
      <c r="I168" s="264"/>
      <c r="J168" s="105" t="s">
        <v>45</v>
      </c>
      <c r="K168" s="267"/>
      <c r="L168" s="246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1" t="str">
        <f t="shared" si="55"/>
        <v/>
      </c>
      <c r="Z168" s="252" t="str">
        <f t="shared" si="56"/>
        <v/>
      </c>
      <c r="AA168" s="252" t="str">
        <f t="shared" si="57"/>
        <v/>
      </c>
      <c r="AB168" s="252" t="str">
        <f t="shared" si="58"/>
        <v/>
      </c>
      <c r="AJ168" s="121" t="str">
        <f>IF('Cable Info'!L168="","",CONCATENATE('Cable Info'!L168," - ",'Cable Info'!M168))</f>
        <v>167 - AW</v>
      </c>
      <c r="AM168" s="121" t="str">
        <f t="shared" si="59"/>
        <v>167 - AW</v>
      </c>
      <c r="AO168" s="121" t="str">
        <f>IF('Cable Info'!N168="","",CONCATENATE('Cable Info'!N168," - ",'Cable Info'!O168))</f>
        <v>167 - AW</v>
      </c>
      <c r="AR168" s="121" t="str">
        <f t="shared" si="60"/>
        <v>167 - AW</v>
      </c>
      <c r="AT168" s="121" t="str">
        <f>IF('Cable Info'!P168="","",CONCATENATE('Cable Info'!P168," - ",'Cable Info'!Q168))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Info'!R168="","",CONCATENATE('Cable Info'!R168," - ",'Cable Info'!S168))</f>
        <v/>
      </c>
      <c r="BB168" s="121" t="str">
        <f t="shared" si="62"/>
        <v/>
      </c>
      <c r="BD168" s="121" t="str">
        <f>IF('Cable Info'!T168="","",CONCATENATE('Cable Info'!T168," - ",'Cable Info'!U168))</f>
        <v/>
      </c>
      <c r="BG168" s="121" t="str">
        <f t="shared" si="63"/>
        <v/>
      </c>
      <c r="BI168" s="121" t="str">
        <f>IF('Cable Info'!V168="","",CONCATENATE('Cable Info'!V168," - ",'Cable Info'!W168))</f>
        <v/>
      </c>
      <c r="BL168" s="121" t="str">
        <f t="shared" si="64"/>
        <v/>
      </c>
      <c r="CL168" s="250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59"/>
      <c r="F169" s="105" t="s">
        <v>45</v>
      </c>
      <c r="G169" s="262"/>
      <c r="H169" s="115" t="str">
        <f t="shared" si="53"/>
        <v/>
      </c>
      <c r="I169" s="264"/>
      <c r="J169" s="105" t="s">
        <v>45</v>
      </c>
      <c r="K169" s="267"/>
      <c r="L169" s="246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1" t="str">
        <f t="shared" si="55"/>
        <v/>
      </c>
      <c r="Z169" s="252" t="str">
        <f t="shared" si="56"/>
        <v/>
      </c>
      <c r="AA169" s="252" t="str">
        <f t="shared" si="57"/>
        <v/>
      </c>
      <c r="AB169" s="252" t="str">
        <f t="shared" si="58"/>
        <v/>
      </c>
      <c r="AJ169" s="121" t="str">
        <f>IF('Cable Info'!L169="","",CONCATENATE('Cable Info'!L169," - ",'Cable Info'!M169))</f>
        <v>168 - AW</v>
      </c>
      <c r="AM169" s="121" t="str">
        <f t="shared" si="59"/>
        <v>168 - AW</v>
      </c>
      <c r="AO169" s="121" t="str">
        <f>IF('Cable Info'!N169="","",CONCATENATE('Cable Info'!N169," - ",'Cable Info'!O169))</f>
        <v>168 - AW</v>
      </c>
      <c r="AR169" s="121" t="str">
        <f t="shared" si="60"/>
        <v>168 - AW</v>
      </c>
      <c r="AT169" s="121" t="str">
        <f>IF('Cable Info'!P169="","",CONCATENATE('Cable Info'!P169," - ",'Cable Info'!Q169))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Info'!R169="","",CONCATENATE('Cable Info'!R169," - ",'Cable Info'!S169))</f>
        <v/>
      </c>
      <c r="BB169" s="121" t="str">
        <f t="shared" si="62"/>
        <v/>
      </c>
      <c r="BD169" s="121" t="str">
        <f>IF('Cable Info'!T169="","",CONCATENATE('Cable Info'!T169," - ",'Cable Info'!U169))</f>
        <v/>
      </c>
      <c r="BG169" s="121" t="str">
        <f t="shared" si="63"/>
        <v/>
      </c>
      <c r="BI169" s="121" t="str">
        <f>IF('Cable Info'!V169="","",CONCATENATE('Cable Info'!V169," - ",'Cable Info'!W169))</f>
        <v/>
      </c>
      <c r="BL169" s="121" t="str">
        <f t="shared" si="64"/>
        <v/>
      </c>
      <c r="CL169" s="250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59"/>
      <c r="F170" s="105" t="s">
        <v>45</v>
      </c>
      <c r="G170" s="262"/>
      <c r="H170" s="115" t="str">
        <f t="shared" si="53"/>
        <v/>
      </c>
      <c r="I170" s="264"/>
      <c r="J170" s="105" t="s">
        <v>45</v>
      </c>
      <c r="K170" s="267"/>
      <c r="L170" s="246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1" t="str">
        <f t="shared" si="55"/>
        <v/>
      </c>
      <c r="Z170" s="252" t="str">
        <f t="shared" si="56"/>
        <v/>
      </c>
      <c r="AA170" s="252" t="str">
        <f t="shared" si="57"/>
        <v/>
      </c>
      <c r="AB170" s="252" t="str">
        <f t="shared" si="58"/>
        <v/>
      </c>
      <c r="AJ170" s="121" t="str">
        <f>IF('Cable Info'!L170="","",CONCATENATE('Cable Info'!L170," - ",'Cable Info'!M170))</f>
        <v>169 - AW</v>
      </c>
      <c r="AM170" s="121" t="str">
        <f t="shared" si="59"/>
        <v>169 - AW</v>
      </c>
      <c r="AO170" s="121" t="str">
        <f>IF('Cable Info'!N170="","",CONCATENATE('Cable Info'!N170," - ",'Cable Info'!O170))</f>
        <v>169 - AW</v>
      </c>
      <c r="AR170" s="121" t="str">
        <f t="shared" si="60"/>
        <v>169 - AW</v>
      </c>
      <c r="AT170" s="121" t="str">
        <f>IF('Cable Info'!P170="","",CONCATENATE('Cable Info'!P170," - ",'Cable Info'!Q170))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Info'!R170="","",CONCATENATE('Cable Info'!R170," - ",'Cable Info'!S170))</f>
        <v/>
      </c>
      <c r="BB170" s="121" t="str">
        <f t="shared" si="62"/>
        <v/>
      </c>
      <c r="BD170" s="121" t="str">
        <f>IF('Cable Info'!T170="","",CONCATENATE('Cable Info'!T170," - ",'Cable Info'!U170))</f>
        <v/>
      </c>
      <c r="BG170" s="121" t="str">
        <f t="shared" si="63"/>
        <v/>
      </c>
      <c r="BI170" s="121" t="str">
        <f>IF('Cable Info'!V170="","",CONCATENATE('Cable Info'!V170," - ",'Cable Info'!W170))</f>
        <v/>
      </c>
      <c r="BL170" s="121" t="str">
        <f t="shared" si="64"/>
        <v/>
      </c>
      <c r="CL170" s="250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59"/>
      <c r="F171" s="105" t="s">
        <v>45</v>
      </c>
      <c r="G171" s="262"/>
      <c r="H171" s="115" t="str">
        <f t="shared" si="53"/>
        <v/>
      </c>
      <c r="I171" s="264"/>
      <c r="J171" s="105" t="s">
        <v>45</v>
      </c>
      <c r="K171" s="267"/>
      <c r="L171" s="246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1" t="str">
        <f t="shared" si="55"/>
        <v/>
      </c>
      <c r="Z171" s="252" t="str">
        <f t="shared" si="56"/>
        <v/>
      </c>
      <c r="AA171" s="252" t="str">
        <f t="shared" si="57"/>
        <v/>
      </c>
      <c r="AB171" s="252" t="str">
        <f t="shared" si="58"/>
        <v/>
      </c>
      <c r="AJ171" s="121" t="str">
        <f>IF('Cable Info'!L171="","",CONCATENATE('Cable Info'!L171," - ",'Cable Info'!M171))</f>
        <v>170 - AW</v>
      </c>
      <c r="AM171" s="121" t="str">
        <f t="shared" si="59"/>
        <v>170 - AW</v>
      </c>
      <c r="AO171" s="121" t="str">
        <f>IF('Cable Info'!N171="","",CONCATENATE('Cable Info'!N171," - ",'Cable Info'!O171))</f>
        <v>170 - AW</v>
      </c>
      <c r="AR171" s="121" t="str">
        <f t="shared" si="60"/>
        <v>170 - AW</v>
      </c>
      <c r="AT171" s="121" t="str">
        <f>IF('Cable Info'!P171="","",CONCATENATE('Cable Info'!P171," - ",'Cable Info'!Q171))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Info'!R171="","",CONCATENATE('Cable Info'!R171," - ",'Cable Info'!S171))</f>
        <v/>
      </c>
      <c r="BB171" s="121" t="str">
        <f t="shared" si="62"/>
        <v/>
      </c>
      <c r="BD171" s="121" t="str">
        <f>IF('Cable Info'!T171="","",CONCATENATE('Cable Info'!T171," - ",'Cable Info'!U171))</f>
        <v/>
      </c>
      <c r="BG171" s="121" t="str">
        <f t="shared" si="63"/>
        <v/>
      </c>
      <c r="BI171" s="121" t="str">
        <f>IF('Cable Info'!V171="","",CONCATENATE('Cable Info'!V171," - ",'Cable Info'!W171))</f>
        <v/>
      </c>
      <c r="BL171" s="121" t="str">
        <f t="shared" si="64"/>
        <v/>
      </c>
      <c r="CL171" s="250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59"/>
      <c r="F172" s="105" t="s">
        <v>45</v>
      </c>
      <c r="G172" s="262"/>
      <c r="H172" s="115" t="str">
        <f t="shared" si="53"/>
        <v/>
      </c>
      <c r="I172" s="264"/>
      <c r="J172" s="105" t="s">
        <v>45</v>
      </c>
      <c r="K172" s="267"/>
      <c r="L172" s="246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1" t="str">
        <f t="shared" si="55"/>
        <v/>
      </c>
      <c r="Z172" s="252" t="str">
        <f t="shared" si="56"/>
        <v/>
      </c>
      <c r="AA172" s="252" t="str">
        <f t="shared" si="57"/>
        <v/>
      </c>
      <c r="AB172" s="252" t="str">
        <f t="shared" si="58"/>
        <v/>
      </c>
      <c r="AJ172" s="121" t="str">
        <f>IF('Cable Info'!L172="","",CONCATENATE('Cable Info'!L172," - ",'Cable Info'!M172))</f>
        <v>171 - AW</v>
      </c>
      <c r="AM172" s="121" t="str">
        <f t="shared" si="59"/>
        <v>171 - AW</v>
      </c>
      <c r="AO172" s="121" t="str">
        <f>IF('Cable Info'!N172="","",CONCATENATE('Cable Info'!N172," - ",'Cable Info'!O172))</f>
        <v>171 - AW</v>
      </c>
      <c r="AR172" s="121" t="str">
        <f t="shared" si="60"/>
        <v>171 - AW</v>
      </c>
      <c r="AT172" s="121" t="str">
        <f>IF('Cable Info'!P172="","",CONCATENATE('Cable Info'!P172," - ",'Cable Info'!Q172))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Info'!R172="","",CONCATENATE('Cable Info'!R172," - ",'Cable Info'!S172))</f>
        <v/>
      </c>
      <c r="BB172" s="121" t="str">
        <f t="shared" si="62"/>
        <v/>
      </c>
      <c r="BD172" s="121" t="str">
        <f>IF('Cable Info'!T172="","",CONCATENATE('Cable Info'!T172," - ",'Cable Info'!U172))</f>
        <v/>
      </c>
      <c r="BG172" s="121" t="str">
        <f t="shared" si="63"/>
        <v/>
      </c>
      <c r="BI172" s="121" t="str">
        <f>IF('Cable Info'!V172="","",CONCATENATE('Cable Info'!V172," - ",'Cable Info'!W172))</f>
        <v/>
      </c>
      <c r="BL172" s="121" t="str">
        <f t="shared" si="64"/>
        <v/>
      </c>
      <c r="CL172" s="250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59"/>
      <c r="F173" s="105" t="s">
        <v>45</v>
      </c>
      <c r="G173" s="262"/>
      <c r="H173" s="115" t="str">
        <f t="shared" si="53"/>
        <v/>
      </c>
      <c r="I173" s="264"/>
      <c r="J173" s="105" t="s">
        <v>45</v>
      </c>
      <c r="K173" s="267"/>
      <c r="L173" s="246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1" t="str">
        <f t="shared" si="55"/>
        <v/>
      </c>
      <c r="Z173" s="252" t="str">
        <f t="shared" si="56"/>
        <v/>
      </c>
      <c r="AA173" s="252" t="str">
        <f t="shared" si="57"/>
        <v/>
      </c>
      <c r="AB173" s="252" t="str">
        <f t="shared" si="58"/>
        <v/>
      </c>
      <c r="AJ173" s="121" t="str">
        <f>IF('Cable Info'!L173="","",CONCATENATE('Cable Info'!L173," - ",'Cable Info'!M173))</f>
        <v>172 - AW</v>
      </c>
      <c r="AM173" s="121" t="str">
        <f t="shared" si="59"/>
        <v>172 - AW</v>
      </c>
      <c r="AO173" s="121" t="str">
        <f>IF('Cable Info'!N173="","",CONCATENATE('Cable Info'!N173," - ",'Cable Info'!O173))</f>
        <v>172 - AW</v>
      </c>
      <c r="AR173" s="121" t="str">
        <f t="shared" si="60"/>
        <v>172 - AW</v>
      </c>
      <c r="AT173" s="121" t="str">
        <f>IF('Cable Info'!P173="","",CONCATENATE('Cable Info'!P173," - ",'Cable Info'!Q173))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Info'!R173="","",CONCATENATE('Cable Info'!R173," - ",'Cable Info'!S173))</f>
        <v/>
      </c>
      <c r="BB173" s="121" t="str">
        <f t="shared" si="62"/>
        <v/>
      </c>
      <c r="BD173" s="121" t="str">
        <f>IF('Cable Info'!T173="","",CONCATENATE('Cable Info'!T173," - ",'Cable Info'!U173))</f>
        <v/>
      </c>
      <c r="BG173" s="121" t="str">
        <f t="shared" si="63"/>
        <v/>
      </c>
      <c r="BI173" s="121" t="str">
        <f>IF('Cable Info'!V173="","",CONCATENATE('Cable Info'!V173," - ",'Cable Info'!W173))</f>
        <v/>
      </c>
      <c r="BL173" s="121" t="str">
        <f t="shared" si="64"/>
        <v/>
      </c>
      <c r="CL173" s="250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59"/>
      <c r="F174" s="105" t="s">
        <v>45</v>
      </c>
      <c r="G174" s="262"/>
      <c r="H174" s="115" t="str">
        <f t="shared" si="53"/>
        <v/>
      </c>
      <c r="I174" s="264"/>
      <c r="J174" s="105" t="s">
        <v>45</v>
      </c>
      <c r="K174" s="267"/>
      <c r="L174" s="246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1" t="str">
        <f t="shared" si="55"/>
        <v/>
      </c>
      <c r="Z174" s="252" t="str">
        <f t="shared" si="56"/>
        <v/>
      </c>
      <c r="AA174" s="252" t="str">
        <f t="shared" si="57"/>
        <v/>
      </c>
      <c r="AB174" s="252" t="str">
        <f t="shared" si="58"/>
        <v/>
      </c>
      <c r="AJ174" s="121" t="str">
        <f>IF('Cable Info'!L174="","",CONCATENATE('Cable Info'!L174," - ",'Cable Info'!M174))</f>
        <v>173 - AW</v>
      </c>
      <c r="AM174" s="121" t="str">
        <f t="shared" si="59"/>
        <v>173 - AW</v>
      </c>
      <c r="AO174" s="121" t="str">
        <f>IF('Cable Info'!N174="","",CONCATENATE('Cable Info'!N174," - ",'Cable Info'!O174))</f>
        <v>173 - AW</v>
      </c>
      <c r="AR174" s="121" t="str">
        <f t="shared" si="60"/>
        <v>173 - AW</v>
      </c>
      <c r="AT174" s="121" t="str">
        <f>IF('Cable Info'!P174="","",CONCATENATE('Cable Info'!P174," - ",'Cable Info'!Q174))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Info'!R174="","",CONCATENATE('Cable Info'!R174," - ",'Cable Info'!S174))</f>
        <v/>
      </c>
      <c r="BB174" s="121" t="str">
        <f t="shared" si="62"/>
        <v/>
      </c>
      <c r="BD174" s="121" t="str">
        <f>IF('Cable Info'!T174="","",CONCATENATE('Cable Info'!T174," - ",'Cable Info'!U174))</f>
        <v/>
      </c>
      <c r="BG174" s="121" t="str">
        <f t="shared" si="63"/>
        <v/>
      </c>
      <c r="BI174" s="121" t="str">
        <f>IF('Cable Info'!V174="","",CONCATENATE('Cable Info'!V174," - ",'Cable Info'!W174))</f>
        <v/>
      </c>
      <c r="BL174" s="121" t="str">
        <f t="shared" si="64"/>
        <v/>
      </c>
      <c r="CL174" s="250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59"/>
      <c r="F175" s="105" t="s">
        <v>45</v>
      </c>
      <c r="G175" s="262"/>
      <c r="H175" s="115" t="str">
        <f t="shared" si="53"/>
        <v/>
      </c>
      <c r="I175" s="264"/>
      <c r="J175" s="105" t="s">
        <v>45</v>
      </c>
      <c r="K175" s="267"/>
      <c r="L175" s="246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1" t="str">
        <f t="shared" si="55"/>
        <v/>
      </c>
      <c r="Z175" s="252" t="str">
        <f t="shared" si="56"/>
        <v/>
      </c>
      <c r="AA175" s="252" t="str">
        <f t="shared" si="57"/>
        <v/>
      </c>
      <c r="AB175" s="252" t="str">
        <f t="shared" si="58"/>
        <v/>
      </c>
      <c r="AJ175" s="121" t="str">
        <f>IF('Cable Info'!L175="","",CONCATENATE('Cable Info'!L175," - ",'Cable Info'!M175))</f>
        <v>174 - AW</v>
      </c>
      <c r="AM175" s="121" t="str">
        <f t="shared" si="59"/>
        <v>174 - AW</v>
      </c>
      <c r="AO175" s="121" t="str">
        <f>IF('Cable Info'!N175="","",CONCATENATE('Cable Info'!N175," - ",'Cable Info'!O175))</f>
        <v>174 - AW</v>
      </c>
      <c r="AR175" s="121" t="str">
        <f t="shared" si="60"/>
        <v>174 - AW</v>
      </c>
      <c r="AT175" s="121" t="str">
        <f>IF('Cable Info'!P175="","",CONCATENATE('Cable Info'!P175," - ",'Cable Info'!Q175))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Info'!R175="","",CONCATENATE('Cable Info'!R175," - ",'Cable Info'!S175))</f>
        <v/>
      </c>
      <c r="BB175" s="121" t="str">
        <f t="shared" si="62"/>
        <v/>
      </c>
      <c r="BD175" s="121" t="str">
        <f>IF('Cable Info'!T175="","",CONCATENATE('Cable Info'!T175," - ",'Cable Info'!U175))</f>
        <v/>
      </c>
      <c r="BG175" s="121" t="str">
        <f t="shared" si="63"/>
        <v/>
      </c>
      <c r="BI175" s="121" t="str">
        <f>IF('Cable Info'!V175="","",CONCATENATE('Cable Info'!V175," - ",'Cable Info'!W175))</f>
        <v/>
      </c>
      <c r="BL175" s="121" t="str">
        <f t="shared" si="64"/>
        <v/>
      </c>
      <c r="CL175" s="250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59"/>
      <c r="F176" s="105" t="s">
        <v>45</v>
      </c>
      <c r="G176" s="262"/>
      <c r="H176" s="115" t="str">
        <f t="shared" si="53"/>
        <v/>
      </c>
      <c r="I176" s="264"/>
      <c r="J176" s="105" t="s">
        <v>45</v>
      </c>
      <c r="K176" s="267"/>
      <c r="L176" s="246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1" t="str">
        <f t="shared" si="55"/>
        <v/>
      </c>
      <c r="Z176" s="252" t="str">
        <f t="shared" si="56"/>
        <v/>
      </c>
      <c r="AA176" s="252" t="str">
        <f t="shared" si="57"/>
        <v/>
      </c>
      <c r="AB176" s="252" t="str">
        <f t="shared" si="58"/>
        <v/>
      </c>
      <c r="AJ176" s="121" t="str">
        <f>IF('Cable Info'!L176="","",CONCATENATE('Cable Info'!L176," - ",'Cable Info'!M176))</f>
        <v>175 - AW</v>
      </c>
      <c r="AM176" s="121" t="str">
        <f t="shared" si="59"/>
        <v>175 - AW</v>
      </c>
      <c r="AO176" s="121" t="str">
        <f>IF('Cable Info'!N176="","",CONCATENATE('Cable Info'!N176," - ",'Cable Info'!O176))</f>
        <v>175 - AW</v>
      </c>
      <c r="AR176" s="121" t="str">
        <f t="shared" si="60"/>
        <v>175 - AW</v>
      </c>
      <c r="AT176" s="121" t="str">
        <f>IF('Cable Info'!P176="","",CONCATENATE('Cable Info'!P176," - ",'Cable Info'!Q176))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Info'!R176="","",CONCATENATE('Cable Info'!R176," - ",'Cable Info'!S176))</f>
        <v/>
      </c>
      <c r="BB176" s="121" t="str">
        <f t="shared" si="62"/>
        <v/>
      </c>
      <c r="BD176" s="121" t="str">
        <f>IF('Cable Info'!T176="","",CONCATENATE('Cable Info'!T176," - ",'Cable Info'!U176))</f>
        <v/>
      </c>
      <c r="BG176" s="121" t="str">
        <f t="shared" si="63"/>
        <v/>
      </c>
      <c r="BI176" s="121" t="str">
        <f>IF('Cable Info'!V176="","",CONCATENATE('Cable Info'!V176," - ",'Cable Info'!W176))</f>
        <v/>
      </c>
      <c r="BL176" s="121" t="str">
        <f t="shared" si="64"/>
        <v/>
      </c>
      <c r="CL176" s="250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59"/>
      <c r="F177" s="105" t="s">
        <v>45</v>
      </c>
      <c r="G177" s="262"/>
      <c r="H177" s="115" t="str">
        <f t="shared" si="53"/>
        <v/>
      </c>
      <c r="I177" s="264"/>
      <c r="J177" s="105" t="s">
        <v>45</v>
      </c>
      <c r="K177" s="267"/>
      <c r="L177" s="246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1" t="str">
        <f t="shared" si="55"/>
        <v/>
      </c>
      <c r="Z177" s="252" t="str">
        <f t="shared" si="56"/>
        <v/>
      </c>
      <c r="AA177" s="252" t="str">
        <f t="shared" si="57"/>
        <v/>
      </c>
      <c r="AB177" s="252" t="str">
        <f t="shared" si="58"/>
        <v/>
      </c>
      <c r="AJ177" s="121" t="str">
        <f>IF('Cable Info'!L177="","",CONCATENATE('Cable Info'!L177," - ",'Cable Info'!M177))</f>
        <v>176 - AW</v>
      </c>
      <c r="AM177" s="121" t="str">
        <f t="shared" si="59"/>
        <v>176 - AW</v>
      </c>
      <c r="AO177" s="121" t="str">
        <f>IF('Cable Info'!N177="","",CONCATENATE('Cable Info'!N177," - ",'Cable Info'!O177))</f>
        <v>176 - AW</v>
      </c>
      <c r="AR177" s="121" t="str">
        <f t="shared" si="60"/>
        <v>176 - AW</v>
      </c>
      <c r="AT177" s="121" t="str">
        <f>IF('Cable Info'!P177="","",CONCATENATE('Cable Info'!P177," - ",'Cable Info'!Q177))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Info'!R177="","",CONCATENATE('Cable Info'!R177," - ",'Cable Info'!S177))</f>
        <v/>
      </c>
      <c r="BB177" s="121" t="str">
        <f t="shared" si="62"/>
        <v/>
      </c>
      <c r="BD177" s="121" t="str">
        <f>IF('Cable Info'!T177="","",CONCATENATE('Cable Info'!T177," - ",'Cable Info'!U177))</f>
        <v/>
      </c>
      <c r="BG177" s="121" t="str">
        <f t="shared" si="63"/>
        <v/>
      </c>
      <c r="BI177" s="121" t="str">
        <f>IF('Cable Info'!V177="","",CONCATENATE('Cable Info'!V177," - ",'Cable Info'!W177))</f>
        <v/>
      </c>
      <c r="BL177" s="121" t="str">
        <f t="shared" si="64"/>
        <v/>
      </c>
      <c r="CL177" s="250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59"/>
      <c r="F178" s="105" t="s">
        <v>45</v>
      </c>
      <c r="G178" s="262"/>
      <c r="H178" s="115" t="str">
        <f t="shared" si="53"/>
        <v/>
      </c>
      <c r="I178" s="264"/>
      <c r="J178" s="105" t="s">
        <v>45</v>
      </c>
      <c r="K178" s="267"/>
      <c r="L178" s="246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1" t="str">
        <f t="shared" si="55"/>
        <v/>
      </c>
      <c r="Z178" s="252" t="str">
        <f t="shared" si="56"/>
        <v/>
      </c>
      <c r="AA178" s="252" t="str">
        <f t="shared" si="57"/>
        <v/>
      </c>
      <c r="AB178" s="252" t="str">
        <f t="shared" si="58"/>
        <v/>
      </c>
      <c r="AJ178" s="121" t="str">
        <f>IF('Cable Info'!L178="","",CONCATENATE('Cable Info'!L178," - ",'Cable Info'!M178))</f>
        <v>177 - AW</v>
      </c>
      <c r="AM178" s="121" t="str">
        <f t="shared" si="59"/>
        <v>177 - AW</v>
      </c>
      <c r="AO178" s="121" t="str">
        <f>IF('Cable Info'!N178="","",CONCATENATE('Cable Info'!N178," - ",'Cable Info'!O178))</f>
        <v>177 - AW</v>
      </c>
      <c r="AR178" s="121" t="str">
        <f t="shared" si="60"/>
        <v>177 - AW</v>
      </c>
      <c r="AT178" s="121" t="str">
        <f>IF('Cable Info'!P178="","",CONCATENATE('Cable Info'!P178," - ",'Cable Info'!Q178))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Info'!R178="","",CONCATENATE('Cable Info'!R178," - ",'Cable Info'!S178))</f>
        <v/>
      </c>
      <c r="BB178" s="121" t="str">
        <f t="shared" si="62"/>
        <v/>
      </c>
      <c r="BD178" s="121" t="str">
        <f>IF('Cable Info'!T178="","",CONCATENATE('Cable Info'!T178," - ",'Cable Info'!U178))</f>
        <v/>
      </c>
      <c r="BG178" s="121" t="str">
        <f t="shared" si="63"/>
        <v/>
      </c>
      <c r="BI178" s="121" t="str">
        <f>IF('Cable Info'!V178="","",CONCATENATE('Cable Info'!V178," - ",'Cable Info'!W178))</f>
        <v/>
      </c>
      <c r="BL178" s="121" t="str">
        <f t="shared" si="64"/>
        <v/>
      </c>
      <c r="CL178" s="250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59"/>
      <c r="F179" s="105" t="s">
        <v>45</v>
      </c>
      <c r="G179" s="262"/>
      <c r="H179" s="115" t="str">
        <f t="shared" si="53"/>
        <v/>
      </c>
      <c r="I179" s="264"/>
      <c r="J179" s="105" t="s">
        <v>45</v>
      </c>
      <c r="K179" s="267"/>
      <c r="L179" s="246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1" t="str">
        <f t="shared" si="55"/>
        <v/>
      </c>
      <c r="Z179" s="252" t="str">
        <f t="shared" si="56"/>
        <v/>
      </c>
      <c r="AA179" s="252" t="str">
        <f t="shared" si="57"/>
        <v/>
      </c>
      <c r="AB179" s="252" t="str">
        <f t="shared" si="58"/>
        <v/>
      </c>
      <c r="AJ179" s="121" t="str">
        <f>IF('Cable Info'!L179="","",CONCATENATE('Cable Info'!L179," - ",'Cable Info'!M179))</f>
        <v>178 - AW</v>
      </c>
      <c r="AM179" s="121" t="str">
        <f t="shared" si="59"/>
        <v>178 - AW</v>
      </c>
      <c r="AO179" s="121" t="str">
        <f>IF('Cable Info'!N179="","",CONCATENATE('Cable Info'!N179," - ",'Cable Info'!O179))</f>
        <v>178 - AW</v>
      </c>
      <c r="AR179" s="121" t="str">
        <f t="shared" si="60"/>
        <v>178 - AW</v>
      </c>
      <c r="AT179" s="121" t="str">
        <f>IF('Cable Info'!P179="","",CONCATENATE('Cable Info'!P179," - ",'Cable Info'!Q179))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Info'!R179="","",CONCATENATE('Cable Info'!R179," - ",'Cable Info'!S179))</f>
        <v/>
      </c>
      <c r="BB179" s="121" t="str">
        <f t="shared" si="62"/>
        <v/>
      </c>
      <c r="BD179" s="121" t="str">
        <f>IF('Cable Info'!T179="","",CONCATENATE('Cable Info'!T179," - ",'Cable Info'!U179))</f>
        <v/>
      </c>
      <c r="BG179" s="121" t="str">
        <f t="shared" si="63"/>
        <v/>
      </c>
      <c r="BI179" s="121" t="str">
        <f>IF('Cable Info'!V179="","",CONCATENATE('Cable Info'!V179," - ",'Cable Info'!W179))</f>
        <v/>
      </c>
      <c r="BL179" s="121" t="str">
        <f t="shared" si="64"/>
        <v/>
      </c>
      <c r="CL179" s="250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59"/>
      <c r="F180" s="105" t="s">
        <v>45</v>
      </c>
      <c r="G180" s="262"/>
      <c r="H180" s="115" t="str">
        <f t="shared" si="53"/>
        <v/>
      </c>
      <c r="I180" s="264"/>
      <c r="J180" s="105" t="s">
        <v>45</v>
      </c>
      <c r="K180" s="267"/>
      <c r="L180" s="246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1" t="str">
        <f t="shared" si="55"/>
        <v/>
      </c>
      <c r="Z180" s="252" t="str">
        <f t="shared" si="56"/>
        <v/>
      </c>
      <c r="AA180" s="252" t="str">
        <f t="shared" si="57"/>
        <v/>
      </c>
      <c r="AB180" s="252" t="str">
        <f t="shared" si="58"/>
        <v/>
      </c>
      <c r="AJ180" s="121" t="str">
        <f>IF('Cable Info'!L180="","",CONCATENATE('Cable Info'!L180," - ",'Cable Info'!M180))</f>
        <v>179 - AW</v>
      </c>
      <c r="AM180" s="121" t="str">
        <f t="shared" si="59"/>
        <v>179 - AW</v>
      </c>
      <c r="AO180" s="121" t="str">
        <f>IF('Cable Info'!N180="","",CONCATENATE('Cable Info'!N180," - ",'Cable Info'!O180))</f>
        <v>179 - AW</v>
      </c>
      <c r="AR180" s="121" t="str">
        <f t="shared" si="60"/>
        <v>179 - AW</v>
      </c>
      <c r="AT180" s="121" t="str">
        <f>IF('Cable Info'!P180="","",CONCATENATE('Cable Info'!P180," - ",'Cable Info'!Q180))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Info'!R180="","",CONCATENATE('Cable Info'!R180," - ",'Cable Info'!S180))</f>
        <v/>
      </c>
      <c r="BB180" s="121" t="str">
        <f t="shared" si="62"/>
        <v/>
      </c>
      <c r="BD180" s="121" t="str">
        <f>IF('Cable Info'!T180="","",CONCATENATE('Cable Info'!T180," - ",'Cable Info'!U180))</f>
        <v/>
      </c>
      <c r="BG180" s="121" t="str">
        <f t="shared" si="63"/>
        <v/>
      </c>
      <c r="BI180" s="121" t="str">
        <f>IF('Cable Info'!V180="","",CONCATENATE('Cable Info'!V180," - ",'Cable Info'!W180))</f>
        <v/>
      </c>
      <c r="BL180" s="121" t="str">
        <f t="shared" si="64"/>
        <v/>
      </c>
      <c r="CL180" s="250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59"/>
      <c r="F181" s="105" t="s">
        <v>45</v>
      </c>
      <c r="G181" s="262"/>
      <c r="H181" s="115" t="str">
        <f t="shared" si="53"/>
        <v/>
      </c>
      <c r="I181" s="264"/>
      <c r="J181" s="105" t="s">
        <v>45</v>
      </c>
      <c r="K181" s="267"/>
      <c r="L181" s="246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1" t="str">
        <f t="shared" si="55"/>
        <v/>
      </c>
      <c r="Z181" s="252" t="str">
        <f t="shared" si="56"/>
        <v/>
      </c>
      <c r="AA181" s="252" t="str">
        <f t="shared" si="57"/>
        <v/>
      </c>
      <c r="AB181" s="252" t="str">
        <f t="shared" si="58"/>
        <v/>
      </c>
      <c r="AJ181" s="121" t="str">
        <f>IF('Cable Info'!L181="","",CONCATENATE('Cable Info'!L181," - ",'Cable Info'!M181))</f>
        <v>180 - AW</v>
      </c>
      <c r="AM181" s="121" t="str">
        <f t="shared" si="59"/>
        <v>180 - AW</v>
      </c>
      <c r="AO181" s="121" t="str">
        <f>IF('Cable Info'!N181="","",CONCATENATE('Cable Info'!N181," - ",'Cable Info'!O181))</f>
        <v>180 - AW</v>
      </c>
      <c r="AR181" s="121" t="str">
        <f t="shared" si="60"/>
        <v>180 - AW</v>
      </c>
      <c r="AT181" s="121" t="str">
        <f>IF('Cable Info'!P181="","",CONCATENATE('Cable Info'!P181," - ",'Cable Info'!Q181))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Info'!R181="","",CONCATENATE('Cable Info'!R181," - ",'Cable Info'!S181))</f>
        <v/>
      </c>
      <c r="BB181" s="121" t="str">
        <f t="shared" si="62"/>
        <v/>
      </c>
      <c r="BD181" s="121" t="str">
        <f>IF('Cable Info'!T181="","",CONCATENATE('Cable Info'!T181," - ",'Cable Info'!U181))</f>
        <v/>
      </c>
      <c r="BG181" s="121" t="str">
        <f t="shared" si="63"/>
        <v/>
      </c>
      <c r="BI181" s="121" t="str">
        <f>IF('Cable Info'!V181="","",CONCATENATE('Cable Info'!V181," - ",'Cable Info'!W181))</f>
        <v/>
      </c>
      <c r="BL181" s="121" t="str">
        <f t="shared" si="64"/>
        <v/>
      </c>
      <c r="CL181" s="250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59"/>
      <c r="F182" s="105" t="s">
        <v>45</v>
      </c>
      <c r="G182" s="262"/>
      <c r="H182" s="115" t="str">
        <f t="shared" si="53"/>
        <v/>
      </c>
      <c r="I182" s="264"/>
      <c r="J182" s="105" t="s">
        <v>45</v>
      </c>
      <c r="K182" s="267"/>
      <c r="L182" s="246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1" t="str">
        <f t="shared" si="55"/>
        <v/>
      </c>
      <c r="Z182" s="252" t="str">
        <f t="shared" si="56"/>
        <v/>
      </c>
      <c r="AA182" s="252" t="str">
        <f t="shared" si="57"/>
        <v/>
      </c>
      <c r="AB182" s="252" t="str">
        <f t="shared" si="58"/>
        <v/>
      </c>
      <c r="AJ182" s="121" t="str">
        <f>IF('Cable Info'!L182="","",CONCATENATE('Cable Info'!L182," - ",'Cable Info'!M182))</f>
        <v>181 - AW</v>
      </c>
      <c r="AM182" s="121" t="str">
        <f t="shared" si="59"/>
        <v>181 - AW</v>
      </c>
      <c r="AO182" s="121" t="str">
        <f>IF('Cable Info'!N182="","",CONCATENATE('Cable Info'!N182," - ",'Cable Info'!O182))</f>
        <v>181 - AW</v>
      </c>
      <c r="AR182" s="121" t="str">
        <f t="shared" si="60"/>
        <v>181 - AW</v>
      </c>
      <c r="AT182" s="121" t="str">
        <f>IF('Cable Info'!P182="","",CONCATENATE('Cable Info'!P182," - ",'Cable Info'!Q182))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Info'!R182="","",CONCATENATE('Cable Info'!R182," - ",'Cable Info'!S182))</f>
        <v/>
      </c>
      <c r="BB182" s="121" t="str">
        <f t="shared" si="62"/>
        <v/>
      </c>
      <c r="BD182" s="121" t="str">
        <f>IF('Cable Info'!T182="","",CONCATENATE('Cable Info'!T182," - ",'Cable Info'!U182))</f>
        <v/>
      </c>
      <c r="BG182" s="121" t="str">
        <f t="shared" si="63"/>
        <v/>
      </c>
      <c r="BI182" s="121" t="str">
        <f>IF('Cable Info'!V182="","",CONCATENATE('Cable Info'!V182," - ",'Cable Info'!W182))</f>
        <v/>
      </c>
      <c r="BL182" s="121" t="str">
        <f t="shared" si="64"/>
        <v/>
      </c>
      <c r="CL182" s="250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59"/>
      <c r="F183" s="105" t="s">
        <v>45</v>
      </c>
      <c r="G183" s="262"/>
      <c r="H183" s="115" t="str">
        <f t="shared" si="53"/>
        <v/>
      </c>
      <c r="I183" s="264"/>
      <c r="J183" s="105" t="s">
        <v>45</v>
      </c>
      <c r="K183" s="267"/>
      <c r="L183" s="246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1" t="str">
        <f t="shared" si="55"/>
        <v/>
      </c>
      <c r="Z183" s="252" t="str">
        <f t="shared" si="56"/>
        <v/>
      </c>
      <c r="AA183" s="252" t="str">
        <f t="shared" si="57"/>
        <v/>
      </c>
      <c r="AB183" s="252" t="str">
        <f t="shared" si="58"/>
        <v/>
      </c>
      <c r="AJ183" s="121" t="str">
        <f>IF('Cable Info'!L183="","",CONCATENATE('Cable Info'!L183," - ",'Cable Info'!M183))</f>
        <v>182 - AW</v>
      </c>
      <c r="AM183" s="121" t="str">
        <f t="shared" si="59"/>
        <v>182 - AW</v>
      </c>
      <c r="AO183" s="121" t="str">
        <f>IF('Cable Info'!N183="","",CONCATENATE('Cable Info'!N183," - ",'Cable Info'!O183))</f>
        <v>182 - AW</v>
      </c>
      <c r="AR183" s="121" t="str">
        <f t="shared" si="60"/>
        <v>182 - AW</v>
      </c>
      <c r="AT183" s="121" t="str">
        <f>IF('Cable Info'!P183="","",CONCATENATE('Cable Info'!P183," - ",'Cable Info'!Q183))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Info'!R183="","",CONCATENATE('Cable Info'!R183," - ",'Cable Info'!S183))</f>
        <v/>
      </c>
      <c r="BB183" s="121" t="str">
        <f t="shared" si="62"/>
        <v/>
      </c>
      <c r="BD183" s="121" t="str">
        <f>IF('Cable Info'!T183="","",CONCATENATE('Cable Info'!T183," - ",'Cable Info'!U183))</f>
        <v/>
      </c>
      <c r="BG183" s="121" t="str">
        <f t="shared" si="63"/>
        <v/>
      </c>
      <c r="BI183" s="121" t="str">
        <f>IF('Cable Info'!V183="","",CONCATENATE('Cable Info'!V183," - ",'Cable Info'!W183))</f>
        <v/>
      </c>
      <c r="BL183" s="121" t="str">
        <f t="shared" si="64"/>
        <v/>
      </c>
      <c r="CL183" s="250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59"/>
      <c r="F184" s="105" t="s">
        <v>45</v>
      </c>
      <c r="G184" s="262"/>
      <c r="H184" s="115" t="str">
        <f t="shared" si="53"/>
        <v/>
      </c>
      <c r="I184" s="264"/>
      <c r="J184" s="105" t="s">
        <v>45</v>
      </c>
      <c r="K184" s="267"/>
      <c r="L184" s="246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1" t="str">
        <f t="shared" si="55"/>
        <v/>
      </c>
      <c r="Z184" s="252" t="str">
        <f t="shared" si="56"/>
        <v/>
      </c>
      <c r="AA184" s="252" t="str">
        <f t="shared" si="57"/>
        <v/>
      </c>
      <c r="AB184" s="252" t="str">
        <f t="shared" si="58"/>
        <v/>
      </c>
      <c r="AJ184" s="121" t="str">
        <f>IF('Cable Info'!L184="","",CONCATENATE('Cable Info'!L184," - ",'Cable Info'!M184))</f>
        <v>183 - AW</v>
      </c>
      <c r="AM184" s="121" t="str">
        <f t="shared" si="59"/>
        <v>183 - AW</v>
      </c>
      <c r="AO184" s="121" t="str">
        <f>IF('Cable Info'!N184="","",CONCATENATE('Cable Info'!N184," - ",'Cable Info'!O184))</f>
        <v>183 - AW</v>
      </c>
      <c r="AR184" s="121" t="str">
        <f t="shared" si="60"/>
        <v>183 - AW</v>
      </c>
      <c r="AT184" s="121" t="str">
        <f>IF('Cable Info'!P184="","",CONCATENATE('Cable Info'!P184," - ",'Cable Info'!Q184))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Info'!R184="","",CONCATENATE('Cable Info'!R184," - ",'Cable Info'!S184))</f>
        <v/>
      </c>
      <c r="BB184" s="121" t="str">
        <f t="shared" si="62"/>
        <v/>
      </c>
      <c r="BD184" s="121" t="str">
        <f>IF('Cable Info'!T184="","",CONCATENATE('Cable Info'!T184," - ",'Cable Info'!U184))</f>
        <v/>
      </c>
      <c r="BG184" s="121" t="str">
        <f t="shared" si="63"/>
        <v/>
      </c>
      <c r="BI184" s="121" t="str">
        <f>IF('Cable Info'!V184="","",CONCATENATE('Cable Info'!V184," - ",'Cable Info'!W184))</f>
        <v/>
      </c>
      <c r="BL184" s="121" t="str">
        <f t="shared" si="64"/>
        <v/>
      </c>
      <c r="CL184" s="250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59"/>
      <c r="F185" s="105" t="s">
        <v>45</v>
      </c>
      <c r="G185" s="262"/>
      <c r="H185" s="115" t="str">
        <f t="shared" si="53"/>
        <v/>
      </c>
      <c r="I185" s="264"/>
      <c r="J185" s="105" t="s">
        <v>45</v>
      </c>
      <c r="K185" s="267"/>
      <c r="L185" s="246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1" t="str">
        <f t="shared" si="55"/>
        <v/>
      </c>
      <c r="Z185" s="252" t="str">
        <f t="shared" si="56"/>
        <v/>
      </c>
      <c r="AA185" s="252" t="str">
        <f t="shared" si="57"/>
        <v/>
      </c>
      <c r="AB185" s="252" t="str">
        <f t="shared" si="58"/>
        <v/>
      </c>
      <c r="AJ185" s="121" t="str">
        <f>IF('Cable Info'!L185="","",CONCATENATE('Cable Info'!L185," - ",'Cable Info'!M185))</f>
        <v>184 - AW</v>
      </c>
      <c r="AM185" s="121" t="str">
        <f t="shared" si="59"/>
        <v>184 - AW</v>
      </c>
      <c r="AO185" s="121" t="str">
        <f>IF('Cable Info'!N185="","",CONCATENATE('Cable Info'!N185," - ",'Cable Info'!O185))</f>
        <v>184 - AW</v>
      </c>
      <c r="AR185" s="121" t="str">
        <f t="shared" si="60"/>
        <v>184 - AW</v>
      </c>
      <c r="AT185" s="121" t="str">
        <f>IF('Cable Info'!P185="","",CONCATENATE('Cable Info'!P185," - ",'Cable Info'!Q185))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Info'!R185="","",CONCATENATE('Cable Info'!R185," - ",'Cable Info'!S185))</f>
        <v/>
      </c>
      <c r="BB185" s="121" t="str">
        <f t="shared" si="62"/>
        <v/>
      </c>
      <c r="BD185" s="121" t="str">
        <f>IF('Cable Info'!T185="","",CONCATENATE('Cable Info'!T185," - ",'Cable Info'!U185))</f>
        <v/>
      </c>
      <c r="BG185" s="121" t="str">
        <f t="shared" si="63"/>
        <v/>
      </c>
      <c r="BI185" s="121" t="str">
        <f>IF('Cable Info'!V185="","",CONCATENATE('Cable Info'!V185," - ",'Cable Info'!W185))</f>
        <v/>
      </c>
      <c r="BL185" s="121" t="str">
        <f t="shared" si="64"/>
        <v/>
      </c>
      <c r="CL185" s="250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59"/>
      <c r="F186" s="105" t="s">
        <v>45</v>
      </c>
      <c r="G186" s="262"/>
      <c r="H186" s="115" t="str">
        <f t="shared" si="53"/>
        <v/>
      </c>
      <c r="I186" s="264"/>
      <c r="J186" s="105" t="s">
        <v>45</v>
      </c>
      <c r="K186" s="267"/>
      <c r="L186" s="246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1" t="str">
        <f t="shared" si="55"/>
        <v/>
      </c>
      <c r="Z186" s="252" t="str">
        <f t="shared" si="56"/>
        <v/>
      </c>
      <c r="AA186" s="252" t="str">
        <f t="shared" si="57"/>
        <v/>
      </c>
      <c r="AB186" s="252" t="str">
        <f t="shared" si="58"/>
        <v/>
      </c>
      <c r="AJ186" s="121" t="str">
        <f>IF('Cable Info'!L186="","",CONCATENATE('Cable Info'!L186," - ",'Cable Info'!M186))</f>
        <v>185 - AW</v>
      </c>
      <c r="AM186" s="121" t="str">
        <f t="shared" si="59"/>
        <v>185 - AW</v>
      </c>
      <c r="AO186" s="121" t="str">
        <f>IF('Cable Info'!N186="","",CONCATENATE('Cable Info'!N186," - ",'Cable Info'!O186))</f>
        <v>185 - AW</v>
      </c>
      <c r="AR186" s="121" t="str">
        <f t="shared" si="60"/>
        <v>185 - AW</v>
      </c>
      <c r="AT186" s="121" t="str">
        <f>IF('Cable Info'!P186="","",CONCATENATE('Cable Info'!P186," - ",'Cable Info'!Q186))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Info'!R186="","",CONCATENATE('Cable Info'!R186," - ",'Cable Info'!S186))</f>
        <v/>
      </c>
      <c r="BB186" s="121" t="str">
        <f t="shared" si="62"/>
        <v/>
      </c>
      <c r="BD186" s="121" t="str">
        <f>IF('Cable Info'!T186="","",CONCATENATE('Cable Info'!T186," - ",'Cable Info'!U186))</f>
        <v/>
      </c>
      <c r="BG186" s="121" t="str">
        <f t="shared" si="63"/>
        <v/>
      </c>
      <c r="BI186" s="121" t="str">
        <f>IF('Cable Info'!V186="","",CONCATENATE('Cable Info'!V186," - ",'Cable Info'!W186))</f>
        <v/>
      </c>
      <c r="BL186" s="121" t="str">
        <f t="shared" si="64"/>
        <v/>
      </c>
      <c r="CL186" s="250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59"/>
      <c r="F187" s="105" t="s">
        <v>45</v>
      </c>
      <c r="G187" s="262"/>
      <c r="H187" s="115" t="str">
        <f t="shared" si="53"/>
        <v/>
      </c>
      <c r="I187" s="264"/>
      <c r="J187" s="105" t="s">
        <v>45</v>
      </c>
      <c r="K187" s="267"/>
      <c r="L187" s="246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1" t="str">
        <f t="shared" si="55"/>
        <v/>
      </c>
      <c r="Z187" s="252" t="str">
        <f t="shared" si="56"/>
        <v/>
      </c>
      <c r="AA187" s="252" t="str">
        <f t="shared" si="57"/>
        <v/>
      </c>
      <c r="AB187" s="252" t="str">
        <f t="shared" si="58"/>
        <v/>
      </c>
      <c r="AJ187" s="121" t="str">
        <f>IF('Cable Info'!L187="","",CONCATENATE('Cable Info'!L187," - ",'Cable Info'!M187))</f>
        <v>186 - AW</v>
      </c>
      <c r="AM187" s="121" t="str">
        <f t="shared" si="59"/>
        <v>186 - AW</v>
      </c>
      <c r="AO187" s="121" t="str">
        <f>IF('Cable Info'!N187="","",CONCATENATE('Cable Info'!N187," - ",'Cable Info'!O187))</f>
        <v>186 - AW</v>
      </c>
      <c r="AR187" s="121" t="str">
        <f t="shared" si="60"/>
        <v>186 - AW</v>
      </c>
      <c r="AT187" s="121" t="str">
        <f>IF('Cable Info'!P187="","",CONCATENATE('Cable Info'!P187," - ",'Cable Info'!Q187))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Info'!R187="","",CONCATENATE('Cable Info'!R187," - ",'Cable Info'!S187))</f>
        <v/>
      </c>
      <c r="BB187" s="121" t="str">
        <f t="shared" si="62"/>
        <v/>
      </c>
      <c r="BD187" s="121" t="str">
        <f>IF('Cable Info'!T187="","",CONCATENATE('Cable Info'!T187," - ",'Cable Info'!U187))</f>
        <v/>
      </c>
      <c r="BG187" s="121" t="str">
        <f t="shared" si="63"/>
        <v/>
      </c>
      <c r="BI187" s="121" t="str">
        <f>IF('Cable Info'!V187="","",CONCATENATE('Cable Info'!V187," - ",'Cable Info'!W187))</f>
        <v/>
      </c>
      <c r="BL187" s="121" t="str">
        <f t="shared" si="64"/>
        <v/>
      </c>
      <c r="CL187" s="250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59"/>
      <c r="F188" s="105" t="s">
        <v>45</v>
      </c>
      <c r="G188" s="262"/>
      <c r="H188" s="115" t="str">
        <f t="shared" si="53"/>
        <v/>
      </c>
      <c r="I188" s="264"/>
      <c r="J188" s="105" t="s">
        <v>45</v>
      </c>
      <c r="K188" s="267"/>
      <c r="L188" s="246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1" t="str">
        <f t="shared" si="55"/>
        <v/>
      </c>
      <c r="Z188" s="252" t="str">
        <f t="shared" si="56"/>
        <v/>
      </c>
      <c r="AA188" s="252" t="str">
        <f t="shared" si="57"/>
        <v/>
      </c>
      <c r="AB188" s="252" t="str">
        <f t="shared" si="58"/>
        <v/>
      </c>
      <c r="AJ188" s="121" t="str">
        <f>IF('Cable Info'!L188="","",CONCATENATE('Cable Info'!L188," - ",'Cable Info'!M188))</f>
        <v>187 - AW</v>
      </c>
      <c r="AM188" s="121" t="str">
        <f t="shared" si="59"/>
        <v>187 - AW</v>
      </c>
      <c r="AO188" s="121" t="str">
        <f>IF('Cable Info'!N188="","",CONCATENATE('Cable Info'!N188," - ",'Cable Info'!O188))</f>
        <v>187 - AW</v>
      </c>
      <c r="AR188" s="121" t="str">
        <f t="shared" si="60"/>
        <v>187 - AW</v>
      </c>
      <c r="AT188" s="121" t="str">
        <f>IF('Cable Info'!P188="","",CONCATENATE('Cable Info'!P188," - ",'Cable Info'!Q188))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Info'!R188="","",CONCATENATE('Cable Info'!R188," - ",'Cable Info'!S188))</f>
        <v/>
      </c>
      <c r="BB188" s="121" t="str">
        <f t="shared" si="62"/>
        <v/>
      </c>
      <c r="BD188" s="121" t="str">
        <f>IF('Cable Info'!T188="","",CONCATENATE('Cable Info'!T188," - ",'Cable Info'!U188))</f>
        <v/>
      </c>
      <c r="BG188" s="121" t="str">
        <f t="shared" si="63"/>
        <v/>
      </c>
      <c r="BI188" s="121" t="str">
        <f>IF('Cable Info'!V188="","",CONCATENATE('Cable Info'!V188," - ",'Cable Info'!W188))</f>
        <v/>
      </c>
      <c r="BL188" s="121" t="str">
        <f t="shared" si="64"/>
        <v/>
      </c>
      <c r="CL188" s="250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59"/>
      <c r="F189" s="105" t="s">
        <v>45</v>
      </c>
      <c r="G189" s="262"/>
      <c r="H189" s="115" t="str">
        <f t="shared" si="53"/>
        <v/>
      </c>
      <c r="I189" s="264"/>
      <c r="J189" s="105" t="s">
        <v>45</v>
      </c>
      <c r="K189" s="267"/>
      <c r="L189" s="246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1" t="str">
        <f t="shared" si="55"/>
        <v/>
      </c>
      <c r="Z189" s="252" t="str">
        <f t="shared" si="56"/>
        <v/>
      </c>
      <c r="AA189" s="252" t="str">
        <f t="shared" si="57"/>
        <v/>
      </c>
      <c r="AB189" s="252" t="str">
        <f t="shared" si="58"/>
        <v/>
      </c>
      <c r="AJ189" s="121" t="str">
        <f>IF('Cable Info'!L189="","",CONCATENATE('Cable Info'!L189," - ",'Cable Info'!M189))</f>
        <v>188 - AW</v>
      </c>
      <c r="AM189" s="121" t="str">
        <f t="shared" si="59"/>
        <v>188 - AW</v>
      </c>
      <c r="AO189" s="121" t="str">
        <f>IF('Cable Info'!N189="","",CONCATENATE('Cable Info'!N189," - ",'Cable Info'!O189))</f>
        <v>188 - AW</v>
      </c>
      <c r="AR189" s="121" t="str">
        <f t="shared" si="60"/>
        <v>188 - AW</v>
      </c>
      <c r="AT189" s="121" t="str">
        <f>IF('Cable Info'!P189="","",CONCATENATE('Cable Info'!P189," - ",'Cable Info'!Q189))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Info'!R189="","",CONCATENATE('Cable Info'!R189," - ",'Cable Info'!S189))</f>
        <v/>
      </c>
      <c r="BB189" s="121" t="str">
        <f t="shared" si="62"/>
        <v/>
      </c>
      <c r="BD189" s="121" t="str">
        <f>IF('Cable Info'!T189="","",CONCATENATE('Cable Info'!T189," - ",'Cable Info'!U189))</f>
        <v/>
      </c>
      <c r="BG189" s="121" t="str">
        <f t="shared" si="63"/>
        <v/>
      </c>
      <c r="BI189" s="121" t="str">
        <f>IF('Cable Info'!V189="","",CONCATENATE('Cable Info'!V189," - ",'Cable Info'!W189))</f>
        <v/>
      </c>
      <c r="BL189" s="121" t="str">
        <f t="shared" si="64"/>
        <v/>
      </c>
      <c r="CL189" s="250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59"/>
      <c r="F190" s="105" t="s">
        <v>45</v>
      </c>
      <c r="G190" s="262"/>
      <c r="H190" s="115" t="str">
        <f t="shared" si="53"/>
        <v/>
      </c>
      <c r="I190" s="264"/>
      <c r="J190" s="105" t="s">
        <v>45</v>
      </c>
      <c r="K190" s="267"/>
      <c r="L190" s="246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1" t="str">
        <f t="shared" si="55"/>
        <v/>
      </c>
      <c r="Z190" s="252" t="str">
        <f t="shared" si="56"/>
        <v/>
      </c>
      <c r="AA190" s="252" t="str">
        <f t="shared" si="57"/>
        <v/>
      </c>
      <c r="AB190" s="252" t="str">
        <f t="shared" si="58"/>
        <v/>
      </c>
      <c r="AJ190" s="121" t="str">
        <f>IF('Cable Info'!L190="","",CONCATENATE('Cable Info'!L190," - ",'Cable Info'!M190))</f>
        <v>189 - AW</v>
      </c>
      <c r="AM190" s="121" t="str">
        <f t="shared" si="59"/>
        <v>189 - AW</v>
      </c>
      <c r="AO190" s="121" t="str">
        <f>IF('Cable Info'!N190="","",CONCATENATE('Cable Info'!N190," - ",'Cable Info'!O190))</f>
        <v>189 - AW</v>
      </c>
      <c r="AR190" s="121" t="str">
        <f t="shared" si="60"/>
        <v>189 - AW</v>
      </c>
      <c r="AT190" s="121" t="str">
        <f>IF('Cable Info'!P190="","",CONCATENATE('Cable Info'!P190," - ",'Cable Info'!Q190))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Info'!R190="","",CONCATENATE('Cable Info'!R190," - ",'Cable Info'!S190))</f>
        <v/>
      </c>
      <c r="BB190" s="121" t="str">
        <f t="shared" si="62"/>
        <v/>
      </c>
      <c r="BD190" s="121" t="str">
        <f>IF('Cable Info'!T190="","",CONCATENATE('Cable Info'!T190," - ",'Cable Info'!U190))</f>
        <v/>
      </c>
      <c r="BG190" s="121" t="str">
        <f t="shared" si="63"/>
        <v/>
      </c>
      <c r="BI190" s="121" t="str">
        <f>IF('Cable Info'!V190="","",CONCATENATE('Cable Info'!V190," - ",'Cable Info'!W190))</f>
        <v/>
      </c>
      <c r="BL190" s="121" t="str">
        <f t="shared" si="64"/>
        <v/>
      </c>
      <c r="CL190" s="250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59"/>
      <c r="F191" s="105" t="s">
        <v>45</v>
      </c>
      <c r="G191" s="262"/>
      <c r="H191" s="115" t="str">
        <f t="shared" si="53"/>
        <v/>
      </c>
      <c r="I191" s="264"/>
      <c r="J191" s="105" t="s">
        <v>45</v>
      </c>
      <c r="K191" s="267"/>
      <c r="L191" s="246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1" t="str">
        <f t="shared" si="55"/>
        <v/>
      </c>
      <c r="Z191" s="252" t="str">
        <f t="shared" si="56"/>
        <v/>
      </c>
      <c r="AA191" s="252" t="str">
        <f t="shared" si="57"/>
        <v/>
      </c>
      <c r="AB191" s="252" t="str">
        <f t="shared" si="58"/>
        <v/>
      </c>
      <c r="AJ191" s="121" t="str">
        <f>IF('Cable Info'!L191="","",CONCATENATE('Cable Info'!L191," - ",'Cable Info'!M191))</f>
        <v>190 - AW</v>
      </c>
      <c r="AM191" s="121" t="str">
        <f t="shared" si="59"/>
        <v>190 - AW</v>
      </c>
      <c r="AO191" s="121" t="str">
        <f>IF('Cable Info'!N191="","",CONCATENATE('Cable Info'!N191," - ",'Cable Info'!O191))</f>
        <v>190 - AW</v>
      </c>
      <c r="AR191" s="121" t="str">
        <f t="shared" si="60"/>
        <v>190 - AW</v>
      </c>
      <c r="AT191" s="121" t="str">
        <f>IF('Cable Info'!P191="","",CONCATENATE('Cable Info'!P191," - ",'Cable Info'!Q191))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Info'!R191="","",CONCATENATE('Cable Info'!R191," - ",'Cable Info'!S191))</f>
        <v/>
      </c>
      <c r="BB191" s="121" t="str">
        <f t="shared" si="62"/>
        <v/>
      </c>
      <c r="BD191" s="121" t="str">
        <f>IF('Cable Info'!T191="","",CONCATENATE('Cable Info'!T191," - ",'Cable Info'!U191))</f>
        <v/>
      </c>
      <c r="BG191" s="121" t="str">
        <f t="shared" si="63"/>
        <v/>
      </c>
      <c r="BI191" s="121" t="str">
        <f>IF('Cable Info'!V191="","",CONCATENATE('Cable Info'!V191," - ",'Cable Info'!W191))</f>
        <v/>
      </c>
      <c r="BL191" s="121" t="str">
        <f t="shared" si="64"/>
        <v/>
      </c>
      <c r="CL191" s="250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59"/>
      <c r="F192" s="105" t="s">
        <v>45</v>
      </c>
      <c r="G192" s="262"/>
      <c r="H192" s="115" t="str">
        <f t="shared" si="53"/>
        <v/>
      </c>
      <c r="I192" s="264"/>
      <c r="J192" s="105" t="s">
        <v>45</v>
      </c>
      <c r="K192" s="267"/>
      <c r="L192" s="246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1" t="str">
        <f t="shared" si="55"/>
        <v/>
      </c>
      <c r="Z192" s="252" t="str">
        <f t="shared" si="56"/>
        <v/>
      </c>
      <c r="AA192" s="252" t="str">
        <f t="shared" si="57"/>
        <v/>
      </c>
      <c r="AB192" s="252" t="str">
        <f t="shared" si="58"/>
        <v/>
      </c>
      <c r="AJ192" s="121" t="str">
        <f>IF('Cable Info'!L192="","",CONCATENATE('Cable Info'!L192," - ",'Cable Info'!M192))</f>
        <v>191 - AW</v>
      </c>
      <c r="AM192" s="121" t="str">
        <f t="shared" si="59"/>
        <v>191 - AW</v>
      </c>
      <c r="AO192" s="121" t="str">
        <f>IF('Cable Info'!N192="","",CONCATENATE('Cable Info'!N192," - ",'Cable Info'!O192))</f>
        <v>191 - AW</v>
      </c>
      <c r="AR192" s="121" t="str">
        <f t="shared" si="60"/>
        <v>191 - AW</v>
      </c>
      <c r="AT192" s="121" t="str">
        <f>IF('Cable Info'!P192="","",CONCATENATE('Cable Info'!P192," - ",'Cable Info'!Q192))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Info'!R192="","",CONCATENATE('Cable Info'!R192," - ",'Cable Info'!S192))</f>
        <v/>
      </c>
      <c r="BB192" s="121" t="str">
        <f t="shared" si="62"/>
        <v/>
      </c>
      <c r="BD192" s="121" t="str">
        <f>IF('Cable Info'!T192="","",CONCATENATE('Cable Info'!T192," - ",'Cable Info'!U192))</f>
        <v/>
      </c>
      <c r="BG192" s="121" t="str">
        <f t="shared" si="63"/>
        <v/>
      </c>
      <c r="BI192" s="121" t="str">
        <f>IF('Cable Info'!V192="","",CONCATENATE('Cable Info'!V192," - ",'Cable Info'!W192))</f>
        <v/>
      </c>
      <c r="BL192" s="121" t="str">
        <f t="shared" si="64"/>
        <v/>
      </c>
      <c r="CL192" s="250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59"/>
      <c r="F193" s="105" t="s">
        <v>45</v>
      </c>
      <c r="G193" s="262"/>
      <c r="H193" s="115" t="str">
        <f t="shared" si="53"/>
        <v/>
      </c>
      <c r="I193" s="264"/>
      <c r="J193" s="105" t="s">
        <v>45</v>
      </c>
      <c r="K193" s="267"/>
      <c r="L193" s="246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1" t="str">
        <f t="shared" si="55"/>
        <v/>
      </c>
      <c r="Z193" s="252" t="str">
        <f t="shared" si="56"/>
        <v/>
      </c>
      <c r="AA193" s="252" t="str">
        <f t="shared" si="57"/>
        <v/>
      </c>
      <c r="AB193" s="252" t="str">
        <f t="shared" si="58"/>
        <v/>
      </c>
      <c r="AJ193" s="121" t="str">
        <f>IF('Cable Info'!L193="","",CONCATENATE('Cable Info'!L193," - ",'Cable Info'!M193))</f>
        <v>192 - AW</v>
      </c>
      <c r="AM193" s="121" t="str">
        <f t="shared" si="59"/>
        <v>192 - AW</v>
      </c>
      <c r="AO193" s="121" t="str">
        <f>IF('Cable Info'!N193="","",CONCATENATE('Cable Info'!N193," - ",'Cable Info'!O193))</f>
        <v>192 - AW</v>
      </c>
      <c r="AR193" s="121" t="str">
        <f t="shared" si="60"/>
        <v>192 - AW</v>
      </c>
      <c r="AT193" s="121" t="str">
        <f>IF('Cable Info'!P193="","",CONCATENATE('Cable Info'!P193," - ",'Cable Info'!Q193))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Info'!R193="","",CONCATENATE('Cable Info'!R193," - ",'Cable Info'!S193))</f>
        <v/>
      </c>
      <c r="BB193" s="121" t="str">
        <f t="shared" si="62"/>
        <v/>
      </c>
      <c r="BD193" s="121" t="str">
        <f>IF('Cable Info'!T193="","",CONCATENATE('Cable Info'!T193," - ",'Cable Info'!U193))</f>
        <v/>
      </c>
      <c r="BG193" s="121" t="str">
        <f t="shared" si="63"/>
        <v/>
      </c>
      <c r="BI193" s="121" t="str">
        <f>IF('Cable Info'!V193="","",CONCATENATE('Cable Info'!V193," - ",'Cable Info'!W193))</f>
        <v/>
      </c>
      <c r="BL193" s="121" t="str">
        <f t="shared" si="64"/>
        <v/>
      </c>
      <c r="CL193" s="250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59"/>
      <c r="F194" s="105" t="s">
        <v>45</v>
      </c>
      <c r="G194" s="262"/>
      <c r="H194" s="115" t="str">
        <f t="shared" si="53"/>
        <v/>
      </c>
      <c r="I194" s="264"/>
      <c r="J194" s="105" t="s">
        <v>45</v>
      </c>
      <c r="K194" s="267"/>
      <c r="L194" s="246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1" t="str">
        <f t="shared" si="55"/>
        <v/>
      </c>
      <c r="Z194" s="252" t="str">
        <f t="shared" si="56"/>
        <v/>
      </c>
      <c r="AA194" s="252" t="str">
        <f t="shared" si="57"/>
        <v/>
      </c>
      <c r="AB194" s="252" t="str">
        <f t="shared" si="58"/>
        <v/>
      </c>
      <c r="AJ194" s="121" t="str">
        <f>IF('Cable Info'!L194="","",CONCATENATE('Cable Info'!L194," - ",'Cable Info'!M194))</f>
        <v>193 - AW</v>
      </c>
      <c r="AM194" s="121" t="str">
        <f t="shared" si="59"/>
        <v>193 - AW</v>
      </c>
      <c r="AO194" s="121" t="str">
        <f>IF('Cable Info'!N194="","",CONCATENATE('Cable Info'!N194," - ",'Cable Info'!O194))</f>
        <v>193 - AW</v>
      </c>
      <c r="AR194" s="121" t="str">
        <f t="shared" si="60"/>
        <v>193 - AW</v>
      </c>
      <c r="AT194" s="121" t="str">
        <f>IF('Cable Info'!P194="","",CONCATENATE('Cable Info'!P194," - ",'Cable Info'!Q194))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Info'!R194="","",CONCATENATE('Cable Info'!R194," - ",'Cable Info'!S194))</f>
        <v/>
      </c>
      <c r="BB194" s="121" t="str">
        <f t="shared" si="62"/>
        <v/>
      </c>
      <c r="BD194" s="121" t="str">
        <f>IF('Cable Info'!T194="","",CONCATENATE('Cable Info'!T194," - ",'Cable Info'!U194))</f>
        <v/>
      </c>
      <c r="BG194" s="121" t="str">
        <f t="shared" si="63"/>
        <v/>
      </c>
      <c r="BI194" s="121" t="str">
        <f>IF('Cable Info'!V194="","",CONCATENATE('Cable Info'!V194," - ",'Cable Info'!W194))</f>
        <v/>
      </c>
      <c r="BL194" s="121" t="str">
        <f t="shared" si="64"/>
        <v/>
      </c>
      <c r="CL194" s="250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59"/>
      <c r="F195" s="105" t="s">
        <v>45</v>
      </c>
      <c r="G195" s="262"/>
      <c r="H195" s="115" t="str">
        <f t="shared" si="53"/>
        <v/>
      </c>
      <c r="I195" s="264"/>
      <c r="J195" s="105" t="s">
        <v>45</v>
      </c>
      <c r="K195" s="267"/>
      <c r="L195" s="246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1" t="str">
        <f t="shared" si="55"/>
        <v/>
      </c>
      <c r="Z195" s="252" t="str">
        <f t="shared" si="56"/>
        <v/>
      </c>
      <c r="AA195" s="252" t="str">
        <f t="shared" si="57"/>
        <v/>
      </c>
      <c r="AB195" s="252" t="str">
        <f t="shared" si="58"/>
        <v/>
      </c>
      <c r="AJ195" s="121" t="str">
        <f>IF('Cable Info'!L195="","",CONCATENATE('Cable Info'!L195," - ",'Cable Info'!M195))</f>
        <v>194 - AW</v>
      </c>
      <c r="AM195" s="121" t="str">
        <f t="shared" si="59"/>
        <v>194 - AW</v>
      </c>
      <c r="AO195" s="121" t="str">
        <f>IF('Cable Info'!N195="","",CONCATENATE('Cable Info'!N195," - ",'Cable Info'!O195))</f>
        <v>194 - AW</v>
      </c>
      <c r="AR195" s="121" t="str">
        <f t="shared" si="60"/>
        <v>194 - AW</v>
      </c>
      <c r="AT195" s="121" t="str">
        <f>IF('Cable Info'!P195="","",CONCATENATE('Cable Info'!P195," - ",'Cable Info'!Q195))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Info'!R195="","",CONCATENATE('Cable Info'!R195," - ",'Cable Info'!S195))</f>
        <v/>
      </c>
      <c r="BB195" s="121" t="str">
        <f t="shared" si="62"/>
        <v/>
      </c>
      <c r="BD195" s="121" t="str">
        <f>IF('Cable Info'!T195="","",CONCATENATE('Cable Info'!T195," - ",'Cable Info'!U195))</f>
        <v/>
      </c>
      <c r="BG195" s="121" t="str">
        <f t="shared" si="63"/>
        <v/>
      </c>
      <c r="BI195" s="121" t="str">
        <f>IF('Cable Info'!V195="","",CONCATENATE('Cable Info'!V195," - ",'Cable Info'!W195))</f>
        <v/>
      </c>
      <c r="BL195" s="121" t="str">
        <f t="shared" si="64"/>
        <v/>
      </c>
      <c r="CL195" s="250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59"/>
      <c r="F196" s="105" t="s">
        <v>45</v>
      </c>
      <c r="G196" s="262"/>
      <c r="H196" s="115" t="str">
        <f t="shared" si="53"/>
        <v/>
      </c>
      <c r="I196" s="264"/>
      <c r="J196" s="105" t="s">
        <v>45</v>
      </c>
      <c r="K196" s="267"/>
      <c r="L196" s="246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1" t="str">
        <f t="shared" si="55"/>
        <v/>
      </c>
      <c r="Z196" s="252" t="str">
        <f t="shared" si="56"/>
        <v/>
      </c>
      <c r="AA196" s="252" t="str">
        <f t="shared" si="57"/>
        <v/>
      </c>
      <c r="AB196" s="252" t="str">
        <f t="shared" si="58"/>
        <v/>
      </c>
      <c r="AJ196" s="121" t="str">
        <f>IF('Cable Info'!L196="","",CONCATENATE('Cable Info'!L196," - ",'Cable Info'!M196))</f>
        <v>195 - AW</v>
      </c>
      <c r="AM196" s="121" t="str">
        <f t="shared" si="59"/>
        <v>195 - AW</v>
      </c>
      <c r="AO196" s="121" t="str">
        <f>IF('Cable Info'!N196="","",CONCATENATE('Cable Info'!N196," - ",'Cable Info'!O196))</f>
        <v>195 - AW</v>
      </c>
      <c r="AR196" s="121" t="str">
        <f t="shared" si="60"/>
        <v>195 - AW</v>
      </c>
      <c r="AT196" s="121" t="str">
        <f>IF('Cable Info'!P196="","",CONCATENATE('Cable Info'!P196," - ",'Cable Info'!Q196))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Info'!R196="","",CONCATENATE('Cable Info'!R196," - ",'Cable Info'!S196))</f>
        <v/>
      </c>
      <c r="BB196" s="121" t="str">
        <f t="shared" si="62"/>
        <v/>
      </c>
      <c r="BD196" s="121" t="str">
        <f>IF('Cable Info'!T196="","",CONCATENATE('Cable Info'!T196," - ",'Cable Info'!U196))</f>
        <v/>
      </c>
      <c r="BG196" s="121" t="str">
        <f t="shared" si="63"/>
        <v/>
      </c>
      <c r="BI196" s="121" t="str">
        <f>IF('Cable Info'!V196="","",CONCATENATE('Cable Info'!V196," - ",'Cable Info'!W196))</f>
        <v/>
      </c>
      <c r="BL196" s="121" t="str">
        <f t="shared" si="64"/>
        <v/>
      </c>
      <c r="CL196" s="250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59"/>
      <c r="F197" s="105" t="s">
        <v>45</v>
      </c>
      <c r="G197" s="262"/>
      <c r="H197" s="115" t="str">
        <f t="shared" si="53"/>
        <v/>
      </c>
      <c r="I197" s="264"/>
      <c r="J197" s="105" t="s">
        <v>45</v>
      </c>
      <c r="K197" s="267"/>
      <c r="L197" s="246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1" t="str">
        <f t="shared" si="55"/>
        <v/>
      </c>
      <c r="Z197" s="252" t="str">
        <f t="shared" si="56"/>
        <v/>
      </c>
      <c r="AA197" s="252" t="str">
        <f t="shared" si="57"/>
        <v/>
      </c>
      <c r="AB197" s="252" t="str">
        <f t="shared" si="58"/>
        <v/>
      </c>
      <c r="AJ197" s="121" t="str">
        <f>IF('Cable Info'!L197="","",CONCATENATE('Cable Info'!L197," - ",'Cable Info'!M197))</f>
        <v>196 - AW</v>
      </c>
      <c r="AM197" s="121" t="str">
        <f t="shared" si="59"/>
        <v>196 - AW</v>
      </c>
      <c r="AO197" s="121" t="str">
        <f>IF('Cable Info'!N197="","",CONCATENATE('Cable Info'!N197," - ",'Cable Info'!O197))</f>
        <v>196 - AW</v>
      </c>
      <c r="AR197" s="121" t="str">
        <f t="shared" si="60"/>
        <v>196 - AW</v>
      </c>
      <c r="AT197" s="121" t="str">
        <f>IF('Cable Info'!P197="","",CONCATENATE('Cable Info'!P197," - ",'Cable Info'!Q197))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Info'!R197="","",CONCATENATE('Cable Info'!R197," - ",'Cable Info'!S197))</f>
        <v/>
      </c>
      <c r="BB197" s="121" t="str">
        <f t="shared" si="62"/>
        <v/>
      </c>
      <c r="BD197" s="121" t="str">
        <f>IF('Cable Info'!T197="","",CONCATENATE('Cable Info'!T197," - ",'Cable Info'!U197))</f>
        <v/>
      </c>
      <c r="BG197" s="121" t="str">
        <f t="shared" si="63"/>
        <v/>
      </c>
      <c r="BI197" s="121" t="str">
        <f>IF('Cable Info'!V197="","",CONCATENATE('Cable Info'!V197," - ",'Cable Info'!W197))</f>
        <v/>
      </c>
      <c r="BL197" s="121" t="str">
        <f t="shared" si="64"/>
        <v/>
      </c>
      <c r="CL197" s="250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59"/>
      <c r="F198" s="105" t="s">
        <v>45</v>
      </c>
      <c r="G198" s="262"/>
      <c r="H198" s="115" t="str">
        <f t="shared" si="53"/>
        <v/>
      </c>
      <c r="I198" s="264"/>
      <c r="J198" s="105" t="s">
        <v>45</v>
      </c>
      <c r="K198" s="267"/>
      <c r="L198" s="246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1" t="str">
        <f t="shared" si="55"/>
        <v/>
      </c>
      <c r="Z198" s="252" t="str">
        <f t="shared" si="56"/>
        <v/>
      </c>
      <c r="AA198" s="252" t="str">
        <f t="shared" si="57"/>
        <v/>
      </c>
      <c r="AB198" s="252" t="str">
        <f t="shared" si="58"/>
        <v/>
      </c>
      <c r="AJ198" s="121" t="str">
        <f>IF('Cable Info'!L198="","",CONCATENATE('Cable Info'!L198," - ",'Cable Info'!M198))</f>
        <v>197 - AW</v>
      </c>
      <c r="AM198" s="121" t="str">
        <f t="shared" si="59"/>
        <v>197 - AW</v>
      </c>
      <c r="AO198" s="121" t="str">
        <f>IF('Cable Info'!N198="","",CONCATENATE('Cable Info'!N198," - ",'Cable Info'!O198))</f>
        <v>197 - AW</v>
      </c>
      <c r="AR198" s="121" t="str">
        <f t="shared" si="60"/>
        <v>197 - AW</v>
      </c>
      <c r="AT198" s="121" t="str">
        <f>IF('Cable Info'!P198="","",CONCATENATE('Cable Info'!P198," - ",'Cable Info'!Q198))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Info'!R198="","",CONCATENATE('Cable Info'!R198," - ",'Cable Info'!S198))</f>
        <v/>
      </c>
      <c r="BB198" s="121" t="str">
        <f t="shared" si="62"/>
        <v/>
      </c>
      <c r="BD198" s="121" t="str">
        <f>IF('Cable Info'!T198="","",CONCATENATE('Cable Info'!T198," - ",'Cable Info'!U198))</f>
        <v/>
      </c>
      <c r="BG198" s="121" t="str">
        <f t="shared" si="63"/>
        <v/>
      </c>
      <c r="BI198" s="121" t="str">
        <f>IF('Cable Info'!V198="","",CONCATENATE('Cable Info'!V198," - ",'Cable Info'!W198))</f>
        <v/>
      </c>
      <c r="BL198" s="121" t="str">
        <f t="shared" si="64"/>
        <v/>
      </c>
      <c r="CL198" s="250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59"/>
      <c r="F199" s="105" t="s">
        <v>45</v>
      </c>
      <c r="G199" s="262"/>
      <c r="H199" s="115" t="str">
        <f t="shared" si="53"/>
        <v/>
      </c>
      <c r="I199" s="264"/>
      <c r="J199" s="105" t="s">
        <v>45</v>
      </c>
      <c r="K199" s="267"/>
      <c r="L199" s="246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1" t="str">
        <f t="shared" si="55"/>
        <v/>
      </c>
      <c r="Z199" s="252" t="str">
        <f t="shared" si="56"/>
        <v/>
      </c>
      <c r="AA199" s="252" t="str">
        <f t="shared" si="57"/>
        <v/>
      </c>
      <c r="AB199" s="252" t="str">
        <f t="shared" si="58"/>
        <v/>
      </c>
      <c r="AJ199" s="121" t="str">
        <f>IF('Cable Info'!L199="","",CONCATENATE('Cable Info'!L199," - ",'Cable Info'!M199))</f>
        <v>198 - AW</v>
      </c>
      <c r="AM199" s="121" t="str">
        <f t="shared" si="59"/>
        <v>198 - AW</v>
      </c>
      <c r="AO199" s="121" t="str">
        <f>IF('Cable Info'!N199="","",CONCATENATE('Cable Info'!N199," - ",'Cable Info'!O199))</f>
        <v>198 - AW</v>
      </c>
      <c r="AR199" s="121" t="str">
        <f t="shared" si="60"/>
        <v>198 - AW</v>
      </c>
      <c r="AT199" s="121" t="str">
        <f>IF('Cable Info'!P199="","",CONCATENATE('Cable Info'!P199," - ",'Cable Info'!Q199))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Info'!R199="","",CONCATENATE('Cable Info'!R199," - ",'Cable Info'!S199))</f>
        <v/>
      </c>
      <c r="BB199" s="121" t="str">
        <f t="shared" si="62"/>
        <v/>
      </c>
      <c r="BD199" s="121" t="str">
        <f>IF('Cable Info'!T199="","",CONCATENATE('Cable Info'!T199," - ",'Cable Info'!U199))</f>
        <v/>
      </c>
      <c r="BG199" s="121" t="str">
        <f t="shared" si="63"/>
        <v/>
      </c>
      <c r="BI199" s="121" t="str">
        <f>IF('Cable Info'!V199="","",CONCATENATE('Cable Info'!V199," - ",'Cable Info'!W199))</f>
        <v/>
      </c>
      <c r="BL199" s="121" t="str">
        <f t="shared" si="64"/>
        <v/>
      </c>
      <c r="CL199" s="250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59"/>
      <c r="F200" s="105" t="s">
        <v>45</v>
      </c>
      <c r="G200" s="262"/>
      <c r="H200" s="115" t="str">
        <f t="shared" si="53"/>
        <v/>
      </c>
      <c r="I200" s="264"/>
      <c r="J200" s="105" t="s">
        <v>45</v>
      </c>
      <c r="K200" s="267"/>
      <c r="L200" s="246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1" t="str">
        <f t="shared" si="55"/>
        <v/>
      </c>
      <c r="Z200" s="252" t="str">
        <f t="shared" si="56"/>
        <v/>
      </c>
      <c r="AA200" s="252" t="str">
        <f t="shared" si="57"/>
        <v/>
      </c>
      <c r="AB200" s="252" t="str">
        <f t="shared" si="58"/>
        <v/>
      </c>
      <c r="AJ200" s="121" t="str">
        <f>IF('Cable Info'!L200="","",CONCATENATE('Cable Info'!L200," - ",'Cable Info'!M200))</f>
        <v>199 - AW</v>
      </c>
      <c r="AM200" s="121" t="str">
        <f t="shared" si="59"/>
        <v>199 - AW</v>
      </c>
      <c r="AO200" s="121" t="str">
        <f>IF('Cable Info'!N200="","",CONCATENATE('Cable Info'!N200," - ",'Cable Info'!O200))</f>
        <v>199 - AW</v>
      </c>
      <c r="AR200" s="121" t="str">
        <f t="shared" si="60"/>
        <v>199 - AW</v>
      </c>
      <c r="AT200" s="121" t="str">
        <f>IF('Cable Info'!P200="","",CONCATENATE('Cable Info'!P200," - ",'Cable Info'!Q200))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Info'!R200="","",CONCATENATE('Cable Info'!R200," - ",'Cable Info'!S200))</f>
        <v/>
      </c>
      <c r="BB200" s="121" t="str">
        <f t="shared" si="62"/>
        <v/>
      </c>
      <c r="BD200" s="121" t="str">
        <f>IF('Cable Info'!T200="","",CONCATENATE('Cable Info'!T200," - ",'Cable Info'!U200))</f>
        <v/>
      </c>
      <c r="BG200" s="121" t="str">
        <f t="shared" si="63"/>
        <v/>
      </c>
      <c r="BI200" s="121" t="str">
        <f>IF('Cable Info'!V200="","",CONCATENATE('Cable Info'!V200," - ",'Cable Info'!W200))</f>
        <v/>
      </c>
      <c r="BL200" s="121" t="str">
        <f t="shared" si="64"/>
        <v/>
      </c>
      <c r="CL200" s="250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59"/>
      <c r="F201" s="105" t="s">
        <v>45</v>
      </c>
      <c r="G201" s="262"/>
      <c r="H201" s="115" t="str">
        <f t="shared" si="53"/>
        <v/>
      </c>
      <c r="I201" s="264"/>
      <c r="J201" s="105" t="s">
        <v>45</v>
      </c>
      <c r="K201" s="267"/>
      <c r="L201" s="246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1" t="str">
        <f t="shared" si="55"/>
        <v/>
      </c>
      <c r="Z201" s="252" t="str">
        <f t="shared" si="56"/>
        <v/>
      </c>
      <c r="AA201" s="252" t="str">
        <f t="shared" si="57"/>
        <v/>
      </c>
      <c r="AB201" s="252" t="str">
        <f t="shared" si="58"/>
        <v/>
      </c>
      <c r="AJ201" s="121" t="str">
        <f>IF('Cable Info'!L201="","",CONCATENATE('Cable Info'!L201," - ",'Cable Info'!M201))</f>
        <v>200 - AW</v>
      </c>
      <c r="AM201" s="121" t="str">
        <f t="shared" si="59"/>
        <v>200 - AW</v>
      </c>
      <c r="AO201" s="121" t="str">
        <f>IF('Cable Info'!N201="","",CONCATENATE('Cable Info'!N201," - ",'Cable Info'!O201))</f>
        <v>200 - AW</v>
      </c>
      <c r="AR201" s="121" t="str">
        <f t="shared" si="60"/>
        <v>200 - AW</v>
      </c>
      <c r="AT201" s="121" t="str">
        <f>IF('Cable Info'!P201="","",CONCATENATE('Cable Info'!P201," - ",'Cable Info'!Q201))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Info'!R201="","",CONCATENATE('Cable Info'!R201," - ",'Cable Info'!S201))</f>
        <v/>
      </c>
      <c r="BB201" s="121" t="str">
        <f t="shared" si="62"/>
        <v/>
      </c>
      <c r="BD201" s="121" t="str">
        <f>IF('Cable Info'!T201="","",CONCATENATE('Cable Info'!T201," - ",'Cable Info'!U201))</f>
        <v/>
      </c>
      <c r="BG201" s="121" t="str">
        <f t="shared" si="63"/>
        <v/>
      </c>
      <c r="BI201" s="121" t="str">
        <f>IF('Cable Info'!V201="","",CONCATENATE('Cable Info'!V201," - ",'Cable Info'!W201))</f>
        <v/>
      </c>
      <c r="BL201" s="121" t="str">
        <f t="shared" si="64"/>
        <v/>
      </c>
      <c r="CL201" s="250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59"/>
      <c r="F202" s="105" t="s">
        <v>45</v>
      </c>
      <c r="G202" s="262"/>
      <c r="H202" s="115" t="str">
        <f t="shared" si="53"/>
        <v/>
      </c>
      <c r="I202" s="264"/>
      <c r="J202" s="105" t="s">
        <v>45</v>
      </c>
      <c r="K202" s="267"/>
      <c r="L202" s="246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1" t="str">
        <f t="shared" si="55"/>
        <v/>
      </c>
      <c r="Z202" s="252" t="str">
        <f t="shared" si="56"/>
        <v/>
      </c>
      <c r="AA202" s="252" t="str">
        <f t="shared" si="57"/>
        <v/>
      </c>
      <c r="AB202" s="252" t="str">
        <f t="shared" si="58"/>
        <v/>
      </c>
      <c r="AJ202" s="121" t="str">
        <f>IF('Cable Info'!L202="","",CONCATENATE('Cable Info'!L202," - ",'Cable Info'!M202))</f>
        <v>201 - AW</v>
      </c>
      <c r="AM202" s="121" t="str">
        <f t="shared" si="59"/>
        <v>201 - AW</v>
      </c>
      <c r="AO202" s="121" t="str">
        <f>IF('Cable Info'!N202="","",CONCATENATE('Cable Info'!N202," - ",'Cable Info'!O202))</f>
        <v>201 - AW</v>
      </c>
      <c r="AR202" s="121" t="str">
        <f t="shared" si="60"/>
        <v>201 - AW</v>
      </c>
      <c r="AT202" s="121" t="str">
        <f>IF('Cable Info'!P202="","",CONCATENATE('Cable Info'!P202," - ",'Cable Info'!Q202))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Info'!R202="","",CONCATENATE('Cable Info'!R202," - ",'Cable Info'!S202))</f>
        <v/>
      </c>
      <c r="BB202" s="121" t="str">
        <f t="shared" si="62"/>
        <v/>
      </c>
      <c r="BD202" s="121" t="str">
        <f>IF('Cable Info'!T202="","",CONCATENATE('Cable Info'!T202," - ",'Cable Info'!U202))</f>
        <v/>
      </c>
      <c r="BG202" s="121" t="str">
        <f t="shared" si="63"/>
        <v/>
      </c>
      <c r="BI202" s="121" t="str">
        <f>IF('Cable Info'!V202="","",CONCATENATE('Cable Info'!V202," - ",'Cable Info'!W202))</f>
        <v/>
      </c>
      <c r="BL202" s="121" t="str">
        <f t="shared" si="64"/>
        <v/>
      </c>
      <c r="CL202" s="250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59"/>
      <c r="F203" s="105" t="s">
        <v>45</v>
      </c>
      <c r="G203" s="262"/>
      <c r="H203" s="115" t="str">
        <f t="shared" si="53"/>
        <v/>
      </c>
      <c r="I203" s="264"/>
      <c r="J203" s="105" t="s">
        <v>45</v>
      </c>
      <c r="K203" s="267"/>
      <c r="L203" s="246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1" t="str">
        <f t="shared" si="55"/>
        <v/>
      </c>
      <c r="Z203" s="252" t="str">
        <f t="shared" si="56"/>
        <v/>
      </c>
      <c r="AA203" s="252" t="str">
        <f t="shared" si="57"/>
        <v/>
      </c>
      <c r="AB203" s="252" t="str">
        <f t="shared" si="58"/>
        <v/>
      </c>
      <c r="AJ203" s="121" t="str">
        <f>IF('Cable Info'!L203="","",CONCATENATE('Cable Info'!L203," - ",'Cable Info'!M203))</f>
        <v>202 - AW</v>
      </c>
      <c r="AM203" s="121" t="str">
        <f t="shared" si="59"/>
        <v>202 - AW</v>
      </c>
      <c r="AO203" s="121" t="str">
        <f>IF('Cable Info'!N203="","",CONCATENATE('Cable Info'!N203," - ",'Cable Info'!O203))</f>
        <v>202 - AW</v>
      </c>
      <c r="AR203" s="121" t="str">
        <f t="shared" si="60"/>
        <v>202 - AW</v>
      </c>
      <c r="AT203" s="121" t="str">
        <f>IF('Cable Info'!P203="","",CONCATENATE('Cable Info'!P203," - ",'Cable Info'!Q203))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Info'!R203="","",CONCATENATE('Cable Info'!R203," - ",'Cable Info'!S203))</f>
        <v/>
      </c>
      <c r="BB203" s="121" t="str">
        <f t="shared" si="62"/>
        <v/>
      </c>
      <c r="BD203" s="121" t="str">
        <f>IF('Cable Info'!T203="","",CONCATENATE('Cable Info'!T203," - ",'Cable Info'!U203))</f>
        <v/>
      </c>
      <c r="BG203" s="121" t="str">
        <f t="shared" si="63"/>
        <v/>
      </c>
      <c r="BI203" s="121" t="str">
        <f>IF('Cable Info'!V203="","",CONCATENATE('Cable Info'!V203," - ",'Cable Info'!W203))</f>
        <v/>
      </c>
      <c r="BL203" s="121" t="str">
        <f t="shared" si="64"/>
        <v/>
      </c>
      <c r="CL203" s="250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59"/>
      <c r="F204" s="105" t="s">
        <v>45</v>
      </c>
      <c r="G204" s="262"/>
      <c r="H204" s="115" t="str">
        <f t="shared" ref="H204:H267" si="65">IF(G204="","",((E204-G204)-1)*(-1))</f>
        <v/>
      </c>
      <c r="I204" s="264"/>
      <c r="J204" s="105" t="s">
        <v>45</v>
      </c>
      <c r="K204" s="267"/>
      <c r="L204" s="246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ref="X204:X267" si="66">IF(V204="","",IF(R204="","",IF(S204="","",IF(R204="SPLICED",(IF(S204="SPLICE",0,9)),IF(V204=$U$3,(IF(S204="BREAK",12,11)),IF(S204="BREAK",2,1))))))</f>
        <v/>
      </c>
      <c r="Y204" s="251" t="str">
        <f t="shared" ref="Y204:Y267" si="67">IF(E204="","",IF(G204="","",IF(E204&gt;G204,1,"")))</f>
        <v/>
      </c>
      <c r="Z204" s="252" t="str">
        <f t="shared" ref="Z204:Z267" si="68">IF(I204="","",IF(K204="","",IF(I204&gt;K204,1,"")))</f>
        <v/>
      </c>
      <c r="AA204" s="252" t="str">
        <f t="shared" ref="AA204:AA267" si="69">IF(K204="","",((I204-K204)-1)*(-1))</f>
        <v/>
      </c>
      <c r="AB204" s="252" t="str">
        <f t="shared" ref="AB204:AB267" si="70">IF(E204="","",IF(G204="","",IF(I204="","",IF(K204="","",IF(AA204&lt;&gt;H204,1,"")))))</f>
        <v/>
      </c>
      <c r="AJ204" s="121" t="str">
        <f>IF('Cable Info'!L204="","",CONCATENATE('Cable Info'!L204," - ",'Cable Info'!M204))</f>
        <v>203 - AW</v>
      </c>
      <c r="AM204" s="121" t="str">
        <f t="shared" ref="AM204:AM267" si="71">IF(AK204="",AJ204,CONCATENATE(AJ204,"  &lt;=&gt; ",AK204," ",AL204))</f>
        <v>203 - AW</v>
      </c>
      <c r="AO204" s="121" t="str">
        <f>IF('Cable Info'!N204="","",CONCATENATE('Cable Info'!N204," - ",'Cable Info'!O204))</f>
        <v>203 - AW</v>
      </c>
      <c r="AR204" s="121" t="str">
        <f t="shared" ref="AR204:AR267" si="72">IF(AP204="",AO204,CONCATENATE(AO204,"  &lt;=&gt; ",AP204," ",AQ204))</f>
        <v>203 - AW</v>
      </c>
      <c r="AT204" s="121" t="str">
        <f>IF('Cable Info'!P204="","",CONCATENATE('Cable Info'!P204," - ",'Cable Info'!Q204))</f>
        <v/>
      </c>
      <c r="AU204" s="121" t="s">
        <v>51</v>
      </c>
      <c r="AW204" s="121" t="str">
        <f t="shared" ref="AW204:AW267" si="73">IF(AU204="",AT204,CONCATENATE(AT204,"  &lt;=&gt; ",AU204," ",AV204))</f>
        <v xml:space="preserve">  &lt;=&gt; CABLEC </v>
      </c>
      <c r="AY204" s="121" t="str">
        <f>IF('Cable Info'!R204="","",CONCATENATE('Cable Info'!R204," - ",'Cable Info'!S204))</f>
        <v/>
      </c>
      <c r="BB204" s="121" t="str">
        <f t="shared" ref="BB204:BB267" si="74">IF(AZ204="",AY204,CONCATENATE(AY204,"  &lt;=&gt; ",AZ204," ",BA204))</f>
        <v/>
      </c>
      <c r="BD204" s="121" t="str">
        <f>IF('Cable Info'!T204="","",CONCATENATE('Cable Info'!T204," - ",'Cable Info'!U204))</f>
        <v/>
      </c>
      <c r="BG204" s="121" t="str">
        <f t="shared" ref="BG204:BG267" si="75">IF(BE204="",BD204,CONCATENATE(BD204,"  &lt;=&gt; ",BE204," ",BF204))</f>
        <v/>
      </c>
      <c r="BI204" s="121" t="str">
        <f>IF('Cable Info'!V204="","",CONCATENATE('Cable Info'!V204," - ",'Cable Info'!W204))</f>
        <v/>
      </c>
      <c r="BL204" s="121" t="str">
        <f t="shared" ref="BL204:BL267" si="76">IF(BJ204="",BI204,CONCATENATE(BI204,"  &lt;=&gt; ",BJ204," ",BK204))</f>
        <v/>
      </c>
      <c r="CL204" s="250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59"/>
      <c r="F205" s="105" t="s">
        <v>45</v>
      </c>
      <c r="G205" s="262"/>
      <c r="H205" s="115" t="str">
        <f t="shared" si="65"/>
        <v/>
      </c>
      <c r="I205" s="264"/>
      <c r="J205" s="105" t="s">
        <v>45</v>
      </c>
      <c r="K205" s="267"/>
      <c r="L205" s="246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si="66"/>
        <v/>
      </c>
      <c r="Y205" s="251" t="str">
        <f t="shared" si="67"/>
        <v/>
      </c>
      <c r="Z205" s="252" t="str">
        <f t="shared" si="68"/>
        <v/>
      </c>
      <c r="AA205" s="252" t="str">
        <f t="shared" si="69"/>
        <v/>
      </c>
      <c r="AB205" s="252" t="str">
        <f t="shared" si="70"/>
        <v/>
      </c>
      <c r="AJ205" s="121" t="str">
        <f>IF('Cable Info'!L205="","",CONCATENATE('Cable Info'!L205," - ",'Cable Info'!M205))</f>
        <v>204 - AW</v>
      </c>
      <c r="AM205" s="121" t="str">
        <f t="shared" si="71"/>
        <v>204 - AW</v>
      </c>
      <c r="AO205" s="121" t="str">
        <f>IF('Cable Info'!N205="","",CONCATENATE('Cable Info'!N205," - ",'Cable Info'!O205))</f>
        <v>204 - AW</v>
      </c>
      <c r="AR205" s="121" t="str">
        <f t="shared" si="72"/>
        <v>204 - AW</v>
      </c>
      <c r="AT205" s="121" t="str">
        <f>IF('Cable Info'!P205="","",CONCATENATE('Cable Info'!P205," - ",'Cable Info'!Q205))</f>
        <v/>
      </c>
      <c r="AU205" s="121" t="s">
        <v>51</v>
      </c>
      <c r="AW205" s="121" t="str">
        <f t="shared" si="73"/>
        <v xml:space="preserve">  &lt;=&gt; CABLEC </v>
      </c>
      <c r="AY205" s="121" t="str">
        <f>IF('Cable Info'!R205="","",CONCATENATE('Cable Info'!R205," - ",'Cable Info'!S205))</f>
        <v/>
      </c>
      <c r="BB205" s="121" t="str">
        <f t="shared" si="74"/>
        <v/>
      </c>
      <c r="BD205" s="121" t="str">
        <f>IF('Cable Info'!T205="","",CONCATENATE('Cable Info'!T205," - ",'Cable Info'!U205))</f>
        <v/>
      </c>
      <c r="BG205" s="121" t="str">
        <f t="shared" si="75"/>
        <v/>
      </c>
      <c r="BI205" s="121" t="str">
        <f>IF('Cable Info'!V205="","",CONCATENATE('Cable Info'!V205," - ",'Cable Info'!W205))</f>
        <v/>
      </c>
      <c r="BL205" s="121" t="str">
        <f t="shared" si="76"/>
        <v/>
      </c>
      <c r="CL205" s="250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59"/>
      <c r="F206" s="105" t="s">
        <v>45</v>
      </c>
      <c r="G206" s="262"/>
      <c r="H206" s="115" t="str">
        <f t="shared" si="65"/>
        <v/>
      </c>
      <c r="I206" s="264"/>
      <c r="J206" s="105" t="s">
        <v>45</v>
      </c>
      <c r="K206" s="267"/>
      <c r="L206" s="246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1" t="str">
        <f t="shared" si="67"/>
        <v/>
      </c>
      <c r="Z206" s="252" t="str">
        <f t="shared" si="68"/>
        <v/>
      </c>
      <c r="AA206" s="252" t="str">
        <f t="shared" si="69"/>
        <v/>
      </c>
      <c r="AB206" s="252" t="str">
        <f t="shared" si="70"/>
        <v/>
      </c>
      <c r="AJ206" s="121" t="str">
        <f>IF('Cable Info'!L206="","",CONCATENATE('Cable Info'!L206," - ",'Cable Info'!M206))</f>
        <v>205 - AW</v>
      </c>
      <c r="AM206" s="121" t="str">
        <f t="shared" si="71"/>
        <v>205 - AW</v>
      </c>
      <c r="AO206" s="121" t="str">
        <f>IF('Cable Info'!N206="","",CONCATENATE('Cable Info'!N206," - ",'Cable Info'!O206))</f>
        <v>205 - AW</v>
      </c>
      <c r="AR206" s="121" t="str">
        <f t="shared" si="72"/>
        <v>205 - AW</v>
      </c>
      <c r="AT206" s="121" t="str">
        <f>IF('Cable Info'!P206="","",CONCATENATE('Cable Info'!P206," - ",'Cable Info'!Q206))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Info'!R206="","",CONCATENATE('Cable Info'!R206," - ",'Cable Info'!S206))</f>
        <v/>
      </c>
      <c r="BB206" s="121" t="str">
        <f t="shared" si="74"/>
        <v/>
      </c>
      <c r="BD206" s="121" t="str">
        <f>IF('Cable Info'!T206="","",CONCATENATE('Cable Info'!T206," - ",'Cable Info'!U206))</f>
        <v/>
      </c>
      <c r="BG206" s="121" t="str">
        <f t="shared" si="75"/>
        <v/>
      </c>
      <c r="BI206" s="121" t="str">
        <f>IF('Cable Info'!V206="","",CONCATENATE('Cable Info'!V206," - ",'Cable Info'!W206))</f>
        <v/>
      </c>
      <c r="BL206" s="121" t="str">
        <f t="shared" si="76"/>
        <v/>
      </c>
      <c r="CL206" s="250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59"/>
      <c r="F207" s="105" t="s">
        <v>45</v>
      </c>
      <c r="G207" s="262"/>
      <c r="H207" s="115" t="str">
        <f t="shared" si="65"/>
        <v/>
      </c>
      <c r="I207" s="264"/>
      <c r="J207" s="105" t="s">
        <v>45</v>
      </c>
      <c r="K207" s="267"/>
      <c r="L207" s="246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1" t="str">
        <f t="shared" si="67"/>
        <v/>
      </c>
      <c r="Z207" s="252" t="str">
        <f t="shared" si="68"/>
        <v/>
      </c>
      <c r="AA207" s="252" t="str">
        <f t="shared" si="69"/>
        <v/>
      </c>
      <c r="AB207" s="252" t="str">
        <f t="shared" si="70"/>
        <v/>
      </c>
      <c r="AJ207" s="121" t="str">
        <f>IF('Cable Info'!L207="","",CONCATENATE('Cable Info'!L207," - ",'Cable Info'!M207))</f>
        <v>206 - AW</v>
      </c>
      <c r="AM207" s="121" t="str">
        <f t="shared" si="71"/>
        <v>206 - AW</v>
      </c>
      <c r="AO207" s="121" t="str">
        <f>IF('Cable Info'!N207="","",CONCATENATE('Cable Info'!N207," - ",'Cable Info'!O207))</f>
        <v>206 - AW</v>
      </c>
      <c r="AR207" s="121" t="str">
        <f t="shared" si="72"/>
        <v>206 - AW</v>
      </c>
      <c r="AT207" s="121" t="str">
        <f>IF('Cable Info'!P207="","",CONCATENATE('Cable Info'!P207," - ",'Cable Info'!Q207))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Info'!R207="","",CONCATENATE('Cable Info'!R207," - ",'Cable Info'!S207))</f>
        <v/>
      </c>
      <c r="BB207" s="121" t="str">
        <f t="shared" si="74"/>
        <v/>
      </c>
      <c r="BD207" s="121" t="str">
        <f>IF('Cable Info'!T207="","",CONCATENATE('Cable Info'!T207," - ",'Cable Info'!U207))</f>
        <v/>
      </c>
      <c r="BG207" s="121" t="str">
        <f t="shared" si="75"/>
        <v/>
      </c>
      <c r="BI207" s="121" t="str">
        <f>IF('Cable Info'!V207="","",CONCATENATE('Cable Info'!V207," - ",'Cable Info'!W207))</f>
        <v/>
      </c>
      <c r="BL207" s="121" t="str">
        <f t="shared" si="76"/>
        <v/>
      </c>
      <c r="CL207" s="250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59"/>
      <c r="F208" s="105" t="s">
        <v>45</v>
      </c>
      <c r="G208" s="262"/>
      <c r="H208" s="115" t="str">
        <f t="shared" si="65"/>
        <v/>
      </c>
      <c r="I208" s="264"/>
      <c r="J208" s="105" t="s">
        <v>45</v>
      </c>
      <c r="K208" s="267"/>
      <c r="L208" s="246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1" t="str">
        <f t="shared" si="67"/>
        <v/>
      </c>
      <c r="Z208" s="252" t="str">
        <f t="shared" si="68"/>
        <v/>
      </c>
      <c r="AA208" s="252" t="str">
        <f t="shared" si="69"/>
        <v/>
      </c>
      <c r="AB208" s="252" t="str">
        <f t="shared" si="70"/>
        <v/>
      </c>
      <c r="AJ208" s="121" t="str">
        <f>IF('Cable Info'!L208="","",CONCATENATE('Cable Info'!L208," - ",'Cable Info'!M208))</f>
        <v>207 - AW</v>
      </c>
      <c r="AM208" s="121" t="str">
        <f t="shared" si="71"/>
        <v>207 - AW</v>
      </c>
      <c r="AO208" s="121" t="str">
        <f>IF('Cable Info'!N208="","",CONCATENATE('Cable Info'!N208," - ",'Cable Info'!O208))</f>
        <v>207 - AW</v>
      </c>
      <c r="AR208" s="121" t="str">
        <f t="shared" si="72"/>
        <v>207 - AW</v>
      </c>
      <c r="AT208" s="121" t="str">
        <f>IF('Cable Info'!P208="","",CONCATENATE('Cable Info'!P208," - ",'Cable Info'!Q208))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Info'!R208="","",CONCATENATE('Cable Info'!R208," - ",'Cable Info'!S208))</f>
        <v/>
      </c>
      <c r="BB208" s="121" t="str">
        <f t="shared" si="74"/>
        <v/>
      </c>
      <c r="BD208" s="121" t="str">
        <f>IF('Cable Info'!T208="","",CONCATENATE('Cable Info'!T208," - ",'Cable Info'!U208))</f>
        <v/>
      </c>
      <c r="BG208" s="121" t="str">
        <f t="shared" si="75"/>
        <v/>
      </c>
      <c r="BI208" s="121" t="str">
        <f>IF('Cable Info'!V208="","",CONCATENATE('Cable Info'!V208," - ",'Cable Info'!W208))</f>
        <v/>
      </c>
      <c r="BL208" s="121" t="str">
        <f t="shared" si="76"/>
        <v/>
      </c>
      <c r="CL208" s="250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59"/>
      <c r="F209" s="105" t="s">
        <v>45</v>
      </c>
      <c r="G209" s="262"/>
      <c r="H209" s="115" t="str">
        <f t="shared" si="65"/>
        <v/>
      </c>
      <c r="I209" s="264"/>
      <c r="J209" s="105" t="s">
        <v>45</v>
      </c>
      <c r="K209" s="267"/>
      <c r="L209" s="246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1" t="str">
        <f t="shared" si="67"/>
        <v/>
      </c>
      <c r="Z209" s="252" t="str">
        <f t="shared" si="68"/>
        <v/>
      </c>
      <c r="AA209" s="252" t="str">
        <f t="shared" si="69"/>
        <v/>
      </c>
      <c r="AB209" s="252" t="str">
        <f t="shared" si="70"/>
        <v/>
      </c>
      <c r="AJ209" s="121" t="str">
        <f>IF('Cable Info'!L209="","",CONCATENATE('Cable Info'!L209," - ",'Cable Info'!M209))</f>
        <v>208 - AW</v>
      </c>
      <c r="AM209" s="121" t="str">
        <f t="shared" si="71"/>
        <v>208 - AW</v>
      </c>
      <c r="AO209" s="121" t="str">
        <f>IF('Cable Info'!N209="","",CONCATENATE('Cable Info'!N209," - ",'Cable Info'!O209))</f>
        <v>208 - AW</v>
      </c>
      <c r="AR209" s="121" t="str">
        <f t="shared" si="72"/>
        <v>208 - AW</v>
      </c>
      <c r="AT209" s="121" t="str">
        <f>IF('Cable Info'!P209="","",CONCATENATE('Cable Info'!P209," - ",'Cable Info'!Q209))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Info'!R209="","",CONCATENATE('Cable Info'!R209," - ",'Cable Info'!S209))</f>
        <v/>
      </c>
      <c r="BB209" s="121" t="str">
        <f t="shared" si="74"/>
        <v/>
      </c>
      <c r="BD209" s="121" t="str">
        <f>IF('Cable Info'!T209="","",CONCATENATE('Cable Info'!T209," - ",'Cable Info'!U209))</f>
        <v/>
      </c>
      <c r="BG209" s="121" t="str">
        <f t="shared" si="75"/>
        <v/>
      </c>
      <c r="BI209" s="121" t="str">
        <f>IF('Cable Info'!V209="","",CONCATENATE('Cable Info'!V209," - ",'Cable Info'!W209))</f>
        <v/>
      </c>
      <c r="BL209" s="121" t="str">
        <f t="shared" si="76"/>
        <v/>
      </c>
      <c r="CL209" s="250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59"/>
      <c r="F210" s="105" t="s">
        <v>45</v>
      </c>
      <c r="G210" s="262"/>
      <c r="H210" s="115" t="str">
        <f t="shared" si="65"/>
        <v/>
      </c>
      <c r="I210" s="264"/>
      <c r="J210" s="105" t="s">
        <v>45</v>
      </c>
      <c r="K210" s="267"/>
      <c r="L210" s="246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1" t="str">
        <f t="shared" si="67"/>
        <v/>
      </c>
      <c r="Z210" s="252" t="str">
        <f t="shared" si="68"/>
        <v/>
      </c>
      <c r="AA210" s="252" t="str">
        <f t="shared" si="69"/>
        <v/>
      </c>
      <c r="AB210" s="252" t="str">
        <f t="shared" si="70"/>
        <v/>
      </c>
      <c r="AJ210" s="121" t="str">
        <f>IF('Cable Info'!L210="","",CONCATENATE('Cable Info'!L210," - ",'Cable Info'!M210))</f>
        <v>209 - AW</v>
      </c>
      <c r="AM210" s="121" t="str">
        <f t="shared" si="71"/>
        <v>209 - AW</v>
      </c>
      <c r="AO210" s="121" t="str">
        <f>IF('Cable Info'!N210="","",CONCATENATE('Cable Info'!N210," - ",'Cable Info'!O210))</f>
        <v>209 - AW</v>
      </c>
      <c r="AR210" s="121" t="str">
        <f t="shared" si="72"/>
        <v>209 - AW</v>
      </c>
      <c r="AT210" s="121" t="str">
        <f>IF('Cable Info'!P210="","",CONCATENATE('Cable Info'!P210," - ",'Cable Info'!Q210))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Info'!R210="","",CONCATENATE('Cable Info'!R210," - ",'Cable Info'!S210))</f>
        <v/>
      </c>
      <c r="BB210" s="121" t="str">
        <f t="shared" si="74"/>
        <v/>
      </c>
      <c r="BD210" s="121" t="str">
        <f>IF('Cable Info'!T210="","",CONCATENATE('Cable Info'!T210," - ",'Cable Info'!U210))</f>
        <v/>
      </c>
      <c r="BG210" s="121" t="str">
        <f t="shared" si="75"/>
        <v/>
      </c>
      <c r="BI210" s="121" t="str">
        <f>IF('Cable Info'!V210="","",CONCATENATE('Cable Info'!V210," - ",'Cable Info'!W210))</f>
        <v/>
      </c>
      <c r="BL210" s="121" t="str">
        <f t="shared" si="76"/>
        <v/>
      </c>
      <c r="CL210" s="250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59"/>
      <c r="F211" s="105" t="s">
        <v>45</v>
      </c>
      <c r="G211" s="262"/>
      <c r="H211" s="115" t="str">
        <f t="shared" si="65"/>
        <v/>
      </c>
      <c r="I211" s="264"/>
      <c r="J211" s="105" t="s">
        <v>45</v>
      </c>
      <c r="K211" s="267"/>
      <c r="L211" s="246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1" t="str">
        <f t="shared" si="67"/>
        <v/>
      </c>
      <c r="Z211" s="252" t="str">
        <f t="shared" si="68"/>
        <v/>
      </c>
      <c r="AA211" s="252" t="str">
        <f t="shared" si="69"/>
        <v/>
      </c>
      <c r="AB211" s="252" t="str">
        <f t="shared" si="70"/>
        <v/>
      </c>
      <c r="AJ211" s="121" t="str">
        <f>IF('Cable Info'!L211="","",CONCATENATE('Cable Info'!L211," - ",'Cable Info'!M211))</f>
        <v>210 - AW</v>
      </c>
      <c r="AM211" s="121" t="str">
        <f t="shared" si="71"/>
        <v>210 - AW</v>
      </c>
      <c r="AO211" s="121" t="str">
        <f>IF('Cable Info'!N211="","",CONCATENATE('Cable Info'!N211," - ",'Cable Info'!O211))</f>
        <v>210 - AW</v>
      </c>
      <c r="AR211" s="121" t="str">
        <f t="shared" si="72"/>
        <v>210 - AW</v>
      </c>
      <c r="AT211" s="121" t="str">
        <f>IF('Cable Info'!P211="","",CONCATENATE('Cable Info'!P211," - ",'Cable Info'!Q211))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Info'!R211="","",CONCATENATE('Cable Info'!R211," - ",'Cable Info'!S211))</f>
        <v/>
      </c>
      <c r="BB211" s="121" t="str">
        <f t="shared" si="74"/>
        <v/>
      </c>
      <c r="BD211" s="121" t="str">
        <f>IF('Cable Info'!T211="","",CONCATENATE('Cable Info'!T211," - ",'Cable Info'!U211))</f>
        <v/>
      </c>
      <c r="BG211" s="121" t="str">
        <f t="shared" si="75"/>
        <v/>
      </c>
      <c r="BI211" s="121" t="str">
        <f>IF('Cable Info'!V211="","",CONCATENATE('Cable Info'!V211," - ",'Cable Info'!W211))</f>
        <v/>
      </c>
      <c r="BL211" s="121" t="str">
        <f t="shared" si="76"/>
        <v/>
      </c>
      <c r="CL211" s="250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59"/>
      <c r="F212" s="105" t="s">
        <v>45</v>
      </c>
      <c r="G212" s="262"/>
      <c r="H212" s="115" t="str">
        <f t="shared" si="65"/>
        <v/>
      </c>
      <c r="I212" s="264"/>
      <c r="J212" s="105" t="s">
        <v>45</v>
      </c>
      <c r="K212" s="267"/>
      <c r="L212" s="246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1" t="str">
        <f t="shared" si="67"/>
        <v/>
      </c>
      <c r="Z212" s="252" t="str">
        <f t="shared" si="68"/>
        <v/>
      </c>
      <c r="AA212" s="252" t="str">
        <f t="shared" si="69"/>
        <v/>
      </c>
      <c r="AB212" s="252" t="str">
        <f t="shared" si="70"/>
        <v/>
      </c>
      <c r="AJ212" s="121" t="str">
        <f>IF('Cable Info'!L212="","",CONCATENATE('Cable Info'!L212," - ",'Cable Info'!M212))</f>
        <v>211 - AW</v>
      </c>
      <c r="AM212" s="121" t="str">
        <f t="shared" si="71"/>
        <v>211 - AW</v>
      </c>
      <c r="AO212" s="121" t="str">
        <f>IF('Cable Info'!N212="","",CONCATENATE('Cable Info'!N212," - ",'Cable Info'!O212))</f>
        <v>211 - AW</v>
      </c>
      <c r="AR212" s="121" t="str">
        <f t="shared" si="72"/>
        <v>211 - AW</v>
      </c>
      <c r="AT212" s="121" t="str">
        <f>IF('Cable Info'!P212="","",CONCATENATE('Cable Info'!P212," - ",'Cable Info'!Q212))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Info'!R212="","",CONCATENATE('Cable Info'!R212," - ",'Cable Info'!S212))</f>
        <v/>
      </c>
      <c r="BB212" s="121" t="str">
        <f t="shared" si="74"/>
        <v/>
      </c>
      <c r="BD212" s="121" t="str">
        <f>IF('Cable Info'!T212="","",CONCATENATE('Cable Info'!T212," - ",'Cable Info'!U212))</f>
        <v/>
      </c>
      <c r="BG212" s="121" t="str">
        <f t="shared" si="75"/>
        <v/>
      </c>
      <c r="BI212" s="121" t="str">
        <f>IF('Cable Info'!V212="","",CONCATENATE('Cable Info'!V212," - ",'Cable Info'!W212))</f>
        <v/>
      </c>
      <c r="BL212" s="121" t="str">
        <f t="shared" si="76"/>
        <v/>
      </c>
      <c r="CL212" s="250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59"/>
      <c r="F213" s="105" t="s">
        <v>45</v>
      </c>
      <c r="G213" s="262"/>
      <c r="H213" s="115" t="str">
        <f t="shared" si="65"/>
        <v/>
      </c>
      <c r="I213" s="264"/>
      <c r="J213" s="105" t="s">
        <v>45</v>
      </c>
      <c r="K213" s="267"/>
      <c r="L213" s="246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1" t="str">
        <f t="shared" si="67"/>
        <v/>
      </c>
      <c r="Z213" s="252" t="str">
        <f t="shared" si="68"/>
        <v/>
      </c>
      <c r="AA213" s="252" t="str">
        <f t="shared" si="69"/>
        <v/>
      </c>
      <c r="AB213" s="252" t="str">
        <f t="shared" si="70"/>
        <v/>
      </c>
      <c r="AJ213" s="121" t="str">
        <f>IF('Cable Info'!L213="","",CONCATENATE('Cable Info'!L213," - ",'Cable Info'!M213))</f>
        <v>212 - AW</v>
      </c>
      <c r="AM213" s="121" t="str">
        <f t="shared" si="71"/>
        <v>212 - AW</v>
      </c>
      <c r="AO213" s="121" t="str">
        <f>IF('Cable Info'!N213="","",CONCATENATE('Cable Info'!N213," - ",'Cable Info'!O213))</f>
        <v>212 - AW</v>
      </c>
      <c r="AR213" s="121" t="str">
        <f t="shared" si="72"/>
        <v>212 - AW</v>
      </c>
      <c r="AT213" s="121" t="str">
        <f>IF('Cable Info'!P213="","",CONCATENATE('Cable Info'!P213," - ",'Cable Info'!Q213))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Info'!R213="","",CONCATENATE('Cable Info'!R213," - ",'Cable Info'!S213))</f>
        <v/>
      </c>
      <c r="BB213" s="121" t="str">
        <f t="shared" si="74"/>
        <v/>
      </c>
      <c r="BD213" s="121" t="str">
        <f>IF('Cable Info'!T213="","",CONCATENATE('Cable Info'!T213," - ",'Cable Info'!U213))</f>
        <v/>
      </c>
      <c r="BG213" s="121" t="str">
        <f t="shared" si="75"/>
        <v/>
      </c>
      <c r="BI213" s="121" t="str">
        <f>IF('Cable Info'!V213="","",CONCATENATE('Cable Info'!V213," - ",'Cable Info'!W213))</f>
        <v/>
      </c>
      <c r="BL213" s="121" t="str">
        <f t="shared" si="76"/>
        <v/>
      </c>
      <c r="CL213" s="250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59"/>
      <c r="F214" s="105" t="s">
        <v>45</v>
      </c>
      <c r="G214" s="262"/>
      <c r="H214" s="115" t="str">
        <f t="shared" si="65"/>
        <v/>
      </c>
      <c r="I214" s="264"/>
      <c r="J214" s="105" t="s">
        <v>45</v>
      </c>
      <c r="K214" s="267"/>
      <c r="L214" s="246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1" t="str">
        <f t="shared" si="67"/>
        <v/>
      </c>
      <c r="Z214" s="252" t="str">
        <f t="shared" si="68"/>
        <v/>
      </c>
      <c r="AA214" s="252" t="str">
        <f t="shared" si="69"/>
        <v/>
      </c>
      <c r="AB214" s="252" t="str">
        <f t="shared" si="70"/>
        <v/>
      </c>
      <c r="AJ214" s="121" t="str">
        <f>IF('Cable Info'!L214="","",CONCATENATE('Cable Info'!L214," - ",'Cable Info'!M214))</f>
        <v>213 - AW</v>
      </c>
      <c r="AM214" s="121" t="str">
        <f t="shared" si="71"/>
        <v>213 - AW</v>
      </c>
      <c r="AO214" s="121" t="str">
        <f>IF('Cable Info'!N214="","",CONCATENATE('Cable Info'!N214," - ",'Cable Info'!O214))</f>
        <v>213 - AW</v>
      </c>
      <c r="AR214" s="121" t="str">
        <f t="shared" si="72"/>
        <v>213 - AW</v>
      </c>
      <c r="AT214" s="121" t="str">
        <f>IF('Cable Info'!P214="","",CONCATENATE('Cable Info'!P214," - ",'Cable Info'!Q214))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Info'!R214="","",CONCATENATE('Cable Info'!R214," - ",'Cable Info'!S214))</f>
        <v/>
      </c>
      <c r="BB214" s="121" t="str">
        <f t="shared" si="74"/>
        <v/>
      </c>
      <c r="BD214" s="121" t="str">
        <f>IF('Cable Info'!T214="","",CONCATENATE('Cable Info'!T214," - ",'Cable Info'!U214))</f>
        <v/>
      </c>
      <c r="BG214" s="121" t="str">
        <f t="shared" si="75"/>
        <v/>
      </c>
      <c r="BI214" s="121" t="str">
        <f>IF('Cable Info'!V214="","",CONCATENATE('Cable Info'!V214," - ",'Cable Info'!W214))</f>
        <v/>
      </c>
      <c r="BL214" s="121" t="str">
        <f t="shared" si="76"/>
        <v/>
      </c>
      <c r="CL214" s="250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59"/>
      <c r="F215" s="105" t="s">
        <v>45</v>
      </c>
      <c r="G215" s="262"/>
      <c r="H215" s="115" t="str">
        <f t="shared" si="65"/>
        <v/>
      </c>
      <c r="I215" s="264"/>
      <c r="J215" s="105" t="s">
        <v>45</v>
      </c>
      <c r="K215" s="267"/>
      <c r="L215" s="246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1" t="str">
        <f t="shared" si="67"/>
        <v/>
      </c>
      <c r="Z215" s="252" t="str">
        <f t="shared" si="68"/>
        <v/>
      </c>
      <c r="AA215" s="252" t="str">
        <f t="shared" si="69"/>
        <v/>
      </c>
      <c r="AB215" s="252" t="str">
        <f t="shared" si="70"/>
        <v/>
      </c>
      <c r="AJ215" s="121" t="str">
        <f>IF('Cable Info'!L215="","",CONCATENATE('Cable Info'!L215," - ",'Cable Info'!M215))</f>
        <v>214 - AW</v>
      </c>
      <c r="AM215" s="121" t="str">
        <f t="shared" si="71"/>
        <v>214 - AW</v>
      </c>
      <c r="AO215" s="121" t="str">
        <f>IF('Cable Info'!N215="","",CONCATENATE('Cable Info'!N215," - ",'Cable Info'!O215))</f>
        <v>214 - AW</v>
      </c>
      <c r="AR215" s="121" t="str">
        <f t="shared" si="72"/>
        <v>214 - AW</v>
      </c>
      <c r="AT215" s="121" t="str">
        <f>IF('Cable Info'!P215="","",CONCATENATE('Cable Info'!P215," - ",'Cable Info'!Q215))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Info'!R215="","",CONCATENATE('Cable Info'!R215," - ",'Cable Info'!S215))</f>
        <v/>
      </c>
      <c r="BB215" s="121" t="str">
        <f t="shared" si="74"/>
        <v/>
      </c>
      <c r="BD215" s="121" t="str">
        <f>IF('Cable Info'!T215="","",CONCATENATE('Cable Info'!T215," - ",'Cable Info'!U215))</f>
        <v/>
      </c>
      <c r="BG215" s="121" t="str">
        <f t="shared" si="75"/>
        <v/>
      </c>
      <c r="BI215" s="121" t="str">
        <f>IF('Cable Info'!V215="","",CONCATENATE('Cable Info'!V215," - ",'Cable Info'!W215))</f>
        <v/>
      </c>
      <c r="BL215" s="121" t="str">
        <f t="shared" si="76"/>
        <v/>
      </c>
      <c r="CL215" s="250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59"/>
      <c r="F216" s="105" t="s">
        <v>45</v>
      </c>
      <c r="G216" s="262"/>
      <c r="H216" s="115" t="str">
        <f t="shared" si="65"/>
        <v/>
      </c>
      <c r="I216" s="264"/>
      <c r="J216" s="105" t="s">
        <v>45</v>
      </c>
      <c r="K216" s="267"/>
      <c r="L216" s="246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1" t="str">
        <f t="shared" si="67"/>
        <v/>
      </c>
      <c r="Z216" s="252" t="str">
        <f t="shared" si="68"/>
        <v/>
      </c>
      <c r="AA216" s="252" t="str">
        <f t="shared" si="69"/>
        <v/>
      </c>
      <c r="AB216" s="252" t="str">
        <f t="shared" si="70"/>
        <v/>
      </c>
      <c r="AJ216" s="121" t="str">
        <f>IF('Cable Info'!L216="","",CONCATENATE('Cable Info'!L216," - ",'Cable Info'!M216))</f>
        <v>215 - AW</v>
      </c>
      <c r="AM216" s="121" t="str">
        <f t="shared" si="71"/>
        <v>215 - AW</v>
      </c>
      <c r="AO216" s="121" t="str">
        <f>IF('Cable Info'!N216="","",CONCATENATE('Cable Info'!N216," - ",'Cable Info'!O216))</f>
        <v>215 - AW</v>
      </c>
      <c r="AR216" s="121" t="str">
        <f t="shared" si="72"/>
        <v>215 - AW</v>
      </c>
      <c r="AT216" s="121" t="str">
        <f>IF('Cable Info'!P216="","",CONCATENATE('Cable Info'!P216," - ",'Cable Info'!Q216))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Info'!R216="","",CONCATENATE('Cable Info'!R216," - ",'Cable Info'!S216))</f>
        <v/>
      </c>
      <c r="BB216" s="121" t="str">
        <f t="shared" si="74"/>
        <v/>
      </c>
      <c r="BD216" s="121" t="str">
        <f>IF('Cable Info'!T216="","",CONCATENATE('Cable Info'!T216," - ",'Cable Info'!U216))</f>
        <v/>
      </c>
      <c r="BG216" s="121" t="str">
        <f t="shared" si="75"/>
        <v/>
      </c>
      <c r="BI216" s="121" t="str">
        <f>IF('Cable Info'!V216="","",CONCATENATE('Cable Info'!V216," - ",'Cable Info'!W216))</f>
        <v/>
      </c>
      <c r="BL216" s="121" t="str">
        <f t="shared" si="76"/>
        <v/>
      </c>
      <c r="CL216" s="250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59"/>
      <c r="F217" s="105" t="s">
        <v>45</v>
      </c>
      <c r="G217" s="262"/>
      <c r="H217" s="115" t="str">
        <f t="shared" si="65"/>
        <v/>
      </c>
      <c r="I217" s="264"/>
      <c r="J217" s="105" t="s">
        <v>45</v>
      </c>
      <c r="K217" s="267"/>
      <c r="L217" s="246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1" t="str">
        <f t="shared" si="67"/>
        <v/>
      </c>
      <c r="Z217" s="252" t="str">
        <f t="shared" si="68"/>
        <v/>
      </c>
      <c r="AA217" s="252" t="str">
        <f t="shared" si="69"/>
        <v/>
      </c>
      <c r="AB217" s="252" t="str">
        <f t="shared" si="70"/>
        <v/>
      </c>
      <c r="AJ217" s="121" t="str">
        <f>IF('Cable Info'!L217="","",CONCATENATE('Cable Info'!L217," - ",'Cable Info'!M217))</f>
        <v>216 - AW</v>
      </c>
      <c r="AM217" s="121" t="str">
        <f t="shared" si="71"/>
        <v>216 - AW</v>
      </c>
      <c r="AO217" s="121" t="str">
        <f>IF('Cable Info'!N217="","",CONCATENATE('Cable Info'!N217," - ",'Cable Info'!O217))</f>
        <v>216 - AW</v>
      </c>
      <c r="AR217" s="121" t="str">
        <f t="shared" si="72"/>
        <v>216 - AW</v>
      </c>
      <c r="AT217" s="121" t="str">
        <f>IF('Cable Info'!P217="","",CONCATENATE('Cable Info'!P217," - ",'Cable Info'!Q217))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Info'!R217="","",CONCATENATE('Cable Info'!R217," - ",'Cable Info'!S217))</f>
        <v/>
      </c>
      <c r="BB217" s="121" t="str">
        <f t="shared" si="74"/>
        <v/>
      </c>
      <c r="BD217" s="121" t="str">
        <f>IF('Cable Info'!T217="","",CONCATENATE('Cable Info'!T217," - ",'Cable Info'!U217))</f>
        <v/>
      </c>
      <c r="BG217" s="121" t="str">
        <f t="shared" si="75"/>
        <v/>
      </c>
      <c r="BI217" s="121" t="str">
        <f>IF('Cable Info'!V217="","",CONCATENATE('Cable Info'!V217," - ",'Cable Info'!W217))</f>
        <v/>
      </c>
      <c r="BL217" s="121" t="str">
        <f t="shared" si="76"/>
        <v/>
      </c>
      <c r="CL217" s="250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59"/>
      <c r="F218" s="105" t="s">
        <v>45</v>
      </c>
      <c r="G218" s="262"/>
      <c r="H218" s="115" t="str">
        <f t="shared" si="65"/>
        <v/>
      </c>
      <c r="I218" s="264"/>
      <c r="J218" s="105" t="s">
        <v>45</v>
      </c>
      <c r="K218" s="267"/>
      <c r="L218" s="246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1" t="str">
        <f t="shared" si="67"/>
        <v/>
      </c>
      <c r="Z218" s="252" t="str">
        <f t="shared" si="68"/>
        <v/>
      </c>
      <c r="AA218" s="252" t="str">
        <f t="shared" si="69"/>
        <v/>
      </c>
      <c r="AB218" s="252" t="str">
        <f t="shared" si="70"/>
        <v/>
      </c>
      <c r="AJ218" s="121" t="str">
        <f>IF('Cable Info'!L218="","",CONCATENATE('Cable Info'!L218," - ",'Cable Info'!M218))</f>
        <v>217 - AW</v>
      </c>
      <c r="AM218" s="121" t="str">
        <f t="shared" si="71"/>
        <v>217 - AW</v>
      </c>
      <c r="AO218" s="121" t="str">
        <f>IF('Cable Info'!N218="","",CONCATENATE('Cable Info'!N218," - ",'Cable Info'!O218))</f>
        <v>217 - AW</v>
      </c>
      <c r="AR218" s="121" t="str">
        <f t="shared" si="72"/>
        <v>217 - AW</v>
      </c>
      <c r="AT218" s="121" t="str">
        <f>IF('Cable Info'!P218="","",CONCATENATE('Cable Info'!P218," - ",'Cable Info'!Q218))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Info'!R218="","",CONCATENATE('Cable Info'!R218," - ",'Cable Info'!S218))</f>
        <v/>
      </c>
      <c r="BB218" s="121" t="str">
        <f t="shared" si="74"/>
        <v/>
      </c>
      <c r="BD218" s="121" t="str">
        <f>IF('Cable Info'!T218="","",CONCATENATE('Cable Info'!T218," - ",'Cable Info'!U218))</f>
        <v/>
      </c>
      <c r="BG218" s="121" t="str">
        <f t="shared" si="75"/>
        <v/>
      </c>
      <c r="BI218" s="121" t="str">
        <f>IF('Cable Info'!V218="","",CONCATENATE('Cable Info'!V218," - ",'Cable Info'!W218))</f>
        <v/>
      </c>
      <c r="BL218" s="121" t="str">
        <f t="shared" si="76"/>
        <v/>
      </c>
      <c r="CL218" s="250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59"/>
      <c r="F219" s="105" t="s">
        <v>45</v>
      </c>
      <c r="G219" s="262"/>
      <c r="H219" s="115" t="str">
        <f t="shared" si="65"/>
        <v/>
      </c>
      <c r="I219" s="264"/>
      <c r="J219" s="105" t="s">
        <v>45</v>
      </c>
      <c r="K219" s="267"/>
      <c r="L219" s="246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1" t="str">
        <f t="shared" si="67"/>
        <v/>
      </c>
      <c r="Z219" s="252" t="str">
        <f t="shared" si="68"/>
        <v/>
      </c>
      <c r="AA219" s="252" t="str">
        <f t="shared" si="69"/>
        <v/>
      </c>
      <c r="AB219" s="252" t="str">
        <f t="shared" si="70"/>
        <v/>
      </c>
      <c r="AJ219" s="121" t="str">
        <f>IF('Cable Info'!L219="","",CONCATENATE('Cable Info'!L219," - ",'Cable Info'!M219))</f>
        <v>218 - AW</v>
      </c>
      <c r="AM219" s="121" t="str">
        <f t="shared" si="71"/>
        <v>218 - AW</v>
      </c>
      <c r="AO219" s="121" t="str">
        <f>IF('Cable Info'!N219="","",CONCATENATE('Cable Info'!N219," - ",'Cable Info'!O219))</f>
        <v>218 - AW</v>
      </c>
      <c r="AR219" s="121" t="str">
        <f t="shared" si="72"/>
        <v>218 - AW</v>
      </c>
      <c r="AT219" s="121" t="str">
        <f>IF('Cable Info'!P219="","",CONCATENATE('Cable Info'!P219," - ",'Cable Info'!Q219))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Info'!R219="","",CONCATENATE('Cable Info'!R219," - ",'Cable Info'!S219))</f>
        <v/>
      </c>
      <c r="BB219" s="121" t="str">
        <f t="shared" si="74"/>
        <v/>
      </c>
      <c r="BD219" s="121" t="str">
        <f>IF('Cable Info'!T219="","",CONCATENATE('Cable Info'!T219," - ",'Cable Info'!U219))</f>
        <v/>
      </c>
      <c r="BG219" s="121" t="str">
        <f t="shared" si="75"/>
        <v/>
      </c>
      <c r="BI219" s="121" t="str">
        <f>IF('Cable Info'!V219="","",CONCATENATE('Cable Info'!V219," - ",'Cable Info'!W219))</f>
        <v/>
      </c>
      <c r="BL219" s="121" t="str">
        <f t="shared" si="76"/>
        <v/>
      </c>
      <c r="CL219" s="250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59"/>
      <c r="F220" s="105" t="s">
        <v>45</v>
      </c>
      <c r="G220" s="262"/>
      <c r="H220" s="115" t="str">
        <f t="shared" si="65"/>
        <v/>
      </c>
      <c r="I220" s="264"/>
      <c r="J220" s="105" t="s">
        <v>45</v>
      </c>
      <c r="K220" s="267"/>
      <c r="L220" s="246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1" t="str">
        <f t="shared" si="67"/>
        <v/>
      </c>
      <c r="Z220" s="252" t="str">
        <f t="shared" si="68"/>
        <v/>
      </c>
      <c r="AA220" s="252" t="str">
        <f t="shared" si="69"/>
        <v/>
      </c>
      <c r="AB220" s="252" t="str">
        <f t="shared" si="70"/>
        <v/>
      </c>
      <c r="AJ220" s="121" t="str">
        <f>IF('Cable Info'!L220="","",CONCATENATE('Cable Info'!L220," - ",'Cable Info'!M220))</f>
        <v>219 - AW</v>
      </c>
      <c r="AM220" s="121" t="str">
        <f t="shared" si="71"/>
        <v>219 - AW</v>
      </c>
      <c r="AO220" s="121" t="str">
        <f>IF('Cable Info'!N220="","",CONCATENATE('Cable Info'!N220," - ",'Cable Info'!O220))</f>
        <v>219 - AW</v>
      </c>
      <c r="AR220" s="121" t="str">
        <f t="shared" si="72"/>
        <v>219 - AW</v>
      </c>
      <c r="AT220" s="121" t="str">
        <f>IF('Cable Info'!P220="","",CONCATENATE('Cable Info'!P220," - ",'Cable Info'!Q220))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Info'!R220="","",CONCATENATE('Cable Info'!R220," - ",'Cable Info'!S220))</f>
        <v/>
      </c>
      <c r="BB220" s="121" t="str">
        <f t="shared" si="74"/>
        <v/>
      </c>
      <c r="BD220" s="121" t="str">
        <f>IF('Cable Info'!T220="","",CONCATENATE('Cable Info'!T220," - ",'Cable Info'!U220))</f>
        <v/>
      </c>
      <c r="BG220" s="121" t="str">
        <f t="shared" si="75"/>
        <v/>
      </c>
      <c r="BI220" s="121" t="str">
        <f>IF('Cable Info'!V220="","",CONCATENATE('Cable Info'!V220," - ",'Cable Info'!W220))</f>
        <v/>
      </c>
      <c r="BL220" s="121" t="str">
        <f t="shared" si="76"/>
        <v/>
      </c>
      <c r="CL220" s="250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59"/>
      <c r="F221" s="105" t="s">
        <v>45</v>
      </c>
      <c r="G221" s="262"/>
      <c r="H221" s="115" t="str">
        <f t="shared" si="65"/>
        <v/>
      </c>
      <c r="I221" s="264"/>
      <c r="J221" s="105" t="s">
        <v>45</v>
      </c>
      <c r="K221" s="267"/>
      <c r="L221" s="246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1" t="str">
        <f t="shared" si="67"/>
        <v/>
      </c>
      <c r="Z221" s="252" t="str">
        <f t="shared" si="68"/>
        <v/>
      </c>
      <c r="AA221" s="252" t="str">
        <f t="shared" si="69"/>
        <v/>
      </c>
      <c r="AB221" s="252" t="str">
        <f t="shared" si="70"/>
        <v/>
      </c>
      <c r="AJ221" s="121" t="str">
        <f>IF('Cable Info'!L221="","",CONCATENATE('Cable Info'!L221," - ",'Cable Info'!M221))</f>
        <v>220 - AW</v>
      </c>
      <c r="AM221" s="121" t="str">
        <f t="shared" si="71"/>
        <v>220 - AW</v>
      </c>
      <c r="AO221" s="121" t="str">
        <f>IF('Cable Info'!N221="","",CONCATENATE('Cable Info'!N221," - ",'Cable Info'!O221))</f>
        <v>220 - AW</v>
      </c>
      <c r="AR221" s="121" t="str">
        <f t="shared" si="72"/>
        <v>220 - AW</v>
      </c>
      <c r="AT221" s="121" t="str">
        <f>IF('Cable Info'!P221="","",CONCATENATE('Cable Info'!P221," - ",'Cable Info'!Q221))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Info'!R221="","",CONCATENATE('Cable Info'!R221," - ",'Cable Info'!S221))</f>
        <v/>
      </c>
      <c r="BB221" s="121" t="str">
        <f t="shared" si="74"/>
        <v/>
      </c>
      <c r="BD221" s="121" t="str">
        <f>IF('Cable Info'!T221="","",CONCATENATE('Cable Info'!T221," - ",'Cable Info'!U221))</f>
        <v/>
      </c>
      <c r="BG221" s="121" t="str">
        <f t="shared" si="75"/>
        <v/>
      </c>
      <c r="BI221" s="121" t="str">
        <f>IF('Cable Info'!V221="","",CONCATENATE('Cable Info'!V221," - ",'Cable Info'!W221))</f>
        <v/>
      </c>
      <c r="BL221" s="121" t="str">
        <f t="shared" si="76"/>
        <v/>
      </c>
      <c r="CL221" s="250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59"/>
      <c r="F222" s="105" t="s">
        <v>45</v>
      </c>
      <c r="G222" s="262"/>
      <c r="H222" s="115" t="str">
        <f t="shared" si="65"/>
        <v/>
      </c>
      <c r="I222" s="264"/>
      <c r="J222" s="105" t="s">
        <v>45</v>
      </c>
      <c r="K222" s="267"/>
      <c r="L222" s="246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1" t="str">
        <f t="shared" si="67"/>
        <v/>
      </c>
      <c r="Z222" s="252" t="str">
        <f t="shared" si="68"/>
        <v/>
      </c>
      <c r="AA222" s="252" t="str">
        <f t="shared" si="69"/>
        <v/>
      </c>
      <c r="AB222" s="252" t="str">
        <f t="shared" si="70"/>
        <v/>
      </c>
      <c r="AJ222" s="121" t="str">
        <f>IF('Cable Info'!L222="","",CONCATENATE('Cable Info'!L222," - ",'Cable Info'!M222))</f>
        <v>221 - AW</v>
      </c>
      <c r="AM222" s="121" t="str">
        <f t="shared" si="71"/>
        <v>221 - AW</v>
      </c>
      <c r="AO222" s="121" t="str">
        <f>IF('Cable Info'!N222="","",CONCATENATE('Cable Info'!N222," - ",'Cable Info'!O222))</f>
        <v>221 - AW</v>
      </c>
      <c r="AR222" s="121" t="str">
        <f t="shared" si="72"/>
        <v>221 - AW</v>
      </c>
      <c r="AT222" s="121" t="str">
        <f>IF('Cable Info'!P222="","",CONCATENATE('Cable Info'!P222," - ",'Cable Info'!Q222))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Info'!R222="","",CONCATENATE('Cable Info'!R222," - ",'Cable Info'!S222))</f>
        <v/>
      </c>
      <c r="BB222" s="121" t="str">
        <f t="shared" si="74"/>
        <v/>
      </c>
      <c r="BD222" s="121" t="str">
        <f>IF('Cable Info'!T222="","",CONCATENATE('Cable Info'!T222," - ",'Cable Info'!U222))</f>
        <v/>
      </c>
      <c r="BG222" s="121" t="str">
        <f t="shared" si="75"/>
        <v/>
      </c>
      <c r="BI222" s="121" t="str">
        <f>IF('Cable Info'!V222="","",CONCATENATE('Cable Info'!V222," - ",'Cable Info'!W222))</f>
        <v/>
      </c>
      <c r="BL222" s="121" t="str">
        <f t="shared" si="76"/>
        <v/>
      </c>
      <c r="CL222" s="250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59"/>
      <c r="F223" s="105" t="s">
        <v>45</v>
      </c>
      <c r="G223" s="262"/>
      <c r="H223" s="115" t="str">
        <f t="shared" si="65"/>
        <v/>
      </c>
      <c r="I223" s="264"/>
      <c r="J223" s="105" t="s">
        <v>45</v>
      </c>
      <c r="K223" s="267"/>
      <c r="L223" s="246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1" t="str">
        <f t="shared" si="67"/>
        <v/>
      </c>
      <c r="Z223" s="252" t="str">
        <f t="shared" si="68"/>
        <v/>
      </c>
      <c r="AA223" s="252" t="str">
        <f t="shared" si="69"/>
        <v/>
      </c>
      <c r="AB223" s="252" t="str">
        <f t="shared" si="70"/>
        <v/>
      </c>
      <c r="AJ223" s="121" t="str">
        <f>IF('Cable Info'!L223="","",CONCATENATE('Cable Info'!L223," - ",'Cable Info'!M223))</f>
        <v>222 - AW</v>
      </c>
      <c r="AM223" s="121" t="str">
        <f t="shared" si="71"/>
        <v>222 - AW</v>
      </c>
      <c r="AO223" s="121" t="str">
        <f>IF('Cable Info'!N223="","",CONCATENATE('Cable Info'!N223," - ",'Cable Info'!O223))</f>
        <v>222 - AW</v>
      </c>
      <c r="AR223" s="121" t="str">
        <f t="shared" si="72"/>
        <v>222 - AW</v>
      </c>
      <c r="AT223" s="121" t="str">
        <f>IF('Cable Info'!P223="","",CONCATENATE('Cable Info'!P223," - ",'Cable Info'!Q223))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Info'!R223="","",CONCATENATE('Cable Info'!R223," - ",'Cable Info'!S223))</f>
        <v/>
      </c>
      <c r="BB223" s="121" t="str">
        <f t="shared" si="74"/>
        <v/>
      </c>
      <c r="BD223" s="121" t="str">
        <f>IF('Cable Info'!T223="","",CONCATENATE('Cable Info'!T223," - ",'Cable Info'!U223))</f>
        <v/>
      </c>
      <c r="BG223" s="121" t="str">
        <f t="shared" si="75"/>
        <v/>
      </c>
      <c r="BI223" s="121" t="str">
        <f>IF('Cable Info'!V223="","",CONCATENATE('Cable Info'!V223," - ",'Cable Info'!W223))</f>
        <v/>
      </c>
      <c r="BL223" s="121" t="str">
        <f t="shared" si="76"/>
        <v/>
      </c>
      <c r="CL223" s="250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59"/>
      <c r="F224" s="105" t="s">
        <v>45</v>
      </c>
      <c r="G224" s="262"/>
      <c r="H224" s="115" t="str">
        <f t="shared" si="65"/>
        <v/>
      </c>
      <c r="I224" s="264"/>
      <c r="J224" s="105" t="s">
        <v>45</v>
      </c>
      <c r="K224" s="267"/>
      <c r="L224" s="246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1" t="str">
        <f t="shared" si="67"/>
        <v/>
      </c>
      <c r="Z224" s="252" t="str">
        <f t="shared" si="68"/>
        <v/>
      </c>
      <c r="AA224" s="252" t="str">
        <f t="shared" si="69"/>
        <v/>
      </c>
      <c r="AB224" s="252" t="str">
        <f t="shared" si="70"/>
        <v/>
      </c>
      <c r="AJ224" s="121" t="str">
        <f>IF('Cable Info'!L224="","",CONCATENATE('Cable Info'!L224," - ",'Cable Info'!M224))</f>
        <v>223 - AW</v>
      </c>
      <c r="AM224" s="121" t="str">
        <f t="shared" si="71"/>
        <v>223 - AW</v>
      </c>
      <c r="AO224" s="121" t="str">
        <f>IF('Cable Info'!N224="","",CONCATENATE('Cable Info'!N224," - ",'Cable Info'!O224))</f>
        <v>223 - AW</v>
      </c>
      <c r="AR224" s="121" t="str">
        <f t="shared" si="72"/>
        <v>223 - AW</v>
      </c>
      <c r="AT224" s="121" t="str">
        <f>IF('Cable Info'!P224="","",CONCATENATE('Cable Info'!P224," - ",'Cable Info'!Q224))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Info'!R224="","",CONCATENATE('Cable Info'!R224," - ",'Cable Info'!S224))</f>
        <v/>
      </c>
      <c r="BB224" s="121" t="str">
        <f t="shared" si="74"/>
        <v/>
      </c>
      <c r="BD224" s="121" t="str">
        <f>IF('Cable Info'!T224="","",CONCATENATE('Cable Info'!T224," - ",'Cable Info'!U224))</f>
        <v/>
      </c>
      <c r="BG224" s="121" t="str">
        <f t="shared" si="75"/>
        <v/>
      </c>
      <c r="BI224" s="121" t="str">
        <f>IF('Cable Info'!V224="","",CONCATENATE('Cable Info'!V224," - ",'Cable Info'!W224))</f>
        <v/>
      </c>
      <c r="BL224" s="121" t="str">
        <f t="shared" si="76"/>
        <v/>
      </c>
      <c r="CL224" s="250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59"/>
      <c r="F225" s="105" t="s">
        <v>45</v>
      </c>
      <c r="G225" s="262"/>
      <c r="H225" s="115" t="str">
        <f t="shared" si="65"/>
        <v/>
      </c>
      <c r="I225" s="264"/>
      <c r="J225" s="105" t="s">
        <v>45</v>
      </c>
      <c r="K225" s="267"/>
      <c r="L225" s="246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1" t="str">
        <f t="shared" si="67"/>
        <v/>
      </c>
      <c r="Z225" s="252" t="str">
        <f t="shared" si="68"/>
        <v/>
      </c>
      <c r="AA225" s="252" t="str">
        <f t="shared" si="69"/>
        <v/>
      </c>
      <c r="AB225" s="252" t="str">
        <f t="shared" si="70"/>
        <v/>
      </c>
      <c r="AJ225" s="121" t="str">
        <f>IF('Cable Info'!L225="","",CONCATENATE('Cable Info'!L225," - ",'Cable Info'!M225))</f>
        <v>224 - AW</v>
      </c>
      <c r="AM225" s="121" t="str">
        <f t="shared" si="71"/>
        <v>224 - AW</v>
      </c>
      <c r="AO225" s="121" t="str">
        <f>IF('Cable Info'!N225="","",CONCATENATE('Cable Info'!N225," - ",'Cable Info'!O225))</f>
        <v>224 - AW</v>
      </c>
      <c r="AR225" s="121" t="str">
        <f t="shared" si="72"/>
        <v>224 - AW</v>
      </c>
      <c r="AT225" s="121" t="str">
        <f>IF('Cable Info'!P225="","",CONCATENATE('Cable Info'!P225," - ",'Cable Info'!Q225))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Info'!R225="","",CONCATENATE('Cable Info'!R225," - ",'Cable Info'!S225))</f>
        <v/>
      </c>
      <c r="BB225" s="121" t="str">
        <f t="shared" si="74"/>
        <v/>
      </c>
      <c r="BD225" s="121" t="str">
        <f>IF('Cable Info'!T225="","",CONCATENATE('Cable Info'!T225," - ",'Cable Info'!U225))</f>
        <v/>
      </c>
      <c r="BG225" s="121" t="str">
        <f t="shared" si="75"/>
        <v/>
      </c>
      <c r="BI225" s="121" t="str">
        <f>IF('Cable Info'!V225="","",CONCATENATE('Cable Info'!V225," - ",'Cable Info'!W225))</f>
        <v/>
      </c>
      <c r="BL225" s="121" t="str">
        <f t="shared" si="76"/>
        <v/>
      </c>
      <c r="CL225" s="250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59"/>
      <c r="F226" s="105" t="s">
        <v>45</v>
      </c>
      <c r="G226" s="262"/>
      <c r="H226" s="115" t="str">
        <f t="shared" si="65"/>
        <v/>
      </c>
      <c r="I226" s="264"/>
      <c r="J226" s="105" t="s">
        <v>45</v>
      </c>
      <c r="K226" s="267"/>
      <c r="L226" s="246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1" t="str">
        <f t="shared" si="67"/>
        <v/>
      </c>
      <c r="Z226" s="252" t="str">
        <f t="shared" si="68"/>
        <v/>
      </c>
      <c r="AA226" s="252" t="str">
        <f t="shared" si="69"/>
        <v/>
      </c>
      <c r="AB226" s="252" t="str">
        <f t="shared" si="70"/>
        <v/>
      </c>
      <c r="AJ226" s="121" t="str">
        <f>IF('Cable Info'!L226="","",CONCATENATE('Cable Info'!L226," - ",'Cable Info'!M226))</f>
        <v>225 - AW</v>
      </c>
      <c r="AM226" s="121" t="str">
        <f t="shared" si="71"/>
        <v>225 - AW</v>
      </c>
      <c r="AO226" s="121" t="str">
        <f>IF('Cable Info'!N226="","",CONCATENATE('Cable Info'!N226," - ",'Cable Info'!O226))</f>
        <v>225 - AW</v>
      </c>
      <c r="AR226" s="121" t="str">
        <f t="shared" si="72"/>
        <v>225 - AW</v>
      </c>
      <c r="AT226" s="121" t="str">
        <f>IF('Cable Info'!P226="","",CONCATENATE('Cable Info'!P226," - ",'Cable Info'!Q226))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Info'!R226="","",CONCATENATE('Cable Info'!R226," - ",'Cable Info'!S226))</f>
        <v/>
      </c>
      <c r="BB226" s="121" t="str">
        <f t="shared" si="74"/>
        <v/>
      </c>
      <c r="BD226" s="121" t="str">
        <f>IF('Cable Info'!T226="","",CONCATENATE('Cable Info'!T226," - ",'Cable Info'!U226))</f>
        <v/>
      </c>
      <c r="BG226" s="121" t="str">
        <f t="shared" si="75"/>
        <v/>
      </c>
      <c r="BI226" s="121" t="str">
        <f>IF('Cable Info'!V226="","",CONCATENATE('Cable Info'!V226," - ",'Cable Info'!W226))</f>
        <v/>
      </c>
      <c r="BL226" s="121" t="str">
        <f t="shared" si="76"/>
        <v/>
      </c>
      <c r="CL226" s="250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59"/>
      <c r="F227" s="105" t="s">
        <v>45</v>
      </c>
      <c r="G227" s="262"/>
      <c r="H227" s="115" t="str">
        <f t="shared" si="65"/>
        <v/>
      </c>
      <c r="I227" s="264"/>
      <c r="J227" s="105" t="s">
        <v>45</v>
      </c>
      <c r="K227" s="267"/>
      <c r="L227" s="246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1" t="str">
        <f t="shared" si="67"/>
        <v/>
      </c>
      <c r="Z227" s="252" t="str">
        <f t="shared" si="68"/>
        <v/>
      </c>
      <c r="AA227" s="252" t="str">
        <f t="shared" si="69"/>
        <v/>
      </c>
      <c r="AB227" s="252" t="str">
        <f t="shared" si="70"/>
        <v/>
      </c>
      <c r="AJ227" s="121" t="str">
        <f>IF('Cable Info'!L227="","",CONCATENATE('Cable Info'!L227," - ",'Cable Info'!M227))</f>
        <v>226 - AW</v>
      </c>
      <c r="AM227" s="121" t="str">
        <f t="shared" si="71"/>
        <v>226 - AW</v>
      </c>
      <c r="AO227" s="121" t="str">
        <f>IF('Cable Info'!N227="","",CONCATENATE('Cable Info'!N227," - ",'Cable Info'!O227))</f>
        <v>226 - AW</v>
      </c>
      <c r="AR227" s="121" t="str">
        <f t="shared" si="72"/>
        <v>226 - AW</v>
      </c>
      <c r="AT227" s="121" t="str">
        <f>IF('Cable Info'!P227="","",CONCATENATE('Cable Info'!P227," - ",'Cable Info'!Q227))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Info'!R227="","",CONCATENATE('Cable Info'!R227," - ",'Cable Info'!S227))</f>
        <v/>
      </c>
      <c r="BB227" s="121" t="str">
        <f t="shared" si="74"/>
        <v/>
      </c>
      <c r="BD227" s="121" t="str">
        <f>IF('Cable Info'!T227="","",CONCATENATE('Cable Info'!T227," - ",'Cable Info'!U227))</f>
        <v/>
      </c>
      <c r="BG227" s="121" t="str">
        <f t="shared" si="75"/>
        <v/>
      </c>
      <c r="BI227" s="121" t="str">
        <f>IF('Cable Info'!V227="","",CONCATENATE('Cable Info'!V227," - ",'Cable Info'!W227))</f>
        <v/>
      </c>
      <c r="BL227" s="121" t="str">
        <f t="shared" si="76"/>
        <v/>
      </c>
      <c r="CL227" s="250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59"/>
      <c r="F228" s="105" t="s">
        <v>45</v>
      </c>
      <c r="G228" s="262"/>
      <c r="H228" s="115" t="str">
        <f t="shared" si="65"/>
        <v/>
      </c>
      <c r="I228" s="264"/>
      <c r="J228" s="105" t="s">
        <v>45</v>
      </c>
      <c r="K228" s="267"/>
      <c r="L228" s="246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1" t="str">
        <f t="shared" si="67"/>
        <v/>
      </c>
      <c r="Z228" s="252" t="str">
        <f t="shared" si="68"/>
        <v/>
      </c>
      <c r="AA228" s="252" t="str">
        <f t="shared" si="69"/>
        <v/>
      </c>
      <c r="AB228" s="252" t="str">
        <f t="shared" si="70"/>
        <v/>
      </c>
      <c r="AJ228" s="121" t="str">
        <f>IF('Cable Info'!L228="","",CONCATENATE('Cable Info'!L228," - ",'Cable Info'!M228))</f>
        <v>227 - AW</v>
      </c>
      <c r="AM228" s="121" t="str">
        <f t="shared" si="71"/>
        <v>227 - AW</v>
      </c>
      <c r="AO228" s="121" t="str">
        <f>IF('Cable Info'!N228="","",CONCATENATE('Cable Info'!N228," - ",'Cable Info'!O228))</f>
        <v>227 - AW</v>
      </c>
      <c r="AR228" s="121" t="str">
        <f t="shared" si="72"/>
        <v>227 - AW</v>
      </c>
      <c r="AT228" s="121" t="str">
        <f>IF('Cable Info'!P228="","",CONCATENATE('Cable Info'!P228," - ",'Cable Info'!Q228))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Info'!R228="","",CONCATENATE('Cable Info'!R228," - ",'Cable Info'!S228))</f>
        <v/>
      </c>
      <c r="BB228" s="121" t="str">
        <f t="shared" si="74"/>
        <v/>
      </c>
      <c r="BD228" s="121" t="str">
        <f>IF('Cable Info'!T228="","",CONCATENATE('Cable Info'!T228," - ",'Cable Info'!U228))</f>
        <v/>
      </c>
      <c r="BG228" s="121" t="str">
        <f t="shared" si="75"/>
        <v/>
      </c>
      <c r="BI228" s="121" t="str">
        <f>IF('Cable Info'!V228="","",CONCATENATE('Cable Info'!V228," - ",'Cable Info'!W228))</f>
        <v/>
      </c>
      <c r="BL228" s="121" t="str">
        <f t="shared" si="76"/>
        <v/>
      </c>
      <c r="CL228" s="250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59"/>
      <c r="F229" s="105" t="s">
        <v>45</v>
      </c>
      <c r="G229" s="262"/>
      <c r="H229" s="115" t="str">
        <f t="shared" si="65"/>
        <v/>
      </c>
      <c r="I229" s="264"/>
      <c r="J229" s="105" t="s">
        <v>45</v>
      </c>
      <c r="K229" s="267"/>
      <c r="L229" s="246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1" t="str">
        <f t="shared" si="67"/>
        <v/>
      </c>
      <c r="Z229" s="252" t="str">
        <f t="shared" si="68"/>
        <v/>
      </c>
      <c r="AA229" s="252" t="str">
        <f t="shared" si="69"/>
        <v/>
      </c>
      <c r="AB229" s="252" t="str">
        <f t="shared" si="70"/>
        <v/>
      </c>
      <c r="AJ229" s="121" t="str">
        <f>IF('Cable Info'!L229="","",CONCATENATE('Cable Info'!L229," - ",'Cable Info'!M229))</f>
        <v>228 - AW</v>
      </c>
      <c r="AM229" s="121" t="str">
        <f t="shared" si="71"/>
        <v>228 - AW</v>
      </c>
      <c r="AO229" s="121" t="str">
        <f>IF('Cable Info'!N229="","",CONCATENATE('Cable Info'!N229," - ",'Cable Info'!O229))</f>
        <v>228 - AW</v>
      </c>
      <c r="AR229" s="121" t="str">
        <f t="shared" si="72"/>
        <v>228 - AW</v>
      </c>
      <c r="AT229" s="121" t="str">
        <f>IF('Cable Info'!P229="","",CONCATENATE('Cable Info'!P229," - ",'Cable Info'!Q229))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Info'!R229="","",CONCATENATE('Cable Info'!R229," - ",'Cable Info'!S229))</f>
        <v/>
      </c>
      <c r="BB229" s="121" t="str">
        <f t="shared" si="74"/>
        <v/>
      </c>
      <c r="BD229" s="121" t="str">
        <f>IF('Cable Info'!T229="","",CONCATENATE('Cable Info'!T229," - ",'Cable Info'!U229))</f>
        <v/>
      </c>
      <c r="BG229" s="121" t="str">
        <f t="shared" si="75"/>
        <v/>
      </c>
      <c r="BI229" s="121" t="str">
        <f>IF('Cable Info'!V229="","",CONCATENATE('Cable Info'!V229," - ",'Cable Info'!W229))</f>
        <v/>
      </c>
      <c r="BL229" s="121" t="str">
        <f t="shared" si="76"/>
        <v/>
      </c>
      <c r="CL229" s="250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59"/>
      <c r="F230" s="105" t="s">
        <v>45</v>
      </c>
      <c r="G230" s="262"/>
      <c r="H230" s="115" t="str">
        <f t="shared" si="65"/>
        <v/>
      </c>
      <c r="I230" s="264"/>
      <c r="J230" s="105" t="s">
        <v>45</v>
      </c>
      <c r="K230" s="267"/>
      <c r="L230" s="246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1" t="str">
        <f t="shared" si="67"/>
        <v/>
      </c>
      <c r="Z230" s="252" t="str">
        <f t="shared" si="68"/>
        <v/>
      </c>
      <c r="AA230" s="252" t="str">
        <f t="shared" si="69"/>
        <v/>
      </c>
      <c r="AB230" s="252" t="str">
        <f t="shared" si="70"/>
        <v/>
      </c>
      <c r="AJ230" s="121" t="str">
        <f>IF('Cable Info'!L230="","",CONCATENATE('Cable Info'!L230," - ",'Cable Info'!M230))</f>
        <v>229 - AW</v>
      </c>
      <c r="AM230" s="121" t="str">
        <f t="shared" si="71"/>
        <v>229 - AW</v>
      </c>
      <c r="AO230" s="121" t="str">
        <f>IF('Cable Info'!N230="","",CONCATENATE('Cable Info'!N230," - ",'Cable Info'!O230))</f>
        <v>229 - AW</v>
      </c>
      <c r="AR230" s="121" t="str">
        <f t="shared" si="72"/>
        <v>229 - AW</v>
      </c>
      <c r="AT230" s="121" t="str">
        <f>IF('Cable Info'!P230="","",CONCATENATE('Cable Info'!P230," - ",'Cable Info'!Q230))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Info'!R230="","",CONCATENATE('Cable Info'!R230," - ",'Cable Info'!S230))</f>
        <v/>
      </c>
      <c r="BB230" s="121" t="str">
        <f t="shared" si="74"/>
        <v/>
      </c>
      <c r="BD230" s="121" t="str">
        <f>IF('Cable Info'!T230="","",CONCATENATE('Cable Info'!T230," - ",'Cable Info'!U230))</f>
        <v/>
      </c>
      <c r="BG230" s="121" t="str">
        <f t="shared" si="75"/>
        <v/>
      </c>
      <c r="BI230" s="121" t="str">
        <f>IF('Cable Info'!V230="","",CONCATENATE('Cable Info'!V230," - ",'Cable Info'!W230))</f>
        <v/>
      </c>
      <c r="BL230" s="121" t="str">
        <f t="shared" si="76"/>
        <v/>
      </c>
      <c r="CL230" s="250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59"/>
      <c r="F231" s="105" t="s">
        <v>45</v>
      </c>
      <c r="G231" s="262"/>
      <c r="H231" s="115" t="str">
        <f t="shared" si="65"/>
        <v/>
      </c>
      <c r="I231" s="264"/>
      <c r="J231" s="105" t="s">
        <v>45</v>
      </c>
      <c r="K231" s="267"/>
      <c r="L231" s="246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1" t="str">
        <f t="shared" si="67"/>
        <v/>
      </c>
      <c r="Z231" s="252" t="str">
        <f t="shared" si="68"/>
        <v/>
      </c>
      <c r="AA231" s="252" t="str">
        <f t="shared" si="69"/>
        <v/>
      </c>
      <c r="AB231" s="252" t="str">
        <f t="shared" si="70"/>
        <v/>
      </c>
      <c r="AJ231" s="121" t="str">
        <f>IF('Cable Info'!L231="","",CONCATENATE('Cable Info'!L231," - ",'Cable Info'!M231))</f>
        <v>230 - AW</v>
      </c>
      <c r="AM231" s="121" t="str">
        <f t="shared" si="71"/>
        <v>230 - AW</v>
      </c>
      <c r="AO231" s="121" t="str">
        <f>IF('Cable Info'!N231="","",CONCATENATE('Cable Info'!N231," - ",'Cable Info'!O231))</f>
        <v>230 - AW</v>
      </c>
      <c r="AR231" s="121" t="str">
        <f t="shared" si="72"/>
        <v>230 - AW</v>
      </c>
      <c r="AT231" s="121" t="str">
        <f>IF('Cable Info'!P231="","",CONCATENATE('Cable Info'!P231," - ",'Cable Info'!Q231))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Info'!R231="","",CONCATENATE('Cable Info'!R231," - ",'Cable Info'!S231))</f>
        <v/>
      </c>
      <c r="BB231" s="121" t="str">
        <f t="shared" si="74"/>
        <v/>
      </c>
      <c r="BD231" s="121" t="str">
        <f>IF('Cable Info'!T231="","",CONCATENATE('Cable Info'!T231," - ",'Cable Info'!U231))</f>
        <v/>
      </c>
      <c r="BG231" s="121" t="str">
        <f t="shared" si="75"/>
        <v/>
      </c>
      <c r="BI231" s="121" t="str">
        <f>IF('Cable Info'!V231="","",CONCATENATE('Cable Info'!V231," - ",'Cable Info'!W231))</f>
        <v/>
      </c>
      <c r="BL231" s="121" t="str">
        <f t="shared" si="76"/>
        <v/>
      </c>
      <c r="CL231" s="250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59"/>
      <c r="F232" s="105" t="s">
        <v>45</v>
      </c>
      <c r="G232" s="262"/>
      <c r="H232" s="115" t="str">
        <f t="shared" si="65"/>
        <v/>
      </c>
      <c r="I232" s="264"/>
      <c r="J232" s="105" t="s">
        <v>45</v>
      </c>
      <c r="K232" s="267"/>
      <c r="L232" s="246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1" t="str">
        <f t="shared" si="67"/>
        <v/>
      </c>
      <c r="Z232" s="252" t="str">
        <f t="shared" si="68"/>
        <v/>
      </c>
      <c r="AA232" s="252" t="str">
        <f t="shared" si="69"/>
        <v/>
      </c>
      <c r="AB232" s="252" t="str">
        <f t="shared" si="70"/>
        <v/>
      </c>
      <c r="AJ232" s="121" t="str">
        <f>IF('Cable Info'!L232="","",CONCATENATE('Cable Info'!L232," - ",'Cable Info'!M232))</f>
        <v>231 - AW</v>
      </c>
      <c r="AM232" s="121" t="str">
        <f t="shared" si="71"/>
        <v>231 - AW</v>
      </c>
      <c r="AO232" s="121" t="str">
        <f>IF('Cable Info'!N232="","",CONCATENATE('Cable Info'!N232," - ",'Cable Info'!O232))</f>
        <v>231 - AW</v>
      </c>
      <c r="AR232" s="121" t="str">
        <f t="shared" si="72"/>
        <v>231 - AW</v>
      </c>
      <c r="AT232" s="121" t="str">
        <f>IF('Cable Info'!P232="","",CONCATENATE('Cable Info'!P232," - ",'Cable Info'!Q232))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Info'!R232="","",CONCATENATE('Cable Info'!R232," - ",'Cable Info'!S232))</f>
        <v/>
      </c>
      <c r="BB232" s="121" t="str">
        <f t="shared" si="74"/>
        <v/>
      </c>
      <c r="BD232" s="121" t="str">
        <f>IF('Cable Info'!T232="","",CONCATENATE('Cable Info'!T232," - ",'Cable Info'!U232))</f>
        <v/>
      </c>
      <c r="BG232" s="121" t="str">
        <f t="shared" si="75"/>
        <v/>
      </c>
      <c r="BI232" s="121" t="str">
        <f>IF('Cable Info'!V232="","",CONCATENATE('Cable Info'!V232," - ",'Cable Info'!W232))</f>
        <v/>
      </c>
      <c r="BL232" s="121" t="str">
        <f t="shared" si="76"/>
        <v/>
      </c>
      <c r="CL232" s="250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59"/>
      <c r="F233" s="105" t="s">
        <v>45</v>
      </c>
      <c r="G233" s="262"/>
      <c r="H233" s="115" t="str">
        <f t="shared" si="65"/>
        <v/>
      </c>
      <c r="I233" s="264"/>
      <c r="J233" s="105" t="s">
        <v>45</v>
      </c>
      <c r="K233" s="267"/>
      <c r="L233" s="246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1" t="str">
        <f t="shared" si="67"/>
        <v/>
      </c>
      <c r="Z233" s="252" t="str">
        <f t="shared" si="68"/>
        <v/>
      </c>
      <c r="AA233" s="252" t="str">
        <f t="shared" si="69"/>
        <v/>
      </c>
      <c r="AB233" s="252" t="str">
        <f t="shared" si="70"/>
        <v/>
      </c>
      <c r="AJ233" s="121" t="str">
        <f>IF('Cable Info'!L233="","",CONCATENATE('Cable Info'!L233," - ",'Cable Info'!M233))</f>
        <v>232 - AW</v>
      </c>
      <c r="AM233" s="121" t="str">
        <f t="shared" si="71"/>
        <v>232 - AW</v>
      </c>
      <c r="AO233" s="121" t="str">
        <f>IF('Cable Info'!N233="","",CONCATENATE('Cable Info'!N233," - ",'Cable Info'!O233))</f>
        <v>232 - AW</v>
      </c>
      <c r="AR233" s="121" t="str">
        <f t="shared" si="72"/>
        <v>232 - AW</v>
      </c>
      <c r="AT233" s="121" t="str">
        <f>IF('Cable Info'!P233="","",CONCATENATE('Cable Info'!P233," - ",'Cable Info'!Q233))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Info'!R233="","",CONCATENATE('Cable Info'!R233," - ",'Cable Info'!S233))</f>
        <v/>
      </c>
      <c r="BB233" s="121" t="str">
        <f t="shared" si="74"/>
        <v/>
      </c>
      <c r="BD233" s="121" t="str">
        <f>IF('Cable Info'!T233="","",CONCATENATE('Cable Info'!T233," - ",'Cable Info'!U233))</f>
        <v/>
      </c>
      <c r="BG233" s="121" t="str">
        <f t="shared" si="75"/>
        <v/>
      </c>
      <c r="BI233" s="121" t="str">
        <f>IF('Cable Info'!V233="","",CONCATENATE('Cable Info'!V233," - ",'Cable Info'!W233))</f>
        <v/>
      </c>
      <c r="BL233" s="121" t="str">
        <f t="shared" si="76"/>
        <v/>
      </c>
      <c r="CL233" s="250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59"/>
      <c r="F234" s="105" t="s">
        <v>45</v>
      </c>
      <c r="G234" s="262"/>
      <c r="H234" s="115" t="str">
        <f t="shared" si="65"/>
        <v/>
      </c>
      <c r="I234" s="264"/>
      <c r="J234" s="105" t="s">
        <v>45</v>
      </c>
      <c r="K234" s="267"/>
      <c r="L234" s="246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1" t="str">
        <f t="shared" si="67"/>
        <v/>
      </c>
      <c r="Z234" s="252" t="str">
        <f t="shared" si="68"/>
        <v/>
      </c>
      <c r="AA234" s="252" t="str">
        <f t="shared" si="69"/>
        <v/>
      </c>
      <c r="AB234" s="252" t="str">
        <f t="shared" si="70"/>
        <v/>
      </c>
      <c r="AJ234" s="121" t="str">
        <f>IF('Cable Info'!L234="","",CONCATENATE('Cable Info'!L234," - ",'Cable Info'!M234))</f>
        <v>233 - AW</v>
      </c>
      <c r="AM234" s="121" t="str">
        <f t="shared" si="71"/>
        <v>233 - AW</v>
      </c>
      <c r="AO234" s="121" t="str">
        <f>IF('Cable Info'!N234="","",CONCATENATE('Cable Info'!N234," - ",'Cable Info'!O234))</f>
        <v>233 - AW</v>
      </c>
      <c r="AR234" s="121" t="str">
        <f t="shared" si="72"/>
        <v>233 - AW</v>
      </c>
      <c r="AT234" s="121" t="str">
        <f>IF('Cable Info'!P234="","",CONCATENATE('Cable Info'!P234," - ",'Cable Info'!Q234))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Info'!R234="","",CONCATENATE('Cable Info'!R234," - ",'Cable Info'!S234))</f>
        <v/>
      </c>
      <c r="BB234" s="121" t="str">
        <f t="shared" si="74"/>
        <v/>
      </c>
      <c r="BD234" s="121" t="str">
        <f>IF('Cable Info'!T234="","",CONCATENATE('Cable Info'!T234," - ",'Cable Info'!U234))</f>
        <v/>
      </c>
      <c r="BG234" s="121" t="str">
        <f t="shared" si="75"/>
        <v/>
      </c>
      <c r="BI234" s="121" t="str">
        <f>IF('Cable Info'!V234="","",CONCATENATE('Cable Info'!V234," - ",'Cable Info'!W234))</f>
        <v/>
      </c>
      <c r="BL234" s="121" t="str">
        <f t="shared" si="76"/>
        <v/>
      </c>
      <c r="CL234" s="250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59"/>
      <c r="F235" s="105" t="s">
        <v>45</v>
      </c>
      <c r="G235" s="262"/>
      <c r="H235" s="115" t="str">
        <f t="shared" si="65"/>
        <v/>
      </c>
      <c r="I235" s="264"/>
      <c r="J235" s="105" t="s">
        <v>45</v>
      </c>
      <c r="K235" s="267"/>
      <c r="L235" s="246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1" t="str">
        <f t="shared" si="67"/>
        <v/>
      </c>
      <c r="Z235" s="252" t="str">
        <f t="shared" si="68"/>
        <v/>
      </c>
      <c r="AA235" s="252" t="str">
        <f t="shared" si="69"/>
        <v/>
      </c>
      <c r="AB235" s="252" t="str">
        <f t="shared" si="70"/>
        <v/>
      </c>
      <c r="AJ235" s="121" t="str">
        <f>IF('Cable Info'!L235="","",CONCATENATE('Cable Info'!L235," - ",'Cable Info'!M235))</f>
        <v>234 - AW</v>
      </c>
      <c r="AM235" s="121" t="str">
        <f t="shared" si="71"/>
        <v>234 - AW</v>
      </c>
      <c r="AO235" s="121" t="str">
        <f>IF('Cable Info'!N235="","",CONCATENATE('Cable Info'!N235," - ",'Cable Info'!O235))</f>
        <v>234 - AW</v>
      </c>
      <c r="AR235" s="121" t="str">
        <f t="shared" si="72"/>
        <v>234 - AW</v>
      </c>
      <c r="AT235" s="121" t="str">
        <f>IF('Cable Info'!P235="","",CONCATENATE('Cable Info'!P235," - ",'Cable Info'!Q235))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Info'!R235="","",CONCATENATE('Cable Info'!R235," - ",'Cable Info'!S235))</f>
        <v/>
      </c>
      <c r="BB235" s="121" t="str">
        <f t="shared" si="74"/>
        <v/>
      </c>
      <c r="BD235" s="121" t="str">
        <f>IF('Cable Info'!T235="","",CONCATENATE('Cable Info'!T235," - ",'Cable Info'!U235))</f>
        <v/>
      </c>
      <c r="BG235" s="121" t="str">
        <f t="shared" si="75"/>
        <v/>
      </c>
      <c r="BI235" s="121" t="str">
        <f>IF('Cable Info'!V235="","",CONCATENATE('Cable Info'!V235," - ",'Cable Info'!W235))</f>
        <v/>
      </c>
      <c r="BL235" s="121" t="str">
        <f t="shared" si="76"/>
        <v/>
      </c>
      <c r="CL235" s="250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59"/>
      <c r="F236" s="105" t="s">
        <v>45</v>
      </c>
      <c r="G236" s="262"/>
      <c r="H236" s="115" t="str">
        <f t="shared" si="65"/>
        <v/>
      </c>
      <c r="I236" s="264"/>
      <c r="J236" s="105" t="s">
        <v>45</v>
      </c>
      <c r="K236" s="267"/>
      <c r="L236" s="246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1" t="str">
        <f t="shared" si="67"/>
        <v/>
      </c>
      <c r="Z236" s="252" t="str">
        <f t="shared" si="68"/>
        <v/>
      </c>
      <c r="AA236" s="252" t="str">
        <f t="shared" si="69"/>
        <v/>
      </c>
      <c r="AB236" s="252" t="str">
        <f t="shared" si="70"/>
        <v/>
      </c>
      <c r="AJ236" s="121" t="str">
        <f>IF('Cable Info'!L236="","",CONCATENATE('Cable Info'!L236," - ",'Cable Info'!M236))</f>
        <v>235 - AW</v>
      </c>
      <c r="AM236" s="121" t="str">
        <f t="shared" si="71"/>
        <v>235 - AW</v>
      </c>
      <c r="AO236" s="121" t="str">
        <f>IF('Cable Info'!N236="","",CONCATENATE('Cable Info'!N236," - ",'Cable Info'!O236))</f>
        <v>235 - AW</v>
      </c>
      <c r="AR236" s="121" t="str">
        <f t="shared" si="72"/>
        <v>235 - AW</v>
      </c>
      <c r="AT236" s="121" t="str">
        <f>IF('Cable Info'!P236="","",CONCATENATE('Cable Info'!P236," - ",'Cable Info'!Q236))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Info'!R236="","",CONCATENATE('Cable Info'!R236," - ",'Cable Info'!S236))</f>
        <v/>
      </c>
      <c r="BB236" s="121" t="str">
        <f t="shared" si="74"/>
        <v/>
      </c>
      <c r="BD236" s="121" t="str">
        <f>IF('Cable Info'!T236="","",CONCATENATE('Cable Info'!T236," - ",'Cable Info'!U236))</f>
        <v/>
      </c>
      <c r="BG236" s="121" t="str">
        <f t="shared" si="75"/>
        <v/>
      </c>
      <c r="BI236" s="121" t="str">
        <f>IF('Cable Info'!V236="","",CONCATENATE('Cable Info'!V236," - ",'Cable Info'!W236))</f>
        <v/>
      </c>
      <c r="BL236" s="121" t="str">
        <f t="shared" si="76"/>
        <v/>
      </c>
      <c r="CL236" s="250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59"/>
      <c r="F237" s="105" t="s">
        <v>45</v>
      </c>
      <c r="G237" s="262"/>
      <c r="H237" s="115" t="str">
        <f t="shared" si="65"/>
        <v/>
      </c>
      <c r="I237" s="264"/>
      <c r="J237" s="105" t="s">
        <v>45</v>
      </c>
      <c r="K237" s="267"/>
      <c r="L237" s="246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1" t="str">
        <f t="shared" si="67"/>
        <v/>
      </c>
      <c r="Z237" s="252" t="str">
        <f t="shared" si="68"/>
        <v/>
      </c>
      <c r="AA237" s="252" t="str">
        <f t="shared" si="69"/>
        <v/>
      </c>
      <c r="AB237" s="252" t="str">
        <f t="shared" si="70"/>
        <v/>
      </c>
      <c r="AJ237" s="121" t="str">
        <f>IF('Cable Info'!L237="","",CONCATENATE('Cable Info'!L237," - ",'Cable Info'!M237))</f>
        <v>236 - AW</v>
      </c>
      <c r="AM237" s="121" t="str">
        <f t="shared" si="71"/>
        <v>236 - AW</v>
      </c>
      <c r="AO237" s="121" t="str">
        <f>IF('Cable Info'!N237="","",CONCATENATE('Cable Info'!N237," - ",'Cable Info'!O237))</f>
        <v>236 - AW</v>
      </c>
      <c r="AR237" s="121" t="str">
        <f t="shared" si="72"/>
        <v>236 - AW</v>
      </c>
      <c r="AT237" s="121" t="str">
        <f>IF('Cable Info'!P237="","",CONCATENATE('Cable Info'!P237," - ",'Cable Info'!Q237))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Info'!R237="","",CONCATENATE('Cable Info'!R237," - ",'Cable Info'!S237))</f>
        <v/>
      </c>
      <c r="BB237" s="121" t="str">
        <f t="shared" si="74"/>
        <v/>
      </c>
      <c r="BD237" s="121" t="str">
        <f>IF('Cable Info'!T237="","",CONCATENATE('Cable Info'!T237," - ",'Cable Info'!U237))</f>
        <v/>
      </c>
      <c r="BG237" s="121" t="str">
        <f t="shared" si="75"/>
        <v/>
      </c>
      <c r="BI237" s="121" t="str">
        <f>IF('Cable Info'!V237="","",CONCATENATE('Cable Info'!V237," - ",'Cable Info'!W237))</f>
        <v/>
      </c>
      <c r="BL237" s="121" t="str">
        <f t="shared" si="76"/>
        <v/>
      </c>
      <c r="CL237" s="250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59"/>
      <c r="F238" s="105" t="s">
        <v>45</v>
      </c>
      <c r="G238" s="262"/>
      <c r="H238" s="115" t="str">
        <f t="shared" si="65"/>
        <v/>
      </c>
      <c r="I238" s="264"/>
      <c r="J238" s="105" t="s">
        <v>45</v>
      </c>
      <c r="K238" s="267"/>
      <c r="L238" s="246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1" t="str">
        <f t="shared" si="67"/>
        <v/>
      </c>
      <c r="Z238" s="252" t="str">
        <f t="shared" si="68"/>
        <v/>
      </c>
      <c r="AA238" s="252" t="str">
        <f t="shared" si="69"/>
        <v/>
      </c>
      <c r="AB238" s="252" t="str">
        <f t="shared" si="70"/>
        <v/>
      </c>
      <c r="AJ238" s="121" t="str">
        <f>IF('Cable Info'!L238="","",CONCATENATE('Cable Info'!L238," - ",'Cable Info'!M238))</f>
        <v>237 - AW</v>
      </c>
      <c r="AM238" s="121" t="str">
        <f t="shared" si="71"/>
        <v>237 - AW</v>
      </c>
      <c r="AO238" s="121" t="str">
        <f>IF('Cable Info'!N238="","",CONCATENATE('Cable Info'!N238," - ",'Cable Info'!O238))</f>
        <v>237 - AW</v>
      </c>
      <c r="AR238" s="121" t="str">
        <f t="shared" si="72"/>
        <v>237 - AW</v>
      </c>
      <c r="AT238" s="121" t="str">
        <f>IF('Cable Info'!P238="","",CONCATENATE('Cable Info'!P238," - ",'Cable Info'!Q238))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Info'!R238="","",CONCATENATE('Cable Info'!R238," - ",'Cable Info'!S238))</f>
        <v/>
      </c>
      <c r="BB238" s="121" t="str">
        <f t="shared" si="74"/>
        <v/>
      </c>
      <c r="BD238" s="121" t="str">
        <f>IF('Cable Info'!T238="","",CONCATENATE('Cable Info'!T238," - ",'Cable Info'!U238))</f>
        <v/>
      </c>
      <c r="BG238" s="121" t="str">
        <f t="shared" si="75"/>
        <v/>
      </c>
      <c r="BI238" s="121" t="str">
        <f>IF('Cable Info'!V238="","",CONCATENATE('Cable Info'!V238," - ",'Cable Info'!W238))</f>
        <v/>
      </c>
      <c r="BL238" s="121" t="str">
        <f t="shared" si="76"/>
        <v/>
      </c>
      <c r="CL238" s="250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59"/>
      <c r="F239" s="105" t="s">
        <v>45</v>
      </c>
      <c r="G239" s="262"/>
      <c r="H239" s="115" t="str">
        <f t="shared" si="65"/>
        <v/>
      </c>
      <c r="I239" s="264"/>
      <c r="J239" s="105" t="s">
        <v>45</v>
      </c>
      <c r="K239" s="267"/>
      <c r="L239" s="246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1" t="str">
        <f t="shared" si="67"/>
        <v/>
      </c>
      <c r="Z239" s="252" t="str">
        <f t="shared" si="68"/>
        <v/>
      </c>
      <c r="AA239" s="252" t="str">
        <f t="shared" si="69"/>
        <v/>
      </c>
      <c r="AB239" s="252" t="str">
        <f t="shared" si="70"/>
        <v/>
      </c>
      <c r="AJ239" s="121" t="str">
        <f>IF('Cable Info'!L239="","",CONCATENATE('Cable Info'!L239," - ",'Cable Info'!M239))</f>
        <v>238 - AW</v>
      </c>
      <c r="AM239" s="121" t="str">
        <f t="shared" si="71"/>
        <v>238 - AW</v>
      </c>
      <c r="AO239" s="121" t="str">
        <f>IF('Cable Info'!N239="","",CONCATENATE('Cable Info'!N239," - ",'Cable Info'!O239))</f>
        <v>238 - AW</v>
      </c>
      <c r="AR239" s="121" t="str">
        <f t="shared" si="72"/>
        <v>238 - AW</v>
      </c>
      <c r="AT239" s="121" t="str">
        <f>IF('Cable Info'!P239="","",CONCATENATE('Cable Info'!P239," - ",'Cable Info'!Q239))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Info'!R239="","",CONCATENATE('Cable Info'!R239," - ",'Cable Info'!S239))</f>
        <v/>
      </c>
      <c r="BB239" s="121" t="str">
        <f t="shared" si="74"/>
        <v/>
      </c>
      <c r="BD239" s="121" t="str">
        <f>IF('Cable Info'!T239="","",CONCATENATE('Cable Info'!T239," - ",'Cable Info'!U239))</f>
        <v/>
      </c>
      <c r="BG239" s="121" t="str">
        <f t="shared" si="75"/>
        <v/>
      </c>
      <c r="BI239" s="121" t="str">
        <f>IF('Cable Info'!V239="","",CONCATENATE('Cable Info'!V239," - ",'Cable Info'!W239))</f>
        <v/>
      </c>
      <c r="BL239" s="121" t="str">
        <f t="shared" si="76"/>
        <v/>
      </c>
      <c r="CL239" s="250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59"/>
      <c r="F240" s="105" t="s">
        <v>45</v>
      </c>
      <c r="G240" s="262"/>
      <c r="H240" s="115" t="str">
        <f t="shared" si="65"/>
        <v/>
      </c>
      <c r="I240" s="264"/>
      <c r="J240" s="105" t="s">
        <v>45</v>
      </c>
      <c r="K240" s="267"/>
      <c r="L240" s="246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1" t="str">
        <f t="shared" si="67"/>
        <v/>
      </c>
      <c r="Z240" s="252" t="str">
        <f t="shared" si="68"/>
        <v/>
      </c>
      <c r="AA240" s="252" t="str">
        <f t="shared" si="69"/>
        <v/>
      </c>
      <c r="AB240" s="252" t="str">
        <f t="shared" si="70"/>
        <v/>
      </c>
      <c r="AJ240" s="121" t="str">
        <f>IF('Cable Info'!L240="","",CONCATENATE('Cable Info'!L240," - ",'Cable Info'!M240))</f>
        <v>239 - AW</v>
      </c>
      <c r="AM240" s="121" t="str">
        <f t="shared" si="71"/>
        <v>239 - AW</v>
      </c>
      <c r="AO240" s="121" t="str">
        <f>IF('Cable Info'!N240="","",CONCATENATE('Cable Info'!N240," - ",'Cable Info'!O240))</f>
        <v>239 - AW</v>
      </c>
      <c r="AR240" s="121" t="str">
        <f t="shared" si="72"/>
        <v>239 - AW</v>
      </c>
      <c r="AT240" s="121" t="str">
        <f>IF('Cable Info'!P240="","",CONCATENATE('Cable Info'!P240," - ",'Cable Info'!Q240))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Info'!R240="","",CONCATENATE('Cable Info'!R240," - ",'Cable Info'!S240))</f>
        <v/>
      </c>
      <c r="BB240" s="121" t="str">
        <f t="shared" si="74"/>
        <v/>
      </c>
      <c r="BD240" s="121" t="str">
        <f>IF('Cable Info'!T240="","",CONCATENATE('Cable Info'!T240," - ",'Cable Info'!U240))</f>
        <v/>
      </c>
      <c r="BG240" s="121" t="str">
        <f t="shared" si="75"/>
        <v/>
      </c>
      <c r="BI240" s="121" t="str">
        <f>IF('Cable Info'!V240="","",CONCATENATE('Cable Info'!V240," - ",'Cable Info'!W240))</f>
        <v/>
      </c>
      <c r="BL240" s="121" t="str">
        <f t="shared" si="76"/>
        <v/>
      </c>
      <c r="CL240" s="250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59"/>
      <c r="F241" s="105" t="s">
        <v>45</v>
      </c>
      <c r="G241" s="262"/>
      <c r="H241" s="115" t="str">
        <f t="shared" si="65"/>
        <v/>
      </c>
      <c r="I241" s="264"/>
      <c r="J241" s="105" t="s">
        <v>45</v>
      </c>
      <c r="K241" s="267"/>
      <c r="L241" s="246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1" t="str">
        <f t="shared" si="67"/>
        <v/>
      </c>
      <c r="Z241" s="252" t="str">
        <f t="shared" si="68"/>
        <v/>
      </c>
      <c r="AA241" s="252" t="str">
        <f t="shared" si="69"/>
        <v/>
      </c>
      <c r="AB241" s="252" t="str">
        <f t="shared" si="70"/>
        <v/>
      </c>
      <c r="AJ241" s="121" t="str">
        <f>IF('Cable Info'!L241="","",CONCATENATE('Cable Info'!L241," - ",'Cable Info'!M241))</f>
        <v>240 - AW</v>
      </c>
      <c r="AM241" s="121" t="str">
        <f t="shared" si="71"/>
        <v>240 - AW</v>
      </c>
      <c r="AO241" s="121" t="str">
        <f>IF('Cable Info'!N241="","",CONCATENATE('Cable Info'!N241," - ",'Cable Info'!O241))</f>
        <v>240 - AW</v>
      </c>
      <c r="AR241" s="121" t="str">
        <f t="shared" si="72"/>
        <v>240 - AW</v>
      </c>
      <c r="AT241" s="121" t="str">
        <f>IF('Cable Info'!P241="","",CONCATENATE('Cable Info'!P241," - ",'Cable Info'!Q241))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Info'!R241="","",CONCATENATE('Cable Info'!R241," - ",'Cable Info'!S241))</f>
        <v/>
      </c>
      <c r="BB241" s="121" t="str">
        <f t="shared" si="74"/>
        <v/>
      </c>
      <c r="BD241" s="121" t="str">
        <f>IF('Cable Info'!T241="","",CONCATENATE('Cable Info'!T241," - ",'Cable Info'!U241))</f>
        <v/>
      </c>
      <c r="BG241" s="121" t="str">
        <f t="shared" si="75"/>
        <v/>
      </c>
      <c r="BI241" s="121" t="str">
        <f>IF('Cable Info'!V241="","",CONCATENATE('Cable Info'!V241," - ",'Cable Info'!W241))</f>
        <v/>
      </c>
      <c r="BL241" s="121" t="str">
        <f t="shared" si="76"/>
        <v/>
      </c>
      <c r="CL241" s="250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59"/>
      <c r="F242" s="105" t="s">
        <v>45</v>
      </c>
      <c r="G242" s="262"/>
      <c r="H242" s="115" t="str">
        <f t="shared" si="65"/>
        <v/>
      </c>
      <c r="I242" s="264"/>
      <c r="J242" s="105" t="s">
        <v>45</v>
      </c>
      <c r="K242" s="267"/>
      <c r="L242" s="246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1" t="str">
        <f t="shared" si="67"/>
        <v/>
      </c>
      <c r="Z242" s="252" t="str">
        <f t="shared" si="68"/>
        <v/>
      </c>
      <c r="AA242" s="252" t="str">
        <f t="shared" si="69"/>
        <v/>
      </c>
      <c r="AB242" s="252" t="str">
        <f t="shared" si="70"/>
        <v/>
      </c>
      <c r="AJ242" s="121" t="str">
        <f>IF('Cable Info'!L242="","",CONCATENATE('Cable Info'!L242," - ",'Cable Info'!M242))</f>
        <v>241 - AW</v>
      </c>
      <c r="AM242" s="121" t="str">
        <f t="shared" si="71"/>
        <v>241 - AW</v>
      </c>
      <c r="AO242" s="121" t="str">
        <f>IF('Cable Info'!N242="","",CONCATENATE('Cable Info'!N242," - ",'Cable Info'!O242))</f>
        <v>241 - AW</v>
      </c>
      <c r="AR242" s="121" t="str">
        <f t="shared" si="72"/>
        <v>241 - AW</v>
      </c>
      <c r="AT242" s="121" t="str">
        <f>IF('Cable Info'!P242="","",CONCATENATE('Cable Info'!P242," - ",'Cable Info'!Q242))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Info'!R242="","",CONCATENATE('Cable Info'!R242," - ",'Cable Info'!S242))</f>
        <v/>
      </c>
      <c r="BB242" s="121" t="str">
        <f t="shared" si="74"/>
        <v/>
      </c>
      <c r="BD242" s="121" t="str">
        <f>IF('Cable Info'!T242="","",CONCATENATE('Cable Info'!T242," - ",'Cable Info'!U242))</f>
        <v/>
      </c>
      <c r="BG242" s="121" t="str">
        <f t="shared" si="75"/>
        <v/>
      </c>
      <c r="BI242" s="121" t="str">
        <f>IF('Cable Info'!V242="","",CONCATENATE('Cable Info'!V242," - ",'Cable Info'!W242))</f>
        <v/>
      </c>
      <c r="BL242" s="121" t="str">
        <f t="shared" si="76"/>
        <v/>
      </c>
      <c r="CL242" s="250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59"/>
      <c r="F243" s="105" t="s">
        <v>45</v>
      </c>
      <c r="G243" s="262"/>
      <c r="H243" s="115" t="str">
        <f t="shared" si="65"/>
        <v/>
      </c>
      <c r="I243" s="264"/>
      <c r="J243" s="105" t="s">
        <v>45</v>
      </c>
      <c r="K243" s="267"/>
      <c r="L243" s="246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1" t="str">
        <f t="shared" si="67"/>
        <v/>
      </c>
      <c r="Z243" s="252" t="str">
        <f t="shared" si="68"/>
        <v/>
      </c>
      <c r="AA243" s="252" t="str">
        <f t="shared" si="69"/>
        <v/>
      </c>
      <c r="AB243" s="252" t="str">
        <f t="shared" si="70"/>
        <v/>
      </c>
      <c r="AJ243" s="121" t="str">
        <f>IF('Cable Info'!L243="","",CONCATENATE('Cable Info'!L243," - ",'Cable Info'!M243))</f>
        <v>242 - AW</v>
      </c>
      <c r="AM243" s="121" t="str">
        <f t="shared" si="71"/>
        <v>242 - AW</v>
      </c>
      <c r="AO243" s="121" t="str">
        <f>IF('Cable Info'!N243="","",CONCATENATE('Cable Info'!N243," - ",'Cable Info'!O243))</f>
        <v>242 - AW</v>
      </c>
      <c r="AR243" s="121" t="str">
        <f t="shared" si="72"/>
        <v>242 - AW</v>
      </c>
      <c r="AT243" s="121" t="str">
        <f>IF('Cable Info'!P243="","",CONCATENATE('Cable Info'!P243," - ",'Cable Info'!Q243))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Info'!R243="","",CONCATENATE('Cable Info'!R243," - ",'Cable Info'!S243))</f>
        <v/>
      </c>
      <c r="BB243" s="121" t="str">
        <f t="shared" si="74"/>
        <v/>
      </c>
      <c r="BD243" s="121" t="str">
        <f>IF('Cable Info'!T243="","",CONCATENATE('Cable Info'!T243," - ",'Cable Info'!U243))</f>
        <v/>
      </c>
      <c r="BG243" s="121" t="str">
        <f t="shared" si="75"/>
        <v/>
      </c>
      <c r="BI243" s="121" t="str">
        <f>IF('Cable Info'!V243="","",CONCATENATE('Cable Info'!V243," - ",'Cable Info'!W243))</f>
        <v/>
      </c>
      <c r="BL243" s="121" t="str">
        <f t="shared" si="76"/>
        <v/>
      </c>
      <c r="CL243" s="250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59"/>
      <c r="F244" s="105" t="s">
        <v>45</v>
      </c>
      <c r="G244" s="262"/>
      <c r="H244" s="115" t="str">
        <f t="shared" si="65"/>
        <v/>
      </c>
      <c r="I244" s="264"/>
      <c r="J244" s="105" t="s">
        <v>45</v>
      </c>
      <c r="K244" s="267"/>
      <c r="L244" s="246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1" t="str">
        <f t="shared" si="67"/>
        <v/>
      </c>
      <c r="Z244" s="252" t="str">
        <f t="shared" si="68"/>
        <v/>
      </c>
      <c r="AA244" s="252" t="str">
        <f t="shared" si="69"/>
        <v/>
      </c>
      <c r="AB244" s="252" t="str">
        <f t="shared" si="70"/>
        <v/>
      </c>
      <c r="AJ244" s="121" t="str">
        <f>IF('Cable Info'!L244="","",CONCATENATE('Cable Info'!L244," - ",'Cable Info'!M244))</f>
        <v>243 - AW</v>
      </c>
      <c r="AM244" s="121" t="str">
        <f t="shared" si="71"/>
        <v>243 - AW</v>
      </c>
      <c r="AO244" s="121" t="str">
        <f>IF('Cable Info'!N244="","",CONCATENATE('Cable Info'!N244," - ",'Cable Info'!O244))</f>
        <v>243 - AW</v>
      </c>
      <c r="AR244" s="121" t="str">
        <f t="shared" si="72"/>
        <v>243 - AW</v>
      </c>
      <c r="AT244" s="121" t="str">
        <f>IF('Cable Info'!P244="","",CONCATENATE('Cable Info'!P244," - ",'Cable Info'!Q244))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Info'!R244="","",CONCATENATE('Cable Info'!R244," - ",'Cable Info'!S244))</f>
        <v/>
      </c>
      <c r="BB244" s="121" t="str">
        <f t="shared" si="74"/>
        <v/>
      </c>
      <c r="BD244" s="121" t="str">
        <f>IF('Cable Info'!T244="","",CONCATENATE('Cable Info'!T244," - ",'Cable Info'!U244))</f>
        <v/>
      </c>
      <c r="BG244" s="121" t="str">
        <f t="shared" si="75"/>
        <v/>
      </c>
      <c r="BI244" s="121" t="str">
        <f>IF('Cable Info'!V244="","",CONCATENATE('Cable Info'!V244," - ",'Cable Info'!W244))</f>
        <v/>
      </c>
      <c r="BL244" s="121" t="str">
        <f t="shared" si="76"/>
        <v/>
      </c>
      <c r="CL244" s="250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59"/>
      <c r="F245" s="105" t="s">
        <v>45</v>
      </c>
      <c r="G245" s="262"/>
      <c r="H245" s="115" t="str">
        <f t="shared" si="65"/>
        <v/>
      </c>
      <c r="I245" s="264"/>
      <c r="J245" s="105" t="s">
        <v>45</v>
      </c>
      <c r="K245" s="267"/>
      <c r="L245" s="246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1" t="str">
        <f t="shared" si="67"/>
        <v/>
      </c>
      <c r="Z245" s="252" t="str">
        <f t="shared" si="68"/>
        <v/>
      </c>
      <c r="AA245" s="252" t="str">
        <f t="shared" si="69"/>
        <v/>
      </c>
      <c r="AB245" s="252" t="str">
        <f t="shared" si="70"/>
        <v/>
      </c>
      <c r="AJ245" s="121" t="str">
        <f>IF('Cable Info'!L245="","",CONCATENATE('Cable Info'!L245," - ",'Cable Info'!M245))</f>
        <v>244 - AW</v>
      </c>
      <c r="AM245" s="121" t="str">
        <f t="shared" si="71"/>
        <v>244 - AW</v>
      </c>
      <c r="AO245" s="121" t="str">
        <f>IF('Cable Info'!N245="","",CONCATENATE('Cable Info'!N245," - ",'Cable Info'!O245))</f>
        <v>244 - AW</v>
      </c>
      <c r="AR245" s="121" t="str">
        <f t="shared" si="72"/>
        <v>244 - AW</v>
      </c>
      <c r="AT245" s="121" t="str">
        <f>IF('Cable Info'!P245="","",CONCATENATE('Cable Info'!P245," - ",'Cable Info'!Q245))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Info'!R245="","",CONCATENATE('Cable Info'!R245," - ",'Cable Info'!S245))</f>
        <v/>
      </c>
      <c r="BB245" s="121" t="str">
        <f t="shared" si="74"/>
        <v/>
      </c>
      <c r="BD245" s="121" t="str">
        <f>IF('Cable Info'!T245="","",CONCATENATE('Cable Info'!T245," - ",'Cable Info'!U245))</f>
        <v/>
      </c>
      <c r="BG245" s="121" t="str">
        <f t="shared" si="75"/>
        <v/>
      </c>
      <c r="BI245" s="121" t="str">
        <f>IF('Cable Info'!V245="","",CONCATENATE('Cable Info'!V245," - ",'Cable Info'!W245))</f>
        <v/>
      </c>
      <c r="BL245" s="121" t="str">
        <f t="shared" si="76"/>
        <v/>
      </c>
      <c r="CL245" s="250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59"/>
      <c r="F246" s="105" t="s">
        <v>45</v>
      </c>
      <c r="G246" s="262"/>
      <c r="H246" s="115" t="str">
        <f t="shared" si="65"/>
        <v/>
      </c>
      <c r="I246" s="264"/>
      <c r="J246" s="105" t="s">
        <v>45</v>
      </c>
      <c r="K246" s="267"/>
      <c r="L246" s="246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1" t="str">
        <f t="shared" si="67"/>
        <v/>
      </c>
      <c r="Z246" s="252" t="str">
        <f t="shared" si="68"/>
        <v/>
      </c>
      <c r="AA246" s="252" t="str">
        <f t="shared" si="69"/>
        <v/>
      </c>
      <c r="AB246" s="252" t="str">
        <f t="shared" si="70"/>
        <v/>
      </c>
      <c r="AJ246" s="121" t="str">
        <f>IF('Cable Info'!L246="","",CONCATENATE('Cable Info'!L246," - ",'Cable Info'!M246))</f>
        <v>245 - AW</v>
      </c>
      <c r="AM246" s="121" t="str">
        <f t="shared" si="71"/>
        <v>245 - AW</v>
      </c>
      <c r="AO246" s="121" t="str">
        <f>IF('Cable Info'!N246="","",CONCATENATE('Cable Info'!N246," - ",'Cable Info'!O246))</f>
        <v>245 - AW</v>
      </c>
      <c r="AR246" s="121" t="str">
        <f t="shared" si="72"/>
        <v>245 - AW</v>
      </c>
      <c r="AT246" s="121" t="str">
        <f>IF('Cable Info'!P246="","",CONCATENATE('Cable Info'!P246," - ",'Cable Info'!Q246))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Info'!R246="","",CONCATENATE('Cable Info'!R246," - ",'Cable Info'!S246))</f>
        <v/>
      </c>
      <c r="BB246" s="121" t="str">
        <f t="shared" si="74"/>
        <v/>
      </c>
      <c r="BD246" s="121" t="str">
        <f>IF('Cable Info'!T246="","",CONCATENATE('Cable Info'!T246," - ",'Cable Info'!U246))</f>
        <v/>
      </c>
      <c r="BG246" s="121" t="str">
        <f t="shared" si="75"/>
        <v/>
      </c>
      <c r="BI246" s="121" t="str">
        <f>IF('Cable Info'!V246="","",CONCATENATE('Cable Info'!V246," - ",'Cable Info'!W246))</f>
        <v/>
      </c>
      <c r="BL246" s="121" t="str">
        <f t="shared" si="76"/>
        <v/>
      </c>
      <c r="CL246" s="250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59"/>
      <c r="F247" s="105" t="s">
        <v>45</v>
      </c>
      <c r="G247" s="262"/>
      <c r="H247" s="115" t="str">
        <f t="shared" si="65"/>
        <v/>
      </c>
      <c r="I247" s="264"/>
      <c r="J247" s="105" t="s">
        <v>45</v>
      </c>
      <c r="K247" s="267"/>
      <c r="L247" s="246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1" t="str">
        <f t="shared" si="67"/>
        <v/>
      </c>
      <c r="Z247" s="252" t="str">
        <f t="shared" si="68"/>
        <v/>
      </c>
      <c r="AA247" s="252" t="str">
        <f t="shared" si="69"/>
        <v/>
      </c>
      <c r="AB247" s="252" t="str">
        <f t="shared" si="70"/>
        <v/>
      </c>
      <c r="AJ247" s="121" t="str">
        <f>IF('Cable Info'!L247="","",CONCATENATE('Cable Info'!L247," - ",'Cable Info'!M247))</f>
        <v>246 - AW</v>
      </c>
      <c r="AM247" s="121" t="str">
        <f t="shared" si="71"/>
        <v>246 - AW</v>
      </c>
      <c r="AO247" s="121" t="str">
        <f>IF('Cable Info'!N247="","",CONCATENATE('Cable Info'!N247," - ",'Cable Info'!O247))</f>
        <v>246 - AW</v>
      </c>
      <c r="AR247" s="121" t="str">
        <f t="shared" si="72"/>
        <v>246 - AW</v>
      </c>
      <c r="AT247" s="121" t="str">
        <f>IF('Cable Info'!P247="","",CONCATENATE('Cable Info'!P247," - ",'Cable Info'!Q247))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Info'!R247="","",CONCATENATE('Cable Info'!R247," - ",'Cable Info'!S247))</f>
        <v/>
      </c>
      <c r="BB247" s="121" t="str">
        <f t="shared" si="74"/>
        <v/>
      </c>
      <c r="BD247" s="121" t="str">
        <f>IF('Cable Info'!T247="","",CONCATENATE('Cable Info'!T247," - ",'Cable Info'!U247))</f>
        <v/>
      </c>
      <c r="BG247" s="121" t="str">
        <f t="shared" si="75"/>
        <v/>
      </c>
      <c r="BI247" s="121" t="str">
        <f>IF('Cable Info'!V247="","",CONCATENATE('Cable Info'!V247," - ",'Cable Info'!W247))</f>
        <v/>
      </c>
      <c r="BL247" s="121" t="str">
        <f t="shared" si="76"/>
        <v/>
      </c>
      <c r="CL247" s="250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59"/>
      <c r="F248" s="105" t="s">
        <v>45</v>
      </c>
      <c r="G248" s="262"/>
      <c r="H248" s="115" t="str">
        <f t="shared" si="65"/>
        <v/>
      </c>
      <c r="I248" s="264"/>
      <c r="J248" s="105" t="s">
        <v>45</v>
      </c>
      <c r="K248" s="267"/>
      <c r="L248" s="246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1" t="str">
        <f t="shared" si="67"/>
        <v/>
      </c>
      <c r="Z248" s="252" t="str">
        <f t="shared" si="68"/>
        <v/>
      </c>
      <c r="AA248" s="252" t="str">
        <f t="shared" si="69"/>
        <v/>
      </c>
      <c r="AB248" s="252" t="str">
        <f t="shared" si="70"/>
        <v/>
      </c>
      <c r="AJ248" s="121" t="str">
        <f>IF('Cable Info'!L248="","",CONCATENATE('Cable Info'!L248," - ",'Cable Info'!M248))</f>
        <v>247 - AW</v>
      </c>
      <c r="AM248" s="121" t="str">
        <f t="shared" si="71"/>
        <v>247 - AW</v>
      </c>
      <c r="AO248" s="121" t="str">
        <f>IF('Cable Info'!N248="","",CONCATENATE('Cable Info'!N248," - ",'Cable Info'!O248))</f>
        <v>247 - AW</v>
      </c>
      <c r="AR248" s="121" t="str">
        <f t="shared" si="72"/>
        <v>247 - AW</v>
      </c>
      <c r="AT248" s="121" t="str">
        <f>IF('Cable Info'!P248="","",CONCATENATE('Cable Info'!P248," - ",'Cable Info'!Q248))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Info'!R248="","",CONCATENATE('Cable Info'!R248," - ",'Cable Info'!S248))</f>
        <v/>
      </c>
      <c r="BB248" s="121" t="str">
        <f t="shared" si="74"/>
        <v/>
      </c>
      <c r="BD248" s="121" t="str">
        <f>IF('Cable Info'!T248="","",CONCATENATE('Cable Info'!T248," - ",'Cable Info'!U248))</f>
        <v/>
      </c>
      <c r="BG248" s="121" t="str">
        <f t="shared" si="75"/>
        <v/>
      </c>
      <c r="BI248" s="121" t="str">
        <f>IF('Cable Info'!V248="","",CONCATENATE('Cable Info'!V248," - ",'Cable Info'!W248))</f>
        <v/>
      </c>
      <c r="BL248" s="121" t="str">
        <f t="shared" si="76"/>
        <v/>
      </c>
      <c r="CL248" s="250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59"/>
      <c r="F249" s="105" t="s">
        <v>45</v>
      </c>
      <c r="G249" s="262"/>
      <c r="H249" s="115" t="str">
        <f t="shared" si="65"/>
        <v/>
      </c>
      <c r="I249" s="264"/>
      <c r="J249" s="105" t="s">
        <v>45</v>
      </c>
      <c r="K249" s="267"/>
      <c r="L249" s="246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1" t="str">
        <f t="shared" si="67"/>
        <v/>
      </c>
      <c r="Z249" s="252" t="str">
        <f t="shared" si="68"/>
        <v/>
      </c>
      <c r="AA249" s="252" t="str">
        <f t="shared" si="69"/>
        <v/>
      </c>
      <c r="AB249" s="252" t="str">
        <f t="shared" si="70"/>
        <v/>
      </c>
      <c r="AJ249" s="121" t="str">
        <f>IF('Cable Info'!L249="","",CONCATENATE('Cable Info'!L249," - ",'Cable Info'!M249))</f>
        <v>248 - AW</v>
      </c>
      <c r="AM249" s="121" t="str">
        <f t="shared" si="71"/>
        <v>248 - AW</v>
      </c>
      <c r="AO249" s="121" t="str">
        <f>IF('Cable Info'!N249="","",CONCATENATE('Cable Info'!N249," - ",'Cable Info'!O249))</f>
        <v>248 - AW</v>
      </c>
      <c r="AR249" s="121" t="str">
        <f t="shared" si="72"/>
        <v>248 - AW</v>
      </c>
      <c r="AT249" s="121" t="str">
        <f>IF('Cable Info'!P249="","",CONCATENATE('Cable Info'!P249," - ",'Cable Info'!Q249))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Info'!R249="","",CONCATENATE('Cable Info'!R249," - ",'Cable Info'!S249))</f>
        <v/>
      </c>
      <c r="BB249" s="121" t="str">
        <f t="shared" si="74"/>
        <v/>
      </c>
      <c r="BD249" s="121" t="str">
        <f>IF('Cable Info'!T249="","",CONCATENATE('Cable Info'!T249," - ",'Cable Info'!U249))</f>
        <v/>
      </c>
      <c r="BG249" s="121" t="str">
        <f t="shared" si="75"/>
        <v/>
      </c>
      <c r="BI249" s="121" t="str">
        <f>IF('Cable Info'!V249="","",CONCATENATE('Cable Info'!V249," - ",'Cable Info'!W249))</f>
        <v/>
      </c>
      <c r="BL249" s="121" t="str">
        <f t="shared" si="76"/>
        <v/>
      </c>
      <c r="CL249" s="250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59"/>
      <c r="F250" s="105" t="s">
        <v>45</v>
      </c>
      <c r="G250" s="262"/>
      <c r="H250" s="115" t="str">
        <f t="shared" si="65"/>
        <v/>
      </c>
      <c r="I250" s="264"/>
      <c r="J250" s="105" t="s">
        <v>45</v>
      </c>
      <c r="K250" s="267"/>
      <c r="L250" s="246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1" t="str">
        <f t="shared" si="67"/>
        <v/>
      </c>
      <c r="Z250" s="252" t="str">
        <f t="shared" si="68"/>
        <v/>
      </c>
      <c r="AA250" s="252" t="str">
        <f t="shared" si="69"/>
        <v/>
      </c>
      <c r="AB250" s="252" t="str">
        <f t="shared" si="70"/>
        <v/>
      </c>
      <c r="AJ250" s="121" t="str">
        <f>IF('Cable Info'!L250="","",CONCATENATE('Cable Info'!L250," - ",'Cable Info'!M250))</f>
        <v>249 - AW</v>
      </c>
      <c r="AM250" s="121" t="str">
        <f t="shared" si="71"/>
        <v>249 - AW</v>
      </c>
      <c r="AO250" s="121" t="str">
        <f>IF('Cable Info'!N250="","",CONCATENATE('Cable Info'!N250," - ",'Cable Info'!O250))</f>
        <v>249 - AW</v>
      </c>
      <c r="AR250" s="121" t="str">
        <f t="shared" si="72"/>
        <v>249 - AW</v>
      </c>
      <c r="AT250" s="121" t="str">
        <f>IF('Cable Info'!P250="","",CONCATENATE('Cable Info'!P250," - ",'Cable Info'!Q250))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Info'!R250="","",CONCATENATE('Cable Info'!R250," - ",'Cable Info'!S250))</f>
        <v/>
      </c>
      <c r="BB250" s="121" t="str">
        <f t="shared" si="74"/>
        <v/>
      </c>
      <c r="BD250" s="121" t="str">
        <f>IF('Cable Info'!T250="","",CONCATENATE('Cable Info'!T250," - ",'Cable Info'!U250))</f>
        <v/>
      </c>
      <c r="BG250" s="121" t="str">
        <f t="shared" si="75"/>
        <v/>
      </c>
      <c r="BI250" s="121" t="str">
        <f>IF('Cable Info'!V250="","",CONCATENATE('Cable Info'!V250," - ",'Cable Info'!W250))</f>
        <v/>
      </c>
      <c r="BL250" s="121" t="str">
        <f t="shared" si="76"/>
        <v/>
      </c>
      <c r="CL250" s="250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59"/>
      <c r="F251" s="105" t="s">
        <v>45</v>
      </c>
      <c r="G251" s="262"/>
      <c r="H251" s="115" t="str">
        <f t="shared" si="65"/>
        <v/>
      </c>
      <c r="I251" s="264"/>
      <c r="J251" s="105" t="s">
        <v>45</v>
      </c>
      <c r="K251" s="267"/>
      <c r="L251" s="246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1" t="str">
        <f t="shared" si="67"/>
        <v/>
      </c>
      <c r="Z251" s="252" t="str">
        <f t="shared" si="68"/>
        <v/>
      </c>
      <c r="AA251" s="252" t="str">
        <f t="shared" si="69"/>
        <v/>
      </c>
      <c r="AB251" s="252" t="str">
        <f t="shared" si="70"/>
        <v/>
      </c>
      <c r="AJ251" s="121" t="str">
        <f>IF('Cable Info'!L251="","",CONCATENATE('Cable Info'!L251," - ",'Cable Info'!M251))</f>
        <v>250 - AW</v>
      </c>
      <c r="AM251" s="121" t="str">
        <f t="shared" si="71"/>
        <v>250 - AW</v>
      </c>
      <c r="AO251" s="121" t="str">
        <f>IF('Cable Info'!N251="","",CONCATENATE('Cable Info'!N251," - ",'Cable Info'!O251))</f>
        <v>250 - AW</v>
      </c>
      <c r="AR251" s="121" t="str">
        <f t="shared" si="72"/>
        <v>250 - AW</v>
      </c>
      <c r="AT251" s="121" t="str">
        <f>IF('Cable Info'!P251="","",CONCATENATE('Cable Info'!P251," - ",'Cable Info'!Q251))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Info'!R251="","",CONCATENATE('Cable Info'!R251," - ",'Cable Info'!S251))</f>
        <v/>
      </c>
      <c r="BB251" s="121" t="str">
        <f t="shared" si="74"/>
        <v/>
      </c>
      <c r="BD251" s="121" t="str">
        <f>IF('Cable Info'!T251="","",CONCATENATE('Cable Info'!T251," - ",'Cable Info'!U251))</f>
        <v/>
      </c>
      <c r="BG251" s="121" t="str">
        <f t="shared" si="75"/>
        <v/>
      </c>
      <c r="BI251" s="121" t="str">
        <f>IF('Cable Info'!V251="","",CONCATENATE('Cable Info'!V251," - ",'Cable Info'!W251))</f>
        <v/>
      </c>
      <c r="BL251" s="121" t="str">
        <f t="shared" si="76"/>
        <v/>
      </c>
      <c r="CL251" s="250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59"/>
      <c r="F252" s="105" t="s">
        <v>45</v>
      </c>
      <c r="G252" s="262"/>
      <c r="H252" s="115" t="str">
        <f t="shared" si="65"/>
        <v/>
      </c>
      <c r="I252" s="264"/>
      <c r="J252" s="105" t="s">
        <v>45</v>
      </c>
      <c r="K252" s="267"/>
      <c r="L252" s="246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1" t="str">
        <f t="shared" si="67"/>
        <v/>
      </c>
      <c r="Z252" s="252" t="str">
        <f t="shared" si="68"/>
        <v/>
      </c>
      <c r="AA252" s="252" t="str">
        <f t="shared" si="69"/>
        <v/>
      </c>
      <c r="AB252" s="252" t="str">
        <f t="shared" si="70"/>
        <v/>
      </c>
      <c r="AJ252" s="121" t="str">
        <f>IF('Cable Info'!L252="","",CONCATENATE('Cable Info'!L252," - ",'Cable Info'!M252))</f>
        <v>251 - AW</v>
      </c>
      <c r="AM252" s="121" t="str">
        <f t="shared" si="71"/>
        <v>251 - AW</v>
      </c>
      <c r="AO252" s="121" t="str">
        <f>IF('Cable Info'!N252="","",CONCATENATE('Cable Info'!N252," - ",'Cable Info'!O252))</f>
        <v>251 - AW</v>
      </c>
      <c r="AR252" s="121" t="str">
        <f t="shared" si="72"/>
        <v>251 - AW</v>
      </c>
      <c r="AT252" s="121" t="str">
        <f>IF('Cable Info'!P252="","",CONCATENATE('Cable Info'!P252," - ",'Cable Info'!Q252))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Info'!R252="","",CONCATENATE('Cable Info'!R252," - ",'Cable Info'!S252))</f>
        <v/>
      </c>
      <c r="BB252" s="121" t="str">
        <f t="shared" si="74"/>
        <v/>
      </c>
      <c r="BD252" s="121" t="str">
        <f>IF('Cable Info'!T252="","",CONCATENATE('Cable Info'!T252," - ",'Cable Info'!U252))</f>
        <v/>
      </c>
      <c r="BG252" s="121" t="str">
        <f t="shared" si="75"/>
        <v/>
      </c>
      <c r="BI252" s="121" t="str">
        <f>IF('Cable Info'!V252="","",CONCATENATE('Cable Info'!V252," - ",'Cable Info'!W252))</f>
        <v/>
      </c>
      <c r="BL252" s="121" t="str">
        <f t="shared" si="76"/>
        <v/>
      </c>
      <c r="CL252" s="250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59"/>
      <c r="F253" s="105" t="s">
        <v>45</v>
      </c>
      <c r="G253" s="262"/>
      <c r="H253" s="115" t="str">
        <f t="shared" si="65"/>
        <v/>
      </c>
      <c r="I253" s="264"/>
      <c r="J253" s="105" t="s">
        <v>45</v>
      </c>
      <c r="K253" s="267"/>
      <c r="L253" s="246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1" t="str">
        <f t="shared" si="67"/>
        <v/>
      </c>
      <c r="Z253" s="252" t="str">
        <f t="shared" si="68"/>
        <v/>
      </c>
      <c r="AA253" s="252" t="str">
        <f t="shared" si="69"/>
        <v/>
      </c>
      <c r="AB253" s="252" t="str">
        <f t="shared" si="70"/>
        <v/>
      </c>
      <c r="AJ253" s="121" t="str">
        <f>IF('Cable Info'!L253="","",CONCATENATE('Cable Info'!L253," - ",'Cable Info'!M253))</f>
        <v>252 - AW</v>
      </c>
      <c r="AM253" s="121" t="str">
        <f t="shared" si="71"/>
        <v>252 - AW</v>
      </c>
      <c r="AO253" s="121" t="str">
        <f>IF('Cable Info'!N253="","",CONCATENATE('Cable Info'!N253," - ",'Cable Info'!O253))</f>
        <v>252 - AW</v>
      </c>
      <c r="AR253" s="121" t="str">
        <f t="shared" si="72"/>
        <v>252 - AW</v>
      </c>
      <c r="AT253" s="121" t="str">
        <f>IF('Cable Info'!P253="","",CONCATENATE('Cable Info'!P253," - ",'Cable Info'!Q253))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Info'!R253="","",CONCATENATE('Cable Info'!R253," - ",'Cable Info'!S253))</f>
        <v/>
      </c>
      <c r="BB253" s="121" t="str">
        <f t="shared" si="74"/>
        <v/>
      </c>
      <c r="BD253" s="121" t="str">
        <f>IF('Cable Info'!T253="","",CONCATENATE('Cable Info'!T253," - ",'Cable Info'!U253))</f>
        <v/>
      </c>
      <c r="BG253" s="121" t="str">
        <f t="shared" si="75"/>
        <v/>
      </c>
      <c r="BI253" s="121" t="str">
        <f>IF('Cable Info'!V253="","",CONCATENATE('Cable Info'!V253," - ",'Cable Info'!W253))</f>
        <v/>
      </c>
      <c r="BL253" s="121" t="str">
        <f t="shared" si="76"/>
        <v/>
      </c>
      <c r="CL253" s="250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59"/>
      <c r="F254" s="105" t="s">
        <v>45</v>
      </c>
      <c r="G254" s="262"/>
      <c r="H254" s="115" t="str">
        <f t="shared" si="65"/>
        <v/>
      </c>
      <c r="I254" s="264"/>
      <c r="J254" s="105" t="s">
        <v>45</v>
      </c>
      <c r="K254" s="267"/>
      <c r="L254" s="246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1" t="str">
        <f t="shared" si="67"/>
        <v/>
      </c>
      <c r="Z254" s="252" t="str">
        <f t="shared" si="68"/>
        <v/>
      </c>
      <c r="AA254" s="252" t="str">
        <f t="shared" si="69"/>
        <v/>
      </c>
      <c r="AB254" s="252" t="str">
        <f t="shared" si="70"/>
        <v/>
      </c>
      <c r="AJ254" s="121" t="str">
        <f>IF('Cable Info'!L254="","",CONCATENATE('Cable Info'!L254," - ",'Cable Info'!M254))</f>
        <v>253 - AW</v>
      </c>
      <c r="AM254" s="121" t="str">
        <f t="shared" si="71"/>
        <v>253 - AW</v>
      </c>
      <c r="AO254" s="121" t="str">
        <f>IF('Cable Info'!N254="","",CONCATENATE('Cable Info'!N254," - ",'Cable Info'!O254))</f>
        <v>253 - AW</v>
      </c>
      <c r="AR254" s="121" t="str">
        <f t="shared" si="72"/>
        <v>253 - AW</v>
      </c>
      <c r="AT254" s="121" t="str">
        <f>IF('Cable Info'!P254="","",CONCATENATE('Cable Info'!P254," - ",'Cable Info'!Q254))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Info'!R254="","",CONCATENATE('Cable Info'!R254," - ",'Cable Info'!S254))</f>
        <v/>
      </c>
      <c r="BB254" s="121" t="str">
        <f t="shared" si="74"/>
        <v/>
      </c>
      <c r="BD254" s="121" t="str">
        <f>IF('Cable Info'!T254="","",CONCATENATE('Cable Info'!T254," - ",'Cable Info'!U254))</f>
        <v/>
      </c>
      <c r="BG254" s="121" t="str">
        <f t="shared" si="75"/>
        <v/>
      </c>
      <c r="BI254" s="121" t="str">
        <f>IF('Cable Info'!V254="","",CONCATENATE('Cable Info'!V254," - ",'Cable Info'!W254))</f>
        <v/>
      </c>
      <c r="BL254" s="121" t="str">
        <f t="shared" si="76"/>
        <v/>
      </c>
      <c r="CL254" s="250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59"/>
      <c r="F255" s="105" t="s">
        <v>45</v>
      </c>
      <c r="G255" s="262"/>
      <c r="H255" s="115" t="str">
        <f t="shared" si="65"/>
        <v/>
      </c>
      <c r="I255" s="264"/>
      <c r="J255" s="105" t="s">
        <v>45</v>
      </c>
      <c r="K255" s="267"/>
      <c r="L255" s="246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1" t="str">
        <f t="shared" si="67"/>
        <v/>
      </c>
      <c r="Z255" s="252" t="str">
        <f t="shared" si="68"/>
        <v/>
      </c>
      <c r="AA255" s="252" t="str">
        <f t="shared" si="69"/>
        <v/>
      </c>
      <c r="AB255" s="252" t="str">
        <f t="shared" si="70"/>
        <v/>
      </c>
      <c r="AJ255" s="121" t="str">
        <f>IF('Cable Info'!L255="","",CONCATENATE('Cable Info'!L255," - ",'Cable Info'!M255))</f>
        <v>254 - AW</v>
      </c>
      <c r="AM255" s="121" t="str">
        <f t="shared" si="71"/>
        <v>254 - AW</v>
      </c>
      <c r="AO255" s="121" t="str">
        <f>IF('Cable Info'!N255="","",CONCATENATE('Cable Info'!N255," - ",'Cable Info'!O255))</f>
        <v>254 - AW</v>
      </c>
      <c r="AR255" s="121" t="str">
        <f t="shared" si="72"/>
        <v>254 - AW</v>
      </c>
      <c r="AT255" s="121" t="str">
        <f>IF('Cable Info'!P255="","",CONCATENATE('Cable Info'!P255," - ",'Cable Info'!Q255))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Info'!R255="","",CONCATENATE('Cable Info'!R255," - ",'Cable Info'!S255))</f>
        <v/>
      </c>
      <c r="BB255" s="121" t="str">
        <f t="shared" si="74"/>
        <v/>
      </c>
      <c r="BD255" s="121" t="str">
        <f>IF('Cable Info'!T255="","",CONCATENATE('Cable Info'!T255," - ",'Cable Info'!U255))</f>
        <v/>
      </c>
      <c r="BG255" s="121" t="str">
        <f t="shared" si="75"/>
        <v/>
      </c>
      <c r="BI255" s="121" t="str">
        <f>IF('Cable Info'!V255="","",CONCATENATE('Cable Info'!V255," - ",'Cable Info'!W255))</f>
        <v/>
      </c>
      <c r="BL255" s="121" t="str">
        <f t="shared" si="76"/>
        <v/>
      </c>
      <c r="CL255" s="250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59"/>
      <c r="F256" s="105" t="s">
        <v>45</v>
      </c>
      <c r="G256" s="262"/>
      <c r="H256" s="115" t="str">
        <f t="shared" si="65"/>
        <v/>
      </c>
      <c r="I256" s="264"/>
      <c r="J256" s="105" t="s">
        <v>45</v>
      </c>
      <c r="K256" s="267"/>
      <c r="L256" s="246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1" t="str">
        <f t="shared" si="67"/>
        <v/>
      </c>
      <c r="Z256" s="252" t="str">
        <f t="shared" si="68"/>
        <v/>
      </c>
      <c r="AA256" s="252" t="str">
        <f t="shared" si="69"/>
        <v/>
      </c>
      <c r="AB256" s="252" t="str">
        <f t="shared" si="70"/>
        <v/>
      </c>
      <c r="AJ256" s="121" t="str">
        <f>IF('Cable Info'!L256="","",CONCATENATE('Cable Info'!L256," - ",'Cable Info'!M256))</f>
        <v>255 - AW</v>
      </c>
      <c r="AM256" s="121" t="str">
        <f t="shared" si="71"/>
        <v>255 - AW</v>
      </c>
      <c r="AO256" s="121" t="str">
        <f>IF('Cable Info'!N256="","",CONCATENATE('Cable Info'!N256," - ",'Cable Info'!O256))</f>
        <v>255 - AW</v>
      </c>
      <c r="AR256" s="121" t="str">
        <f t="shared" si="72"/>
        <v>255 - AW</v>
      </c>
      <c r="AT256" s="121" t="str">
        <f>IF('Cable Info'!P256="","",CONCATENATE('Cable Info'!P256," - ",'Cable Info'!Q256))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Info'!R256="","",CONCATENATE('Cable Info'!R256," - ",'Cable Info'!S256))</f>
        <v/>
      </c>
      <c r="BB256" s="121" t="str">
        <f t="shared" si="74"/>
        <v/>
      </c>
      <c r="BD256" s="121" t="str">
        <f>IF('Cable Info'!T256="","",CONCATENATE('Cable Info'!T256," - ",'Cable Info'!U256))</f>
        <v/>
      </c>
      <c r="BG256" s="121" t="str">
        <f t="shared" si="75"/>
        <v/>
      </c>
      <c r="BI256" s="121" t="str">
        <f>IF('Cable Info'!V256="","",CONCATENATE('Cable Info'!V256," - ",'Cable Info'!W256))</f>
        <v/>
      </c>
      <c r="BL256" s="121" t="str">
        <f t="shared" si="76"/>
        <v/>
      </c>
      <c r="CL256" s="250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59"/>
      <c r="F257" s="105" t="s">
        <v>45</v>
      </c>
      <c r="G257" s="262"/>
      <c r="H257" s="115" t="str">
        <f t="shared" si="65"/>
        <v/>
      </c>
      <c r="I257" s="264"/>
      <c r="J257" s="105" t="s">
        <v>45</v>
      </c>
      <c r="K257" s="267"/>
      <c r="L257" s="246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1" t="str">
        <f t="shared" si="67"/>
        <v/>
      </c>
      <c r="Z257" s="252" t="str">
        <f t="shared" si="68"/>
        <v/>
      </c>
      <c r="AA257" s="252" t="str">
        <f t="shared" si="69"/>
        <v/>
      </c>
      <c r="AB257" s="252" t="str">
        <f t="shared" si="70"/>
        <v/>
      </c>
      <c r="AJ257" s="121" t="str">
        <f>IF('Cable Info'!L257="","",CONCATENATE('Cable Info'!L257," - ",'Cable Info'!M257))</f>
        <v>256 - AW</v>
      </c>
      <c r="AM257" s="121" t="str">
        <f t="shared" si="71"/>
        <v>256 - AW</v>
      </c>
      <c r="AO257" s="121" t="str">
        <f>IF('Cable Info'!N257="","",CONCATENATE('Cable Info'!N257," - ",'Cable Info'!O257))</f>
        <v>256 - AW</v>
      </c>
      <c r="AR257" s="121" t="str">
        <f t="shared" si="72"/>
        <v>256 - AW</v>
      </c>
      <c r="AT257" s="121" t="str">
        <f>IF('Cable Info'!P257="","",CONCATENATE('Cable Info'!P257," - ",'Cable Info'!Q257))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Info'!R257="","",CONCATENATE('Cable Info'!R257," - ",'Cable Info'!S257))</f>
        <v/>
      </c>
      <c r="BB257" s="121" t="str">
        <f t="shared" si="74"/>
        <v/>
      </c>
      <c r="BD257" s="121" t="str">
        <f>IF('Cable Info'!T257="","",CONCATENATE('Cable Info'!T257," - ",'Cable Info'!U257))</f>
        <v/>
      </c>
      <c r="BG257" s="121" t="str">
        <f t="shared" si="75"/>
        <v/>
      </c>
      <c r="BI257" s="121" t="str">
        <f>IF('Cable Info'!V257="","",CONCATENATE('Cable Info'!V257," - ",'Cable Info'!W257))</f>
        <v/>
      </c>
      <c r="BL257" s="121" t="str">
        <f t="shared" si="76"/>
        <v/>
      </c>
      <c r="CL257" s="250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59"/>
      <c r="F258" s="105" t="s">
        <v>45</v>
      </c>
      <c r="G258" s="262"/>
      <c r="H258" s="115" t="str">
        <f t="shared" si="65"/>
        <v/>
      </c>
      <c r="I258" s="264"/>
      <c r="J258" s="105" t="s">
        <v>45</v>
      </c>
      <c r="K258" s="267"/>
      <c r="L258" s="246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1" t="str">
        <f t="shared" si="67"/>
        <v/>
      </c>
      <c r="Z258" s="252" t="str">
        <f t="shared" si="68"/>
        <v/>
      </c>
      <c r="AA258" s="252" t="str">
        <f t="shared" si="69"/>
        <v/>
      </c>
      <c r="AB258" s="252" t="str">
        <f t="shared" si="70"/>
        <v/>
      </c>
      <c r="AJ258" s="121" t="str">
        <f>IF('Cable Info'!L258="","",CONCATENATE('Cable Info'!L258," - ",'Cable Info'!M258))</f>
        <v>257 - AW</v>
      </c>
      <c r="AM258" s="121" t="str">
        <f t="shared" si="71"/>
        <v>257 - AW</v>
      </c>
      <c r="AO258" s="121" t="str">
        <f>IF('Cable Info'!N258="","",CONCATENATE('Cable Info'!N258," - ",'Cable Info'!O258))</f>
        <v>257 - AW</v>
      </c>
      <c r="AR258" s="121" t="str">
        <f t="shared" si="72"/>
        <v>257 - AW</v>
      </c>
      <c r="AT258" s="121" t="str">
        <f>IF('Cable Info'!P258="","",CONCATENATE('Cable Info'!P258," - ",'Cable Info'!Q258))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Info'!R258="","",CONCATENATE('Cable Info'!R258," - ",'Cable Info'!S258))</f>
        <v/>
      </c>
      <c r="BB258" s="121" t="str">
        <f t="shared" si="74"/>
        <v/>
      </c>
      <c r="BD258" s="121" t="str">
        <f>IF('Cable Info'!T258="","",CONCATENATE('Cable Info'!T258," - ",'Cable Info'!U258))</f>
        <v/>
      </c>
      <c r="BG258" s="121" t="str">
        <f t="shared" si="75"/>
        <v/>
      </c>
      <c r="BI258" s="121" t="str">
        <f>IF('Cable Info'!V258="","",CONCATENATE('Cable Info'!V258," - ",'Cable Info'!W258))</f>
        <v/>
      </c>
      <c r="BL258" s="121" t="str">
        <f t="shared" si="76"/>
        <v/>
      </c>
      <c r="CL258" s="250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59"/>
      <c r="F259" s="105" t="s">
        <v>45</v>
      </c>
      <c r="G259" s="262"/>
      <c r="H259" s="115" t="str">
        <f t="shared" si="65"/>
        <v/>
      </c>
      <c r="I259" s="264"/>
      <c r="J259" s="105" t="s">
        <v>45</v>
      </c>
      <c r="K259" s="267"/>
      <c r="L259" s="246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1" t="str">
        <f t="shared" si="67"/>
        <v/>
      </c>
      <c r="Z259" s="252" t="str">
        <f t="shared" si="68"/>
        <v/>
      </c>
      <c r="AA259" s="252" t="str">
        <f t="shared" si="69"/>
        <v/>
      </c>
      <c r="AB259" s="252" t="str">
        <f t="shared" si="70"/>
        <v/>
      </c>
      <c r="AJ259" s="121" t="str">
        <f>IF('Cable Info'!L259="","",CONCATENATE('Cable Info'!L259," - ",'Cable Info'!M259))</f>
        <v>258 - AW</v>
      </c>
      <c r="AM259" s="121" t="str">
        <f t="shared" si="71"/>
        <v>258 - AW</v>
      </c>
      <c r="AO259" s="121" t="str">
        <f>IF('Cable Info'!N259="","",CONCATENATE('Cable Info'!N259," - ",'Cable Info'!O259))</f>
        <v>258 - AW</v>
      </c>
      <c r="AR259" s="121" t="str">
        <f t="shared" si="72"/>
        <v>258 - AW</v>
      </c>
      <c r="AT259" s="121" t="str">
        <f>IF('Cable Info'!P259="","",CONCATENATE('Cable Info'!P259," - ",'Cable Info'!Q259))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Info'!R259="","",CONCATENATE('Cable Info'!R259," - ",'Cable Info'!S259))</f>
        <v/>
      </c>
      <c r="BB259" s="121" t="str">
        <f t="shared" si="74"/>
        <v/>
      </c>
      <c r="BD259" s="121" t="str">
        <f>IF('Cable Info'!T259="","",CONCATENATE('Cable Info'!T259," - ",'Cable Info'!U259))</f>
        <v/>
      </c>
      <c r="BG259" s="121" t="str">
        <f t="shared" si="75"/>
        <v/>
      </c>
      <c r="BI259" s="121" t="str">
        <f>IF('Cable Info'!V259="","",CONCATENATE('Cable Info'!V259," - ",'Cable Info'!W259))</f>
        <v/>
      </c>
      <c r="BL259" s="121" t="str">
        <f t="shared" si="76"/>
        <v/>
      </c>
      <c r="CL259" s="250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59"/>
      <c r="F260" s="105" t="s">
        <v>45</v>
      </c>
      <c r="G260" s="262"/>
      <c r="H260" s="115" t="str">
        <f t="shared" si="65"/>
        <v/>
      </c>
      <c r="I260" s="264"/>
      <c r="J260" s="105" t="s">
        <v>45</v>
      </c>
      <c r="K260" s="267"/>
      <c r="L260" s="246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1" t="str">
        <f t="shared" si="67"/>
        <v/>
      </c>
      <c r="Z260" s="252" t="str">
        <f t="shared" si="68"/>
        <v/>
      </c>
      <c r="AA260" s="252" t="str">
        <f t="shared" si="69"/>
        <v/>
      </c>
      <c r="AB260" s="252" t="str">
        <f t="shared" si="70"/>
        <v/>
      </c>
      <c r="AJ260" s="121" t="str">
        <f>IF('Cable Info'!L260="","",CONCATENATE('Cable Info'!L260," - ",'Cable Info'!M260))</f>
        <v>259 - AW</v>
      </c>
      <c r="AM260" s="121" t="str">
        <f t="shared" si="71"/>
        <v>259 - AW</v>
      </c>
      <c r="AO260" s="121" t="str">
        <f>IF('Cable Info'!N260="","",CONCATENATE('Cable Info'!N260," - ",'Cable Info'!O260))</f>
        <v>259 - AW</v>
      </c>
      <c r="AR260" s="121" t="str">
        <f t="shared" si="72"/>
        <v>259 - AW</v>
      </c>
      <c r="AT260" s="121" t="str">
        <f>IF('Cable Info'!P260="","",CONCATENATE('Cable Info'!P260," - ",'Cable Info'!Q260))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Info'!R260="","",CONCATENATE('Cable Info'!R260," - ",'Cable Info'!S260))</f>
        <v/>
      </c>
      <c r="BB260" s="121" t="str">
        <f t="shared" si="74"/>
        <v/>
      </c>
      <c r="BD260" s="121" t="str">
        <f>IF('Cable Info'!T260="","",CONCATENATE('Cable Info'!T260," - ",'Cable Info'!U260))</f>
        <v/>
      </c>
      <c r="BG260" s="121" t="str">
        <f t="shared" si="75"/>
        <v/>
      </c>
      <c r="BI260" s="121" t="str">
        <f>IF('Cable Info'!V260="","",CONCATENATE('Cable Info'!V260," - ",'Cable Info'!W260))</f>
        <v/>
      </c>
      <c r="BL260" s="121" t="str">
        <f t="shared" si="76"/>
        <v/>
      </c>
      <c r="CL260" s="250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59"/>
      <c r="F261" s="105" t="s">
        <v>45</v>
      </c>
      <c r="G261" s="262"/>
      <c r="H261" s="115" t="str">
        <f t="shared" si="65"/>
        <v/>
      </c>
      <c r="I261" s="264"/>
      <c r="J261" s="105" t="s">
        <v>45</v>
      </c>
      <c r="K261" s="267"/>
      <c r="L261" s="246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1" t="str">
        <f t="shared" si="67"/>
        <v/>
      </c>
      <c r="Z261" s="252" t="str">
        <f t="shared" si="68"/>
        <v/>
      </c>
      <c r="AA261" s="252" t="str">
        <f t="shared" si="69"/>
        <v/>
      </c>
      <c r="AB261" s="252" t="str">
        <f t="shared" si="70"/>
        <v/>
      </c>
      <c r="AJ261" s="121" t="str">
        <f>IF('Cable Info'!L261="","",CONCATENATE('Cable Info'!L261," - ",'Cable Info'!M261))</f>
        <v>260 - AW</v>
      </c>
      <c r="AM261" s="121" t="str">
        <f t="shared" si="71"/>
        <v>260 - AW</v>
      </c>
      <c r="AO261" s="121" t="str">
        <f>IF('Cable Info'!N261="","",CONCATENATE('Cable Info'!N261," - ",'Cable Info'!O261))</f>
        <v>260 - AW</v>
      </c>
      <c r="AR261" s="121" t="str">
        <f t="shared" si="72"/>
        <v>260 - AW</v>
      </c>
      <c r="AT261" s="121" t="str">
        <f>IF('Cable Info'!P261="","",CONCATENATE('Cable Info'!P261," - ",'Cable Info'!Q261))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Info'!R261="","",CONCATENATE('Cable Info'!R261," - ",'Cable Info'!S261))</f>
        <v/>
      </c>
      <c r="BB261" s="121" t="str">
        <f t="shared" si="74"/>
        <v/>
      </c>
      <c r="BD261" s="121" t="str">
        <f>IF('Cable Info'!T261="","",CONCATENATE('Cable Info'!T261," - ",'Cable Info'!U261))</f>
        <v/>
      </c>
      <c r="BG261" s="121" t="str">
        <f t="shared" si="75"/>
        <v/>
      </c>
      <c r="BI261" s="121" t="str">
        <f>IF('Cable Info'!V261="","",CONCATENATE('Cable Info'!V261," - ",'Cable Info'!W261))</f>
        <v/>
      </c>
      <c r="BL261" s="121" t="str">
        <f t="shared" si="76"/>
        <v/>
      </c>
      <c r="CL261" s="250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59"/>
      <c r="F262" s="105" t="s">
        <v>45</v>
      </c>
      <c r="G262" s="262"/>
      <c r="H262" s="115" t="str">
        <f t="shared" si="65"/>
        <v/>
      </c>
      <c r="I262" s="264"/>
      <c r="J262" s="105" t="s">
        <v>45</v>
      </c>
      <c r="K262" s="267"/>
      <c r="L262" s="246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1" t="str">
        <f t="shared" si="67"/>
        <v/>
      </c>
      <c r="Z262" s="252" t="str">
        <f t="shared" si="68"/>
        <v/>
      </c>
      <c r="AA262" s="252" t="str">
        <f t="shared" si="69"/>
        <v/>
      </c>
      <c r="AB262" s="252" t="str">
        <f t="shared" si="70"/>
        <v/>
      </c>
      <c r="AJ262" s="121" t="str">
        <f>IF('Cable Info'!L262="","",CONCATENATE('Cable Info'!L262," - ",'Cable Info'!M262))</f>
        <v>261 - AW</v>
      </c>
      <c r="AM262" s="121" t="str">
        <f t="shared" si="71"/>
        <v>261 - AW</v>
      </c>
      <c r="AO262" s="121" t="str">
        <f>IF('Cable Info'!N262="","",CONCATENATE('Cable Info'!N262," - ",'Cable Info'!O262))</f>
        <v>261 - AW</v>
      </c>
      <c r="AR262" s="121" t="str">
        <f t="shared" si="72"/>
        <v>261 - AW</v>
      </c>
      <c r="AT262" s="121" t="str">
        <f>IF('Cable Info'!P262="","",CONCATENATE('Cable Info'!P262," - ",'Cable Info'!Q262))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Info'!R262="","",CONCATENATE('Cable Info'!R262," - ",'Cable Info'!S262))</f>
        <v/>
      </c>
      <c r="BB262" s="121" t="str">
        <f t="shared" si="74"/>
        <v/>
      </c>
      <c r="BD262" s="121" t="str">
        <f>IF('Cable Info'!T262="","",CONCATENATE('Cable Info'!T262," - ",'Cable Info'!U262))</f>
        <v/>
      </c>
      <c r="BG262" s="121" t="str">
        <f t="shared" si="75"/>
        <v/>
      </c>
      <c r="BI262" s="121" t="str">
        <f>IF('Cable Info'!V262="","",CONCATENATE('Cable Info'!V262," - ",'Cable Info'!W262))</f>
        <v/>
      </c>
      <c r="BL262" s="121" t="str">
        <f t="shared" si="76"/>
        <v/>
      </c>
      <c r="CL262" s="250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59"/>
      <c r="F263" s="105" t="s">
        <v>45</v>
      </c>
      <c r="G263" s="262"/>
      <c r="H263" s="115" t="str">
        <f t="shared" si="65"/>
        <v/>
      </c>
      <c r="I263" s="264"/>
      <c r="J263" s="105" t="s">
        <v>45</v>
      </c>
      <c r="K263" s="267"/>
      <c r="L263" s="246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1" t="str">
        <f t="shared" si="67"/>
        <v/>
      </c>
      <c r="Z263" s="252" t="str">
        <f t="shared" si="68"/>
        <v/>
      </c>
      <c r="AA263" s="252" t="str">
        <f t="shared" si="69"/>
        <v/>
      </c>
      <c r="AB263" s="252" t="str">
        <f t="shared" si="70"/>
        <v/>
      </c>
      <c r="AJ263" s="121" t="str">
        <f>IF('Cable Info'!L263="","",CONCATENATE('Cable Info'!L263," - ",'Cable Info'!M263))</f>
        <v>262 - AW</v>
      </c>
      <c r="AM263" s="121" t="str">
        <f t="shared" si="71"/>
        <v>262 - AW</v>
      </c>
      <c r="AO263" s="121" t="str">
        <f>IF('Cable Info'!N263="","",CONCATENATE('Cable Info'!N263," - ",'Cable Info'!O263))</f>
        <v>262 - AW</v>
      </c>
      <c r="AR263" s="121" t="str">
        <f t="shared" si="72"/>
        <v>262 - AW</v>
      </c>
      <c r="AT263" s="121" t="str">
        <f>IF('Cable Info'!P263="","",CONCATENATE('Cable Info'!P263," - ",'Cable Info'!Q263))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Info'!R263="","",CONCATENATE('Cable Info'!R263," - ",'Cable Info'!S263))</f>
        <v/>
      </c>
      <c r="BB263" s="121" t="str">
        <f t="shared" si="74"/>
        <v/>
      </c>
      <c r="BD263" s="121" t="str">
        <f>IF('Cable Info'!T263="","",CONCATENATE('Cable Info'!T263," - ",'Cable Info'!U263))</f>
        <v/>
      </c>
      <c r="BG263" s="121" t="str">
        <f t="shared" si="75"/>
        <v/>
      </c>
      <c r="BI263" s="121" t="str">
        <f>IF('Cable Info'!V263="","",CONCATENATE('Cable Info'!V263," - ",'Cable Info'!W263))</f>
        <v/>
      </c>
      <c r="BL263" s="121" t="str">
        <f t="shared" si="76"/>
        <v/>
      </c>
      <c r="CL263" s="250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59"/>
      <c r="F264" s="105" t="s">
        <v>45</v>
      </c>
      <c r="G264" s="262"/>
      <c r="H264" s="115" t="str">
        <f t="shared" si="65"/>
        <v/>
      </c>
      <c r="I264" s="264"/>
      <c r="J264" s="105" t="s">
        <v>45</v>
      </c>
      <c r="K264" s="267"/>
      <c r="L264" s="246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1" t="str">
        <f t="shared" si="67"/>
        <v/>
      </c>
      <c r="Z264" s="252" t="str">
        <f t="shared" si="68"/>
        <v/>
      </c>
      <c r="AA264" s="252" t="str">
        <f t="shared" si="69"/>
        <v/>
      </c>
      <c r="AB264" s="252" t="str">
        <f t="shared" si="70"/>
        <v/>
      </c>
      <c r="AJ264" s="121" t="str">
        <f>IF('Cable Info'!L264="","",CONCATENATE('Cable Info'!L264," - ",'Cable Info'!M264))</f>
        <v>263 - AW</v>
      </c>
      <c r="AM264" s="121" t="str">
        <f t="shared" si="71"/>
        <v>263 - AW</v>
      </c>
      <c r="AO264" s="121" t="str">
        <f>IF('Cable Info'!N264="","",CONCATENATE('Cable Info'!N264," - ",'Cable Info'!O264))</f>
        <v>263 - AW</v>
      </c>
      <c r="AR264" s="121" t="str">
        <f t="shared" si="72"/>
        <v>263 - AW</v>
      </c>
      <c r="AT264" s="121" t="str">
        <f>IF('Cable Info'!P264="","",CONCATENATE('Cable Info'!P264," - ",'Cable Info'!Q264))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Info'!R264="","",CONCATENATE('Cable Info'!R264," - ",'Cable Info'!S264))</f>
        <v/>
      </c>
      <c r="BB264" s="121" t="str">
        <f t="shared" si="74"/>
        <v/>
      </c>
      <c r="BD264" s="121" t="str">
        <f>IF('Cable Info'!T264="","",CONCATENATE('Cable Info'!T264," - ",'Cable Info'!U264))</f>
        <v/>
      </c>
      <c r="BG264" s="121" t="str">
        <f t="shared" si="75"/>
        <v/>
      </c>
      <c r="BI264" s="121" t="str">
        <f>IF('Cable Info'!V264="","",CONCATENATE('Cable Info'!V264," - ",'Cable Info'!W264))</f>
        <v/>
      </c>
      <c r="BL264" s="121" t="str">
        <f t="shared" si="76"/>
        <v/>
      </c>
      <c r="CL264" s="250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59"/>
      <c r="F265" s="105" t="s">
        <v>45</v>
      </c>
      <c r="G265" s="262"/>
      <c r="H265" s="115" t="str">
        <f t="shared" si="65"/>
        <v/>
      </c>
      <c r="I265" s="264"/>
      <c r="J265" s="105" t="s">
        <v>45</v>
      </c>
      <c r="K265" s="267"/>
      <c r="L265" s="246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1" t="str">
        <f t="shared" si="67"/>
        <v/>
      </c>
      <c r="Z265" s="252" t="str">
        <f t="shared" si="68"/>
        <v/>
      </c>
      <c r="AA265" s="252" t="str">
        <f t="shared" si="69"/>
        <v/>
      </c>
      <c r="AB265" s="252" t="str">
        <f t="shared" si="70"/>
        <v/>
      </c>
      <c r="AJ265" s="121" t="str">
        <f>IF('Cable Info'!L265="","",CONCATENATE('Cable Info'!L265," - ",'Cable Info'!M265))</f>
        <v>264 - AW</v>
      </c>
      <c r="AM265" s="121" t="str">
        <f t="shared" si="71"/>
        <v>264 - AW</v>
      </c>
      <c r="AO265" s="121" t="str">
        <f>IF('Cable Info'!N265="","",CONCATENATE('Cable Info'!N265," - ",'Cable Info'!O265))</f>
        <v>264 - AW</v>
      </c>
      <c r="AR265" s="121" t="str">
        <f t="shared" si="72"/>
        <v>264 - AW</v>
      </c>
      <c r="AT265" s="121" t="str">
        <f>IF('Cable Info'!P265="","",CONCATENATE('Cable Info'!P265," - ",'Cable Info'!Q265))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Info'!R265="","",CONCATENATE('Cable Info'!R265," - ",'Cable Info'!S265))</f>
        <v/>
      </c>
      <c r="BB265" s="121" t="str">
        <f t="shared" si="74"/>
        <v/>
      </c>
      <c r="BD265" s="121" t="str">
        <f>IF('Cable Info'!T265="","",CONCATENATE('Cable Info'!T265," - ",'Cable Info'!U265))</f>
        <v/>
      </c>
      <c r="BG265" s="121" t="str">
        <f t="shared" si="75"/>
        <v/>
      </c>
      <c r="BI265" s="121" t="str">
        <f>IF('Cable Info'!V265="","",CONCATENATE('Cable Info'!V265," - ",'Cable Info'!W265))</f>
        <v/>
      </c>
      <c r="BL265" s="121" t="str">
        <f t="shared" si="76"/>
        <v/>
      </c>
      <c r="CL265" s="250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59"/>
      <c r="F266" s="105" t="s">
        <v>45</v>
      </c>
      <c r="G266" s="262"/>
      <c r="H266" s="115" t="str">
        <f t="shared" si="65"/>
        <v/>
      </c>
      <c r="I266" s="264"/>
      <c r="J266" s="105" t="s">
        <v>45</v>
      </c>
      <c r="K266" s="267"/>
      <c r="L266" s="246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1" t="str">
        <f t="shared" si="67"/>
        <v/>
      </c>
      <c r="Z266" s="252" t="str">
        <f t="shared" si="68"/>
        <v/>
      </c>
      <c r="AA266" s="252" t="str">
        <f t="shared" si="69"/>
        <v/>
      </c>
      <c r="AB266" s="252" t="str">
        <f t="shared" si="70"/>
        <v/>
      </c>
      <c r="AJ266" s="121" t="str">
        <f>IF('Cable Info'!L266="","",CONCATENATE('Cable Info'!L266," - ",'Cable Info'!M266))</f>
        <v>265 - AW</v>
      </c>
      <c r="AM266" s="121" t="str">
        <f t="shared" si="71"/>
        <v>265 - AW</v>
      </c>
      <c r="AO266" s="121" t="str">
        <f>IF('Cable Info'!N266="","",CONCATENATE('Cable Info'!N266," - ",'Cable Info'!O266))</f>
        <v>265 - AW</v>
      </c>
      <c r="AR266" s="121" t="str">
        <f t="shared" si="72"/>
        <v>265 - AW</v>
      </c>
      <c r="AT266" s="121" t="str">
        <f>IF('Cable Info'!P266="","",CONCATENATE('Cable Info'!P266," - ",'Cable Info'!Q266))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Info'!R266="","",CONCATENATE('Cable Info'!R266," - ",'Cable Info'!S266))</f>
        <v/>
      </c>
      <c r="BB266" s="121" t="str">
        <f t="shared" si="74"/>
        <v/>
      </c>
      <c r="BD266" s="121" t="str">
        <f>IF('Cable Info'!T266="","",CONCATENATE('Cable Info'!T266," - ",'Cable Info'!U266))</f>
        <v/>
      </c>
      <c r="BG266" s="121" t="str">
        <f t="shared" si="75"/>
        <v/>
      </c>
      <c r="BI266" s="121" t="str">
        <f>IF('Cable Info'!V266="","",CONCATENATE('Cable Info'!V266," - ",'Cable Info'!W266))</f>
        <v/>
      </c>
      <c r="BL266" s="121" t="str">
        <f t="shared" si="76"/>
        <v/>
      </c>
      <c r="CL266" s="250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59"/>
      <c r="F267" s="105" t="s">
        <v>45</v>
      </c>
      <c r="G267" s="262"/>
      <c r="H267" s="115" t="str">
        <f t="shared" si="65"/>
        <v/>
      </c>
      <c r="I267" s="264"/>
      <c r="J267" s="105" t="s">
        <v>45</v>
      </c>
      <c r="K267" s="267"/>
      <c r="L267" s="246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1" t="str">
        <f t="shared" si="67"/>
        <v/>
      </c>
      <c r="Z267" s="252" t="str">
        <f t="shared" si="68"/>
        <v/>
      </c>
      <c r="AA267" s="252" t="str">
        <f t="shared" si="69"/>
        <v/>
      </c>
      <c r="AB267" s="252" t="str">
        <f t="shared" si="70"/>
        <v/>
      </c>
      <c r="AJ267" s="121" t="str">
        <f>IF('Cable Info'!L267="","",CONCATENATE('Cable Info'!L267," - ",'Cable Info'!M267))</f>
        <v>266 - AW</v>
      </c>
      <c r="AM267" s="121" t="str">
        <f t="shared" si="71"/>
        <v>266 - AW</v>
      </c>
      <c r="AO267" s="121" t="str">
        <f>IF('Cable Info'!N267="","",CONCATENATE('Cable Info'!N267," - ",'Cable Info'!O267))</f>
        <v>266 - AW</v>
      </c>
      <c r="AR267" s="121" t="str">
        <f t="shared" si="72"/>
        <v>266 - AW</v>
      </c>
      <c r="AT267" s="121" t="str">
        <f>IF('Cable Info'!P267="","",CONCATENATE('Cable Info'!P267," - ",'Cable Info'!Q267))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Info'!R267="","",CONCATENATE('Cable Info'!R267," - ",'Cable Info'!S267))</f>
        <v/>
      </c>
      <c r="BB267" s="121" t="str">
        <f t="shared" si="74"/>
        <v/>
      </c>
      <c r="BD267" s="121" t="str">
        <f>IF('Cable Info'!T267="","",CONCATENATE('Cable Info'!T267," - ",'Cable Info'!U267))</f>
        <v/>
      </c>
      <c r="BG267" s="121" t="str">
        <f t="shared" si="75"/>
        <v/>
      </c>
      <c r="BI267" s="121" t="str">
        <f>IF('Cable Info'!V267="","",CONCATENATE('Cable Info'!V267," - ",'Cable Info'!W267))</f>
        <v/>
      </c>
      <c r="BL267" s="121" t="str">
        <f t="shared" si="76"/>
        <v/>
      </c>
      <c r="CL267" s="250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59"/>
      <c r="F268" s="105" t="s">
        <v>45</v>
      </c>
      <c r="G268" s="262"/>
      <c r="H268" s="115" t="str">
        <f t="shared" ref="H268:H331" si="77">IF(G268="","",((E268-G268)-1)*(-1))</f>
        <v/>
      </c>
      <c r="I268" s="264"/>
      <c r="J268" s="105" t="s">
        <v>45</v>
      </c>
      <c r="K268" s="267"/>
      <c r="L268" s="246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ref="X268:X331" si="78">IF(V268="","",IF(R268="","",IF(S268="","",IF(R268="SPLICED",(IF(S268="SPLICE",0,9)),IF(V268=$U$3,(IF(S268="BREAK",12,11)),IF(S268="BREAK",2,1))))))</f>
        <v/>
      </c>
      <c r="Y268" s="251" t="str">
        <f t="shared" ref="Y268:Y331" si="79">IF(E268="","",IF(G268="","",IF(E268&gt;G268,1,"")))</f>
        <v/>
      </c>
      <c r="Z268" s="252" t="str">
        <f t="shared" ref="Z268:Z331" si="80">IF(I268="","",IF(K268="","",IF(I268&gt;K268,1,"")))</f>
        <v/>
      </c>
      <c r="AA268" s="252" t="str">
        <f t="shared" ref="AA268:AA331" si="81">IF(K268="","",((I268-K268)-1)*(-1))</f>
        <v/>
      </c>
      <c r="AB268" s="252" t="str">
        <f t="shared" ref="AB268:AB331" si="82">IF(E268="","",IF(G268="","",IF(I268="","",IF(K268="","",IF(AA268&lt;&gt;H268,1,"")))))</f>
        <v/>
      </c>
      <c r="AJ268" s="121" t="str">
        <f>IF('Cable Info'!L268="","",CONCATENATE('Cable Info'!L268," - ",'Cable Info'!M268))</f>
        <v>267 - AW</v>
      </c>
      <c r="AM268" s="121" t="str">
        <f t="shared" ref="AM268:AM331" si="83">IF(AK268="",AJ268,CONCATENATE(AJ268,"  &lt;=&gt; ",AK268," ",AL268))</f>
        <v>267 - AW</v>
      </c>
      <c r="AO268" s="121" t="str">
        <f>IF('Cable Info'!N268="","",CONCATENATE('Cable Info'!N268," - ",'Cable Info'!O268))</f>
        <v>267 - AW</v>
      </c>
      <c r="AR268" s="121" t="str">
        <f t="shared" ref="AR268:AR331" si="84">IF(AP268="",AO268,CONCATENATE(AO268,"  &lt;=&gt; ",AP268," ",AQ268))</f>
        <v>267 - AW</v>
      </c>
      <c r="AT268" s="121" t="str">
        <f>IF('Cable Info'!P268="","",CONCATENATE('Cable Info'!P268," - ",'Cable Info'!Q268))</f>
        <v/>
      </c>
      <c r="AU268" s="121" t="s">
        <v>51</v>
      </c>
      <c r="AW268" s="121" t="str">
        <f t="shared" ref="AW268:AW331" si="85">IF(AU268="",AT268,CONCATENATE(AT268,"  &lt;=&gt; ",AU268," ",AV268))</f>
        <v xml:space="preserve">  &lt;=&gt; CABLEC </v>
      </c>
      <c r="AY268" s="121" t="str">
        <f>IF('Cable Info'!R268="","",CONCATENATE('Cable Info'!R268," - ",'Cable Info'!S268))</f>
        <v/>
      </c>
      <c r="BB268" s="121" t="str">
        <f t="shared" ref="BB268:BB331" si="86">IF(AZ268="",AY268,CONCATENATE(AY268,"  &lt;=&gt; ",AZ268," ",BA268))</f>
        <v/>
      </c>
      <c r="BD268" s="121" t="str">
        <f>IF('Cable Info'!T268="","",CONCATENATE('Cable Info'!T268," - ",'Cable Info'!U268))</f>
        <v/>
      </c>
      <c r="BG268" s="121" t="str">
        <f t="shared" ref="BG268:BG331" si="87">IF(BE268="",BD268,CONCATENATE(BD268,"  &lt;=&gt; ",BE268," ",BF268))</f>
        <v/>
      </c>
      <c r="BI268" s="121" t="str">
        <f>IF('Cable Info'!V268="","",CONCATENATE('Cable Info'!V268," - ",'Cable Info'!W268))</f>
        <v/>
      </c>
      <c r="BL268" s="121" t="str">
        <f t="shared" ref="BL268:BL331" si="88">IF(BJ268="",BI268,CONCATENATE(BI268,"  &lt;=&gt; ",BJ268," ",BK268))</f>
        <v/>
      </c>
      <c r="CL268" s="250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59"/>
      <c r="F269" s="105" t="s">
        <v>45</v>
      </c>
      <c r="G269" s="262"/>
      <c r="H269" s="115" t="str">
        <f t="shared" si="77"/>
        <v/>
      </c>
      <c r="I269" s="264"/>
      <c r="J269" s="105" t="s">
        <v>45</v>
      </c>
      <c r="K269" s="267"/>
      <c r="L269" s="246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si="78"/>
        <v/>
      </c>
      <c r="Y269" s="251" t="str">
        <f t="shared" si="79"/>
        <v/>
      </c>
      <c r="Z269" s="252" t="str">
        <f t="shared" si="80"/>
        <v/>
      </c>
      <c r="AA269" s="252" t="str">
        <f t="shared" si="81"/>
        <v/>
      </c>
      <c r="AB269" s="252" t="str">
        <f t="shared" si="82"/>
        <v/>
      </c>
      <c r="AJ269" s="121" t="str">
        <f>IF('Cable Info'!L269="","",CONCATENATE('Cable Info'!L269," - ",'Cable Info'!M269))</f>
        <v>268 - AW</v>
      </c>
      <c r="AM269" s="121" t="str">
        <f t="shared" si="83"/>
        <v>268 - AW</v>
      </c>
      <c r="AO269" s="121" t="str">
        <f>IF('Cable Info'!N269="","",CONCATENATE('Cable Info'!N269," - ",'Cable Info'!O269))</f>
        <v>268 - AW</v>
      </c>
      <c r="AR269" s="121" t="str">
        <f t="shared" si="84"/>
        <v>268 - AW</v>
      </c>
      <c r="AT269" s="121" t="str">
        <f>IF('Cable Info'!P269="","",CONCATENATE('Cable Info'!P269," - ",'Cable Info'!Q269))</f>
        <v/>
      </c>
      <c r="AU269" s="121" t="s">
        <v>51</v>
      </c>
      <c r="AW269" s="121" t="str">
        <f t="shared" si="85"/>
        <v xml:space="preserve">  &lt;=&gt; CABLEC </v>
      </c>
      <c r="AY269" s="121" t="str">
        <f>IF('Cable Info'!R269="","",CONCATENATE('Cable Info'!R269," - ",'Cable Info'!S269))</f>
        <v/>
      </c>
      <c r="BB269" s="121" t="str">
        <f t="shared" si="86"/>
        <v/>
      </c>
      <c r="BD269" s="121" t="str">
        <f>IF('Cable Info'!T269="","",CONCATENATE('Cable Info'!T269," - ",'Cable Info'!U269))</f>
        <v/>
      </c>
      <c r="BG269" s="121" t="str">
        <f t="shared" si="87"/>
        <v/>
      </c>
      <c r="BI269" s="121" t="str">
        <f>IF('Cable Info'!V269="","",CONCATENATE('Cable Info'!V269," - ",'Cable Info'!W269))</f>
        <v/>
      </c>
      <c r="BL269" s="121" t="str">
        <f t="shared" si="88"/>
        <v/>
      </c>
      <c r="CL269" s="250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59"/>
      <c r="F270" s="105" t="s">
        <v>45</v>
      </c>
      <c r="G270" s="262"/>
      <c r="H270" s="115" t="str">
        <f t="shared" si="77"/>
        <v/>
      </c>
      <c r="I270" s="264"/>
      <c r="J270" s="105" t="s">
        <v>45</v>
      </c>
      <c r="K270" s="267"/>
      <c r="L270" s="246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1" t="str">
        <f t="shared" si="79"/>
        <v/>
      </c>
      <c r="Z270" s="252" t="str">
        <f t="shared" si="80"/>
        <v/>
      </c>
      <c r="AA270" s="252" t="str">
        <f t="shared" si="81"/>
        <v/>
      </c>
      <c r="AB270" s="252" t="str">
        <f t="shared" si="82"/>
        <v/>
      </c>
      <c r="AJ270" s="121" t="str">
        <f>IF('Cable Info'!L270="","",CONCATENATE('Cable Info'!L270," - ",'Cable Info'!M270))</f>
        <v>269 - AW</v>
      </c>
      <c r="AM270" s="121" t="str">
        <f t="shared" si="83"/>
        <v>269 - AW</v>
      </c>
      <c r="AO270" s="121" t="str">
        <f>IF('Cable Info'!N270="","",CONCATENATE('Cable Info'!N270," - ",'Cable Info'!O270))</f>
        <v>269 - AW</v>
      </c>
      <c r="AR270" s="121" t="str">
        <f t="shared" si="84"/>
        <v>269 - AW</v>
      </c>
      <c r="AT270" s="121" t="str">
        <f>IF('Cable Info'!P270="","",CONCATENATE('Cable Info'!P270," - ",'Cable Info'!Q270))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Info'!R270="","",CONCATENATE('Cable Info'!R270," - ",'Cable Info'!S270))</f>
        <v/>
      </c>
      <c r="BB270" s="121" t="str">
        <f t="shared" si="86"/>
        <v/>
      </c>
      <c r="BD270" s="121" t="str">
        <f>IF('Cable Info'!T270="","",CONCATENATE('Cable Info'!T270," - ",'Cable Info'!U270))</f>
        <v/>
      </c>
      <c r="BG270" s="121" t="str">
        <f t="shared" si="87"/>
        <v/>
      </c>
      <c r="BI270" s="121" t="str">
        <f>IF('Cable Info'!V270="","",CONCATENATE('Cable Info'!V270," - ",'Cable Info'!W270))</f>
        <v/>
      </c>
      <c r="BL270" s="121" t="str">
        <f t="shared" si="88"/>
        <v/>
      </c>
      <c r="CL270" s="250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59"/>
      <c r="F271" s="105" t="s">
        <v>45</v>
      </c>
      <c r="G271" s="262"/>
      <c r="H271" s="115" t="str">
        <f t="shared" si="77"/>
        <v/>
      </c>
      <c r="I271" s="264"/>
      <c r="J271" s="105" t="s">
        <v>45</v>
      </c>
      <c r="K271" s="267"/>
      <c r="L271" s="246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1" t="str">
        <f t="shared" si="79"/>
        <v/>
      </c>
      <c r="Z271" s="252" t="str">
        <f t="shared" si="80"/>
        <v/>
      </c>
      <c r="AA271" s="252" t="str">
        <f t="shared" si="81"/>
        <v/>
      </c>
      <c r="AB271" s="252" t="str">
        <f t="shared" si="82"/>
        <v/>
      </c>
      <c r="AJ271" s="121" t="str">
        <f>IF('Cable Info'!L271="","",CONCATENATE('Cable Info'!L271," - ",'Cable Info'!M271))</f>
        <v>270 - AW</v>
      </c>
      <c r="AM271" s="121" t="str">
        <f t="shared" si="83"/>
        <v>270 - AW</v>
      </c>
      <c r="AO271" s="121" t="str">
        <f>IF('Cable Info'!N271="","",CONCATENATE('Cable Info'!N271," - ",'Cable Info'!O271))</f>
        <v>270 - AW</v>
      </c>
      <c r="AR271" s="121" t="str">
        <f t="shared" si="84"/>
        <v>270 - AW</v>
      </c>
      <c r="AT271" s="121" t="str">
        <f>IF('Cable Info'!P271="","",CONCATENATE('Cable Info'!P271," - ",'Cable Info'!Q271))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Info'!R271="","",CONCATENATE('Cable Info'!R271," - ",'Cable Info'!S271))</f>
        <v/>
      </c>
      <c r="BB271" s="121" t="str">
        <f t="shared" si="86"/>
        <v/>
      </c>
      <c r="BD271" s="121" t="str">
        <f>IF('Cable Info'!T271="","",CONCATENATE('Cable Info'!T271," - ",'Cable Info'!U271))</f>
        <v/>
      </c>
      <c r="BG271" s="121" t="str">
        <f t="shared" si="87"/>
        <v/>
      </c>
      <c r="BI271" s="121" t="str">
        <f>IF('Cable Info'!V271="","",CONCATENATE('Cable Info'!V271," - ",'Cable Info'!W271))</f>
        <v/>
      </c>
      <c r="BL271" s="121" t="str">
        <f t="shared" si="88"/>
        <v/>
      </c>
      <c r="CL271" s="250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59"/>
      <c r="F272" s="105" t="s">
        <v>45</v>
      </c>
      <c r="G272" s="262"/>
      <c r="H272" s="115" t="str">
        <f t="shared" si="77"/>
        <v/>
      </c>
      <c r="I272" s="264"/>
      <c r="J272" s="105" t="s">
        <v>45</v>
      </c>
      <c r="K272" s="267"/>
      <c r="L272" s="246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1" t="str">
        <f t="shared" si="79"/>
        <v/>
      </c>
      <c r="Z272" s="252" t="str">
        <f t="shared" si="80"/>
        <v/>
      </c>
      <c r="AA272" s="252" t="str">
        <f t="shared" si="81"/>
        <v/>
      </c>
      <c r="AB272" s="252" t="str">
        <f t="shared" si="82"/>
        <v/>
      </c>
      <c r="AJ272" s="121" t="str">
        <f>IF('Cable Info'!L272="","",CONCATENATE('Cable Info'!L272," - ",'Cable Info'!M272))</f>
        <v>271 - AW</v>
      </c>
      <c r="AM272" s="121" t="str">
        <f t="shared" si="83"/>
        <v>271 - AW</v>
      </c>
      <c r="AO272" s="121" t="str">
        <f>IF('Cable Info'!N272="","",CONCATENATE('Cable Info'!N272," - ",'Cable Info'!O272))</f>
        <v>271 - AW</v>
      </c>
      <c r="AR272" s="121" t="str">
        <f t="shared" si="84"/>
        <v>271 - AW</v>
      </c>
      <c r="AT272" s="121" t="str">
        <f>IF('Cable Info'!P272="","",CONCATENATE('Cable Info'!P272," - ",'Cable Info'!Q272))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Info'!R272="","",CONCATENATE('Cable Info'!R272," - ",'Cable Info'!S272))</f>
        <v/>
      </c>
      <c r="BB272" s="121" t="str">
        <f t="shared" si="86"/>
        <v/>
      </c>
      <c r="BD272" s="121" t="str">
        <f>IF('Cable Info'!T272="","",CONCATENATE('Cable Info'!T272," - ",'Cable Info'!U272))</f>
        <v/>
      </c>
      <c r="BG272" s="121" t="str">
        <f t="shared" si="87"/>
        <v/>
      </c>
      <c r="BI272" s="121" t="str">
        <f>IF('Cable Info'!V272="","",CONCATENATE('Cable Info'!V272," - ",'Cable Info'!W272))</f>
        <v/>
      </c>
      <c r="BL272" s="121" t="str">
        <f t="shared" si="88"/>
        <v/>
      </c>
      <c r="CL272" s="250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59"/>
      <c r="F273" s="105" t="s">
        <v>45</v>
      </c>
      <c r="G273" s="262"/>
      <c r="H273" s="115" t="str">
        <f t="shared" si="77"/>
        <v/>
      </c>
      <c r="I273" s="264"/>
      <c r="J273" s="105" t="s">
        <v>45</v>
      </c>
      <c r="K273" s="267"/>
      <c r="L273" s="246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1" t="str">
        <f t="shared" si="79"/>
        <v/>
      </c>
      <c r="Z273" s="252" t="str">
        <f t="shared" si="80"/>
        <v/>
      </c>
      <c r="AA273" s="252" t="str">
        <f t="shared" si="81"/>
        <v/>
      </c>
      <c r="AB273" s="252" t="str">
        <f t="shared" si="82"/>
        <v/>
      </c>
      <c r="AJ273" s="121" t="str">
        <f>IF('Cable Info'!L273="","",CONCATENATE('Cable Info'!L273," - ",'Cable Info'!M273))</f>
        <v>272 - AW</v>
      </c>
      <c r="AM273" s="121" t="str">
        <f t="shared" si="83"/>
        <v>272 - AW</v>
      </c>
      <c r="AO273" s="121" t="str">
        <f>IF('Cable Info'!N273="","",CONCATENATE('Cable Info'!N273," - ",'Cable Info'!O273))</f>
        <v>272 - AW</v>
      </c>
      <c r="AR273" s="121" t="str">
        <f t="shared" si="84"/>
        <v>272 - AW</v>
      </c>
      <c r="AT273" s="121" t="str">
        <f>IF('Cable Info'!P273="","",CONCATENATE('Cable Info'!P273," - ",'Cable Info'!Q273))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Info'!R273="","",CONCATENATE('Cable Info'!R273," - ",'Cable Info'!S273))</f>
        <v/>
      </c>
      <c r="BB273" s="121" t="str">
        <f t="shared" si="86"/>
        <v/>
      </c>
      <c r="BD273" s="121" t="str">
        <f>IF('Cable Info'!T273="","",CONCATENATE('Cable Info'!T273," - ",'Cable Info'!U273))</f>
        <v/>
      </c>
      <c r="BG273" s="121" t="str">
        <f t="shared" si="87"/>
        <v/>
      </c>
      <c r="BI273" s="121" t="str">
        <f>IF('Cable Info'!V273="","",CONCATENATE('Cable Info'!V273," - ",'Cable Info'!W273))</f>
        <v/>
      </c>
      <c r="BL273" s="121" t="str">
        <f t="shared" si="88"/>
        <v/>
      </c>
      <c r="CL273" s="250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59"/>
      <c r="F274" s="105" t="s">
        <v>45</v>
      </c>
      <c r="G274" s="262"/>
      <c r="H274" s="115" t="str">
        <f t="shared" si="77"/>
        <v/>
      </c>
      <c r="I274" s="264"/>
      <c r="J274" s="105" t="s">
        <v>45</v>
      </c>
      <c r="K274" s="267"/>
      <c r="L274" s="246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1" t="str">
        <f t="shared" si="79"/>
        <v/>
      </c>
      <c r="Z274" s="252" t="str">
        <f t="shared" si="80"/>
        <v/>
      </c>
      <c r="AA274" s="252" t="str">
        <f t="shared" si="81"/>
        <v/>
      </c>
      <c r="AB274" s="252" t="str">
        <f t="shared" si="82"/>
        <v/>
      </c>
      <c r="AJ274" s="121" t="str">
        <f>IF('Cable Info'!L274="","",CONCATENATE('Cable Info'!L274," - ",'Cable Info'!M274))</f>
        <v>273 - AW</v>
      </c>
      <c r="AM274" s="121" t="str">
        <f t="shared" si="83"/>
        <v>273 - AW</v>
      </c>
      <c r="AO274" s="121" t="str">
        <f>IF('Cable Info'!N274="","",CONCATENATE('Cable Info'!N274," - ",'Cable Info'!O274))</f>
        <v>273 - AW</v>
      </c>
      <c r="AR274" s="121" t="str">
        <f t="shared" si="84"/>
        <v>273 - AW</v>
      </c>
      <c r="AT274" s="121" t="str">
        <f>IF('Cable Info'!P274="","",CONCATENATE('Cable Info'!P274," - ",'Cable Info'!Q274))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Info'!R274="","",CONCATENATE('Cable Info'!R274," - ",'Cable Info'!S274))</f>
        <v/>
      </c>
      <c r="BB274" s="121" t="str">
        <f t="shared" si="86"/>
        <v/>
      </c>
      <c r="BD274" s="121" t="str">
        <f>IF('Cable Info'!T274="","",CONCATENATE('Cable Info'!T274," - ",'Cable Info'!U274))</f>
        <v/>
      </c>
      <c r="BG274" s="121" t="str">
        <f t="shared" si="87"/>
        <v/>
      </c>
      <c r="BI274" s="121" t="str">
        <f>IF('Cable Info'!V274="","",CONCATENATE('Cable Info'!V274," - ",'Cable Info'!W274))</f>
        <v/>
      </c>
      <c r="BL274" s="121" t="str">
        <f t="shared" si="88"/>
        <v/>
      </c>
      <c r="CL274" s="250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59"/>
      <c r="F275" s="105" t="s">
        <v>45</v>
      </c>
      <c r="G275" s="262"/>
      <c r="H275" s="115" t="str">
        <f t="shared" si="77"/>
        <v/>
      </c>
      <c r="I275" s="264"/>
      <c r="J275" s="105" t="s">
        <v>45</v>
      </c>
      <c r="K275" s="267"/>
      <c r="L275" s="246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1" t="str">
        <f t="shared" si="79"/>
        <v/>
      </c>
      <c r="Z275" s="252" t="str">
        <f t="shared" si="80"/>
        <v/>
      </c>
      <c r="AA275" s="252" t="str">
        <f t="shared" si="81"/>
        <v/>
      </c>
      <c r="AB275" s="252" t="str">
        <f t="shared" si="82"/>
        <v/>
      </c>
      <c r="AJ275" s="121" t="str">
        <f>IF('Cable Info'!L275="","",CONCATENATE('Cable Info'!L275," - ",'Cable Info'!M275))</f>
        <v>274 - AW</v>
      </c>
      <c r="AM275" s="121" t="str">
        <f t="shared" si="83"/>
        <v>274 - AW</v>
      </c>
      <c r="AO275" s="121" t="str">
        <f>IF('Cable Info'!N275="","",CONCATENATE('Cable Info'!N275," - ",'Cable Info'!O275))</f>
        <v>274 - AW</v>
      </c>
      <c r="AR275" s="121" t="str">
        <f t="shared" si="84"/>
        <v>274 - AW</v>
      </c>
      <c r="AT275" s="121" t="str">
        <f>IF('Cable Info'!P275="","",CONCATENATE('Cable Info'!P275," - ",'Cable Info'!Q275))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Info'!R275="","",CONCATENATE('Cable Info'!R275," - ",'Cable Info'!S275))</f>
        <v/>
      </c>
      <c r="BB275" s="121" t="str">
        <f t="shared" si="86"/>
        <v/>
      </c>
      <c r="BD275" s="121" t="str">
        <f>IF('Cable Info'!T275="","",CONCATENATE('Cable Info'!T275," - ",'Cable Info'!U275))</f>
        <v/>
      </c>
      <c r="BG275" s="121" t="str">
        <f t="shared" si="87"/>
        <v/>
      </c>
      <c r="BI275" s="121" t="str">
        <f>IF('Cable Info'!V275="","",CONCATENATE('Cable Info'!V275," - ",'Cable Info'!W275))</f>
        <v/>
      </c>
      <c r="BL275" s="121" t="str">
        <f t="shared" si="88"/>
        <v/>
      </c>
      <c r="CL275" s="250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59"/>
      <c r="F276" s="105" t="s">
        <v>45</v>
      </c>
      <c r="G276" s="262"/>
      <c r="H276" s="115" t="str">
        <f t="shared" si="77"/>
        <v/>
      </c>
      <c r="I276" s="264"/>
      <c r="J276" s="105" t="s">
        <v>45</v>
      </c>
      <c r="K276" s="267"/>
      <c r="L276" s="246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1" t="str">
        <f t="shared" si="79"/>
        <v/>
      </c>
      <c r="Z276" s="252" t="str">
        <f t="shared" si="80"/>
        <v/>
      </c>
      <c r="AA276" s="252" t="str">
        <f t="shared" si="81"/>
        <v/>
      </c>
      <c r="AB276" s="252" t="str">
        <f t="shared" si="82"/>
        <v/>
      </c>
      <c r="AJ276" s="121" t="str">
        <f>IF('Cable Info'!L276="","",CONCATENATE('Cable Info'!L276," - ",'Cable Info'!M276))</f>
        <v>275 - AW</v>
      </c>
      <c r="AM276" s="121" t="str">
        <f t="shared" si="83"/>
        <v>275 - AW</v>
      </c>
      <c r="AO276" s="121" t="str">
        <f>IF('Cable Info'!N276="","",CONCATENATE('Cable Info'!N276," - ",'Cable Info'!O276))</f>
        <v>275 - AW</v>
      </c>
      <c r="AR276" s="121" t="str">
        <f t="shared" si="84"/>
        <v>275 - AW</v>
      </c>
      <c r="AT276" s="121" t="str">
        <f>IF('Cable Info'!P276="","",CONCATENATE('Cable Info'!P276," - ",'Cable Info'!Q276))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Info'!R276="","",CONCATENATE('Cable Info'!R276," - ",'Cable Info'!S276))</f>
        <v/>
      </c>
      <c r="BB276" s="121" t="str">
        <f t="shared" si="86"/>
        <v/>
      </c>
      <c r="BD276" s="121" t="str">
        <f>IF('Cable Info'!T276="","",CONCATENATE('Cable Info'!T276," - ",'Cable Info'!U276))</f>
        <v/>
      </c>
      <c r="BG276" s="121" t="str">
        <f t="shared" si="87"/>
        <v/>
      </c>
      <c r="BI276" s="121" t="str">
        <f>IF('Cable Info'!V276="","",CONCATENATE('Cable Info'!V276," - ",'Cable Info'!W276))</f>
        <v/>
      </c>
      <c r="BL276" s="121" t="str">
        <f t="shared" si="88"/>
        <v/>
      </c>
      <c r="CL276" s="250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59"/>
      <c r="F277" s="105" t="s">
        <v>45</v>
      </c>
      <c r="G277" s="262"/>
      <c r="H277" s="115" t="str">
        <f t="shared" si="77"/>
        <v/>
      </c>
      <c r="I277" s="264"/>
      <c r="J277" s="105" t="s">
        <v>45</v>
      </c>
      <c r="K277" s="267"/>
      <c r="L277" s="246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1" t="str">
        <f t="shared" si="79"/>
        <v/>
      </c>
      <c r="Z277" s="252" t="str">
        <f t="shared" si="80"/>
        <v/>
      </c>
      <c r="AA277" s="252" t="str">
        <f t="shared" si="81"/>
        <v/>
      </c>
      <c r="AB277" s="252" t="str">
        <f t="shared" si="82"/>
        <v/>
      </c>
      <c r="AJ277" s="121" t="str">
        <f>IF('Cable Info'!L277="","",CONCATENATE('Cable Info'!L277," - ",'Cable Info'!M277))</f>
        <v>276 - AW</v>
      </c>
      <c r="AM277" s="121" t="str">
        <f t="shared" si="83"/>
        <v>276 - AW</v>
      </c>
      <c r="AO277" s="121" t="str">
        <f>IF('Cable Info'!N277="","",CONCATENATE('Cable Info'!N277," - ",'Cable Info'!O277))</f>
        <v>276 - AW</v>
      </c>
      <c r="AR277" s="121" t="str">
        <f t="shared" si="84"/>
        <v>276 - AW</v>
      </c>
      <c r="AT277" s="121" t="str">
        <f>IF('Cable Info'!P277="","",CONCATENATE('Cable Info'!P277," - ",'Cable Info'!Q277))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Info'!R277="","",CONCATENATE('Cable Info'!R277," - ",'Cable Info'!S277))</f>
        <v/>
      </c>
      <c r="BB277" s="121" t="str">
        <f t="shared" si="86"/>
        <v/>
      </c>
      <c r="BD277" s="121" t="str">
        <f>IF('Cable Info'!T277="","",CONCATENATE('Cable Info'!T277," - ",'Cable Info'!U277))</f>
        <v/>
      </c>
      <c r="BG277" s="121" t="str">
        <f t="shared" si="87"/>
        <v/>
      </c>
      <c r="BI277" s="121" t="str">
        <f>IF('Cable Info'!V277="","",CONCATENATE('Cable Info'!V277," - ",'Cable Info'!W277))</f>
        <v/>
      </c>
      <c r="BL277" s="121" t="str">
        <f t="shared" si="88"/>
        <v/>
      </c>
      <c r="CL277" s="250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59"/>
      <c r="F278" s="105" t="s">
        <v>45</v>
      </c>
      <c r="G278" s="262"/>
      <c r="H278" s="115" t="str">
        <f t="shared" si="77"/>
        <v/>
      </c>
      <c r="I278" s="264"/>
      <c r="J278" s="105" t="s">
        <v>45</v>
      </c>
      <c r="K278" s="267"/>
      <c r="L278" s="246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1" t="str">
        <f t="shared" si="79"/>
        <v/>
      </c>
      <c r="Z278" s="252" t="str">
        <f t="shared" si="80"/>
        <v/>
      </c>
      <c r="AA278" s="252" t="str">
        <f t="shared" si="81"/>
        <v/>
      </c>
      <c r="AB278" s="252" t="str">
        <f t="shared" si="82"/>
        <v/>
      </c>
      <c r="AJ278" s="121" t="str">
        <f>IF('Cable Info'!L278="","",CONCATENATE('Cable Info'!L278," - ",'Cable Info'!M278))</f>
        <v>277 - AW</v>
      </c>
      <c r="AM278" s="121" t="str">
        <f t="shared" si="83"/>
        <v>277 - AW</v>
      </c>
      <c r="AO278" s="121" t="str">
        <f>IF('Cable Info'!N278="","",CONCATENATE('Cable Info'!N278," - ",'Cable Info'!O278))</f>
        <v>277 - AW</v>
      </c>
      <c r="AR278" s="121" t="str">
        <f t="shared" si="84"/>
        <v>277 - AW</v>
      </c>
      <c r="AT278" s="121" t="str">
        <f>IF('Cable Info'!P278="","",CONCATENATE('Cable Info'!P278," - ",'Cable Info'!Q278))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Info'!R278="","",CONCATENATE('Cable Info'!R278," - ",'Cable Info'!S278))</f>
        <v/>
      </c>
      <c r="BB278" s="121" t="str">
        <f t="shared" si="86"/>
        <v/>
      </c>
      <c r="BD278" s="121" t="str">
        <f>IF('Cable Info'!T278="","",CONCATENATE('Cable Info'!T278," - ",'Cable Info'!U278))</f>
        <v/>
      </c>
      <c r="BG278" s="121" t="str">
        <f t="shared" si="87"/>
        <v/>
      </c>
      <c r="BI278" s="121" t="str">
        <f>IF('Cable Info'!V278="","",CONCATENATE('Cable Info'!V278," - ",'Cable Info'!W278))</f>
        <v/>
      </c>
      <c r="BL278" s="121" t="str">
        <f t="shared" si="88"/>
        <v/>
      </c>
      <c r="CL278" s="250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59"/>
      <c r="F279" s="105" t="s">
        <v>45</v>
      </c>
      <c r="G279" s="262"/>
      <c r="H279" s="115" t="str">
        <f t="shared" si="77"/>
        <v/>
      </c>
      <c r="I279" s="264"/>
      <c r="J279" s="105" t="s">
        <v>45</v>
      </c>
      <c r="K279" s="267"/>
      <c r="L279" s="246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1" t="str">
        <f t="shared" si="79"/>
        <v/>
      </c>
      <c r="Z279" s="252" t="str">
        <f t="shared" si="80"/>
        <v/>
      </c>
      <c r="AA279" s="252" t="str">
        <f t="shared" si="81"/>
        <v/>
      </c>
      <c r="AB279" s="252" t="str">
        <f t="shared" si="82"/>
        <v/>
      </c>
      <c r="AJ279" s="121" t="str">
        <f>IF('Cable Info'!L279="","",CONCATENATE('Cable Info'!L279," - ",'Cable Info'!M279))</f>
        <v>278 - AW</v>
      </c>
      <c r="AM279" s="121" t="str">
        <f t="shared" si="83"/>
        <v>278 - AW</v>
      </c>
      <c r="AO279" s="121" t="str">
        <f>IF('Cable Info'!N279="","",CONCATENATE('Cable Info'!N279," - ",'Cable Info'!O279))</f>
        <v>278 - AW</v>
      </c>
      <c r="AR279" s="121" t="str">
        <f t="shared" si="84"/>
        <v>278 - AW</v>
      </c>
      <c r="AT279" s="121" t="str">
        <f>IF('Cable Info'!P279="","",CONCATENATE('Cable Info'!P279," - ",'Cable Info'!Q279))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Info'!R279="","",CONCATENATE('Cable Info'!R279," - ",'Cable Info'!S279))</f>
        <v/>
      </c>
      <c r="BB279" s="121" t="str">
        <f t="shared" si="86"/>
        <v/>
      </c>
      <c r="BD279" s="121" t="str">
        <f>IF('Cable Info'!T279="","",CONCATENATE('Cable Info'!T279," - ",'Cable Info'!U279))</f>
        <v/>
      </c>
      <c r="BG279" s="121" t="str">
        <f t="shared" si="87"/>
        <v/>
      </c>
      <c r="BI279" s="121" t="str">
        <f>IF('Cable Info'!V279="","",CONCATENATE('Cable Info'!V279," - ",'Cable Info'!W279))</f>
        <v/>
      </c>
      <c r="BL279" s="121" t="str">
        <f t="shared" si="88"/>
        <v/>
      </c>
      <c r="CL279" s="250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59"/>
      <c r="F280" s="105" t="s">
        <v>45</v>
      </c>
      <c r="G280" s="262"/>
      <c r="H280" s="115" t="str">
        <f t="shared" si="77"/>
        <v/>
      </c>
      <c r="I280" s="264"/>
      <c r="J280" s="105" t="s">
        <v>45</v>
      </c>
      <c r="K280" s="267"/>
      <c r="L280" s="246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1" t="str">
        <f t="shared" si="79"/>
        <v/>
      </c>
      <c r="Z280" s="252" t="str">
        <f t="shared" si="80"/>
        <v/>
      </c>
      <c r="AA280" s="252" t="str">
        <f t="shared" si="81"/>
        <v/>
      </c>
      <c r="AB280" s="252" t="str">
        <f t="shared" si="82"/>
        <v/>
      </c>
      <c r="AJ280" s="121" t="str">
        <f>IF('Cable Info'!L280="","",CONCATENATE('Cable Info'!L280," - ",'Cable Info'!M280))</f>
        <v>279 - AW</v>
      </c>
      <c r="AM280" s="121" t="str">
        <f t="shared" si="83"/>
        <v>279 - AW</v>
      </c>
      <c r="AO280" s="121" t="str">
        <f>IF('Cable Info'!N280="","",CONCATENATE('Cable Info'!N280," - ",'Cable Info'!O280))</f>
        <v>279 - AW</v>
      </c>
      <c r="AR280" s="121" t="str">
        <f t="shared" si="84"/>
        <v>279 - AW</v>
      </c>
      <c r="AT280" s="121" t="str">
        <f>IF('Cable Info'!P280="","",CONCATENATE('Cable Info'!P280," - ",'Cable Info'!Q280))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Info'!R280="","",CONCATENATE('Cable Info'!R280," - ",'Cable Info'!S280))</f>
        <v/>
      </c>
      <c r="BB280" s="121" t="str">
        <f t="shared" si="86"/>
        <v/>
      </c>
      <c r="BD280" s="121" t="str">
        <f>IF('Cable Info'!T280="","",CONCATENATE('Cable Info'!T280," - ",'Cable Info'!U280))</f>
        <v/>
      </c>
      <c r="BG280" s="121" t="str">
        <f t="shared" si="87"/>
        <v/>
      </c>
      <c r="BI280" s="121" t="str">
        <f>IF('Cable Info'!V280="","",CONCATENATE('Cable Info'!V280," - ",'Cable Info'!W280))</f>
        <v/>
      </c>
      <c r="BL280" s="121" t="str">
        <f t="shared" si="88"/>
        <v/>
      </c>
      <c r="CL280" s="250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59"/>
      <c r="F281" s="105" t="s">
        <v>45</v>
      </c>
      <c r="G281" s="262"/>
      <c r="H281" s="115" t="str">
        <f t="shared" si="77"/>
        <v/>
      </c>
      <c r="I281" s="264"/>
      <c r="J281" s="105" t="s">
        <v>45</v>
      </c>
      <c r="K281" s="267"/>
      <c r="L281" s="246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1" t="str">
        <f t="shared" si="79"/>
        <v/>
      </c>
      <c r="Z281" s="252" t="str">
        <f t="shared" si="80"/>
        <v/>
      </c>
      <c r="AA281" s="252" t="str">
        <f t="shared" si="81"/>
        <v/>
      </c>
      <c r="AB281" s="252" t="str">
        <f t="shared" si="82"/>
        <v/>
      </c>
      <c r="AJ281" s="121" t="str">
        <f>IF('Cable Info'!L281="","",CONCATENATE('Cable Info'!L281," - ",'Cable Info'!M281))</f>
        <v>280 - AW</v>
      </c>
      <c r="AM281" s="121" t="str">
        <f t="shared" si="83"/>
        <v>280 - AW</v>
      </c>
      <c r="AO281" s="121" t="str">
        <f>IF('Cable Info'!N281="","",CONCATENATE('Cable Info'!N281," - ",'Cable Info'!O281))</f>
        <v>280 - AW</v>
      </c>
      <c r="AR281" s="121" t="str">
        <f t="shared" si="84"/>
        <v>280 - AW</v>
      </c>
      <c r="AT281" s="121" t="str">
        <f>IF('Cable Info'!P281="","",CONCATENATE('Cable Info'!P281," - ",'Cable Info'!Q281))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Info'!R281="","",CONCATENATE('Cable Info'!R281," - ",'Cable Info'!S281))</f>
        <v/>
      </c>
      <c r="BB281" s="121" t="str">
        <f t="shared" si="86"/>
        <v/>
      </c>
      <c r="BD281" s="121" t="str">
        <f>IF('Cable Info'!T281="","",CONCATENATE('Cable Info'!T281," - ",'Cable Info'!U281))</f>
        <v/>
      </c>
      <c r="BG281" s="121" t="str">
        <f t="shared" si="87"/>
        <v/>
      </c>
      <c r="BI281" s="121" t="str">
        <f>IF('Cable Info'!V281="","",CONCATENATE('Cable Info'!V281," - ",'Cable Info'!W281))</f>
        <v/>
      </c>
      <c r="BL281" s="121" t="str">
        <f t="shared" si="88"/>
        <v/>
      </c>
      <c r="CL281" s="250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59"/>
      <c r="F282" s="105" t="s">
        <v>45</v>
      </c>
      <c r="G282" s="262"/>
      <c r="H282" s="115" t="str">
        <f t="shared" si="77"/>
        <v/>
      </c>
      <c r="I282" s="264"/>
      <c r="J282" s="105" t="s">
        <v>45</v>
      </c>
      <c r="K282" s="267"/>
      <c r="L282" s="246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1" t="str">
        <f t="shared" si="79"/>
        <v/>
      </c>
      <c r="Z282" s="252" t="str">
        <f t="shared" si="80"/>
        <v/>
      </c>
      <c r="AA282" s="252" t="str">
        <f t="shared" si="81"/>
        <v/>
      </c>
      <c r="AB282" s="252" t="str">
        <f t="shared" si="82"/>
        <v/>
      </c>
      <c r="AJ282" s="121" t="str">
        <f>IF('Cable Info'!L282="","",CONCATENATE('Cable Info'!L282," - ",'Cable Info'!M282))</f>
        <v>281 - AW</v>
      </c>
      <c r="AM282" s="121" t="str">
        <f t="shared" si="83"/>
        <v>281 - AW</v>
      </c>
      <c r="AO282" s="121" t="str">
        <f>IF('Cable Info'!N282="","",CONCATENATE('Cable Info'!N282," - ",'Cable Info'!O282))</f>
        <v>281 - AW</v>
      </c>
      <c r="AR282" s="121" t="str">
        <f t="shared" si="84"/>
        <v>281 - AW</v>
      </c>
      <c r="AT282" s="121" t="str">
        <f>IF('Cable Info'!P282="","",CONCATENATE('Cable Info'!P282," - ",'Cable Info'!Q282))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Info'!R282="","",CONCATENATE('Cable Info'!R282," - ",'Cable Info'!S282))</f>
        <v/>
      </c>
      <c r="BB282" s="121" t="str">
        <f t="shared" si="86"/>
        <v/>
      </c>
      <c r="BD282" s="121" t="str">
        <f>IF('Cable Info'!T282="","",CONCATENATE('Cable Info'!T282," - ",'Cable Info'!U282))</f>
        <v/>
      </c>
      <c r="BG282" s="121" t="str">
        <f t="shared" si="87"/>
        <v/>
      </c>
      <c r="BI282" s="121" t="str">
        <f>IF('Cable Info'!V282="","",CONCATENATE('Cable Info'!V282," - ",'Cable Info'!W282))</f>
        <v/>
      </c>
      <c r="BL282" s="121" t="str">
        <f t="shared" si="88"/>
        <v/>
      </c>
      <c r="CL282" s="250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59"/>
      <c r="F283" s="105" t="s">
        <v>45</v>
      </c>
      <c r="G283" s="262"/>
      <c r="H283" s="115" t="str">
        <f t="shared" si="77"/>
        <v/>
      </c>
      <c r="I283" s="264"/>
      <c r="J283" s="105" t="s">
        <v>45</v>
      </c>
      <c r="K283" s="267"/>
      <c r="L283" s="246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1" t="str">
        <f t="shared" si="79"/>
        <v/>
      </c>
      <c r="Z283" s="252" t="str">
        <f t="shared" si="80"/>
        <v/>
      </c>
      <c r="AA283" s="252" t="str">
        <f t="shared" si="81"/>
        <v/>
      </c>
      <c r="AB283" s="252" t="str">
        <f t="shared" si="82"/>
        <v/>
      </c>
      <c r="AJ283" s="121" t="str">
        <f>IF('Cable Info'!L283="","",CONCATENATE('Cable Info'!L283," - ",'Cable Info'!M283))</f>
        <v>282 - AW</v>
      </c>
      <c r="AM283" s="121" t="str">
        <f t="shared" si="83"/>
        <v>282 - AW</v>
      </c>
      <c r="AO283" s="121" t="str">
        <f>IF('Cable Info'!N283="","",CONCATENATE('Cable Info'!N283," - ",'Cable Info'!O283))</f>
        <v>282 - AW</v>
      </c>
      <c r="AR283" s="121" t="str">
        <f t="shared" si="84"/>
        <v>282 - AW</v>
      </c>
      <c r="AT283" s="121" t="str">
        <f>IF('Cable Info'!P283="","",CONCATENATE('Cable Info'!P283," - ",'Cable Info'!Q283))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Info'!R283="","",CONCATENATE('Cable Info'!R283," - ",'Cable Info'!S283))</f>
        <v/>
      </c>
      <c r="BB283" s="121" t="str">
        <f t="shared" si="86"/>
        <v/>
      </c>
      <c r="BD283" s="121" t="str">
        <f>IF('Cable Info'!T283="","",CONCATENATE('Cable Info'!T283," - ",'Cable Info'!U283))</f>
        <v/>
      </c>
      <c r="BG283" s="121" t="str">
        <f t="shared" si="87"/>
        <v/>
      </c>
      <c r="BI283" s="121" t="str">
        <f>IF('Cable Info'!V283="","",CONCATENATE('Cable Info'!V283," - ",'Cable Info'!W283))</f>
        <v/>
      </c>
      <c r="BL283" s="121" t="str">
        <f t="shared" si="88"/>
        <v/>
      </c>
      <c r="CL283" s="250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59"/>
      <c r="F284" s="105" t="s">
        <v>45</v>
      </c>
      <c r="G284" s="262"/>
      <c r="H284" s="115" t="str">
        <f t="shared" si="77"/>
        <v/>
      </c>
      <c r="I284" s="264"/>
      <c r="J284" s="105" t="s">
        <v>45</v>
      </c>
      <c r="K284" s="267"/>
      <c r="L284" s="246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1" t="str">
        <f t="shared" si="79"/>
        <v/>
      </c>
      <c r="Z284" s="252" t="str">
        <f t="shared" si="80"/>
        <v/>
      </c>
      <c r="AA284" s="252" t="str">
        <f t="shared" si="81"/>
        <v/>
      </c>
      <c r="AB284" s="252" t="str">
        <f t="shared" si="82"/>
        <v/>
      </c>
      <c r="AJ284" s="121" t="str">
        <f>IF('Cable Info'!L284="","",CONCATENATE('Cable Info'!L284," - ",'Cable Info'!M284))</f>
        <v>283 - AW</v>
      </c>
      <c r="AM284" s="121" t="str">
        <f t="shared" si="83"/>
        <v>283 - AW</v>
      </c>
      <c r="AO284" s="121" t="str">
        <f>IF('Cable Info'!N284="","",CONCATENATE('Cable Info'!N284," - ",'Cable Info'!O284))</f>
        <v>283 - AW</v>
      </c>
      <c r="AR284" s="121" t="str">
        <f t="shared" si="84"/>
        <v>283 - AW</v>
      </c>
      <c r="AT284" s="121" t="str">
        <f>IF('Cable Info'!P284="","",CONCATENATE('Cable Info'!P284," - ",'Cable Info'!Q284))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Info'!R284="","",CONCATENATE('Cable Info'!R284," - ",'Cable Info'!S284))</f>
        <v/>
      </c>
      <c r="BB284" s="121" t="str">
        <f t="shared" si="86"/>
        <v/>
      </c>
      <c r="BD284" s="121" t="str">
        <f>IF('Cable Info'!T284="","",CONCATENATE('Cable Info'!T284," - ",'Cable Info'!U284))</f>
        <v/>
      </c>
      <c r="BG284" s="121" t="str">
        <f t="shared" si="87"/>
        <v/>
      </c>
      <c r="BI284" s="121" t="str">
        <f>IF('Cable Info'!V284="","",CONCATENATE('Cable Info'!V284," - ",'Cable Info'!W284))</f>
        <v/>
      </c>
      <c r="BL284" s="121" t="str">
        <f t="shared" si="88"/>
        <v/>
      </c>
      <c r="CL284" s="250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59"/>
      <c r="F285" s="105" t="s">
        <v>45</v>
      </c>
      <c r="G285" s="262"/>
      <c r="H285" s="115" t="str">
        <f t="shared" si="77"/>
        <v/>
      </c>
      <c r="I285" s="264"/>
      <c r="J285" s="105" t="s">
        <v>45</v>
      </c>
      <c r="K285" s="267"/>
      <c r="L285" s="246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1" t="str">
        <f t="shared" si="79"/>
        <v/>
      </c>
      <c r="Z285" s="252" t="str">
        <f t="shared" si="80"/>
        <v/>
      </c>
      <c r="AA285" s="252" t="str">
        <f t="shared" si="81"/>
        <v/>
      </c>
      <c r="AB285" s="252" t="str">
        <f t="shared" si="82"/>
        <v/>
      </c>
      <c r="AJ285" s="121" t="str">
        <f>IF('Cable Info'!L285="","",CONCATENATE('Cable Info'!L285," - ",'Cable Info'!M285))</f>
        <v>284 - AW</v>
      </c>
      <c r="AM285" s="121" t="str">
        <f t="shared" si="83"/>
        <v>284 - AW</v>
      </c>
      <c r="AO285" s="121" t="str">
        <f>IF('Cable Info'!N285="","",CONCATENATE('Cable Info'!N285," - ",'Cable Info'!O285))</f>
        <v>284 - AW</v>
      </c>
      <c r="AR285" s="121" t="str">
        <f t="shared" si="84"/>
        <v>284 - AW</v>
      </c>
      <c r="AT285" s="121" t="str">
        <f>IF('Cable Info'!P285="","",CONCATENATE('Cable Info'!P285," - ",'Cable Info'!Q285))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Info'!R285="","",CONCATENATE('Cable Info'!R285," - ",'Cable Info'!S285))</f>
        <v/>
      </c>
      <c r="BB285" s="121" t="str">
        <f t="shared" si="86"/>
        <v/>
      </c>
      <c r="BD285" s="121" t="str">
        <f>IF('Cable Info'!T285="","",CONCATENATE('Cable Info'!T285," - ",'Cable Info'!U285))</f>
        <v/>
      </c>
      <c r="BG285" s="121" t="str">
        <f t="shared" si="87"/>
        <v/>
      </c>
      <c r="BI285" s="121" t="str">
        <f>IF('Cable Info'!V285="","",CONCATENATE('Cable Info'!V285," - ",'Cable Info'!W285))</f>
        <v/>
      </c>
      <c r="BL285" s="121" t="str">
        <f t="shared" si="88"/>
        <v/>
      </c>
      <c r="CL285" s="250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59"/>
      <c r="F286" s="105" t="s">
        <v>45</v>
      </c>
      <c r="G286" s="262"/>
      <c r="H286" s="115" t="str">
        <f t="shared" si="77"/>
        <v/>
      </c>
      <c r="I286" s="264"/>
      <c r="J286" s="105" t="s">
        <v>45</v>
      </c>
      <c r="K286" s="267"/>
      <c r="L286" s="246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1" t="str">
        <f t="shared" si="79"/>
        <v/>
      </c>
      <c r="Z286" s="252" t="str">
        <f t="shared" si="80"/>
        <v/>
      </c>
      <c r="AA286" s="252" t="str">
        <f t="shared" si="81"/>
        <v/>
      </c>
      <c r="AB286" s="252" t="str">
        <f t="shared" si="82"/>
        <v/>
      </c>
      <c r="AJ286" s="121" t="str">
        <f>IF('Cable Info'!L286="","",CONCATENATE('Cable Info'!L286," - ",'Cable Info'!M286))</f>
        <v>285 - AW</v>
      </c>
      <c r="AM286" s="121" t="str">
        <f t="shared" si="83"/>
        <v>285 - AW</v>
      </c>
      <c r="AO286" s="121" t="str">
        <f>IF('Cable Info'!N286="","",CONCATENATE('Cable Info'!N286," - ",'Cable Info'!O286))</f>
        <v>285 - AW</v>
      </c>
      <c r="AR286" s="121" t="str">
        <f t="shared" si="84"/>
        <v>285 - AW</v>
      </c>
      <c r="AT286" s="121" t="str">
        <f>IF('Cable Info'!P286="","",CONCATENATE('Cable Info'!P286," - ",'Cable Info'!Q286))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Info'!R286="","",CONCATENATE('Cable Info'!R286," - ",'Cable Info'!S286))</f>
        <v/>
      </c>
      <c r="BB286" s="121" t="str">
        <f t="shared" si="86"/>
        <v/>
      </c>
      <c r="BD286" s="121" t="str">
        <f>IF('Cable Info'!T286="","",CONCATENATE('Cable Info'!T286," - ",'Cable Info'!U286))</f>
        <v/>
      </c>
      <c r="BG286" s="121" t="str">
        <f t="shared" si="87"/>
        <v/>
      </c>
      <c r="BI286" s="121" t="str">
        <f>IF('Cable Info'!V286="","",CONCATENATE('Cable Info'!V286," - ",'Cable Info'!W286))</f>
        <v/>
      </c>
      <c r="BL286" s="121" t="str">
        <f t="shared" si="88"/>
        <v/>
      </c>
      <c r="CL286" s="250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59"/>
      <c r="F287" s="105" t="s">
        <v>45</v>
      </c>
      <c r="G287" s="262"/>
      <c r="H287" s="115" t="str">
        <f t="shared" si="77"/>
        <v/>
      </c>
      <c r="I287" s="264"/>
      <c r="J287" s="105" t="s">
        <v>45</v>
      </c>
      <c r="K287" s="267"/>
      <c r="L287" s="246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1" t="str">
        <f t="shared" si="79"/>
        <v/>
      </c>
      <c r="Z287" s="252" t="str">
        <f t="shared" si="80"/>
        <v/>
      </c>
      <c r="AA287" s="252" t="str">
        <f t="shared" si="81"/>
        <v/>
      </c>
      <c r="AB287" s="252" t="str">
        <f t="shared" si="82"/>
        <v/>
      </c>
      <c r="AJ287" s="121" t="str">
        <f>IF('Cable Info'!L287="","",CONCATENATE('Cable Info'!L287," - ",'Cable Info'!M287))</f>
        <v>286 - AW</v>
      </c>
      <c r="AM287" s="121" t="str">
        <f t="shared" si="83"/>
        <v>286 - AW</v>
      </c>
      <c r="AO287" s="121" t="str">
        <f>IF('Cable Info'!N287="","",CONCATENATE('Cable Info'!N287," - ",'Cable Info'!O287))</f>
        <v>286 - AW</v>
      </c>
      <c r="AR287" s="121" t="str">
        <f t="shared" si="84"/>
        <v>286 - AW</v>
      </c>
      <c r="AT287" s="121" t="str">
        <f>IF('Cable Info'!P287="","",CONCATENATE('Cable Info'!P287," - ",'Cable Info'!Q287))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Info'!R287="","",CONCATENATE('Cable Info'!R287," - ",'Cable Info'!S287))</f>
        <v/>
      </c>
      <c r="BB287" s="121" t="str">
        <f t="shared" si="86"/>
        <v/>
      </c>
      <c r="BD287" s="121" t="str">
        <f>IF('Cable Info'!T287="","",CONCATENATE('Cable Info'!T287," - ",'Cable Info'!U287))</f>
        <v/>
      </c>
      <c r="BG287" s="121" t="str">
        <f t="shared" si="87"/>
        <v/>
      </c>
      <c r="BI287" s="121" t="str">
        <f>IF('Cable Info'!V287="","",CONCATENATE('Cable Info'!V287," - ",'Cable Info'!W287))</f>
        <v/>
      </c>
      <c r="BL287" s="121" t="str">
        <f t="shared" si="88"/>
        <v/>
      </c>
      <c r="CL287" s="250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59"/>
      <c r="F288" s="105" t="s">
        <v>45</v>
      </c>
      <c r="G288" s="262"/>
      <c r="H288" s="115" t="str">
        <f t="shared" si="77"/>
        <v/>
      </c>
      <c r="I288" s="264"/>
      <c r="J288" s="105" t="s">
        <v>45</v>
      </c>
      <c r="K288" s="267"/>
      <c r="L288" s="246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1" t="str">
        <f t="shared" si="79"/>
        <v/>
      </c>
      <c r="Z288" s="252" t="str">
        <f t="shared" si="80"/>
        <v/>
      </c>
      <c r="AA288" s="252" t="str">
        <f t="shared" si="81"/>
        <v/>
      </c>
      <c r="AB288" s="252" t="str">
        <f t="shared" si="82"/>
        <v/>
      </c>
      <c r="AJ288" s="121" t="str">
        <f>IF('Cable Info'!L288="","",CONCATENATE('Cable Info'!L288," - ",'Cable Info'!M288))</f>
        <v>287 - AW</v>
      </c>
      <c r="AM288" s="121" t="str">
        <f t="shared" si="83"/>
        <v>287 - AW</v>
      </c>
      <c r="AO288" s="121" t="str">
        <f>IF('Cable Info'!N288="","",CONCATENATE('Cable Info'!N288," - ",'Cable Info'!O288))</f>
        <v>287 - AW</v>
      </c>
      <c r="AR288" s="121" t="str">
        <f t="shared" si="84"/>
        <v>287 - AW</v>
      </c>
      <c r="AT288" s="121" t="str">
        <f>IF('Cable Info'!P288="","",CONCATENATE('Cable Info'!P288," - ",'Cable Info'!Q288))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Info'!R288="","",CONCATENATE('Cable Info'!R288," - ",'Cable Info'!S288))</f>
        <v/>
      </c>
      <c r="BB288" s="121" t="str">
        <f t="shared" si="86"/>
        <v/>
      </c>
      <c r="BD288" s="121" t="str">
        <f>IF('Cable Info'!T288="","",CONCATENATE('Cable Info'!T288," - ",'Cable Info'!U288))</f>
        <v/>
      </c>
      <c r="BG288" s="121" t="str">
        <f t="shared" si="87"/>
        <v/>
      </c>
      <c r="BI288" s="121" t="str">
        <f>IF('Cable Info'!V288="","",CONCATENATE('Cable Info'!V288," - ",'Cable Info'!W288))</f>
        <v/>
      </c>
      <c r="BL288" s="121" t="str">
        <f t="shared" si="88"/>
        <v/>
      </c>
      <c r="CL288" s="250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59"/>
      <c r="F289" s="105" t="s">
        <v>45</v>
      </c>
      <c r="G289" s="262"/>
      <c r="H289" s="115" t="str">
        <f t="shared" si="77"/>
        <v/>
      </c>
      <c r="I289" s="264"/>
      <c r="J289" s="105" t="s">
        <v>45</v>
      </c>
      <c r="K289" s="267"/>
      <c r="L289" s="246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1" t="str">
        <f t="shared" si="79"/>
        <v/>
      </c>
      <c r="Z289" s="252" t="str">
        <f t="shared" si="80"/>
        <v/>
      </c>
      <c r="AA289" s="252" t="str">
        <f t="shared" si="81"/>
        <v/>
      </c>
      <c r="AB289" s="252" t="str">
        <f t="shared" si="82"/>
        <v/>
      </c>
      <c r="AJ289" s="121" t="str">
        <f>IF('Cable Info'!L289="","",CONCATENATE('Cable Info'!L289," - ",'Cable Info'!M289))</f>
        <v>288 - AW</v>
      </c>
      <c r="AM289" s="121" t="str">
        <f t="shared" si="83"/>
        <v>288 - AW</v>
      </c>
      <c r="AO289" s="121" t="str">
        <f>IF('Cable Info'!N289="","",CONCATENATE('Cable Info'!N289," - ",'Cable Info'!O289))</f>
        <v>288 - AW</v>
      </c>
      <c r="AR289" s="121" t="str">
        <f t="shared" si="84"/>
        <v>288 - AW</v>
      </c>
      <c r="AT289" s="121" t="str">
        <f>IF('Cable Info'!P289="","",CONCATENATE('Cable Info'!P289," - ",'Cable Info'!Q289))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Info'!R289="","",CONCATENATE('Cable Info'!R289," - ",'Cable Info'!S289))</f>
        <v/>
      </c>
      <c r="BB289" s="121" t="str">
        <f t="shared" si="86"/>
        <v/>
      </c>
      <c r="BD289" s="121" t="str">
        <f>IF('Cable Info'!T289="","",CONCATENATE('Cable Info'!T289," - ",'Cable Info'!U289))</f>
        <v/>
      </c>
      <c r="BG289" s="121" t="str">
        <f t="shared" si="87"/>
        <v/>
      </c>
      <c r="BI289" s="121" t="str">
        <f>IF('Cable Info'!V289="","",CONCATENATE('Cable Info'!V289," - ",'Cable Info'!W289))</f>
        <v/>
      </c>
      <c r="BL289" s="121" t="str">
        <f t="shared" si="88"/>
        <v/>
      </c>
      <c r="CL289" s="250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59"/>
      <c r="F290" s="105" t="s">
        <v>45</v>
      </c>
      <c r="G290" s="262"/>
      <c r="H290" s="115" t="str">
        <f t="shared" si="77"/>
        <v/>
      </c>
      <c r="I290" s="264"/>
      <c r="J290" s="105" t="s">
        <v>45</v>
      </c>
      <c r="K290" s="267"/>
      <c r="L290" s="246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1" t="str">
        <f t="shared" si="79"/>
        <v/>
      </c>
      <c r="Z290" s="252" t="str">
        <f t="shared" si="80"/>
        <v/>
      </c>
      <c r="AA290" s="252" t="str">
        <f t="shared" si="81"/>
        <v/>
      </c>
      <c r="AB290" s="252" t="str">
        <f t="shared" si="82"/>
        <v/>
      </c>
      <c r="AJ290" s="121" t="str">
        <f>IF('Cable Info'!L290="","",CONCATENATE('Cable Info'!L290," - ",'Cable Info'!M290))</f>
        <v>289 - AW</v>
      </c>
      <c r="AM290" s="121" t="str">
        <f t="shared" si="83"/>
        <v>289 - AW</v>
      </c>
      <c r="AO290" s="121" t="str">
        <f>IF('Cable Info'!N290="","",CONCATENATE('Cable Info'!N290," - ",'Cable Info'!O290))</f>
        <v>289 - AW</v>
      </c>
      <c r="AR290" s="121" t="str">
        <f t="shared" si="84"/>
        <v>289 - AW</v>
      </c>
      <c r="AT290" s="121" t="str">
        <f>IF('Cable Info'!P290="","",CONCATENATE('Cable Info'!P290," - ",'Cable Info'!Q290))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Info'!R290="","",CONCATENATE('Cable Info'!R290," - ",'Cable Info'!S290))</f>
        <v/>
      </c>
      <c r="BB290" s="121" t="str">
        <f t="shared" si="86"/>
        <v/>
      </c>
      <c r="BD290" s="121" t="str">
        <f>IF('Cable Info'!T290="","",CONCATENATE('Cable Info'!T290," - ",'Cable Info'!U290))</f>
        <v/>
      </c>
      <c r="BG290" s="121" t="str">
        <f t="shared" si="87"/>
        <v/>
      </c>
      <c r="BI290" s="121" t="str">
        <f>IF('Cable Info'!V290="","",CONCATENATE('Cable Info'!V290," - ",'Cable Info'!W290))</f>
        <v/>
      </c>
      <c r="BL290" s="121" t="str">
        <f t="shared" si="88"/>
        <v/>
      </c>
      <c r="CL290" s="250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59"/>
      <c r="F291" s="105" t="s">
        <v>45</v>
      </c>
      <c r="G291" s="262"/>
      <c r="H291" s="115" t="str">
        <f t="shared" si="77"/>
        <v/>
      </c>
      <c r="I291" s="264"/>
      <c r="J291" s="105" t="s">
        <v>45</v>
      </c>
      <c r="K291" s="267"/>
      <c r="L291" s="246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1" t="str">
        <f t="shared" si="79"/>
        <v/>
      </c>
      <c r="Z291" s="252" t="str">
        <f t="shared" si="80"/>
        <v/>
      </c>
      <c r="AA291" s="252" t="str">
        <f t="shared" si="81"/>
        <v/>
      </c>
      <c r="AB291" s="252" t="str">
        <f t="shared" si="82"/>
        <v/>
      </c>
      <c r="AJ291" s="121" t="str">
        <f>IF('Cable Info'!L291="","",CONCATENATE('Cable Info'!L291," - ",'Cable Info'!M291))</f>
        <v>290 - AW</v>
      </c>
      <c r="AM291" s="121" t="str">
        <f t="shared" si="83"/>
        <v>290 - AW</v>
      </c>
      <c r="AO291" s="121" t="str">
        <f>IF('Cable Info'!N291="","",CONCATENATE('Cable Info'!N291," - ",'Cable Info'!O291))</f>
        <v>290 - AW</v>
      </c>
      <c r="AR291" s="121" t="str">
        <f t="shared" si="84"/>
        <v>290 - AW</v>
      </c>
      <c r="AT291" s="121" t="str">
        <f>IF('Cable Info'!P291="","",CONCATENATE('Cable Info'!P291," - ",'Cable Info'!Q291))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Info'!R291="","",CONCATENATE('Cable Info'!R291," - ",'Cable Info'!S291))</f>
        <v/>
      </c>
      <c r="BB291" s="121" t="str">
        <f t="shared" si="86"/>
        <v/>
      </c>
      <c r="BD291" s="121" t="str">
        <f>IF('Cable Info'!T291="","",CONCATENATE('Cable Info'!T291," - ",'Cable Info'!U291))</f>
        <v/>
      </c>
      <c r="BG291" s="121" t="str">
        <f t="shared" si="87"/>
        <v/>
      </c>
      <c r="BI291" s="121" t="str">
        <f>IF('Cable Info'!V291="","",CONCATENATE('Cable Info'!V291," - ",'Cable Info'!W291))</f>
        <v/>
      </c>
      <c r="BL291" s="121" t="str">
        <f t="shared" si="88"/>
        <v/>
      </c>
      <c r="CL291" s="250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59"/>
      <c r="F292" s="105" t="s">
        <v>45</v>
      </c>
      <c r="G292" s="262"/>
      <c r="H292" s="115" t="str">
        <f t="shared" si="77"/>
        <v/>
      </c>
      <c r="I292" s="264"/>
      <c r="J292" s="105" t="s">
        <v>45</v>
      </c>
      <c r="K292" s="267"/>
      <c r="L292" s="246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1" t="str">
        <f t="shared" si="79"/>
        <v/>
      </c>
      <c r="Z292" s="252" t="str">
        <f t="shared" si="80"/>
        <v/>
      </c>
      <c r="AA292" s="252" t="str">
        <f t="shared" si="81"/>
        <v/>
      </c>
      <c r="AB292" s="252" t="str">
        <f t="shared" si="82"/>
        <v/>
      </c>
      <c r="AJ292" s="121" t="str">
        <f>IF('Cable Info'!L292="","",CONCATENATE('Cable Info'!L292," - ",'Cable Info'!M292))</f>
        <v>291 - AW</v>
      </c>
      <c r="AM292" s="121" t="str">
        <f t="shared" si="83"/>
        <v>291 - AW</v>
      </c>
      <c r="AO292" s="121" t="str">
        <f>IF('Cable Info'!N292="","",CONCATENATE('Cable Info'!N292," - ",'Cable Info'!O292))</f>
        <v>291 - AW</v>
      </c>
      <c r="AR292" s="121" t="str">
        <f t="shared" si="84"/>
        <v>291 - AW</v>
      </c>
      <c r="AT292" s="121" t="str">
        <f>IF('Cable Info'!P292="","",CONCATENATE('Cable Info'!P292," - ",'Cable Info'!Q292))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Info'!R292="","",CONCATENATE('Cable Info'!R292," - ",'Cable Info'!S292))</f>
        <v/>
      </c>
      <c r="BB292" s="121" t="str">
        <f t="shared" si="86"/>
        <v/>
      </c>
      <c r="BD292" s="121" t="str">
        <f>IF('Cable Info'!T292="","",CONCATENATE('Cable Info'!T292," - ",'Cable Info'!U292))</f>
        <v/>
      </c>
      <c r="BG292" s="121" t="str">
        <f t="shared" si="87"/>
        <v/>
      </c>
      <c r="BI292" s="121" t="str">
        <f>IF('Cable Info'!V292="","",CONCATENATE('Cable Info'!V292," - ",'Cable Info'!W292))</f>
        <v/>
      </c>
      <c r="BL292" s="121" t="str">
        <f t="shared" si="88"/>
        <v/>
      </c>
      <c r="CL292" s="250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59"/>
      <c r="F293" s="105" t="s">
        <v>45</v>
      </c>
      <c r="G293" s="262"/>
      <c r="H293" s="115" t="str">
        <f t="shared" si="77"/>
        <v/>
      </c>
      <c r="I293" s="264"/>
      <c r="J293" s="105" t="s">
        <v>45</v>
      </c>
      <c r="K293" s="267"/>
      <c r="L293" s="246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1" t="str">
        <f t="shared" si="79"/>
        <v/>
      </c>
      <c r="Z293" s="252" t="str">
        <f t="shared" si="80"/>
        <v/>
      </c>
      <c r="AA293" s="252" t="str">
        <f t="shared" si="81"/>
        <v/>
      </c>
      <c r="AB293" s="252" t="str">
        <f t="shared" si="82"/>
        <v/>
      </c>
      <c r="AJ293" s="121" t="str">
        <f>IF('Cable Info'!L293="","",CONCATENATE('Cable Info'!L293," - ",'Cable Info'!M293))</f>
        <v>292 - AW</v>
      </c>
      <c r="AM293" s="121" t="str">
        <f t="shared" si="83"/>
        <v>292 - AW</v>
      </c>
      <c r="AO293" s="121" t="str">
        <f>IF('Cable Info'!N293="","",CONCATENATE('Cable Info'!N293," - ",'Cable Info'!O293))</f>
        <v>292 - AW</v>
      </c>
      <c r="AR293" s="121" t="str">
        <f t="shared" si="84"/>
        <v>292 - AW</v>
      </c>
      <c r="AT293" s="121" t="str">
        <f>IF('Cable Info'!P293="","",CONCATENATE('Cable Info'!P293," - ",'Cable Info'!Q293))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Info'!R293="","",CONCATENATE('Cable Info'!R293," - ",'Cable Info'!S293))</f>
        <v/>
      </c>
      <c r="BB293" s="121" t="str">
        <f t="shared" si="86"/>
        <v/>
      </c>
      <c r="BD293" s="121" t="str">
        <f>IF('Cable Info'!T293="","",CONCATENATE('Cable Info'!T293," - ",'Cable Info'!U293))</f>
        <v/>
      </c>
      <c r="BG293" s="121" t="str">
        <f t="shared" si="87"/>
        <v/>
      </c>
      <c r="BI293" s="121" t="str">
        <f>IF('Cable Info'!V293="","",CONCATENATE('Cable Info'!V293," - ",'Cable Info'!W293))</f>
        <v/>
      </c>
      <c r="BL293" s="121" t="str">
        <f t="shared" si="88"/>
        <v/>
      </c>
      <c r="CL293" s="250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59"/>
      <c r="F294" s="105" t="s">
        <v>45</v>
      </c>
      <c r="G294" s="262"/>
      <c r="H294" s="115" t="str">
        <f t="shared" si="77"/>
        <v/>
      </c>
      <c r="I294" s="264"/>
      <c r="J294" s="105" t="s">
        <v>45</v>
      </c>
      <c r="K294" s="267"/>
      <c r="L294" s="246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1" t="str">
        <f t="shared" si="79"/>
        <v/>
      </c>
      <c r="Z294" s="252" t="str">
        <f t="shared" si="80"/>
        <v/>
      </c>
      <c r="AA294" s="252" t="str">
        <f t="shared" si="81"/>
        <v/>
      </c>
      <c r="AB294" s="252" t="str">
        <f t="shared" si="82"/>
        <v/>
      </c>
      <c r="AJ294" s="121" t="str">
        <f>IF('Cable Info'!L294="","",CONCATENATE('Cable Info'!L294," - ",'Cable Info'!M294))</f>
        <v>293 - AW</v>
      </c>
      <c r="AM294" s="121" t="str">
        <f t="shared" si="83"/>
        <v>293 - AW</v>
      </c>
      <c r="AO294" s="121" t="str">
        <f>IF('Cable Info'!N294="","",CONCATENATE('Cable Info'!N294," - ",'Cable Info'!O294))</f>
        <v>293 - AW</v>
      </c>
      <c r="AR294" s="121" t="str">
        <f t="shared" si="84"/>
        <v>293 - AW</v>
      </c>
      <c r="AT294" s="121" t="str">
        <f>IF('Cable Info'!P294="","",CONCATENATE('Cable Info'!P294," - ",'Cable Info'!Q294))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Info'!R294="","",CONCATENATE('Cable Info'!R294," - ",'Cable Info'!S294))</f>
        <v/>
      </c>
      <c r="BB294" s="121" t="str">
        <f t="shared" si="86"/>
        <v/>
      </c>
      <c r="BD294" s="121" t="str">
        <f>IF('Cable Info'!T294="","",CONCATENATE('Cable Info'!T294," - ",'Cable Info'!U294))</f>
        <v/>
      </c>
      <c r="BG294" s="121" t="str">
        <f t="shared" si="87"/>
        <v/>
      </c>
      <c r="BI294" s="121" t="str">
        <f>IF('Cable Info'!V294="","",CONCATENATE('Cable Info'!V294," - ",'Cable Info'!W294))</f>
        <v/>
      </c>
      <c r="BL294" s="121" t="str">
        <f t="shared" si="88"/>
        <v/>
      </c>
      <c r="CL294" s="250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59"/>
      <c r="F295" s="105" t="s">
        <v>45</v>
      </c>
      <c r="G295" s="262"/>
      <c r="H295" s="115" t="str">
        <f t="shared" si="77"/>
        <v/>
      </c>
      <c r="I295" s="264"/>
      <c r="J295" s="105" t="s">
        <v>45</v>
      </c>
      <c r="K295" s="267"/>
      <c r="L295" s="246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1" t="str">
        <f t="shared" si="79"/>
        <v/>
      </c>
      <c r="Z295" s="252" t="str">
        <f t="shared" si="80"/>
        <v/>
      </c>
      <c r="AA295" s="252" t="str">
        <f t="shared" si="81"/>
        <v/>
      </c>
      <c r="AB295" s="252" t="str">
        <f t="shared" si="82"/>
        <v/>
      </c>
      <c r="AJ295" s="121" t="str">
        <f>IF('Cable Info'!L295="","",CONCATENATE('Cable Info'!L295," - ",'Cable Info'!M295))</f>
        <v>294 - AW</v>
      </c>
      <c r="AM295" s="121" t="str">
        <f t="shared" si="83"/>
        <v>294 - AW</v>
      </c>
      <c r="AO295" s="121" t="str">
        <f>IF('Cable Info'!N295="","",CONCATENATE('Cable Info'!N295," - ",'Cable Info'!O295))</f>
        <v>294 - AW</v>
      </c>
      <c r="AR295" s="121" t="str">
        <f t="shared" si="84"/>
        <v>294 - AW</v>
      </c>
      <c r="AT295" s="121" t="str">
        <f>IF('Cable Info'!P295="","",CONCATENATE('Cable Info'!P295," - ",'Cable Info'!Q295))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Info'!R295="","",CONCATENATE('Cable Info'!R295," - ",'Cable Info'!S295))</f>
        <v/>
      </c>
      <c r="BB295" s="121" t="str">
        <f t="shared" si="86"/>
        <v/>
      </c>
      <c r="BD295" s="121" t="str">
        <f>IF('Cable Info'!T295="","",CONCATENATE('Cable Info'!T295," - ",'Cable Info'!U295))</f>
        <v/>
      </c>
      <c r="BG295" s="121" t="str">
        <f t="shared" si="87"/>
        <v/>
      </c>
      <c r="BI295" s="121" t="str">
        <f>IF('Cable Info'!V295="","",CONCATENATE('Cable Info'!V295," - ",'Cable Info'!W295))</f>
        <v/>
      </c>
      <c r="BL295" s="121" t="str">
        <f t="shared" si="88"/>
        <v/>
      </c>
      <c r="CL295" s="250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59"/>
      <c r="F296" s="105" t="s">
        <v>45</v>
      </c>
      <c r="G296" s="262"/>
      <c r="H296" s="115" t="str">
        <f t="shared" si="77"/>
        <v/>
      </c>
      <c r="I296" s="264"/>
      <c r="J296" s="105" t="s">
        <v>45</v>
      </c>
      <c r="K296" s="267"/>
      <c r="L296" s="246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1" t="str">
        <f t="shared" si="79"/>
        <v/>
      </c>
      <c r="Z296" s="252" t="str">
        <f t="shared" si="80"/>
        <v/>
      </c>
      <c r="AA296" s="252" t="str">
        <f t="shared" si="81"/>
        <v/>
      </c>
      <c r="AB296" s="252" t="str">
        <f t="shared" si="82"/>
        <v/>
      </c>
      <c r="AJ296" s="121" t="str">
        <f>IF('Cable Info'!L296="","",CONCATENATE('Cable Info'!L296," - ",'Cable Info'!M296))</f>
        <v>295 - AW</v>
      </c>
      <c r="AM296" s="121" t="str">
        <f t="shared" si="83"/>
        <v>295 - AW</v>
      </c>
      <c r="AO296" s="121" t="str">
        <f>IF('Cable Info'!N296="","",CONCATENATE('Cable Info'!N296," - ",'Cable Info'!O296))</f>
        <v>295 - AW</v>
      </c>
      <c r="AR296" s="121" t="str">
        <f t="shared" si="84"/>
        <v>295 - AW</v>
      </c>
      <c r="AT296" s="121" t="str">
        <f>IF('Cable Info'!P296="","",CONCATENATE('Cable Info'!P296," - ",'Cable Info'!Q296))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Info'!R296="","",CONCATENATE('Cable Info'!R296," - ",'Cable Info'!S296))</f>
        <v/>
      </c>
      <c r="BB296" s="121" t="str">
        <f t="shared" si="86"/>
        <v/>
      </c>
      <c r="BD296" s="121" t="str">
        <f>IF('Cable Info'!T296="","",CONCATENATE('Cable Info'!T296," - ",'Cable Info'!U296))</f>
        <v/>
      </c>
      <c r="BG296" s="121" t="str">
        <f t="shared" si="87"/>
        <v/>
      </c>
      <c r="BI296" s="121" t="str">
        <f>IF('Cable Info'!V296="","",CONCATENATE('Cable Info'!V296," - ",'Cable Info'!W296))</f>
        <v/>
      </c>
      <c r="BL296" s="121" t="str">
        <f t="shared" si="88"/>
        <v/>
      </c>
      <c r="CL296" s="250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59"/>
      <c r="F297" s="105" t="s">
        <v>45</v>
      </c>
      <c r="G297" s="262"/>
      <c r="H297" s="115" t="str">
        <f t="shared" si="77"/>
        <v/>
      </c>
      <c r="I297" s="264"/>
      <c r="J297" s="105" t="s">
        <v>45</v>
      </c>
      <c r="K297" s="267"/>
      <c r="L297" s="246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1" t="str">
        <f t="shared" si="79"/>
        <v/>
      </c>
      <c r="Z297" s="252" t="str">
        <f t="shared" si="80"/>
        <v/>
      </c>
      <c r="AA297" s="252" t="str">
        <f t="shared" si="81"/>
        <v/>
      </c>
      <c r="AB297" s="252" t="str">
        <f t="shared" si="82"/>
        <v/>
      </c>
      <c r="AJ297" s="121" t="str">
        <f>IF('Cable Info'!L297="","",CONCATENATE('Cable Info'!L297," - ",'Cable Info'!M297))</f>
        <v>296 - AW</v>
      </c>
      <c r="AM297" s="121" t="str">
        <f t="shared" si="83"/>
        <v>296 - AW</v>
      </c>
      <c r="AO297" s="121" t="str">
        <f>IF('Cable Info'!N297="","",CONCATENATE('Cable Info'!N297," - ",'Cable Info'!O297))</f>
        <v>296 - AW</v>
      </c>
      <c r="AR297" s="121" t="str">
        <f t="shared" si="84"/>
        <v>296 - AW</v>
      </c>
      <c r="AT297" s="121" t="str">
        <f>IF('Cable Info'!P297="","",CONCATENATE('Cable Info'!P297," - ",'Cable Info'!Q297))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Info'!R297="","",CONCATENATE('Cable Info'!R297," - ",'Cable Info'!S297))</f>
        <v/>
      </c>
      <c r="BB297" s="121" t="str">
        <f t="shared" si="86"/>
        <v/>
      </c>
      <c r="BD297" s="121" t="str">
        <f>IF('Cable Info'!T297="","",CONCATENATE('Cable Info'!T297," - ",'Cable Info'!U297))</f>
        <v/>
      </c>
      <c r="BG297" s="121" t="str">
        <f t="shared" si="87"/>
        <v/>
      </c>
      <c r="BI297" s="121" t="str">
        <f>IF('Cable Info'!V297="","",CONCATENATE('Cable Info'!V297," - ",'Cable Info'!W297))</f>
        <v/>
      </c>
      <c r="BL297" s="121" t="str">
        <f t="shared" si="88"/>
        <v/>
      </c>
      <c r="CL297" s="250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59"/>
      <c r="F298" s="105" t="s">
        <v>45</v>
      </c>
      <c r="G298" s="262"/>
      <c r="H298" s="115" t="str">
        <f t="shared" si="77"/>
        <v/>
      </c>
      <c r="I298" s="264"/>
      <c r="J298" s="105" t="s">
        <v>45</v>
      </c>
      <c r="K298" s="267"/>
      <c r="L298" s="246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1" t="str">
        <f t="shared" si="79"/>
        <v/>
      </c>
      <c r="Z298" s="252" t="str">
        <f t="shared" si="80"/>
        <v/>
      </c>
      <c r="AA298" s="252" t="str">
        <f t="shared" si="81"/>
        <v/>
      </c>
      <c r="AB298" s="252" t="str">
        <f t="shared" si="82"/>
        <v/>
      </c>
      <c r="AJ298" s="121" t="str">
        <f>IF('Cable Info'!L298="","",CONCATENATE('Cable Info'!L298," - ",'Cable Info'!M298))</f>
        <v>297 - AW</v>
      </c>
      <c r="AM298" s="121" t="str">
        <f t="shared" si="83"/>
        <v>297 - AW</v>
      </c>
      <c r="AO298" s="121" t="str">
        <f>IF('Cable Info'!N298="","",CONCATENATE('Cable Info'!N298," - ",'Cable Info'!O298))</f>
        <v>297 - AW</v>
      </c>
      <c r="AR298" s="121" t="str">
        <f t="shared" si="84"/>
        <v>297 - AW</v>
      </c>
      <c r="AT298" s="121" t="str">
        <f>IF('Cable Info'!P298="","",CONCATENATE('Cable Info'!P298," - ",'Cable Info'!Q298))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Info'!R298="","",CONCATENATE('Cable Info'!R298," - ",'Cable Info'!S298))</f>
        <v/>
      </c>
      <c r="BB298" s="121" t="str">
        <f t="shared" si="86"/>
        <v/>
      </c>
      <c r="BD298" s="121" t="str">
        <f>IF('Cable Info'!T298="","",CONCATENATE('Cable Info'!T298," - ",'Cable Info'!U298))</f>
        <v/>
      </c>
      <c r="BG298" s="121" t="str">
        <f t="shared" si="87"/>
        <v/>
      </c>
      <c r="BI298" s="121" t="str">
        <f>IF('Cable Info'!V298="","",CONCATENATE('Cable Info'!V298," - ",'Cable Info'!W298))</f>
        <v/>
      </c>
      <c r="BL298" s="121" t="str">
        <f t="shared" si="88"/>
        <v/>
      </c>
      <c r="CL298" s="250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59"/>
      <c r="F299" s="105" t="s">
        <v>45</v>
      </c>
      <c r="G299" s="262"/>
      <c r="H299" s="115" t="str">
        <f t="shared" si="77"/>
        <v/>
      </c>
      <c r="I299" s="264"/>
      <c r="J299" s="105" t="s">
        <v>45</v>
      </c>
      <c r="K299" s="267"/>
      <c r="L299" s="246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1" t="str">
        <f t="shared" si="79"/>
        <v/>
      </c>
      <c r="Z299" s="252" t="str">
        <f t="shared" si="80"/>
        <v/>
      </c>
      <c r="AA299" s="252" t="str">
        <f t="shared" si="81"/>
        <v/>
      </c>
      <c r="AB299" s="252" t="str">
        <f t="shared" si="82"/>
        <v/>
      </c>
      <c r="AJ299" s="121" t="str">
        <f>IF('Cable Info'!L299="","",CONCATENATE('Cable Info'!L299," - ",'Cable Info'!M299))</f>
        <v>298 - AW</v>
      </c>
      <c r="AM299" s="121" t="str">
        <f t="shared" si="83"/>
        <v>298 - AW</v>
      </c>
      <c r="AO299" s="121" t="str">
        <f>IF('Cable Info'!N299="","",CONCATENATE('Cable Info'!N299," - ",'Cable Info'!O299))</f>
        <v>298 - AW</v>
      </c>
      <c r="AR299" s="121" t="str">
        <f t="shared" si="84"/>
        <v>298 - AW</v>
      </c>
      <c r="AT299" s="121" t="str">
        <f>IF('Cable Info'!P299="","",CONCATENATE('Cable Info'!P299," - ",'Cable Info'!Q299))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Info'!R299="","",CONCATENATE('Cable Info'!R299," - ",'Cable Info'!S299))</f>
        <v/>
      </c>
      <c r="BB299" s="121" t="str">
        <f t="shared" si="86"/>
        <v/>
      </c>
      <c r="BD299" s="121" t="str">
        <f>IF('Cable Info'!T299="","",CONCATENATE('Cable Info'!T299," - ",'Cable Info'!U299))</f>
        <v/>
      </c>
      <c r="BG299" s="121" t="str">
        <f t="shared" si="87"/>
        <v/>
      </c>
      <c r="BI299" s="121" t="str">
        <f>IF('Cable Info'!V299="","",CONCATENATE('Cable Info'!V299," - ",'Cable Info'!W299))</f>
        <v/>
      </c>
      <c r="BL299" s="121" t="str">
        <f t="shared" si="88"/>
        <v/>
      </c>
      <c r="CL299" s="250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59"/>
      <c r="F300" s="105" t="s">
        <v>45</v>
      </c>
      <c r="G300" s="262"/>
      <c r="H300" s="115" t="str">
        <f t="shared" si="77"/>
        <v/>
      </c>
      <c r="I300" s="264"/>
      <c r="J300" s="105" t="s">
        <v>45</v>
      </c>
      <c r="K300" s="267"/>
      <c r="L300" s="246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1" t="str">
        <f t="shared" si="79"/>
        <v/>
      </c>
      <c r="Z300" s="252" t="str">
        <f t="shared" si="80"/>
        <v/>
      </c>
      <c r="AA300" s="252" t="str">
        <f t="shared" si="81"/>
        <v/>
      </c>
      <c r="AB300" s="252" t="str">
        <f t="shared" si="82"/>
        <v/>
      </c>
      <c r="AJ300" s="121" t="str">
        <f>IF('Cable Info'!L300="","",CONCATENATE('Cable Info'!L300," - ",'Cable Info'!M300))</f>
        <v>299 - AW</v>
      </c>
      <c r="AM300" s="121" t="str">
        <f t="shared" si="83"/>
        <v>299 - AW</v>
      </c>
      <c r="AO300" s="121" t="str">
        <f>IF('Cable Info'!N300="","",CONCATENATE('Cable Info'!N300," - ",'Cable Info'!O300))</f>
        <v>299 - AW</v>
      </c>
      <c r="AR300" s="121" t="str">
        <f t="shared" si="84"/>
        <v>299 - AW</v>
      </c>
      <c r="AT300" s="121" t="str">
        <f>IF('Cable Info'!P300="","",CONCATENATE('Cable Info'!P300," - ",'Cable Info'!Q300))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Info'!R300="","",CONCATENATE('Cable Info'!R300," - ",'Cable Info'!S300))</f>
        <v/>
      </c>
      <c r="BB300" s="121" t="str">
        <f t="shared" si="86"/>
        <v/>
      </c>
      <c r="BD300" s="121" t="str">
        <f>IF('Cable Info'!T300="","",CONCATENATE('Cable Info'!T300," - ",'Cable Info'!U300))</f>
        <v/>
      </c>
      <c r="BG300" s="121" t="str">
        <f t="shared" si="87"/>
        <v/>
      </c>
      <c r="BI300" s="121" t="str">
        <f>IF('Cable Info'!V300="","",CONCATENATE('Cable Info'!V300," - ",'Cable Info'!W300))</f>
        <v/>
      </c>
      <c r="BL300" s="121" t="str">
        <f t="shared" si="88"/>
        <v/>
      </c>
      <c r="CL300" s="250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59"/>
      <c r="F301" s="105" t="s">
        <v>45</v>
      </c>
      <c r="G301" s="262"/>
      <c r="H301" s="115" t="str">
        <f t="shared" si="77"/>
        <v/>
      </c>
      <c r="I301" s="264"/>
      <c r="J301" s="105" t="s">
        <v>45</v>
      </c>
      <c r="K301" s="267"/>
      <c r="L301" s="246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1" t="str">
        <f t="shared" si="79"/>
        <v/>
      </c>
      <c r="Z301" s="252" t="str">
        <f t="shared" si="80"/>
        <v/>
      </c>
      <c r="AA301" s="252" t="str">
        <f t="shared" si="81"/>
        <v/>
      </c>
      <c r="AB301" s="252" t="str">
        <f t="shared" si="82"/>
        <v/>
      </c>
      <c r="AJ301" s="121" t="str">
        <f>IF('Cable Info'!L301="","",CONCATENATE('Cable Info'!L301," - ",'Cable Info'!M301))</f>
        <v>300 - AW</v>
      </c>
      <c r="AM301" s="121" t="str">
        <f t="shared" si="83"/>
        <v>300 - AW</v>
      </c>
      <c r="AO301" s="121" t="str">
        <f>IF('Cable Info'!N301="","",CONCATENATE('Cable Info'!N301," - ",'Cable Info'!O301))</f>
        <v>300 - AW</v>
      </c>
      <c r="AR301" s="121" t="str">
        <f t="shared" si="84"/>
        <v>300 - AW</v>
      </c>
      <c r="AT301" s="121" t="str">
        <f>IF('Cable Info'!P301="","",CONCATENATE('Cable Info'!P301," - ",'Cable Info'!Q301))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Info'!R301="","",CONCATENATE('Cable Info'!R301," - ",'Cable Info'!S301))</f>
        <v/>
      </c>
      <c r="BB301" s="121" t="str">
        <f t="shared" si="86"/>
        <v/>
      </c>
      <c r="BD301" s="121" t="str">
        <f>IF('Cable Info'!T301="","",CONCATENATE('Cable Info'!T301," - ",'Cable Info'!U301))</f>
        <v/>
      </c>
      <c r="BG301" s="121" t="str">
        <f t="shared" si="87"/>
        <v/>
      </c>
      <c r="BI301" s="121" t="str">
        <f>IF('Cable Info'!V301="","",CONCATENATE('Cable Info'!V301," - ",'Cable Info'!W301))</f>
        <v/>
      </c>
      <c r="BL301" s="121" t="str">
        <f t="shared" si="88"/>
        <v/>
      </c>
      <c r="CL301" s="250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59"/>
      <c r="F302" s="105" t="s">
        <v>45</v>
      </c>
      <c r="G302" s="262"/>
      <c r="H302" s="115" t="str">
        <f t="shared" si="77"/>
        <v/>
      </c>
      <c r="I302" s="264"/>
      <c r="J302" s="105" t="s">
        <v>45</v>
      </c>
      <c r="K302" s="267"/>
      <c r="L302" s="246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1" t="str">
        <f t="shared" si="79"/>
        <v/>
      </c>
      <c r="Z302" s="252" t="str">
        <f t="shared" si="80"/>
        <v/>
      </c>
      <c r="AA302" s="252" t="str">
        <f t="shared" si="81"/>
        <v/>
      </c>
      <c r="AB302" s="252" t="str">
        <f t="shared" si="82"/>
        <v/>
      </c>
      <c r="AJ302" s="121" t="str">
        <f>IF('Cable Info'!L302="","",CONCATENATE('Cable Info'!L302," - ",'Cable Info'!M302))</f>
        <v>301 - AW</v>
      </c>
      <c r="AM302" s="121" t="str">
        <f t="shared" si="83"/>
        <v>301 - AW</v>
      </c>
      <c r="AO302" s="121" t="str">
        <f>IF('Cable Info'!N302="","",CONCATENATE('Cable Info'!N302," - ",'Cable Info'!O302))</f>
        <v>301 - AW</v>
      </c>
      <c r="AR302" s="121" t="str">
        <f t="shared" si="84"/>
        <v>301 - AW</v>
      </c>
      <c r="AT302" s="121" t="str">
        <f>IF('Cable Info'!P302="","",CONCATENATE('Cable Info'!P302," - ",'Cable Info'!Q302))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Info'!R302="","",CONCATENATE('Cable Info'!R302," - ",'Cable Info'!S302))</f>
        <v/>
      </c>
      <c r="BB302" s="121" t="str">
        <f t="shared" si="86"/>
        <v/>
      </c>
      <c r="BD302" s="121" t="str">
        <f>IF('Cable Info'!T302="","",CONCATENATE('Cable Info'!T302," - ",'Cable Info'!U302))</f>
        <v/>
      </c>
      <c r="BG302" s="121" t="str">
        <f t="shared" si="87"/>
        <v/>
      </c>
      <c r="BI302" s="121" t="str">
        <f>IF('Cable Info'!V302="","",CONCATENATE('Cable Info'!V302," - ",'Cable Info'!W302))</f>
        <v/>
      </c>
      <c r="BL302" s="121" t="str">
        <f t="shared" si="88"/>
        <v/>
      </c>
      <c r="CL302" s="250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59"/>
      <c r="F303" s="105" t="s">
        <v>45</v>
      </c>
      <c r="G303" s="262"/>
      <c r="H303" s="115" t="str">
        <f t="shared" si="77"/>
        <v/>
      </c>
      <c r="I303" s="264"/>
      <c r="J303" s="105" t="s">
        <v>45</v>
      </c>
      <c r="K303" s="267"/>
      <c r="L303" s="246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1" t="str">
        <f t="shared" si="79"/>
        <v/>
      </c>
      <c r="Z303" s="252" t="str">
        <f t="shared" si="80"/>
        <v/>
      </c>
      <c r="AA303" s="252" t="str">
        <f t="shared" si="81"/>
        <v/>
      </c>
      <c r="AB303" s="252" t="str">
        <f t="shared" si="82"/>
        <v/>
      </c>
      <c r="AJ303" s="121" t="str">
        <f>IF('Cable Info'!L303="","",CONCATENATE('Cable Info'!L303," - ",'Cable Info'!M303))</f>
        <v>302 - AW</v>
      </c>
      <c r="AM303" s="121" t="str">
        <f t="shared" si="83"/>
        <v>302 - AW</v>
      </c>
      <c r="AO303" s="121" t="str">
        <f>IF('Cable Info'!N303="","",CONCATENATE('Cable Info'!N303," - ",'Cable Info'!O303))</f>
        <v>302 - AW</v>
      </c>
      <c r="AR303" s="121" t="str">
        <f t="shared" si="84"/>
        <v>302 - AW</v>
      </c>
      <c r="AT303" s="121" t="str">
        <f>IF('Cable Info'!P303="","",CONCATENATE('Cable Info'!P303," - ",'Cable Info'!Q303))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Info'!R303="","",CONCATENATE('Cable Info'!R303," - ",'Cable Info'!S303))</f>
        <v/>
      </c>
      <c r="BB303" s="121" t="str">
        <f t="shared" si="86"/>
        <v/>
      </c>
      <c r="BD303" s="121" t="str">
        <f>IF('Cable Info'!T303="","",CONCATENATE('Cable Info'!T303," - ",'Cable Info'!U303))</f>
        <v/>
      </c>
      <c r="BG303" s="121" t="str">
        <f t="shared" si="87"/>
        <v/>
      </c>
      <c r="BI303" s="121" t="str">
        <f>IF('Cable Info'!V303="","",CONCATENATE('Cable Info'!V303," - ",'Cable Info'!W303))</f>
        <v/>
      </c>
      <c r="BL303" s="121" t="str">
        <f t="shared" si="88"/>
        <v/>
      </c>
      <c r="CL303" s="250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59"/>
      <c r="F304" s="105" t="s">
        <v>45</v>
      </c>
      <c r="G304" s="262"/>
      <c r="H304" s="115" t="str">
        <f t="shared" si="77"/>
        <v/>
      </c>
      <c r="I304" s="264"/>
      <c r="J304" s="105" t="s">
        <v>45</v>
      </c>
      <c r="K304" s="267"/>
      <c r="L304" s="246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1" t="str">
        <f t="shared" si="79"/>
        <v/>
      </c>
      <c r="Z304" s="252" t="str">
        <f t="shared" si="80"/>
        <v/>
      </c>
      <c r="AA304" s="252" t="str">
        <f t="shared" si="81"/>
        <v/>
      </c>
      <c r="AB304" s="252" t="str">
        <f t="shared" si="82"/>
        <v/>
      </c>
      <c r="AJ304" s="121" t="str">
        <f>IF('Cable Info'!L304="","",CONCATENATE('Cable Info'!L304," - ",'Cable Info'!M304))</f>
        <v>303 - AW</v>
      </c>
      <c r="AM304" s="121" t="str">
        <f t="shared" si="83"/>
        <v>303 - AW</v>
      </c>
      <c r="AO304" s="121" t="str">
        <f>IF('Cable Info'!N304="","",CONCATENATE('Cable Info'!N304," - ",'Cable Info'!O304))</f>
        <v>303 - AW</v>
      </c>
      <c r="AR304" s="121" t="str">
        <f t="shared" si="84"/>
        <v>303 - AW</v>
      </c>
      <c r="AT304" s="121" t="str">
        <f>IF('Cable Info'!P304="","",CONCATENATE('Cable Info'!P304," - ",'Cable Info'!Q304))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Info'!R304="","",CONCATENATE('Cable Info'!R304," - ",'Cable Info'!S304))</f>
        <v/>
      </c>
      <c r="BB304" s="121" t="str">
        <f t="shared" si="86"/>
        <v/>
      </c>
      <c r="BD304" s="121" t="str">
        <f>IF('Cable Info'!T304="","",CONCATENATE('Cable Info'!T304," - ",'Cable Info'!U304))</f>
        <v/>
      </c>
      <c r="BG304" s="121" t="str">
        <f t="shared" si="87"/>
        <v/>
      </c>
      <c r="BI304" s="121" t="str">
        <f>IF('Cable Info'!V304="","",CONCATENATE('Cable Info'!V304," - ",'Cable Info'!W304))</f>
        <v/>
      </c>
      <c r="BL304" s="121" t="str">
        <f t="shared" si="88"/>
        <v/>
      </c>
      <c r="CL304" s="250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59"/>
      <c r="F305" s="105" t="s">
        <v>45</v>
      </c>
      <c r="G305" s="262"/>
      <c r="H305" s="115" t="str">
        <f t="shared" si="77"/>
        <v/>
      </c>
      <c r="I305" s="264"/>
      <c r="J305" s="105" t="s">
        <v>45</v>
      </c>
      <c r="K305" s="267"/>
      <c r="L305" s="246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1" t="str">
        <f t="shared" si="79"/>
        <v/>
      </c>
      <c r="Z305" s="252" t="str">
        <f t="shared" si="80"/>
        <v/>
      </c>
      <c r="AA305" s="252" t="str">
        <f t="shared" si="81"/>
        <v/>
      </c>
      <c r="AB305" s="252" t="str">
        <f t="shared" si="82"/>
        <v/>
      </c>
      <c r="AJ305" s="121" t="str">
        <f>IF('Cable Info'!L305="","",CONCATENATE('Cable Info'!L305," - ",'Cable Info'!M305))</f>
        <v>304 - AW</v>
      </c>
      <c r="AM305" s="121" t="str">
        <f t="shared" si="83"/>
        <v>304 - AW</v>
      </c>
      <c r="AO305" s="121" t="str">
        <f>IF('Cable Info'!N305="","",CONCATENATE('Cable Info'!N305," - ",'Cable Info'!O305))</f>
        <v>304 - AW</v>
      </c>
      <c r="AR305" s="121" t="str">
        <f t="shared" si="84"/>
        <v>304 - AW</v>
      </c>
      <c r="AT305" s="121" t="str">
        <f>IF('Cable Info'!P305="","",CONCATENATE('Cable Info'!P305," - ",'Cable Info'!Q305))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Info'!R305="","",CONCATENATE('Cable Info'!R305," - ",'Cable Info'!S305))</f>
        <v/>
      </c>
      <c r="BB305" s="121" t="str">
        <f t="shared" si="86"/>
        <v/>
      </c>
      <c r="BD305" s="121" t="str">
        <f>IF('Cable Info'!T305="","",CONCATENATE('Cable Info'!T305," - ",'Cable Info'!U305))</f>
        <v/>
      </c>
      <c r="BG305" s="121" t="str">
        <f t="shared" si="87"/>
        <v/>
      </c>
      <c r="BI305" s="121" t="str">
        <f>IF('Cable Info'!V305="","",CONCATENATE('Cable Info'!V305," - ",'Cable Info'!W305))</f>
        <v/>
      </c>
      <c r="BL305" s="121" t="str">
        <f t="shared" si="88"/>
        <v/>
      </c>
      <c r="CL305" s="250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59"/>
      <c r="F306" s="105" t="s">
        <v>45</v>
      </c>
      <c r="G306" s="262"/>
      <c r="H306" s="115" t="str">
        <f t="shared" si="77"/>
        <v/>
      </c>
      <c r="I306" s="264"/>
      <c r="J306" s="105" t="s">
        <v>45</v>
      </c>
      <c r="K306" s="267"/>
      <c r="L306" s="246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1" t="str">
        <f t="shared" si="79"/>
        <v/>
      </c>
      <c r="Z306" s="252" t="str">
        <f t="shared" si="80"/>
        <v/>
      </c>
      <c r="AA306" s="252" t="str">
        <f t="shared" si="81"/>
        <v/>
      </c>
      <c r="AB306" s="252" t="str">
        <f t="shared" si="82"/>
        <v/>
      </c>
      <c r="AJ306" s="121" t="str">
        <f>IF('Cable Info'!L306="","",CONCATENATE('Cable Info'!L306," - ",'Cable Info'!M306))</f>
        <v>305 - AW</v>
      </c>
      <c r="AM306" s="121" t="str">
        <f t="shared" si="83"/>
        <v>305 - AW</v>
      </c>
      <c r="AO306" s="121" t="str">
        <f>IF('Cable Info'!N306="","",CONCATENATE('Cable Info'!N306," - ",'Cable Info'!O306))</f>
        <v>305 - AW</v>
      </c>
      <c r="AR306" s="121" t="str">
        <f t="shared" si="84"/>
        <v>305 - AW</v>
      </c>
      <c r="AT306" s="121" t="str">
        <f>IF('Cable Info'!P306="","",CONCATENATE('Cable Info'!P306," - ",'Cable Info'!Q306))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Info'!R306="","",CONCATENATE('Cable Info'!R306," - ",'Cable Info'!S306))</f>
        <v/>
      </c>
      <c r="BB306" s="121" t="str">
        <f t="shared" si="86"/>
        <v/>
      </c>
      <c r="BD306" s="121" t="str">
        <f>IF('Cable Info'!T306="","",CONCATENATE('Cable Info'!T306," - ",'Cable Info'!U306))</f>
        <v/>
      </c>
      <c r="BG306" s="121" t="str">
        <f t="shared" si="87"/>
        <v/>
      </c>
      <c r="BI306" s="121" t="str">
        <f>IF('Cable Info'!V306="","",CONCATENATE('Cable Info'!V306," - ",'Cable Info'!W306))</f>
        <v/>
      </c>
      <c r="BL306" s="121" t="str">
        <f t="shared" si="88"/>
        <v/>
      </c>
      <c r="CL306" s="250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59"/>
      <c r="F307" s="105" t="s">
        <v>45</v>
      </c>
      <c r="G307" s="262"/>
      <c r="H307" s="115" t="str">
        <f t="shared" si="77"/>
        <v/>
      </c>
      <c r="I307" s="264"/>
      <c r="J307" s="105" t="s">
        <v>45</v>
      </c>
      <c r="K307" s="267"/>
      <c r="L307" s="246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1" t="str">
        <f t="shared" si="79"/>
        <v/>
      </c>
      <c r="Z307" s="252" t="str">
        <f t="shared" si="80"/>
        <v/>
      </c>
      <c r="AA307" s="252" t="str">
        <f t="shared" si="81"/>
        <v/>
      </c>
      <c r="AB307" s="252" t="str">
        <f t="shared" si="82"/>
        <v/>
      </c>
      <c r="AJ307" s="121" t="str">
        <f>IF('Cable Info'!L307="","",CONCATENATE('Cable Info'!L307," - ",'Cable Info'!M307))</f>
        <v>306 - AW</v>
      </c>
      <c r="AM307" s="121" t="str">
        <f t="shared" si="83"/>
        <v>306 - AW</v>
      </c>
      <c r="AO307" s="121" t="str">
        <f>IF('Cable Info'!N307="","",CONCATENATE('Cable Info'!N307," - ",'Cable Info'!O307))</f>
        <v>306 - AW</v>
      </c>
      <c r="AR307" s="121" t="str">
        <f t="shared" si="84"/>
        <v>306 - AW</v>
      </c>
      <c r="AT307" s="121" t="str">
        <f>IF('Cable Info'!P307="","",CONCATENATE('Cable Info'!P307," - ",'Cable Info'!Q307))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Info'!R307="","",CONCATENATE('Cable Info'!R307," - ",'Cable Info'!S307))</f>
        <v/>
      </c>
      <c r="BB307" s="121" t="str">
        <f t="shared" si="86"/>
        <v/>
      </c>
      <c r="BD307" s="121" t="str">
        <f>IF('Cable Info'!T307="","",CONCATENATE('Cable Info'!T307," - ",'Cable Info'!U307))</f>
        <v/>
      </c>
      <c r="BG307" s="121" t="str">
        <f t="shared" si="87"/>
        <v/>
      </c>
      <c r="BI307" s="121" t="str">
        <f>IF('Cable Info'!V307="","",CONCATENATE('Cable Info'!V307," - ",'Cable Info'!W307))</f>
        <v/>
      </c>
      <c r="BL307" s="121" t="str">
        <f t="shared" si="88"/>
        <v/>
      </c>
      <c r="CL307" s="250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59"/>
      <c r="F308" s="105" t="s">
        <v>45</v>
      </c>
      <c r="G308" s="262"/>
      <c r="H308" s="115" t="str">
        <f t="shared" si="77"/>
        <v/>
      </c>
      <c r="I308" s="264"/>
      <c r="J308" s="105" t="s">
        <v>45</v>
      </c>
      <c r="K308" s="267"/>
      <c r="L308" s="246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1" t="str">
        <f t="shared" si="79"/>
        <v/>
      </c>
      <c r="Z308" s="252" t="str">
        <f t="shared" si="80"/>
        <v/>
      </c>
      <c r="AA308" s="252" t="str">
        <f t="shared" si="81"/>
        <v/>
      </c>
      <c r="AB308" s="252" t="str">
        <f t="shared" si="82"/>
        <v/>
      </c>
      <c r="AJ308" s="121" t="str">
        <f>IF('Cable Info'!L308="","",CONCATENATE('Cable Info'!L308," - ",'Cable Info'!M308))</f>
        <v>307 - AW</v>
      </c>
      <c r="AM308" s="121" t="str">
        <f t="shared" si="83"/>
        <v>307 - AW</v>
      </c>
      <c r="AO308" s="121" t="str">
        <f>IF('Cable Info'!N308="","",CONCATENATE('Cable Info'!N308," - ",'Cable Info'!O308))</f>
        <v>307 - AW</v>
      </c>
      <c r="AR308" s="121" t="str">
        <f t="shared" si="84"/>
        <v>307 - AW</v>
      </c>
      <c r="AT308" s="121" t="str">
        <f>IF('Cable Info'!P308="","",CONCATENATE('Cable Info'!P308," - ",'Cable Info'!Q308))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Info'!R308="","",CONCATENATE('Cable Info'!R308," - ",'Cable Info'!S308))</f>
        <v/>
      </c>
      <c r="BB308" s="121" t="str">
        <f t="shared" si="86"/>
        <v/>
      </c>
      <c r="BD308" s="121" t="str">
        <f>IF('Cable Info'!T308="","",CONCATENATE('Cable Info'!T308," - ",'Cable Info'!U308))</f>
        <v/>
      </c>
      <c r="BG308" s="121" t="str">
        <f t="shared" si="87"/>
        <v/>
      </c>
      <c r="BI308" s="121" t="str">
        <f>IF('Cable Info'!V308="","",CONCATENATE('Cable Info'!V308," - ",'Cable Info'!W308))</f>
        <v/>
      </c>
      <c r="BL308" s="121" t="str">
        <f t="shared" si="88"/>
        <v/>
      </c>
      <c r="CL308" s="250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59"/>
      <c r="F309" s="105" t="s">
        <v>45</v>
      </c>
      <c r="G309" s="262"/>
      <c r="H309" s="115" t="str">
        <f t="shared" si="77"/>
        <v/>
      </c>
      <c r="I309" s="264"/>
      <c r="J309" s="105" t="s">
        <v>45</v>
      </c>
      <c r="K309" s="267"/>
      <c r="L309" s="246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1" t="str">
        <f t="shared" si="79"/>
        <v/>
      </c>
      <c r="Z309" s="252" t="str">
        <f t="shared" si="80"/>
        <v/>
      </c>
      <c r="AA309" s="252" t="str">
        <f t="shared" si="81"/>
        <v/>
      </c>
      <c r="AB309" s="252" t="str">
        <f t="shared" si="82"/>
        <v/>
      </c>
      <c r="AJ309" s="121" t="str">
        <f>IF('Cable Info'!L309="","",CONCATENATE('Cable Info'!L309," - ",'Cable Info'!M309))</f>
        <v>308 - AW</v>
      </c>
      <c r="AM309" s="121" t="str">
        <f t="shared" si="83"/>
        <v>308 - AW</v>
      </c>
      <c r="AO309" s="121" t="str">
        <f>IF('Cable Info'!N309="","",CONCATENATE('Cable Info'!N309," - ",'Cable Info'!O309))</f>
        <v>308 - AW</v>
      </c>
      <c r="AR309" s="121" t="str">
        <f t="shared" si="84"/>
        <v>308 - AW</v>
      </c>
      <c r="AT309" s="121" t="str">
        <f>IF('Cable Info'!P309="","",CONCATENATE('Cable Info'!P309," - ",'Cable Info'!Q309))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Info'!R309="","",CONCATENATE('Cable Info'!R309," - ",'Cable Info'!S309))</f>
        <v/>
      </c>
      <c r="BB309" s="121" t="str">
        <f t="shared" si="86"/>
        <v/>
      </c>
      <c r="BD309" s="121" t="str">
        <f>IF('Cable Info'!T309="","",CONCATENATE('Cable Info'!T309," - ",'Cable Info'!U309))</f>
        <v/>
      </c>
      <c r="BG309" s="121" t="str">
        <f t="shared" si="87"/>
        <v/>
      </c>
      <c r="BI309" s="121" t="str">
        <f>IF('Cable Info'!V309="","",CONCATENATE('Cable Info'!V309," - ",'Cable Info'!W309))</f>
        <v/>
      </c>
      <c r="BL309" s="121" t="str">
        <f t="shared" si="88"/>
        <v/>
      </c>
      <c r="CL309" s="250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59"/>
      <c r="F310" s="105" t="s">
        <v>45</v>
      </c>
      <c r="G310" s="262"/>
      <c r="H310" s="115" t="str">
        <f t="shared" si="77"/>
        <v/>
      </c>
      <c r="I310" s="264"/>
      <c r="J310" s="105" t="s">
        <v>45</v>
      </c>
      <c r="K310" s="267"/>
      <c r="L310" s="246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1" t="str">
        <f t="shared" si="79"/>
        <v/>
      </c>
      <c r="Z310" s="252" t="str">
        <f t="shared" si="80"/>
        <v/>
      </c>
      <c r="AA310" s="252" t="str">
        <f t="shared" si="81"/>
        <v/>
      </c>
      <c r="AB310" s="252" t="str">
        <f t="shared" si="82"/>
        <v/>
      </c>
      <c r="AJ310" s="121" t="str">
        <f>IF('Cable Info'!L310="","",CONCATENATE('Cable Info'!L310," - ",'Cable Info'!M310))</f>
        <v>309 - AW</v>
      </c>
      <c r="AM310" s="121" t="str">
        <f t="shared" si="83"/>
        <v>309 - AW</v>
      </c>
      <c r="AO310" s="121" t="str">
        <f>IF('Cable Info'!N310="","",CONCATENATE('Cable Info'!N310," - ",'Cable Info'!O310))</f>
        <v>309 - AW</v>
      </c>
      <c r="AR310" s="121" t="str">
        <f t="shared" si="84"/>
        <v>309 - AW</v>
      </c>
      <c r="AT310" s="121" t="str">
        <f>IF('Cable Info'!P310="","",CONCATENATE('Cable Info'!P310," - ",'Cable Info'!Q310))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Info'!R310="","",CONCATENATE('Cable Info'!R310," - ",'Cable Info'!S310))</f>
        <v/>
      </c>
      <c r="BB310" s="121" t="str">
        <f t="shared" si="86"/>
        <v/>
      </c>
      <c r="BD310" s="121" t="str">
        <f>IF('Cable Info'!T310="","",CONCATENATE('Cable Info'!T310," - ",'Cable Info'!U310))</f>
        <v/>
      </c>
      <c r="BG310" s="121" t="str">
        <f t="shared" si="87"/>
        <v/>
      </c>
      <c r="BI310" s="121" t="str">
        <f>IF('Cable Info'!V310="","",CONCATENATE('Cable Info'!V310," - ",'Cable Info'!W310))</f>
        <v/>
      </c>
      <c r="BL310" s="121" t="str">
        <f t="shared" si="88"/>
        <v/>
      </c>
      <c r="CL310" s="250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59"/>
      <c r="F311" s="105" t="s">
        <v>45</v>
      </c>
      <c r="G311" s="262"/>
      <c r="H311" s="115" t="str">
        <f t="shared" si="77"/>
        <v/>
      </c>
      <c r="I311" s="264"/>
      <c r="J311" s="105" t="s">
        <v>45</v>
      </c>
      <c r="K311" s="267"/>
      <c r="L311" s="246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1" t="str">
        <f t="shared" si="79"/>
        <v/>
      </c>
      <c r="Z311" s="252" t="str">
        <f t="shared" si="80"/>
        <v/>
      </c>
      <c r="AA311" s="252" t="str">
        <f t="shared" si="81"/>
        <v/>
      </c>
      <c r="AB311" s="252" t="str">
        <f t="shared" si="82"/>
        <v/>
      </c>
      <c r="AJ311" s="121" t="str">
        <f>IF('Cable Info'!L311="","",CONCATENATE('Cable Info'!L311," - ",'Cable Info'!M311))</f>
        <v>310 - AW</v>
      </c>
      <c r="AM311" s="121" t="str">
        <f t="shared" si="83"/>
        <v>310 - AW</v>
      </c>
      <c r="AO311" s="121" t="str">
        <f>IF('Cable Info'!N311="","",CONCATENATE('Cable Info'!N311," - ",'Cable Info'!O311))</f>
        <v>310 - AW</v>
      </c>
      <c r="AR311" s="121" t="str">
        <f t="shared" si="84"/>
        <v>310 - AW</v>
      </c>
      <c r="AT311" s="121" t="str">
        <f>IF('Cable Info'!P311="","",CONCATENATE('Cable Info'!P311," - ",'Cable Info'!Q311))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Info'!R311="","",CONCATENATE('Cable Info'!R311," - ",'Cable Info'!S311))</f>
        <v/>
      </c>
      <c r="BB311" s="121" t="str">
        <f t="shared" si="86"/>
        <v/>
      </c>
      <c r="BD311" s="121" t="str">
        <f>IF('Cable Info'!T311="","",CONCATENATE('Cable Info'!T311," - ",'Cable Info'!U311))</f>
        <v/>
      </c>
      <c r="BG311" s="121" t="str">
        <f t="shared" si="87"/>
        <v/>
      </c>
      <c r="BI311" s="121" t="str">
        <f>IF('Cable Info'!V311="","",CONCATENATE('Cable Info'!V311," - ",'Cable Info'!W311))</f>
        <v/>
      </c>
      <c r="BL311" s="121" t="str">
        <f t="shared" si="88"/>
        <v/>
      </c>
      <c r="CL311" s="250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59"/>
      <c r="F312" s="105" t="s">
        <v>45</v>
      </c>
      <c r="G312" s="262"/>
      <c r="H312" s="115" t="str">
        <f t="shared" si="77"/>
        <v/>
      </c>
      <c r="I312" s="264"/>
      <c r="J312" s="105" t="s">
        <v>45</v>
      </c>
      <c r="K312" s="267"/>
      <c r="L312" s="246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1" t="str">
        <f t="shared" si="79"/>
        <v/>
      </c>
      <c r="Z312" s="252" t="str">
        <f t="shared" si="80"/>
        <v/>
      </c>
      <c r="AA312" s="252" t="str">
        <f t="shared" si="81"/>
        <v/>
      </c>
      <c r="AB312" s="252" t="str">
        <f t="shared" si="82"/>
        <v/>
      </c>
      <c r="AJ312" s="121" t="str">
        <f>IF('Cable Info'!L312="","",CONCATENATE('Cable Info'!L312," - ",'Cable Info'!M312))</f>
        <v>311 - AW</v>
      </c>
      <c r="AM312" s="121" t="str">
        <f t="shared" si="83"/>
        <v>311 - AW</v>
      </c>
      <c r="AO312" s="121" t="str">
        <f>IF('Cable Info'!N312="","",CONCATENATE('Cable Info'!N312," - ",'Cable Info'!O312))</f>
        <v>311 - AW</v>
      </c>
      <c r="AR312" s="121" t="str">
        <f t="shared" si="84"/>
        <v>311 - AW</v>
      </c>
      <c r="AT312" s="121" t="str">
        <f>IF('Cable Info'!P312="","",CONCATENATE('Cable Info'!P312," - ",'Cable Info'!Q312))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Info'!R312="","",CONCATENATE('Cable Info'!R312," - ",'Cable Info'!S312))</f>
        <v/>
      </c>
      <c r="BB312" s="121" t="str">
        <f t="shared" si="86"/>
        <v/>
      </c>
      <c r="BD312" s="121" t="str">
        <f>IF('Cable Info'!T312="","",CONCATENATE('Cable Info'!T312," - ",'Cable Info'!U312))</f>
        <v/>
      </c>
      <c r="BG312" s="121" t="str">
        <f t="shared" si="87"/>
        <v/>
      </c>
      <c r="BI312" s="121" t="str">
        <f>IF('Cable Info'!V312="","",CONCATENATE('Cable Info'!V312," - ",'Cable Info'!W312))</f>
        <v/>
      </c>
      <c r="BL312" s="121" t="str">
        <f t="shared" si="88"/>
        <v/>
      </c>
      <c r="CL312" s="250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59"/>
      <c r="F313" s="105" t="s">
        <v>45</v>
      </c>
      <c r="G313" s="262"/>
      <c r="H313" s="115" t="str">
        <f t="shared" si="77"/>
        <v/>
      </c>
      <c r="I313" s="264"/>
      <c r="J313" s="105" t="s">
        <v>45</v>
      </c>
      <c r="K313" s="267"/>
      <c r="L313" s="246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1" t="str">
        <f t="shared" si="79"/>
        <v/>
      </c>
      <c r="Z313" s="252" t="str">
        <f t="shared" si="80"/>
        <v/>
      </c>
      <c r="AA313" s="252" t="str">
        <f t="shared" si="81"/>
        <v/>
      </c>
      <c r="AB313" s="252" t="str">
        <f t="shared" si="82"/>
        <v/>
      </c>
      <c r="AJ313" s="121" t="str">
        <f>IF('Cable Info'!L313="","",CONCATENATE('Cable Info'!L313," - ",'Cable Info'!M313))</f>
        <v>312 - AW</v>
      </c>
      <c r="AM313" s="121" t="str">
        <f t="shared" si="83"/>
        <v>312 - AW</v>
      </c>
      <c r="AO313" s="121" t="str">
        <f>IF('Cable Info'!N313="","",CONCATENATE('Cable Info'!N313," - ",'Cable Info'!O313))</f>
        <v>312 - AW</v>
      </c>
      <c r="AR313" s="121" t="str">
        <f t="shared" si="84"/>
        <v>312 - AW</v>
      </c>
      <c r="AT313" s="121" t="str">
        <f>IF('Cable Info'!P313="","",CONCATENATE('Cable Info'!P313," - ",'Cable Info'!Q313))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Info'!R313="","",CONCATENATE('Cable Info'!R313," - ",'Cable Info'!S313))</f>
        <v/>
      </c>
      <c r="BB313" s="121" t="str">
        <f t="shared" si="86"/>
        <v/>
      </c>
      <c r="BD313" s="121" t="str">
        <f>IF('Cable Info'!T313="","",CONCATENATE('Cable Info'!T313," - ",'Cable Info'!U313))</f>
        <v/>
      </c>
      <c r="BG313" s="121" t="str">
        <f t="shared" si="87"/>
        <v/>
      </c>
      <c r="BI313" s="121" t="str">
        <f>IF('Cable Info'!V313="","",CONCATENATE('Cable Info'!V313," - ",'Cable Info'!W313))</f>
        <v/>
      </c>
      <c r="BL313" s="121" t="str">
        <f t="shared" si="88"/>
        <v/>
      </c>
      <c r="CL313" s="250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59"/>
      <c r="F314" s="105" t="s">
        <v>45</v>
      </c>
      <c r="G314" s="262"/>
      <c r="H314" s="115" t="str">
        <f t="shared" si="77"/>
        <v/>
      </c>
      <c r="I314" s="264"/>
      <c r="J314" s="105" t="s">
        <v>45</v>
      </c>
      <c r="K314" s="267"/>
      <c r="L314" s="246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1" t="str">
        <f t="shared" si="79"/>
        <v/>
      </c>
      <c r="Z314" s="252" t="str">
        <f t="shared" si="80"/>
        <v/>
      </c>
      <c r="AA314" s="252" t="str">
        <f t="shared" si="81"/>
        <v/>
      </c>
      <c r="AB314" s="252" t="str">
        <f t="shared" si="82"/>
        <v/>
      </c>
      <c r="AJ314" s="121" t="str">
        <f>IF('Cable Info'!L314="","",CONCATENATE('Cable Info'!L314," - ",'Cable Info'!M314))</f>
        <v>313 - AW</v>
      </c>
      <c r="AM314" s="121" t="str">
        <f t="shared" si="83"/>
        <v>313 - AW</v>
      </c>
      <c r="AO314" s="121" t="str">
        <f>IF('Cable Info'!N314="","",CONCATENATE('Cable Info'!N314," - ",'Cable Info'!O314))</f>
        <v>313 - AW</v>
      </c>
      <c r="AR314" s="121" t="str">
        <f t="shared" si="84"/>
        <v>313 - AW</v>
      </c>
      <c r="AT314" s="121" t="str">
        <f>IF('Cable Info'!P314="","",CONCATENATE('Cable Info'!P314," - ",'Cable Info'!Q314))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Info'!R314="","",CONCATENATE('Cable Info'!R314," - ",'Cable Info'!S314))</f>
        <v/>
      </c>
      <c r="BB314" s="121" t="str">
        <f t="shared" si="86"/>
        <v/>
      </c>
      <c r="BD314" s="121" t="str">
        <f>IF('Cable Info'!T314="","",CONCATENATE('Cable Info'!T314," - ",'Cable Info'!U314))</f>
        <v/>
      </c>
      <c r="BG314" s="121" t="str">
        <f t="shared" si="87"/>
        <v/>
      </c>
      <c r="BI314" s="121" t="str">
        <f>IF('Cable Info'!V314="","",CONCATENATE('Cable Info'!V314," - ",'Cable Info'!W314))</f>
        <v/>
      </c>
      <c r="BL314" s="121" t="str">
        <f t="shared" si="88"/>
        <v/>
      </c>
      <c r="CL314" s="250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59"/>
      <c r="F315" s="105" t="s">
        <v>45</v>
      </c>
      <c r="G315" s="262"/>
      <c r="H315" s="115" t="str">
        <f t="shared" si="77"/>
        <v/>
      </c>
      <c r="I315" s="264"/>
      <c r="J315" s="105" t="s">
        <v>45</v>
      </c>
      <c r="K315" s="267"/>
      <c r="L315" s="246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1" t="str">
        <f t="shared" si="79"/>
        <v/>
      </c>
      <c r="Z315" s="252" t="str">
        <f t="shared" si="80"/>
        <v/>
      </c>
      <c r="AA315" s="252" t="str">
        <f t="shared" si="81"/>
        <v/>
      </c>
      <c r="AB315" s="252" t="str">
        <f t="shared" si="82"/>
        <v/>
      </c>
      <c r="AJ315" s="121" t="str">
        <f>IF('Cable Info'!L315="","",CONCATENATE('Cable Info'!L315," - ",'Cable Info'!M315))</f>
        <v>314 - AW</v>
      </c>
      <c r="AM315" s="121" t="str">
        <f t="shared" si="83"/>
        <v>314 - AW</v>
      </c>
      <c r="AO315" s="121" t="str">
        <f>IF('Cable Info'!N315="","",CONCATENATE('Cable Info'!N315," - ",'Cable Info'!O315))</f>
        <v>314 - AW</v>
      </c>
      <c r="AR315" s="121" t="str">
        <f t="shared" si="84"/>
        <v>314 - AW</v>
      </c>
      <c r="AT315" s="121" t="str">
        <f>IF('Cable Info'!P315="","",CONCATENATE('Cable Info'!P315," - ",'Cable Info'!Q315))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Info'!R315="","",CONCATENATE('Cable Info'!R315," - ",'Cable Info'!S315))</f>
        <v/>
      </c>
      <c r="BB315" s="121" t="str">
        <f t="shared" si="86"/>
        <v/>
      </c>
      <c r="BD315" s="121" t="str">
        <f>IF('Cable Info'!T315="","",CONCATENATE('Cable Info'!T315," - ",'Cable Info'!U315))</f>
        <v/>
      </c>
      <c r="BG315" s="121" t="str">
        <f t="shared" si="87"/>
        <v/>
      </c>
      <c r="BI315" s="121" t="str">
        <f>IF('Cable Info'!V315="","",CONCATENATE('Cable Info'!V315," - ",'Cable Info'!W315))</f>
        <v/>
      </c>
      <c r="BL315" s="121" t="str">
        <f t="shared" si="88"/>
        <v/>
      </c>
      <c r="CL315" s="250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59"/>
      <c r="F316" s="105" t="s">
        <v>45</v>
      </c>
      <c r="G316" s="262"/>
      <c r="H316" s="115" t="str">
        <f t="shared" si="77"/>
        <v/>
      </c>
      <c r="I316" s="264"/>
      <c r="J316" s="105" t="s">
        <v>45</v>
      </c>
      <c r="K316" s="267"/>
      <c r="L316" s="246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1" t="str">
        <f t="shared" si="79"/>
        <v/>
      </c>
      <c r="Z316" s="252" t="str">
        <f t="shared" si="80"/>
        <v/>
      </c>
      <c r="AA316" s="252" t="str">
        <f t="shared" si="81"/>
        <v/>
      </c>
      <c r="AB316" s="252" t="str">
        <f t="shared" si="82"/>
        <v/>
      </c>
      <c r="AJ316" s="121" t="str">
        <f>IF('Cable Info'!L316="","",CONCATENATE('Cable Info'!L316," - ",'Cable Info'!M316))</f>
        <v>315 - AW</v>
      </c>
      <c r="AM316" s="121" t="str">
        <f t="shared" si="83"/>
        <v>315 - AW</v>
      </c>
      <c r="AO316" s="121" t="str">
        <f>IF('Cable Info'!N316="","",CONCATENATE('Cable Info'!N316," - ",'Cable Info'!O316))</f>
        <v>315 - AW</v>
      </c>
      <c r="AR316" s="121" t="str">
        <f t="shared" si="84"/>
        <v>315 - AW</v>
      </c>
      <c r="AT316" s="121" t="str">
        <f>IF('Cable Info'!P316="","",CONCATENATE('Cable Info'!P316," - ",'Cable Info'!Q316))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Info'!R316="","",CONCATENATE('Cable Info'!R316," - ",'Cable Info'!S316))</f>
        <v/>
      </c>
      <c r="BB316" s="121" t="str">
        <f t="shared" si="86"/>
        <v/>
      </c>
      <c r="BD316" s="121" t="str">
        <f>IF('Cable Info'!T316="","",CONCATENATE('Cable Info'!T316," - ",'Cable Info'!U316))</f>
        <v/>
      </c>
      <c r="BG316" s="121" t="str">
        <f t="shared" si="87"/>
        <v/>
      </c>
      <c r="BI316" s="121" t="str">
        <f>IF('Cable Info'!V316="","",CONCATENATE('Cable Info'!V316," - ",'Cable Info'!W316))</f>
        <v/>
      </c>
      <c r="BL316" s="121" t="str">
        <f t="shared" si="88"/>
        <v/>
      </c>
      <c r="CL316" s="250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59"/>
      <c r="F317" s="105" t="s">
        <v>45</v>
      </c>
      <c r="G317" s="262"/>
      <c r="H317" s="115" t="str">
        <f t="shared" si="77"/>
        <v/>
      </c>
      <c r="I317" s="264"/>
      <c r="J317" s="105" t="s">
        <v>45</v>
      </c>
      <c r="K317" s="267"/>
      <c r="L317" s="246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1" t="str">
        <f t="shared" si="79"/>
        <v/>
      </c>
      <c r="Z317" s="252" t="str">
        <f t="shared" si="80"/>
        <v/>
      </c>
      <c r="AA317" s="252" t="str">
        <f t="shared" si="81"/>
        <v/>
      </c>
      <c r="AB317" s="252" t="str">
        <f t="shared" si="82"/>
        <v/>
      </c>
      <c r="AJ317" s="121" t="str">
        <f>IF('Cable Info'!L317="","",CONCATENATE('Cable Info'!L317," - ",'Cable Info'!M317))</f>
        <v>316 - AW</v>
      </c>
      <c r="AM317" s="121" t="str">
        <f t="shared" si="83"/>
        <v>316 - AW</v>
      </c>
      <c r="AO317" s="121" t="str">
        <f>IF('Cable Info'!N317="","",CONCATENATE('Cable Info'!N317," - ",'Cable Info'!O317))</f>
        <v>316 - AW</v>
      </c>
      <c r="AR317" s="121" t="str">
        <f t="shared" si="84"/>
        <v>316 - AW</v>
      </c>
      <c r="AT317" s="121" t="str">
        <f>IF('Cable Info'!P317="","",CONCATENATE('Cable Info'!P317," - ",'Cable Info'!Q317))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Info'!R317="","",CONCATENATE('Cable Info'!R317," - ",'Cable Info'!S317))</f>
        <v/>
      </c>
      <c r="BB317" s="121" t="str">
        <f t="shared" si="86"/>
        <v/>
      </c>
      <c r="BD317" s="121" t="str">
        <f>IF('Cable Info'!T317="","",CONCATENATE('Cable Info'!T317," - ",'Cable Info'!U317))</f>
        <v/>
      </c>
      <c r="BG317" s="121" t="str">
        <f t="shared" si="87"/>
        <v/>
      </c>
      <c r="BI317" s="121" t="str">
        <f>IF('Cable Info'!V317="","",CONCATENATE('Cable Info'!V317," - ",'Cable Info'!W317))</f>
        <v/>
      </c>
      <c r="BL317" s="121" t="str">
        <f t="shared" si="88"/>
        <v/>
      </c>
      <c r="CL317" s="250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59"/>
      <c r="F318" s="105" t="s">
        <v>45</v>
      </c>
      <c r="G318" s="262"/>
      <c r="H318" s="115" t="str">
        <f t="shared" si="77"/>
        <v/>
      </c>
      <c r="I318" s="264"/>
      <c r="J318" s="105" t="s">
        <v>45</v>
      </c>
      <c r="K318" s="267"/>
      <c r="L318" s="246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1" t="str">
        <f t="shared" si="79"/>
        <v/>
      </c>
      <c r="Z318" s="252" t="str">
        <f t="shared" si="80"/>
        <v/>
      </c>
      <c r="AA318" s="252" t="str">
        <f t="shared" si="81"/>
        <v/>
      </c>
      <c r="AB318" s="252" t="str">
        <f t="shared" si="82"/>
        <v/>
      </c>
      <c r="AJ318" s="121" t="str">
        <f>IF('Cable Info'!L318="","",CONCATENATE('Cable Info'!L318," - ",'Cable Info'!M318))</f>
        <v>317 - AW</v>
      </c>
      <c r="AM318" s="121" t="str">
        <f t="shared" si="83"/>
        <v>317 - AW</v>
      </c>
      <c r="AO318" s="121" t="str">
        <f>IF('Cable Info'!N318="","",CONCATENATE('Cable Info'!N318," - ",'Cable Info'!O318))</f>
        <v>317 - AW</v>
      </c>
      <c r="AR318" s="121" t="str">
        <f t="shared" si="84"/>
        <v>317 - AW</v>
      </c>
      <c r="AT318" s="121" t="str">
        <f>IF('Cable Info'!P318="","",CONCATENATE('Cable Info'!P318," - ",'Cable Info'!Q318))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Info'!R318="","",CONCATENATE('Cable Info'!R318," - ",'Cable Info'!S318))</f>
        <v/>
      </c>
      <c r="BB318" s="121" t="str">
        <f t="shared" si="86"/>
        <v/>
      </c>
      <c r="BD318" s="121" t="str">
        <f>IF('Cable Info'!T318="","",CONCATENATE('Cable Info'!T318," - ",'Cable Info'!U318))</f>
        <v/>
      </c>
      <c r="BG318" s="121" t="str">
        <f t="shared" si="87"/>
        <v/>
      </c>
      <c r="BI318" s="121" t="str">
        <f>IF('Cable Info'!V318="","",CONCATENATE('Cable Info'!V318," - ",'Cable Info'!W318))</f>
        <v/>
      </c>
      <c r="BL318" s="121" t="str">
        <f t="shared" si="88"/>
        <v/>
      </c>
      <c r="CL318" s="250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59"/>
      <c r="F319" s="105" t="s">
        <v>45</v>
      </c>
      <c r="G319" s="262"/>
      <c r="H319" s="115" t="str">
        <f t="shared" si="77"/>
        <v/>
      </c>
      <c r="I319" s="264"/>
      <c r="J319" s="105" t="s">
        <v>45</v>
      </c>
      <c r="K319" s="267"/>
      <c r="L319" s="246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1" t="str">
        <f t="shared" si="79"/>
        <v/>
      </c>
      <c r="Z319" s="252" t="str">
        <f t="shared" si="80"/>
        <v/>
      </c>
      <c r="AA319" s="252" t="str">
        <f t="shared" si="81"/>
        <v/>
      </c>
      <c r="AB319" s="252" t="str">
        <f t="shared" si="82"/>
        <v/>
      </c>
      <c r="AJ319" s="121" t="str">
        <f>IF('Cable Info'!L319="","",CONCATENATE('Cable Info'!L319," - ",'Cable Info'!M319))</f>
        <v>318 - AW</v>
      </c>
      <c r="AM319" s="121" t="str">
        <f t="shared" si="83"/>
        <v>318 - AW</v>
      </c>
      <c r="AO319" s="121" t="str">
        <f>IF('Cable Info'!N319="","",CONCATENATE('Cable Info'!N319," - ",'Cable Info'!O319))</f>
        <v>318 - AW</v>
      </c>
      <c r="AR319" s="121" t="str">
        <f t="shared" si="84"/>
        <v>318 - AW</v>
      </c>
      <c r="AT319" s="121" t="str">
        <f>IF('Cable Info'!P319="","",CONCATENATE('Cable Info'!P319," - ",'Cable Info'!Q319))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Info'!R319="","",CONCATENATE('Cable Info'!R319," - ",'Cable Info'!S319))</f>
        <v/>
      </c>
      <c r="BB319" s="121" t="str">
        <f t="shared" si="86"/>
        <v/>
      </c>
      <c r="BD319" s="121" t="str">
        <f>IF('Cable Info'!T319="","",CONCATENATE('Cable Info'!T319," - ",'Cable Info'!U319))</f>
        <v/>
      </c>
      <c r="BG319" s="121" t="str">
        <f t="shared" si="87"/>
        <v/>
      </c>
      <c r="BI319" s="121" t="str">
        <f>IF('Cable Info'!V319="","",CONCATENATE('Cable Info'!V319," - ",'Cable Info'!W319))</f>
        <v/>
      </c>
      <c r="BL319" s="121" t="str">
        <f t="shared" si="88"/>
        <v/>
      </c>
      <c r="CL319" s="250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59"/>
      <c r="F320" s="105" t="s">
        <v>45</v>
      </c>
      <c r="G320" s="262"/>
      <c r="H320" s="115" t="str">
        <f t="shared" si="77"/>
        <v/>
      </c>
      <c r="I320" s="264"/>
      <c r="J320" s="105" t="s">
        <v>45</v>
      </c>
      <c r="K320" s="267"/>
      <c r="L320" s="246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1" t="str">
        <f t="shared" si="79"/>
        <v/>
      </c>
      <c r="Z320" s="252" t="str">
        <f t="shared" si="80"/>
        <v/>
      </c>
      <c r="AA320" s="252" t="str">
        <f t="shared" si="81"/>
        <v/>
      </c>
      <c r="AB320" s="252" t="str">
        <f t="shared" si="82"/>
        <v/>
      </c>
      <c r="AJ320" s="121" t="str">
        <f>IF('Cable Info'!L320="","",CONCATENATE('Cable Info'!L320," - ",'Cable Info'!M320))</f>
        <v>319 - AW</v>
      </c>
      <c r="AM320" s="121" t="str">
        <f t="shared" si="83"/>
        <v>319 - AW</v>
      </c>
      <c r="AO320" s="121" t="str">
        <f>IF('Cable Info'!N320="","",CONCATENATE('Cable Info'!N320," - ",'Cable Info'!O320))</f>
        <v>319 - AW</v>
      </c>
      <c r="AR320" s="121" t="str">
        <f t="shared" si="84"/>
        <v>319 - AW</v>
      </c>
      <c r="AT320" s="121" t="str">
        <f>IF('Cable Info'!P320="","",CONCATENATE('Cable Info'!P320," - ",'Cable Info'!Q320))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Info'!R320="","",CONCATENATE('Cable Info'!R320," - ",'Cable Info'!S320))</f>
        <v/>
      </c>
      <c r="BB320" s="121" t="str">
        <f t="shared" si="86"/>
        <v/>
      </c>
      <c r="BD320" s="121" t="str">
        <f>IF('Cable Info'!T320="","",CONCATENATE('Cable Info'!T320," - ",'Cable Info'!U320))</f>
        <v/>
      </c>
      <c r="BG320" s="121" t="str">
        <f t="shared" si="87"/>
        <v/>
      </c>
      <c r="BI320" s="121" t="str">
        <f>IF('Cable Info'!V320="","",CONCATENATE('Cable Info'!V320," - ",'Cable Info'!W320))</f>
        <v/>
      </c>
      <c r="BL320" s="121" t="str">
        <f t="shared" si="88"/>
        <v/>
      </c>
      <c r="CL320" s="250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59"/>
      <c r="F321" s="105" t="s">
        <v>45</v>
      </c>
      <c r="G321" s="262"/>
      <c r="H321" s="115" t="str">
        <f t="shared" si="77"/>
        <v/>
      </c>
      <c r="I321" s="264"/>
      <c r="J321" s="105" t="s">
        <v>45</v>
      </c>
      <c r="K321" s="267"/>
      <c r="L321" s="246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1" t="str">
        <f t="shared" si="79"/>
        <v/>
      </c>
      <c r="Z321" s="252" t="str">
        <f t="shared" si="80"/>
        <v/>
      </c>
      <c r="AA321" s="252" t="str">
        <f t="shared" si="81"/>
        <v/>
      </c>
      <c r="AB321" s="252" t="str">
        <f t="shared" si="82"/>
        <v/>
      </c>
      <c r="AJ321" s="121" t="str">
        <f>IF('Cable Info'!L321="","",CONCATENATE('Cable Info'!L321," - ",'Cable Info'!M321))</f>
        <v>320 - AW</v>
      </c>
      <c r="AM321" s="121" t="str">
        <f t="shared" si="83"/>
        <v>320 - AW</v>
      </c>
      <c r="AO321" s="121" t="str">
        <f>IF('Cable Info'!N321="","",CONCATENATE('Cable Info'!N321," - ",'Cable Info'!O321))</f>
        <v>320 - AW</v>
      </c>
      <c r="AR321" s="121" t="str">
        <f t="shared" si="84"/>
        <v>320 - AW</v>
      </c>
      <c r="AT321" s="121" t="str">
        <f>IF('Cable Info'!P321="","",CONCATENATE('Cable Info'!P321," - ",'Cable Info'!Q321))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Info'!R321="","",CONCATENATE('Cable Info'!R321," - ",'Cable Info'!S321))</f>
        <v/>
      </c>
      <c r="BB321" s="121" t="str">
        <f t="shared" si="86"/>
        <v/>
      </c>
      <c r="BD321" s="121" t="str">
        <f>IF('Cable Info'!T321="","",CONCATENATE('Cable Info'!T321," - ",'Cable Info'!U321))</f>
        <v/>
      </c>
      <c r="BG321" s="121" t="str">
        <f t="shared" si="87"/>
        <v/>
      </c>
      <c r="BI321" s="121" t="str">
        <f>IF('Cable Info'!V321="","",CONCATENATE('Cable Info'!V321," - ",'Cable Info'!W321))</f>
        <v/>
      </c>
      <c r="BL321" s="121" t="str">
        <f t="shared" si="88"/>
        <v/>
      </c>
      <c r="CL321" s="250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59"/>
      <c r="F322" s="105" t="s">
        <v>45</v>
      </c>
      <c r="G322" s="262"/>
      <c r="H322" s="115" t="str">
        <f t="shared" si="77"/>
        <v/>
      </c>
      <c r="I322" s="264"/>
      <c r="J322" s="105" t="s">
        <v>45</v>
      </c>
      <c r="K322" s="267"/>
      <c r="L322" s="246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1" t="str">
        <f t="shared" si="79"/>
        <v/>
      </c>
      <c r="Z322" s="252" t="str">
        <f t="shared" si="80"/>
        <v/>
      </c>
      <c r="AA322" s="252" t="str">
        <f t="shared" si="81"/>
        <v/>
      </c>
      <c r="AB322" s="252" t="str">
        <f t="shared" si="82"/>
        <v/>
      </c>
      <c r="AJ322" s="121" t="str">
        <f>IF('Cable Info'!L322="","",CONCATENATE('Cable Info'!L322," - ",'Cable Info'!M322))</f>
        <v>321 - AW</v>
      </c>
      <c r="AM322" s="121" t="str">
        <f t="shared" si="83"/>
        <v>321 - AW</v>
      </c>
      <c r="AO322" s="121" t="str">
        <f>IF('Cable Info'!N322="","",CONCATENATE('Cable Info'!N322," - ",'Cable Info'!O322))</f>
        <v>321 - AW</v>
      </c>
      <c r="AR322" s="121" t="str">
        <f t="shared" si="84"/>
        <v>321 - AW</v>
      </c>
      <c r="AT322" s="121" t="str">
        <f>IF('Cable Info'!P322="","",CONCATENATE('Cable Info'!P322," - ",'Cable Info'!Q322))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Info'!R322="","",CONCATENATE('Cable Info'!R322," - ",'Cable Info'!S322))</f>
        <v/>
      </c>
      <c r="BB322" s="121" t="str">
        <f t="shared" si="86"/>
        <v/>
      </c>
      <c r="BD322" s="121" t="str">
        <f>IF('Cable Info'!T322="","",CONCATENATE('Cable Info'!T322," - ",'Cable Info'!U322))</f>
        <v/>
      </c>
      <c r="BG322" s="121" t="str">
        <f t="shared" si="87"/>
        <v/>
      </c>
      <c r="BI322" s="121" t="str">
        <f>IF('Cable Info'!V322="","",CONCATENATE('Cable Info'!V322," - ",'Cable Info'!W322))</f>
        <v/>
      </c>
      <c r="BL322" s="121" t="str">
        <f t="shared" si="88"/>
        <v/>
      </c>
      <c r="CL322" s="250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59"/>
      <c r="F323" s="105" t="s">
        <v>45</v>
      </c>
      <c r="G323" s="262"/>
      <c r="H323" s="115" t="str">
        <f t="shared" si="77"/>
        <v/>
      </c>
      <c r="I323" s="264"/>
      <c r="J323" s="105" t="s">
        <v>45</v>
      </c>
      <c r="K323" s="267"/>
      <c r="L323" s="246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1" t="str">
        <f t="shared" si="79"/>
        <v/>
      </c>
      <c r="Z323" s="252" t="str">
        <f t="shared" si="80"/>
        <v/>
      </c>
      <c r="AA323" s="252" t="str">
        <f t="shared" si="81"/>
        <v/>
      </c>
      <c r="AB323" s="252" t="str">
        <f t="shared" si="82"/>
        <v/>
      </c>
      <c r="AJ323" s="121" t="str">
        <f>IF('Cable Info'!L323="","",CONCATENATE('Cable Info'!L323," - ",'Cable Info'!M323))</f>
        <v>322 - AW</v>
      </c>
      <c r="AM323" s="121" t="str">
        <f t="shared" si="83"/>
        <v>322 - AW</v>
      </c>
      <c r="AO323" s="121" t="str">
        <f>IF('Cable Info'!N323="","",CONCATENATE('Cable Info'!N323," - ",'Cable Info'!O323))</f>
        <v>322 - AW</v>
      </c>
      <c r="AR323" s="121" t="str">
        <f t="shared" si="84"/>
        <v>322 - AW</v>
      </c>
      <c r="AT323" s="121" t="str">
        <f>IF('Cable Info'!P323="","",CONCATENATE('Cable Info'!P323," - ",'Cable Info'!Q323))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Info'!R323="","",CONCATENATE('Cable Info'!R323," - ",'Cable Info'!S323))</f>
        <v/>
      </c>
      <c r="BB323" s="121" t="str">
        <f t="shared" si="86"/>
        <v/>
      </c>
      <c r="BD323" s="121" t="str">
        <f>IF('Cable Info'!T323="","",CONCATENATE('Cable Info'!T323," - ",'Cable Info'!U323))</f>
        <v/>
      </c>
      <c r="BG323" s="121" t="str">
        <f t="shared" si="87"/>
        <v/>
      </c>
      <c r="BI323" s="121" t="str">
        <f>IF('Cable Info'!V323="","",CONCATENATE('Cable Info'!V323," - ",'Cable Info'!W323))</f>
        <v/>
      </c>
      <c r="BL323" s="121" t="str">
        <f t="shared" si="88"/>
        <v/>
      </c>
      <c r="CL323" s="250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59"/>
      <c r="F324" s="105" t="s">
        <v>45</v>
      </c>
      <c r="G324" s="262"/>
      <c r="H324" s="115" t="str">
        <f t="shared" si="77"/>
        <v/>
      </c>
      <c r="I324" s="264"/>
      <c r="J324" s="105" t="s">
        <v>45</v>
      </c>
      <c r="K324" s="267"/>
      <c r="L324" s="246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1" t="str">
        <f t="shared" si="79"/>
        <v/>
      </c>
      <c r="Z324" s="252" t="str">
        <f t="shared" si="80"/>
        <v/>
      </c>
      <c r="AA324" s="252" t="str">
        <f t="shared" si="81"/>
        <v/>
      </c>
      <c r="AB324" s="252" t="str">
        <f t="shared" si="82"/>
        <v/>
      </c>
      <c r="AJ324" s="121" t="str">
        <f>IF('Cable Info'!L324="","",CONCATENATE('Cable Info'!L324," - ",'Cable Info'!M324))</f>
        <v>323 - AW</v>
      </c>
      <c r="AM324" s="121" t="str">
        <f t="shared" si="83"/>
        <v>323 - AW</v>
      </c>
      <c r="AO324" s="121" t="str">
        <f>IF('Cable Info'!N324="","",CONCATENATE('Cable Info'!N324," - ",'Cable Info'!O324))</f>
        <v>323 - AW</v>
      </c>
      <c r="AR324" s="121" t="str">
        <f t="shared" si="84"/>
        <v>323 - AW</v>
      </c>
      <c r="AT324" s="121" t="str">
        <f>IF('Cable Info'!P324="","",CONCATENATE('Cable Info'!P324," - ",'Cable Info'!Q324))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Info'!R324="","",CONCATENATE('Cable Info'!R324," - ",'Cable Info'!S324))</f>
        <v/>
      </c>
      <c r="BB324" s="121" t="str">
        <f t="shared" si="86"/>
        <v/>
      </c>
      <c r="BD324" s="121" t="str">
        <f>IF('Cable Info'!T324="","",CONCATENATE('Cable Info'!T324," - ",'Cable Info'!U324))</f>
        <v/>
      </c>
      <c r="BG324" s="121" t="str">
        <f t="shared" si="87"/>
        <v/>
      </c>
      <c r="BI324" s="121" t="str">
        <f>IF('Cable Info'!V324="","",CONCATENATE('Cable Info'!V324," - ",'Cable Info'!W324))</f>
        <v/>
      </c>
      <c r="BL324" s="121" t="str">
        <f t="shared" si="88"/>
        <v/>
      </c>
      <c r="CL324" s="250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59"/>
      <c r="F325" s="105" t="s">
        <v>45</v>
      </c>
      <c r="G325" s="262"/>
      <c r="H325" s="115" t="str">
        <f t="shared" si="77"/>
        <v/>
      </c>
      <c r="I325" s="264"/>
      <c r="J325" s="105" t="s">
        <v>45</v>
      </c>
      <c r="K325" s="267"/>
      <c r="L325" s="246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1" t="str">
        <f t="shared" si="79"/>
        <v/>
      </c>
      <c r="Z325" s="252" t="str">
        <f t="shared" si="80"/>
        <v/>
      </c>
      <c r="AA325" s="252" t="str">
        <f t="shared" si="81"/>
        <v/>
      </c>
      <c r="AB325" s="252" t="str">
        <f t="shared" si="82"/>
        <v/>
      </c>
      <c r="AJ325" s="121" t="str">
        <f>IF('Cable Info'!L325="","",CONCATENATE('Cable Info'!L325," - ",'Cable Info'!M325))</f>
        <v>324 - AW</v>
      </c>
      <c r="AM325" s="121" t="str">
        <f t="shared" si="83"/>
        <v>324 - AW</v>
      </c>
      <c r="AO325" s="121" t="str">
        <f>IF('Cable Info'!N325="","",CONCATENATE('Cable Info'!N325," - ",'Cable Info'!O325))</f>
        <v>324 - AW</v>
      </c>
      <c r="AR325" s="121" t="str">
        <f t="shared" si="84"/>
        <v>324 - AW</v>
      </c>
      <c r="AT325" s="121" t="str">
        <f>IF('Cable Info'!P325="","",CONCATENATE('Cable Info'!P325," - ",'Cable Info'!Q325))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Info'!R325="","",CONCATENATE('Cable Info'!R325," - ",'Cable Info'!S325))</f>
        <v/>
      </c>
      <c r="BB325" s="121" t="str">
        <f t="shared" si="86"/>
        <v/>
      </c>
      <c r="BD325" s="121" t="str">
        <f>IF('Cable Info'!T325="","",CONCATENATE('Cable Info'!T325," - ",'Cable Info'!U325))</f>
        <v/>
      </c>
      <c r="BG325" s="121" t="str">
        <f t="shared" si="87"/>
        <v/>
      </c>
      <c r="BI325" s="121" t="str">
        <f>IF('Cable Info'!V325="","",CONCATENATE('Cable Info'!V325," - ",'Cable Info'!W325))</f>
        <v/>
      </c>
      <c r="BL325" s="121" t="str">
        <f t="shared" si="88"/>
        <v/>
      </c>
      <c r="CL325" s="250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59"/>
      <c r="F326" s="105" t="s">
        <v>45</v>
      </c>
      <c r="G326" s="262"/>
      <c r="H326" s="115" t="str">
        <f t="shared" si="77"/>
        <v/>
      </c>
      <c r="I326" s="264"/>
      <c r="J326" s="105" t="s">
        <v>45</v>
      </c>
      <c r="K326" s="267"/>
      <c r="L326" s="246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1" t="str">
        <f t="shared" si="79"/>
        <v/>
      </c>
      <c r="Z326" s="252" t="str">
        <f t="shared" si="80"/>
        <v/>
      </c>
      <c r="AA326" s="252" t="str">
        <f t="shared" si="81"/>
        <v/>
      </c>
      <c r="AB326" s="252" t="str">
        <f t="shared" si="82"/>
        <v/>
      </c>
      <c r="AJ326" s="121" t="str">
        <f>IF('Cable Info'!L326="","",CONCATENATE('Cable Info'!L326," - ",'Cable Info'!M326))</f>
        <v>325 - AW</v>
      </c>
      <c r="AM326" s="121" t="str">
        <f t="shared" si="83"/>
        <v>325 - AW</v>
      </c>
      <c r="AO326" s="121" t="str">
        <f>IF('Cable Info'!N326="","",CONCATENATE('Cable Info'!N326," - ",'Cable Info'!O326))</f>
        <v>325 - AW</v>
      </c>
      <c r="AR326" s="121" t="str">
        <f t="shared" si="84"/>
        <v>325 - AW</v>
      </c>
      <c r="AT326" s="121" t="str">
        <f>IF('Cable Info'!P326="","",CONCATENATE('Cable Info'!P326," - ",'Cable Info'!Q326))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Info'!R326="","",CONCATENATE('Cable Info'!R326," - ",'Cable Info'!S326))</f>
        <v/>
      </c>
      <c r="BB326" s="121" t="str">
        <f t="shared" si="86"/>
        <v/>
      </c>
      <c r="BD326" s="121" t="str">
        <f>IF('Cable Info'!T326="","",CONCATENATE('Cable Info'!T326," - ",'Cable Info'!U326))</f>
        <v/>
      </c>
      <c r="BG326" s="121" t="str">
        <f t="shared" si="87"/>
        <v/>
      </c>
      <c r="BI326" s="121" t="str">
        <f>IF('Cable Info'!V326="","",CONCATENATE('Cable Info'!V326," - ",'Cable Info'!W326))</f>
        <v/>
      </c>
      <c r="BL326" s="121" t="str">
        <f t="shared" si="88"/>
        <v/>
      </c>
      <c r="CL326" s="250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59"/>
      <c r="F327" s="105" t="s">
        <v>45</v>
      </c>
      <c r="G327" s="262"/>
      <c r="H327" s="115" t="str">
        <f t="shared" si="77"/>
        <v/>
      </c>
      <c r="I327" s="264"/>
      <c r="J327" s="105" t="s">
        <v>45</v>
      </c>
      <c r="K327" s="267"/>
      <c r="L327" s="246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1" t="str">
        <f t="shared" si="79"/>
        <v/>
      </c>
      <c r="Z327" s="252" t="str">
        <f t="shared" si="80"/>
        <v/>
      </c>
      <c r="AA327" s="252" t="str">
        <f t="shared" si="81"/>
        <v/>
      </c>
      <c r="AB327" s="252" t="str">
        <f t="shared" si="82"/>
        <v/>
      </c>
      <c r="AJ327" s="121" t="str">
        <f>IF('Cable Info'!L327="","",CONCATENATE('Cable Info'!L327," - ",'Cable Info'!M327))</f>
        <v>326 - AW</v>
      </c>
      <c r="AM327" s="121" t="str">
        <f t="shared" si="83"/>
        <v>326 - AW</v>
      </c>
      <c r="AO327" s="121" t="str">
        <f>IF('Cable Info'!N327="","",CONCATENATE('Cable Info'!N327," - ",'Cable Info'!O327))</f>
        <v>326 - AW</v>
      </c>
      <c r="AR327" s="121" t="str">
        <f t="shared" si="84"/>
        <v>326 - AW</v>
      </c>
      <c r="AT327" s="121" t="str">
        <f>IF('Cable Info'!P327="","",CONCATENATE('Cable Info'!P327," - ",'Cable Info'!Q327))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Info'!R327="","",CONCATENATE('Cable Info'!R327," - ",'Cable Info'!S327))</f>
        <v/>
      </c>
      <c r="BB327" s="121" t="str">
        <f t="shared" si="86"/>
        <v/>
      </c>
      <c r="BD327" s="121" t="str">
        <f>IF('Cable Info'!T327="","",CONCATENATE('Cable Info'!T327," - ",'Cable Info'!U327))</f>
        <v/>
      </c>
      <c r="BG327" s="121" t="str">
        <f t="shared" si="87"/>
        <v/>
      </c>
      <c r="BI327" s="121" t="str">
        <f>IF('Cable Info'!V327="","",CONCATENATE('Cable Info'!V327," - ",'Cable Info'!W327))</f>
        <v/>
      </c>
      <c r="BL327" s="121" t="str">
        <f t="shared" si="88"/>
        <v/>
      </c>
      <c r="CL327" s="250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59"/>
      <c r="F328" s="105" t="s">
        <v>45</v>
      </c>
      <c r="G328" s="262"/>
      <c r="H328" s="115" t="str">
        <f t="shared" si="77"/>
        <v/>
      </c>
      <c r="I328" s="264"/>
      <c r="J328" s="105" t="s">
        <v>45</v>
      </c>
      <c r="K328" s="267"/>
      <c r="L328" s="246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1" t="str">
        <f t="shared" si="79"/>
        <v/>
      </c>
      <c r="Z328" s="252" t="str">
        <f t="shared" si="80"/>
        <v/>
      </c>
      <c r="AA328" s="252" t="str">
        <f t="shared" si="81"/>
        <v/>
      </c>
      <c r="AB328" s="252" t="str">
        <f t="shared" si="82"/>
        <v/>
      </c>
      <c r="AJ328" s="121" t="str">
        <f>IF('Cable Info'!L328="","",CONCATENATE('Cable Info'!L328," - ",'Cable Info'!M328))</f>
        <v>327 - AW</v>
      </c>
      <c r="AM328" s="121" t="str">
        <f t="shared" si="83"/>
        <v>327 - AW</v>
      </c>
      <c r="AO328" s="121" t="str">
        <f>IF('Cable Info'!N328="","",CONCATENATE('Cable Info'!N328," - ",'Cable Info'!O328))</f>
        <v>327 - AW</v>
      </c>
      <c r="AR328" s="121" t="str">
        <f t="shared" si="84"/>
        <v>327 - AW</v>
      </c>
      <c r="AT328" s="121" t="str">
        <f>IF('Cable Info'!P328="","",CONCATENATE('Cable Info'!P328," - ",'Cable Info'!Q328))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Info'!R328="","",CONCATENATE('Cable Info'!R328," - ",'Cable Info'!S328))</f>
        <v/>
      </c>
      <c r="BB328" s="121" t="str">
        <f t="shared" si="86"/>
        <v/>
      </c>
      <c r="BD328" s="121" t="str">
        <f>IF('Cable Info'!T328="","",CONCATENATE('Cable Info'!T328," - ",'Cable Info'!U328))</f>
        <v/>
      </c>
      <c r="BG328" s="121" t="str">
        <f t="shared" si="87"/>
        <v/>
      </c>
      <c r="BI328" s="121" t="str">
        <f>IF('Cable Info'!V328="","",CONCATENATE('Cable Info'!V328," - ",'Cable Info'!W328))</f>
        <v/>
      </c>
      <c r="BL328" s="121" t="str">
        <f t="shared" si="88"/>
        <v/>
      </c>
      <c r="CL328" s="250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59"/>
      <c r="F329" s="105" t="s">
        <v>45</v>
      </c>
      <c r="G329" s="262"/>
      <c r="H329" s="115" t="str">
        <f t="shared" si="77"/>
        <v/>
      </c>
      <c r="I329" s="264"/>
      <c r="J329" s="105" t="s">
        <v>45</v>
      </c>
      <c r="K329" s="267"/>
      <c r="L329" s="246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1" t="str">
        <f t="shared" si="79"/>
        <v/>
      </c>
      <c r="Z329" s="252" t="str">
        <f t="shared" si="80"/>
        <v/>
      </c>
      <c r="AA329" s="252" t="str">
        <f t="shared" si="81"/>
        <v/>
      </c>
      <c r="AB329" s="252" t="str">
        <f t="shared" si="82"/>
        <v/>
      </c>
      <c r="AJ329" s="121" t="str">
        <f>IF('Cable Info'!L329="","",CONCATENATE('Cable Info'!L329," - ",'Cable Info'!M329))</f>
        <v>328 - AW</v>
      </c>
      <c r="AM329" s="121" t="str">
        <f t="shared" si="83"/>
        <v>328 - AW</v>
      </c>
      <c r="AO329" s="121" t="str">
        <f>IF('Cable Info'!N329="","",CONCATENATE('Cable Info'!N329," - ",'Cable Info'!O329))</f>
        <v>328 - AW</v>
      </c>
      <c r="AR329" s="121" t="str">
        <f t="shared" si="84"/>
        <v>328 - AW</v>
      </c>
      <c r="AT329" s="121" t="str">
        <f>IF('Cable Info'!P329="","",CONCATENATE('Cable Info'!P329," - ",'Cable Info'!Q329))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Info'!R329="","",CONCATENATE('Cable Info'!R329," - ",'Cable Info'!S329))</f>
        <v/>
      </c>
      <c r="BB329" s="121" t="str">
        <f t="shared" si="86"/>
        <v/>
      </c>
      <c r="BD329" s="121" t="str">
        <f>IF('Cable Info'!T329="","",CONCATENATE('Cable Info'!T329," - ",'Cable Info'!U329))</f>
        <v/>
      </c>
      <c r="BG329" s="121" t="str">
        <f t="shared" si="87"/>
        <v/>
      </c>
      <c r="BI329" s="121" t="str">
        <f>IF('Cable Info'!V329="","",CONCATENATE('Cable Info'!V329," - ",'Cable Info'!W329))</f>
        <v/>
      </c>
      <c r="BL329" s="121" t="str">
        <f t="shared" si="88"/>
        <v/>
      </c>
      <c r="CL329" s="250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59"/>
      <c r="F330" s="105" t="s">
        <v>45</v>
      </c>
      <c r="G330" s="262"/>
      <c r="H330" s="115" t="str">
        <f t="shared" si="77"/>
        <v/>
      </c>
      <c r="I330" s="264"/>
      <c r="J330" s="105" t="s">
        <v>45</v>
      </c>
      <c r="K330" s="267"/>
      <c r="L330" s="246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1" t="str">
        <f t="shared" si="79"/>
        <v/>
      </c>
      <c r="Z330" s="252" t="str">
        <f t="shared" si="80"/>
        <v/>
      </c>
      <c r="AA330" s="252" t="str">
        <f t="shared" si="81"/>
        <v/>
      </c>
      <c r="AB330" s="252" t="str">
        <f t="shared" si="82"/>
        <v/>
      </c>
      <c r="AJ330" s="121" t="str">
        <f>IF('Cable Info'!L330="","",CONCATENATE('Cable Info'!L330," - ",'Cable Info'!M330))</f>
        <v>329 - AW</v>
      </c>
      <c r="AM330" s="121" t="str">
        <f t="shared" si="83"/>
        <v>329 - AW</v>
      </c>
      <c r="AO330" s="121" t="str">
        <f>IF('Cable Info'!N330="","",CONCATENATE('Cable Info'!N330," - ",'Cable Info'!O330))</f>
        <v>329 - AW</v>
      </c>
      <c r="AR330" s="121" t="str">
        <f t="shared" si="84"/>
        <v>329 - AW</v>
      </c>
      <c r="AT330" s="121" t="str">
        <f>IF('Cable Info'!P330="","",CONCATENATE('Cable Info'!P330," - ",'Cable Info'!Q330))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Info'!R330="","",CONCATENATE('Cable Info'!R330," - ",'Cable Info'!S330))</f>
        <v/>
      </c>
      <c r="BB330" s="121" t="str">
        <f t="shared" si="86"/>
        <v/>
      </c>
      <c r="BD330" s="121" t="str">
        <f>IF('Cable Info'!T330="","",CONCATENATE('Cable Info'!T330," - ",'Cable Info'!U330))</f>
        <v/>
      </c>
      <c r="BG330" s="121" t="str">
        <f t="shared" si="87"/>
        <v/>
      </c>
      <c r="BI330" s="121" t="str">
        <f>IF('Cable Info'!V330="","",CONCATENATE('Cable Info'!V330," - ",'Cable Info'!W330))</f>
        <v/>
      </c>
      <c r="BL330" s="121" t="str">
        <f t="shared" si="88"/>
        <v/>
      </c>
      <c r="CL330" s="250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59"/>
      <c r="F331" s="105" t="s">
        <v>45</v>
      </c>
      <c r="G331" s="262"/>
      <c r="H331" s="115" t="str">
        <f t="shared" si="77"/>
        <v/>
      </c>
      <c r="I331" s="264"/>
      <c r="J331" s="105" t="s">
        <v>45</v>
      </c>
      <c r="K331" s="267"/>
      <c r="L331" s="246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1" t="str">
        <f t="shared" si="79"/>
        <v/>
      </c>
      <c r="Z331" s="252" t="str">
        <f t="shared" si="80"/>
        <v/>
      </c>
      <c r="AA331" s="252" t="str">
        <f t="shared" si="81"/>
        <v/>
      </c>
      <c r="AB331" s="252" t="str">
        <f t="shared" si="82"/>
        <v/>
      </c>
      <c r="AJ331" s="121" t="str">
        <f>IF('Cable Info'!L331="","",CONCATENATE('Cable Info'!L331," - ",'Cable Info'!M331))</f>
        <v>330 - AW</v>
      </c>
      <c r="AM331" s="121" t="str">
        <f t="shared" si="83"/>
        <v>330 - AW</v>
      </c>
      <c r="AO331" s="121" t="str">
        <f>IF('Cable Info'!N331="","",CONCATENATE('Cable Info'!N331," - ",'Cable Info'!O331))</f>
        <v>330 - AW</v>
      </c>
      <c r="AR331" s="121" t="str">
        <f t="shared" si="84"/>
        <v>330 - AW</v>
      </c>
      <c r="AT331" s="121" t="str">
        <f>IF('Cable Info'!P331="","",CONCATENATE('Cable Info'!P331," - ",'Cable Info'!Q331))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Info'!R331="","",CONCATENATE('Cable Info'!R331," - ",'Cable Info'!S331))</f>
        <v/>
      </c>
      <c r="BB331" s="121" t="str">
        <f t="shared" si="86"/>
        <v/>
      </c>
      <c r="BD331" s="121" t="str">
        <f>IF('Cable Info'!T331="","",CONCATENATE('Cable Info'!T331," - ",'Cable Info'!U331))</f>
        <v/>
      </c>
      <c r="BG331" s="121" t="str">
        <f t="shared" si="87"/>
        <v/>
      </c>
      <c r="BI331" s="121" t="str">
        <f>IF('Cable Info'!V331="","",CONCATENATE('Cable Info'!V331," - ",'Cable Info'!W331))</f>
        <v/>
      </c>
      <c r="BL331" s="121" t="str">
        <f t="shared" si="88"/>
        <v/>
      </c>
      <c r="CL331" s="250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59"/>
      <c r="F332" s="105" t="s">
        <v>45</v>
      </c>
      <c r="G332" s="262"/>
      <c r="H332" s="115" t="str">
        <f t="shared" ref="H332:H367" si="89">IF(G332="","",((E332-G332)-1)*(-1))</f>
        <v/>
      </c>
      <c r="I332" s="264"/>
      <c r="J332" s="105" t="s">
        <v>45</v>
      </c>
      <c r="K332" s="267"/>
      <c r="L332" s="246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ref="X332:X367" si="90">IF(V332="","",IF(R332="","",IF(S332="","",IF(R332="SPLICED",(IF(S332="SPLICE",0,9)),IF(V332=$U$3,(IF(S332="BREAK",12,11)),IF(S332="BREAK",2,1))))))</f>
        <v/>
      </c>
      <c r="Y332" s="251" t="str">
        <f t="shared" ref="Y332:Y367" si="91">IF(E332="","",IF(G332="","",IF(E332&gt;G332,1,"")))</f>
        <v/>
      </c>
      <c r="Z332" s="252" t="str">
        <f t="shared" ref="Z332:Z367" si="92">IF(I332="","",IF(K332="","",IF(I332&gt;K332,1,"")))</f>
        <v/>
      </c>
      <c r="AA332" s="252" t="str">
        <f t="shared" ref="AA332:AA367" si="93">IF(K332="","",((I332-K332)-1)*(-1))</f>
        <v/>
      </c>
      <c r="AB332" s="252" t="str">
        <f t="shared" ref="AB332:AB367" si="94">IF(E332="","",IF(G332="","",IF(I332="","",IF(K332="","",IF(AA332&lt;&gt;H332,1,"")))))</f>
        <v/>
      </c>
      <c r="AJ332" s="121" t="str">
        <f>IF('Cable Info'!L332="","",CONCATENATE('Cable Info'!L332," - ",'Cable Info'!M332))</f>
        <v>331 - AW</v>
      </c>
      <c r="AM332" s="121" t="str">
        <f t="shared" ref="AM332:AM367" si="95">IF(AK332="",AJ332,CONCATENATE(AJ332,"  &lt;=&gt; ",AK332," ",AL332))</f>
        <v>331 - AW</v>
      </c>
      <c r="AO332" s="121" t="str">
        <f>IF('Cable Info'!N332="","",CONCATENATE('Cable Info'!N332," - ",'Cable Info'!O332))</f>
        <v>331 - AW</v>
      </c>
      <c r="AR332" s="121" t="str">
        <f t="shared" ref="AR332:AR367" si="96">IF(AP332="",AO332,CONCATENATE(AO332,"  &lt;=&gt; ",AP332," ",AQ332))</f>
        <v>331 - AW</v>
      </c>
      <c r="AT332" s="121" t="str">
        <f>IF('Cable Info'!P332="","",CONCATENATE('Cable Info'!P332," - ",'Cable Info'!Q332))</f>
        <v/>
      </c>
      <c r="AU332" s="121" t="s">
        <v>51</v>
      </c>
      <c r="AW332" s="121" t="str">
        <f t="shared" ref="AW332:AW367" si="97">IF(AU332="",AT332,CONCATENATE(AT332,"  &lt;=&gt; ",AU332," ",AV332))</f>
        <v xml:space="preserve">  &lt;=&gt; CABLEC </v>
      </c>
      <c r="AY332" s="121" t="str">
        <f>IF('Cable Info'!R332="","",CONCATENATE('Cable Info'!R332," - ",'Cable Info'!S332))</f>
        <v/>
      </c>
      <c r="BB332" s="121" t="str">
        <f t="shared" ref="BB332:BB367" si="98">IF(AZ332="",AY332,CONCATENATE(AY332,"  &lt;=&gt; ",AZ332," ",BA332))</f>
        <v/>
      </c>
      <c r="BD332" s="121" t="str">
        <f>IF('Cable Info'!T332="","",CONCATENATE('Cable Info'!T332," - ",'Cable Info'!U332))</f>
        <v/>
      </c>
      <c r="BG332" s="121" t="str">
        <f t="shared" ref="BG332:BG367" si="99">IF(BE332="",BD332,CONCATENATE(BD332,"  &lt;=&gt; ",BE332," ",BF332))</f>
        <v/>
      </c>
      <c r="BI332" s="121" t="str">
        <f>IF('Cable Info'!V332="","",CONCATENATE('Cable Info'!V332," - ",'Cable Info'!W332))</f>
        <v/>
      </c>
      <c r="BL332" s="121" t="str">
        <f t="shared" ref="BL332:BL367" si="100">IF(BJ332="",BI332,CONCATENATE(BI332,"  &lt;=&gt; ",BJ332," ",BK332))</f>
        <v/>
      </c>
      <c r="CL332" s="250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59"/>
      <c r="F333" s="105" t="s">
        <v>45</v>
      </c>
      <c r="G333" s="262"/>
      <c r="H333" s="115" t="str">
        <f t="shared" si="89"/>
        <v/>
      </c>
      <c r="I333" s="264"/>
      <c r="J333" s="105" t="s">
        <v>45</v>
      </c>
      <c r="K333" s="267"/>
      <c r="L333" s="246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si="90"/>
        <v/>
      </c>
      <c r="Y333" s="251" t="str">
        <f t="shared" si="91"/>
        <v/>
      </c>
      <c r="Z333" s="252" t="str">
        <f t="shared" si="92"/>
        <v/>
      </c>
      <c r="AA333" s="252" t="str">
        <f t="shared" si="93"/>
        <v/>
      </c>
      <c r="AB333" s="252" t="str">
        <f t="shared" si="94"/>
        <v/>
      </c>
      <c r="AJ333" s="121" t="str">
        <f>IF('Cable Info'!L333="","",CONCATENATE('Cable Info'!L333," - ",'Cable Info'!M333))</f>
        <v>332 - AW</v>
      </c>
      <c r="AM333" s="121" t="str">
        <f t="shared" si="95"/>
        <v>332 - AW</v>
      </c>
      <c r="AO333" s="121" t="str">
        <f>IF('Cable Info'!N333="","",CONCATENATE('Cable Info'!N333," - ",'Cable Info'!O333))</f>
        <v>332 - AW</v>
      </c>
      <c r="AR333" s="121" t="str">
        <f t="shared" si="96"/>
        <v>332 - AW</v>
      </c>
      <c r="AT333" s="121" t="str">
        <f>IF('Cable Info'!P333="","",CONCATENATE('Cable Info'!P333," - ",'Cable Info'!Q333))</f>
        <v/>
      </c>
      <c r="AU333" s="121" t="s">
        <v>51</v>
      </c>
      <c r="AW333" s="121" t="str">
        <f t="shared" si="97"/>
        <v xml:space="preserve">  &lt;=&gt; CABLEC </v>
      </c>
      <c r="AY333" s="121" t="str">
        <f>IF('Cable Info'!R333="","",CONCATENATE('Cable Info'!R333," - ",'Cable Info'!S333))</f>
        <v/>
      </c>
      <c r="BB333" s="121" t="str">
        <f t="shared" si="98"/>
        <v/>
      </c>
      <c r="BD333" s="121" t="str">
        <f>IF('Cable Info'!T333="","",CONCATENATE('Cable Info'!T333," - ",'Cable Info'!U333))</f>
        <v/>
      </c>
      <c r="BG333" s="121" t="str">
        <f t="shared" si="99"/>
        <v/>
      </c>
      <c r="BI333" s="121" t="str">
        <f>IF('Cable Info'!V333="","",CONCATENATE('Cable Info'!V333," - ",'Cable Info'!W333))</f>
        <v/>
      </c>
      <c r="BL333" s="121" t="str">
        <f t="shared" si="100"/>
        <v/>
      </c>
      <c r="CL333" s="250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59"/>
      <c r="F334" s="105" t="s">
        <v>45</v>
      </c>
      <c r="G334" s="262"/>
      <c r="H334" s="115" t="str">
        <f t="shared" si="89"/>
        <v/>
      </c>
      <c r="I334" s="264"/>
      <c r="J334" s="105" t="s">
        <v>45</v>
      </c>
      <c r="K334" s="267"/>
      <c r="L334" s="246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1" t="str">
        <f t="shared" si="91"/>
        <v/>
      </c>
      <c r="Z334" s="252" t="str">
        <f t="shared" si="92"/>
        <v/>
      </c>
      <c r="AA334" s="252" t="str">
        <f t="shared" si="93"/>
        <v/>
      </c>
      <c r="AB334" s="252" t="str">
        <f t="shared" si="94"/>
        <v/>
      </c>
      <c r="AJ334" s="121" t="str">
        <f>IF('Cable Info'!L334="","",CONCATENATE('Cable Info'!L334," - ",'Cable Info'!M334))</f>
        <v>333 - AW</v>
      </c>
      <c r="AM334" s="121" t="str">
        <f t="shared" si="95"/>
        <v>333 - AW</v>
      </c>
      <c r="AO334" s="121" t="str">
        <f>IF('Cable Info'!N334="","",CONCATENATE('Cable Info'!N334," - ",'Cable Info'!O334))</f>
        <v>333 - AW</v>
      </c>
      <c r="AR334" s="121" t="str">
        <f t="shared" si="96"/>
        <v>333 - AW</v>
      </c>
      <c r="AT334" s="121" t="str">
        <f>IF('Cable Info'!P334="","",CONCATENATE('Cable Info'!P334," - ",'Cable Info'!Q334))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Info'!R334="","",CONCATENATE('Cable Info'!R334," - ",'Cable Info'!S334))</f>
        <v/>
      </c>
      <c r="BB334" s="121" t="str">
        <f t="shared" si="98"/>
        <v/>
      </c>
      <c r="BD334" s="121" t="str">
        <f>IF('Cable Info'!T334="","",CONCATENATE('Cable Info'!T334," - ",'Cable Info'!U334))</f>
        <v/>
      </c>
      <c r="BG334" s="121" t="str">
        <f t="shared" si="99"/>
        <v/>
      </c>
      <c r="BI334" s="121" t="str">
        <f>IF('Cable Info'!V334="","",CONCATENATE('Cable Info'!V334," - ",'Cable Info'!W334))</f>
        <v/>
      </c>
      <c r="BL334" s="121" t="str">
        <f t="shared" si="100"/>
        <v/>
      </c>
      <c r="CL334" s="250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59"/>
      <c r="F335" s="105" t="s">
        <v>45</v>
      </c>
      <c r="G335" s="262"/>
      <c r="H335" s="115" t="str">
        <f t="shared" si="89"/>
        <v/>
      </c>
      <c r="I335" s="264"/>
      <c r="J335" s="105" t="s">
        <v>45</v>
      </c>
      <c r="K335" s="267"/>
      <c r="L335" s="246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1" t="str">
        <f t="shared" si="91"/>
        <v/>
      </c>
      <c r="Z335" s="252" t="str">
        <f t="shared" si="92"/>
        <v/>
      </c>
      <c r="AA335" s="252" t="str">
        <f t="shared" si="93"/>
        <v/>
      </c>
      <c r="AB335" s="252" t="str">
        <f t="shared" si="94"/>
        <v/>
      </c>
      <c r="AJ335" s="121" t="str">
        <f>IF('Cable Info'!L335="","",CONCATENATE('Cable Info'!L335," - ",'Cable Info'!M335))</f>
        <v>334 - AW</v>
      </c>
      <c r="AM335" s="121" t="str">
        <f t="shared" si="95"/>
        <v>334 - AW</v>
      </c>
      <c r="AO335" s="121" t="str">
        <f>IF('Cable Info'!N335="","",CONCATENATE('Cable Info'!N335," - ",'Cable Info'!O335))</f>
        <v>334 - AW</v>
      </c>
      <c r="AR335" s="121" t="str">
        <f t="shared" si="96"/>
        <v>334 - AW</v>
      </c>
      <c r="AT335" s="121" t="str">
        <f>IF('Cable Info'!P335="","",CONCATENATE('Cable Info'!P335," - ",'Cable Info'!Q335))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Info'!R335="","",CONCATENATE('Cable Info'!R335," - ",'Cable Info'!S335))</f>
        <v/>
      </c>
      <c r="BB335" s="121" t="str">
        <f t="shared" si="98"/>
        <v/>
      </c>
      <c r="BD335" s="121" t="str">
        <f>IF('Cable Info'!T335="","",CONCATENATE('Cable Info'!T335," - ",'Cable Info'!U335))</f>
        <v/>
      </c>
      <c r="BG335" s="121" t="str">
        <f t="shared" si="99"/>
        <v/>
      </c>
      <c r="BI335" s="121" t="str">
        <f>IF('Cable Info'!V335="","",CONCATENATE('Cable Info'!V335," - ",'Cable Info'!W335))</f>
        <v/>
      </c>
      <c r="BL335" s="121" t="str">
        <f t="shared" si="100"/>
        <v/>
      </c>
      <c r="CL335" s="250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59"/>
      <c r="F336" s="105" t="s">
        <v>45</v>
      </c>
      <c r="G336" s="262"/>
      <c r="H336" s="115" t="str">
        <f t="shared" si="89"/>
        <v/>
      </c>
      <c r="I336" s="264"/>
      <c r="J336" s="105" t="s">
        <v>45</v>
      </c>
      <c r="K336" s="267"/>
      <c r="L336" s="246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1" t="str">
        <f t="shared" si="91"/>
        <v/>
      </c>
      <c r="Z336" s="252" t="str">
        <f t="shared" si="92"/>
        <v/>
      </c>
      <c r="AA336" s="252" t="str">
        <f t="shared" si="93"/>
        <v/>
      </c>
      <c r="AB336" s="252" t="str">
        <f t="shared" si="94"/>
        <v/>
      </c>
      <c r="AJ336" s="121" t="str">
        <f>IF('Cable Info'!L336="","",CONCATENATE('Cable Info'!L336," - ",'Cable Info'!M336))</f>
        <v>335 - AW</v>
      </c>
      <c r="AM336" s="121" t="str">
        <f t="shared" si="95"/>
        <v>335 - AW</v>
      </c>
      <c r="AO336" s="121" t="str">
        <f>IF('Cable Info'!N336="","",CONCATENATE('Cable Info'!N336," - ",'Cable Info'!O336))</f>
        <v>335 - AW</v>
      </c>
      <c r="AR336" s="121" t="str">
        <f t="shared" si="96"/>
        <v>335 - AW</v>
      </c>
      <c r="AT336" s="121" t="str">
        <f>IF('Cable Info'!P336="","",CONCATENATE('Cable Info'!P336," - ",'Cable Info'!Q336))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Info'!R336="","",CONCATENATE('Cable Info'!R336," - ",'Cable Info'!S336))</f>
        <v/>
      </c>
      <c r="BB336" s="121" t="str">
        <f t="shared" si="98"/>
        <v/>
      </c>
      <c r="BD336" s="121" t="str">
        <f>IF('Cable Info'!T336="","",CONCATENATE('Cable Info'!T336," - ",'Cable Info'!U336))</f>
        <v/>
      </c>
      <c r="BG336" s="121" t="str">
        <f t="shared" si="99"/>
        <v/>
      </c>
      <c r="BI336" s="121" t="str">
        <f>IF('Cable Info'!V336="","",CONCATENATE('Cable Info'!V336," - ",'Cable Info'!W336))</f>
        <v/>
      </c>
      <c r="BL336" s="121" t="str">
        <f t="shared" si="100"/>
        <v/>
      </c>
      <c r="CL336" s="250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59"/>
      <c r="F337" s="105" t="s">
        <v>45</v>
      </c>
      <c r="G337" s="262"/>
      <c r="H337" s="115" t="str">
        <f t="shared" si="89"/>
        <v/>
      </c>
      <c r="I337" s="264"/>
      <c r="J337" s="105" t="s">
        <v>45</v>
      </c>
      <c r="K337" s="267"/>
      <c r="L337" s="246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1" t="str">
        <f t="shared" si="91"/>
        <v/>
      </c>
      <c r="Z337" s="252" t="str">
        <f t="shared" si="92"/>
        <v/>
      </c>
      <c r="AA337" s="252" t="str">
        <f t="shared" si="93"/>
        <v/>
      </c>
      <c r="AB337" s="252" t="str">
        <f t="shared" si="94"/>
        <v/>
      </c>
      <c r="AJ337" s="121" t="str">
        <f>IF('Cable Info'!L337="","",CONCATENATE('Cable Info'!L337," - ",'Cable Info'!M337))</f>
        <v>336 - AW</v>
      </c>
      <c r="AM337" s="121" t="str">
        <f t="shared" si="95"/>
        <v>336 - AW</v>
      </c>
      <c r="AO337" s="121" t="str">
        <f>IF('Cable Info'!N337="","",CONCATENATE('Cable Info'!N337," - ",'Cable Info'!O337))</f>
        <v>336 - AW</v>
      </c>
      <c r="AR337" s="121" t="str">
        <f t="shared" si="96"/>
        <v>336 - AW</v>
      </c>
      <c r="AT337" s="121" t="str">
        <f>IF('Cable Info'!P337="","",CONCATENATE('Cable Info'!P337," - ",'Cable Info'!Q337))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Info'!R337="","",CONCATENATE('Cable Info'!R337," - ",'Cable Info'!S337))</f>
        <v/>
      </c>
      <c r="BB337" s="121" t="str">
        <f t="shared" si="98"/>
        <v/>
      </c>
      <c r="BD337" s="121" t="str">
        <f>IF('Cable Info'!T337="","",CONCATENATE('Cable Info'!T337," - ",'Cable Info'!U337))</f>
        <v/>
      </c>
      <c r="BG337" s="121" t="str">
        <f t="shared" si="99"/>
        <v/>
      </c>
      <c r="BI337" s="121" t="str">
        <f>IF('Cable Info'!V337="","",CONCATENATE('Cable Info'!V337," - ",'Cable Info'!W337))</f>
        <v/>
      </c>
      <c r="BL337" s="121" t="str">
        <f t="shared" si="100"/>
        <v/>
      </c>
      <c r="CL337" s="250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59"/>
      <c r="F338" s="105" t="s">
        <v>45</v>
      </c>
      <c r="G338" s="262"/>
      <c r="H338" s="115" t="str">
        <f t="shared" si="89"/>
        <v/>
      </c>
      <c r="I338" s="264"/>
      <c r="J338" s="105" t="s">
        <v>45</v>
      </c>
      <c r="K338" s="267"/>
      <c r="L338" s="246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1" t="str">
        <f t="shared" si="91"/>
        <v/>
      </c>
      <c r="Z338" s="252" t="str">
        <f t="shared" si="92"/>
        <v/>
      </c>
      <c r="AA338" s="252" t="str">
        <f t="shared" si="93"/>
        <v/>
      </c>
      <c r="AB338" s="252" t="str">
        <f t="shared" si="94"/>
        <v/>
      </c>
      <c r="AJ338" s="121" t="str">
        <f>IF('Cable Info'!L338="","",CONCATENATE('Cable Info'!L338," - ",'Cable Info'!M338))</f>
        <v>337 - AW</v>
      </c>
      <c r="AM338" s="121" t="str">
        <f t="shared" si="95"/>
        <v>337 - AW</v>
      </c>
      <c r="AO338" s="121" t="str">
        <f>IF('Cable Info'!N338="","",CONCATENATE('Cable Info'!N338," - ",'Cable Info'!O338))</f>
        <v>337 - AW</v>
      </c>
      <c r="AR338" s="121" t="str">
        <f t="shared" si="96"/>
        <v>337 - AW</v>
      </c>
      <c r="AT338" s="121" t="str">
        <f>IF('Cable Info'!P338="","",CONCATENATE('Cable Info'!P338," - ",'Cable Info'!Q338))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Info'!R338="","",CONCATENATE('Cable Info'!R338," - ",'Cable Info'!S338))</f>
        <v/>
      </c>
      <c r="BB338" s="121" t="str">
        <f t="shared" si="98"/>
        <v/>
      </c>
      <c r="BD338" s="121" t="str">
        <f>IF('Cable Info'!T338="","",CONCATENATE('Cable Info'!T338," - ",'Cable Info'!U338))</f>
        <v/>
      </c>
      <c r="BG338" s="121" t="str">
        <f t="shared" si="99"/>
        <v/>
      </c>
      <c r="BI338" s="121" t="str">
        <f>IF('Cable Info'!V338="","",CONCATENATE('Cable Info'!V338," - ",'Cable Info'!W338))</f>
        <v/>
      </c>
      <c r="BL338" s="121" t="str">
        <f t="shared" si="100"/>
        <v/>
      </c>
      <c r="CL338" s="250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59"/>
      <c r="F339" s="105" t="s">
        <v>45</v>
      </c>
      <c r="G339" s="262"/>
      <c r="H339" s="115" t="str">
        <f t="shared" si="89"/>
        <v/>
      </c>
      <c r="I339" s="264"/>
      <c r="J339" s="105" t="s">
        <v>45</v>
      </c>
      <c r="K339" s="267"/>
      <c r="L339" s="246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1" t="str">
        <f t="shared" si="91"/>
        <v/>
      </c>
      <c r="Z339" s="252" t="str">
        <f t="shared" si="92"/>
        <v/>
      </c>
      <c r="AA339" s="252" t="str">
        <f t="shared" si="93"/>
        <v/>
      </c>
      <c r="AB339" s="252" t="str">
        <f t="shared" si="94"/>
        <v/>
      </c>
      <c r="AJ339" s="121" t="str">
        <f>IF('Cable Info'!L339="","",CONCATENATE('Cable Info'!L339," - ",'Cable Info'!M339))</f>
        <v>338 - AW</v>
      </c>
      <c r="AM339" s="121" t="str">
        <f t="shared" si="95"/>
        <v>338 - AW</v>
      </c>
      <c r="AO339" s="121" t="str">
        <f>IF('Cable Info'!N339="","",CONCATENATE('Cable Info'!N339," - ",'Cable Info'!O339))</f>
        <v>338 - AW</v>
      </c>
      <c r="AR339" s="121" t="str">
        <f t="shared" si="96"/>
        <v>338 - AW</v>
      </c>
      <c r="AT339" s="121" t="str">
        <f>IF('Cable Info'!P339="","",CONCATENATE('Cable Info'!P339," - ",'Cable Info'!Q339))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Info'!R339="","",CONCATENATE('Cable Info'!R339," - ",'Cable Info'!S339))</f>
        <v/>
      </c>
      <c r="BB339" s="121" t="str">
        <f t="shared" si="98"/>
        <v/>
      </c>
      <c r="BD339" s="121" t="str">
        <f>IF('Cable Info'!T339="","",CONCATENATE('Cable Info'!T339," - ",'Cable Info'!U339))</f>
        <v/>
      </c>
      <c r="BG339" s="121" t="str">
        <f t="shared" si="99"/>
        <v/>
      </c>
      <c r="BI339" s="121" t="str">
        <f>IF('Cable Info'!V339="","",CONCATENATE('Cable Info'!V339," - ",'Cable Info'!W339))</f>
        <v/>
      </c>
      <c r="BL339" s="121" t="str">
        <f t="shared" si="100"/>
        <v/>
      </c>
      <c r="CL339" s="250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59"/>
      <c r="F340" s="105" t="s">
        <v>45</v>
      </c>
      <c r="G340" s="262"/>
      <c r="H340" s="115" t="str">
        <f t="shared" si="89"/>
        <v/>
      </c>
      <c r="I340" s="264"/>
      <c r="J340" s="105" t="s">
        <v>45</v>
      </c>
      <c r="K340" s="267"/>
      <c r="L340" s="246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1" t="str">
        <f t="shared" si="91"/>
        <v/>
      </c>
      <c r="Z340" s="252" t="str">
        <f t="shared" si="92"/>
        <v/>
      </c>
      <c r="AA340" s="252" t="str">
        <f t="shared" si="93"/>
        <v/>
      </c>
      <c r="AB340" s="252" t="str">
        <f t="shared" si="94"/>
        <v/>
      </c>
      <c r="AJ340" s="121" t="str">
        <f>IF('Cable Info'!L340="","",CONCATENATE('Cable Info'!L340," - ",'Cable Info'!M340))</f>
        <v>339 - AW</v>
      </c>
      <c r="AM340" s="121" t="str">
        <f t="shared" si="95"/>
        <v>339 - AW</v>
      </c>
      <c r="AO340" s="121" t="str">
        <f>IF('Cable Info'!N340="","",CONCATENATE('Cable Info'!N340," - ",'Cable Info'!O340))</f>
        <v>339 - AW</v>
      </c>
      <c r="AR340" s="121" t="str">
        <f t="shared" si="96"/>
        <v>339 - AW</v>
      </c>
      <c r="AT340" s="121" t="str">
        <f>IF('Cable Info'!P340="","",CONCATENATE('Cable Info'!P340," - ",'Cable Info'!Q340))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Info'!R340="","",CONCATENATE('Cable Info'!R340," - ",'Cable Info'!S340))</f>
        <v/>
      </c>
      <c r="BB340" s="121" t="str">
        <f t="shared" si="98"/>
        <v/>
      </c>
      <c r="BD340" s="121" t="str">
        <f>IF('Cable Info'!T340="","",CONCATENATE('Cable Info'!T340," - ",'Cable Info'!U340))</f>
        <v/>
      </c>
      <c r="BG340" s="121" t="str">
        <f t="shared" si="99"/>
        <v/>
      </c>
      <c r="BI340" s="121" t="str">
        <f>IF('Cable Info'!V340="","",CONCATENATE('Cable Info'!V340," - ",'Cable Info'!W340))</f>
        <v/>
      </c>
      <c r="BL340" s="121" t="str">
        <f t="shared" si="100"/>
        <v/>
      </c>
      <c r="CL340" s="250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59"/>
      <c r="F341" s="105" t="s">
        <v>45</v>
      </c>
      <c r="G341" s="262"/>
      <c r="H341" s="115" t="str">
        <f t="shared" si="89"/>
        <v/>
      </c>
      <c r="I341" s="264"/>
      <c r="J341" s="105" t="s">
        <v>45</v>
      </c>
      <c r="K341" s="267"/>
      <c r="L341" s="246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1" t="str">
        <f t="shared" si="91"/>
        <v/>
      </c>
      <c r="Z341" s="252" t="str">
        <f t="shared" si="92"/>
        <v/>
      </c>
      <c r="AA341" s="252" t="str">
        <f t="shared" si="93"/>
        <v/>
      </c>
      <c r="AB341" s="252" t="str">
        <f t="shared" si="94"/>
        <v/>
      </c>
      <c r="AJ341" s="121" t="str">
        <f>IF('Cable Info'!L341="","",CONCATENATE('Cable Info'!L341," - ",'Cable Info'!M341))</f>
        <v>340 - AW</v>
      </c>
      <c r="AM341" s="121" t="str">
        <f t="shared" si="95"/>
        <v>340 - AW</v>
      </c>
      <c r="AO341" s="121" t="str">
        <f>IF('Cable Info'!N341="","",CONCATENATE('Cable Info'!N341," - ",'Cable Info'!O341))</f>
        <v>340 - AW</v>
      </c>
      <c r="AR341" s="121" t="str">
        <f t="shared" si="96"/>
        <v>340 - AW</v>
      </c>
      <c r="AT341" s="121" t="str">
        <f>IF('Cable Info'!P341="","",CONCATENATE('Cable Info'!P341," - ",'Cable Info'!Q341))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Info'!R341="","",CONCATENATE('Cable Info'!R341," - ",'Cable Info'!S341))</f>
        <v/>
      </c>
      <c r="BB341" s="121" t="str">
        <f t="shared" si="98"/>
        <v/>
      </c>
      <c r="BD341" s="121" t="str">
        <f>IF('Cable Info'!T341="","",CONCATENATE('Cable Info'!T341," - ",'Cable Info'!U341))</f>
        <v/>
      </c>
      <c r="BG341" s="121" t="str">
        <f t="shared" si="99"/>
        <v/>
      </c>
      <c r="BI341" s="121" t="str">
        <f>IF('Cable Info'!V341="","",CONCATENATE('Cable Info'!V341," - ",'Cable Info'!W341))</f>
        <v/>
      </c>
      <c r="BL341" s="121" t="str">
        <f t="shared" si="100"/>
        <v/>
      </c>
      <c r="CL341" s="250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59"/>
      <c r="F342" s="105" t="s">
        <v>45</v>
      </c>
      <c r="G342" s="262"/>
      <c r="H342" s="115" t="str">
        <f t="shared" si="89"/>
        <v/>
      </c>
      <c r="I342" s="264"/>
      <c r="J342" s="105" t="s">
        <v>45</v>
      </c>
      <c r="K342" s="267"/>
      <c r="L342" s="246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1" t="str">
        <f t="shared" si="91"/>
        <v/>
      </c>
      <c r="Z342" s="252" t="str">
        <f t="shared" si="92"/>
        <v/>
      </c>
      <c r="AA342" s="252" t="str">
        <f t="shared" si="93"/>
        <v/>
      </c>
      <c r="AB342" s="252" t="str">
        <f t="shared" si="94"/>
        <v/>
      </c>
      <c r="AJ342" s="121" t="str">
        <f>IF('Cable Info'!L342="","",CONCATENATE('Cable Info'!L342," - ",'Cable Info'!M342))</f>
        <v>341 - AW</v>
      </c>
      <c r="AM342" s="121" t="str">
        <f t="shared" si="95"/>
        <v>341 - AW</v>
      </c>
      <c r="AO342" s="121" t="str">
        <f>IF('Cable Info'!N342="","",CONCATENATE('Cable Info'!N342," - ",'Cable Info'!O342))</f>
        <v>341 - AW</v>
      </c>
      <c r="AR342" s="121" t="str">
        <f t="shared" si="96"/>
        <v>341 - AW</v>
      </c>
      <c r="AT342" s="121" t="str">
        <f>IF('Cable Info'!P342="","",CONCATENATE('Cable Info'!P342," - ",'Cable Info'!Q342))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Info'!R342="","",CONCATENATE('Cable Info'!R342," - ",'Cable Info'!S342))</f>
        <v/>
      </c>
      <c r="BB342" s="121" t="str">
        <f t="shared" si="98"/>
        <v/>
      </c>
      <c r="BD342" s="121" t="str">
        <f>IF('Cable Info'!T342="","",CONCATENATE('Cable Info'!T342," - ",'Cable Info'!U342))</f>
        <v/>
      </c>
      <c r="BG342" s="121" t="str">
        <f t="shared" si="99"/>
        <v/>
      </c>
      <c r="BI342" s="121" t="str">
        <f>IF('Cable Info'!V342="","",CONCATENATE('Cable Info'!V342," - ",'Cable Info'!W342))</f>
        <v/>
      </c>
      <c r="BL342" s="121" t="str">
        <f t="shared" si="100"/>
        <v/>
      </c>
      <c r="CL342" s="250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59"/>
      <c r="F343" s="105" t="s">
        <v>45</v>
      </c>
      <c r="G343" s="262"/>
      <c r="H343" s="115" t="str">
        <f t="shared" si="89"/>
        <v/>
      </c>
      <c r="I343" s="264"/>
      <c r="J343" s="105" t="s">
        <v>45</v>
      </c>
      <c r="K343" s="267"/>
      <c r="L343" s="246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1" t="str">
        <f t="shared" si="91"/>
        <v/>
      </c>
      <c r="Z343" s="252" t="str">
        <f t="shared" si="92"/>
        <v/>
      </c>
      <c r="AA343" s="252" t="str">
        <f t="shared" si="93"/>
        <v/>
      </c>
      <c r="AB343" s="252" t="str">
        <f t="shared" si="94"/>
        <v/>
      </c>
      <c r="AJ343" s="121" t="str">
        <f>IF('Cable Info'!L343="","",CONCATENATE('Cable Info'!L343," - ",'Cable Info'!M343))</f>
        <v>342 - AW</v>
      </c>
      <c r="AM343" s="121" t="str">
        <f t="shared" si="95"/>
        <v>342 - AW</v>
      </c>
      <c r="AO343" s="121" t="str">
        <f>IF('Cable Info'!N343="","",CONCATENATE('Cable Info'!N343," - ",'Cable Info'!O343))</f>
        <v>342 - AW</v>
      </c>
      <c r="AR343" s="121" t="str">
        <f t="shared" si="96"/>
        <v>342 - AW</v>
      </c>
      <c r="AT343" s="121" t="str">
        <f>IF('Cable Info'!P343="","",CONCATENATE('Cable Info'!P343," - ",'Cable Info'!Q343))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Info'!R343="","",CONCATENATE('Cable Info'!R343," - ",'Cable Info'!S343))</f>
        <v/>
      </c>
      <c r="BB343" s="121" t="str">
        <f t="shared" si="98"/>
        <v/>
      </c>
      <c r="BD343" s="121" t="str">
        <f>IF('Cable Info'!T343="","",CONCATENATE('Cable Info'!T343," - ",'Cable Info'!U343))</f>
        <v/>
      </c>
      <c r="BG343" s="121" t="str">
        <f t="shared" si="99"/>
        <v/>
      </c>
      <c r="BI343" s="121" t="str">
        <f>IF('Cable Info'!V343="","",CONCATENATE('Cable Info'!V343," - ",'Cable Info'!W343))</f>
        <v/>
      </c>
      <c r="BL343" s="121" t="str">
        <f t="shared" si="100"/>
        <v/>
      </c>
      <c r="CL343" s="250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59"/>
      <c r="F344" s="105" t="s">
        <v>45</v>
      </c>
      <c r="G344" s="262"/>
      <c r="H344" s="115" t="str">
        <f t="shared" si="89"/>
        <v/>
      </c>
      <c r="I344" s="264"/>
      <c r="J344" s="105" t="s">
        <v>45</v>
      </c>
      <c r="K344" s="267"/>
      <c r="L344" s="246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1" t="str">
        <f t="shared" si="91"/>
        <v/>
      </c>
      <c r="Z344" s="252" t="str">
        <f t="shared" si="92"/>
        <v/>
      </c>
      <c r="AA344" s="252" t="str">
        <f t="shared" si="93"/>
        <v/>
      </c>
      <c r="AB344" s="252" t="str">
        <f t="shared" si="94"/>
        <v/>
      </c>
      <c r="AJ344" s="121" t="str">
        <f>IF('Cable Info'!L344="","",CONCATENATE('Cable Info'!L344," - ",'Cable Info'!M344))</f>
        <v>343 - AW</v>
      </c>
      <c r="AM344" s="121" t="str">
        <f t="shared" si="95"/>
        <v>343 - AW</v>
      </c>
      <c r="AO344" s="121" t="str">
        <f>IF('Cable Info'!N344="","",CONCATENATE('Cable Info'!N344," - ",'Cable Info'!O344))</f>
        <v>343 - AW</v>
      </c>
      <c r="AR344" s="121" t="str">
        <f t="shared" si="96"/>
        <v>343 - AW</v>
      </c>
      <c r="AT344" s="121" t="str">
        <f>IF('Cable Info'!P344="","",CONCATENATE('Cable Info'!P344," - ",'Cable Info'!Q344))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Info'!R344="","",CONCATENATE('Cable Info'!R344," - ",'Cable Info'!S344))</f>
        <v/>
      </c>
      <c r="BB344" s="121" t="str">
        <f t="shared" si="98"/>
        <v/>
      </c>
      <c r="BD344" s="121" t="str">
        <f>IF('Cable Info'!T344="","",CONCATENATE('Cable Info'!T344," - ",'Cable Info'!U344))</f>
        <v/>
      </c>
      <c r="BG344" s="121" t="str">
        <f t="shared" si="99"/>
        <v/>
      </c>
      <c r="BI344" s="121" t="str">
        <f>IF('Cable Info'!V344="","",CONCATENATE('Cable Info'!V344," - ",'Cable Info'!W344))</f>
        <v/>
      </c>
      <c r="BL344" s="121" t="str">
        <f t="shared" si="100"/>
        <v/>
      </c>
      <c r="CL344" s="250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59"/>
      <c r="F345" s="105" t="s">
        <v>45</v>
      </c>
      <c r="G345" s="262"/>
      <c r="H345" s="115" t="str">
        <f t="shared" si="89"/>
        <v/>
      </c>
      <c r="I345" s="264"/>
      <c r="J345" s="105" t="s">
        <v>45</v>
      </c>
      <c r="K345" s="267"/>
      <c r="L345" s="246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1" t="str">
        <f t="shared" si="91"/>
        <v/>
      </c>
      <c r="Z345" s="252" t="str">
        <f t="shared" si="92"/>
        <v/>
      </c>
      <c r="AA345" s="252" t="str">
        <f t="shared" si="93"/>
        <v/>
      </c>
      <c r="AB345" s="252" t="str">
        <f t="shared" si="94"/>
        <v/>
      </c>
      <c r="AJ345" s="121" t="str">
        <f>IF('Cable Info'!L345="","",CONCATENATE('Cable Info'!L345," - ",'Cable Info'!M345))</f>
        <v>344 - AW</v>
      </c>
      <c r="AM345" s="121" t="str">
        <f t="shared" si="95"/>
        <v>344 - AW</v>
      </c>
      <c r="AO345" s="121" t="str">
        <f>IF('Cable Info'!N345="","",CONCATENATE('Cable Info'!N345," - ",'Cable Info'!O345))</f>
        <v>344 - AW</v>
      </c>
      <c r="AR345" s="121" t="str">
        <f t="shared" si="96"/>
        <v>344 - AW</v>
      </c>
      <c r="AT345" s="121" t="str">
        <f>IF('Cable Info'!P345="","",CONCATENATE('Cable Info'!P345," - ",'Cable Info'!Q345))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Info'!R345="","",CONCATENATE('Cable Info'!R345," - ",'Cable Info'!S345))</f>
        <v/>
      </c>
      <c r="BB345" s="121" t="str">
        <f t="shared" si="98"/>
        <v/>
      </c>
      <c r="BD345" s="121" t="str">
        <f>IF('Cable Info'!T345="","",CONCATENATE('Cable Info'!T345," - ",'Cable Info'!U345))</f>
        <v/>
      </c>
      <c r="BG345" s="121" t="str">
        <f t="shared" si="99"/>
        <v/>
      </c>
      <c r="BI345" s="121" t="str">
        <f>IF('Cable Info'!V345="","",CONCATENATE('Cable Info'!V345," - ",'Cable Info'!W345))</f>
        <v/>
      </c>
      <c r="BL345" s="121" t="str">
        <f t="shared" si="100"/>
        <v/>
      </c>
      <c r="CL345" s="250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59"/>
      <c r="F346" s="105" t="s">
        <v>45</v>
      </c>
      <c r="G346" s="262"/>
      <c r="H346" s="115" t="str">
        <f t="shared" si="89"/>
        <v/>
      </c>
      <c r="I346" s="264"/>
      <c r="J346" s="105" t="s">
        <v>45</v>
      </c>
      <c r="K346" s="267"/>
      <c r="L346" s="246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1" t="str">
        <f t="shared" si="91"/>
        <v/>
      </c>
      <c r="Z346" s="252" t="str">
        <f t="shared" si="92"/>
        <v/>
      </c>
      <c r="AA346" s="252" t="str">
        <f t="shared" si="93"/>
        <v/>
      </c>
      <c r="AB346" s="252" t="str">
        <f t="shared" si="94"/>
        <v/>
      </c>
      <c r="AJ346" s="121" t="str">
        <f>IF('Cable Info'!L346="","",CONCATENATE('Cable Info'!L346," - ",'Cable Info'!M346))</f>
        <v>345 - AW</v>
      </c>
      <c r="AM346" s="121" t="str">
        <f t="shared" si="95"/>
        <v>345 - AW</v>
      </c>
      <c r="AO346" s="121" t="str">
        <f>IF('Cable Info'!N346="","",CONCATENATE('Cable Info'!N346," - ",'Cable Info'!O346))</f>
        <v>345 - AW</v>
      </c>
      <c r="AR346" s="121" t="str">
        <f t="shared" si="96"/>
        <v>345 - AW</v>
      </c>
      <c r="AT346" s="121" t="str">
        <f>IF('Cable Info'!P346="","",CONCATENATE('Cable Info'!P346," - ",'Cable Info'!Q346))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Info'!R346="","",CONCATENATE('Cable Info'!R346," - ",'Cable Info'!S346))</f>
        <v/>
      </c>
      <c r="BB346" s="121" t="str">
        <f t="shared" si="98"/>
        <v/>
      </c>
      <c r="BD346" s="121" t="str">
        <f>IF('Cable Info'!T346="","",CONCATENATE('Cable Info'!T346," - ",'Cable Info'!U346))</f>
        <v/>
      </c>
      <c r="BG346" s="121" t="str">
        <f t="shared" si="99"/>
        <v/>
      </c>
      <c r="BI346" s="121" t="str">
        <f>IF('Cable Info'!V346="","",CONCATENATE('Cable Info'!V346," - ",'Cable Info'!W346))</f>
        <v/>
      </c>
      <c r="BL346" s="121" t="str">
        <f t="shared" si="100"/>
        <v/>
      </c>
      <c r="CL346" s="250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59"/>
      <c r="F347" s="105" t="s">
        <v>45</v>
      </c>
      <c r="G347" s="262"/>
      <c r="H347" s="115" t="str">
        <f t="shared" si="89"/>
        <v/>
      </c>
      <c r="I347" s="264"/>
      <c r="J347" s="105" t="s">
        <v>45</v>
      </c>
      <c r="K347" s="267"/>
      <c r="L347" s="246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1" t="str">
        <f t="shared" si="91"/>
        <v/>
      </c>
      <c r="Z347" s="252" t="str">
        <f t="shared" si="92"/>
        <v/>
      </c>
      <c r="AA347" s="252" t="str">
        <f t="shared" si="93"/>
        <v/>
      </c>
      <c r="AB347" s="252" t="str">
        <f t="shared" si="94"/>
        <v/>
      </c>
      <c r="AJ347" s="121" t="str">
        <f>IF('Cable Info'!L347="","",CONCATENATE('Cable Info'!L347," - ",'Cable Info'!M347))</f>
        <v>346 - AW</v>
      </c>
      <c r="AM347" s="121" t="str">
        <f t="shared" si="95"/>
        <v>346 - AW</v>
      </c>
      <c r="AO347" s="121" t="str">
        <f>IF('Cable Info'!N347="","",CONCATENATE('Cable Info'!N347," - ",'Cable Info'!O347))</f>
        <v>346 - AW</v>
      </c>
      <c r="AR347" s="121" t="str">
        <f t="shared" si="96"/>
        <v>346 - AW</v>
      </c>
      <c r="AT347" s="121" t="str">
        <f>IF('Cable Info'!P347="","",CONCATENATE('Cable Info'!P347," - ",'Cable Info'!Q347))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Info'!R347="","",CONCATENATE('Cable Info'!R347," - ",'Cable Info'!S347))</f>
        <v/>
      </c>
      <c r="BB347" s="121" t="str">
        <f t="shared" si="98"/>
        <v/>
      </c>
      <c r="BD347" s="121" t="str">
        <f>IF('Cable Info'!T347="","",CONCATENATE('Cable Info'!T347," - ",'Cable Info'!U347))</f>
        <v/>
      </c>
      <c r="BG347" s="121" t="str">
        <f t="shared" si="99"/>
        <v/>
      </c>
      <c r="BI347" s="121" t="str">
        <f>IF('Cable Info'!V347="","",CONCATENATE('Cable Info'!V347," - ",'Cable Info'!W347))</f>
        <v/>
      </c>
      <c r="BL347" s="121" t="str">
        <f t="shared" si="100"/>
        <v/>
      </c>
      <c r="CL347" s="250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59"/>
      <c r="F348" s="105" t="s">
        <v>45</v>
      </c>
      <c r="G348" s="262"/>
      <c r="H348" s="115" t="str">
        <f t="shared" si="89"/>
        <v/>
      </c>
      <c r="I348" s="264"/>
      <c r="J348" s="105" t="s">
        <v>45</v>
      </c>
      <c r="K348" s="267"/>
      <c r="L348" s="246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1" t="str">
        <f t="shared" si="91"/>
        <v/>
      </c>
      <c r="Z348" s="252" t="str">
        <f t="shared" si="92"/>
        <v/>
      </c>
      <c r="AA348" s="252" t="str">
        <f t="shared" si="93"/>
        <v/>
      </c>
      <c r="AB348" s="252" t="str">
        <f t="shared" si="94"/>
        <v/>
      </c>
      <c r="AJ348" s="121" t="str">
        <f>IF('Cable Info'!L348="","",CONCATENATE('Cable Info'!L348," - ",'Cable Info'!M348))</f>
        <v>347 - AW</v>
      </c>
      <c r="AM348" s="121" t="str">
        <f t="shared" si="95"/>
        <v>347 - AW</v>
      </c>
      <c r="AO348" s="121" t="str">
        <f>IF('Cable Info'!N348="","",CONCATENATE('Cable Info'!N348," - ",'Cable Info'!O348))</f>
        <v>347 - AW</v>
      </c>
      <c r="AR348" s="121" t="str">
        <f t="shared" si="96"/>
        <v>347 - AW</v>
      </c>
      <c r="AT348" s="121" t="str">
        <f>IF('Cable Info'!P348="","",CONCATENATE('Cable Info'!P348," - ",'Cable Info'!Q348))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Info'!R348="","",CONCATENATE('Cable Info'!R348," - ",'Cable Info'!S348))</f>
        <v/>
      </c>
      <c r="BB348" s="121" t="str">
        <f t="shared" si="98"/>
        <v/>
      </c>
      <c r="BD348" s="121" t="str">
        <f>IF('Cable Info'!T348="","",CONCATENATE('Cable Info'!T348," - ",'Cable Info'!U348))</f>
        <v/>
      </c>
      <c r="BG348" s="121" t="str">
        <f t="shared" si="99"/>
        <v/>
      </c>
      <c r="BI348" s="121" t="str">
        <f>IF('Cable Info'!V348="","",CONCATENATE('Cable Info'!V348," - ",'Cable Info'!W348))</f>
        <v/>
      </c>
      <c r="BL348" s="121" t="str">
        <f t="shared" si="100"/>
        <v/>
      </c>
      <c r="CL348" s="250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59"/>
      <c r="F349" s="105" t="s">
        <v>45</v>
      </c>
      <c r="G349" s="262"/>
      <c r="H349" s="115" t="str">
        <f t="shared" si="89"/>
        <v/>
      </c>
      <c r="I349" s="264"/>
      <c r="J349" s="105" t="s">
        <v>45</v>
      </c>
      <c r="K349" s="267"/>
      <c r="L349" s="246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1" t="str">
        <f t="shared" si="91"/>
        <v/>
      </c>
      <c r="Z349" s="252" t="str">
        <f t="shared" si="92"/>
        <v/>
      </c>
      <c r="AA349" s="252" t="str">
        <f t="shared" si="93"/>
        <v/>
      </c>
      <c r="AB349" s="252" t="str">
        <f t="shared" si="94"/>
        <v/>
      </c>
      <c r="AJ349" s="121" t="str">
        <f>IF('Cable Info'!L349="","",CONCATENATE('Cable Info'!L349," - ",'Cable Info'!M349))</f>
        <v>348 - AW</v>
      </c>
      <c r="AM349" s="121" t="str">
        <f t="shared" si="95"/>
        <v>348 - AW</v>
      </c>
      <c r="AO349" s="121" t="str">
        <f>IF('Cable Info'!N349="","",CONCATENATE('Cable Info'!N349," - ",'Cable Info'!O349))</f>
        <v>348 - AW</v>
      </c>
      <c r="AR349" s="121" t="str">
        <f t="shared" si="96"/>
        <v>348 - AW</v>
      </c>
      <c r="AT349" s="121" t="str">
        <f>IF('Cable Info'!P349="","",CONCATENATE('Cable Info'!P349," - ",'Cable Info'!Q349))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Info'!R349="","",CONCATENATE('Cable Info'!R349," - ",'Cable Info'!S349))</f>
        <v/>
      </c>
      <c r="BB349" s="121" t="str">
        <f t="shared" si="98"/>
        <v/>
      </c>
      <c r="BD349" s="121" t="str">
        <f>IF('Cable Info'!T349="","",CONCATENATE('Cable Info'!T349," - ",'Cable Info'!U349))</f>
        <v/>
      </c>
      <c r="BG349" s="121" t="str">
        <f t="shared" si="99"/>
        <v/>
      </c>
      <c r="BI349" s="121" t="str">
        <f>IF('Cable Info'!V349="","",CONCATENATE('Cable Info'!V349," - ",'Cable Info'!W349))</f>
        <v/>
      </c>
      <c r="BL349" s="121" t="str">
        <f t="shared" si="100"/>
        <v/>
      </c>
      <c r="CL349" s="250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59"/>
      <c r="F350" s="105" t="s">
        <v>45</v>
      </c>
      <c r="G350" s="262"/>
      <c r="H350" s="115" t="str">
        <f t="shared" si="89"/>
        <v/>
      </c>
      <c r="I350" s="264"/>
      <c r="J350" s="105" t="s">
        <v>45</v>
      </c>
      <c r="K350" s="267"/>
      <c r="L350" s="246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1" t="str">
        <f t="shared" si="91"/>
        <v/>
      </c>
      <c r="Z350" s="252" t="str">
        <f t="shared" si="92"/>
        <v/>
      </c>
      <c r="AA350" s="252" t="str">
        <f t="shared" si="93"/>
        <v/>
      </c>
      <c r="AB350" s="252" t="str">
        <f t="shared" si="94"/>
        <v/>
      </c>
      <c r="AJ350" s="121" t="str">
        <f>IF('Cable Info'!L350="","",CONCATENATE('Cable Info'!L350," - ",'Cable Info'!M350))</f>
        <v>349 - AW</v>
      </c>
      <c r="AM350" s="121" t="str">
        <f t="shared" si="95"/>
        <v>349 - AW</v>
      </c>
      <c r="AO350" s="121" t="str">
        <f>IF('Cable Info'!N350="","",CONCATENATE('Cable Info'!N350," - ",'Cable Info'!O350))</f>
        <v>349 - AW</v>
      </c>
      <c r="AR350" s="121" t="str">
        <f t="shared" si="96"/>
        <v>349 - AW</v>
      </c>
      <c r="AT350" s="121" t="str">
        <f>IF('Cable Info'!P350="","",CONCATENATE('Cable Info'!P350," - ",'Cable Info'!Q350))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Info'!R350="","",CONCATENATE('Cable Info'!R350," - ",'Cable Info'!S350))</f>
        <v/>
      </c>
      <c r="BB350" s="121" t="str">
        <f t="shared" si="98"/>
        <v/>
      </c>
      <c r="BD350" s="121" t="str">
        <f>IF('Cable Info'!T350="","",CONCATENATE('Cable Info'!T350," - ",'Cable Info'!U350))</f>
        <v/>
      </c>
      <c r="BG350" s="121" t="str">
        <f t="shared" si="99"/>
        <v/>
      </c>
      <c r="BI350" s="121" t="str">
        <f>IF('Cable Info'!V350="","",CONCATENATE('Cable Info'!V350," - ",'Cable Info'!W350))</f>
        <v/>
      </c>
      <c r="BL350" s="121" t="str">
        <f t="shared" si="100"/>
        <v/>
      </c>
      <c r="CL350" s="250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59"/>
      <c r="F351" s="105" t="s">
        <v>45</v>
      </c>
      <c r="G351" s="262"/>
      <c r="H351" s="115" t="str">
        <f t="shared" si="89"/>
        <v/>
      </c>
      <c r="I351" s="264"/>
      <c r="J351" s="105" t="s">
        <v>45</v>
      </c>
      <c r="K351" s="267"/>
      <c r="L351" s="246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1" t="str">
        <f t="shared" si="91"/>
        <v/>
      </c>
      <c r="Z351" s="252" t="str">
        <f t="shared" si="92"/>
        <v/>
      </c>
      <c r="AA351" s="252" t="str">
        <f t="shared" si="93"/>
        <v/>
      </c>
      <c r="AB351" s="252" t="str">
        <f t="shared" si="94"/>
        <v/>
      </c>
      <c r="AJ351" s="121" t="str">
        <f>IF('Cable Info'!L351="","",CONCATENATE('Cable Info'!L351," - ",'Cable Info'!M351))</f>
        <v>350 - AW</v>
      </c>
      <c r="AM351" s="121" t="str">
        <f t="shared" si="95"/>
        <v>350 - AW</v>
      </c>
      <c r="AO351" s="121" t="str">
        <f>IF('Cable Info'!N351="","",CONCATENATE('Cable Info'!N351," - ",'Cable Info'!O351))</f>
        <v>350 - AW</v>
      </c>
      <c r="AR351" s="121" t="str">
        <f t="shared" si="96"/>
        <v>350 - AW</v>
      </c>
      <c r="AT351" s="121" t="str">
        <f>IF('Cable Info'!P351="","",CONCATENATE('Cable Info'!P351," - ",'Cable Info'!Q351))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Info'!R351="","",CONCATENATE('Cable Info'!R351," - ",'Cable Info'!S351))</f>
        <v/>
      </c>
      <c r="BB351" s="121" t="str">
        <f t="shared" si="98"/>
        <v/>
      </c>
      <c r="BD351" s="121" t="str">
        <f>IF('Cable Info'!T351="","",CONCATENATE('Cable Info'!T351," - ",'Cable Info'!U351))</f>
        <v/>
      </c>
      <c r="BG351" s="121" t="str">
        <f t="shared" si="99"/>
        <v/>
      </c>
      <c r="BI351" s="121" t="str">
        <f>IF('Cable Info'!V351="","",CONCATENATE('Cable Info'!V351," - ",'Cable Info'!W351))</f>
        <v/>
      </c>
      <c r="BL351" s="121" t="str">
        <f t="shared" si="100"/>
        <v/>
      </c>
      <c r="CL351" s="250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59"/>
      <c r="F352" s="105" t="s">
        <v>45</v>
      </c>
      <c r="G352" s="262"/>
      <c r="H352" s="115" t="str">
        <f t="shared" si="89"/>
        <v/>
      </c>
      <c r="I352" s="264"/>
      <c r="J352" s="105" t="s">
        <v>45</v>
      </c>
      <c r="K352" s="267"/>
      <c r="L352" s="246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1" t="str">
        <f t="shared" si="91"/>
        <v/>
      </c>
      <c r="Z352" s="252" t="str">
        <f t="shared" si="92"/>
        <v/>
      </c>
      <c r="AA352" s="252" t="str">
        <f t="shared" si="93"/>
        <v/>
      </c>
      <c r="AB352" s="252" t="str">
        <f t="shared" si="94"/>
        <v/>
      </c>
      <c r="AJ352" s="121" t="str">
        <f>IF('Cable Info'!L352="","",CONCATENATE('Cable Info'!L352," - ",'Cable Info'!M352))</f>
        <v>351 - AW</v>
      </c>
      <c r="AM352" s="121" t="str">
        <f t="shared" si="95"/>
        <v>351 - AW</v>
      </c>
      <c r="AO352" s="121" t="str">
        <f>IF('Cable Info'!N352="","",CONCATENATE('Cable Info'!N352," - ",'Cable Info'!O352))</f>
        <v>351 - AW</v>
      </c>
      <c r="AR352" s="121" t="str">
        <f t="shared" si="96"/>
        <v>351 - AW</v>
      </c>
      <c r="AT352" s="121" t="str">
        <f>IF('Cable Info'!P352="","",CONCATENATE('Cable Info'!P352," - ",'Cable Info'!Q352))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Info'!R352="","",CONCATENATE('Cable Info'!R352," - ",'Cable Info'!S352))</f>
        <v/>
      </c>
      <c r="BB352" s="121" t="str">
        <f t="shared" si="98"/>
        <v/>
      </c>
      <c r="BD352" s="121" t="str">
        <f>IF('Cable Info'!T352="","",CONCATENATE('Cable Info'!T352," - ",'Cable Info'!U352))</f>
        <v/>
      </c>
      <c r="BG352" s="121" t="str">
        <f t="shared" si="99"/>
        <v/>
      </c>
      <c r="BI352" s="121" t="str">
        <f>IF('Cable Info'!V352="","",CONCATENATE('Cable Info'!V352," - ",'Cable Info'!W352))</f>
        <v/>
      </c>
      <c r="BL352" s="121" t="str">
        <f t="shared" si="100"/>
        <v/>
      </c>
      <c r="CL352" s="250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59"/>
      <c r="F353" s="105" t="s">
        <v>45</v>
      </c>
      <c r="G353" s="262"/>
      <c r="H353" s="115" t="str">
        <f t="shared" si="89"/>
        <v/>
      </c>
      <c r="I353" s="264"/>
      <c r="J353" s="105" t="s">
        <v>45</v>
      </c>
      <c r="K353" s="267"/>
      <c r="L353" s="246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1" t="str">
        <f t="shared" si="91"/>
        <v/>
      </c>
      <c r="Z353" s="252" t="str">
        <f t="shared" si="92"/>
        <v/>
      </c>
      <c r="AA353" s="252" t="str">
        <f t="shared" si="93"/>
        <v/>
      </c>
      <c r="AB353" s="252" t="str">
        <f t="shared" si="94"/>
        <v/>
      </c>
      <c r="AJ353" s="121" t="str">
        <f>IF('Cable Info'!L353="","",CONCATENATE('Cable Info'!L353," - ",'Cable Info'!M353))</f>
        <v>352 - AW</v>
      </c>
      <c r="AM353" s="121" t="str">
        <f t="shared" si="95"/>
        <v>352 - AW</v>
      </c>
      <c r="AO353" s="121" t="str">
        <f>IF('Cable Info'!N353="","",CONCATENATE('Cable Info'!N353," - ",'Cable Info'!O353))</f>
        <v>352 - AW</v>
      </c>
      <c r="AR353" s="121" t="str">
        <f t="shared" si="96"/>
        <v>352 - AW</v>
      </c>
      <c r="AT353" s="121" t="str">
        <f>IF('Cable Info'!P353="","",CONCATENATE('Cable Info'!P353," - ",'Cable Info'!Q353))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Info'!R353="","",CONCATENATE('Cable Info'!R353," - ",'Cable Info'!S353))</f>
        <v/>
      </c>
      <c r="BB353" s="121" t="str">
        <f t="shared" si="98"/>
        <v/>
      </c>
      <c r="BD353" s="121" t="str">
        <f>IF('Cable Info'!T353="","",CONCATENATE('Cable Info'!T353," - ",'Cable Info'!U353))</f>
        <v/>
      </c>
      <c r="BG353" s="121" t="str">
        <f t="shared" si="99"/>
        <v/>
      </c>
      <c r="BI353" s="121" t="str">
        <f>IF('Cable Info'!V353="","",CONCATENATE('Cable Info'!V353," - ",'Cable Info'!W353))</f>
        <v/>
      </c>
      <c r="BL353" s="121" t="str">
        <f t="shared" si="100"/>
        <v/>
      </c>
      <c r="CL353" s="250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59"/>
      <c r="F354" s="105" t="s">
        <v>45</v>
      </c>
      <c r="G354" s="262"/>
      <c r="H354" s="115" t="str">
        <f t="shared" si="89"/>
        <v/>
      </c>
      <c r="I354" s="264"/>
      <c r="J354" s="105" t="s">
        <v>45</v>
      </c>
      <c r="K354" s="267"/>
      <c r="L354" s="246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1" t="str">
        <f t="shared" si="91"/>
        <v/>
      </c>
      <c r="Z354" s="252" t="str">
        <f t="shared" si="92"/>
        <v/>
      </c>
      <c r="AA354" s="252" t="str">
        <f t="shared" si="93"/>
        <v/>
      </c>
      <c r="AB354" s="252" t="str">
        <f t="shared" si="94"/>
        <v/>
      </c>
      <c r="AJ354" s="121" t="str">
        <f>IF('Cable Info'!L354="","",CONCATENATE('Cable Info'!L354," - ",'Cable Info'!M354))</f>
        <v>353 - AW</v>
      </c>
      <c r="AM354" s="121" t="str">
        <f t="shared" si="95"/>
        <v>353 - AW</v>
      </c>
      <c r="AO354" s="121" t="str">
        <f>IF('Cable Info'!N354="","",CONCATENATE('Cable Info'!N354," - ",'Cable Info'!O354))</f>
        <v>353 - AW</v>
      </c>
      <c r="AR354" s="121" t="str">
        <f t="shared" si="96"/>
        <v>353 - AW</v>
      </c>
      <c r="AT354" s="121" t="str">
        <f>IF('Cable Info'!P354="","",CONCATENATE('Cable Info'!P354," - ",'Cable Info'!Q354))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Info'!R354="","",CONCATENATE('Cable Info'!R354," - ",'Cable Info'!S354))</f>
        <v/>
      </c>
      <c r="BB354" s="121" t="str">
        <f t="shared" si="98"/>
        <v/>
      </c>
      <c r="BD354" s="121" t="str">
        <f>IF('Cable Info'!T354="","",CONCATENATE('Cable Info'!T354," - ",'Cable Info'!U354))</f>
        <v/>
      </c>
      <c r="BG354" s="121" t="str">
        <f t="shared" si="99"/>
        <v/>
      </c>
      <c r="BI354" s="121" t="str">
        <f>IF('Cable Info'!V354="","",CONCATENATE('Cable Info'!V354," - ",'Cable Info'!W354))</f>
        <v/>
      </c>
      <c r="BL354" s="121" t="str">
        <f t="shared" si="100"/>
        <v/>
      </c>
      <c r="CL354" s="250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59"/>
      <c r="F355" s="105" t="s">
        <v>45</v>
      </c>
      <c r="G355" s="262"/>
      <c r="H355" s="115" t="str">
        <f t="shared" si="89"/>
        <v/>
      </c>
      <c r="I355" s="264"/>
      <c r="J355" s="105" t="s">
        <v>45</v>
      </c>
      <c r="K355" s="267"/>
      <c r="L355" s="246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1" t="str">
        <f t="shared" si="91"/>
        <v/>
      </c>
      <c r="Z355" s="252" t="str">
        <f t="shared" si="92"/>
        <v/>
      </c>
      <c r="AA355" s="252" t="str">
        <f t="shared" si="93"/>
        <v/>
      </c>
      <c r="AB355" s="252" t="str">
        <f t="shared" si="94"/>
        <v/>
      </c>
      <c r="AJ355" s="121" t="str">
        <f>IF('Cable Info'!L355="","",CONCATENATE('Cable Info'!L355," - ",'Cable Info'!M355))</f>
        <v>354 - AW</v>
      </c>
      <c r="AM355" s="121" t="str">
        <f t="shared" si="95"/>
        <v>354 - AW</v>
      </c>
      <c r="AO355" s="121" t="str">
        <f>IF('Cable Info'!N355="","",CONCATENATE('Cable Info'!N355," - ",'Cable Info'!O355))</f>
        <v>354 - AW</v>
      </c>
      <c r="AR355" s="121" t="str">
        <f t="shared" si="96"/>
        <v>354 - AW</v>
      </c>
      <c r="AT355" s="121" t="str">
        <f>IF('Cable Info'!P355="","",CONCATENATE('Cable Info'!P355," - ",'Cable Info'!Q355))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Info'!R355="","",CONCATENATE('Cable Info'!R355," - ",'Cable Info'!S355))</f>
        <v/>
      </c>
      <c r="BB355" s="121" t="str">
        <f t="shared" si="98"/>
        <v/>
      </c>
      <c r="BD355" s="121" t="str">
        <f>IF('Cable Info'!T355="","",CONCATENATE('Cable Info'!T355," - ",'Cable Info'!U355))</f>
        <v/>
      </c>
      <c r="BG355" s="121" t="str">
        <f t="shared" si="99"/>
        <v/>
      </c>
      <c r="BI355" s="121" t="str">
        <f>IF('Cable Info'!V355="","",CONCATENATE('Cable Info'!V355," - ",'Cable Info'!W355))</f>
        <v/>
      </c>
      <c r="BL355" s="121" t="str">
        <f t="shared" si="100"/>
        <v/>
      </c>
      <c r="CL355" s="250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59"/>
      <c r="F356" s="105" t="s">
        <v>45</v>
      </c>
      <c r="G356" s="262"/>
      <c r="H356" s="115" t="str">
        <f t="shared" si="89"/>
        <v/>
      </c>
      <c r="I356" s="264"/>
      <c r="J356" s="105" t="s">
        <v>45</v>
      </c>
      <c r="K356" s="267"/>
      <c r="L356" s="246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1" t="str">
        <f t="shared" si="91"/>
        <v/>
      </c>
      <c r="Z356" s="252" t="str">
        <f t="shared" si="92"/>
        <v/>
      </c>
      <c r="AA356" s="252" t="str">
        <f t="shared" si="93"/>
        <v/>
      </c>
      <c r="AB356" s="252" t="str">
        <f t="shared" si="94"/>
        <v/>
      </c>
      <c r="AJ356" s="121" t="str">
        <f>IF('Cable Info'!L356="","",CONCATENATE('Cable Info'!L356," - ",'Cable Info'!M356))</f>
        <v>355 - AW</v>
      </c>
      <c r="AM356" s="121" t="str">
        <f t="shared" si="95"/>
        <v>355 - AW</v>
      </c>
      <c r="AO356" s="121" t="str">
        <f>IF('Cable Info'!N356="","",CONCATENATE('Cable Info'!N356," - ",'Cable Info'!O356))</f>
        <v>355 - AW</v>
      </c>
      <c r="AR356" s="121" t="str">
        <f t="shared" si="96"/>
        <v>355 - AW</v>
      </c>
      <c r="AT356" s="121" t="str">
        <f>IF('Cable Info'!P356="","",CONCATENATE('Cable Info'!P356," - ",'Cable Info'!Q356))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Info'!R356="","",CONCATENATE('Cable Info'!R356," - ",'Cable Info'!S356))</f>
        <v/>
      </c>
      <c r="BB356" s="121" t="str">
        <f t="shared" si="98"/>
        <v/>
      </c>
      <c r="BD356" s="121" t="str">
        <f>IF('Cable Info'!T356="","",CONCATENATE('Cable Info'!T356," - ",'Cable Info'!U356))</f>
        <v/>
      </c>
      <c r="BG356" s="121" t="str">
        <f t="shared" si="99"/>
        <v/>
      </c>
      <c r="BI356" s="121" t="str">
        <f>IF('Cable Info'!V356="","",CONCATENATE('Cable Info'!V356," - ",'Cable Info'!W356))</f>
        <v/>
      </c>
      <c r="BL356" s="121" t="str">
        <f t="shared" si="100"/>
        <v/>
      </c>
      <c r="CL356" s="250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59"/>
      <c r="F357" s="105" t="s">
        <v>45</v>
      </c>
      <c r="G357" s="262"/>
      <c r="H357" s="115" t="str">
        <f t="shared" si="89"/>
        <v/>
      </c>
      <c r="I357" s="264"/>
      <c r="J357" s="105" t="s">
        <v>45</v>
      </c>
      <c r="K357" s="267"/>
      <c r="L357" s="246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1" t="str">
        <f t="shared" si="91"/>
        <v/>
      </c>
      <c r="Z357" s="252" t="str">
        <f t="shared" si="92"/>
        <v/>
      </c>
      <c r="AA357" s="252" t="str">
        <f t="shared" si="93"/>
        <v/>
      </c>
      <c r="AB357" s="252" t="str">
        <f t="shared" si="94"/>
        <v/>
      </c>
      <c r="AJ357" s="121" t="str">
        <f>IF('Cable Info'!L357="","",CONCATENATE('Cable Info'!L357," - ",'Cable Info'!M357))</f>
        <v>356 - AW</v>
      </c>
      <c r="AM357" s="121" t="str">
        <f t="shared" si="95"/>
        <v>356 - AW</v>
      </c>
      <c r="AO357" s="121" t="str">
        <f>IF('Cable Info'!N357="","",CONCATENATE('Cable Info'!N357," - ",'Cable Info'!O357))</f>
        <v>356 - AW</v>
      </c>
      <c r="AR357" s="121" t="str">
        <f t="shared" si="96"/>
        <v>356 - AW</v>
      </c>
      <c r="AT357" s="121" t="str">
        <f>IF('Cable Info'!P357="","",CONCATENATE('Cable Info'!P357," - ",'Cable Info'!Q357))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Info'!R357="","",CONCATENATE('Cable Info'!R357," - ",'Cable Info'!S357))</f>
        <v/>
      </c>
      <c r="BB357" s="121" t="str">
        <f t="shared" si="98"/>
        <v/>
      </c>
      <c r="BD357" s="121" t="str">
        <f>IF('Cable Info'!T357="","",CONCATENATE('Cable Info'!T357," - ",'Cable Info'!U357))</f>
        <v/>
      </c>
      <c r="BG357" s="121" t="str">
        <f t="shared" si="99"/>
        <v/>
      </c>
      <c r="BI357" s="121" t="str">
        <f>IF('Cable Info'!V357="","",CONCATENATE('Cable Info'!V357," - ",'Cable Info'!W357))</f>
        <v/>
      </c>
      <c r="BL357" s="121" t="str">
        <f t="shared" si="100"/>
        <v/>
      </c>
      <c r="CL357" s="250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59"/>
      <c r="F358" s="105" t="s">
        <v>45</v>
      </c>
      <c r="G358" s="262"/>
      <c r="H358" s="115" t="str">
        <f t="shared" si="89"/>
        <v/>
      </c>
      <c r="I358" s="264"/>
      <c r="J358" s="105" t="s">
        <v>45</v>
      </c>
      <c r="K358" s="267"/>
      <c r="L358" s="246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1" t="str">
        <f t="shared" si="91"/>
        <v/>
      </c>
      <c r="Z358" s="252" t="str">
        <f t="shared" si="92"/>
        <v/>
      </c>
      <c r="AA358" s="252" t="str">
        <f t="shared" si="93"/>
        <v/>
      </c>
      <c r="AB358" s="252" t="str">
        <f t="shared" si="94"/>
        <v/>
      </c>
      <c r="AJ358" s="121" t="str">
        <f>IF('Cable Info'!L358="","",CONCATENATE('Cable Info'!L358," - ",'Cable Info'!M358))</f>
        <v>357 - AW</v>
      </c>
      <c r="AM358" s="121" t="str">
        <f t="shared" si="95"/>
        <v>357 - AW</v>
      </c>
      <c r="AO358" s="121" t="str">
        <f>IF('Cable Info'!N358="","",CONCATENATE('Cable Info'!N358," - ",'Cable Info'!O358))</f>
        <v>357 - AW</v>
      </c>
      <c r="AR358" s="121" t="str">
        <f t="shared" si="96"/>
        <v>357 - AW</v>
      </c>
      <c r="AT358" s="121" t="str">
        <f>IF('Cable Info'!P358="","",CONCATENATE('Cable Info'!P358," - ",'Cable Info'!Q358))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Info'!R358="","",CONCATENATE('Cable Info'!R358," - ",'Cable Info'!S358))</f>
        <v/>
      </c>
      <c r="BB358" s="121" t="str">
        <f t="shared" si="98"/>
        <v/>
      </c>
      <c r="BD358" s="121" t="str">
        <f>IF('Cable Info'!T358="","",CONCATENATE('Cable Info'!T358," - ",'Cable Info'!U358))</f>
        <v/>
      </c>
      <c r="BG358" s="121" t="str">
        <f t="shared" si="99"/>
        <v/>
      </c>
      <c r="BI358" s="121" t="str">
        <f>IF('Cable Info'!V358="","",CONCATENATE('Cable Info'!V358," - ",'Cable Info'!W358))</f>
        <v/>
      </c>
      <c r="BL358" s="121" t="str">
        <f t="shared" si="100"/>
        <v/>
      </c>
      <c r="CL358" s="250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59"/>
      <c r="F359" s="105" t="s">
        <v>45</v>
      </c>
      <c r="G359" s="262"/>
      <c r="H359" s="115" t="str">
        <f t="shared" si="89"/>
        <v/>
      </c>
      <c r="I359" s="264"/>
      <c r="J359" s="105" t="s">
        <v>45</v>
      </c>
      <c r="K359" s="267"/>
      <c r="L359" s="246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1" t="str">
        <f t="shared" si="91"/>
        <v/>
      </c>
      <c r="Z359" s="252" t="str">
        <f t="shared" si="92"/>
        <v/>
      </c>
      <c r="AA359" s="252" t="str">
        <f t="shared" si="93"/>
        <v/>
      </c>
      <c r="AB359" s="252" t="str">
        <f t="shared" si="94"/>
        <v/>
      </c>
      <c r="AJ359" s="121" t="str">
        <f>IF('Cable Info'!L359="","",CONCATENATE('Cable Info'!L359," - ",'Cable Info'!M359))</f>
        <v>358 - AW</v>
      </c>
      <c r="AM359" s="121" t="str">
        <f t="shared" si="95"/>
        <v>358 - AW</v>
      </c>
      <c r="AO359" s="121" t="str">
        <f>IF('Cable Info'!N359="","",CONCATENATE('Cable Info'!N359," - ",'Cable Info'!O359))</f>
        <v>358 - AW</v>
      </c>
      <c r="AR359" s="121" t="str">
        <f t="shared" si="96"/>
        <v>358 - AW</v>
      </c>
      <c r="AT359" s="121" t="str">
        <f>IF('Cable Info'!P359="","",CONCATENATE('Cable Info'!P359," - ",'Cable Info'!Q359))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Info'!R359="","",CONCATENATE('Cable Info'!R359," - ",'Cable Info'!S359))</f>
        <v/>
      </c>
      <c r="BB359" s="121" t="str">
        <f t="shared" si="98"/>
        <v/>
      </c>
      <c r="BD359" s="121" t="str">
        <f>IF('Cable Info'!T359="","",CONCATENATE('Cable Info'!T359," - ",'Cable Info'!U359))</f>
        <v/>
      </c>
      <c r="BG359" s="121" t="str">
        <f t="shared" si="99"/>
        <v/>
      </c>
      <c r="BI359" s="121" t="str">
        <f>IF('Cable Info'!V359="","",CONCATENATE('Cable Info'!V359," - ",'Cable Info'!W359))</f>
        <v/>
      </c>
      <c r="BL359" s="121" t="str">
        <f t="shared" si="100"/>
        <v/>
      </c>
      <c r="CL359" s="250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59"/>
      <c r="F360" s="105" t="s">
        <v>45</v>
      </c>
      <c r="G360" s="262"/>
      <c r="H360" s="115" t="str">
        <f t="shared" si="89"/>
        <v/>
      </c>
      <c r="I360" s="264"/>
      <c r="J360" s="105" t="s">
        <v>45</v>
      </c>
      <c r="K360" s="267"/>
      <c r="L360" s="246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1" t="str">
        <f t="shared" si="91"/>
        <v/>
      </c>
      <c r="Z360" s="252" t="str">
        <f t="shared" si="92"/>
        <v/>
      </c>
      <c r="AA360" s="252" t="str">
        <f t="shared" si="93"/>
        <v/>
      </c>
      <c r="AB360" s="252" t="str">
        <f t="shared" si="94"/>
        <v/>
      </c>
      <c r="AJ360" s="121" t="str">
        <f>IF('Cable Info'!L360="","",CONCATENATE('Cable Info'!L360," - ",'Cable Info'!M360))</f>
        <v>359 - AW</v>
      </c>
      <c r="AM360" s="121" t="str">
        <f t="shared" si="95"/>
        <v>359 - AW</v>
      </c>
      <c r="AO360" s="121" t="str">
        <f>IF('Cable Info'!N360="","",CONCATENATE('Cable Info'!N360," - ",'Cable Info'!O360))</f>
        <v>359 - AW</v>
      </c>
      <c r="AR360" s="121" t="str">
        <f t="shared" si="96"/>
        <v>359 - AW</v>
      </c>
      <c r="AT360" s="121" t="str">
        <f>IF('Cable Info'!P360="","",CONCATENATE('Cable Info'!P360," - ",'Cable Info'!Q360))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Info'!R360="","",CONCATENATE('Cable Info'!R360," - ",'Cable Info'!S360))</f>
        <v/>
      </c>
      <c r="BB360" s="121" t="str">
        <f t="shared" si="98"/>
        <v/>
      </c>
      <c r="BD360" s="121" t="str">
        <f>IF('Cable Info'!T360="","",CONCATENATE('Cable Info'!T360," - ",'Cable Info'!U360))</f>
        <v/>
      </c>
      <c r="BG360" s="121" t="str">
        <f t="shared" si="99"/>
        <v/>
      </c>
      <c r="BI360" s="121" t="str">
        <f>IF('Cable Info'!V360="","",CONCATENATE('Cable Info'!V360," - ",'Cable Info'!W360))</f>
        <v/>
      </c>
      <c r="BL360" s="121" t="str">
        <f t="shared" si="100"/>
        <v/>
      </c>
      <c r="CL360" s="250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59"/>
      <c r="F361" s="105" t="s">
        <v>45</v>
      </c>
      <c r="G361" s="262"/>
      <c r="H361" s="115" t="str">
        <f t="shared" si="89"/>
        <v/>
      </c>
      <c r="I361" s="264"/>
      <c r="J361" s="105" t="s">
        <v>45</v>
      </c>
      <c r="K361" s="267"/>
      <c r="L361" s="246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1" t="str">
        <f t="shared" si="91"/>
        <v/>
      </c>
      <c r="Z361" s="252" t="str">
        <f t="shared" si="92"/>
        <v/>
      </c>
      <c r="AA361" s="252" t="str">
        <f t="shared" si="93"/>
        <v/>
      </c>
      <c r="AB361" s="252" t="str">
        <f t="shared" si="94"/>
        <v/>
      </c>
      <c r="AJ361" s="121" t="str">
        <f>IF('Cable Info'!L361="","",CONCATENATE('Cable Info'!L361," - ",'Cable Info'!M361))</f>
        <v>360 - AW</v>
      </c>
      <c r="AM361" s="121" t="str">
        <f t="shared" si="95"/>
        <v>360 - AW</v>
      </c>
      <c r="AO361" s="121" t="str">
        <f>IF('Cable Info'!N361="","",CONCATENATE('Cable Info'!N361," - ",'Cable Info'!O361))</f>
        <v>360 - AW</v>
      </c>
      <c r="AR361" s="121" t="str">
        <f t="shared" si="96"/>
        <v>360 - AW</v>
      </c>
      <c r="AT361" s="121" t="str">
        <f>IF('Cable Info'!P361="","",CONCATENATE('Cable Info'!P361," - ",'Cable Info'!Q361))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Info'!R361="","",CONCATENATE('Cable Info'!R361," - ",'Cable Info'!S361))</f>
        <v/>
      </c>
      <c r="BB361" s="121" t="str">
        <f t="shared" si="98"/>
        <v/>
      </c>
      <c r="BD361" s="121" t="str">
        <f>IF('Cable Info'!T361="","",CONCATENATE('Cable Info'!T361," - ",'Cable Info'!U361))</f>
        <v/>
      </c>
      <c r="BG361" s="121" t="str">
        <f t="shared" si="99"/>
        <v/>
      </c>
      <c r="BI361" s="121" t="str">
        <f>IF('Cable Info'!V361="","",CONCATENATE('Cable Info'!V361," - ",'Cable Info'!W361))</f>
        <v/>
      </c>
      <c r="BL361" s="121" t="str">
        <f t="shared" si="100"/>
        <v/>
      </c>
      <c r="CL361" s="250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59"/>
      <c r="F362" s="105" t="s">
        <v>45</v>
      </c>
      <c r="G362" s="262"/>
      <c r="H362" s="115" t="str">
        <f t="shared" si="89"/>
        <v/>
      </c>
      <c r="I362" s="264"/>
      <c r="J362" s="105" t="s">
        <v>45</v>
      </c>
      <c r="K362" s="267"/>
      <c r="L362" s="246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1" t="str">
        <f t="shared" si="91"/>
        <v/>
      </c>
      <c r="Z362" s="252" t="str">
        <f t="shared" si="92"/>
        <v/>
      </c>
      <c r="AA362" s="252" t="str">
        <f t="shared" si="93"/>
        <v/>
      </c>
      <c r="AB362" s="252" t="str">
        <f t="shared" si="94"/>
        <v/>
      </c>
      <c r="AJ362" s="121" t="str">
        <f>IF('Cable Info'!L362="","",CONCATENATE('Cable Info'!L362," - ",'Cable Info'!M362))</f>
        <v>361 - AW</v>
      </c>
      <c r="AM362" s="121" t="str">
        <f t="shared" si="95"/>
        <v>361 - AW</v>
      </c>
      <c r="AO362" s="121" t="str">
        <f>IF('Cable Info'!N362="","",CONCATENATE('Cable Info'!N362," - ",'Cable Info'!O362))</f>
        <v>361 - AW</v>
      </c>
      <c r="AR362" s="121" t="str">
        <f t="shared" si="96"/>
        <v>361 - AW</v>
      </c>
      <c r="AT362" s="121" t="str">
        <f>IF('Cable Info'!P362="","",CONCATENATE('Cable Info'!P362," - ",'Cable Info'!Q362))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Info'!R362="","",CONCATENATE('Cable Info'!R362," - ",'Cable Info'!S362))</f>
        <v/>
      </c>
      <c r="BB362" s="121" t="str">
        <f t="shared" si="98"/>
        <v/>
      </c>
      <c r="BD362" s="121" t="str">
        <f>IF('Cable Info'!T362="","",CONCATENATE('Cable Info'!T362," - ",'Cable Info'!U362))</f>
        <v/>
      </c>
      <c r="BG362" s="121" t="str">
        <f t="shared" si="99"/>
        <v/>
      </c>
      <c r="BI362" s="121" t="str">
        <f>IF('Cable Info'!V362="","",CONCATENATE('Cable Info'!V362," - ",'Cable Info'!W362))</f>
        <v/>
      </c>
      <c r="BL362" s="121" t="str">
        <f t="shared" si="100"/>
        <v/>
      </c>
      <c r="CL362" s="250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59"/>
      <c r="F363" s="105" t="s">
        <v>45</v>
      </c>
      <c r="G363" s="262"/>
      <c r="H363" s="115" t="str">
        <f t="shared" si="89"/>
        <v/>
      </c>
      <c r="I363" s="264"/>
      <c r="J363" s="105" t="s">
        <v>45</v>
      </c>
      <c r="K363" s="267"/>
      <c r="L363" s="246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1" t="str">
        <f t="shared" si="91"/>
        <v/>
      </c>
      <c r="Z363" s="252" t="str">
        <f t="shared" si="92"/>
        <v/>
      </c>
      <c r="AA363" s="252" t="str">
        <f t="shared" si="93"/>
        <v/>
      </c>
      <c r="AB363" s="252" t="str">
        <f t="shared" si="94"/>
        <v/>
      </c>
      <c r="AJ363" s="121" t="str">
        <f>IF('Cable Info'!L363="","",CONCATENATE('Cable Info'!L363," - ",'Cable Info'!M363))</f>
        <v>362 - AW</v>
      </c>
      <c r="AM363" s="121" t="str">
        <f t="shared" si="95"/>
        <v>362 - AW</v>
      </c>
      <c r="AO363" s="121" t="str">
        <f>IF('Cable Info'!N363="","",CONCATENATE('Cable Info'!N363," - ",'Cable Info'!O363))</f>
        <v>362 - AW</v>
      </c>
      <c r="AR363" s="121" t="str">
        <f t="shared" si="96"/>
        <v>362 - AW</v>
      </c>
      <c r="AT363" s="121" t="str">
        <f>IF('Cable Info'!P363="","",CONCATENATE('Cable Info'!P363," - ",'Cable Info'!Q363))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Info'!R363="","",CONCATENATE('Cable Info'!R363," - ",'Cable Info'!S363))</f>
        <v/>
      </c>
      <c r="BB363" s="121" t="str">
        <f t="shared" si="98"/>
        <v/>
      </c>
      <c r="BD363" s="121" t="str">
        <f>IF('Cable Info'!T363="","",CONCATENATE('Cable Info'!T363," - ",'Cable Info'!U363))</f>
        <v/>
      </c>
      <c r="BG363" s="121" t="str">
        <f t="shared" si="99"/>
        <v/>
      </c>
      <c r="BI363" s="121" t="str">
        <f>IF('Cable Info'!V363="","",CONCATENATE('Cable Info'!V363," - ",'Cable Info'!W363))</f>
        <v/>
      </c>
      <c r="BL363" s="121" t="str">
        <f t="shared" si="100"/>
        <v/>
      </c>
      <c r="CL363" s="250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59"/>
      <c r="F364" s="105" t="s">
        <v>45</v>
      </c>
      <c r="G364" s="262"/>
      <c r="H364" s="115" t="str">
        <f t="shared" si="89"/>
        <v/>
      </c>
      <c r="I364" s="264"/>
      <c r="J364" s="105" t="s">
        <v>45</v>
      </c>
      <c r="K364" s="267"/>
      <c r="L364" s="246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1" t="str">
        <f t="shared" si="91"/>
        <v/>
      </c>
      <c r="Z364" s="252" t="str">
        <f t="shared" si="92"/>
        <v/>
      </c>
      <c r="AA364" s="252" t="str">
        <f t="shared" si="93"/>
        <v/>
      </c>
      <c r="AB364" s="252" t="str">
        <f t="shared" si="94"/>
        <v/>
      </c>
      <c r="AJ364" s="121" t="str">
        <f>IF('Cable Info'!L364="","",CONCATENATE('Cable Info'!L364," - ",'Cable Info'!M364))</f>
        <v>363 - AW</v>
      </c>
      <c r="AM364" s="121" t="str">
        <f t="shared" si="95"/>
        <v>363 - AW</v>
      </c>
      <c r="AO364" s="121" t="str">
        <f>IF('Cable Info'!N364="","",CONCATENATE('Cable Info'!N364," - ",'Cable Info'!O364))</f>
        <v>363 - AW</v>
      </c>
      <c r="AR364" s="121" t="str">
        <f t="shared" si="96"/>
        <v>363 - AW</v>
      </c>
      <c r="AT364" s="121" t="str">
        <f>IF('Cable Info'!P364="","",CONCATENATE('Cable Info'!P364," - ",'Cable Info'!Q364))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Info'!R364="","",CONCATENATE('Cable Info'!R364," - ",'Cable Info'!S364))</f>
        <v/>
      </c>
      <c r="BB364" s="121" t="str">
        <f t="shared" si="98"/>
        <v/>
      </c>
      <c r="BD364" s="121" t="str">
        <f>IF('Cable Info'!T364="","",CONCATENATE('Cable Info'!T364," - ",'Cable Info'!U364))</f>
        <v/>
      </c>
      <c r="BG364" s="121" t="str">
        <f t="shared" si="99"/>
        <v/>
      </c>
      <c r="BI364" s="121" t="str">
        <f>IF('Cable Info'!V364="","",CONCATENATE('Cable Info'!V364," - ",'Cable Info'!W364))</f>
        <v/>
      </c>
      <c r="BL364" s="121" t="str">
        <f t="shared" si="100"/>
        <v/>
      </c>
      <c r="CL364" s="250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59"/>
      <c r="F365" s="105" t="s">
        <v>45</v>
      </c>
      <c r="G365" s="262"/>
      <c r="H365" s="115" t="str">
        <f t="shared" si="89"/>
        <v/>
      </c>
      <c r="I365" s="264"/>
      <c r="J365" s="105" t="s">
        <v>45</v>
      </c>
      <c r="K365" s="267"/>
      <c r="L365" s="246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1" t="str">
        <f t="shared" si="91"/>
        <v/>
      </c>
      <c r="Z365" s="252" t="str">
        <f t="shared" si="92"/>
        <v/>
      </c>
      <c r="AA365" s="252" t="str">
        <f t="shared" si="93"/>
        <v/>
      </c>
      <c r="AB365" s="252" t="str">
        <f t="shared" si="94"/>
        <v/>
      </c>
      <c r="AJ365" s="121" t="str">
        <f>IF('Cable Info'!L365="","",CONCATENATE('Cable Info'!L365," - ",'Cable Info'!M365))</f>
        <v>364 - AW</v>
      </c>
      <c r="AM365" s="121" t="str">
        <f t="shared" si="95"/>
        <v>364 - AW</v>
      </c>
      <c r="AO365" s="121" t="str">
        <f>IF('Cable Info'!N365="","",CONCATENATE('Cable Info'!N365," - ",'Cable Info'!O365))</f>
        <v>364 - AW</v>
      </c>
      <c r="AR365" s="121" t="str">
        <f t="shared" si="96"/>
        <v>364 - AW</v>
      </c>
      <c r="AT365" s="121" t="str">
        <f>IF('Cable Info'!P365="","",CONCATENATE('Cable Info'!P365," - ",'Cable Info'!Q365))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Info'!R365="","",CONCATENATE('Cable Info'!R365," - ",'Cable Info'!S365))</f>
        <v/>
      </c>
      <c r="BB365" s="121" t="str">
        <f t="shared" si="98"/>
        <v/>
      </c>
      <c r="BD365" s="121" t="str">
        <f>IF('Cable Info'!T365="","",CONCATENATE('Cable Info'!T365," - ",'Cable Info'!U365))</f>
        <v/>
      </c>
      <c r="BG365" s="121" t="str">
        <f t="shared" si="99"/>
        <v/>
      </c>
      <c r="BI365" s="121" t="str">
        <f>IF('Cable Info'!V365="","",CONCATENATE('Cable Info'!V365," - ",'Cable Info'!W365))</f>
        <v/>
      </c>
      <c r="BL365" s="121" t="str">
        <f t="shared" si="100"/>
        <v/>
      </c>
      <c r="CL365" s="250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59"/>
      <c r="F366" s="105" t="s">
        <v>45</v>
      </c>
      <c r="G366" s="262"/>
      <c r="H366" s="115" t="str">
        <f t="shared" si="89"/>
        <v/>
      </c>
      <c r="I366" s="264"/>
      <c r="J366" s="105" t="s">
        <v>45</v>
      </c>
      <c r="K366" s="267"/>
      <c r="L366" s="246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1" t="str">
        <f t="shared" si="91"/>
        <v/>
      </c>
      <c r="Z366" s="252" t="str">
        <f t="shared" si="92"/>
        <v/>
      </c>
      <c r="AA366" s="252" t="str">
        <f t="shared" si="93"/>
        <v/>
      </c>
      <c r="AB366" s="252" t="str">
        <f t="shared" si="94"/>
        <v/>
      </c>
      <c r="AJ366" s="121" t="str">
        <f>IF('Cable Info'!L366="","",CONCATENATE('Cable Info'!L366," - ",'Cable Info'!M366))</f>
        <v>365 - AW</v>
      </c>
      <c r="AM366" s="121" t="str">
        <f t="shared" si="95"/>
        <v>365 - AW</v>
      </c>
      <c r="AO366" s="121" t="str">
        <f>IF('Cable Info'!N366="","",CONCATENATE('Cable Info'!N366," - ",'Cable Info'!O366))</f>
        <v>365 - AW</v>
      </c>
      <c r="AR366" s="121" t="str">
        <f t="shared" si="96"/>
        <v>365 - AW</v>
      </c>
      <c r="AT366" s="121" t="str">
        <f>IF('Cable Info'!P366="","",CONCATENATE('Cable Info'!P366," - ",'Cable Info'!Q366))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Info'!R366="","",CONCATENATE('Cable Info'!R366," - ",'Cable Info'!S366))</f>
        <v/>
      </c>
      <c r="BB366" s="121" t="str">
        <f t="shared" si="98"/>
        <v/>
      </c>
      <c r="BD366" s="121" t="str">
        <f>IF('Cable Info'!T366="","",CONCATENATE('Cable Info'!T366," - ",'Cable Info'!U366))</f>
        <v/>
      </c>
      <c r="BG366" s="121" t="str">
        <f t="shared" si="99"/>
        <v/>
      </c>
      <c r="BI366" s="121" t="str">
        <f>IF('Cable Info'!V366="","",CONCATENATE('Cable Info'!V366," - ",'Cable Info'!W366))</f>
        <v/>
      </c>
      <c r="BL366" s="121" t="str">
        <f t="shared" si="100"/>
        <v/>
      </c>
      <c r="CL366" s="250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59"/>
      <c r="F367" s="105" t="s">
        <v>45</v>
      </c>
      <c r="G367" s="262"/>
      <c r="H367" s="115" t="str">
        <f t="shared" si="89"/>
        <v/>
      </c>
      <c r="I367" s="264"/>
      <c r="J367" s="105" t="s">
        <v>45</v>
      </c>
      <c r="K367" s="267"/>
      <c r="L367" s="246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1" t="str">
        <f t="shared" si="91"/>
        <v/>
      </c>
      <c r="Z367" s="252" t="str">
        <f t="shared" si="92"/>
        <v/>
      </c>
      <c r="AA367" s="252" t="str">
        <f t="shared" si="93"/>
        <v/>
      </c>
      <c r="AB367" s="252" t="str">
        <f t="shared" si="94"/>
        <v/>
      </c>
      <c r="AJ367" s="121" t="str">
        <f>IF('Cable Info'!L367="","",CONCATENATE('Cable Info'!L367," - ",'Cable Info'!M367))</f>
        <v>366 - AW</v>
      </c>
      <c r="AM367" s="121" t="str">
        <f t="shared" si="95"/>
        <v>366 - AW</v>
      </c>
      <c r="AO367" s="121" t="str">
        <f>IF('Cable Info'!N367="","",CONCATENATE('Cable Info'!N367," - ",'Cable Info'!O367))</f>
        <v>366 - AW</v>
      </c>
      <c r="AR367" s="121" t="str">
        <f t="shared" si="96"/>
        <v>366 - AW</v>
      </c>
      <c r="AT367" s="121" t="str">
        <f>IF('Cable Info'!P367="","",CONCATENATE('Cable Info'!P367," - ",'Cable Info'!Q367))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Info'!R367="","",CONCATENATE('Cable Info'!R367," - ",'Cable Info'!S367))</f>
        <v/>
      </c>
      <c r="BB367" s="121" t="str">
        <f t="shared" si="98"/>
        <v/>
      </c>
      <c r="BD367" s="121" t="str">
        <f>IF('Cable Info'!T367="","",CONCATENATE('Cable Info'!T367," - ",'Cable Info'!U367))</f>
        <v/>
      </c>
      <c r="BG367" s="121" t="str">
        <f t="shared" si="99"/>
        <v/>
      </c>
      <c r="BI367" s="121" t="str">
        <f>IF('Cable Info'!V367="","",CONCATENATE('Cable Info'!V367," - ",'Cable Info'!W367))</f>
        <v/>
      </c>
      <c r="BL367" s="121" t="str">
        <f t="shared" si="100"/>
        <v/>
      </c>
      <c r="CL367" s="250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59"/>
      <c r="F368" s="105" t="s">
        <v>45</v>
      </c>
      <c r="G368" s="262"/>
      <c r="H368" s="115" t="str">
        <f t="shared" ref="H368:H378" si="101">IF(G368="","",((E368-G368)-1)*(-1))</f>
        <v/>
      </c>
      <c r="I368" s="264"/>
      <c r="J368" s="105" t="s">
        <v>45</v>
      </c>
      <c r="K368" s="267"/>
      <c r="L368" s="246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ref="X368:X378" si="102">IF(V368="","",IF(R368="","",IF(S368="","",IF(R368="SPLICED",(IF(S368="SPLICE",0,9)),IF(V368=$U$3,(IF(S368="BREAK",12,11)),IF(S368="BREAK",2,1))))))</f>
        <v/>
      </c>
      <c r="Y368" s="251" t="str">
        <f t="shared" ref="Y368:Y378" si="103">IF(E368="","",IF(G368="","",IF(E368&gt;G368,1,"")))</f>
        <v/>
      </c>
      <c r="Z368" s="252" t="str">
        <f t="shared" ref="Z368:Z378" si="104">IF(I368="","",IF(K368="","",IF(I368&gt;K368,1,"")))</f>
        <v/>
      </c>
      <c r="AA368" s="252" t="str">
        <f t="shared" ref="AA368:AA378" si="105">IF(K368="","",((I368-K368)-1)*(-1))</f>
        <v/>
      </c>
      <c r="AB368" s="252" t="str">
        <f t="shared" ref="AB368:AB378" si="106">IF(E368="","",IF(G368="","",IF(I368="","",IF(K368="","",IF(AA368&lt;&gt;H368,1,"")))))</f>
        <v/>
      </c>
      <c r="AJ368" s="121" t="str">
        <f>IF('Cable Info'!L186="","",CONCATENATE('Cable Info'!L186," - ",'Cable Info'!M186))</f>
        <v>185 - AW</v>
      </c>
      <c r="AM368" s="121" t="str">
        <f t="shared" ref="AM368:AM378" si="107">IF(AK368="",AJ368,CONCATENATE(AJ368,"  &lt;=&gt; ",AK368," ",AL368))</f>
        <v>185 - AW</v>
      </c>
      <c r="AO368" s="121" t="str">
        <f>IF('Cable Info'!N186="","",CONCATENATE('Cable Info'!N186," - ",'Cable Info'!O186))</f>
        <v>185 - AW</v>
      </c>
      <c r="AR368" s="121" t="str">
        <f t="shared" ref="AR368:AR378" si="108">IF(AP368="",AO368,CONCATENATE(AO368,"  &lt;=&gt; ",AP368," ",AQ368))</f>
        <v>185 - AW</v>
      </c>
      <c r="AT368" s="121" t="str">
        <f>IF('Cable Info'!P186="","",CONCATENATE('Cable Info'!P186," - ",'Cable Info'!Q186))</f>
        <v/>
      </c>
      <c r="AU368" s="121" t="s">
        <v>51</v>
      </c>
      <c r="AW368" s="121" t="str">
        <f t="shared" ref="AW368:AW378" si="109">IF(AU368="",AT368,CONCATENATE(AT368,"  &lt;=&gt; ",AU368," ",AV368))</f>
        <v xml:space="preserve">  &lt;=&gt; CABLEC </v>
      </c>
      <c r="AY368" s="121" t="str">
        <f>IF('Cable Info'!R186="","",CONCATENATE('Cable Info'!R186," - ",'Cable Info'!S186))</f>
        <v/>
      </c>
      <c r="BB368" s="121" t="str">
        <f t="shared" ref="BB368:BB378" si="110">IF(AZ368="",AY368,CONCATENATE(AY368,"  &lt;=&gt; ",AZ368," ",BA368))</f>
        <v/>
      </c>
      <c r="BD368" s="121" t="str">
        <f>IF('Cable Info'!T186="","",CONCATENATE('Cable Info'!T186," - ",'Cable Info'!U186))</f>
        <v/>
      </c>
      <c r="BG368" s="121" t="str">
        <f t="shared" ref="BG368:BG378" si="111">IF(BE368="",BD368,CONCATENATE(BD368,"  &lt;=&gt; ",BE368," ",BF368))</f>
        <v/>
      </c>
      <c r="BI368" s="121" t="str">
        <f>IF('Cable Info'!V186="","",CONCATENATE('Cable Info'!V186," - ",'Cable Info'!W186))</f>
        <v/>
      </c>
      <c r="BL368" s="121" t="str">
        <f t="shared" ref="BL368:BL378" si="112">IF(BJ368="",BI368,CONCATENATE(BI368,"  &lt;=&gt; ",BJ368," ",BK368))</f>
        <v/>
      </c>
      <c r="CL368" s="250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59"/>
      <c r="F369" s="105" t="s">
        <v>45</v>
      </c>
      <c r="G369" s="262"/>
      <c r="H369" s="115" t="str">
        <f t="shared" si="101"/>
        <v/>
      </c>
      <c r="I369" s="264"/>
      <c r="J369" s="105" t="s">
        <v>45</v>
      </c>
      <c r="K369" s="267"/>
      <c r="L369" s="246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si="102"/>
        <v/>
      </c>
      <c r="Y369" s="251" t="str">
        <f t="shared" si="103"/>
        <v/>
      </c>
      <c r="Z369" s="252" t="str">
        <f t="shared" si="104"/>
        <v/>
      </c>
      <c r="AA369" s="252" t="str">
        <f t="shared" si="105"/>
        <v/>
      </c>
      <c r="AB369" s="252" t="str">
        <f t="shared" si="106"/>
        <v/>
      </c>
      <c r="AJ369" s="121" t="str">
        <f>IF('Cable Info'!L187="","",CONCATENATE('Cable Info'!L187," - ",'Cable Info'!M187))</f>
        <v>186 - AW</v>
      </c>
      <c r="AM369" s="121" t="str">
        <f t="shared" si="107"/>
        <v>186 - AW</v>
      </c>
      <c r="AO369" s="121" t="str">
        <f>IF('Cable Info'!N187="","",CONCATENATE('Cable Info'!N187," - ",'Cable Info'!O187))</f>
        <v>186 - AW</v>
      </c>
      <c r="AR369" s="121" t="str">
        <f t="shared" si="108"/>
        <v>186 - AW</v>
      </c>
      <c r="AT369" s="121" t="str">
        <f>IF('Cable Info'!P187="","",CONCATENATE('Cable Info'!P187," - ",'Cable Info'!Q187))</f>
        <v/>
      </c>
      <c r="AU369" s="121" t="s">
        <v>51</v>
      </c>
      <c r="AW369" s="121" t="str">
        <f t="shared" si="109"/>
        <v xml:space="preserve">  &lt;=&gt; CABLEC </v>
      </c>
      <c r="AY369" s="121" t="str">
        <f>IF('Cable Info'!R187="","",CONCATENATE('Cable Info'!R187," - ",'Cable Info'!S187))</f>
        <v/>
      </c>
      <c r="BB369" s="121" t="str">
        <f t="shared" si="110"/>
        <v/>
      </c>
      <c r="BD369" s="121" t="str">
        <f>IF('Cable Info'!T187="","",CONCATENATE('Cable Info'!T187," - ",'Cable Info'!U187))</f>
        <v/>
      </c>
      <c r="BG369" s="121" t="str">
        <f t="shared" si="111"/>
        <v/>
      </c>
      <c r="BI369" s="121" t="str">
        <f>IF('Cable Info'!V187="","",CONCATENATE('Cable Info'!V187," - ",'Cable Info'!W187))</f>
        <v/>
      </c>
      <c r="BL369" s="121" t="str">
        <f t="shared" si="112"/>
        <v/>
      </c>
      <c r="CL369" s="250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59"/>
      <c r="F370" s="105" t="s">
        <v>45</v>
      </c>
      <c r="G370" s="262"/>
      <c r="H370" s="115" t="str">
        <f t="shared" si="101"/>
        <v/>
      </c>
      <c r="I370" s="264"/>
      <c r="J370" s="105" t="s">
        <v>45</v>
      </c>
      <c r="K370" s="267"/>
      <c r="L370" s="246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1" t="str">
        <f t="shared" si="103"/>
        <v/>
      </c>
      <c r="Z370" s="252" t="str">
        <f t="shared" si="104"/>
        <v/>
      </c>
      <c r="AA370" s="252" t="str">
        <f t="shared" si="105"/>
        <v/>
      </c>
      <c r="AB370" s="252" t="str">
        <f t="shared" si="106"/>
        <v/>
      </c>
      <c r="AJ370" s="121" t="str">
        <f>IF('Cable Info'!L188="","",CONCATENATE('Cable Info'!L188," - ",'Cable Info'!M188))</f>
        <v>187 - AW</v>
      </c>
      <c r="AM370" s="121" t="str">
        <f t="shared" si="107"/>
        <v>187 - AW</v>
      </c>
      <c r="AO370" s="121" t="str">
        <f>IF('Cable Info'!N188="","",CONCATENATE('Cable Info'!N188," - ",'Cable Info'!O188))</f>
        <v>187 - AW</v>
      </c>
      <c r="AR370" s="121" t="str">
        <f t="shared" si="108"/>
        <v>187 - AW</v>
      </c>
      <c r="AT370" s="121" t="str">
        <f>IF('Cable Info'!P188="","",CONCATENATE('Cable Info'!P188," - ",'Cable Info'!Q188))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Info'!R188="","",CONCATENATE('Cable Info'!R188," - ",'Cable Info'!S188))</f>
        <v/>
      </c>
      <c r="BB370" s="121" t="str">
        <f t="shared" si="110"/>
        <v/>
      </c>
      <c r="BD370" s="121" t="str">
        <f>IF('Cable Info'!T188="","",CONCATENATE('Cable Info'!T188," - ",'Cable Info'!U188))</f>
        <v/>
      </c>
      <c r="BG370" s="121" t="str">
        <f t="shared" si="111"/>
        <v/>
      </c>
      <c r="BI370" s="121" t="str">
        <f>IF('Cable Info'!V188="","",CONCATENATE('Cable Info'!V188," - ",'Cable Info'!W188))</f>
        <v/>
      </c>
      <c r="BL370" s="121" t="str">
        <f t="shared" si="112"/>
        <v/>
      </c>
      <c r="CL370" s="250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59"/>
      <c r="F371" s="105" t="s">
        <v>45</v>
      </c>
      <c r="G371" s="262"/>
      <c r="H371" s="115" t="str">
        <f t="shared" si="101"/>
        <v/>
      </c>
      <c r="I371" s="264"/>
      <c r="J371" s="105" t="s">
        <v>45</v>
      </c>
      <c r="K371" s="267"/>
      <c r="L371" s="246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1" t="str">
        <f t="shared" si="103"/>
        <v/>
      </c>
      <c r="Z371" s="252" t="str">
        <f t="shared" si="104"/>
        <v/>
      </c>
      <c r="AA371" s="252" t="str">
        <f t="shared" si="105"/>
        <v/>
      </c>
      <c r="AB371" s="252" t="str">
        <f t="shared" si="106"/>
        <v/>
      </c>
      <c r="AJ371" s="121" t="str">
        <f>IF('Cable Info'!L189="","",CONCATENATE('Cable Info'!L189," - ",'Cable Info'!M189))</f>
        <v>188 - AW</v>
      </c>
      <c r="AM371" s="121" t="str">
        <f t="shared" si="107"/>
        <v>188 - AW</v>
      </c>
      <c r="AO371" s="121" t="str">
        <f>IF('Cable Info'!N189="","",CONCATENATE('Cable Info'!N189," - ",'Cable Info'!O189))</f>
        <v>188 - AW</v>
      </c>
      <c r="AR371" s="121" t="str">
        <f t="shared" si="108"/>
        <v>188 - AW</v>
      </c>
      <c r="AT371" s="121" t="str">
        <f>IF('Cable Info'!P189="","",CONCATENATE('Cable Info'!P189," - ",'Cable Info'!Q189))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Info'!R189="","",CONCATENATE('Cable Info'!R189," - ",'Cable Info'!S189))</f>
        <v/>
      </c>
      <c r="BB371" s="121" t="str">
        <f t="shared" si="110"/>
        <v/>
      </c>
      <c r="BD371" s="121" t="str">
        <f>IF('Cable Info'!T189="","",CONCATENATE('Cable Info'!T189," - ",'Cable Info'!U189))</f>
        <v/>
      </c>
      <c r="BG371" s="121" t="str">
        <f t="shared" si="111"/>
        <v/>
      </c>
      <c r="BI371" s="121" t="str">
        <f>IF('Cable Info'!V189="","",CONCATENATE('Cable Info'!V189," - ",'Cable Info'!W189))</f>
        <v/>
      </c>
      <c r="BL371" s="121" t="str">
        <f t="shared" si="112"/>
        <v/>
      </c>
      <c r="CL371" s="250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59"/>
      <c r="F372" s="105" t="s">
        <v>45</v>
      </c>
      <c r="G372" s="262"/>
      <c r="H372" s="115" t="str">
        <f t="shared" si="101"/>
        <v/>
      </c>
      <c r="I372" s="264"/>
      <c r="J372" s="105" t="s">
        <v>45</v>
      </c>
      <c r="K372" s="267"/>
      <c r="L372" s="246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1" t="str">
        <f t="shared" si="103"/>
        <v/>
      </c>
      <c r="Z372" s="252" t="str">
        <f t="shared" si="104"/>
        <v/>
      </c>
      <c r="AA372" s="252" t="str">
        <f t="shared" si="105"/>
        <v/>
      </c>
      <c r="AB372" s="252" t="str">
        <f t="shared" si="106"/>
        <v/>
      </c>
      <c r="AJ372" s="121" t="str">
        <f>IF('Cable Info'!L190="","",CONCATENATE('Cable Info'!L190," - ",'Cable Info'!M190))</f>
        <v>189 - AW</v>
      </c>
      <c r="AM372" s="121" t="str">
        <f t="shared" si="107"/>
        <v>189 - AW</v>
      </c>
      <c r="AO372" s="121" t="str">
        <f>IF('Cable Info'!N190="","",CONCATENATE('Cable Info'!N190," - ",'Cable Info'!O190))</f>
        <v>189 - AW</v>
      </c>
      <c r="AR372" s="121" t="str">
        <f t="shared" si="108"/>
        <v>189 - AW</v>
      </c>
      <c r="AT372" s="121" t="str">
        <f>IF('Cable Info'!P190="","",CONCATENATE('Cable Info'!P190," - ",'Cable Info'!Q190))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Info'!R190="","",CONCATENATE('Cable Info'!R190," - ",'Cable Info'!S190))</f>
        <v/>
      </c>
      <c r="BB372" s="121" t="str">
        <f t="shared" si="110"/>
        <v/>
      </c>
      <c r="BD372" s="121" t="str">
        <f>IF('Cable Info'!T190="","",CONCATENATE('Cable Info'!T190," - ",'Cable Info'!U190))</f>
        <v/>
      </c>
      <c r="BG372" s="121" t="str">
        <f t="shared" si="111"/>
        <v/>
      </c>
      <c r="BI372" s="121" t="str">
        <f>IF('Cable Info'!V190="","",CONCATENATE('Cable Info'!V190," - ",'Cable Info'!W190))</f>
        <v/>
      </c>
      <c r="BL372" s="121" t="str">
        <f t="shared" si="112"/>
        <v/>
      </c>
      <c r="CL372" s="250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59"/>
      <c r="F373" s="105" t="s">
        <v>45</v>
      </c>
      <c r="G373" s="262"/>
      <c r="H373" s="115" t="str">
        <f t="shared" si="101"/>
        <v/>
      </c>
      <c r="I373" s="264"/>
      <c r="J373" s="105" t="s">
        <v>45</v>
      </c>
      <c r="K373" s="267"/>
      <c r="L373" s="246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1" t="str">
        <f t="shared" si="103"/>
        <v/>
      </c>
      <c r="Z373" s="252" t="str">
        <f t="shared" si="104"/>
        <v/>
      </c>
      <c r="AA373" s="252" t="str">
        <f t="shared" si="105"/>
        <v/>
      </c>
      <c r="AB373" s="252" t="str">
        <f t="shared" si="106"/>
        <v/>
      </c>
      <c r="AJ373" s="121" t="str">
        <f>IF('Cable Info'!L191="","",CONCATENATE('Cable Info'!L191," - ",'Cable Info'!M191))</f>
        <v>190 - AW</v>
      </c>
      <c r="AM373" s="121" t="str">
        <f t="shared" si="107"/>
        <v>190 - AW</v>
      </c>
      <c r="AO373" s="121" t="str">
        <f>IF('Cable Info'!N191="","",CONCATENATE('Cable Info'!N191," - ",'Cable Info'!O191))</f>
        <v>190 - AW</v>
      </c>
      <c r="AR373" s="121" t="str">
        <f t="shared" si="108"/>
        <v>190 - AW</v>
      </c>
      <c r="AT373" s="121" t="str">
        <f>IF('Cable Info'!P191="","",CONCATENATE('Cable Info'!P191," - ",'Cable Info'!Q191))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Info'!R191="","",CONCATENATE('Cable Info'!R191," - ",'Cable Info'!S191))</f>
        <v/>
      </c>
      <c r="BB373" s="121" t="str">
        <f t="shared" si="110"/>
        <v/>
      </c>
      <c r="BD373" s="121" t="str">
        <f>IF('Cable Info'!T191="","",CONCATENATE('Cable Info'!T191," - ",'Cable Info'!U191))</f>
        <v/>
      </c>
      <c r="BG373" s="121" t="str">
        <f t="shared" si="111"/>
        <v/>
      </c>
      <c r="BI373" s="121" t="str">
        <f>IF('Cable Info'!V191="","",CONCATENATE('Cable Info'!V191," - ",'Cable Info'!W191))</f>
        <v/>
      </c>
      <c r="BL373" s="121" t="str">
        <f t="shared" si="112"/>
        <v/>
      </c>
      <c r="CL373" s="250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59"/>
      <c r="F374" s="105" t="s">
        <v>45</v>
      </c>
      <c r="G374" s="262"/>
      <c r="H374" s="115" t="str">
        <f t="shared" si="101"/>
        <v/>
      </c>
      <c r="I374" s="264"/>
      <c r="J374" s="105" t="s">
        <v>45</v>
      </c>
      <c r="K374" s="267"/>
      <c r="L374" s="246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1" t="str">
        <f t="shared" si="103"/>
        <v/>
      </c>
      <c r="Z374" s="252" t="str">
        <f t="shared" si="104"/>
        <v/>
      </c>
      <c r="AA374" s="252" t="str">
        <f t="shared" si="105"/>
        <v/>
      </c>
      <c r="AB374" s="252" t="str">
        <f t="shared" si="106"/>
        <v/>
      </c>
      <c r="AJ374" s="121" t="str">
        <f>IF('Cable Info'!L192="","",CONCATENATE('Cable Info'!L192," - ",'Cable Info'!M192))</f>
        <v>191 - AW</v>
      </c>
      <c r="AM374" s="121" t="str">
        <f t="shared" si="107"/>
        <v>191 - AW</v>
      </c>
      <c r="AO374" s="121" t="str">
        <f>IF('Cable Info'!N192="","",CONCATENATE('Cable Info'!N192," - ",'Cable Info'!O192))</f>
        <v>191 - AW</v>
      </c>
      <c r="AR374" s="121" t="str">
        <f t="shared" si="108"/>
        <v>191 - AW</v>
      </c>
      <c r="AT374" s="121" t="str">
        <f>IF('Cable Info'!P192="","",CONCATENATE('Cable Info'!P192," - ",'Cable Info'!Q192))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Info'!R192="","",CONCATENATE('Cable Info'!R192," - ",'Cable Info'!S192))</f>
        <v/>
      </c>
      <c r="BB374" s="121" t="str">
        <f t="shared" si="110"/>
        <v/>
      </c>
      <c r="BD374" s="121" t="str">
        <f>IF('Cable Info'!T192="","",CONCATENATE('Cable Info'!T192," - ",'Cable Info'!U192))</f>
        <v/>
      </c>
      <c r="BG374" s="121" t="str">
        <f t="shared" si="111"/>
        <v/>
      </c>
      <c r="BI374" s="121" t="str">
        <f>IF('Cable Info'!V192="","",CONCATENATE('Cable Info'!V192," - ",'Cable Info'!W192))</f>
        <v/>
      </c>
      <c r="BL374" s="121" t="str">
        <f t="shared" si="112"/>
        <v/>
      </c>
      <c r="CL374" s="250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59"/>
      <c r="F375" s="105" t="s">
        <v>45</v>
      </c>
      <c r="G375" s="262"/>
      <c r="H375" s="115" t="str">
        <f t="shared" si="101"/>
        <v/>
      </c>
      <c r="I375" s="264"/>
      <c r="J375" s="105" t="s">
        <v>45</v>
      </c>
      <c r="K375" s="267"/>
      <c r="L375" s="246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1" t="str">
        <f t="shared" si="103"/>
        <v/>
      </c>
      <c r="Z375" s="252" t="str">
        <f t="shared" si="104"/>
        <v/>
      </c>
      <c r="AA375" s="252" t="str">
        <f t="shared" si="105"/>
        <v/>
      </c>
      <c r="AB375" s="252" t="str">
        <f t="shared" si="106"/>
        <v/>
      </c>
      <c r="AJ375" s="121" t="str">
        <f>IF('Cable Info'!L193="","",CONCATENATE('Cable Info'!L193," - ",'Cable Info'!M193))</f>
        <v>192 - AW</v>
      </c>
      <c r="AM375" s="121" t="str">
        <f t="shared" si="107"/>
        <v>192 - AW</v>
      </c>
      <c r="AO375" s="121" t="str">
        <f>IF('Cable Info'!N193="","",CONCATENATE('Cable Info'!N193," - ",'Cable Info'!O193))</f>
        <v>192 - AW</v>
      </c>
      <c r="AR375" s="121" t="str">
        <f t="shared" si="108"/>
        <v>192 - AW</v>
      </c>
      <c r="AT375" s="121" t="str">
        <f>IF('Cable Info'!P193="","",CONCATENATE('Cable Info'!P193," - ",'Cable Info'!Q193))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Info'!R193="","",CONCATENATE('Cable Info'!R193," - ",'Cable Info'!S193))</f>
        <v/>
      </c>
      <c r="BB375" s="121" t="str">
        <f t="shared" si="110"/>
        <v/>
      </c>
      <c r="BD375" s="121" t="str">
        <f>IF('Cable Info'!T193="","",CONCATENATE('Cable Info'!T193," - ",'Cable Info'!U193))</f>
        <v/>
      </c>
      <c r="BG375" s="121" t="str">
        <f t="shared" si="111"/>
        <v/>
      </c>
      <c r="BI375" s="121" t="str">
        <f>IF('Cable Info'!V193="","",CONCATENATE('Cable Info'!V193," - ",'Cable Info'!W193))</f>
        <v/>
      </c>
      <c r="BL375" s="121" t="str">
        <f t="shared" si="112"/>
        <v/>
      </c>
      <c r="CL375" s="250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59"/>
      <c r="F376" s="105" t="s">
        <v>45</v>
      </c>
      <c r="G376" s="262"/>
      <c r="H376" s="115" t="str">
        <f t="shared" si="101"/>
        <v/>
      </c>
      <c r="I376" s="264"/>
      <c r="J376" s="105" t="s">
        <v>45</v>
      </c>
      <c r="K376" s="267"/>
      <c r="L376" s="246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1" t="str">
        <f t="shared" si="103"/>
        <v/>
      </c>
      <c r="Z376" s="252" t="str">
        <f t="shared" si="104"/>
        <v/>
      </c>
      <c r="AA376" s="252" t="str">
        <f t="shared" si="105"/>
        <v/>
      </c>
      <c r="AB376" s="252" t="str">
        <f t="shared" si="106"/>
        <v/>
      </c>
      <c r="AJ376" s="121" t="str">
        <f>IF('Cable Info'!L194="","",CONCATENATE('Cable Info'!L194," - ",'Cable Info'!M194))</f>
        <v>193 - AW</v>
      </c>
      <c r="AM376" s="121" t="str">
        <f t="shared" si="107"/>
        <v>193 - AW</v>
      </c>
      <c r="AO376" s="121" t="str">
        <f>IF('Cable Info'!N194="","",CONCATENATE('Cable Info'!N194," - ",'Cable Info'!O194))</f>
        <v>193 - AW</v>
      </c>
      <c r="AR376" s="121" t="str">
        <f t="shared" si="108"/>
        <v>193 - AW</v>
      </c>
      <c r="AT376" s="121" t="str">
        <f>IF('Cable Info'!P194="","",CONCATENATE('Cable Info'!P194," - ",'Cable Info'!Q194))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Info'!R194="","",CONCATENATE('Cable Info'!R194," - ",'Cable Info'!S194))</f>
        <v/>
      </c>
      <c r="BB376" s="121" t="str">
        <f t="shared" si="110"/>
        <v/>
      </c>
      <c r="BD376" s="121" t="str">
        <f>IF('Cable Info'!T194="","",CONCATENATE('Cable Info'!T194," - ",'Cable Info'!U194))</f>
        <v/>
      </c>
      <c r="BG376" s="121" t="str">
        <f t="shared" si="111"/>
        <v/>
      </c>
      <c r="BI376" s="121" t="str">
        <f>IF('Cable Info'!V194="","",CONCATENATE('Cable Info'!V194," - ",'Cable Info'!W194))</f>
        <v/>
      </c>
      <c r="BL376" s="121" t="str">
        <f t="shared" si="112"/>
        <v/>
      </c>
      <c r="CL376" s="250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59"/>
      <c r="F377" s="105" t="s">
        <v>45</v>
      </c>
      <c r="G377" s="262"/>
      <c r="H377" s="115" t="str">
        <f t="shared" si="101"/>
        <v/>
      </c>
      <c r="I377" s="264"/>
      <c r="J377" s="105" t="s">
        <v>45</v>
      </c>
      <c r="K377" s="267"/>
      <c r="L377" s="246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1" t="str">
        <f t="shared" si="103"/>
        <v/>
      </c>
      <c r="Z377" s="252" t="str">
        <f t="shared" si="104"/>
        <v/>
      </c>
      <c r="AA377" s="252" t="str">
        <f t="shared" si="105"/>
        <v/>
      </c>
      <c r="AB377" s="252" t="str">
        <f t="shared" si="106"/>
        <v/>
      </c>
      <c r="AJ377" s="121" t="str">
        <f>IF('Cable Info'!L195="","",CONCATENATE('Cable Info'!L195," - ",'Cable Info'!M195))</f>
        <v>194 - AW</v>
      </c>
      <c r="AM377" s="121" t="str">
        <f t="shared" si="107"/>
        <v>194 - AW</v>
      </c>
      <c r="AO377" s="121" t="str">
        <f>IF('Cable Info'!N195="","",CONCATENATE('Cable Info'!N195," - ",'Cable Info'!O195))</f>
        <v>194 - AW</v>
      </c>
      <c r="AR377" s="121" t="str">
        <f t="shared" si="108"/>
        <v>194 - AW</v>
      </c>
      <c r="AT377" s="121" t="str">
        <f>IF('Cable Info'!P195="","",CONCATENATE('Cable Info'!P195," - ",'Cable Info'!Q195))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Info'!R195="","",CONCATENATE('Cable Info'!R195," - ",'Cable Info'!S195))</f>
        <v/>
      </c>
      <c r="BB377" s="121" t="str">
        <f t="shared" si="110"/>
        <v/>
      </c>
      <c r="BD377" s="121" t="str">
        <f>IF('Cable Info'!T195="","",CONCATENATE('Cable Info'!T195," - ",'Cable Info'!U195))</f>
        <v/>
      </c>
      <c r="BG377" s="121" t="str">
        <f t="shared" si="111"/>
        <v/>
      </c>
      <c r="BI377" s="121" t="str">
        <f>IF('Cable Info'!V195="","",CONCATENATE('Cable Info'!V195," - ",'Cable Info'!W195))</f>
        <v/>
      </c>
      <c r="BL377" s="121" t="str">
        <f t="shared" si="112"/>
        <v/>
      </c>
      <c r="CL377" s="250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59"/>
      <c r="F378" s="105" t="s">
        <v>45</v>
      </c>
      <c r="G378" s="262"/>
      <c r="H378" s="115" t="str">
        <f t="shared" si="101"/>
        <v/>
      </c>
      <c r="I378" s="264"/>
      <c r="J378" s="105" t="s">
        <v>45</v>
      </c>
      <c r="K378" s="267"/>
      <c r="L378" s="246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1" t="str">
        <f t="shared" si="103"/>
        <v/>
      </c>
      <c r="Z378" s="252" t="str">
        <f t="shared" si="104"/>
        <v/>
      </c>
      <c r="AA378" s="252" t="str">
        <f t="shared" si="105"/>
        <v/>
      </c>
      <c r="AB378" s="252" t="str">
        <f t="shared" si="106"/>
        <v/>
      </c>
      <c r="AJ378" s="121" t="str">
        <f>IF('Cable Info'!L196="","",CONCATENATE('Cable Info'!L196," - ",'Cable Info'!M196))</f>
        <v>195 - AW</v>
      </c>
      <c r="AM378" s="121" t="str">
        <f t="shared" si="107"/>
        <v>195 - AW</v>
      </c>
      <c r="AO378" s="121" t="str">
        <f>IF('Cable Info'!N196="","",CONCATENATE('Cable Info'!N196," - ",'Cable Info'!O196))</f>
        <v>195 - AW</v>
      </c>
      <c r="AR378" s="121" t="str">
        <f t="shared" si="108"/>
        <v>195 - AW</v>
      </c>
      <c r="AT378" s="121" t="str">
        <f>IF('Cable Info'!P196="","",CONCATENATE('Cable Info'!P196," - ",'Cable Info'!Q196))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Info'!R196="","",CONCATENATE('Cable Info'!R196," - ",'Cable Info'!S196))</f>
        <v/>
      </c>
      <c r="BB378" s="121" t="str">
        <f t="shared" si="110"/>
        <v/>
      </c>
      <c r="BD378" s="121" t="str">
        <f>IF('Cable Info'!T196="","",CONCATENATE('Cable Info'!T196," - ",'Cable Info'!U196))</f>
        <v/>
      </c>
      <c r="BG378" s="121" t="str">
        <f t="shared" si="111"/>
        <v/>
      </c>
      <c r="BI378" s="121" t="str">
        <f>IF('Cable Info'!V196="","",CONCATENATE('Cable Info'!V196," - ",'Cable Info'!W196))</f>
        <v/>
      </c>
      <c r="BL378" s="121" t="str">
        <f t="shared" si="112"/>
        <v/>
      </c>
      <c r="CL378" s="250"/>
    </row>
    <row r="379" spans="1:90" ht="13" thickBot="1" x14ac:dyDescent="0.3">
      <c r="A379" s="188"/>
      <c r="B379" s="141"/>
      <c r="C379" s="142" t="str">
        <f>IFERROR(IF(B379="","",IF((COUNTIF('Cable Info'!$B$11:$C$50,B379)=0),VLOOKUP(B379,'Cable Info (2)'!$B$11:$C$50,2,FALSE),(VLOOKUP(B379,'Cable Info'!$B$11:$C$50,2,FALSE)))),"NO SUCH EXIT")</f>
        <v/>
      </c>
      <c r="D379" s="245"/>
      <c r="E379" s="260"/>
      <c r="F379" s="171" t="s">
        <v>45</v>
      </c>
      <c r="G379" s="263"/>
      <c r="H379" s="142" t="str">
        <f t="shared" ref="H379" si="113">IF(G379="","",((E379-G379)-1)*(-1))</f>
        <v/>
      </c>
      <c r="I379" s="265"/>
      <c r="J379" s="171" t="s">
        <v>45</v>
      </c>
      <c r="K379" s="268"/>
      <c r="L379" s="247"/>
      <c r="M379" s="142" t="str">
        <f>IFERROR(IF(P379="","",IF((COUNTIF('Cable Info'!$B$11:$C$50,P379)=0),VLOOKUP(P379,'Cable Info (2)'!$B$11:$C$50,2,FALSE),(VLOOKUP(P379,'Cable Info'!$B$11:$C$50,2,FALSE)))),"NO SUCH EXIT")</f>
        <v/>
      </c>
      <c r="N379" s="143"/>
      <c r="O379" s="147"/>
      <c r="P379" s="145"/>
      <c r="Q379" s="192"/>
      <c r="R379" s="144"/>
      <c r="S379" s="144"/>
      <c r="T379" s="146"/>
      <c r="U379" s="146"/>
      <c r="V379" s="147"/>
      <c r="W379" s="147"/>
      <c r="X379" s="195" t="str">
        <f t="shared" ref="X379" si="114">IF(V379="","",IF(R379="","",IF(S379="","",IF(R379="SPLICED",(IF(S379="SPLICE",0,9)),IF(V379=$U$3,(IF(S379="BREAK",12,11)),IF(S379="BREAK",2,1))))))</f>
        <v/>
      </c>
      <c r="Y379" s="251" t="str">
        <f t="shared" ref="Y379:Y382" si="115">IF(E379="","",IF(G379="","",IF(E379&gt;G379,1,"")))</f>
        <v/>
      </c>
      <c r="Z379" s="252" t="str">
        <f t="shared" ref="Z379:Z382" si="116">IF(I379="","",IF(K379="","",IF(I379&gt;K379,1,"")))</f>
        <v/>
      </c>
      <c r="AA379" s="252" t="str">
        <f t="shared" ref="AA379:AA382" si="117">IF(K379="","",((I379-K379)-1)*(-1))</f>
        <v/>
      </c>
      <c r="AB379" s="252" t="str">
        <f t="shared" ref="AB379:AB382" si="118">IF(E379="","",IF(G379="","",IF(I379="","",IF(K379="","",IF(AA379&lt;&gt;H379,1,"")))))</f>
        <v/>
      </c>
      <c r="AJ379" s="121" t="str">
        <f>IF('Cable Info'!L84="","",CONCATENATE('Cable Info'!L84," - ",'Cable Info'!M84))</f>
        <v>83 - AW</v>
      </c>
      <c r="AM379" s="121" t="str">
        <f t="shared" ref="AM379:AM425" si="119">IF(AK379="",AJ379,CONCATENATE(AJ379,"  &lt;=&gt; ",AK379," ",AL379))</f>
        <v>83 - AW</v>
      </c>
      <c r="AO379" s="121" t="str">
        <f>IF('Cable Info'!N84="","",CONCATENATE('Cable Info'!N84," - ",'Cable Info'!O84))</f>
        <v>83 - AW</v>
      </c>
      <c r="AR379" s="121" t="str">
        <f t="shared" ref="AR379:AR425" si="120">IF(AP379="",AO379,CONCATENATE(AO379,"  &lt;=&gt; ",AP379," ",AQ379))</f>
        <v>83 - AW</v>
      </c>
      <c r="AT379" s="121" t="str">
        <f>IF('Cable Info'!P84="","",CONCATENATE('Cable Info'!P84," - ",'Cable Info'!Q84))</f>
        <v/>
      </c>
      <c r="AW379" s="121" t="str">
        <f t="shared" ref="AW379:AW425" si="121">IF(AU379="",AT379,CONCATENATE(AT379,"  &lt;=&gt; ",AU379," ",AV379))</f>
        <v/>
      </c>
      <c r="AY379" s="121" t="str">
        <f>IF('Cable Info'!R84="","",CONCATENATE('Cable Info'!R84," - ",'Cable Info'!S84))</f>
        <v/>
      </c>
      <c r="BB379" s="121" t="str">
        <f t="shared" ref="BB379:BB425" si="122">IF(AZ379="",AY379,CONCATENATE(AY379,"  &lt;=&gt; ",AZ379," ",BA379))</f>
        <v/>
      </c>
      <c r="BD379" s="121" t="str">
        <f>IF('Cable Info'!T84="","",CONCATENATE('Cable Info'!T84," - ",'Cable Info'!U84))</f>
        <v/>
      </c>
      <c r="BG379" s="121" t="str">
        <f t="shared" ref="BG379:BG425" si="123">IF(BE379="",BD379,CONCATENATE(BD379,"  &lt;=&gt; ",BE379," ",BF379))</f>
        <v/>
      </c>
      <c r="BI379" s="121" t="str">
        <f>IF('Cable Info'!V84="","",CONCATENATE('Cable Info'!V84," - ",'Cable Info'!W84))</f>
        <v/>
      </c>
      <c r="BL379" s="121" t="str">
        <f t="shared" ref="BL379:BL425" si="124">IF(BJ379="",BI379,CONCATENATE(BI379,"  &lt;=&gt; ",BJ379," ",BK379))</f>
        <v/>
      </c>
      <c r="CL379" s="250"/>
    </row>
    <row r="380" spans="1:90" ht="13" thickBot="1" x14ac:dyDescent="0.3">
      <c r="A380" s="123"/>
      <c r="B380" s="125"/>
      <c r="C380" s="125"/>
      <c r="D380" s="125"/>
      <c r="E380" s="125"/>
      <c r="F380" s="126"/>
      <c r="G380" s="125"/>
      <c r="H380" s="125"/>
      <c r="I380" s="125"/>
      <c r="J380" s="126"/>
      <c r="K380" s="125"/>
      <c r="L380" s="125"/>
      <c r="M380" s="125"/>
      <c r="N380" s="125"/>
      <c r="O380" s="181"/>
      <c r="P380" s="125"/>
      <c r="Q380" s="127"/>
      <c r="R380" s="125"/>
      <c r="S380" s="125"/>
      <c r="T380" s="125"/>
      <c r="U380" s="125"/>
      <c r="V380" s="181"/>
      <c r="W380" s="181"/>
      <c r="X380" s="166"/>
      <c r="Y380" s="251" t="str">
        <f t="shared" si="115"/>
        <v/>
      </c>
      <c r="Z380" s="252" t="str">
        <f t="shared" si="116"/>
        <v/>
      </c>
      <c r="AA380" s="252" t="str">
        <f t="shared" si="117"/>
        <v/>
      </c>
      <c r="AB380" s="252" t="str">
        <f t="shared" si="118"/>
        <v/>
      </c>
      <c r="AJ380" s="121" t="str">
        <f>IF('Cable Info'!L85="","",CONCATENATE('Cable Info'!L85," - ",'Cable Info'!M85))</f>
        <v>84 - AW</v>
      </c>
      <c r="AM380" s="121" t="str">
        <f t="shared" si="119"/>
        <v>84 - AW</v>
      </c>
      <c r="AO380" s="121" t="str">
        <f>IF('Cable Info'!N85="","",CONCATENATE('Cable Info'!N85," - ",'Cable Info'!O85))</f>
        <v>84 - AW</v>
      </c>
      <c r="AR380" s="121" t="str">
        <f t="shared" si="120"/>
        <v>84 - AW</v>
      </c>
      <c r="AT380" s="121" t="str">
        <f>IF('Cable Info'!P85="","",CONCATENATE('Cable Info'!P85," - ",'Cable Info'!Q85))</f>
        <v/>
      </c>
      <c r="AW380" s="121" t="str">
        <f t="shared" si="121"/>
        <v/>
      </c>
      <c r="AY380" s="121" t="str">
        <f>IF('Cable Info'!R85="","",CONCATENATE('Cable Info'!R85," - ",'Cable Info'!S85))</f>
        <v/>
      </c>
      <c r="BB380" s="121" t="str">
        <f t="shared" si="122"/>
        <v/>
      </c>
      <c r="BD380" s="121" t="str">
        <f>IF('Cable Info'!T85="","",CONCATENATE('Cable Info'!T85," - ",'Cable Info'!U85))</f>
        <v/>
      </c>
      <c r="BG380" s="121" t="str">
        <f t="shared" si="123"/>
        <v/>
      </c>
      <c r="BI380" s="121" t="str">
        <f>IF('Cable Info'!V85="","",CONCATENATE('Cable Info'!V85," - ",'Cable Info'!W85))</f>
        <v/>
      </c>
      <c r="BL380" s="121" t="str">
        <f t="shared" si="124"/>
        <v/>
      </c>
      <c r="CK380" s="157"/>
    </row>
    <row r="381" spans="1:90" s="148" customFormat="1" x14ac:dyDescent="0.25">
      <c r="A381" s="161"/>
      <c r="B381" s="161"/>
      <c r="C381" s="161"/>
      <c r="D381" s="161"/>
      <c r="E381" s="161"/>
      <c r="F381" s="162"/>
      <c r="G381" s="161"/>
      <c r="H381" s="161"/>
      <c r="I381" s="161"/>
      <c r="J381" s="162"/>
      <c r="K381" s="161"/>
      <c r="L381" s="161"/>
      <c r="M381" s="161"/>
      <c r="N381" s="161"/>
      <c r="O381" s="182"/>
      <c r="P381" s="161"/>
      <c r="Q381" s="163"/>
      <c r="R381" s="161"/>
      <c r="S381" s="161"/>
      <c r="T381" s="161"/>
      <c r="U381" s="161"/>
      <c r="V381" s="182"/>
      <c r="W381" s="182"/>
      <c r="X381" s="167"/>
      <c r="Y381" s="253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C381" s="253"/>
      <c r="AD381" s="253"/>
      <c r="AE381" s="253"/>
      <c r="AF381" s="253"/>
      <c r="AG381" s="253"/>
      <c r="AH381" s="253"/>
      <c r="AI381" s="164"/>
      <c r="AJ381" s="164" t="str">
        <f>IF('Cable Info'!L86="","",CONCATENATE('Cable Info'!L86," - ",'Cable Info'!M86))</f>
        <v>85 - AW</v>
      </c>
      <c r="AK381" s="164"/>
      <c r="AL381" s="164"/>
      <c r="AM381" s="164" t="str">
        <f t="shared" si="119"/>
        <v>85 - AW</v>
      </c>
      <c r="AN381" s="164"/>
      <c r="AO381" s="164" t="str">
        <f>IF('Cable Info'!N86="","",CONCATENATE('Cable Info'!N86," - ",'Cable Info'!O86))</f>
        <v>85 - AW</v>
      </c>
      <c r="AP381" s="164"/>
      <c r="AQ381" s="164"/>
      <c r="AR381" s="164" t="str">
        <f t="shared" si="120"/>
        <v>85 - AW</v>
      </c>
      <c r="AS381" s="164"/>
      <c r="AT381" s="164" t="str">
        <f>IF('Cable Info'!P86="","",CONCATENATE('Cable Info'!P86," - ",'Cable Info'!Q86))</f>
        <v/>
      </c>
      <c r="AU381" s="164"/>
      <c r="AV381" s="164"/>
      <c r="AW381" s="164" t="str">
        <f t="shared" si="121"/>
        <v/>
      </c>
      <c r="AX381" s="164"/>
      <c r="AY381" s="164" t="str">
        <f>IF('Cable Info'!R86="","",CONCATENATE('Cable Info'!R86," - ",'Cable Info'!S86))</f>
        <v/>
      </c>
      <c r="AZ381" s="164"/>
      <c r="BA381" s="164"/>
      <c r="BB381" s="164" t="str">
        <f t="shared" si="122"/>
        <v/>
      </c>
      <c r="BC381" s="164"/>
      <c r="BD381" s="164" t="str">
        <f>IF('Cable Info'!T86="","",CONCATENATE('Cable Info'!T86," - ",'Cable Info'!U86))</f>
        <v/>
      </c>
      <c r="BE381" s="164"/>
      <c r="BF381" s="164"/>
      <c r="BG381" s="164" t="str">
        <f t="shared" si="123"/>
        <v/>
      </c>
      <c r="BH381" s="164"/>
      <c r="BI381" s="164" t="str">
        <f>IF('Cable Info'!V86="","",CONCATENATE('Cable Info'!V86," - ",'Cable Info'!W86))</f>
        <v/>
      </c>
      <c r="BJ381" s="164"/>
      <c r="BK381" s="164"/>
      <c r="BL381" s="164" t="str">
        <f t="shared" si="124"/>
        <v/>
      </c>
      <c r="BM381" s="164"/>
      <c r="BN381" s="161"/>
      <c r="BO381" s="161"/>
      <c r="BP381" s="161"/>
      <c r="BQ381" s="161"/>
      <c r="BR381" s="161"/>
      <c r="BS381" s="161"/>
      <c r="BT381" s="161"/>
      <c r="BU381" s="161"/>
      <c r="BV381" s="161"/>
      <c r="BW381" s="161"/>
      <c r="BX381" s="161"/>
      <c r="BY381" s="161"/>
      <c r="BZ381" s="161"/>
      <c r="CA381" s="161"/>
      <c r="CB381" s="161"/>
      <c r="CC381" s="161"/>
      <c r="CD381" s="161"/>
      <c r="CE381" s="161"/>
      <c r="CF381" s="161"/>
      <c r="CG381" s="161"/>
      <c r="CH381" s="161"/>
      <c r="CI381" s="161"/>
      <c r="CJ381" s="161"/>
      <c r="CK381" s="157"/>
    </row>
    <row r="382" spans="1:90" s="148" customFormat="1" x14ac:dyDescent="0.25">
      <c r="A382" s="157"/>
      <c r="B382" s="157"/>
      <c r="C382" s="157"/>
      <c r="D382" s="157"/>
      <c r="E382" s="157"/>
      <c r="F382" s="158"/>
      <c r="G382" s="157"/>
      <c r="H382" s="157"/>
      <c r="I382" s="157"/>
      <c r="J382" s="158"/>
      <c r="K382" s="157"/>
      <c r="L382" s="157"/>
      <c r="M382" s="157"/>
      <c r="N382" s="157"/>
      <c r="O382" s="183"/>
      <c r="P382" s="157"/>
      <c r="Q382" s="159"/>
      <c r="R382" s="157"/>
      <c r="S382" s="157"/>
      <c r="T382" s="157"/>
      <c r="U382" s="157"/>
      <c r="V382" s="183"/>
      <c r="W382" s="183"/>
      <c r="X382" s="168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0"/>
      <c r="AJ382" s="160" t="str">
        <f>IF('Cable Info'!L87="","",CONCATENATE('Cable Info'!L87," - ",'Cable Info'!M87))</f>
        <v>86 - AW</v>
      </c>
      <c r="AK382" s="160"/>
      <c r="AL382" s="160"/>
      <c r="AM382" s="160" t="str">
        <f t="shared" si="119"/>
        <v>86 - AW</v>
      </c>
      <c r="AN382" s="160"/>
      <c r="AO382" s="160" t="str">
        <f>IF('Cable Info'!N87="","",CONCATENATE('Cable Info'!N87," - ",'Cable Info'!O87))</f>
        <v>86 - AW</v>
      </c>
      <c r="AP382" s="160"/>
      <c r="AQ382" s="160"/>
      <c r="AR382" s="160" t="str">
        <f t="shared" si="120"/>
        <v>86 - AW</v>
      </c>
      <c r="AS382" s="160"/>
      <c r="AT382" s="160" t="str">
        <f>IF('Cable Info'!P87="","",CONCATENATE('Cable Info'!P87," - ",'Cable Info'!Q87))</f>
        <v/>
      </c>
      <c r="AU382" s="160"/>
      <c r="AV382" s="160"/>
      <c r="AW382" s="160" t="str">
        <f t="shared" si="121"/>
        <v/>
      </c>
      <c r="AX382" s="160"/>
      <c r="AY382" s="160" t="str">
        <f>IF('Cable Info'!R87="","",CONCATENATE('Cable Info'!R87," - ",'Cable Info'!S87))</f>
        <v/>
      </c>
      <c r="AZ382" s="160"/>
      <c r="BA382" s="160"/>
      <c r="BB382" s="160" t="str">
        <f t="shared" si="122"/>
        <v/>
      </c>
      <c r="BC382" s="160"/>
      <c r="BD382" s="160" t="str">
        <f>IF('Cable Info'!T87="","",CONCATENATE('Cable Info'!T87," - ",'Cable Info'!U87))</f>
        <v/>
      </c>
      <c r="BE382" s="160"/>
      <c r="BF382" s="160"/>
      <c r="BG382" s="160" t="str">
        <f t="shared" si="123"/>
        <v/>
      </c>
      <c r="BH382" s="160"/>
      <c r="BI382" s="160" t="str">
        <f>IF('Cable Info'!V87="","",CONCATENATE('Cable Info'!V87," - ",'Cable Info'!W87))</f>
        <v/>
      </c>
      <c r="BJ382" s="160"/>
      <c r="BK382" s="160"/>
      <c r="BL382" s="160" t="str">
        <f t="shared" si="124"/>
        <v/>
      </c>
      <c r="BM382" s="160"/>
      <c r="BN382" s="157"/>
      <c r="BO382" s="157"/>
      <c r="BP382" s="157"/>
      <c r="BQ382" s="157"/>
      <c r="BR382" s="157"/>
      <c r="BS382" s="157"/>
      <c r="BT382" s="157"/>
      <c r="BU382" s="157"/>
      <c r="BV382" s="157"/>
      <c r="BW382" s="157"/>
      <c r="BX382" s="157"/>
      <c r="BY382" s="157"/>
      <c r="BZ382" s="157"/>
      <c r="CA382" s="157"/>
      <c r="CB382" s="157"/>
      <c r="CC382" s="157"/>
      <c r="CD382" s="157"/>
      <c r="CE382" s="157"/>
      <c r="CF382" s="157"/>
      <c r="CG382" s="157"/>
      <c r="CH382" s="157"/>
      <c r="CI382" s="157"/>
      <c r="CJ382" s="157"/>
      <c r="CK382" s="157"/>
    </row>
    <row r="383" spans="1:90" x14ac:dyDescent="0.25">
      <c r="A383" s="148"/>
      <c r="B383" s="148"/>
      <c r="C383" s="148"/>
      <c r="D383" s="148"/>
      <c r="E383" s="148"/>
      <c r="F383" s="155"/>
      <c r="G383" s="148"/>
      <c r="H383" s="148"/>
      <c r="I383" s="148"/>
      <c r="J383" s="155"/>
      <c r="K383" s="148"/>
      <c r="L383" s="148"/>
      <c r="M383" s="148"/>
      <c r="N383" s="148"/>
      <c r="O383" s="184"/>
      <c r="P383" s="148"/>
      <c r="Q383" s="156"/>
      <c r="R383" s="148"/>
      <c r="S383" s="148"/>
      <c r="T383" s="148"/>
      <c r="U383" s="148"/>
      <c r="V383" s="184"/>
      <c r="W383" s="184"/>
      <c r="X383" s="169"/>
      <c r="AJ383" s="121" t="str">
        <f>IF('Cable Info'!L88="","",CONCATENATE('Cable Info'!L88," - ",'Cable Info'!M88))</f>
        <v>87 - AW</v>
      </c>
      <c r="AM383" s="121" t="str">
        <f t="shared" si="119"/>
        <v>87 - AW</v>
      </c>
      <c r="AO383" s="121" t="str">
        <f>IF('Cable Info'!N88="","",CONCATENATE('Cable Info'!N88," - ",'Cable Info'!O88))</f>
        <v>87 - AW</v>
      </c>
      <c r="AR383" s="121" t="str">
        <f t="shared" si="120"/>
        <v>87 - AW</v>
      </c>
      <c r="AT383" s="121" t="str">
        <f>IF('Cable Info'!P88="","",CONCATENATE('Cable Info'!P88," - ",'Cable Info'!Q88))</f>
        <v/>
      </c>
      <c r="AW383" s="121" t="str">
        <f t="shared" si="121"/>
        <v/>
      </c>
      <c r="AY383" s="121" t="str">
        <f>IF('Cable Info'!R88="","",CONCATENATE('Cable Info'!R88," - ",'Cable Info'!S88))</f>
        <v/>
      </c>
      <c r="BB383" s="121" t="str">
        <f t="shared" si="122"/>
        <v/>
      </c>
      <c r="BD383" s="121" t="str">
        <f>IF('Cable Info'!T88="","",CONCATENATE('Cable Info'!T88," - ",'Cable Info'!U88))</f>
        <v/>
      </c>
      <c r="BG383" s="121" t="str">
        <f t="shared" si="123"/>
        <v/>
      </c>
      <c r="BI383" s="121" t="str">
        <f>IF('Cable Info'!V88="","",CONCATENATE('Cable Info'!V88," - ",'Cable Info'!W88))</f>
        <v/>
      </c>
      <c r="BL383" s="121" t="str">
        <f t="shared" si="124"/>
        <v/>
      </c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str">
        <f>IF('Cable Info'!L89="","",CONCATENATE('Cable Info'!L89," - ",'Cable Info'!M89))</f>
        <v>88 - AW</v>
      </c>
      <c r="AM384" s="121" t="str">
        <f t="shared" si="119"/>
        <v>88 - AW</v>
      </c>
      <c r="AO384" s="121" t="str">
        <f>IF('Cable Info'!N89="","",CONCATENATE('Cable Info'!N89," - ",'Cable Info'!O89))</f>
        <v>88 - AW</v>
      </c>
      <c r="AR384" s="121" t="str">
        <f t="shared" si="120"/>
        <v>88 - AW</v>
      </c>
      <c r="AT384" s="121" t="str">
        <f>IF('Cable Info'!P89="","",CONCATENATE('Cable Info'!P89," - ",'Cable Info'!Q89))</f>
        <v/>
      </c>
      <c r="AW384" s="121" t="str">
        <f t="shared" si="121"/>
        <v/>
      </c>
      <c r="AY384" s="121" t="str">
        <f>IF('Cable Info'!R89="","",CONCATENATE('Cable Info'!R89," - ",'Cable Info'!S89))</f>
        <v/>
      </c>
      <c r="BB384" s="121" t="str">
        <f t="shared" si="122"/>
        <v/>
      </c>
      <c r="BD384" s="121" t="str">
        <f>IF('Cable Info'!T89="","",CONCATENATE('Cable Info'!T89," - ",'Cable Info'!U89))</f>
        <v/>
      </c>
      <c r="BG384" s="121" t="str">
        <f t="shared" si="123"/>
        <v/>
      </c>
      <c r="BI384" s="121" t="str">
        <f>IF('Cable Info'!V89="","",CONCATENATE('Cable Info'!V89," - ",'Cable Info'!W89))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str">
        <f>IF('Cable Info'!L90="","",CONCATENATE('Cable Info'!L90," - ",'Cable Info'!M90))</f>
        <v>89 - AW</v>
      </c>
      <c r="AM385" s="121" t="str">
        <f t="shared" si="119"/>
        <v>89 - AW</v>
      </c>
      <c r="AO385" s="121" t="str">
        <f>IF('Cable Info'!N90="","",CONCATENATE('Cable Info'!N90," - ",'Cable Info'!O90))</f>
        <v>89 - AW</v>
      </c>
      <c r="AR385" s="121" t="str">
        <f t="shared" si="120"/>
        <v>89 - AW</v>
      </c>
      <c r="AT385" s="121" t="str">
        <f>IF('Cable Info'!P90="","",CONCATENATE('Cable Info'!P90," - ",'Cable Info'!Q90))</f>
        <v/>
      </c>
      <c r="AW385" s="121" t="str">
        <f t="shared" si="121"/>
        <v/>
      </c>
      <c r="AY385" s="121" t="str">
        <f>IF('Cable Info'!R90="","",CONCATENATE('Cable Info'!R90," - ",'Cable Info'!S90))</f>
        <v/>
      </c>
      <c r="BB385" s="121" t="str">
        <f t="shared" si="122"/>
        <v/>
      </c>
      <c r="BD385" s="121" t="str">
        <f>IF('Cable Info'!T90="","",CONCATENATE('Cable Info'!T90," - ",'Cable Info'!U90))</f>
        <v/>
      </c>
      <c r="BG385" s="121" t="str">
        <f t="shared" si="123"/>
        <v/>
      </c>
      <c r="BI385" s="121" t="str">
        <f>IF('Cable Info'!V90="","",CONCATENATE('Cable Info'!V90," - ",'Cable Info'!W90))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str">
        <f>IF('Cable Info'!L91="","",CONCATENATE('Cable Info'!L91," - ",'Cable Info'!M91))</f>
        <v>90 - AW</v>
      </c>
      <c r="AM386" s="121" t="str">
        <f t="shared" si="119"/>
        <v>90 - AW</v>
      </c>
      <c r="AO386" s="121" t="str">
        <f>IF('Cable Info'!N91="","",CONCATENATE('Cable Info'!N91," - ",'Cable Info'!O91))</f>
        <v>90 - AW</v>
      </c>
      <c r="AR386" s="121" t="str">
        <f t="shared" si="120"/>
        <v>90 - AW</v>
      </c>
      <c r="AT386" s="121" t="str">
        <f>IF('Cable Info'!P91="","",CONCATENATE('Cable Info'!P91," - ",'Cable Info'!Q91))</f>
        <v/>
      </c>
      <c r="AW386" s="121" t="str">
        <f t="shared" si="121"/>
        <v/>
      </c>
      <c r="AY386" s="121" t="str">
        <f>IF('Cable Info'!R91="","",CONCATENATE('Cable Info'!R91," - ",'Cable Info'!S91))</f>
        <v/>
      </c>
      <c r="BB386" s="121" t="str">
        <f t="shared" si="122"/>
        <v/>
      </c>
      <c r="BD386" s="121" t="str">
        <f>IF('Cable Info'!T91="","",CONCATENATE('Cable Info'!T91," - ",'Cable Info'!U91))</f>
        <v/>
      </c>
      <c r="BG386" s="121" t="str">
        <f t="shared" si="123"/>
        <v/>
      </c>
      <c r="BI386" s="121" t="str">
        <f>IF('Cable Info'!V91="","",CONCATENATE('Cable Info'!V91," - ",'Cable Info'!W91))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str">
        <f>IF('Cable Info'!L92="","",CONCATENATE('Cable Info'!L92," - ",'Cable Info'!M92))</f>
        <v>91 - AW</v>
      </c>
      <c r="AM387" s="121" t="str">
        <f t="shared" si="119"/>
        <v>91 - AW</v>
      </c>
      <c r="AO387" s="121" t="str">
        <f>IF('Cable Info'!N92="","",CONCATENATE('Cable Info'!N92," - ",'Cable Info'!O92))</f>
        <v>91 - AW</v>
      </c>
      <c r="AR387" s="121" t="str">
        <f t="shared" si="120"/>
        <v>91 - AW</v>
      </c>
      <c r="AT387" s="121" t="str">
        <f>IF('Cable Info'!P92="","",CONCATENATE('Cable Info'!P92," - ",'Cable Info'!Q92))</f>
        <v/>
      </c>
      <c r="AW387" s="121" t="str">
        <f t="shared" si="121"/>
        <v/>
      </c>
      <c r="AY387" s="121" t="str">
        <f>IF('Cable Info'!R92="","",CONCATENATE('Cable Info'!R92," - ",'Cable Info'!S92))</f>
        <v/>
      </c>
      <c r="BB387" s="121" t="str">
        <f t="shared" si="122"/>
        <v/>
      </c>
      <c r="BD387" s="121" t="str">
        <f>IF('Cable Info'!T92="","",CONCATENATE('Cable Info'!T92," - ",'Cable Info'!U92))</f>
        <v/>
      </c>
      <c r="BG387" s="121" t="str">
        <f t="shared" si="123"/>
        <v/>
      </c>
      <c r="BI387" s="121" t="str">
        <f>IF('Cable Info'!V92="","",CONCATENATE('Cable Info'!V92," - ",'Cable Info'!W92))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str">
        <f>IF('Cable Info'!L93="","",CONCATENATE('Cable Info'!L93," - ",'Cable Info'!M93))</f>
        <v>92 - AW</v>
      </c>
      <c r="AM388" s="121" t="str">
        <f t="shared" si="119"/>
        <v>92 - AW</v>
      </c>
      <c r="AO388" s="121" t="str">
        <f>IF('Cable Info'!N93="","",CONCATENATE('Cable Info'!N93," - ",'Cable Info'!O93))</f>
        <v>92 - AW</v>
      </c>
      <c r="AR388" s="121" t="str">
        <f t="shared" si="120"/>
        <v>92 - AW</v>
      </c>
      <c r="AT388" s="121" t="str">
        <f>IF('Cable Info'!P93="","",CONCATENATE('Cable Info'!P93," - ",'Cable Info'!Q93))</f>
        <v/>
      </c>
      <c r="AW388" s="121" t="str">
        <f t="shared" si="121"/>
        <v/>
      </c>
      <c r="AY388" s="121" t="str">
        <f>IF('Cable Info'!R93="","",CONCATENATE('Cable Info'!R93," - ",'Cable Info'!S93))</f>
        <v/>
      </c>
      <c r="BB388" s="121" t="str">
        <f t="shared" si="122"/>
        <v/>
      </c>
      <c r="BD388" s="121" t="str">
        <f>IF('Cable Info'!T93="","",CONCATENATE('Cable Info'!T93," - ",'Cable Info'!U93))</f>
        <v/>
      </c>
      <c r="BG388" s="121" t="str">
        <f t="shared" si="123"/>
        <v/>
      </c>
      <c r="BI388" s="121" t="str">
        <f>IF('Cable Info'!V93="","",CONCATENATE('Cable Info'!V93," - ",'Cable Info'!W93))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str">
        <f>IF('Cable Info'!L94="","",CONCATENATE('Cable Info'!L94," - ",'Cable Info'!M94))</f>
        <v>93 - AW</v>
      </c>
      <c r="AM389" s="121" t="str">
        <f t="shared" si="119"/>
        <v>93 - AW</v>
      </c>
      <c r="AO389" s="121" t="str">
        <f>IF('Cable Info'!N94="","",CONCATENATE('Cable Info'!N94," - ",'Cable Info'!O94))</f>
        <v>93 - AW</v>
      </c>
      <c r="AR389" s="121" t="str">
        <f t="shared" si="120"/>
        <v>93 - AW</v>
      </c>
      <c r="AT389" s="121" t="str">
        <f>IF('Cable Info'!P94="","",CONCATENATE('Cable Info'!P94," - ",'Cable Info'!Q94))</f>
        <v/>
      </c>
      <c r="AW389" s="121" t="str">
        <f t="shared" si="121"/>
        <v/>
      </c>
      <c r="AY389" s="121" t="str">
        <f>IF('Cable Info'!R94="","",CONCATENATE('Cable Info'!R94," - ",'Cable Info'!S94))</f>
        <v/>
      </c>
      <c r="BB389" s="121" t="str">
        <f t="shared" si="122"/>
        <v/>
      </c>
      <c r="BD389" s="121" t="str">
        <f>IF('Cable Info'!T94="","",CONCATENATE('Cable Info'!T94," - ",'Cable Info'!U94))</f>
        <v/>
      </c>
      <c r="BG389" s="121" t="str">
        <f t="shared" si="123"/>
        <v/>
      </c>
      <c r="BI389" s="121" t="str">
        <f>IF('Cable Info'!V94="","",CONCATENATE('Cable Info'!V94," - ",'Cable Info'!W94))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str">
        <f>IF('Cable Info'!L95="","",CONCATENATE('Cable Info'!L95," - ",'Cable Info'!M95))</f>
        <v>94 - AW</v>
      </c>
      <c r="AM390" s="121" t="str">
        <f t="shared" si="119"/>
        <v>94 - AW</v>
      </c>
      <c r="AO390" s="121" t="str">
        <f>IF('Cable Info'!N95="","",CONCATENATE('Cable Info'!N95," - ",'Cable Info'!O95))</f>
        <v>94 - AW</v>
      </c>
      <c r="AR390" s="121" t="str">
        <f t="shared" si="120"/>
        <v>94 - AW</v>
      </c>
      <c r="AT390" s="121" t="str">
        <f>IF('Cable Info'!P95="","",CONCATENATE('Cable Info'!P95," - ",'Cable Info'!Q95))</f>
        <v/>
      </c>
      <c r="AW390" s="121" t="str">
        <f t="shared" si="121"/>
        <v/>
      </c>
      <c r="AY390" s="121" t="str">
        <f>IF('Cable Info'!R95="","",CONCATENATE('Cable Info'!R95," - ",'Cable Info'!S95))</f>
        <v/>
      </c>
      <c r="BB390" s="121" t="str">
        <f t="shared" si="122"/>
        <v/>
      </c>
      <c r="BD390" s="121" t="str">
        <f>IF('Cable Info'!T95="","",CONCATENATE('Cable Info'!T95," - ",'Cable Info'!U95))</f>
        <v/>
      </c>
      <c r="BG390" s="121" t="str">
        <f t="shared" si="123"/>
        <v/>
      </c>
      <c r="BI390" s="121" t="str">
        <f>IF('Cable Info'!V95="","",CONCATENATE('Cable Info'!V95," - ",'Cable Info'!W95))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str">
        <f>IF('Cable Info'!L96="","",CONCATENATE('Cable Info'!L96," - ",'Cable Info'!M96))</f>
        <v>95 - AW</v>
      </c>
      <c r="AM391" s="121" t="str">
        <f t="shared" si="119"/>
        <v>95 - AW</v>
      </c>
      <c r="AO391" s="121" t="str">
        <f>IF('Cable Info'!N96="","",CONCATENATE('Cable Info'!N96," - ",'Cable Info'!O96))</f>
        <v>95 - AW</v>
      </c>
      <c r="AR391" s="121" t="str">
        <f t="shared" si="120"/>
        <v>95 - AW</v>
      </c>
      <c r="AT391" s="121" t="str">
        <f>IF('Cable Info'!P96="","",CONCATENATE('Cable Info'!P96," - ",'Cable Info'!Q96))</f>
        <v/>
      </c>
      <c r="AW391" s="121" t="str">
        <f t="shared" si="121"/>
        <v/>
      </c>
      <c r="AY391" s="121" t="str">
        <f>IF('Cable Info'!R96="","",CONCATENATE('Cable Info'!R96," - ",'Cable Info'!S96))</f>
        <v/>
      </c>
      <c r="BB391" s="121" t="str">
        <f t="shared" si="122"/>
        <v/>
      </c>
      <c r="BD391" s="121" t="str">
        <f>IF('Cable Info'!T96="","",CONCATENATE('Cable Info'!T96," - ",'Cable Info'!U96))</f>
        <v/>
      </c>
      <c r="BG391" s="121" t="str">
        <f t="shared" si="123"/>
        <v/>
      </c>
      <c r="BI391" s="121" t="str">
        <f>IF('Cable Info'!V96="","",CONCATENATE('Cable Info'!V96," - ",'Cable Info'!W96))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str">
        <f>IF('Cable Info'!L97="","",CONCATENATE('Cable Info'!L97," - ",'Cable Info'!M97))</f>
        <v>96 - AW</v>
      </c>
      <c r="AM392" s="121" t="str">
        <f t="shared" si="119"/>
        <v>96 - AW</v>
      </c>
      <c r="AO392" s="121" t="str">
        <f>IF('Cable Info'!N97="","",CONCATENATE('Cable Info'!N97," - ",'Cable Info'!O97))</f>
        <v>96 - AW</v>
      </c>
      <c r="AR392" s="121" t="str">
        <f t="shared" si="120"/>
        <v>96 - AW</v>
      </c>
      <c r="AT392" s="121" t="str">
        <f>IF('Cable Info'!P97="","",CONCATENATE('Cable Info'!P97," - ",'Cable Info'!Q97))</f>
        <v/>
      </c>
      <c r="AW392" s="121" t="str">
        <f t="shared" si="121"/>
        <v/>
      </c>
      <c r="AY392" s="121" t="str">
        <f>IF('Cable Info'!R97="","",CONCATENATE('Cable Info'!R97," - ",'Cable Info'!S97))</f>
        <v/>
      </c>
      <c r="BB392" s="121" t="str">
        <f t="shared" si="122"/>
        <v/>
      </c>
      <c r="BD392" s="121" t="str">
        <f>IF('Cable Info'!T97="","",CONCATENATE('Cable Info'!T97," - ",'Cable Info'!U97))</f>
        <v/>
      </c>
      <c r="BG392" s="121" t="str">
        <f t="shared" si="123"/>
        <v/>
      </c>
      <c r="BI392" s="121" t="str">
        <f>IF('Cable Info'!V97="","",CONCATENATE('Cable Info'!V97," - ",'Cable Info'!W97))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str">
        <f>IF('Cable Info'!L98="","",CONCATENATE('Cable Info'!L98," - ",'Cable Info'!M98))</f>
        <v>97 - AW</v>
      </c>
      <c r="AM393" s="121" t="str">
        <f t="shared" si="119"/>
        <v>97 - AW</v>
      </c>
      <c r="AO393" s="121" t="str">
        <f>IF('Cable Info'!N98="","",CONCATENATE('Cable Info'!N98," - ",'Cable Info'!O98))</f>
        <v>97 - AW</v>
      </c>
      <c r="AR393" s="121" t="str">
        <f t="shared" si="120"/>
        <v>97 - AW</v>
      </c>
      <c r="AT393" s="121" t="str">
        <f>IF('Cable Info'!P98="","",CONCATENATE('Cable Info'!P98," - ",'Cable Info'!Q98))</f>
        <v/>
      </c>
      <c r="AW393" s="121" t="str">
        <f t="shared" si="121"/>
        <v/>
      </c>
      <c r="AY393" s="121" t="str">
        <f>IF('Cable Info'!R98="","",CONCATENATE('Cable Info'!R98," - ",'Cable Info'!S98))</f>
        <v/>
      </c>
      <c r="BB393" s="121" t="str">
        <f t="shared" si="122"/>
        <v/>
      </c>
      <c r="BD393" s="121" t="str">
        <f>IF('Cable Info'!T98="","",CONCATENATE('Cable Info'!T98," - ",'Cable Info'!U98))</f>
        <v/>
      </c>
      <c r="BG393" s="121" t="str">
        <f t="shared" si="123"/>
        <v/>
      </c>
      <c r="BI393" s="121" t="str">
        <f>IF('Cable Info'!V98="","",CONCATENATE('Cable Info'!V98," - ",'Cable Info'!W98))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str">
        <f>IF('Cable Info'!L99="","",CONCATENATE('Cable Info'!L99," - ",'Cable Info'!M99))</f>
        <v>98 - AW</v>
      </c>
      <c r="AM394" s="121" t="str">
        <f t="shared" si="119"/>
        <v>98 - AW</v>
      </c>
      <c r="AO394" s="121" t="str">
        <f>IF('Cable Info'!N99="","",CONCATENATE('Cable Info'!N99," - ",'Cable Info'!O99))</f>
        <v>98 - AW</v>
      </c>
      <c r="AR394" s="121" t="str">
        <f t="shared" si="120"/>
        <v>98 - AW</v>
      </c>
      <c r="AT394" s="121" t="str">
        <f>IF('Cable Info'!P99="","",CONCATENATE('Cable Info'!P99," - ",'Cable Info'!Q99))</f>
        <v/>
      </c>
      <c r="AW394" s="121" t="str">
        <f t="shared" si="121"/>
        <v/>
      </c>
      <c r="AY394" s="121" t="str">
        <f>IF('Cable Info'!R99="","",CONCATENATE('Cable Info'!R99," - ",'Cable Info'!S99))</f>
        <v/>
      </c>
      <c r="BB394" s="121" t="str">
        <f t="shared" si="122"/>
        <v/>
      </c>
      <c r="BD394" s="121" t="str">
        <f>IF('Cable Info'!T99="","",CONCATENATE('Cable Info'!T99," - ",'Cable Info'!U99))</f>
        <v/>
      </c>
      <c r="BG394" s="121" t="str">
        <f t="shared" si="123"/>
        <v/>
      </c>
      <c r="BI394" s="121" t="str">
        <f>IF('Cable Info'!V99="","",CONCATENATE('Cable Info'!V99," - ",'Cable Info'!W99))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str">
        <f>IF('Cable Info'!L100="","",CONCATENATE('Cable Info'!L100," - ",'Cable Info'!M100))</f>
        <v>99 - AW</v>
      </c>
      <c r="AM395" s="121" t="str">
        <f t="shared" si="119"/>
        <v>99 - AW</v>
      </c>
      <c r="AO395" s="121" t="str">
        <f>IF('Cable Info'!N100="","",CONCATENATE('Cable Info'!N100," - ",'Cable Info'!O100))</f>
        <v>99 - AW</v>
      </c>
      <c r="AR395" s="121" t="str">
        <f t="shared" si="120"/>
        <v>99 - AW</v>
      </c>
      <c r="AT395" s="121" t="str">
        <f>IF('Cable Info'!P100="","",CONCATENATE('Cable Info'!P100," - ",'Cable Info'!Q100))</f>
        <v/>
      </c>
      <c r="AW395" s="121" t="str">
        <f t="shared" si="121"/>
        <v/>
      </c>
      <c r="AY395" s="121" t="str">
        <f>IF('Cable Info'!R100="","",CONCATENATE('Cable Info'!R100," - ",'Cable Info'!S100))</f>
        <v/>
      </c>
      <c r="BB395" s="121" t="str">
        <f t="shared" si="122"/>
        <v/>
      </c>
      <c r="BD395" s="121" t="str">
        <f>IF('Cable Info'!T100="","",CONCATENATE('Cable Info'!T100," - ",'Cable Info'!U100))</f>
        <v/>
      </c>
      <c r="BG395" s="121" t="str">
        <f t="shared" si="123"/>
        <v/>
      </c>
      <c r="BI395" s="121" t="str">
        <f>IF('Cable Info'!V100="","",CONCATENATE('Cable Info'!V100," - ",'Cable Info'!W100))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str">
        <f>IF('Cable Info'!L101="","",CONCATENATE('Cable Info'!L101," - ",'Cable Info'!M101))</f>
        <v>100 - AW</v>
      </c>
      <c r="AM396" s="121" t="str">
        <f t="shared" si="119"/>
        <v>100 - AW</v>
      </c>
      <c r="AO396" s="121" t="str">
        <f>IF('Cable Info'!N101="","",CONCATENATE('Cable Info'!N101," - ",'Cable Info'!O101))</f>
        <v>100 - AW</v>
      </c>
      <c r="AR396" s="121" t="str">
        <f t="shared" si="120"/>
        <v>100 - AW</v>
      </c>
      <c r="AT396" s="121" t="str">
        <f>IF('Cable Info'!P101="","",CONCATENATE('Cable Info'!P101," - ",'Cable Info'!Q101))</f>
        <v/>
      </c>
      <c r="AW396" s="121" t="str">
        <f t="shared" si="121"/>
        <v/>
      </c>
      <c r="AY396" s="121" t="str">
        <f>IF('Cable Info'!R101="","",CONCATENATE('Cable Info'!R101," - ",'Cable Info'!S101))</f>
        <v/>
      </c>
      <c r="BB396" s="121" t="str">
        <f t="shared" si="122"/>
        <v/>
      </c>
      <c r="BD396" s="121" t="str">
        <f>IF('Cable Info'!T101="","",CONCATENATE('Cable Info'!T101," - ",'Cable Info'!U101))</f>
        <v/>
      </c>
      <c r="BG396" s="121" t="str">
        <f t="shared" si="123"/>
        <v/>
      </c>
      <c r="BI396" s="121" t="str">
        <f>IF('Cable Info'!V101="","",CONCATENATE('Cable Info'!V101," - ",'Cable Info'!W101))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str">
        <f>IF('Cable Info'!L102="","",CONCATENATE('Cable Info'!L102," - ",'Cable Info'!M102))</f>
        <v>101 - AW</v>
      </c>
      <c r="AM397" s="121" t="str">
        <f t="shared" si="119"/>
        <v>101 - AW</v>
      </c>
      <c r="AO397" s="121" t="str">
        <f>IF('Cable Info'!N102="","",CONCATENATE('Cable Info'!N102," - ",'Cable Info'!O102))</f>
        <v>101 - AW</v>
      </c>
      <c r="AR397" s="121" t="str">
        <f t="shared" si="120"/>
        <v>101 - AW</v>
      </c>
      <c r="AT397" s="121" t="str">
        <f>IF('Cable Info'!P102="","",CONCATENATE('Cable Info'!P102," - ",'Cable Info'!Q102))</f>
        <v/>
      </c>
      <c r="AW397" s="121" t="str">
        <f t="shared" si="121"/>
        <v/>
      </c>
      <c r="AY397" s="121" t="str">
        <f>IF('Cable Info'!R102="","",CONCATENATE('Cable Info'!R102," - ",'Cable Info'!S102))</f>
        <v/>
      </c>
      <c r="BB397" s="121" t="str">
        <f t="shared" si="122"/>
        <v/>
      </c>
      <c r="BD397" s="121" t="str">
        <f>IF('Cable Info'!T102="","",CONCATENATE('Cable Info'!T102," - ",'Cable Info'!U102))</f>
        <v/>
      </c>
      <c r="BG397" s="121" t="str">
        <f t="shared" si="123"/>
        <v/>
      </c>
      <c r="BI397" s="121" t="str">
        <f>IF('Cable Info'!V102="","",CONCATENATE('Cable Info'!V102," - ",'Cable Info'!W102))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str">
        <f>IF('Cable Info'!L103="","",CONCATENATE('Cable Info'!L103," - ",'Cable Info'!M103))</f>
        <v>102 - AW</v>
      </c>
      <c r="AM398" s="121" t="str">
        <f t="shared" si="119"/>
        <v>102 - AW</v>
      </c>
      <c r="AO398" s="121" t="str">
        <f>IF('Cable Info'!N103="","",CONCATENATE('Cable Info'!N103," - ",'Cable Info'!O103))</f>
        <v>102 - AW</v>
      </c>
      <c r="AR398" s="121" t="str">
        <f t="shared" si="120"/>
        <v>102 - AW</v>
      </c>
      <c r="AT398" s="121" t="str">
        <f>IF('Cable Info'!P103="","",CONCATENATE('Cable Info'!P103," - ",'Cable Info'!Q103))</f>
        <v/>
      </c>
      <c r="AW398" s="121" t="str">
        <f t="shared" si="121"/>
        <v/>
      </c>
      <c r="AY398" s="121" t="str">
        <f>IF('Cable Info'!R103="","",CONCATENATE('Cable Info'!R103," - ",'Cable Info'!S103))</f>
        <v/>
      </c>
      <c r="BB398" s="121" t="str">
        <f t="shared" si="122"/>
        <v/>
      </c>
      <c r="BD398" s="121" t="str">
        <f>IF('Cable Info'!T103="","",CONCATENATE('Cable Info'!T103," - ",'Cable Info'!U103))</f>
        <v/>
      </c>
      <c r="BG398" s="121" t="str">
        <f t="shared" si="123"/>
        <v/>
      </c>
      <c r="BI398" s="121" t="str">
        <f>IF('Cable Info'!V103="","",CONCATENATE('Cable Info'!V103," - ",'Cable Info'!W103))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str">
        <f>IF('Cable Info'!L104="","",CONCATENATE('Cable Info'!L104," - ",'Cable Info'!M104))</f>
        <v>103 - AW</v>
      </c>
      <c r="AM399" s="121" t="str">
        <f t="shared" si="119"/>
        <v>103 - AW</v>
      </c>
      <c r="AO399" s="121" t="str">
        <f>IF('Cable Info'!N104="","",CONCATENATE('Cable Info'!N104," - ",'Cable Info'!O104))</f>
        <v>103 - AW</v>
      </c>
      <c r="AR399" s="121" t="str">
        <f t="shared" si="120"/>
        <v>103 - AW</v>
      </c>
      <c r="AT399" s="121" t="str">
        <f>IF('Cable Info'!P104="","",CONCATENATE('Cable Info'!P104," - ",'Cable Info'!Q104))</f>
        <v/>
      </c>
      <c r="AW399" s="121" t="str">
        <f t="shared" si="121"/>
        <v/>
      </c>
      <c r="AY399" s="121" t="str">
        <f>IF('Cable Info'!R104="","",CONCATENATE('Cable Info'!R104," - ",'Cable Info'!S104))</f>
        <v/>
      </c>
      <c r="BB399" s="121" t="str">
        <f t="shared" si="122"/>
        <v/>
      </c>
      <c r="BD399" s="121" t="str">
        <f>IF('Cable Info'!T104="","",CONCATENATE('Cable Info'!T104," - ",'Cable Info'!U104))</f>
        <v/>
      </c>
      <c r="BG399" s="121" t="str">
        <f t="shared" si="123"/>
        <v/>
      </c>
      <c r="BI399" s="121" t="str">
        <f>IF('Cable Info'!V104="","",CONCATENATE('Cable Info'!V104," - ",'Cable Info'!W104))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str">
        <f>IF('Cable Info'!L105="","",CONCATENATE('Cable Info'!L105," - ",'Cable Info'!M105))</f>
        <v>104 - AW</v>
      </c>
      <c r="AM400" s="121" t="str">
        <f t="shared" si="119"/>
        <v>104 - AW</v>
      </c>
      <c r="AO400" s="121" t="str">
        <f>IF('Cable Info'!N105="","",CONCATENATE('Cable Info'!N105," - ",'Cable Info'!O105))</f>
        <v>104 - AW</v>
      </c>
      <c r="AR400" s="121" t="str">
        <f t="shared" si="120"/>
        <v>104 - AW</v>
      </c>
      <c r="AT400" s="121" t="str">
        <f>IF('Cable Info'!P105="","",CONCATENATE('Cable Info'!P105," - ",'Cable Info'!Q105))</f>
        <v/>
      </c>
      <c r="AW400" s="121" t="str">
        <f t="shared" si="121"/>
        <v/>
      </c>
      <c r="AY400" s="121" t="str">
        <f>IF('Cable Info'!R105="","",CONCATENATE('Cable Info'!R105," - ",'Cable Info'!S105))</f>
        <v/>
      </c>
      <c r="BB400" s="121" t="str">
        <f t="shared" si="122"/>
        <v/>
      </c>
      <c r="BD400" s="121" t="str">
        <f>IF('Cable Info'!T105="","",CONCATENATE('Cable Info'!T105," - ",'Cable Info'!U105))</f>
        <v/>
      </c>
      <c r="BG400" s="121" t="str">
        <f t="shared" si="123"/>
        <v/>
      </c>
      <c r="BI400" s="121" t="str">
        <f>IF('Cable Info'!V105="","",CONCATENATE('Cable Info'!V105," - ",'Cable Info'!W105))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str">
        <f>IF('Cable Info'!L106="","",CONCATENATE('Cable Info'!L106," - ",'Cable Info'!M106))</f>
        <v>105 - AW</v>
      </c>
      <c r="AM401" s="121" t="str">
        <f t="shared" si="119"/>
        <v>105 - AW</v>
      </c>
      <c r="AO401" s="121" t="str">
        <f>IF('Cable Info'!N106="","",CONCATENATE('Cable Info'!N106," - ",'Cable Info'!O106))</f>
        <v>105 - AW</v>
      </c>
      <c r="AR401" s="121" t="str">
        <f t="shared" si="120"/>
        <v>105 - AW</v>
      </c>
      <c r="AT401" s="121" t="str">
        <f>IF('Cable Info'!P106="","",CONCATENATE('Cable Info'!P106," - ",'Cable Info'!Q106))</f>
        <v/>
      </c>
      <c r="AW401" s="121" t="str">
        <f t="shared" si="121"/>
        <v/>
      </c>
      <c r="AY401" s="121" t="str">
        <f>IF('Cable Info'!R106="","",CONCATENATE('Cable Info'!R106," - ",'Cable Info'!S106))</f>
        <v/>
      </c>
      <c r="BB401" s="121" t="str">
        <f t="shared" si="122"/>
        <v/>
      </c>
      <c r="BD401" s="121" t="str">
        <f>IF('Cable Info'!T106="","",CONCATENATE('Cable Info'!T106," - ",'Cable Info'!U106))</f>
        <v/>
      </c>
      <c r="BG401" s="121" t="str">
        <f t="shared" si="123"/>
        <v/>
      </c>
      <c r="BI401" s="121" t="str">
        <f>IF('Cable Info'!V106="","",CONCATENATE('Cable Info'!V106," - ",'Cable Info'!W106))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str">
        <f>IF('Cable Info'!L107="","",CONCATENATE('Cable Info'!L107," - ",'Cable Info'!M107))</f>
        <v>106 - AW</v>
      </c>
      <c r="AM402" s="121" t="str">
        <f t="shared" si="119"/>
        <v>106 - AW</v>
      </c>
      <c r="AO402" s="121" t="str">
        <f>IF('Cable Info'!N107="","",CONCATENATE('Cable Info'!N107," - ",'Cable Info'!O107))</f>
        <v>106 - AW</v>
      </c>
      <c r="AR402" s="121" t="str">
        <f t="shared" si="120"/>
        <v>106 - AW</v>
      </c>
      <c r="AT402" s="121" t="str">
        <f>IF('Cable Info'!P107="","",CONCATENATE('Cable Info'!P107," - ",'Cable Info'!Q107))</f>
        <v/>
      </c>
      <c r="AW402" s="121" t="str">
        <f t="shared" si="121"/>
        <v/>
      </c>
      <c r="AY402" s="121" t="str">
        <f>IF('Cable Info'!R107="","",CONCATENATE('Cable Info'!R107," - ",'Cable Info'!S107))</f>
        <v/>
      </c>
      <c r="BB402" s="121" t="str">
        <f t="shared" si="122"/>
        <v/>
      </c>
      <c r="BD402" s="121" t="str">
        <f>IF('Cable Info'!T107="","",CONCATENATE('Cable Info'!T107," - ",'Cable Info'!U107))</f>
        <v/>
      </c>
      <c r="BG402" s="121" t="str">
        <f t="shared" si="123"/>
        <v/>
      </c>
      <c r="BI402" s="121" t="str">
        <f>IF('Cable Info'!V107="","",CONCATENATE('Cable Info'!V107," - ",'Cable Info'!W107))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str">
        <f>IF('Cable Info'!L108="","",CONCATENATE('Cable Info'!L108," - ",'Cable Info'!M108))</f>
        <v>107 - AW</v>
      </c>
      <c r="AM403" s="121" t="str">
        <f t="shared" si="119"/>
        <v>107 - AW</v>
      </c>
      <c r="AO403" s="121" t="str">
        <f>IF('Cable Info'!N108="","",CONCATENATE('Cable Info'!N108," - ",'Cable Info'!O108))</f>
        <v>107 - AW</v>
      </c>
      <c r="AR403" s="121" t="str">
        <f t="shared" si="120"/>
        <v>107 - AW</v>
      </c>
      <c r="AT403" s="121" t="str">
        <f>IF('Cable Info'!P108="","",CONCATENATE('Cable Info'!P108," - ",'Cable Info'!Q108))</f>
        <v/>
      </c>
      <c r="AW403" s="121" t="str">
        <f t="shared" si="121"/>
        <v/>
      </c>
      <c r="AY403" s="121" t="str">
        <f>IF('Cable Info'!R108="","",CONCATENATE('Cable Info'!R108," - ",'Cable Info'!S108))</f>
        <v/>
      </c>
      <c r="BB403" s="121" t="str">
        <f t="shared" si="122"/>
        <v/>
      </c>
      <c r="BD403" s="121" t="str">
        <f>IF('Cable Info'!T108="","",CONCATENATE('Cable Info'!T108," - ",'Cable Info'!U108))</f>
        <v/>
      </c>
      <c r="BG403" s="121" t="str">
        <f t="shared" si="123"/>
        <v/>
      </c>
      <c r="BI403" s="121" t="str">
        <f>IF('Cable Info'!V108="","",CONCATENATE('Cable Info'!V108," - ",'Cable Info'!W108))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str">
        <f>IF('Cable Info'!L109="","",CONCATENATE('Cable Info'!L109," - ",'Cable Info'!M109))</f>
        <v>108 - AW</v>
      </c>
      <c r="AM404" s="121" t="str">
        <f t="shared" si="119"/>
        <v>108 - AW</v>
      </c>
      <c r="AO404" s="121" t="str">
        <f>IF('Cable Info'!N109="","",CONCATENATE('Cable Info'!N109," - ",'Cable Info'!O109))</f>
        <v>108 - AW</v>
      </c>
      <c r="AR404" s="121" t="str">
        <f t="shared" si="120"/>
        <v>108 - AW</v>
      </c>
      <c r="AT404" s="121" t="str">
        <f>IF('Cable Info'!P109="","",CONCATENATE('Cable Info'!P109," - ",'Cable Info'!Q109))</f>
        <v/>
      </c>
      <c r="AW404" s="121" t="str">
        <f t="shared" si="121"/>
        <v/>
      </c>
      <c r="AY404" s="121" t="str">
        <f>IF('Cable Info'!R109="","",CONCATENATE('Cable Info'!R109," - ",'Cable Info'!S109))</f>
        <v/>
      </c>
      <c r="BB404" s="121" t="str">
        <f t="shared" si="122"/>
        <v/>
      </c>
      <c r="BD404" s="121" t="str">
        <f>IF('Cable Info'!T109="","",CONCATENATE('Cable Info'!T109," - ",'Cable Info'!U109))</f>
        <v/>
      </c>
      <c r="BG404" s="121" t="str">
        <f t="shared" si="123"/>
        <v/>
      </c>
      <c r="BI404" s="121" t="str">
        <f>IF('Cable Info'!V109="","",CONCATENATE('Cable Info'!V109," - ",'Cable Info'!W109))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str">
        <f>IF('Cable Info'!L110="","",CONCATENATE('Cable Info'!L110," - ",'Cable Info'!M110))</f>
        <v>109 - AW</v>
      </c>
      <c r="AM405" s="121" t="str">
        <f t="shared" si="119"/>
        <v>109 - AW</v>
      </c>
      <c r="AO405" s="121" t="str">
        <f>IF('Cable Info'!N110="","",CONCATENATE('Cable Info'!N110," - ",'Cable Info'!O110))</f>
        <v>109 - AW</v>
      </c>
      <c r="AR405" s="121" t="str">
        <f t="shared" si="120"/>
        <v>109 - AW</v>
      </c>
      <c r="AT405" s="121" t="str">
        <f>IF('Cable Info'!P110="","",CONCATENATE('Cable Info'!P110," - ",'Cable Info'!Q110))</f>
        <v/>
      </c>
      <c r="AW405" s="121" t="str">
        <f t="shared" si="121"/>
        <v/>
      </c>
      <c r="AY405" s="121" t="str">
        <f>IF('Cable Info'!R110="","",CONCATENATE('Cable Info'!R110," - ",'Cable Info'!S110))</f>
        <v/>
      </c>
      <c r="BB405" s="121" t="str">
        <f t="shared" si="122"/>
        <v/>
      </c>
      <c r="BD405" s="121" t="str">
        <f>IF('Cable Info'!T110="","",CONCATENATE('Cable Info'!T110," - ",'Cable Info'!U110))</f>
        <v/>
      </c>
      <c r="BG405" s="121" t="str">
        <f t="shared" si="123"/>
        <v/>
      </c>
      <c r="BI405" s="121" t="str">
        <f>IF('Cable Info'!V110="","",CONCATENATE('Cable Info'!V110," - ",'Cable Info'!W110))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str">
        <f>IF('Cable Info'!L111="","",CONCATENATE('Cable Info'!L111," - ",'Cable Info'!M111))</f>
        <v>110 - AW</v>
      </c>
      <c r="AM406" s="121" t="str">
        <f t="shared" si="119"/>
        <v>110 - AW</v>
      </c>
      <c r="AO406" s="121" t="str">
        <f>IF('Cable Info'!N111="","",CONCATENATE('Cable Info'!N111," - ",'Cable Info'!O111))</f>
        <v>110 - AW</v>
      </c>
      <c r="AR406" s="121" t="str">
        <f t="shared" si="120"/>
        <v>110 - AW</v>
      </c>
      <c r="AT406" s="121" t="str">
        <f>IF('Cable Info'!P111="","",CONCATENATE('Cable Info'!P111," - ",'Cable Info'!Q111))</f>
        <v/>
      </c>
      <c r="AW406" s="121" t="str">
        <f t="shared" si="121"/>
        <v/>
      </c>
      <c r="AY406" s="121" t="str">
        <f>IF('Cable Info'!R111="","",CONCATENATE('Cable Info'!R111," - ",'Cable Info'!S111))</f>
        <v/>
      </c>
      <c r="BB406" s="121" t="str">
        <f t="shared" si="122"/>
        <v/>
      </c>
      <c r="BD406" s="121" t="str">
        <f>IF('Cable Info'!T111="","",CONCATENATE('Cable Info'!T111," - ",'Cable Info'!U111))</f>
        <v/>
      </c>
      <c r="BG406" s="121" t="str">
        <f t="shared" si="123"/>
        <v/>
      </c>
      <c r="BI406" s="121" t="str">
        <f>IF('Cable Info'!V111="","",CONCATENATE('Cable Info'!V111," - ",'Cable Info'!W111))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str">
        <f>IF('Cable Info'!L112="","",CONCATENATE('Cable Info'!L112," - ",'Cable Info'!M112))</f>
        <v>111 - AW</v>
      </c>
      <c r="AM407" s="121" t="str">
        <f t="shared" si="119"/>
        <v>111 - AW</v>
      </c>
      <c r="AO407" s="121" t="str">
        <f>IF('Cable Info'!N112="","",CONCATENATE('Cable Info'!N112," - ",'Cable Info'!O112))</f>
        <v>111 - AW</v>
      </c>
      <c r="AR407" s="121" t="str">
        <f t="shared" si="120"/>
        <v>111 - AW</v>
      </c>
      <c r="AT407" s="121" t="str">
        <f>IF('Cable Info'!P112="","",CONCATENATE('Cable Info'!P112," - ",'Cable Info'!Q112))</f>
        <v/>
      </c>
      <c r="AW407" s="121" t="str">
        <f t="shared" si="121"/>
        <v/>
      </c>
      <c r="AY407" s="121" t="str">
        <f>IF('Cable Info'!R112="","",CONCATENATE('Cable Info'!R112," - ",'Cable Info'!S112))</f>
        <v/>
      </c>
      <c r="BB407" s="121" t="str">
        <f t="shared" si="122"/>
        <v/>
      </c>
      <c r="BD407" s="121" t="str">
        <f>IF('Cable Info'!T112="","",CONCATENATE('Cable Info'!T112," - ",'Cable Info'!U112))</f>
        <v/>
      </c>
      <c r="BG407" s="121" t="str">
        <f t="shared" si="123"/>
        <v/>
      </c>
      <c r="BI407" s="121" t="str">
        <f>IF('Cable Info'!V112="","",CONCATENATE('Cable Info'!V112," - ",'Cable Info'!W112))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str">
        <f>IF('Cable Info'!L113="","",CONCATENATE('Cable Info'!L113," - ",'Cable Info'!M113))</f>
        <v>112 - AW</v>
      </c>
      <c r="AM408" s="121" t="str">
        <f t="shared" si="119"/>
        <v>112 - AW</v>
      </c>
      <c r="AO408" s="121" t="str">
        <f>IF('Cable Info'!N113="","",CONCATENATE('Cable Info'!N113," - ",'Cable Info'!O113))</f>
        <v>112 - AW</v>
      </c>
      <c r="AR408" s="121" t="str">
        <f t="shared" si="120"/>
        <v>112 - AW</v>
      </c>
      <c r="AT408" s="121" t="str">
        <f>IF('Cable Info'!P113="","",CONCATENATE('Cable Info'!P113," - ",'Cable Info'!Q113))</f>
        <v/>
      </c>
      <c r="AW408" s="121" t="str">
        <f t="shared" si="121"/>
        <v/>
      </c>
      <c r="AY408" s="121" t="str">
        <f>IF('Cable Info'!R113="","",CONCATENATE('Cable Info'!R113," - ",'Cable Info'!S113))</f>
        <v/>
      </c>
      <c r="BB408" s="121" t="str">
        <f t="shared" si="122"/>
        <v/>
      </c>
      <c r="BD408" s="121" t="str">
        <f>IF('Cable Info'!T113="","",CONCATENATE('Cable Info'!T113," - ",'Cable Info'!U113))</f>
        <v/>
      </c>
      <c r="BG408" s="121" t="str">
        <f t="shared" si="123"/>
        <v/>
      </c>
      <c r="BI408" s="121" t="str">
        <f>IF('Cable Info'!V113="","",CONCATENATE('Cable Info'!V113," - ",'Cable Info'!W113))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str">
        <f>IF('Cable Info'!L114="","",CONCATENATE('Cable Info'!L114," - ",'Cable Info'!M114))</f>
        <v>113 - AW</v>
      </c>
      <c r="AM409" s="121" t="str">
        <f t="shared" si="119"/>
        <v>113 - AW</v>
      </c>
      <c r="AO409" s="121" t="str">
        <f>IF('Cable Info'!N114="","",CONCATENATE('Cable Info'!N114," - ",'Cable Info'!O114))</f>
        <v>113 - AW</v>
      </c>
      <c r="AR409" s="121" t="str">
        <f t="shared" si="120"/>
        <v>113 - AW</v>
      </c>
      <c r="AT409" s="121" t="str">
        <f>IF('Cable Info'!P114="","",CONCATENATE('Cable Info'!P114," - ",'Cable Info'!Q114))</f>
        <v/>
      </c>
      <c r="AW409" s="121" t="str">
        <f t="shared" si="121"/>
        <v/>
      </c>
      <c r="AY409" s="121" t="str">
        <f>IF('Cable Info'!R114="","",CONCATENATE('Cable Info'!R114," - ",'Cable Info'!S114))</f>
        <v/>
      </c>
      <c r="BB409" s="121" t="str">
        <f t="shared" si="122"/>
        <v/>
      </c>
      <c r="BD409" s="121" t="str">
        <f>IF('Cable Info'!T114="","",CONCATENATE('Cable Info'!T114," - ",'Cable Info'!U114))</f>
        <v/>
      </c>
      <c r="BG409" s="121" t="str">
        <f t="shared" si="123"/>
        <v/>
      </c>
      <c r="BI409" s="121" t="str">
        <f>IF('Cable Info'!V114="","",CONCATENATE('Cable Info'!V114," - ",'Cable Info'!W114))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str">
        <f>IF('Cable Info'!L115="","",CONCATENATE('Cable Info'!L115," - ",'Cable Info'!M115))</f>
        <v>114 - AW</v>
      </c>
      <c r="AM410" s="121" t="str">
        <f t="shared" si="119"/>
        <v>114 - AW</v>
      </c>
      <c r="AO410" s="121" t="str">
        <f>IF('Cable Info'!N115="","",CONCATENATE('Cable Info'!N115," - ",'Cable Info'!O115))</f>
        <v>114 - AW</v>
      </c>
      <c r="AR410" s="121" t="str">
        <f t="shared" si="120"/>
        <v>114 - AW</v>
      </c>
      <c r="AT410" s="121" t="str">
        <f>IF('Cable Info'!P115="","",CONCATENATE('Cable Info'!P115," - ",'Cable Info'!Q115))</f>
        <v/>
      </c>
      <c r="AW410" s="121" t="str">
        <f t="shared" si="121"/>
        <v/>
      </c>
      <c r="AY410" s="121" t="str">
        <f>IF('Cable Info'!R115="","",CONCATENATE('Cable Info'!R115," - ",'Cable Info'!S115))</f>
        <v/>
      </c>
      <c r="BB410" s="121" t="str">
        <f t="shared" si="122"/>
        <v/>
      </c>
      <c r="BD410" s="121" t="str">
        <f>IF('Cable Info'!T115="","",CONCATENATE('Cable Info'!T115," - ",'Cable Info'!U115))</f>
        <v/>
      </c>
      <c r="BG410" s="121" t="str">
        <f t="shared" si="123"/>
        <v/>
      </c>
      <c r="BI410" s="121" t="str">
        <f>IF('Cable Info'!V115="","",CONCATENATE('Cable Info'!V115," - ",'Cable Info'!W115))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str">
        <f>IF('Cable Info'!L116="","",CONCATENATE('Cable Info'!L116," - ",'Cable Info'!M116))</f>
        <v>115 - AW</v>
      </c>
      <c r="AM411" s="121" t="str">
        <f t="shared" si="119"/>
        <v>115 - AW</v>
      </c>
      <c r="AO411" s="121" t="str">
        <f>IF('Cable Info'!N116="","",CONCATENATE('Cable Info'!N116," - ",'Cable Info'!O116))</f>
        <v>115 - AW</v>
      </c>
      <c r="AR411" s="121" t="str">
        <f t="shared" si="120"/>
        <v>115 - AW</v>
      </c>
      <c r="AT411" s="121" t="str">
        <f>IF('Cable Info'!P116="","",CONCATENATE('Cable Info'!P116," - ",'Cable Info'!Q116))</f>
        <v/>
      </c>
      <c r="AW411" s="121" t="str">
        <f t="shared" si="121"/>
        <v/>
      </c>
      <c r="AY411" s="121" t="str">
        <f>IF('Cable Info'!R116="","",CONCATENATE('Cable Info'!R116," - ",'Cable Info'!S116))</f>
        <v/>
      </c>
      <c r="BB411" s="121" t="str">
        <f t="shared" si="122"/>
        <v/>
      </c>
      <c r="BD411" s="121" t="str">
        <f>IF('Cable Info'!T116="","",CONCATENATE('Cable Info'!T116," - ",'Cable Info'!U116))</f>
        <v/>
      </c>
      <c r="BG411" s="121" t="str">
        <f t="shared" si="123"/>
        <v/>
      </c>
      <c r="BI411" s="121" t="str">
        <f>IF('Cable Info'!V116="","",CONCATENATE('Cable Info'!V116," - ",'Cable Info'!W116))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str">
        <f>IF('Cable Info'!L117="","",CONCATENATE('Cable Info'!L117," - ",'Cable Info'!M117))</f>
        <v>116 - AW</v>
      </c>
      <c r="AM412" s="121" t="str">
        <f t="shared" si="119"/>
        <v>116 - AW</v>
      </c>
      <c r="AO412" s="121" t="str">
        <f>IF('Cable Info'!N117="","",CONCATENATE('Cable Info'!N117," - ",'Cable Info'!O117))</f>
        <v>116 - AW</v>
      </c>
      <c r="AR412" s="121" t="str">
        <f t="shared" si="120"/>
        <v>116 - AW</v>
      </c>
      <c r="AT412" s="121" t="str">
        <f>IF('Cable Info'!P117="","",CONCATENATE('Cable Info'!P117," - ",'Cable Info'!Q117))</f>
        <v/>
      </c>
      <c r="AW412" s="121" t="str">
        <f t="shared" si="121"/>
        <v/>
      </c>
      <c r="AY412" s="121" t="str">
        <f>IF('Cable Info'!R117="","",CONCATENATE('Cable Info'!R117," - ",'Cable Info'!S117))</f>
        <v/>
      </c>
      <c r="BB412" s="121" t="str">
        <f t="shared" si="122"/>
        <v/>
      </c>
      <c r="BD412" s="121" t="str">
        <f>IF('Cable Info'!T117="","",CONCATENATE('Cable Info'!T117," - ",'Cable Info'!U117))</f>
        <v/>
      </c>
      <c r="BG412" s="121" t="str">
        <f t="shared" si="123"/>
        <v/>
      </c>
      <c r="BI412" s="121" t="str">
        <f>IF('Cable Info'!V117="","",CONCATENATE('Cable Info'!V117," - ",'Cable Info'!W117))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str">
        <f>IF('Cable Info'!L118="","",CONCATENATE('Cable Info'!L118," - ",'Cable Info'!M118))</f>
        <v>117 - AW</v>
      </c>
      <c r="AM413" s="121" t="str">
        <f t="shared" si="119"/>
        <v>117 - AW</v>
      </c>
      <c r="AO413" s="121" t="str">
        <f>IF('Cable Info'!N118="","",CONCATENATE('Cable Info'!N118," - ",'Cable Info'!O118))</f>
        <v>117 - AW</v>
      </c>
      <c r="AR413" s="121" t="str">
        <f t="shared" si="120"/>
        <v>117 - AW</v>
      </c>
      <c r="AT413" s="121" t="str">
        <f>IF('Cable Info'!P118="","",CONCATENATE('Cable Info'!P118," - ",'Cable Info'!Q118))</f>
        <v/>
      </c>
      <c r="AW413" s="121" t="str">
        <f t="shared" si="121"/>
        <v/>
      </c>
      <c r="AY413" s="121" t="str">
        <f>IF('Cable Info'!R118="","",CONCATENATE('Cable Info'!R118," - ",'Cable Info'!S118))</f>
        <v/>
      </c>
      <c r="BB413" s="121" t="str">
        <f t="shared" si="122"/>
        <v/>
      </c>
      <c r="BD413" s="121" t="str">
        <f>IF('Cable Info'!T118="","",CONCATENATE('Cable Info'!T118," - ",'Cable Info'!U118))</f>
        <v/>
      </c>
      <c r="BG413" s="121" t="str">
        <f t="shared" si="123"/>
        <v/>
      </c>
      <c r="BI413" s="121" t="str">
        <f>IF('Cable Info'!V118="","",CONCATENATE('Cable Info'!V118," - ",'Cable Info'!W118))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str">
        <f>IF('Cable Info'!L119="","",CONCATENATE('Cable Info'!L119," - ",'Cable Info'!M119))</f>
        <v>118 - AW</v>
      </c>
      <c r="AM414" s="121" t="str">
        <f t="shared" si="119"/>
        <v>118 - AW</v>
      </c>
      <c r="AO414" s="121" t="str">
        <f>IF('Cable Info'!N119="","",CONCATENATE('Cable Info'!N119," - ",'Cable Info'!O119))</f>
        <v>118 - AW</v>
      </c>
      <c r="AR414" s="121" t="str">
        <f t="shared" si="120"/>
        <v>118 - AW</v>
      </c>
      <c r="AT414" s="121" t="str">
        <f>IF('Cable Info'!P119="","",CONCATENATE('Cable Info'!P119," - ",'Cable Info'!Q119))</f>
        <v/>
      </c>
      <c r="AW414" s="121" t="str">
        <f t="shared" si="121"/>
        <v/>
      </c>
      <c r="AY414" s="121" t="str">
        <f>IF('Cable Info'!R119="","",CONCATENATE('Cable Info'!R119," - ",'Cable Info'!S119))</f>
        <v/>
      </c>
      <c r="BB414" s="121" t="str">
        <f t="shared" si="122"/>
        <v/>
      </c>
      <c r="BD414" s="121" t="str">
        <f>IF('Cable Info'!T119="","",CONCATENATE('Cable Info'!T119," - ",'Cable Info'!U119))</f>
        <v/>
      </c>
      <c r="BG414" s="121" t="str">
        <f t="shared" si="123"/>
        <v/>
      </c>
      <c r="BI414" s="121" t="str">
        <f>IF('Cable Info'!V119="","",CONCATENATE('Cable Info'!V119," - ",'Cable Info'!W119))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str">
        <f>IF('Cable Info'!L120="","",CONCATENATE('Cable Info'!L120," - ",'Cable Info'!M120))</f>
        <v>119 - AW</v>
      </c>
      <c r="AM415" s="121" t="str">
        <f t="shared" si="119"/>
        <v>119 - AW</v>
      </c>
      <c r="AO415" s="121" t="str">
        <f>IF('Cable Info'!N120="","",CONCATENATE('Cable Info'!N120," - ",'Cable Info'!O120))</f>
        <v>119 - AW</v>
      </c>
      <c r="AR415" s="121" t="str">
        <f t="shared" si="120"/>
        <v>119 - AW</v>
      </c>
      <c r="AT415" s="121" t="str">
        <f>IF('Cable Info'!P120="","",CONCATENATE('Cable Info'!P120," - ",'Cable Info'!Q120))</f>
        <v/>
      </c>
      <c r="AW415" s="121" t="str">
        <f t="shared" si="121"/>
        <v/>
      </c>
      <c r="AY415" s="121" t="str">
        <f>IF('Cable Info'!R120="","",CONCATENATE('Cable Info'!R120," - ",'Cable Info'!S120))</f>
        <v/>
      </c>
      <c r="BB415" s="121" t="str">
        <f t="shared" si="122"/>
        <v/>
      </c>
      <c r="BD415" s="121" t="str">
        <f>IF('Cable Info'!T120="","",CONCATENATE('Cable Info'!T120," - ",'Cable Info'!U120))</f>
        <v/>
      </c>
      <c r="BG415" s="121" t="str">
        <f t="shared" si="123"/>
        <v/>
      </c>
      <c r="BI415" s="121" t="str">
        <f>IF('Cable Info'!V120="","",CONCATENATE('Cable Info'!V120," - ",'Cable Info'!W120))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str">
        <f>IF('Cable Info'!L121="","",CONCATENATE('Cable Info'!L121," - ",'Cable Info'!M121))</f>
        <v>120 - AW</v>
      </c>
      <c r="AM416" s="121" t="str">
        <f t="shared" si="119"/>
        <v>120 - AW</v>
      </c>
      <c r="AO416" s="121" t="str">
        <f>IF('Cable Info'!N121="","",CONCATENATE('Cable Info'!N121," - ",'Cable Info'!O121))</f>
        <v>120 - AW</v>
      </c>
      <c r="AR416" s="121" t="str">
        <f t="shared" si="120"/>
        <v>120 - AW</v>
      </c>
      <c r="AT416" s="121" t="str">
        <f>IF('Cable Info'!P121="","",CONCATENATE('Cable Info'!P121," - ",'Cable Info'!Q121))</f>
        <v/>
      </c>
      <c r="AW416" s="121" t="str">
        <f t="shared" si="121"/>
        <v/>
      </c>
      <c r="AY416" s="121" t="str">
        <f>IF('Cable Info'!R121="","",CONCATENATE('Cable Info'!R121," - ",'Cable Info'!S121))</f>
        <v/>
      </c>
      <c r="BB416" s="121" t="str">
        <f t="shared" si="122"/>
        <v/>
      </c>
      <c r="BD416" s="121" t="str">
        <f>IF('Cable Info'!T121="","",CONCATENATE('Cable Info'!T121," - ",'Cable Info'!U121))</f>
        <v/>
      </c>
      <c r="BG416" s="121" t="str">
        <f t="shared" si="123"/>
        <v/>
      </c>
      <c r="BI416" s="121" t="str">
        <f>IF('Cable Info'!V121="","",CONCATENATE('Cable Info'!V121," - ",'Cable Info'!W121))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str">
        <f>IF('Cable Info'!L122="","",CONCATENATE('Cable Info'!L122," - ",'Cable Info'!M122))</f>
        <v>121 - AW</v>
      </c>
      <c r="AM417" s="121" t="str">
        <f t="shared" si="119"/>
        <v>121 - AW</v>
      </c>
      <c r="AO417" s="121" t="str">
        <f>IF('Cable Info'!N122="","",CONCATENATE('Cable Info'!N122," - ",'Cable Info'!O122))</f>
        <v>121 - AW</v>
      </c>
      <c r="AR417" s="121" t="str">
        <f t="shared" si="120"/>
        <v>121 - AW</v>
      </c>
      <c r="AT417" s="121" t="str">
        <f>IF('Cable Info'!P122="","",CONCATENATE('Cable Info'!P122," - ",'Cable Info'!Q122))</f>
        <v/>
      </c>
      <c r="AW417" s="121" t="str">
        <f t="shared" si="121"/>
        <v/>
      </c>
      <c r="AY417" s="121" t="str">
        <f>IF('Cable Info'!R122="","",CONCATENATE('Cable Info'!R122," - ",'Cable Info'!S122))</f>
        <v/>
      </c>
      <c r="BB417" s="121" t="str">
        <f t="shared" si="122"/>
        <v/>
      </c>
      <c r="BD417" s="121" t="str">
        <f>IF('Cable Info'!T122="","",CONCATENATE('Cable Info'!T122," - ",'Cable Info'!U122))</f>
        <v/>
      </c>
      <c r="BG417" s="121" t="str">
        <f t="shared" si="123"/>
        <v/>
      </c>
      <c r="BI417" s="121" t="str">
        <f>IF('Cable Info'!V122="","",CONCATENATE('Cable Info'!V122," - ",'Cable Info'!W122))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str">
        <f>IF('Cable Info'!L123="","",CONCATENATE('Cable Info'!L123," - ",'Cable Info'!M123))</f>
        <v>122 - AW</v>
      </c>
      <c r="AM418" s="121" t="str">
        <f t="shared" si="119"/>
        <v>122 - AW</v>
      </c>
      <c r="AO418" s="121" t="str">
        <f>IF('Cable Info'!N123="","",CONCATENATE('Cable Info'!N123," - ",'Cable Info'!O123))</f>
        <v>122 - AW</v>
      </c>
      <c r="AR418" s="121" t="str">
        <f t="shared" si="120"/>
        <v>122 - AW</v>
      </c>
      <c r="AT418" s="121" t="str">
        <f>IF('Cable Info'!P123="","",CONCATENATE('Cable Info'!P123," - ",'Cable Info'!Q123))</f>
        <v/>
      </c>
      <c r="AW418" s="121" t="str">
        <f t="shared" si="121"/>
        <v/>
      </c>
      <c r="AY418" s="121" t="str">
        <f>IF('Cable Info'!R123="","",CONCATENATE('Cable Info'!R123," - ",'Cable Info'!S123))</f>
        <v/>
      </c>
      <c r="BB418" s="121" t="str">
        <f t="shared" si="122"/>
        <v/>
      </c>
      <c r="BD418" s="121" t="str">
        <f>IF('Cable Info'!T123="","",CONCATENATE('Cable Info'!T123," - ",'Cable Info'!U123))</f>
        <v/>
      </c>
      <c r="BG418" s="121" t="str">
        <f t="shared" si="123"/>
        <v/>
      </c>
      <c r="BI418" s="121" t="str">
        <f>IF('Cable Info'!V123="","",CONCATENATE('Cable Info'!V123," - ",'Cable Info'!W123))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str">
        <f>IF('Cable Info'!L124="","",CONCATENATE('Cable Info'!L124," - ",'Cable Info'!M124))</f>
        <v>123 - AW</v>
      </c>
      <c r="AM419" s="121" t="str">
        <f t="shared" si="119"/>
        <v>123 - AW</v>
      </c>
      <c r="AO419" s="121" t="str">
        <f>IF('Cable Info'!N124="","",CONCATENATE('Cable Info'!N124," - ",'Cable Info'!O124))</f>
        <v>123 - AW</v>
      </c>
      <c r="AR419" s="121" t="str">
        <f t="shared" si="120"/>
        <v>123 - AW</v>
      </c>
      <c r="AT419" s="121" t="str">
        <f>IF('Cable Info'!P124="","",CONCATENATE('Cable Info'!P124," - ",'Cable Info'!Q124))</f>
        <v/>
      </c>
      <c r="AW419" s="121" t="str">
        <f t="shared" si="121"/>
        <v/>
      </c>
      <c r="AY419" s="121" t="str">
        <f>IF('Cable Info'!R124="","",CONCATENATE('Cable Info'!R124," - ",'Cable Info'!S124))</f>
        <v/>
      </c>
      <c r="BB419" s="121" t="str">
        <f t="shared" si="122"/>
        <v/>
      </c>
      <c r="BD419" s="121" t="str">
        <f>IF('Cable Info'!T124="","",CONCATENATE('Cable Info'!T124," - ",'Cable Info'!U124))</f>
        <v/>
      </c>
      <c r="BG419" s="121" t="str">
        <f t="shared" si="123"/>
        <v/>
      </c>
      <c r="BI419" s="121" t="str">
        <f>IF('Cable Info'!V124="","",CONCATENATE('Cable Info'!V124," - ",'Cable Info'!W124))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str">
        <f>IF('Cable Info'!L125="","",CONCATENATE('Cable Info'!L125," - ",'Cable Info'!M125))</f>
        <v>124 - AW</v>
      </c>
      <c r="AM420" s="121" t="str">
        <f t="shared" si="119"/>
        <v>124 - AW</v>
      </c>
      <c r="AO420" s="121" t="str">
        <f>IF('Cable Info'!N125="","",CONCATENATE('Cable Info'!N125," - ",'Cable Info'!O125))</f>
        <v>124 - AW</v>
      </c>
      <c r="AR420" s="121" t="str">
        <f t="shared" si="120"/>
        <v>124 - AW</v>
      </c>
      <c r="AT420" s="121" t="str">
        <f>IF('Cable Info'!P125="","",CONCATENATE('Cable Info'!P125," - ",'Cable Info'!Q125))</f>
        <v/>
      </c>
      <c r="AW420" s="121" t="str">
        <f t="shared" si="121"/>
        <v/>
      </c>
      <c r="AY420" s="121" t="str">
        <f>IF('Cable Info'!R125="","",CONCATENATE('Cable Info'!R125," - ",'Cable Info'!S125))</f>
        <v/>
      </c>
      <c r="BB420" s="121" t="str">
        <f t="shared" si="122"/>
        <v/>
      </c>
      <c r="BD420" s="121" t="str">
        <f>IF('Cable Info'!T125="","",CONCATENATE('Cable Info'!T125," - ",'Cable Info'!U125))</f>
        <v/>
      </c>
      <c r="BG420" s="121" t="str">
        <f t="shared" si="123"/>
        <v/>
      </c>
      <c r="BI420" s="121" t="str">
        <f>IF('Cable Info'!V125="","",CONCATENATE('Cable Info'!V125," - ",'Cable Info'!W125))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str">
        <f>IF('Cable Info'!L126="","",CONCATENATE('Cable Info'!L126," - ",'Cable Info'!M126))</f>
        <v>125 - AW</v>
      </c>
      <c r="AM421" s="121" t="str">
        <f t="shared" si="119"/>
        <v>125 - AW</v>
      </c>
      <c r="AO421" s="121" t="str">
        <f>IF('Cable Info'!N126="","",CONCATENATE('Cable Info'!N126," - ",'Cable Info'!O126))</f>
        <v>125 - AW</v>
      </c>
      <c r="AR421" s="121" t="str">
        <f t="shared" si="120"/>
        <v>125 - AW</v>
      </c>
      <c r="AT421" s="121" t="str">
        <f>IF('Cable Info'!P126="","",CONCATENATE('Cable Info'!P126," - ",'Cable Info'!Q126))</f>
        <v/>
      </c>
      <c r="AW421" s="121" t="str">
        <f t="shared" si="121"/>
        <v/>
      </c>
      <c r="AY421" s="121" t="str">
        <f>IF('Cable Info'!R126="","",CONCATENATE('Cable Info'!R126," - ",'Cable Info'!S126))</f>
        <v/>
      </c>
      <c r="BB421" s="121" t="str">
        <f t="shared" si="122"/>
        <v/>
      </c>
      <c r="BD421" s="121" t="str">
        <f>IF('Cable Info'!T126="","",CONCATENATE('Cable Info'!T126," - ",'Cable Info'!U126))</f>
        <v/>
      </c>
      <c r="BG421" s="121" t="str">
        <f t="shared" si="123"/>
        <v/>
      </c>
      <c r="BI421" s="121" t="str">
        <f>IF('Cable Info'!V126="","",CONCATENATE('Cable Info'!V126," - ",'Cable Info'!W126))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str">
        <f>IF('Cable Info'!L127="","",CONCATENATE('Cable Info'!L127," - ",'Cable Info'!M127))</f>
        <v>126 - AW</v>
      </c>
      <c r="AM422" s="121" t="str">
        <f t="shared" si="119"/>
        <v>126 - AW</v>
      </c>
      <c r="AO422" s="121" t="str">
        <f>IF('Cable Info'!N127="","",CONCATENATE('Cable Info'!N127," - ",'Cable Info'!O127))</f>
        <v>126 - AW</v>
      </c>
      <c r="AR422" s="121" t="str">
        <f t="shared" si="120"/>
        <v>126 - AW</v>
      </c>
      <c r="AT422" s="121" t="str">
        <f>IF('Cable Info'!P127="","",CONCATENATE('Cable Info'!P127," - ",'Cable Info'!Q127))</f>
        <v/>
      </c>
      <c r="AW422" s="121" t="str">
        <f t="shared" si="121"/>
        <v/>
      </c>
      <c r="AY422" s="121" t="str">
        <f>IF('Cable Info'!R127="","",CONCATENATE('Cable Info'!R127," - ",'Cable Info'!S127))</f>
        <v/>
      </c>
      <c r="BB422" s="121" t="str">
        <f t="shared" si="122"/>
        <v/>
      </c>
      <c r="BD422" s="121" t="str">
        <f>IF('Cable Info'!T127="","",CONCATENATE('Cable Info'!T127," - ",'Cable Info'!U127))</f>
        <v/>
      </c>
      <c r="BG422" s="121" t="str">
        <f t="shared" si="123"/>
        <v/>
      </c>
      <c r="BI422" s="121" t="str">
        <f>IF('Cable Info'!V127="","",CONCATENATE('Cable Info'!V127," - ",'Cable Info'!W127))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str">
        <f>IF('Cable Info'!L128="","",CONCATENATE('Cable Info'!L128," - ",'Cable Info'!M128))</f>
        <v>127 - AW</v>
      </c>
      <c r="AM423" s="121" t="str">
        <f t="shared" si="119"/>
        <v>127 - AW</v>
      </c>
      <c r="AO423" s="121" t="str">
        <f>IF('Cable Info'!N128="","",CONCATENATE('Cable Info'!N128," - ",'Cable Info'!O128))</f>
        <v>127 - AW</v>
      </c>
      <c r="AR423" s="121" t="str">
        <f t="shared" si="120"/>
        <v>127 - AW</v>
      </c>
      <c r="AT423" s="121" t="str">
        <f>IF('Cable Info'!P128="","",CONCATENATE('Cable Info'!P128," - ",'Cable Info'!Q128))</f>
        <v/>
      </c>
      <c r="AW423" s="121" t="str">
        <f t="shared" si="121"/>
        <v/>
      </c>
      <c r="AY423" s="121" t="str">
        <f>IF('Cable Info'!R128="","",CONCATENATE('Cable Info'!R128," - ",'Cable Info'!S128))</f>
        <v/>
      </c>
      <c r="BB423" s="121" t="str">
        <f t="shared" si="122"/>
        <v/>
      </c>
      <c r="BD423" s="121" t="str">
        <f>IF('Cable Info'!T128="","",CONCATENATE('Cable Info'!T128," - ",'Cable Info'!U128))</f>
        <v/>
      </c>
      <c r="BG423" s="121" t="str">
        <f t="shared" si="123"/>
        <v/>
      </c>
      <c r="BI423" s="121" t="str">
        <f>IF('Cable Info'!V128="","",CONCATENATE('Cable Info'!V128," - ",'Cable Info'!W128))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str">
        <f>IF('Cable Info'!L129="","",CONCATENATE('Cable Info'!L129," - ",'Cable Info'!M129))</f>
        <v>128 - AW</v>
      </c>
      <c r="AM424" s="121" t="str">
        <f t="shared" si="119"/>
        <v>128 - AW</v>
      </c>
      <c r="AO424" s="121" t="str">
        <f>IF('Cable Info'!N129="","",CONCATENATE('Cable Info'!N129," - ",'Cable Info'!O129))</f>
        <v>128 - AW</v>
      </c>
      <c r="AR424" s="121" t="str">
        <f t="shared" si="120"/>
        <v>128 - AW</v>
      </c>
      <c r="AT424" s="121" t="str">
        <f>IF('Cable Info'!P129="","",CONCATENATE('Cable Info'!P129," - ",'Cable Info'!Q129))</f>
        <v/>
      </c>
      <c r="AW424" s="121" t="str">
        <f t="shared" si="121"/>
        <v/>
      </c>
      <c r="AY424" s="121" t="str">
        <f>IF('Cable Info'!R129="","",CONCATENATE('Cable Info'!R129," - ",'Cable Info'!S129))</f>
        <v/>
      </c>
      <c r="BB424" s="121" t="str">
        <f t="shared" si="122"/>
        <v/>
      </c>
      <c r="BD424" s="121" t="str">
        <f>IF('Cable Info'!T129="","",CONCATENATE('Cable Info'!T129," - ",'Cable Info'!U129))</f>
        <v/>
      </c>
      <c r="BG424" s="121" t="str">
        <f t="shared" si="123"/>
        <v/>
      </c>
      <c r="BI424" s="121" t="str">
        <f>IF('Cable Info'!V129="","",CONCATENATE('Cable Info'!V129," - ",'Cable Info'!W129))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str">
        <f>IF('Cable Info'!L130="","",CONCATENATE('Cable Info'!L130," - ",'Cable Info'!M130))</f>
        <v>129 - AW</v>
      </c>
      <c r="AM425" s="121" t="str">
        <f t="shared" si="119"/>
        <v>129 - AW</v>
      </c>
      <c r="AO425" s="121" t="str">
        <f>IF('Cable Info'!N130="","",CONCATENATE('Cable Info'!N130," - ",'Cable Info'!O130))</f>
        <v>129 - AW</v>
      </c>
      <c r="AR425" s="121" t="str">
        <f t="shared" si="120"/>
        <v>129 - AW</v>
      </c>
      <c r="AT425" s="121" t="str">
        <f>IF('Cable Info'!P130="","",CONCATENATE('Cable Info'!P130," - ",'Cable Info'!Q130))</f>
        <v/>
      </c>
      <c r="AW425" s="121" t="str">
        <f t="shared" si="121"/>
        <v/>
      </c>
      <c r="AY425" s="121" t="str">
        <f>IF('Cable Info'!R130="","",CONCATENATE('Cable Info'!R130," - ",'Cable Info'!S130))</f>
        <v/>
      </c>
      <c r="BB425" s="121" t="str">
        <f t="shared" si="122"/>
        <v/>
      </c>
      <c r="BD425" s="121" t="str">
        <f>IF('Cable Info'!T130="","",CONCATENATE('Cable Info'!T130," - ",'Cable Info'!U130))</f>
        <v/>
      </c>
      <c r="BG425" s="121" t="str">
        <f t="shared" si="123"/>
        <v/>
      </c>
      <c r="BI425" s="121" t="str">
        <f>IF('Cable Info'!V130="","",CONCATENATE('Cable Info'!V130," - ",'Cable Info'!W130))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str">
        <f>IF('Cable Info'!L131="","",CONCATENATE('Cable Info'!L131," - ",'Cable Info'!M131))</f>
        <v>130 - AW</v>
      </c>
      <c r="AM426" s="121" t="str">
        <f t="shared" ref="AM426:AM489" si="125">IF(AK426="",AJ426,CONCATENATE(AJ426,"  &lt;=&gt; ",AK426," ",AL426))</f>
        <v>130 - AW</v>
      </c>
      <c r="AO426" s="121" t="str">
        <f>IF('Cable Info'!N131="","",CONCATENATE('Cable Info'!N131," - ",'Cable Info'!O131))</f>
        <v>130 - AW</v>
      </c>
      <c r="AR426" s="121" t="str">
        <f t="shared" ref="AR426:AR489" si="126">IF(AP426="",AO426,CONCATENATE(AO426,"  &lt;=&gt; ",AP426," ",AQ426))</f>
        <v>130 - AW</v>
      </c>
      <c r="AT426" s="121" t="str">
        <f>IF('Cable Info'!P131="","",CONCATENATE('Cable Info'!P131," - ",'Cable Info'!Q131))</f>
        <v/>
      </c>
      <c r="AW426" s="121" t="str">
        <f t="shared" ref="AW426:AW489" si="127">IF(AU426="",AT426,CONCATENATE(AT426,"  &lt;=&gt; ",AU426," ",AV426))</f>
        <v/>
      </c>
      <c r="AY426" s="121" t="str">
        <f>IF('Cable Info'!R131="","",CONCATENATE('Cable Info'!R131," - ",'Cable Info'!S131))</f>
        <v/>
      </c>
      <c r="BB426" s="121" t="str">
        <f t="shared" ref="BB426:BB489" si="128">IF(AZ426="",AY426,CONCATENATE(AY426,"  &lt;=&gt; ",AZ426," ",BA426))</f>
        <v/>
      </c>
      <c r="BD426" s="121" t="str">
        <f>IF('Cable Info'!T131="","",CONCATENATE('Cable Info'!T131," - ",'Cable Info'!U131))</f>
        <v/>
      </c>
      <c r="BG426" s="121" t="str">
        <f t="shared" ref="BG426:BG489" si="129">IF(BE426="",BD426,CONCATENATE(BD426,"  &lt;=&gt; ",BE426," ",BF426))</f>
        <v/>
      </c>
      <c r="BI426" s="121" t="str">
        <f>IF('Cable Info'!V131="","",CONCATENATE('Cable Info'!V131," - ",'Cable Info'!W131))</f>
        <v/>
      </c>
      <c r="BL426" s="121" t="str">
        <f t="shared" ref="BL426:BL489" si="130">IF(BJ426="",BI426,CONCATENATE(BI426,"  &lt;=&gt; ",BJ426," ",BK426))</f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str">
        <f>IF('Cable Info'!L132="","",CONCATENATE('Cable Info'!L132," - ",'Cable Info'!M132))</f>
        <v>131 - AW</v>
      </c>
      <c r="AM427" s="121" t="str">
        <f t="shared" si="125"/>
        <v>131 - AW</v>
      </c>
      <c r="AO427" s="121" t="str">
        <f>IF('Cable Info'!N132="","",CONCATENATE('Cable Info'!N132," - ",'Cable Info'!O132))</f>
        <v>131 - AW</v>
      </c>
      <c r="AR427" s="121" t="str">
        <f t="shared" si="126"/>
        <v>131 - AW</v>
      </c>
      <c r="AT427" s="121" t="str">
        <f>IF('Cable Info'!P132="","",CONCATENATE('Cable Info'!P132," - ",'Cable Info'!Q132))</f>
        <v/>
      </c>
      <c r="AW427" s="121" t="str">
        <f t="shared" si="127"/>
        <v/>
      </c>
      <c r="AY427" s="121" t="str">
        <f>IF('Cable Info'!R132="","",CONCATENATE('Cable Info'!R132," - ",'Cable Info'!S132))</f>
        <v/>
      </c>
      <c r="BB427" s="121" t="str">
        <f t="shared" si="128"/>
        <v/>
      </c>
      <c r="BD427" s="121" t="str">
        <f>IF('Cable Info'!T132="","",CONCATENATE('Cable Info'!T132," - ",'Cable Info'!U132))</f>
        <v/>
      </c>
      <c r="BG427" s="121" t="str">
        <f t="shared" si="129"/>
        <v/>
      </c>
      <c r="BI427" s="121" t="str">
        <f>IF('Cable Info'!V132="","",CONCATENATE('Cable Info'!V132," - ",'Cable Info'!W132))</f>
        <v/>
      </c>
      <c r="BL427" s="121" t="str">
        <f t="shared" si="130"/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str">
        <f>IF('Cable Info'!L133="","",CONCATENATE('Cable Info'!L133," - ",'Cable Info'!M133))</f>
        <v>132 - AW</v>
      </c>
      <c r="AM428" s="121" t="str">
        <f t="shared" si="125"/>
        <v>132 - AW</v>
      </c>
      <c r="AO428" s="121" t="str">
        <f>IF('Cable Info'!N133="","",CONCATENATE('Cable Info'!N133," - ",'Cable Info'!O133))</f>
        <v>132 - AW</v>
      </c>
      <c r="AR428" s="121" t="str">
        <f t="shared" si="126"/>
        <v>132 - AW</v>
      </c>
      <c r="AT428" s="121" t="str">
        <f>IF('Cable Info'!P133="","",CONCATENATE('Cable Info'!P133," - ",'Cable Info'!Q133))</f>
        <v/>
      </c>
      <c r="AW428" s="121" t="str">
        <f t="shared" si="127"/>
        <v/>
      </c>
      <c r="AY428" s="121" t="str">
        <f>IF('Cable Info'!R133="","",CONCATENATE('Cable Info'!R133," - ",'Cable Info'!S133))</f>
        <v/>
      </c>
      <c r="BB428" s="121" t="str">
        <f t="shared" si="128"/>
        <v/>
      </c>
      <c r="BD428" s="121" t="str">
        <f>IF('Cable Info'!T133="","",CONCATENATE('Cable Info'!T133," - ",'Cable Info'!U133))</f>
        <v/>
      </c>
      <c r="BG428" s="121" t="str">
        <f t="shared" si="129"/>
        <v/>
      </c>
      <c r="BI428" s="121" t="str">
        <f>IF('Cable Info'!V133="","",CONCATENATE('Cable Info'!V133," - ",'Cable Info'!W133))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str">
        <f>IF('Cable Info'!L134="","",CONCATENATE('Cable Info'!L134," - ",'Cable Info'!M134))</f>
        <v>133 - AW</v>
      </c>
      <c r="AM429" s="121" t="str">
        <f t="shared" si="125"/>
        <v>133 - AW</v>
      </c>
      <c r="AO429" s="121" t="str">
        <f>IF('Cable Info'!N134="","",CONCATENATE('Cable Info'!N134," - ",'Cable Info'!O134))</f>
        <v>133 - AW</v>
      </c>
      <c r="AR429" s="121" t="str">
        <f t="shared" si="126"/>
        <v>133 - AW</v>
      </c>
      <c r="AT429" s="121" t="str">
        <f>IF('Cable Info'!P134="","",CONCATENATE('Cable Info'!P134," - ",'Cable Info'!Q134))</f>
        <v/>
      </c>
      <c r="AW429" s="121" t="str">
        <f t="shared" si="127"/>
        <v/>
      </c>
      <c r="AY429" s="121" t="str">
        <f>IF('Cable Info'!R134="","",CONCATENATE('Cable Info'!R134," - ",'Cable Info'!S134))</f>
        <v/>
      </c>
      <c r="BB429" s="121" t="str">
        <f t="shared" si="128"/>
        <v/>
      </c>
      <c r="BD429" s="121" t="str">
        <f>IF('Cable Info'!T134="","",CONCATENATE('Cable Info'!T134," - ",'Cable Info'!U134))</f>
        <v/>
      </c>
      <c r="BG429" s="121" t="str">
        <f t="shared" si="129"/>
        <v/>
      </c>
      <c r="BI429" s="121" t="str">
        <f>IF('Cable Info'!V134="","",CONCATENATE('Cable Info'!V134," - ",'Cable Info'!W134))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str">
        <f>IF('Cable Info'!L135="","",CONCATENATE('Cable Info'!L135," - ",'Cable Info'!M135))</f>
        <v>134 - AW</v>
      </c>
      <c r="AM430" s="121" t="str">
        <f t="shared" si="125"/>
        <v>134 - AW</v>
      </c>
      <c r="AO430" s="121" t="str">
        <f>IF('Cable Info'!N135="","",CONCATENATE('Cable Info'!N135," - ",'Cable Info'!O135))</f>
        <v>134 - AW</v>
      </c>
      <c r="AR430" s="121" t="str">
        <f t="shared" si="126"/>
        <v>134 - AW</v>
      </c>
      <c r="AT430" s="121" t="str">
        <f>IF('Cable Info'!P135="","",CONCATENATE('Cable Info'!P135," - ",'Cable Info'!Q135))</f>
        <v/>
      </c>
      <c r="AW430" s="121" t="str">
        <f t="shared" si="127"/>
        <v/>
      </c>
      <c r="AY430" s="121" t="str">
        <f>IF('Cable Info'!R135="","",CONCATENATE('Cable Info'!R135," - ",'Cable Info'!S135))</f>
        <v/>
      </c>
      <c r="BB430" s="121" t="str">
        <f t="shared" si="128"/>
        <v/>
      </c>
      <c r="BD430" s="121" t="str">
        <f>IF('Cable Info'!T135="","",CONCATENATE('Cable Info'!T135," - ",'Cable Info'!U135))</f>
        <v/>
      </c>
      <c r="BG430" s="121" t="str">
        <f t="shared" si="129"/>
        <v/>
      </c>
      <c r="BI430" s="121" t="str">
        <f>IF('Cable Info'!V135="","",CONCATENATE('Cable Info'!V135," - ",'Cable Info'!W135))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str">
        <f>IF('Cable Info'!L136="","",CONCATENATE('Cable Info'!L136," - ",'Cable Info'!M136))</f>
        <v>135 - AW</v>
      </c>
      <c r="AM431" s="121" t="str">
        <f t="shared" si="125"/>
        <v>135 - AW</v>
      </c>
      <c r="AO431" s="121" t="str">
        <f>IF('Cable Info'!N136="","",CONCATENATE('Cable Info'!N136," - ",'Cable Info'!O136))</f>
        <v>135 - AW</v>
      </c>
      <c r="AR431" s="121" t="str">
        <f t="shared" si="126"/>
        <v>135 - AW</v>
      </c>
      <c r="AT431" s="121" t="str">
        <f>IF('Cable Info'!P136="","",CONCATENATE('Cable Info'!P136," - ",'Cable Info'!Q136))</f>
        <v/>
      </c>
      <c r="AW431" s="121" t="str">
        <f t="shared" si="127"/>
        <v/>
      </c>
      <c r="AY431" s="121" t="str">
        <f>IF('Cable Info'!R136="","",CONCATENATE('Cable Info'!R136," - ",'Cable Info'!S136))</f>
        <v/>
      </c>
      <c r="BB431" s="121" t="str">
        <f t="shared" si="128"/>
        <v/>
      </c>
      <c r="BD431" s="121" t="str">
        <f>IF('Cable Info'!T136="","",CONCATENATE('Cable Info'!T136," - ",'Cable Info'!U136))</f>
        <v/>
      </c>
      <c r="BG431" s="121" t="str">
        <f t="shared" si="129"/>
        <v/>
      </c>
      <c r="BI431" s="121" t="str">
        <f>IF('Cable Info'!V136="","",CONCATENATE('Cable Info'!V136," - ",'Cable Info'!W136))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str">
        <f>IF('Cable Info'!L137="","",CONCATENATE('Cable Info'!L137," - ",'Cable Info'!M137))</f>
        <v>136 - AW</v>
      </c>
      <c r="AM432" s="121" t="str">
        <f t="shared" si="125"/>
        <v>136 - AW</v>
      </c>
      <c r="AO432" s="121" t="str">
        <f>IF('Cable Info'!N137="","",CONCATENATE('Cable Info'!N137," - ",'Cable Info'!O137))</f>
        <v>136 - AW</v>
      </c>
      <c r="AR432" s="121" t="str">
        <f t="shared" si="126"/>
        <v>136 - AW</v>
      </c>
      <c r="AT432" s="121" t="str">
        <f>IF('Cable Info'!P137="","",CONCATENATE('Cable Info'!P137," - ",'Cable Info'!Q137))</f>
        <v/>
      </c>
      <c r="AW432" s="121" t="str">
        <f t="shared" si="127"/>
        <v/>
      </c>
      <c r="AY432" s="121" t="str">
        <f>IF('Cable Info'!R137="","",CONCATENATE('Cable Info'!R137," - ",'Cable Info'!S137))</f>
        <v/>
      </c>
      <c r="BB432" s="121" t="str">
        <f t="shared" si="128"/>
        <v/>
      </c>
      <c r="BD432" s="121" t="str">
        <f>IF('Cable Info'!T137="","",CONCATENATE('Cable Info'!T137," - ",'Cable Info'!U137))</f>
        <v/>
      </c>
      <c r="BG432" s="121" t="str">
        <f t="shared" si="129"/>
        <v/>
      </c>
      <c r="BI432" s="121" t="str">
        <f>IF('Cable Info'!V137="","",CONCATENATE('Cable Info'!V137," - ",'Cable Info'!W137))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str">
        <f>IF('Cable Info'!L138="","",CONCATENATE('Cable Info'!L138," - ",'Cable Info'!M138))</f>
        <v>137 - AW</v>
      </c>
      <c r="AM433" s="121" t="str">
        <f t="shared" si="125"/>
        <v>137 - AW</v>
      </c>
      <c r="AO433" s="121" t="str">
        <f>IF('Cable Info'!N138="","",CONCATENATE('Cable Info'!N138," - ",'Cable Info'!O138))</f>
        <v>137 - AW</v>
      </c>
      <c r="AR433" s="121" t="str">
        <f t="shared" si="126"/>
        <v>137 - AW</v>
      </c>
      <c r="AT433" s="121" t="str">
        <f>IF('Cable Info'!P138="","",CONCATENATE('Cable Info'!P138," - ",'Cable Info'!Q138))</f>
        <v/>
      </c>
      <c r="AW433" s="121" t="str">
        <f t="shared" si="127"/>
        <v/>
      </c>
      <c r="AY433" s="121" t="str">
        <f>IF('Cable Info'!R138="","",CONCATENATE('Cable Info'!R138," - ",'Cable Info'!S138))</f>
        <v/>
      </c>
      <c r="BB433" s="121" t="str">
        <f t="shared" si="128"/>
        <v/>
      </c>
      <c r="BD433" s="121" t="str">
        <f>IF('Cable Info'!T138="","",CONCATENATE('Cable Info'!T138," - ",'Cable Info'!U138))</f>
        <v/>
      </c>
      <c r="BG433" s="121" t="str">
        <f t="shared" si="129"/>
        <v/>
      </c>
      <c r="BI433" s="121" t="str">
        <f>IF('Cable Info'!V138="","",CONCATENATE('Cable Info'!V138," - ",'Cable Info'!W138))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str">
        <f>IF('Cable Info'!L139="","",CONCATENATE('Cable Info'!L139," - ",'Cable Info'!M139))</f>
        <v>138 - AW</v>
      </c>
      <c r="AM434" s="121" t="str">
        <f t="shared" si="125"/>
        <v>138 - AW</v>
      </c>
      <c r="AO434" s="121" t="str">
        <f>IF('Cable Info'!N139="","",CONCATENATE('Cable Info'!N139," - ",'Cable Info'!O139))</f>
        <v>138 - AW</v>
      </c>
      <c r="AR434" s="121" t="str">
        <f t="shared" si="126"/>
        <v>138 - AW</v>
      </c>
      <c r="AT434" s="121" t="str">
        <f>IF('Cable Info'!P139="","",CONCATENATE('Cable Info'!P139," - ",'Cable Info'!Q139))</f>
        <v/>
      </c>
      <c r="AW434" s="121" t="str">
        <f t="shared" si="127"/>
        <v/>
      </c>
      <c r="AY434" s="121" t="str">
        <f>IF('Cable Info'!R139="","",CONCATENATE('Cable Info'!R139," - ",'Cable Info'!S139))</f>
        <v/>
      </c>
      <c r="BB434" s="121" t="str">
        <f t="shared" si="128"/>
        <v/>
      </c>
      <c r="BD434" s="121" t="str">
        <f>IF('Cable Info'!T139="","",CONCATENATE('Cable Info'!T139," - ",'Cable Info'!U139))</f>
        <v/>
      </c>
      <c r="BG434" s="121" t="str">
        <f t="shared" si="129"/>
        <v/>
      </c>
      <c r="BI434" s="121" t="str">
        <f>IF('Cable Info'!V139="","",CONCATENATE('Cable Info'!V139," - ",'Cable Info'!W139))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str">
        <f>IF('Cable Info'!L140="","",CONCATENATE('Cable Info'!L140," - ",'Cable Info'!M140))</f>
        <v>139 - AW</v>
      </c>
      <c r="AM435" s="121" t="str">
        <f t="shared" si="125"/>
        <v>139 - AW</v>
      </c>
      <c r="AO435" s="121" t="str">
        <f>IF('Cable Info'!N140="","",CONCATENATE('Cable Info'!N140," - ",'Cable Info'!O140))</f>
        <v>139 - AW</v>
      </c>
      <c r="AR435" s="121" t="str">
        <f t="shared" si="126"/>
        <v>139 - AW</v>
      </c>
      <c r="AT435" s="121" t="str">
        <f>IF('Cable Info'!P140="","",CONCATENATE('Cable Info'!P140," - ",'Cable Info'!Q140))</f>
        <v/>
      </c>
      <c r="AW435" s="121" t="str">
        <f t="shared" si="127"/>
        <v/>
      </c>
      <c r="AY435" s="121" t="str">
        <f>IF('Cable Info'!R140="","",CONCATENATE('Cable Info'!R140," - ",'Cable Info'!S140))</f>
        <v/>
      </c>
      <c r="BB435" s="121" t="str">
        <f t="shared" si="128"/>
        <v/>
      </c>
      <c r="BD435" s="121" t="str">
        <f>IF('Cable Info'!T140="","",CONCATENATE('Cable Info'!T140," - ",'Cable Info'!U140))</f>
        <v/>
      </c>
      <c r="BG435" s="121" t="str">
        <f t="shared" si="129"/>
        <v/>
      </c>
      <c r="BI435" s="121" t="str">
        <f>IF('Cable Info'!V140="","",CONCATENATE('Cable Info'!V140," - ",'Cable Info'!W140))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str">
        <f>IF('Cable Info'!L141="","",CONCATENATE('Cable Info'!L141," - ",'Cable Info'!M141))</f>
        <v>140 - AW</v>
      </c>
      <c r="AM436" s="121" t="str">
        <f t="shared" si="125"/>
        <v>140 - AW</v>
      </c>
      <c r="AO436" s="121" t="str">
        <f>IF('Cable Info'!N141="","",CONCATENATE('Cable Info'!N141," - ",'Cable Info'!O141))</f>
        <v>140 - AW</v>
      </c>
      <c r="AR436" s="121" t="str">
        <f t="shared" si="126"/>
        <v>140 - AW</v>
      </c>
      <c r="AT436" s="121" t="str">
        <f>IF('Cable Info'!P141="","",CONCATENATE('Cable Info'!P141," - ",'Cable Info'!Q141))</f>
        <v/>
      </c>
      <c r="AW436" s="121" t="str">
        <f t="shared" si="127"/>
        <v/>
      </c>
      <c r="AY436" s="121" t="str">
        <f>IF('Cable Info'!R141="","",CONCATENATE('Cable Info'!R141," - ",'Cable Info'!S141))</f>
        <v/>
      </c>
      <c r="BB436" s="121" t="str">
        <f t="shared" si="128"/>
        <v/>
      </c>
      <c r="BD436" s="121" t="str">
        <f>IF('Cable Info'!T141="","",CONCATENATE('Cable Info'!T141," - ",'Cable Info'!U141))</f>
        <v/>
      </c>
      <c r="BG436" s="121" t="str">
        <f t="shared" si="129"/>
        <v/>
      </c>
      <c r="BI436" s="121" t="str">
        <f>IF('Cable Info'!V141="","",CONCATENATE('Cable Info'!V141," - ",'Cable Info'!W141))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str">
        <f>IF('Cable Info'!L142="","",CONCATENATE('Cable Info'!L142," - ",'Cable Info'!M142))</f>
        <v>141 - AW</v>
      </c>
      <c r="AM437" s="121" t="str">
        <f t="shared" si="125"/>
        <v>141 - AW</v>
      </c>
      <c r="AO437" s="121" t="str">
        <f>IF('Cable Info'!N142="","",CONCATENATE('Cable Info'!N142," - ",'Cable Info'!O142))</f>
        <v>141 - AW</v>
      </c>
      <c r="AR437" s="121" t="str">
        <f t="shared" si="126"/>
        <v>141 - AW</v>
      </c>
      <c r="AT437" s="121" t="str">
        <f>IF('Cable Info'!P142="","",CONCATENATE('Cable Info'!P142," - ",'Cable Info'!Q142))</f>
        <v/>
      </c>
      <c r="AW437" s="121" t="str">
        <f t="shared" si="127"/>
        <v/>
      </c>
      <c r="AY437" s="121" t="str">
        <f>IF('Cable Info'!R142="","",CONCATENATE('Cable Info'!R142," - ",'Cable Info'!S142))</f>
        <v/>
      </c>
      <c r="BB437" s="121" t="str">
        <f t="shared" si="128"/>
        <v/>
      </c>
      <c r="BD437" s="121" t="str">
        <f>IF('Cable Info'!T142="","",CONCATENATE('Cable Info'!T142," - ",'Cable Info'!U142))</f>
        <v/>
      </c>
      <c r="BG437" s="121" t="str">
        <f t="shared" si="129"/>
        <v/>
      </c>
      <c r="BI437" s="121" t="str">
        <f>IF('Cable Info'!V142="","",CONCATENATE('Cable Info'!V142," - ",'Cable Info'!W142))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str">
        <f>IF('Cable Info'!L143="","",CONCATENATE('Cable Info'!L143," - ",'Cable Info'!M143))</f>
        <v>142 - AW</v>
      </c>
      <c r="AM438" s="121" t="str">
        <f t="shared" si="125"/>
        <v>142 - AW</v>
      </c>
      <c r="AO438" s="121" t="str">
        <f>IF('Cable Info'!N143="","",CONCATENATE('Cable Info'!N143," - ",'Cable Info'!O143))</f>
        <v>142 - AW</v>
      </c>
      <c r="AR438" s="121" t="str">
        <f t="shared" si="126"/>
        <v>142 - AW</v>
      </c>
      <c r="AT438" s="121" t="str">
        <f>IF('Cable Info'!P143="","",CONCATENATE('Cable Info'!P143," - ",'Cable Info'!Q143))</f>
        <v/>
      </c>
      <c r="AW438" s="121" t="str">
        <f t="shared" si="127"/>
        <v/>
      </c>
      <c r="AY438" s="121" t="str">
        <f>IF('Cable Info'!R143="","",CONCATENATE('Cable Info'!R143," - ",'Cable Info'!S143))</f>
        <v/>
      </c>
      <c r="BB438" s="121" t="str">
        <f t="shared" si="128"/>
        <v/>
      </c>
      <c r="BD438" s="121" t="str">
        <f>IF('Cable Info'!T143="","",CONCATENATE('Cable Info'!T143," - ",'Cable Info'!U143))</f>
        <v/>
      </c>
      <c r="BG438" s="121" t="str">
        <f t="shared" si="129"/>
        <v/>
      </c>
      <c r="BI438" s="121" t="str">
        <f>IF('Cable Info'!V143="","",CONCATENATE('Cable Info'!V143," - ",'Cable Info'!W143))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str">
        <f>IF('Cable Info'!L144="","",CONCATENATE('Cable Info'!L144," - ",'Cable Info'!M144))</f>
        <v>143 - AW</v>
      </c>
      <c r="AM439" s="121" t="str">
        <f t="shared" si="125"/>
        <v>143 - AW</v>
      </c>
      <c r="AO439" s="121" t="str">
        <f>IF('Cable Info'!N144="","",CONCATENATE('Cable Info'!N144," - ",'Cable Info'!O144))</f>
        <v>143 - AW</v>
      </c>
      <c r="AR439" s="121" t="str">
        <f t="shared" si="126"/>
        <v>143 - AW</v>
      </c>
      <c r="AT439" s="121" t="str">
        <f>IF('Cable Info'!P144="","",CONCATENATE('Cable Info'!P144," - ",'Cable Info'!Q144))</f>
        <v/>
      </c>
      <c r="AW439" s="121" t="str">
        <f t="shared" si="127"/>
        <v/>
      </c>
      <c r="AY439" s="121" t="str">
        <f>IF('Cable Info'!R144="","",CONCATENATE('Cable Info'!R144," - ",'Cable Info'!S144))</f>
        <v/>
      </c>
      <c r="BB439" s="121" t="str">
        <f t="shared" si="128"/>
        <v/>
      </c>
      <c r="BD439" s="121" t="str">
        <f>IF('Cable Info'!T144="","",CONCATENATE('Cable Info'!T144," - ",'Cable Info'!U144))</f>
        <v/>
      </c>
      <c r="BG439" s="121" t="str">
        <f t="shared" si="129"/>
        <v/>
      </c>
      <c r="BI439" s="121" t="str">
        <f>IF('Cable Info'!V144="","",CONCATENATE('Cable Info'!V144," - ",'Cable Info'!W144))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str">
        <f>IF('Cable Info'!L145="","",CONCATENATE('Cable Info'!L145," - ",'Cable Info'!M145))</f>
        <v>144 - AW</v>
      </c>
      <c r="AM440" s="121" t="str">
        <f t="shared" si="125"/>
        <v>144 - AW</v>
      </c>
      <c r="AO440" s="121" t="str">
        <f>IF('Cable Info'!N145="","",CONCATENATE('Cable Info'!N145," - ",'Cable Info'!O145))</f>
        <v>144 - AW</v>
      </c>
      <c r="AR440" s="121" t="str">
        <f t="shared" si="126"/>
        <v>144 - AW</v>
      </c>
      <c r="AT440" s="121" t="str">
        <f>IF('Cable Info'!P145="","",CONCATENATE('Cable Info'!P145," - ",'Cable Info'!Q145))</f>
        <v/>
      </c>
      <c r="AW440" s="121" t="str">
        <f t="shared" si="127"/>
        <v/>
      </c>
      <c r="AY440" s="121" t="str">
        <f>IF('Cable Info'!R145="","",CONCATENATE('Cable Info'!R145," - ",'Cable Info'!S145))</f>
        <v/>
      </c>
      <c r="BB440" s="121" t="str">
        <f t="shared" si="128"/>
        <v/>
      </c>
      <c r="BD440" s="121" t="str">
        <f>IF('Cable Info'!T145="","",CONCATENATE('Cable Info'!T145," - ",'Cable Info'!U145))</f>
        <v/>
      </c>
      <c r="BG440" s="121" t="str">
        <f t="shared" si="129"/>
        <v/>
      </c>
      <c r="BI440" s="121" t="str">
        <f>IF('Cable Info'!V145="","",CONCATENATE('Cable Info'!V145," - ",'Cable Info'!W145))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str">
        <f>IF('Cable Info'!L146="","",CONCATENATE('Cable Info'!L146," - ",'Cable Info'!M146))</f>
        <v>145 - AW</v>
      </c>
      <c r="AM441" s="121" t="str">
        <f t="shared" si="125"/>
        <v>145 - AW</v>
      </c>
      <c r="AO441" s="121" t="str">
        <f>IF('Cable Info'!N146="","",CONCATENATE('Cable Info'!N146," - ",'Cable Info'!O146))</f>
        <v>145 - AW</v>
      </c>
      <c r="AR441" s="121" t="str">
        <f t="shared" si="126"/>
        <v>145 - AW</v>
      </c>
      <c r="AT441" s="121" t="str">
        <f>IF('Cable Info'!P146="","",CONCATENATE('Cable Info'!P146," - ",'Cable Info'!Q146))</f>
        <v/>
      </c>
      <c r="AW441" s="121" t="str">
        <f t="shared" si="127"/>
        <v/>
      </c>
      <c r="AY441" s="121" t="str">
        <f>IF('Cable Info'!R146="","",CONCATENATE('Cable Info'!R146," - ",'Cable Info'!S146))</f>
        <v/>
      </c>
      <c r="BB441" s="121" t="str">
        <f t="shared" si="128"/>
        <v/>
      </c>
      <c r="BD441" s="121" t="str">
        <f>IF('Cable Info'!T146="","",CONCATENATE('Cable Info'!T146," - ",'Cable Info'!U146))</f>
        <v/>
      </c>
      <c r="BG441" s="121" t="str">
        <f t="shared" si="129"/>
        <v/>
      </c>
      <c r="BI441" s="121" t="str">
        <f>IF('Cable Info'!V146="","",CONCATENATE('Cable Info'!V146," - ",'Cable Info'!W146))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str">
        <f>IF('Cable Info'!L147="","",CONCATENATE('Cable Info'!L147," - ",'Cable Info'!M147))</f>
        <v>146 - AW</v>
      </c>
      <c r="AM442" s="121" t="str">
        <f t="shared" si="125"/>
        <v>146 - AW</v>
      </c>
      <c r="AO442" s="121" t="str">
        <f>IF('Cable Info'!N147="","",CONCATENATE('Cable Info'!N147," - ",'Cable Info'!O147))</f>
        <v>146 - AW</v>
      </c>
      <c r="AR442" s="121" t="str">
        <f t="shared" si="126"/>
        <v>146 - AW</v>
      </c>
      <c r="AT442" s="121" t="str">
        <f>IF('Cable Info'!P147="","",CONCATENATE('Cable Info'!P147," - ",'Cable Info'!Q147))</f>
        <v/>
      </c>
      <c r="AW442" s="121" t="str">
        <f t="shared" si="127"/>
        <v/>
      </c>
      <c r="AY442" s="121" t="str">
        <f>IF('Cable Info'!R147="","",CONCATENATE('Cable Info'!R147," - ",'Cable Info'!S147))</f>
        <v/>
      </c>
      <c r="BB442" s="121" t="str">
        <f t="shared" si="128"/>
        <v/>
      </c>
      <c r="BD442" s="121" t="str">
        <f>IF('Cable Info'!T147="","",CONCATENATE('Cable Info'!T147," - ",'Cable Info'!U147))</f>
        <v/>
      </c>
      <c r="BG442" s="121" t="str">
        <f t="shared" si="129"/>
        <v/>
      </c>
      <c r="BI442" s="121" t="str">
        <f>IF('Cable Info'!V147="","",CONCATENATE('Cable Info'!V147," - ",'Cable Info'!W147))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str">
        <f>IF('Cable Info'!L148="","",CONCATENATE('Cable Info'!L148," - ",'Cable Info'!M148))</f>
        <v>147 - AW</v>
      </c>
      <c r="AM443" s="121" t="str">
        <f t="shared" si="125"/>
        <v>147 - AW</v>
      </c>
      <c r="AO443" s="121" t="str">
        <f>IF('Cable Info'!N148="","",CONCATENATE('Cable Info'!N148," - ",'Cable Info'!O148))</f>
        <v>147 - AW</v>
      </c>
      <c r="AR443" s="121" t="str">
        <f t="shared" si="126"/>
        <v>147 - AW</v>
      </c>
      <c r="AT443" s="121" t="str">
        <f>IF('Cable Info'!P148="","",CONCATENATE('Cable Info'!P148," - ",'Cable Info'!Q148))</f>
        <v/>
      </c>
      <c r="AW443" s="121" t="str">
        <f t="shared" si="127"/>
        <v/>
      </c>
      <c r="AY443" s="121" t="str">
        <f>IF('Cable Info'!R148="","",CONCATENATE('Cable Info'!R148," - ",'Cable Info'!S148))</f>
        <v/>
      </c>
      <c r="BB443" s="121" t="str">
        <f t="shared" si="128"/>
        <v/>
      </c>
      <c r="BD443" s="121" t="str">
        <f>IF('Cable Info'!T148="","",CONCATENATE('Cable Info'!T148," - ",'Cable Info'!U148))</f>
        <v/>
      </c>
      <c r="BG443" s="121" t="str">
        <f t="shared" si="129"/>
        <v/>
      </c>
      <c r="BI443" s="121" t="str">
        <f>IF('Cable Info'!V148="","",CONCATENATE('Cable Info'!V148," - ",'Cable Info'!W148))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str">
        <f>IF('Cable Info'!L149="","",CONCATENATE('Cable Info'!L149," - ",'Cable Info'!M149))</f>
        <v>148 - AW</v>
      </c>
      <c r="AM444" s="121" t="str">
        <f t="shared" si="125"/>
        <v>148 - AW</v>
      </c>
      <c r="AO444" s="121" t="str">
        <f>IF('Cable Info'!N149="","",CONCATENATE('Cable Info'!N149," - ",'Cable Info'!O149))</f>
        <v>148 - AW</v>
      </c>
      <c r="AR444" s="121" t="str">
        <f t="shared" si="126"/>
        <v>148 - AW</v>
      </c>
      <c r="AT444" s="121" t="str">
        <f>IF('Cable Info'!P149="","",CONCATENATE('Cable Info'!P149," - ",'Cable Info'!Q149))</f>
        <v/>
      </c>
      <c r="AW444" s="121" t="str">
        <f t="shared" si="127"/>
        <v/>
      </c>
      <c r="AY444" s="121" t="str">
        <f>IF('Cable Info'!R149="","",CONCATENATE('Cable Info'!R149," - ",'Cable Info'!S149))</f>
        <v/>
      </c>
      <c r="BB444" s="121" t="str">
        <f t="shared" si="128"/>
        <v/>
      </c>
      <c r="BD444" s="121" t="str">
        <f>IF('Cable Info'!T149="","",CONCATENATE('Cable Info'!T149," - ",'Cable Info'!U149))</f>
        <v/>
      </c>
      <c r="BG444" s="121" t="str">
        <f t="shared" si="129"/>
        <v/>
      </c>
      <c r="BI444" s="121" t="str">
        <f>IF('Cable Info'!V149="","",CONCATENATE('Cable Info'!V149," - ",'Cable Info'!W149))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str">
        <f>IF('Cable Info'!L150="","",CONCATENATE('Cable Info'!L150," - ",'Cable Info'!M150))</f>
        <v>149 - AW</v>
      </c>
      <c r="AM445" s="121" t="str">
        <f t="shared" si="125"/>
        <v>149 - AW</v>
      </c>
      <c r="AO445" s="121" t="str">
        <f>IF('Cable Info'!N150="","",CONCATENATE('Cable Info'!N150," - ",'Cable Info'!O150))</f>
        <v>149 - AW</v>
      </c>
      <c r="AR445" s="121" t="str">
        <f t="shared" si="126"/>
        <v>149 - AW</v>
      </c>
      <c r="AT445" s="121" t="str">
        <f>IF('Cable Info'!P150="","",CONCATENATE('Cable Info'!P150," - ",'Cable Info'!Q150))</f>
        <v/>
      </c>
      <c r="AW445" s="121" t="str">
        <f t="shared" si="127"/>
        <v/>
      </c>
      <c r="AY445" s="121" t="str">
        <f>IF('Cable Info'!R150="","",CONCATENATE('Cable Info'!R150," - ",'Cable Info'!S150))</f>
        <v/>
      </c>
      <c r="BB445" s="121" t="str">
        <f t="shared" si="128"/>
        <v/>
      </c>
      <c r="BD445" s="121" t="str">
        <f>IF('Cable Info'!T150="","",CONCATENATE('Cable Info'!T150," - ",'Cable Info'!U150))</f>
        <v/>
      </c>
      <c r="BG445" s="121" t="str">
        <f t="shared" si="129"/>
        <v/>
      </c>
      <c r="BI445" s="121" t="str">
        <f>IF('Cable Info'!V150="","",CONCATENATE('Cable Info'!V150," - ",'Cable Info'!W150))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str">
        <f>IF('Cable Info'!L151="","",CONCATENATE('Cable Info'!L151," - ",'Cable Info'!M151))</f>
        <v>150 - AW</v>
      </c>
      <c r="AM446" s="121" t="str">
        <f t="shared" si="125"/>
        <v>150 - AW</v>
      </c>
      <c r="AO446" s="121" t="str">
        <f>IF('Cable Info'!N151="","",CONCATENATE('Cable Info'!N151," - ",'Cable Info'!O151))</f>
        <v>150 - AW</v>
      </c>
      <c r="AR446" s="121" t="str">
        <f t="shared" si="126"/>
        <v>150 - AW</v>
      </c>
      <c r="AT446" s="121" t="str">
        <f>IF('Cable Info'!P151="","",CONCATENATE('Cable Info'!P151," - ",'Cable Info'!Q151))</f>
        <v/>
      </c>
      <c r="AW446" s="121" t="str">
        <f t="shared" si="127"/>
        <v/>
      </c>
      <c r="AY446" s="121" t="str">
        <f>IF('Cable Info'!R151="","",CONCATENATE('Cable Info'!R151," - ",'Cable Info'!S151))</f>
        <v/>
      </c>
      <c r="BB446" s="121" t="str">
        <f t="shared" si="128"/>
        <v/>
      </c>
      <c r="BD446" s="121" t="str">
        <f>IF('Cable Info'!T151="","",CONCATENATE('Cable Info'!T151," - ",'Cable Info'!U151))</f>
        <v/>
      </c>
      <c r="BG446" s="121" t="str">
        <f t="shared" si="129"/>
        <v/>
      </c>
      <c r="BI446" s="121" t="str">
        <f>IF('Cable Info'!V151="","",CONCATENATE('Cable Info'!V151," - ",'Cable Info'!W151))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str">
        <f>IF('Cable Info'!L152="","",CONCATENATE('Cable Info'!L152," - ",'Cable Info'!M152))</f>
        <v>151 - AW</v>
      </c>
      <c r="AM447" s="121" t="str">
        <f t="shared" si="125"/>
        <v>151 - AW</v>
      </c>
      <c r="AO447" s="121" t="str">
        <f>IF('Cable Info'!N152="","",CONCATENATE('Cable Info'!N152," - ",'Cable Info'!O152))</f>
        <v>151 - AW</v>
      </c>
      <c r="AR447" s="121" t="str">
        <f t="shared" si="126"/>
        <v>151 - AW</v>
      </c>
      <c r="AT447" s="121" t="str">
        <f>IF('Cable Info'!P152="","",CONCATENATE('Cable Info'!P152," - ",'Cable Info'!Q152))</f>
        <v/>
      </c>
      <c r="AW447" s="121" t="str">
        <f t="shared" si="127"/>
        <v/>
      </c>
      <c r="AY447" s="121" t="str">
        <f>IF('Cable Info'!R152="","",CONCATENATE('Cable Info'!R152," - ",'Cable Info'!S152))</f>
        <v/>
      </c>
      <c r="BB447" s="121" t="str">
        <f t="shared" si="128"/>
        <v/>
      </c>
      <c r="BD447" s="121" t="str">
        <f>IF('Cable Info'!T152="","",CONCATENATE('Cable Info'!T152," - ",'Cable Info'!U152))</f>
        <v/>
      </c>
      <c r="BG447" s="121" t="str">
        <f t="shared" si="129"/>
        <v/>
      </c>
      <c r="BI447" s="121" t="str">
        <f>IF('Cable Info'!V152="","",CONCATENATE('Cable Info'!V152," - ",'Cable Info'!W152))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str">
        <f>IF('Cable Info'!L153="","",CONCATENATE('Cable Info'!L153," - ",'Cable Info'!M153))</f>
        <v>152 - AW</v>
      </c>
      <c r="AM448" s="121" t="str">
        <f t="shared" si="125"/>
        <v>152 - AW</v>
      </c>
      <c r="AO448" s="121" t="str">
        <f>IF('Cable Info'!N153="","",CONCATENATE('Cable Info'!N153," - ",'Cable Info'!O153))</f>
        <v>152 - AW</v>
      </c>
      <c r="AR448" s="121" t="str">
        <f t="shared" si="126"/>
        <v>152 - AW</v>
      </c>
      <c r="AT448" s="121" t="str">
        <f>IF('Cable Info'!P153="","",CONCATENATE('Cable Info'!P153," - ",'Cable Info'!Q153))</f>
        <v/>
      </c>
      <c r="AW448" s="121" t="str">
        <f t="shared" si="127"/>
        <v/>
      </c>
      <c r="AY448" s="121" t="str">
        <f>IF('Cable Info'!R153="","",CONCATENATE('Cable Info'!R153," - ",'Cable Info'!S153))</f>
        <v/>
      </c>
      <c r="BB448" s="121" t="str">
        <f t="shared" si="128"/>
        <v/>
      </c>
      <c r="BD448" s="121" t="str">
        <f>IF('Cable Info'!T153="","",CONCATENATE('Cable Info'!T153," - ",'Cable Info'!U153))</f>
        <v/>
      </c>
      <c r="BG448" s="121" t="str">
        <f t="shared" si="129"/>
        <v/>
      </c>
      <c r="BI448" s="121" t="str">
        <f>IF('Cable Info'!V153="","",CONCATENATE('Cable Info'!V153," - ",'Cable Info'!W153))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str">
        <f>IF('Cable Info'!L154="","",CONCATENATE('Cable Info'!L154," - ",'Cable Info'!M154))</f>
        <v>153 - AW</v>
      </c>
      <c r="AM449" s="121" t="str">
        <f t="shared" si="125"/>
        <v>153 - AW</v>
      </c>
      <c r="AO449" s="121" t="str">
        <f>IF('Cable Info'!N154="","",CONCATENATE('Cable Info'!N154," - ",'Cable Info'!O154))</f>
        <v>153 - AW</v>
      </c>
      <c r="AR449" s="121" t="str">
        <f t="shared" si="126"/>
        <v>153 - AW</v>
      </c>
      <c r="AT449" s="121" t="str">
        <f>IF('Cable Info'!P154="","",CONCATENATE('Cable Info'!P154," - ",'Cable Info'!Q154))</f>
        <v/>
      </c>
      <c r="AW449" s="121" t="str">
        <f t="shared" si="127"/>
        <v/>
      </c>
      <c r="AY449" s="121" t="str">
        <f>IF('Cable Info'!R154="","",CONCATENATE('Cable Info'!R154," - ",'Cable Info'!S154))</f>
        <v/>
      </c>
      <c r="BB449" s="121" t="str">
        <f t="shared" si="128"/>
        <v/>
      </c>
      <c r="BD449" s="121" t="str">
        <f>IF('Cable Info'!T154="","",CONCATENATE('Cable Info'!T154," - ",'Cable Info'!U154))</f>
        <v/>
      </c>
      <c r="BG449" s="121" t="str">
        <f t="shared" si="129"/>
        <v/>
      </c>
      <c r="BI449" s="121" t="str">
        <f>IF('Cable Info'!V154="","",CONCATENATE('Cable Info'!V154," - ",'Cable Info'!W154))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str">
        <f>IF('Cable Info'!L155="","",CONCATENATE('Cable Info'!L155," - ",'Cable Info'!M155))</f>
        <v>154 - AW</v>
      </c>
      <c r="AM450" s="121" t="str">
        <f t="shared" si="125"/>
        <v>154 - AW</v>
      </c>
      <c r="AO450" s="121" t="str">
        <f>IF('Cable Info'!N155="","",CONCATENATE('Cable Info'!N155," - ",'Cable Info'!O155))</f>
        <v>154 - AW</v>
      </c>
      <c r="AR450" s="121" t="str">
        <f t="shared" si="126"/>
        <v>154 - AW</v>
      </c>
      <c r="AT450" s="121" t="str">
        <f>IF('Cable Info'!P155="","",CONCATENATE('Cable Info'!P155," - ",'Cable Info'!Q155))</f>
        <v/>
      </c>
      <c r="AW450" s="121" t="str">
        <f t="shared" si="127"/>
        <v/>
      </c>
      <c r="AY450" s="121" t="str">
        <f>IF('Cable Info'!R155="","",CONCATENATE('Cable Info'!R155," - ",'Cable Info'!S155))</f>
        <v/>
      </c>
      <c r="BB450" s="121" t="str">
        <f t="shared" si="128"/>
        <v/>
      </c>
      <c r="BD450" s="121" t="str">
        <f>IF('Cable Info'!T155="","",CONCATENATE('Cable Info'!T155," - ",'Cable Info'!U155))</f>
        <v/>
      </c>
      <c r="BG450" s="121" t="str">
        <f t="shared" si="129"/>
        <v/>
      </c>
      <c r="BI450" s="121" t="str">
        <f>IF('Cable Info'!V155="","",CONCATENATE('Cable Info'!V155," - ",'Cable Info'!W155))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str">
        <f>IF('Cable Info'!L156="","",CONCATENATE('Cable Info'!L156," - ",'Cable Info'!M156))</f>
        <v>155 - AW</v>
      </c>
      <c r="AM451" s="121" t="str">
        <f t="shared" si="125"/>
        <v>155 - AW</v>
      </c>
      <c r="AO451" s="121" t="str">
        <f>IF('Cable Info'!N156="","",CONCATENATE('Cable Info'!N156," - ",'Cable Info'!O156))</f>
        <v>155 - AW</v>
      </c>
      <c r="AR451" s="121" t="str">
        <f t="shared" si="126"/>
        <v>155 - AW</v>
      </c>
      <c r="AT451" s="121" t="str">
        <f>IF('Cable Info'!P156="","",CONCATENATE('Cable Info'!P156," - ",'Cable Info'!Q156))</f>
        <v/>
      </c>
      <c r="AW451" s="121" t="str">
        <f t="shared" si="127"/>
        <v/>
      </c>
      <c r="AY451" s="121" t="str">
        <f>IF('Cable Info'!R156="","",CONCATENATE('Cable Info'!R156," - ",'Cable Info'!S156))</f>
        <v/>
      </c>
      <c r="BB451" s="121" t="str">
        <f t="shared" si="128"/>
        <v/>
      </c>
      <c r="BD451" s="121" t="str">
        <f>IF('Cable Info'!T156="","",CONCATENATE('Cable Info'!T156," - ",'Cable Info'!U156))</f>
        <v/>
      </c>
      <c r="BG451" s="121" t="str">
        <f t="shared" si="129"/>
        <v/>
      </c>
      <c r="BI451" s="121" t="str">
        <f>IF('Cable Info'!V156="","",CONCATENATE('Cable Info'!V156," - ",'Cable Info'!W156))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str">
        <f>IF('Cable Info'!L157="","",CONCATENATE('Cable Info'!L157," - ",'Cable Info'!M157))</f>
        <v>156 - AW</v>
      </c>
      <c r="AM452" s="121" t="str">
        <f t="shared" si="125"/>
        <v>156 - AW</v>
      </c>
      <c r="AO452" s="121" t="str">
        <f>IF('Cable Info'!N157="","",CONCATENATE('Cable Info'!N157," - ",'Cable Info'!O157))</f>
        <v>156 - AW</v>
      </c>
      <c r="AR452" s="121" t="str">
        <f t="shared" si="126"/>
        <v>156 - AW</v>
      </c>
      <c r="AT452" s="121" t="str">
        <f>IF('Cable Info'!P157="","",CONCATENATE('Cable Info'!P157," - ",'Cable Info'!Q157))</f>
        <v/>
      </c>
      <c r="AW452" s="121" t="str">
        <f t="shared" si="127"/>
        <v/>
      </c>
      <c r="AY452" s="121" t="str">
        <f>IF('Cable Info'!R157="","",CONCATENATE('Cable Info'!R157," - ",'Cable Info'!S157))</f>
        <v/>
      </c>
      <c r="BB452" s="121" t="str">
        <f t="shared" si="128"/>
        <v/>
      </c>
      <c r="BD452" s="121" t="str">
        <f>IF('Cable Info'!T157="","",CONCATENATE('Cable Info'!T157," - ",'Cable Info'!U157))</f>
        <v/>
      </c>
      <c r="BG452" s="121" t="str">
        <f t="shared" si="129"/>
        <v/>
      </c>
      <c r="BI452" s="121" t="str">
        <f>IF('Cable Info'!V157="","",CONCATENATE('Cable Info'!V157," - ",'Cable Info'!W157))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str">
        <f>IF('Cable Info'!L158="","",CONCATENATE('Cable Info'!L158," - ",'Cable Info'!M158))</f>
        <v>157 - AW</v>
      </c>
      <c r="AM453" s="121" t="str">
        <f t="shared" si="125"/>
        <v>157 - AW</v>
      </c>
      <c r="AO453" s="121" t="str">
        <f>IF('Cable Info'!N158="","",CONCATENATE('Cable Info'!N158," - ",'Cable Info'!O158))</f>
        <v>157 - AW</v>
      </c>
      <c r="AR453" s="121" t="str">
        <f t="shared" si="126"/>
        <v>157 - AW</v>
      </c>
      <c r="AT453" s="121" t="str">
        <f>IF('Cable Info'!P158="","",CONCATENATE('Cable Info'!P158," - ",'Cable Info'!Q158))</f>
        <v/>
      </c>
      <c r="AW453" s="121" t="str">
        <f t="shared" si="127"/>
        <v/>
      </c>
      <c r="AY453" s="121" t="str">
        <f>IF('Cable Info'!R158="","",CONCATENATE('Cable Info'!R158," - ",'Cable Info'!S158))</f>
        <v/>
      </c>
      <c r="BB453" s="121" t="str">
        <f t="shared" si="128"/>
        <v/>
      </c>
      <c r="BD453" s="121" t="str">
        <f>IF('Cable Info'!T158="","",CONCATENATE('Cable Info'!T158," - ",'Cable Info'!U158))</f>
        <v/>
      </c>
      <c r="BG453" s="121" t="str">
        <f t="shared" si="129"/>
        <v/>
      </c>
      <c r="BI453" s="121" t="str">
        <f>IF('Cable Info'!V158="","",CONCATENATE('Cable Info'!V158," - ",'Cable Info'!W158))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str">
        <f>IF('Cable Info'!L159="","",CONCATENATE('Cable Info'!L159," - ",'Cable Info'!M159))</f>
        <v>158 - AW</v>
      </c>
      <c r="AM454" s="121" t="str">
        <f t="shared" si="125"/>
        <v>158 - AW</v>
      </c>
      <c r="AO454" s="121" t="str">
        <f>IF('Cable Info'!N159="","",CONCATENATE('Cable Info'!N159," - ",'Cable Info'!O159))</f>
        <v>158 - AW</v>
      </c>
      <c r="AR454" s="121" t="str">
        <f t="shared" si="126"/>
        <v>158 - AW</v>
      </c>
      <c r="AT454" s="121" t="str">
        <f>IF('Cable Info'!P159="","",CONCATENATE('Cable Info'!P159," - ",'Cable Info'!Q159))</f>
        <v/>
      </c>
      <c r="AW454" s="121" t="str">
        <f t="shared" si="127"/>
        <v/>
      </c>
      <c r="AY454" s="121" t="str">
        <f>IF('Cable Info'!R159="","",CONCATENATE('Cable Info'!R159," - ",'Cable Info'!S159))</f>
        <v/>
      </c>
      <c r="BB454" s="121" t="str">
        <f t="shared" si="128"/>
        <v/>
      </c>
      <c r="BD454" s="121" t="str">
        <f>IF('Cable Info'!T159="","",CONCATENATE('Cable Info'!T159," - ",'Cable Info'!U159))</f>
        <v/>
      </c>
      <c r="BG454" s="121" t="str">
        <f t="shared" si="129"/>
        <v/>
      </c>
      <c r="BI454" s="121" t="str">
        <f>IF('Cable Info'!V159="","",CONCATENATE('Cable Info'!V159," - ",'Cable Info'!W159))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str">
        <f>IF('Cable Info'!L160="","",CONCATENATE('Cable Info'!L160," - ",'Cable Info'!M160))</f>
        <v>159 - AW</v>
      </c>
      <c r="AM455" s="121" t="str">
        <f t="shared" si="125"/>
        <v>159 - AW</v>
      </c>
      <c r="AO455" s="121" t="str">
        <f>IF('Cable Info'!N160="","",CONCATENATE('Cable Info'!N160," - ",'Cable Info'!O160))</f>
        <v>159 - AW</v>
      </c>
      <c r="AR455" s="121" t="str">
        <f t="shared" si="126"/>
        <v>159 - AW</v>
      </c>
      <c r="AT455" s="121" t="str">
        <f>IF('Cable Info'!P160="","",CONCATENATE('Cable Info'!P160," - ",'Cable Info'!Q160))</f>
        <v/>
      </c>
      <c r="AW455" s="121" t="str">
        <f t="shared" si="127"/>
        <v/>
      </c>
      <c r="AY455" s="121" t="str">
        <f>IF('Cable Info'!R160="","",CONCATENATE('Cable Info'!R160," - ",'Cable Info'!S160))</f>
        <v/>
      </c>
      <c r="BB455" s="121" t="str">
        <f t="shared" si="128"/>
        <v/>
      </c>
      <c r="BD455" s="121" t="str">
        <f>IF('Cable Info'!T160="","",CONCATENATE('Cable Info'!T160," - ",'Cable Info'!U160))</f>
        <v/>
      </c>
      <c r="BG455" s="121" t="str">
        <f t="shared" si="129"/>
        <v/>
      </c>
      <c r="BI455" s="121" t="str">
        <f>IF('Cable Info'!V160="","",CONCATENATE('Cable Info'!V160," - ",'Cable Info'!W160))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str">
        <f>IF('Cable Info'!L161="","",CONCATENATE('Cable Info'!L161," - ",'Cable Info'!M161))</f>
        <v>160 - AW</v>
      </c>
      <c r="AM456" s="121" t="str">
        <f t="shared" si="125"/>
        <v>160 - AW</v>
      </c>
      <c r="AO456" s="121" t="str">
        <f>IF('Cable Info'!N161="","",CONCATENATE('Cable Info'!N161," - ",'Cable Info'!O161))</f>
        <v>160 - AW</v>
      </c>
      <c r="AR456" s="121" t="str">
        <f t="shared" si="126"/>
        <v>160 - AW</v>
      </c>
      <c r="AT456" s="121" t="str">
        <f>IF('Cable Info'!P161="","",CONCATENATE('Cable Info'!P161," - ",'Cable Info'!Q161))</f>
        <v/>
      </c>
      <c r="AW456" s="121" t="str">
        <f t="shared" si="127"/>
        <v/>
      </c>
      <c r="AY456" s="121" t="str">
        <f>IF('Cable Info'!R161="","",CONCATENATE('Cable Info'!R161," - ",'Cable Info'!S161))</f>
        <v/>
      </c>
      <c r="BB456" s="121" t="str">
        <f t="shared" si="128"/>
        <v/>
      </c>
      <c r="BD456" s="121" t="str">
        <f>IF('Cable Info'!T161="","",CONCATENATE('Cable Info'!T161," - ",'Cable Info'!U161))</f>
        <v/>
      </c>
      <c r="BG456" s="121" t="str">
        <f t="shared" si="129"/>
        <v/>
      </c>
      <c r="BI456" s="121" t="str">
        <f>IF('Cable Info'!V161="","",CONCATENATE('Cable Info'!V161," - ",'Cable Info'!W161))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str">
        <f>IF('Cable Info'!L162="","",CONCATENATE('Cable Info'!L162," - ",'Cable Info'!M162))</f>
        <v>161 - AW</v>
      </c>
      <c r="AM457" s="121" t="str">
        <f t="shared" si="125"/>
        <v>161 - AW</v>
      </c>
      <c r="AO457" s="121" t="str">
        <f>IF('Cable Info'!N162="","",CONCATENATE('Cable Info'!N162," - ",'Cable Info'!O162))</f>
        <v>161 - AW</v>
      </c>
      <c r="AR457" s="121" t="str">
        <f t="shared" si="126"/>
        <v>161 - AW</v>
      </c>
      <c r="AT457" s="121" t="str">
        <f>IF('Cable Info'!P162="","",CONCATENATE('Cable Info'!P162," - ",'Cable Info'!Q162))</f>
        <v/>
      </c>
      <c r="AW457" s="121" t="str">
        <f t="shared" si="127"/>
        <v/>
      </c>
      <c r="AY457" s="121" t="str">
        <f>IF('Cable Info'!R162="","",CONCATENATE('Cable Info'!R162," - ",'Cable Info'!S162))</f>
        <v/>
      </c>
      <c r="BB457" s="121" t="str">
        <f t="shared" si="128"/>
        <v/>
      </c>
      <c r="BD457" s="121" t="str">
        <f>IF('Cable Info'!T162="","",CONCATENATE('Cable Info'!T162," - ",'Cable Info'!U162))</f>
        <v/>
      </c>
      <c r="BG457" s="121" t="str">
        <f t="shared" si="129"/>
        <v/>
      </c>
      <c r="BI457" s="121" t="str">
        <f>IF('Cable Info'!V162="","",CONCATENATE('Cable Info'!V162," - ",'Cable Info'!W162))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str">
        <f>IF('Cable Info'!L163="","",CONCATENATE('Cable Info'!L163," - ",'Cable Info'!M163))</f>
        <v>162 - AW</v>
      </c>
      <c r="AM458" s="121" t="str">
        <f t="shared" si="125"/>
        <v>162 - AW</v>
      </c>
      <c r="AO458" s="121" t="str">
        <f>IF('Cable Info'!N163="","",CONCATENATE('Cable Info'!N163," - ",'Cable Info'!O163))</f>
        <v>162 - AW</v>
      </c>
      <c r="AR458" s="121" t="str">
        <f t="shared" si="126"/>
        <v>162 - AW</v>
      </c>
      <c r="AT458" s="121" t="str">
        <f>IF('Cable Info'!P163="","",CONCATENATE('Cable Info'!P163," - ",'Cable Info'!Q163))</f>
        <v/>
      </c>
      <c r="AW458" s="121" t="str">
        <f t="shared" si="127"/>
        <v/>
      </c>
      <c r="AY458" s="121" t="str">
        <f>IF('Cable Info'!R163="","",CONCATENATE('Cable Info'!R163," - ",'Cable Info'!S163))</f>
        <v/>
      </c>
      <c r="BB458" s="121" t="str">
        <f t="shared" si="128"/>
        <v/>
      </c>
      <c r="BD458" s="121" t="str">
        <f>IF('Cable Info'!T163="","",CONCATENATE('Cable Info'!T163," - ",'Cable Info'!U163))</f>
        <v/>
      </c>
      <c r="BG458" s="121" t="str">
        <f t="shared" si="129"/>
        <v/>
      </c>
      <c r="BI458" s="121" t="str">
        <f>IF('Cable Info'!V163="","",CONCATENATE('Cable Info'!V163," - ",'Cable Info'!W163))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str">
        <f>IF('Cable Info'!L164="","",CONCATENATE('Cable Info'!L164," - ",'Cable Info'!M164))</f>
        <v>163 - AW</v>
      </c>
      <c r="AM459" s="121" t="str">
        <f t="shared" si="125"/>
        <v>163 - AW</v>
      </c>
      <c r="AO459" s="121" t="str">
        <f>IF('Cable Info'!N164="","",CONCATENATE('Cable Info'!N164," - ",'Cable Info'!O164))</f>
        <v>163 - AW</v>
      </c>
      <c r="AR459" s="121" t="str">
        <f t="shared" si="126"/>
        <v>163 - AW</v>
      </c>
      <c r="AT459" s="121" t="str">
        <f>IF('Cable Info'!P164="","",CONCATENATE('Cable Info'!P164," - ",'Cable Info'!Q164))</f>
        <v/>
      </c>
      <c r="AW459" s="121" t="str">
        <f t="shared" si="127"/>
        <v/>
      </c>
      <c r="AY459" s="121" t="str">
        <f>IF('Cable Info'!R164="","",CONCATENATE('Cable Info'!R164," - ",'Cable Info'!S164))</f>
        <v/>
      </c>
      <c r="BB459" s="121" t="str">
        <f t="shared" si="128"/>
        <v/>
      </c>
      <c r="BD459" s="121" t="str">
        <f>IF('Cable Info'!T164="","",CONCATENATE('Cable Info'!T164," - ",'Cable Info'!U164))</f>
        <v/>
      </c>
      <c r="BG459" s="121" t="str">
        <f t="shared" si="129"/>
        <v/>
      </c>
      <c r="BI459" s="121" t="str">
        <f>IF('Cable Info'!V164="","",CONCATENATE('Cable Info'!V164," - ",'Cable Info'!W164))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str">
        <f>IF('Cable Info'!L165="","",CONCATENATE('Cable Info'!L165," - ",'Cable Info'!M165))</f>
        <v>164 - AW</v>
      </c>
      <c r="AM460" s="121" t="str">
        <f t="shared" si="125"/>
        <v>164 - AW</v>
      </c>
      <c r="AO460" s="121" t="str">
        <f>IF('Cable Info'!N165="","",CONCATENATE('Cable Info'!N165," - ",'Cable Info'!O165))</f>
        <v>164 - AW</v>
      </c>
      <c r="AR460" s="121" t="str">
        <f t="shared" si="126"/>
        <v>164 - AW</v>
      </c>
      <c r="AT460" s="121" t="str">
        <f>IF('Cable Info'!P165="","",CONCATENATE('Cable Info'!P165," - ",'Cable Info'!Q165))</f>
        <v/>
      </c>
      <c r="AW460" s="121" t="str">
        <f t="shared" si="127"/>
        <v/>
      </c>
      <c r="AY460" s="121" t="str">
        <f>IF('Cable Info'!R165="","",CONCATENATE('Cable Info'!R165," - ",'Cable Info'!S165))</f>
        <v/>
      </c>
      <c r="BB460" s="121" t="str">
        <f t="shared" si="128"/>
        <v/>
      </c>
      <c r="BD460" s="121" t="str">
        <f>IF('Cable Info'!T165="","",CONCATENATE('Cable Info'!T165," - ",'Cable Info'!U165))</f>
        <v/>
      </c>
      <c r="BG460" s="121" t="str">
        <f t="shared" si="129"/>
        <v/>
      </c>
      <c r="BI460" s="121" t="str">
        <f>IF('Cable Info'!V165="","",CONCATENATE('Cable Info'!V165," - ",'Cable Info'!W165))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str">
        <f>IF('Cable Info'!L166="","",CONCATENATE('Cable Info'!L166," - ",'Cable Info'!M166))</f>
        <v>165 - AW</v>
      </c>
      <c r="AM461" s="121" t="str">
        <f t="shared" si="125"/>
        <v>165 - AW</v>
      </c>
      <c r="AO461" s="121" t="str">
        <f>IF('Cable Info'!N166="","",CONCATENATE('Cable Info'!N166," - ",'Cable Info'!O166))</f>
        <v>165 - AW</v>
      </c>
      <c r="AR461" s="121" t="str">
        <f t="shared" si="126"/>
        <v>165 - AW</v>
      </c>
      <c r="AT461" s="121" t="str">
        <f>IF('Cable Info'!P166="","",CONCATENATE('Cable Info'!P166," - ",'Cable Info'!Q166))</f>
        <v/>
      </c>
      <c r="AW461" s="121" t="str">
        <f t="shared" si="127"/>
        <v/>
      </c>
      <c r="AY461" s="121" t="str">
        <f>IF('Cable Info'!R166="","",CONCATENATE('Cable Info'!R166," - ",'Cable Info'!S166))</f>
        <v/>
      </c>
      <c r="BB461" s="121" t="str">
        <f t="shared" si="128"/>
        <v/>
      </c>
      <c r="BD461" s="121" t="str">
        <f>IF('Cable Info'!T166="","",CONCATENATE('Cable Info'!T166," - ",'Cable Info'!U166))</f>
        <v/>
      </c>
      <c r="BG461" s="121" t="str">
        <f t="shared" si="129"/>
        <v/>
      </c>
      <c r="BI461" s="121" t="str">
        <f>IF('Cable Info'!V166="","",CONCATENATE('Cable Info'!V166," - ",'Cable Info'!W166))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str">
        <f>IF('Cable Info'!L167="","",CONCATENATE('Cable Info'!L167," - ",'Cable Info'!M167))</f>
        <v>166 - AW</v>
      </c>
      <c r="AM462" s="121" t="str">
        <f t="shared" si="125"/>
        <v>166 - AW</v>
      </c>
      <c r="AO462" s="121" t="str">
        <f>IF('Cable Info'!N167="","",CONCATENATE('Cable Info'!N167," - ",'Cable Info'!O167))</f>
        <v>166 - AW</v>
      </c>
      <c r="AR462" s="121" t="str">
        <f t="shared" si="126"/>
        <v>166 - AW</v>
      </c>
      <c r="AT462" s="121" t="str">
        <f>IF('Cable Info'!P167="","",CONCATENATE('Cable Info'!P167," - ",'Cable Info'!Q167))</f>
        <v/>
      </c>
      <c r="AW462" s="121" t="str">
        <f t="shared" si="127"/>
        <v/>
      </c>
      <c r="AY462" s="121" t="str">
        <f>IF('Cable Info'!R167="","",CONCATENATE('Cable Info'!R167," - ",'Cable Info'!S167))</f>
        <v/>
      </c>
      <c r="BB462" s="121" t="str">
        <f t="shared" si="128"/>
        <v/>
      </c>
      <c r="BD462" s="121" t="str">
        <f>IF('Cable Info'!T167="","",CONCATENATE('Cable Info'!T167," - ",'Cable Info'!U167))</f>
        <v/>
      </c>
      <c r="BG462" s="121" t="str">
        <f t="shared" si="129"/>
        <v/>
      </c>
      <c r="BI462" s="121" t="str">
        <f>IF('Cable Info'!V167="","",CONCATENATE('Cable Info'!V167," - ",'Cable Info'!W167))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str">
        <f>IF('Cable Info'!L168="","",CONCATENATE('Cable Info'!L168," - ",'Cable Info'!M168))</f>
        <v>167 - AW</v>
      </c>
      <c r="AM463" s="121" t="str">
        <f t="shared" si="125"/>
        <v>167 - AW</v>
      </c>
      <c r="AO463" s="121" t="str">
        <f>IF('Cable Info'!N168="","",CONCATENATE('Cable Info'!N168," - ",'Cable Info'!O168))</f>
        <v>167 - AW</v>
      </c>
      <c r="AR463" s="121" t="str">
        <f t="shared" si="126"/>
        <v>167 - AW</v>
      </c>
      <c r="AT463" s="121" t="str">
        <f>IF('Cable Info'!P168="","",CONCATENATE('Cable Info'!P168," - ",'Cable Info'!Q168))</f>
        <v/>
      </c>
      <c r="AW463" s="121" t="str">
        <f t="shared" si="127"/>
        <v/>
      </c>
      <c r="AY463" s="121" t="str">
        <f>IF('Cable Info'!R168="","",CONCATENATE('Cable Info'!R168," - ",'Cable Info'!S168))</f>
        <v/>
      </c>
      <c r="BB463" s="121" t="str">
        <f t="shared" si="128"/>
        <v/>
      </c>
      <c r="BD463" s="121" t="str">
        <f>IF('Cable Info'!T168="","",CONCATENATE('Cable Info'!T168," - ",'Cable Info'!U168))</f>
        <v/>
      </c>
      <c r="BG463" s="121" t="str">
        <f t="shared" si="129"/>
        <v/>
      </c>
      <c r="BI463" s="121" t="str">
        <f>IF('Cable Info'!V168="","",CONCATENATE('Cable Info'!V168," - ",'Cable Info'!W168))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str">
        <f>IF('Cable Info'!L169="","",CONCATENATE('Cable Info'!L169," - ",'Cable Info'!M169))</f>
        <v>168 - AW</v>
      </c>
      <c r="AM464" s="121" t="str">
        <f t="shared" si="125"/>
        <v>168 - AW</v>
      </c>
      <c r="AO464" s="121" t="str">
        <f>IF('Cable Info'!N169="","",CONCATENATE('Cable Info'!N169," - ",'Cable Info'!O169))</f>
        <v>168 - AW</v>
      </c>
      <c r="AR464" s="121" t="str">
        <f t="shared" si="126"/>
        <v>168 - AW</v>
      </c>
      <c r="AT464" s="121" t="str">
        <f>IF('Cable Info'!P169="","",CONCATENATE('Cable Info'!P169," - ",'Cable Info'!Q169))</f>
        <v/>
      </c>
      <c r="AW464" s="121" t="str">
        <f t="shared" si="127"/>
        <v/>
      </c>
      <c r="AY464" s="121" t="str">
        <f>IF('Cable Info'!R169="","",CONCATENATE('Cable Info'!R169," - ",'Cable Info'!S169))</f>
        <v/>
      </c>
      <c r="BB464" s="121" t="str">
        <f t="shared" si="128"/>
        <v/>
      </c>
      <c r="BD464" s="121" t="str">
        <f>IF('Cable Info'!T169="","",CONCATENATE('Cable Info'!T169," - ",'Cable Info'!U169))</f>
        <v/>
      </c>
      <c r="BG464" s="121" t="str">
        <f t="shared" si="129"/>
        <v/>
      </c>
      <c r="BI464" s="121" t="str">
        <f>IF('Cable Info'!V169="","",CONCATENATE('Cable Info'!V169," - ",'Cable Info'!W169))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str">
        <f>IF('Cable Info'!L170="","",CONCATENATE('Cable Info'!L170," - ",'Cable Info'!M170))</f>
        <v>169 - AW</v>
      </c>
      <c r="AM465" s="121" t="str">
        <f t="shared" si="125"/>
        <v>169 - AW</v>
      </c>
      <c r="AO465" s="121" t="str">
        <f>IF('Cable Info'!N170="","",CONCATENATE('Cable Info'!N170," - ",'Cable Info'!O170))</f>
        <v>169 - AW</v>
      </c>
      <c r="AR465" s="121" t="str">
        <f t="shared" si="126"/>
        <v>169 - AW</v>
      </c>
      <c r="AT465" s="121" t="str">
        <f>IF('Cable Info'!P170="","",CONCATENATE('Cable Info'!P170," - ",'Cable Info'!Q170))</f>
        <v/>
      </c>
      <c r="AW465" s="121" t="str">
        <f t="shared" si="127"/>
        <v/>
      </c>
      <c r="AY465" s="121" t="str">
        <f>IF('Cable Info'!R170="","",CONCATENATE('Cable Info'!R170," - ",'Cable Info'!S170))</f>
        <v/>
      </c>
      <c r="BB465" s="121" t="str">
        <f t="shared" si="128"/>
        <v/>
      </c>
      <c r="BD465" s="121" t="str">
        <f>IF('Cable Info'!T170="","",CONCATENATE('Cable Info'!T170," - ",'Cable Info'!U170))</f>
        <v/>
      </c>
      <c r="BG465" s="121" t="str">
        <f t="shared" si="129"/>
        <v/>
      </c>
      <c r="BI465" s="121" t="str">
        <f>IF('Cable Info'!V170="","",CONCATENATE('Cable Info'!V170," - ",'Cable Info'!W170))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str">
        <f>IF('Cable Info'!L171="","",CONCATENATE('Cable Info'!L171," - ",'Cable Info'!M171))</f>
        <v>170 - AW</v>
      </c>
      <c r="AM466" s="121" t="str">
        <f t="shared" si="125"/>
        <v>170 - AW</v>
      </c>
      <c r="AO466" s="121" t="str">
        <f>IF('Cable Info'!N171="","",CONCATENATE('Cable Info'!N171," - ",'Cable Info'!O171))</f>
        <v>170 - AW</v>
      </c>
      <c r="AR466" s="121" t="str">
        <f t="shared" si="126"/>
        <v>170 - AW</v>
      </c>
      <c r="AT466" s="121" t="str">
        <f>IF('Cable Info'!P171="","",CONCATENATE('Cable Info'!P171," - ",'Cable Info'!Q171))</f>
        <v/>
      </c>
      <c r="AW466" s="121" t="str">
        <f t="shared" si="127"/>
        <v/>
      </c>
      <c r="AY466" s="121" t="str">
        <f>IF('Cable Info'!R171="","",CONCATENATE('Cable Info'!R171," - ",'Cable Info'!S171))</f>
        <v/>
      </c>
      <c r="BB466" s="121" t="str">
        <f t="shared" si="128"/>
        <v/>
      </c>
      <c r="BD466" s="121" t="str">
        <f>IF('Cable Info'!T171="","",CONCATENATE('Cable Info'!T171," - ",'Cable Info'!U171))</f>
        <v/>
      </c>
      <c r="BG466" s="121" t="str">
        <f t="shared" si="129"/>
        <v/>
      </c>
      <c r="BI466" s="121" t="str">
        <f>IF('Cable Info'!V171="","",CONCATENATE('Cable Info'!V171," - ",'Cable Info'!W171))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str">
        <f>IF('Cable Info'!L172="","",CONCATENATE('Cable Info'!L172," - ",'Cable Info'!M172))</f>
        <v>171 - AW</v>
      </c>
      <c r="AM467" s="121" t="str">
        <f t="shared" si="125"/>
        <v>171 - AW</v>
      </c>
      <c r="AO467" s="121" t="str">
        <f>IF('Cable Info'!N172="","",CONCATENATE('Cable Info'!N172," - ",'Cable Info'!O172))</f>
        <v>171 - AW</v>
      </c>
      <c r="AR467" s="121" t="str">
        <f t="shared" si="126"/>
        <v>171 - AW</v>
      </c>
      <c r="AT467" s="121" t="str">
        <f>IF('Cable Info'!P172="","",CONCATENATE('Cable Info'!P172," - ",'Cable Info'!Q172))</f>
        <v/>
      </c>
      <c r="AW467" s="121" t="str">
        <f t="shared" si="127"/>
        <v/>
      </c>
      <c r="AY467" s="121" t="str">
        <f>IF('Cable Info'!R172="","",CONCATENATE('Cable Info'!R172," - ",'Cable Info'!S172))</f>
        <v/>
      </c>
      <c r="BB467" s="121" t="str">
        <f t="shared" si="128"/>
        <v/>
      </c>
      <c r="BD467" s="121" t="str">
        <f>IF('Cable Info'!T172="","",CONCATENATE('Cable Info'!T172," - ",'Cable Info'!U172))</f>
        <v/>
      </c>
      <c r="BG467" s="121" t="str">
        <f t="shared" si="129"/>
        <v/>
      </c>
      <c r="BI467" s="121" t="str">
        <f>IF('Cable Info'!V172="","",CONCATENATE('Cable Info'!V172," - ",'Cable Info'!W172))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str">
        <f>IF('Cable Info'!L173="","",CONCATENATE('Cable Info'!L173," - ",'Cable Info'!M173))</f>
        <v>172 - AW</v>
      </c>
      <c r="AM468" s="121" t="str">
        <f t="shared" si="125"/>
        <v>172 - AW</v>
      </c>
      <c r="AO468" s="121" t="str">
        <f>IF('Cable Info'!N173="","",CONCATENATE('Cable Info'!N173," - ",'Cable Info'!O173))</f>
        <v>172 - AW</v>
      </c>
      <c r="AR468" s="121" t="str">
        <f t="shared" si="126"/>
        <v>172 - AW</v>
      </c>
      <c r="AT468" s="121" t="str">
        <f>IF('Cable Info'!P173="","",CONCATENATE('Cable Info'!P173," - ",'Cable Info'!Q173))</f>
        <v/>
      </c>
      <c r="AW468" s="121" t="str">
        <f t="shared" si="127"/>
        <v/>
      </c>
      <c r="AY468" s="121" t="str">
        <f>IF('Cable Info'!R173="","",CONCATENATE('Cable Info'!R173," - ",'Cable Info'!S173))</f>
        <v/>
      </c>
      <c r="BB468" s="121" t="str">
        <f t="shared" si="128"/>
        <v/>
      </c>
      <c r="BD468" s="121" t="str">
        <f>IF('Cable Info'!T173="","",CONCATENATE('Cable Info'!T173," - ",'Cable Info'!U173))</f>
        <v/>
      </c>
      <c r="BG468" s="121" t="str">
        <f t="shared" si="129"/>
        <v/>
      </c>
      <c r="BI468" s="121" t="str">
        <f>IF('Cable Info'!V173="","",CONCATENATE('Cable Info'!V173," - ",'Cable Info'!W173))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str">
        <f>IF('Cable Info'!L174="","",CONCATENATE('Cable Info'!L174," - ",'Cable Info'!M174))</f>
        <v>173 - AW</v>
      </c>
      <c r="AM469" s="121" t="str">
        <f t="shared" si="125"/>
        <v>173 - AW</v>
      </c>
      <c r="AO469" s="121" t="str">
        <f>IF('Cable Info'!N174="","",CONCATENATE('Cable Info'!N174," - ",'Cable Info'!O174))</f>
        <v>173 - AW</v>
      </c>
      <c r="AR469" s="121" t="str">
        <f t="shared" si="126"/>
        <v>173 - AW</v>
      </c>
      <c r="AT469" s="121" t="str">
        <f>IF('Cable Info'!P174="","",CONCATENATE('Cable Info'!P174," - ",'Cable Info'!Q174))</f>
        <v/>
      </c>
      <c r="AW469" s="121" t="str">
        <f t="shared" si="127"/>
        <v/>
      </c>
      <c r="AY469" s="121" t="str">
        <f>IF('Cable Info'!R174="","",CONCATENATE('Cable Info'!R174," - ",'Cable Info'!S174))</f>
        <v/>
      </c>
      <c r="BB469" s="121" t="str">
        <f t="shared" si="128"/>
        <v/>
      </c>
      <c r="BD469" s="121" t="str">
        <f>IF('Cable Info'!T174="","",CONCATENATE('Cable Info'!T174," - ",'Cable Info'!U174))</f>
        <v/>
      </c>
      <c r="BG469" s="121" t="str">
        <f t="shared" si="129"/>
        <v/>
      </c>
      <c r="BI469" s="121" t="str">
        <f>IF('Cable Info'!V174="","",CONCATENATE('Cable Info'!V174," - ",'Cable Info'!W174))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str">
        <f>IF('Cable Info'!L175="","",CONCATENATE('Cable Info'!L175," - ",'Cable Info'!M175))</f>
        <v>174 - AW</v>
      </c>
      <c r="AM470" s="121" t="str">
        <f t="shared" si="125"/>
        <v>174 - AW</v>
      </c>
      <c r="AO470" s="121" t="str">
        <f>IF('Cable Info'!N175="","",CONCATENATE('Cable Info'!N175," - ",'Cable Info'!O175))</f>
        <v>174 - AW</v>
      </c>
      <c r="AR470" s="121" t="str">
        <f t="shared" si="126"/>
        <v>174 - AW</v>
      </c>
      <c r="AT470" s="121" t="str">
        <f>IF('Cable Info'!P175="","",CONCATENATE('Cable Info'!P175," - ",'Cable Info'!Q175))</f>
        <v/>
      </c>
      <c r="AW470" s="121" t="str">
        <f t="shared" si="127"/>
        <v/>
      </c>
      <c r="AY470" s="121" t="str">
        <f>IF('Cable Info'!R175="","",CONCATENATE('Cable Info'!R175," - ",'Cable Info'!S175))</f>
        <v/>
      </c>
      <c r="BB470" s="121" t="str">
        <f t="shared" si="128"/>
        <v/>
      </c>
      <c r="BD470" s="121" t="str">
        <f>IF('Cable Info'!T175="","",CONCATENATE('Cable Info'!T175," - ",'Cable Info'!U175))</f>
        <v/>
      </c>
      <c r="BG470" s="121" t="str">
        <f t="shared" si="129"/>
        <v/>
      </c>
      <c r="BI470" s="121" t="str">
        <f>IF('Cable Info'!V175="","",CONCATENATE('Cable Info'!V175," - ",'Cable Info'!W175))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str">
        <f>IF('Cable Info'!L176="","",CONCATENATE('Cable Info'!L176," - ",'Cable Info'!M176))</f>
        <v>175 - AW</v>
      </c>
      <c r="AM471" s="121" t="str">
        <f t="shared" si="125"/>
        <v>175 - AW</v>
      </c>
      <c r="AO471" s="121" t="str">
        <f>IF('Cable Info'!N176="","",CONCATENATE('Cable Info'!N176," - ",'Cable Info'!O176))</f>
        <v>175 - AW</v>
      </c>
      <c r="AR471" s="121" t="str">
        <f t="shared" si="126"/>
        <v>175 - AW</v>
      </c>
      <c r="AT471" s="121" t="str">
        <f>IF('Cable Info'!P176="","",CONCATENATE('Cable Info'!P176," - ",'Cable Info'!Q176))</f>
        <v/>
      </c>
      <c r="AW471" s="121" t="str">
        <f t="shared" si="127"/>
        <v/>
      </c>
      <c r="AY471" s="121" t="str">
        <f>IF('Cable Info'!R176="","",CONCATENATE('Cable Info'!R176," - ",'Cable Info'!S176))</f>
        <v/>
      </c>
      <c r="BB471" s="121" t="str">
        <f t="shared" si="128"/>
        <v/>
      </c>
      <c r="BD471" s="121" t="str">
        <f>IF('Cable Info'!T176="","",CONCATENATE('Cable Info'!T176," - ",'Cable Info'!U176))</f>
        <v/>
      </c>
      <c r="BG471" s="121" t="str">
        <f t="shared" si="129"/>
        <v/>
      </c>
      <c r="BI471" s="121" t="str">
        <f>IF('Cable Info'!V176="","",CONCATENATE('Cable Info'!V176," - ",'Cable Info'!W176))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str">
        <f>IF('Cable Info'!L177="","",CONCATENATE('Cable Info'!L177," - ",'Cable Info'!M177))</f>
        <v>176 - AW</v>
      </c>
      <c r="AM472" s="121" t="str">
        <f t="shared" si="125"/>
        <v>176 - AW</v>
      </c>
      <c r="AO472" s="121" t="str">
        <f>IF('Cable Info'!N177="","",CONCATENATE('Cable Info'!N177," - ",'Cable Info'!O177))</f>
        <v>176 - AW</v>
      </c>
      <c r="AR472" s="121" t="str">
        <f t="shared" si="126"/>
        <v>176 - AW</v>
      </c>
      <c r="AT472" s="121" t="str">
        <f>IF('Cable Info'!P177="","",CONCATENATE('Cable Info'!P177," - ",'Cable Info'!Q177))</f>
        <v/>
      </c>
      <c r="AW472" s="121" t="str">
        <f t="shared" si="127"/>
        <v/>
      </c>
      <c r="AY472" s="121" t="str">
        <f>IF('Cable Info'!R177="","",CONCATENATE('Cable Info'!R177," - ",'Cable Info'!S177))</f>
        <v/>
      </c>
      <c r="BB472" s="121" t="str">
        <f t="shared" si="128"/>
        <v/>
      </c>
      <c r="BD472" s="121" t="str">
        <f>IF('Cable Info'!T177="","",CONCATENATE('Cable Info'!T177," - ",'Cable Info'!U177))</f>
        <v/>
      </c>
      <c r="BG472" s="121" t="str">
        <f t="shared" si="129"/>
        <v/>
      </c>
      <c r="BI472" s="121" t="str">
        <f>IF('Cable Info'!V177="","",CONCATENATE('Cable Info'!V177," - ",'Cable Info'!W177))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str">
        <f>IF('Cable Info'!L178="","",CONCATENATE('Cable Info'!L178," - ",'Cable Info'!M178))</f>
        <v>177 - AW</v>
      </c>
      <c r="AM473" s="121" t="str">
        <f t="shared" si="125"/>
        <v>177 - AW</v>
      </c>
      <c r="AO473" s="121" t="str">
        <f>IF('Cable Info'!N178="","",CONCATENATE('Cable Info'!N178," - ",'Cable Info'!O178))</f>
        <v>177 - AW</v>
      </c>
      <c r="AR473" s="121" t="str">
        <f t="shared" si="126"/>
        <v>177 - AW</v>
      </c>
      <c r="AT473" s="121" t="str">
        <f>IF('Cable Info'!P178="","",CONCATENATE('Cable Info'!P178," - ",'Cable Info'!Q178))</f>
        <v/>
      </c>
      <c r="AW473" s="121" t="str">
        <f t="shared" si="127"/>
        <v/>
      </c>
      <c r="AY473" s="121" t="str">
        <f>IF('Cable Info'!R178="","",CONCATENATE('Cable Info'!R178," - ",'Cable Info'!S178))</f>
        <v/>
      </c>
      <c r="BB473" s="121" t="str">
        <f t="shared" si="128"/>
        <v/>
      </c>
      <c r="BD473" s="121" t="str">
        <f>IF('Cable Info'!T178="","",CONCATENATE('Cable Info'!T178," - ",'Cable Info'!U178))</f>
        <v/>
      </c>
      <c r="BG473" s="121" t="str">
        <f t="shared" si="129"/>
        <v/>
      </c>
      <c r="BI473" s="121" t="str">
        <f>IF('Cable Info'!V178="","",CONCATENATE('Cable Info'!V178," - ",'Cable Info'!W178))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str">
        <f>IF('Cable Info'!L179="","",CONCATENATE('Cable Info'!L179," - ",'Cable Info'!M179))</f>
        <v>178 - AW</v>
      </c>
      <c r="AM474" s="121" t="str">
        <f t="shared" si="125"/>
        <v>178 - AW</v>
      </c>
      <c r="AO474" s="121" t="str">
        <f>IF('Cable Info'!N179="","",CONCATENATE('Cable Info'!N179," - ",'Cable Info'!O179))</f>
        <v>178 - AW</v>
      </c>
      <c r="AR474" s="121" t="str">
        <f t="shared" si="126"/>
        <v>178 - AW</v>
      </c>
      <c r="AT474" s="121" t="str">
        <f>IF('Cable Info'!P179="","",CONCATENATE('Cable Info'!P179," - ",'Cable Info'!Q179))</f>
        <v/>
      </c>
      <c r="AW474" s="121" t="str">
        <f t="shared" si="127"/>
        <v/>
      </c>
      <c r="AY474" s="121" t="str">
        <f>IF('Cable Info'!R179="","",CONCATENATE('Cable Info'!R179," - ",'Cable Info'!S179))</f>
        <v/>
      </c>
      <c r="BB474" s="121" t="str">
        <f t="shared" si="128"/>
        <v/>
      </c>
      <c r="BD474" s="121" t="str">
        <f>IF('Cable Info'!T179="","",CONCATENATE('Cable Info'!T179," - ",'Cable Info'!U179))</f>
        <v/>
      </c>
      <c r="BG474" s="121" t="str">
        <f t="shared" si="129"/>
        <v/>
      </c>
      <c r="BI474" s="121" t="str">
        <f>IF('Cable Info'!V179="","",CONCATENATE('Cable Info'!V179," - ",'Cable Info'!W179))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str">
        <f>IF('Cable Info'!L180="","",CONCATENATE('Cable Info'!L180," - ",'Cable Info'!M180))</f>
        <v>179 - AW</v>
      </c>
      <c r="AM475" s="121" t="str">
        <f t="shared" si="125"/>
        <v>179 - AW</v>
      </c>
      <c r="AO475" s="121" t="str">
        <f>IF('Cable Info'!N180="","",CONCATENATE('Cable Info'!N180," - ",'Cable Info'!O180))</f>
        <v>179 - AW</v>
      </c>
      <c r="AR475" s="121" t="str">
        <f t="shared" si="126"/>
        <v>179 - AW</v>
      </c>
      <c r="AT475" s="121" t="str">
        <f>IF('Cable Info'!P180="","",CONCATENATE('Cable Info'!P180," - ",'Cable Info'!Q180))</f>
        <v/>
      </c>
      <c r="AW475" s="121" t="str">
        <f t="shared" si="127"/>
        <v/>
      </c>
      <c r="AY475" s="121" t="str">
        <f>IF('Cable Info'!R180="","",CONCATENATE('Cable Info'!R180," - ",'Cable Info'!S180))</f>
        <v/>
      </c>
      <c r="BB475" s="121" t="str">
        <f t="shared" si="128"/>
        <v/>
      </c>
      <c r="BD475" s="121" t="str">
        <f>IF('Cable Info'!T180="","",CONCATENATE('Cable Info'!T180," - ",'Cable Info'!U180))</f>
        <v/>
      </c>
      <c r="BG475" s="121" t="str">
        <f t="shared" si="129"/>
        <v/>
      </c>
      <c r="BI475" s="121" t="str">
        <f>IF('Cable Info'!V180="","",CONCATENATE('Cable Info'!V180," - ",'Cable Info'!W180))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str">
        <f>IF('Cable Info'!L181="","",CONCATENATE('Cable Info'!L181," - ",'Cable Info'!M181))</f>
        <v>180 - AW</v>
      </c>
      <c r="AM476" s="121" t="str">
        <f t="shared" si="125"/>
        <v>180 - AW</v>
      </c>
      <c r="AO476" s="121" t="str">
        <f>IF('Cable Info'!N181="","",CONCATENATE('Cable Info'!N181," - ",'Cable Info'!O181))</f>
        <v>180 - AW</v>
      </c>
      <c r="AR476" s="121" t="str">
        <f t="shared" si="126"/>
        <v>180 - AW</v>
      </c>
      <c r="AT476" s="121" t="str">
        <f>IF('Cable Info'!P181="","",CONCATENATE('Cable Info'!P181," - ",'Cable Info'!Q181))</f>
        <v/>
      </c>
      <c r="AW476" s="121" t="str">
        <f t="shared" si="127"/>
        <v/>
      </c>
      <c r="AY476" s="121" t="str">
        <f>IF('Cable Info'!R181="","",CONCATENATE('Cable Info'!R181," - ",'Cable Info'!S181))</f>
        <v/>
      </c>
      <c r="BB476" s="121" t="str">
        <f t="shared" si="128"/>
        <v/>
      </c>
      <c r="BD476" s="121" t="str">
        <f>IF('Cable Info'!T181="","",CONCATENATE('Cable Info'!T181," - ",'Cable Info'!U181))</f>
        <v/>
      </c>
      <c r="BG476" s="121" t="str">
        <f t="shared" si="129"/>
        <v/>
      </c>
      <c r="BI476" s="121" t="str">
        <f>IF('Cable Info'!V181="","",CONCATENATE('Cable Info'!V181," - ",'Cable Info'!W181))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str">
        <f>IF('Cable Info'!L182="","",CONCATENATE('Cable Info'!L182," - ",'Cable Info'!M182))</f>
        <v>181 - AW</v>
      </c>
      <c r="AM477" s="121" t="str">
        <f t="shared" si="125"/>
        <v>181 - AW</v>
      </c>
      <c r="AO477" s="121" t="str">
        <f>IF('Cable Info'!N182="","",CONCATENATE('Cable Info'!N182," - ",'Cable Info'!O182))</f>
        <v>181 - AW</v>
      </c>
      <c r="AR477" s="121" t="str">
        <f t="shared" si="126"/>
        <v>181 - AW</v>
      </c>
      <c r="AT477" s="121" t="str">
        <f>IF('Cable Info'!P182="","",CONCATENATE('Cable Info'!P182," - ",'Cable Info'!Q182))</f>
        <v/>
      </c>
      <c r="AW477" s="121" t="str">
        <f t="shared" si="127"/>
        <v/>
      </c>
      <c r="AY477" s="121" t="str">
        <f>IF('Cable Info'!R182="","",CONCATENATE('Cable Info'!R182," - ",'Cable Info'!S182))</f>
        <v/>
      </c>
      <c r="BB477" s="121" t="str">
        <f t="shared" si="128"/>
        <v/>
      </c>
      <c r="BD477" s="121" t="str">
        <f>IF('Cable Info'!T182="","",CONCATENATE('Cable Info'!T182," - ",'Cable Info'!U182))</f>
        <v/>
      </c>
      <c r="BG477" s="121" t="str">
        <f t="shared" si="129"/>
        <v/>
      </c>
      <c r="BI477" s="121" t="str">
        <f>IF('Cable Info'!V182="","",CONCATENATE('Cable Info'!V182," - ",'Cable Info'!W182))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str">
        <f>IF('Cable Info'!L183="","",CONCATENATE('Cable Info'!L183," - ",'Cable Info'!M183))</f>
        <v>182 - AW</v>
      </c>
      <c r="AM478" s="121" t="str">
        <f t="shared" si="125"/>
        <v>182 - AW</v>
      </c>
      <c r="AO478" s="121" t="str">
        <f>IF('Cable Info'!N183="","",CONCATENATE('Cable Info'!N183," - ",'Cable Info'!O183))</f>
        <v>182 - AW</v>
      </c>
      <c r="AR478" s="121" t="str">
        <f t="shared" si="126"/>
        <v>182 - AW</v>
      </c>
      <c r="AT478" s="121" t="str">
        <f>IF('Cable Info'!P183="","",CONCATENATE('Cable Info'!P183," - ",'Cable Info'!Q183))</f>
        <v/>
      </c>
      <c r="AW478" s="121" t="str">
        <f t="shared" si="127"/>
        <v/>
      </c>
      <c r="AY478" s="121" t="str">
        <f>IF('Cable Info'!R183="","",CONCATENATE('Cable Info'!R183," - ",'Cable Info'!S183))</f>
        <v/>
      </c>
      <c r="BB478" s="121" t="str">
        <f t="shared" si="128"/>
        <v/>
      </c>
      <c r="BD478" s="121" t="str">
        <f>IF('Cable Info'!T183="","",CONCATENATE('Cable Info'!T183," - ",'Cable Info'!U183))</f>
        <v/>
      </c>
      <c r="BG478" s="121" t="str">
        <f t="shared" si="129"/>
        <v/>
      </c>
      <c r="BI478" s="121" t="str">
        <f>IF('Cable Info'!V183="","",CONCATENATE('Cable Info'!V183," - ",'Cable Info'!W183))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str">
        <f>IF('Cable Info'!L184="","",CONCATENATE('Cable Info'!L184," - ",'Cable Info'!M184))</f>
        <v>183 - AW</v>
      </c>
      <c r="AM479" s="121" t="str">
        <f t="shared" si="125"/>
        <v>183 - AW</v>
      </c>
      <c r="AO479" s="121" t="str">
        <f>IF('Cable Info'!N184="","",CONCATENATE('Cable Info'!N184," - ",'Cable Info'!O184))</f>
        <v>183 - AW</v>
      </c>
      <c r="AR479" s="121" t="str">
        <f t="shared" si="126"/>
        <v>183 - AW</v>
      </c>
      <c r="AT479" s="121" t="str">
        <f>IF('Cable Info'!P184="","",CONCATENATE('Cable Info'!P184," - ",'Cable Info'!Q184))</f>
        <v/>
      </c>
      <c r="AW479" s="121" t="str">
        <f t="shared" si="127"/>
        <v/>
      </c>
      <c r="AY479" s="121" t="str">
        <f>IF('Cable Info'!R184="","",CONCATENATE('Cable Info'!R184," - ",'Cable Info'!S184))</f>
        <v/>
      </c>
      <c r="BB479" s="121" t="str">
        <f t="shared" si="128"/>
        <v/>
      </c>
      <c r="BD479" s="121" t="str">
        <f>IF('Cable Info'!T184="","",CONCATENATE('Cable Info'!T184," - ",'Cable Info'!U184))</f>
        <v/>
      </c>
      <c r="BG479" s="121" t="str">
        <f t="shared" si="129"/>
        <v/>
      </c>
      <c r="BI479" s="121" t="str">
        <f>IF('Cable Info'!V184="","",CONCATENATE('Cable Info'!V184," - ",'Cable Info'!W184))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str">
        <f>IF('Cable Info'!L185="","",CONCATENATE('Cable Info'!L185," - ",'Cable Info'!M185))</f>
        <v>184 - AW</v>
      </c>
      <c r="AM480" s="121" t="str">
        <f t="shared" si="125"/>
        <v>184 - AW</v>
      </c>
      <c r="AO480" s="121" t="str">
        <f>IF('Cable Info'!N185="","",CONCATENATE('Cable Info'!N185," - ",'Cable Info'!O185))</f>
        <v>184 - AW</v>
      </c>
      <c r="AR480" s="121" t="str">
        <f t="shared" si="126"/>
        <v>184 - AW</v>
      </c>
      <c r="AT480" s="121" t="str">
        <f>IF('Cable Info'!P185="","",CONCATENATE('Cable Info'!P185," - ",'Cable Info'!Q185))</f>
        <v/>
      </c>
      <c r="AW480" s="121" t="str">
        <f t="shared" si="127"/>
        <v/>
      </c>
      <c r="AY480" s="121" t="str">
        <f>IF('Cable Info'!R185="","",CONCATENATE('Cable Info'!R185," - ",'Cable Info'!S185))</f>
        <v/>
      </c>
      <c r="BB480" s="121" t="str">
        <f t="shared" si="128"/>
        <v/>
      </c>
      <c r="BD480" s="121" t="str">
        <f>IF('Cable Info'!T185="","",CONCATENATE('Cable Info'!T185," - ",'Cable Info'!U185))</f>
        <v/>
      </c>
      <c r="BG480" s="121" t="str">
        <f t="shared" si="129"/>
        <v/>
      </c>
      <c r="BI480" s="121" t="str">
        <f>IF('Cable Info'!V185="","",CONCATENATE('Cable Info'!V185," - ",'Cable Info'!W185))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str">
        <f>IF('Cable Info'!L186="","",CONCATENATE('Cable Info'!L186," - ",'Cable Info'!M186))</f>
        <v>185 - AW</v>
      </c>
      <c r="AM481" s="121" t="str">
        <f t="shared" si="125"/>
        <v>185 - AW</v>
      </c>
      <c r="AO481" s="121" t="str">
        <f>IF('Cable Info'!N186="","",CONCATENATE('Cable Info'!N186," - ",'Cable Info'!O186))</f>
        <v>185 - AW</v>
      </c>
      <c r="AR481" s="121" t="str">
        <f t="shared" si="126"/>
        <v>185 - AW</v>
      </c>
      <c r="AT481" s="121" t="str">
        <f>IF('Cable Info'!P186="","",CONCATENATE('Cable Info'!P186," - ",'Cable Info'!Q186))</f>
        <v/>
      </c>
      <c r="AW481" s="121" t="str">
        <f t="shared" si="127"/>
        <v/>
      </c>
      <c r="AY481" s="121" t="str">
        <f>IF('Cable Info'!R186="","",CONCATENATE('Cable Info'!R186," - ",'Cable Info'!S186))</f>
        <v/>
      </c>
      <c r="BB481" s="121" t="str">
        <f t="shared" si="128"/>
        <v/>
      </c>
      <c r="BD481" s="121" t="str">
        <f>IF('Cable Info'!T186="","",CONCATENATE('Cable Info'!T186," - ",'Cable Info'!U186))</f>
        <v/>
      </c>
      <c r="BG481" s="121" t="str">
        <f t="shared" si="129"/>
        <v/>
      </c>
      <c r="BI481" s="121" t="str">
        <f>IF('Cable Info'!V186="","",CONCATENATE('Cable Info'!V186," - ",'Cable Info'!W186))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str">
        <f>IF('Cable Info'!L187="","",CONCATENATE('Cable Info'!L187," - ",'Cable Info'!M187))</f>
        <v>186 - AW</v>
      </c>
      <c r="AM482" s="121" t="str">
        <f t="shared" si="125"/>
        <v>186 - AW</v>
      </c>
      <c r="AO482" s="121" t="str">
        <f>IF('Cable Info'!N187="","",CONCATENATE('Cable Info'!N187," - ",'Cable Info'!O187))</f>
        <v>186 - AW</v>
      </c>
      <c r="AR482" s="121" t="str">
        <f t="shared" si="126"/>
        <v>186 - AW</v>
      </c>
      <c r="AT482" s="121" t="str">
        <f>IF('Cable Info'!P187="","",CONCATENATE('Cable Info'!P187," - ",'Cable Info'!Q187))</f>
        <v/>
      </c>
      <c r="AW482" s="121" t="str">
        <f t="shared" si="127"/>
        <v/>
      </c>
      <c r="AY482" s="121" t="str">
        <f>IF('Cable Info'!R187="","",CONCATENATE('Cable Info'!R187," - ",'Cable Info'!S187))</f>
        <v/>
      </c>
      <c r="BB482" s="121" t="str">
        <f t="shared" si="128"/>
        <v/>
      </c>
      <c r="BD482" s="121" t="str">
        <f>IF('Cable Info'!T187="","",CONCATENATE('Cable Info'!T187," - ",'Cable Info'!U187))</f>
        <v/>
      </c>
      <c r="BG482" s="121" t="str">
        <f t="shared" si="129"/>
        <v/>
      </c>
      <c r="BI482" s="121" t="str">
        <f>IF('Cable Info'!V187="","",CONCATENATE('Cable Info'!V187," - ",'Cable Info'!W187))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str">
        <f>IF('Cable Info'!L188="","",CONCATENATE('Cable Info'!L188," - ",'Cable Info'!M188))</f>
        <v>187 - AW</v>
      </c>
      <c r="AM483" s="121" t="str">
        <f t="shared" si="125"/>
        <v>187 - AW</v>
      </c>
      <c r="AO483" s="121" t="str">
        <f>IF('Cable Info'!N188="","",CONCATENATE('Cable Info'!N188," - ",'Cable Info'!O188))</f>
        <v>187 - AW</v>
      </c>
      <c r="AR483" s="121" t="str">
        <f t="shared" si="126"/>
        <v>187 - AW</v>
      </c>
      <c r="AT483" s="121" t="str">
        <f>IF('Cable Info'!P188="","",CONCATENATE('Cable Info'!P188," - ",'Cable Info'!Q188))</f>
        <v/>
      </c>
      <c r="AW483" s="121" t="str">
        <f t="shared" si="127"/>
        <v/>
      </c>
      <c r="AY483" s="121" t="str">
        <f>IF('Cable Info'!R188="","",CONCATENATE('Cable Info'!R188," - ",'Cable Info'!S188))</f>
        <v/>
      </c>
      <c r="BB483" s="121" t="str">
        <f t="shared" si="128"/>
        <v/>
      </c>
      <c r="BD483" s="121" t="str">
        <f>IF('Cable Info'!T188="","",CONCATENATE('Cable Info'!T188," - ",'Cable Info'!U188))</f>
        <v/>
      </c>
      <c r="BG483" s="121" t="str">
        <f t="shared" si="129"/>
        <v/>
      </c>
      <c r="BI483" s="121" t="str">
        <f>IF('Cable Info'!V188="","",CONCATENATE('Cable Info'!V188," - ",'Cable Info'!W188))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str">
        <f>IF('Cable Info'!L189="","",CONCATENATE('Cable Info'!L189," - ",'Cable Info'!M189))</f>
        <v>188 - AW</v>
      </c>
      <c r="AM484" s="121" t="str">
        <f t="shared" si="125"/>
        <v>188 - AW</v>
      </c>
      <c r="AO484" s="121" t="str">
        <f>IF('Cable Info'!N189="","",CONCATENATE('Cable Info'!N189," - ",'Cable Info'!O189))</f>
        <v>188 - AW</v>
      </c>
      <c r="AR484" s="121" t="str">
        <f t="shared" si="126"/>
        <v>188 - AW</v>
      </c>
      <c r="AT484" s="121" t="str">
        <f>IF('Cable Info'!P189="","",CONCATENATE('Cable Info'!P189," - ",'Cable Info'!Q189))</f>
        <v/>
      </c>
      <c r="AW484" s="121" t="str">
        <f t="shared" si="127"/>
        <v/>
      </c>
      <c r="AY484" s="121" t="str">
        <f>IF('Cable Info'!R189="","",CONCATENATE('Cable Info'!R189," - ",'Cable Info'!S189))</f>
        <v/>
      </c>
      <c r="BB484" s="121" t="str">
        <f t="shared" si="128"/>
        <v/>
      </c>
      <c r="BD484" s="121" t="str">
        <f>IF('Cable Info'!T189="","",CONCATENATE('Cable Info'!T189," - ",'Cable Info'!U189))</f>
        <v/>
      </c>
      <c r="BG484" s="121" t="str">
        <f t="shared" si="129"/>
        <v/>
      </c>
      <c r="BI484" s="121" t="str">
        <f>IF('Cable Info'!V189="","",CONCATENATE('Cable Info'!V189," - ",'Cable Info'!W189))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str">
        <f>IF('Cable Info'!L190="","",CONCATENATE('Cable Info'!L190," - ",'Cable Info'!M190))</f>
        <v>189 - AW</v>
      </c>
      <c r="AM485" s="121" t="str">
        <f t="shared" si="125"/>
        <v>189 - AW</v>
      </c>
      <c r="AO485" s="121" t="str">
        <f>IF('Cable Info'!N190="","",CONCATENATE('Cable Info'!N190," - ",'Cable Info'!O190))</f>
        <v>189 - AW</v>
      </c>
      <c r="AR485" s="121" t="str">
        <f t="shared" si="126"/>
        <v>189 - AW</v>
      </c>
      <c r="AT485" s="121" t="str">
        <f>IF('Cable Info'!P190="","",CONCATENATE('Cable Info'!P190," - ",'Cable Info'!Q190))</f>
        <v/>
      </c>
      <c r="AW485" s="121" t="str">
        <f t="shared" si="127"/>
        <v/>
      </c>
      <c r="AY485" s="121" t="str">
        <f>IF('Cable Info'!R190="","",CONCATENATE('Cable Info'!R190," - ",'Cable Info'!S190))</f>
        <v/>
      </c>
      <c r="BB485" s="121" t="str">
        <f t="shared" si="128"/>
        <v/>
      </c>
      <c r="BD485" s="121" t="str">
        <f>IF('Cable Info'!T190="","",CONCATENATE('Cable Info'!T190," - ",'Cable Info'!U190))</f>
        <v/>
      </c>
      <c r="BG485" s="121" t="str">
        <f t="shared" si="129"/>
        <v/>
      </c>
      <c r="BI485" s="121" t="str">
        <f>IF('Cable Info'!V190="","",CONCATENATE('Cable Info'!V190," - ",'Cable Info'!W190))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str">
        <f>IF('Cable Info'!L191="","",CONCATENATE('Cable Info'!L191," - ",'Cable Info'!M191))</f>
        <v>190 - AW</v>
      </c>
      <c r="AM486" s="121" t="str">
        <f t="shared" si="125"/>
        <v>190 - AW</v>
      </c>
      <c r="AO486" s="121" t="str">
        <f>IF('Cable Info'!N191="","",CONCATENATE('Cable Info'!N191," - ",'Cable Info'!O191))</f>
        <v>190 - AW</v>
      </c>
      <c r="AR486" s="121" t="str">
        <f t="shared" si="126"/>
        <v>190 - AW</v>
      </c>
      <c r="AT486" s="121" t="str">
        <f>IF('Cable Info'!P191="","",CONCATENATE('Cable Info'!P191," - ",'Cable Info'!Q191))</f>
        <v/>
      </c>
      <c r="AW486" s="121" t="str">
        <f t="shared" si="127"/>
        <v/>
      </c>
      <c r="AY486" s="121" t="str">
        <f>IF('Cable Info'!R191="","",CONCATENATE('Cable Info'!R191," - ",'Cable Info'!S191))</f>
        <v/>
      </c>
      <c r="BB486" s="121" t="str">
        <f t="shared" si="128"/>
        <v/>
      </c>
      <c r="BD486" s="121" t="str">
        <f>IF('Cable Info'!T191="","",CONCATENATE('Cable Info'!T191," - ",'Cable Info'!U191))</f>
        <v/>
      </c>
      <c r="BG486" s="121" t="str">
        <f t="shared" si="129"/>
        <v/>
      </c>
      <c r="BI486" s="121" t="str">
        <f>IF('Cable Info'!V191="","",CONCATENATE('Cable Info'!V191," - ",'Cable Info'!W191))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str">
        <f>IF('Cable Info'!L192="","",CONCATENATE('Cable Info'!L192," - ",'Cable Info'!M192))</f>
        <v>191 - AW</v>
      </c>
      <c r="AM487" s="121" t="str">
        <f t="shared" si="125"/>
        <v>191 - AW</v>
      </c>
      <c r="AO487" s="121" t="str">
        <f>IF('Cable Info'!N192="","",CONCATENATE('Cable Info'!N192," - ",'Cable Info'!O192))</f>
        <v>191 - AW</v>
      </c>
      <c r="AR487" s="121" t="str">
        <f t="shared" si="126"/>
        <v>191 - AW</v>
      </c>
      <c r="AT487" s="121" t="str">
        <f>IF('Cable Info'!P192="","",CONCATENATE('Cable Info'!P192," - ",'Cable Info'!Q192))</f>
        <v/>
      </c>
      <c r="AW487" s="121" t="str">
        <f t="shared" si="127"/>
        <v/>
      </c>
      <c r="AY487" s="121" t="str">
        <f>IF('Cable Info'!R192="","",CONCATENATE('Cable Info'!R192," - ",'Cable Info'!S192))</f>
        <v/>
      </c>
      <c r="BB487" s="121" t="str">
        <f t="shared" si="128"/>
        <v/>
      </c>
      <c r="BD487" s="121" t="str">
        <f>IF('Cable Info'!T192="","",CONCATENATE('Cable Info'!T192," - ",'Cable Info'!U192))</f>
        <v/>
      </c>
      <c r="BG487" s="121" t="str">
        <f t="shared" si="129"/>
        <v/>
      </c>
      <c r="BI487" s="121" t="str">
        <f>IF('Cable Info'!V192="","",CONCATENATE('Cable Info'!V192," - ",'Cable Info'!W192))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str">
        <f>IF('Cable Info'!L193="","",CONCATENATE('Cable Info'!L193," - ",'Cable Info'!M193))</f>
        <v>192 - AW</v>
      </c>
      <c r="AM488" s="121" t="str">
        <f t="shared" si="125"/>
        <v>192 - AW</v>
      </c>
      <c r="AO488" s="121" t="str">
        <f>IF('Cable Info'!N193="","",CONCATENATE('Cable Info'!N193," - ",'Cable Info'!O193))</f>
        <v>192 - AW</v>
      </c>
      <c r="AR488" s="121" t="str">
        <f t="shared" si="126"/>
        <v>192 - AW</v>
      </c>
      <c r="AT488" s="121" t="str">
        <f>IF('Cable Info'!P193="","",CONCATENATE('Cable Info'!P193," - ",'Cable Info'!Q193))</f>
        <v/>
      </c>
      <c r="AW488" s="121" t="str">
        <f t="shared" si="127"/>
        <v/>
      </c>
      <c r="AY488" s="121" t="str">
        <f>IF('Cable Info'!R193="","",CONCATENATE('Cable Info'!R193," - ",'Cable Info'!S193))</f>
        <v/>
      </c>
      <c r="BB488" s="121" t="str">
        <f t="shared" si="128"/>
        <v/>
      </c>
      <c r="BD488" s="121" t="str">
        <f>IF('Cable Info'!T193="","",CONCATENATE('Cable Info'!T193," - ",'Cable Info'!U193))</f>
        <v/>
      </c>
      <c r="BG488" s="121" t="str">
        <f t="shared" si="129"/>
        <v/>
      </c>
      <c r="BI488" s="121" t="str">
        <f>IF('Cable Info'!V193="","",CONCATENATE('Cable Info'!V193," - ",'Cable Info'!W193))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str">
        <f>IF('Cable Info'!L194="","",CONCATENATE('Cable Info'!L194," - ",'Cable Info'!M194))</f>
        <v>193 - AW</v>
      </c>
      <c r="AM489" s="121" t="str">
        <f t="shared" si="125"/>
        <v>193 - AW</v>
      </c>
      <c r="AO489" s="121" t="str">
        <f>IF('Cable Info'!N194="","",CONCATENATE('Cable Info'!N194," - ",'Cable Info'!O194))</f>
        <v>193 - AW</v>
      </c>
      <c r="AR489" s="121" t="str">
        <f t="shared" si="126"/>
        <v>193 - AW</v>
      </c>
      <c r="AT489" s="121" t="str">
        <f>IF('Cable Info'!P194="","",CONCATENATE('Cable Info'!P194," - ",'Cable Info'!Q194))</f>
        <v/>
      </c>
      <c r="AW489" s="121" t="str">
        <f t="shared" si="127"/>
        <v/>
      </c>
      <c r="AY489" s="121" t="str">
        <f>IF('Cable Info'!R194="","",CONCATENATE('Cable Info'!R194," - ",'Cable Info'!S194))</f>
        <v/>
      </c>
      <c r="BB489" s="121" t="str">
        <f t="shared" si="128"/>
        <v/>
      </c>
      <c r="BD489" s="121" t="str">
        <f>IF('Cable Info'!T194="","",CONCATENATE('Cable Info'!T194," - ",'Cable Info'!U194))</f>
        <v/>
      </c>
      <c r="BG489" s="121" t="str">
        <f t="shared" si="129"/>
        <v/>
      </c>
      <c r="BI489" s="121" t="str">
        <f>IF('Cable Info'!V194="","",CONCATENATE('Cable Info'!V194," - ",'Cable Info'!W194))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str">
        <f>IF('Cable Info'!L195="","",CONCATENATE('Cable Info'!L195," - ",'Cable Info'!M195))</f>
        <v>194 - AW</v>
      </c>
      <c r="AM490" s="121" t="str">
        <f t="shared" ref="AM490:AM553" si="131">IF(AK490="",AJ490,CONCATENATE(AJ490,"  &lt;=&gt; ",AK490," ",AL490))</f>
        <v>194 - AW</v>
      </c>
      <c r="AO490" s="121" t="str">
        <f>IF('Cable Info'!N195="","",CONCATENATE('Cable Info'!N195," - ",'Cable Info'!O195))</f>
        <v>194 - AW</v>
      </c>
      <c r="AR490" s="121" t="str">
        <f t="shared" ref="AR490:AR553" si="132">IF(AP490="",AO490,CONCATENATE(AO490,"  &lt;=&gt; ",AP490," ",AQ490))</f>
        <v>194 - AW</v>
      </c>
      <c r="AT490" s="121" t="str">
        <f>IF('Cable Info'!P195="","",CONCATENATE('Cable Info'!P195," - ",'Cable Info'!Q195))</f>
        <v/>
      </c>
      <c r="AW490" s="121" t="str">
        <f t="shared" ref="AW490:AW553" si="133">IF(AU490="",AT490,CONCATENATE(AT490,"  &lt;=&gt; ",AU490," ",AV490))</f>
        <v/>
      </c>
      <c r="AY490" s="121" t="str">
        <f>IF('Cable Info'!R195="","",CONCATENATE('Cable Info'!R195," - ",'Cable Info'!S195))</f>
        <v/>
      </c>
      <c r="BB490" s="121" t="str">
        <f t="shared" ref="BB490:BB553" si="134">IF(AZ490="",AY490,CONCATENATE(AY490,"  &lt;=&gt; ",AZ490," ",BA490))</f>
        <v/>
      </c>
      <c r="BD490" s="121" t="str">
        <f>IF('Cable Info'!T195="","",CONCATENATE('Cable Info'!T195," - ",'Cable Info'!U195))</f>
        <v/>
      </c>
      <c r="BG490" s="121" t="str">
        <f t="shared" ref="BG490:BG553" si="135">IF(BE490="",BD490,CONCATENATE(BD490,"  &lt;=&gt; ",BE490," ",BF490))</f>
        <v/>
      </c>
      <c r="BI490" s="121" t="str">
        <f>IF('Cable Info'!V195="","",CONCATENATE('Cable Info'!V195," - ",'Cable Info'!W195))</f>
        <v/>
      </c>
      <c r="BL490" s="121" t="str">
        <f t="shared" ref="BL490:BL553" si="136">IF(BJ490="",BI490,CONCATENATE(BI490,"  &lt;=&gt; ",BJ490," ",BK490))</f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str">
        <f>IF('Cable Info'!L196="","",CONCATENATE('Cable Info'!L196," - ",'Cable Info'!M196))</f>
        <v>195 - AW</v>
      </c>
      <c r="AM491" s="121" t="str">
        <f t="shared" si="131"/>
        <v>195 - AW</v>
      </c>
      <c r="AO491" s="121" t="str">
        <f>IF('Cable Info'!N196="","",CONCATENATE('Cable Info'!N196," - ",'Cable Info'!O196))</f>
        <v>195 - AW</v>
      </c>
      <c r="AR491" s="121" t="str">
        <f t="shared" si="132"/>
        <v>195 - AW</v>
      </c>
      <c r="AT491" s="121" t="str">
        <f>IF('Cable Info'!P196="","",CONCATENATE('Cable Info'!P196," - ",'Cable Info'!Q196))</f>
        <v/>
      </c>
      <c r="AW491" s="121" t="str">
        <f t="shared" si="133"/>
        <v/>
      </c>
      <c r="AY491" s="121" t="str">
        <f>IF('Cable Info'!R196="","",CONCATENATE('Cable Info'!R196," - ",'Cable Info'!S196))</f>
        <v/>
      </c>
      <c r="BB491" s="121" t="str">
        <f t="shared" si="134"/>
        <v/>
      </c>
      <c r="BD491" s="121" t="str">
        <f>IF('Cable Info'!T196="","",CONCATENATE('Cable Info'!T196," - ",'Cable Info'!U196))</f>
        <v/>
      </c>
      <c r="BG491" s="121" t="str">
        <f t="shared" si="135"/>
        <v/>
      </c>
      <c r="BI491" s="121" t="str">
        <f>IF('Cable Info'!V196="","",CONCATENATE('Cable Info'!V196," - ",'Cable Info'!W196))</f>
        <v/>
      </c>
      <c r="BL491" s="121" t="str">
        <f t="shared" si="136"/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str">
        <f>IF('Cable Info'!L197="","",CONCATENATE('Cable Info'!L197," - ",'Cable Info'!M197))</f>
        <v>196 - AW</v>
      </c>
      <c r="AM492" s="121" t="str">
        <f t="shared" si="131"/>
        <v>196 - AW</v>
      </c>
      <c r="AO492" s="121" t="str">
        <f>IF('Cable Info'!N197="","",CONCATENATE('Cable Info'!N197," - ",'Cable Info'!O197))</f>
        <v>196 - AW</v>
      </c>
      <c r="AR492" s="121" t="str">
        <f t="shared" si="132"/>
        <v>196 - AW</v>
      </c>
      <c r="AT492" s="121" t="str">
        <f>IF('Cable Info'!P197="","",CONCATENATE('Cable Info'!P197," - ",'Cable Info'!Q197))</f>
        <v/>
      </c>
      <c r="AW492" s="121" t="str">
        <f t="shared" si="133"/>
        <v/>
      </c>
      <c r="AY492" s="121" t="str">
        <f>IF('Cable Info'!R197="","",CONCATENATE('Cable Info'!R197," - ",'Cable Info'!S197))</f>
        <v/>
      </c>
      <c r="BB492" s="121" t="str">
        <f t="shared" si="134"/>
        <v/>
      </c>
      <c r="BD492" s="121" t="str">
        <f>IF('Cable Info'!T197="","",CONCATENATE('Cable Info'!T197," - ",'Cable Info'!U197))</f>
        <v/>
      </c>
      <c r="BG492" s="121" t="str">
        <f t="shared" si="135"/>
        <v/>
      </c>
      <c r="BI492" s="121" t="str">
        <f>IF('Cable Info'!V197="","",CONCATENATE('Cable Info'!V197," - ",'Cable Info'!W197))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str">
        <f>IF('Cable Info'!L198="","",CONCATENATE('Cable Info'!L198," - ",'Cable Info'!M198))</f>
        <v>197 - AW</v>
      </c>
      <c r="AM493" s="121" t="str">
        <f t="shared" si="131"/>
        <v>197 - AW</v>
      </c>
      <c r="AO493" s="121" t="str">
        <f>IF('Cable Info'!N198="","",CONCATENATE('Cable Info'!N198," - ",'Cable Info'!O198))</f>
        <v>197 - AW</v>
      </c>
      <c r="AR493" s="121" t="str">
        <f t="shared" si="132"/>
        <v>197 - AW</v>
      </c>
      <c r="AT493" s="121" t="str">
        <f>IF('Cable Info'!P198="","",CONCATENATE('Cable Info'!P198," - ",'Cable Info'!Q198))</f>
        <v/>
      </c>
      <c r="AW493" s="121" t="str">
        <f t="shared" si="133"/>
        <v/>
      </c>
      <c r="AY493" s="121" t="str">
        <f>IF('Cable Info'!R198="","",CONCATENATE('Cable Info'!R198," - ",'Cable Info'!S198))</f>
        <v/>
      </c>
      <c r="BB493" s="121" t="str">
        <f t="shared" si="134"/>
        <v/>
      </c>
      <c r="BD493" s="121" t="str">
        <f>IF('Cable Info'!T198="","",CONCATENATE('Cable Info'!T198," - ",'Cable Info'!U198))</f>
        <v/>
      </c>
      <c r="BG493" s="121" t="str">
        <f t="shared" si="135"/>
        <v/>
      </c>
      <c r="BI493" s="121" t="str">
        <f>IF('Cable Info'!V198="","",CONCATENATE('Cable Info'!V198," - ",'Cable Info'!W198))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str">
        <f>IF('Cable Info'!L199="","",CONCATENATE('Cable Info'!L199," - ",'Cable Info'!M199))</f>
        <v>198 - AW</v>
      </c>
      <c r="AM494" s="121" t="str">
        <f t="shared" si="131"/>
        <v>198 - AW</v>
      </c>
      <c r="AO494" s="121" t="str">
        <f>IF('Cable Info'!N199="","",CONCATENATE('Cable Info'!N199," - ",'Cable Info'!O199))</f>
        <v>198 - AW</v>
      </c>
      <c r="AR494" s="121" t="str">
        <f t="shared" si="132"/>
        <v>198 - AW</v>
      </c>
      <c r="AT494" s="121" t="str">
        <f>IF('Cable Info'!P199="","",CONCATENATE('Cable Info'!P199," - ",'Cable Info'!Q199))</f>
        <v/>
      </c>
      <c r="AW494" s="121" t="str">
        <f t="shared" si="133"/>
        <v/>
      </c>
      <c r="AY494" s="121" t="str">
        <f>IF('Cable Info'!R199="","",CONCATENATE('Cable Info'!R199," - ",'Cable Info'!S199))</f>
        <v/>
      </c>
      <c r="BB494" s="121" t="str">
        <f t="shared" si="134"/>
        <v/>
      </c>
      <c r="BD494" s="121" t="str">
        <f>IF('Cable Info'!T199="","",CONCATENATE('Cable Info'!T199," - ",'Cable Info'!U199))</f>
        <v/>
      </c>
      <c r="BG494" s="121" t="str">
        <f t="shared" si="135"/>
        <v/>
      </c>
      <c r="BI494" s="121" t="str">
        <f>IF('Cable Info'!V199="","",CONCATENATE('Cable Info'!V199," - ",'Cable Info'!W199))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str">
        <f>IF('Cable Info'!L200="","",CONCATENATE('Cable Info'!L200," - ",'Cable Info'!M200))</f>
        <v>199 - AW</v>
      </c>
      <c r="AM495" s="121" t="str">
        <f t="shared" si="131"/>
        <v>199 - AW</v>
      </c>
      <c r="AO495" s="121" t="str">
        <f>IF('Cable Info'!N200="","",CONCATENATE('Cable Info'!N200," - ",'Cable Info'!O200))</f>
        <v>199 - AW</v>
      </c>
      <c r="AR495" s="121" t="str">
        <f t="shared" si="132"/>
        <v>199 - AW</v>
      </c>
      <c r="AT495" s="121" t="str">
        <f>IF('Cable Info'!P200="","",CONCATENATE('Cable Info'!P200," - ",'Cable Info'!Q200))</f>
        <v/>
      </c>
      <c r="AW495" s="121" t="str">
        <f t="shared" si="133"/>
        <v/>
      </c>
      <c r="AY495" s="121" t="str">
        <f>IF('Cable Info'!R200="","",CONCATENATE('Cable Info'!R200," - ",'Cable Info'!S200))</f>
        <v/>
      </c>
      <c r="BB495" s="121" t="str">
        <f t="shared" si="134"/>
        <v/>
      </c>
      <c r="BD495" s="121" t="str">
        <f>IF('Cable Info'!T200="","",CONCATENATE('Cable Info'!T200," - ",'Cable Info'!U200))</f>
        <v/>
      </c>
      <c r="BG495" s="121" t="str">
        <f t="shared" si="135"/>
        <v/>
      </c>
      <c r="BI495" s="121" t="str">
        <f>IF('Cable Info'!V200="","",CONCATENATE('Cable Info'!V200," - ",'Cable Info'!W200))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str">
        <f>IF('Cable Info'!L201="","",CONCATENATE('Cable Info'!L201," - ",'Cable Info'!M201))</f>
        <v>200 - AW</v>
      </c>
      <c r="AM496" s="121" t="str">
        <f t="shared" si="131"/>
        <v>200 - AW</v>
      </c>
      <c r="AO496" s="121" t="str">
        <f>IF('Cable Info'!N201="","",CONCATENATE('Cable Info'!N201," - ",'Cable Info'!O201))</f>
        <v>200 - AW</v>
      </c>
      <c r="AR496" s="121" t="str">
        <f t="shared" si="132"/>
        <v>200 - AW</v>
      </c>
      <c r="AT496" s="121" t="str">
        <f>IF('Cable Info'!P201="","",CONCATENATE('Cable Info'!P201," - ",'Cable Info'!Q201))</f>
        <v/>
      </c>
      <c r="AW496" s="121" t="str">
        <f t="shared" si="133"/>
        <v/>
      </c>
      <c r="AY496" s="121" t="str">
        <f>IF('Cable Info'!R201="","",CONCATENATE('Cable Info'!R201," - ",'Cable Info'!S201))</f>
        <v/>
      </c>
      <c r="BB496" s="121" t="str">
        <f t="shared" si="134"/>
        <v/>
      </c>
      <c r="BD496" s="121" t="str">
        <f>IF('Cable Info'!T201="","",CONCATENATE('Cable Info'!T201," - ",'Cable Info'!U201))</f>
        <v/>
      </c>
      <c r="BG496" s="121" t="str">
        <f t="shared" si="135"/>
        <v/>
      </c>
      <c r="BI496" s="121" t="str">
        <f>IF('Cable Info'!V201="","",CONCATENATE('Cable Info'!V201," - ",'Cable Info'!W201))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str">
        <f>IF('Cable Info'!L202="","",CONCATENATE('Cable Info'!L202," - ",'Cable Info'!M202))</f>
        <v>201 - AW</v>
      </c>
      <c r="AM497" s="121" t="str">
        <f t="shared" si="131"/>
        <v>201 - AW</v>
      </c>
      <c r="AO497" s="121" t="str">
        <f>IF('Cable Info'!N202="","",CONCATENATE('Cable Info'!N202," - ",'Cable Info'!O202))</f>
        <v>201 - AW</v>
      </c>
      <c r="AR497" s="121" t="str">
        <f t="shared" si="132"/>
        <v>201 - AW</v>
      </c>
      <c r="AT497" s="121" t="str">
        <f>IF('Cable Info'!P202="","",CONCATENATE('Cable Info'!P202," - ",'Cable Info'!Q202))</f>
        <v/>
      </c>
      <c r="AW497" s="121" t="str">
        <f t="shared" si="133"/>
        <v/>
      </c>
      <c r="AY497" s="121" t="str">
        <f>IF('Cable Info'!R202="","",CONCATENATE('Cable Info'!R202," - ",'Cable Info'!S202))</f>
        <v/>
      </c>
      <c r="BB497" s="121" t="str">
        <f t="shared" si="134"/>
        <v/>
      </c>
      <c r="BD497" s="121" t="str">
        <f>IF('Cable Info'!T202="","",CONCATENATE('Cable Info'!T202," - ",'Cable Info'!U202))</f>
        <v/>
      </c>
      <c r="BG497" s="121" t="str">
        <f t="shared" si="135"/>
        <v/>
      </c>
      <c r="BI497" s="121" t="str">
        <f>IF('Cable Info'!V202="","",CONCATENATE('Cable Info'!V202," - ",'Cable Info'!W202))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str">
        <f>IF('Cable Info'!L203="","",CONCATENATE('Cable Info'!L203," - ",'Cable Info'!M203))</f>
        <v>202 - AW</v>
      </c>
      <c r="AM498" s="121" t="str">
        <f t="shared" si="131"/>
        <v>202 - AW</v>
      </c>
      <c r="AO498" s="121" t="str">
        <f>IF('Cable Info'!N203="","",CONCATENATE('Cable Info'!N203," - ",'Cable Info'!O203))</f>
        <v>202 - AW</v>
      </c>
      <c r="AR498" s="121" t="str">
        <f t="shared" si="132"/>
        <v>202 - AW</v>
      </c>
      <c r="AT498" s="121" t="str">
        <f>IF('Cable Info'!P203="","",CONCATENATE('Cable Info'!P203," - ",'Cable Info'!Q203))</f>
        <v/>
      </c>
      <c r="AW498" s="121" t="str">
        <f t="shared" si="133"/>
        <v/>
      </c>
      <c r="AY498" s="121" t="str">
        <f>IF('Cable Info'!R203="","",CONCATENATE('Cable Info'!R203," - ",'Cable Info'!S203))</f>
        <v/>
      </c>
      <c r="BB498" s="121" t="str">
        <f t="shared" si="134"/>
        <v/>
      </c>
      <c r="BD498" s="121" t="str">
        <f>IF('Cable Info'!T203="","",CONCATENATE('Cable Info'!T203," - ",'Cable Info'!U203))</f>
        <v/>
      </c>
      <c r="BG498" s="121" t="str">
        <f t="shared" si="135"/>
        <v/>
      </c>
      <c r="BI498" s="121" t="str">
        <f>IF('Cable Info'!V203="","",CONCATENATE('Cable Info'!V203," - ",'Cable Info'!W203))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str">
        <f>IF('Cable Info'!L204="","",CONCATENATE('Cable Info'!L204," - ",'Cable Info'!M204))</f>
        <v>203 - AW</v>
      </c>
      <c r="AM499" s="121" t="str">
        <f t="shared" si="131"/>
        <v>203 - AW</v>
      </c>
      <c r="AO499" s="121" t="str">
        <f>IF('Cable Info'!N204="","",CONCATENATE('Cable Info'!N204," - ",'Cable Info'!O204))</f>
        <v>203 - AW</v>
      </c>
      <c r="AR499" s="121" t="str">
        <f t="shared" si="132"/>
        <v>203 - AW</v>
      </c>
      <c r="AT499" s="121" t="str">
        <f>IF('Cable Info'!P204="","",CONCATENATE('Cable Info'!P204," - ",'Cable Info'!Q204))</f>
        <v/>
      </c>
      <c r="AW499" s="121" t="str">
        <f t="shared" si="133"/>
        <v/>
      </c>
      <c r="AY499" s="121" t="str">
        <f>IF('Cable Info'!R204="","",CONCATENATE('Cable Info'!R204," - ",'Cable Info'!S204))</f>
        <v/>
      </c>
      <c r="BB499" s="121" t="str">
        <f t="shared" si="134"/>
        <v/>
      </c>
      <c r="BD499" s="121" t="str">
        <f>IF('Cable Info'!T204="","",CONCATENATE('Cable Info'!T204," - ",'Cable Info'!U204))</f>
        <v/>
      </c>
      <c r="BG499" s="121" t="str">
        <f t="shared" si="135"/>
        <v/>
      </c>
      <c r="BI499" s="121" t="str">
        <f>IF('Cable Info'!V204="","",CONCATENATE('Cable Info'!V204," - ",'Cable Info'!W204))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str">
        <f>IF('Cable Info'!L205="","",CONCATENATE('Cable Info'!L205," - ",'Cable Info'!M205))</f>
        <v>204 - AW</v>
      </c>
      <c r="AM500" s="121" t="str">
        <f t="shared" si="131"/>
        <v>204 - AW</v>
      </c>
      <c r="AO500" s="121" t="str">
        <f>IF('Cable Info'!N205="","",CONCATENATE('Cable Info'!N205," - ",'Cable Info'!O205))</f>
        <v>204 - AW</v>
      </c>
      <c r="AR500" s="121" t="str">
        <f t="shared" si="132"/>
        <v>204 - AW</v>
      </c>
      <c r="AT500" s="121" t="str">
        <f>IF('Cable Info'!P205="","",CONCATENATE('Cable Info'!P205," - ",'Cable Info'!Q205))</f>
        <v/>
      </c>
      <c r="AW500" s="121" t="str">
        <f t="shared" si="133"/>
        <v/>
      </c>
      <c r="AY500" s="121" t="str">
        <f>IF('Cable Info'!R205="","",CONCATENATE('Cable Info'!R205," - ",'Cable Info'!S205))</f>
        <v/>
      </c>
      <c r="BB500" s="121" t="str">
        <f t="shared" si="134"/>
        <v/>
      </c>
      <c r="BD500" s="121" t="str">
        <f>IF('Cable Info'!T205="","",CONCATENATE('Cable Info'!T205," - ",'Cable Info'!U205))</f>
        <v/>
      </c>
      <c r="BG500" s="121" t="str">
        <f t="shared" si="135"/>
        <v/>
      </c>
      <c r="BI500" s="121" t="str">
        <f>IF('Cable Info'!V205="","",CONCATENATE('Cable Info'!V205," - ",'Cable Info'!W205))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str">
        <f>IF('Cable Info'!L206="","",CONCATENATE('Cable Info'!L206," - ",'Cable Info'!M206))</f>
        <v>205 - AW</v>
      </c>
      <c r="AM501" s="121" t="str">
        <f t="shared" si="131"/>
        <v>205 - AW</v>
      </c>
      <c r="AO501" s="121" t="str">
        <f>IF('Cable Info'!N206="","",CONCATENATE('Cable Info'!N206," - ",'Cable Info'!O206))</f>
        <v>205 - AW</v>
      </c>
      <c r="AR501" s="121" t="str">
        <f t="shared" si="132"/>
        <v>205 - AW</v>
      </c>
      <c r="AT501" s="121" t="str">
        <f>IF('Cable Info'!P206="","",CONCATENATE('Cable Info'!P206," - ",'Cable Info'!Q206))</f>
        <v/>
      </c>
      <c r="AW501" s="121" t="str">
        <f t="shared" si="133"/>
        <v/>
      </c>
      <c r="AY501" s="121" t="str">
        <f>IF('Cable Info'!R206="","",CONCATENATE('Cable Info'!R206," - ",'Cable Info'!S206))</f>
        <v/>
      </c>
      <c r="BB501" s="121" t="str">
        <f t="shared" si="134"/>
        <v/>
      </c>
      <c r="BD501" s="121" t="str">
        <f>IF('Cable Info'!T206="","",CONCATENATE('Cable Info'!T206," - ",'Cable Info'!U206))</f>
        <v/>
      </c>
      <c r="BG501" s="121" t="str">
        <f t="shared" si="135"/>
        <v/>
      </c>
      <c r="BI501" s="121" t="str">
        <f>IF('Cable Info'!V206="","",CONCATENATE('Cable Info'!V206," - ",'Cable Info'!W206))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str">
        <f>IF('Cable Info'!L207="","",CONCATENATE('Cable Info'!L207," - ",'Cable Info'!M207))</f>
        <v>206 - AW</v>
      </c>
      <c r="AM502" s="121" t="str">
        <f t="shared" si="131"/>
        <v>206 - AW</v>
      </c>
      <c r="AO502" s="121" t="str">
        <f>IF('Cable Info'!N207="","",CONCATENATE('Cable Info'!N207," - ",'Cable Info'!O207))</f>
        <v>206 - AW</v>
      </c>
      <c r="AR502" s="121" t="str">
        <f t="shared" si="132"/>
        <v>206 - AW</v>
      </c>
      <c r="AT502" s="121" t="str">
        <f>IF('Cable Info'!P207="","",CONCATENATE('Cable Info'!P207," - ",'Cable Info'!Q207))</f>
        <v/>
      </c>
      <c r="AW502" s="121" t="str">
        <f t="shared" si="133"/>
        <v/>
      </c>
      <c r="AY502" s="121" t="str">
        <f>IF('Cable Info'!R207="","",CONCATENATE('Cable Info'!R207," - ",'Cable Info'!S207))</f>
        <v/>
      </c>
      <c r="BB502" s="121" t="str">
        <f t="shared" si="134"/>
        <v/>
      </c>
      <c r="BD502" s="121" t="str">
        <f>IF('Cable Info'!T207="","",CONCATENATE('Cable Info'!T207," - ",'Cable Info'!U207))</f>
        <v/>
      </c>
      <c r="BG502" s="121" t="str">
        <f t="shared" si="135"/>
        <v/>
      </c>
      <c r="BI502" s="121" t="str">
        <f>IF('Cable Info'!V207="","",CONCATENATE('Cable Info'!V207," - ",'Cable Info'!W207))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str">
        <f>IF('Cable Info'!L208="","",CONCATENATE('Cable Info'!L208," - ",'Cable Info'!M208))</f>
        <v>207 - AW</v>
      </c>
      <c r="AM503" s="121" t="str">
        <f t="shared" si="131"/>
        <v>207 - AW</v>
      </c>
      <c r="AO503" s="121" t="str">
        <f>IF('Cable Info'!N208="","",CONCATENATE('Cable Info'!N208," - ",'Cable Info'!O208))</f>
        <v>207 - AW</v>
      </c>
      <c r="AR503" s="121" t="str">
        <f t="shared" si="132"/>
        <v>207 - AW</v>
      </c>
      <c r="AT503" s="121" t="str">
        <f>IF('Cable Info'!P208="","",CONCATENATE('Cable Info'!P208," - ",'Cable Info'!Q208))</f>
        <v/>
      </c>
      <c r="AW503" s="121" t="str">
        <f t="shared" si="133"/>
        <v/>
      </c>
      <c r="AY503" s="121" t="str">
        <f>IF('Cable Info'!R208="","",CONCATENATE('Cable Info'!R208," - ",'Cable Info'!S208))</f>
        <v/>
      </c>
      <c r="BB503" s="121" t="str">
        <f t="shared" si="134"/>
        <v/>
      </c>
      <c r="BD503" s="121" t="str">
        <f>IF('Cable Info'!T208="","",CONCATENATE('Cable Info'!T208," - ",'Cable Info'!U208))</f>
        <v/>
      </c>
      <c r="BG503" s="121" t="str">
        <f t="shared" si="135"/>
        <v/>
      </c>
      <c r="BI503" s="121" t="str">
        <f>IF('Cable Info'!V208="","",CONCATENATE('Cable Info'!V208," - ",'Cable Info'!W208))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str">
        <f>IF('Cable Info'!L209="","",CONCATENATE('Cable Info'!L209," - ",'Cable Info'!M209))</f>
        <v>208 - AW</v>
      </c>
      <c r="AM504" s="121" t="str">
        <f t="shared" si="131"/>
        <v>208 - AW</v>
      </c>
      <c r="AO504" s="121" t="str">
        <f>IF('Cable Info'!N209="","",CONCATENATE('Cable Info'!N209," - ",'Cable Info'!O209))</f>
        <v>208 - AW</v>
      </c>
      <c r="AR504" s="121" t="str">
        <f t="shared" si="132"/>
        <v>208 - AW</v>
      </c>
      <c r="AT504" s="121" t="str">
        <f>IF('Cable Info'!P209="","",CONCATENATE('Cable Info'!P209," - ",'Cable Info'!Q209))</f>
        <v/>
      </c>
      <c r="AW504" s="121" t="str">
        <f t="shared" si="133"/>
        <v/>
      </c>
      <c r="AY504" s="121" t="str">
        <f>IF('Cable Info'!R209="","",CONCATENATE('Cable Info'!R209," - ",'Cable Info'!S209))</f>
        <v/>
      </c>
      <c r="BB504" s="121" t="str">
        <f t="shared" si="134"/>
        <v/>
      </c>
      <c r="BD504" s="121" t="str">
        <f>IF('Cable Info'!T209="","",CONCATENATE('Cable Info'!T209," - ",'Cable Info'!U209))</f>
        <v/>
      </c>
      <c r="BG504" s="121" t="str">
        <f t="shared" si="135"/>
        <v/>
      </c>
      <c r="BI504" s="121" t="str">
        <f>IF('Cable Info'!V209="","",CONCATENATE('Cable Info'!V209," - ",'Cable Info'!W209))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str">
        <f>IF('Cable Info'!L210="","",CONCATENATE('Cable Info'!L210," - ",'Cable Info'!M210))</f>
        <v>209 - AW</v>
      </c>
      <c r="AM505" s="121" t="str">
        <f t="shared" si="131"/>
        <v>209 - AW</v>
      </c>
      <c r="AO505" s="121" t="str">
        <f>IF('Cable Info'!N210="","",CONCATENATE('Cable Info'!N210," - ",'Cable Info'!O210))</f>
        <v>209 - AW</v>
      </c>
      <c r="AR505" s="121" t="str">
        <f t="shared" si="132"/>
        <v>209 - AW</v>
      </c>
      <c r="AT505" s="121" t="str">
        <f>IF('Cable Info'!P210="","",CONCATENATE('Cable Info'!P210," - ",'Cable Info'!Q210))</f>
        <v/>
      </c>
      <c r="AW505" s="121" t="str">
        <f t="shared" si="133"/>
        <v/>
      </c>
      <c r="AY505" s="121" t="str">
        <f>IF('Cable Info'!R210="","",CONCATENATE('Cable Info'!R210," - ",'Cable Info'!S210))</f>
        <v/>
      </c>
      <c r="BB505" s="121" t="str">
        <f t="shared" si="134"/>
        <v/>
      </c>
      <c r="BD505" s="121" t="str">
        <f>IF('Cable Info'!T210="","",CONCATENATE('Cable Info'!T210," - ",'Cable Info'!U210))</f>
        <v/>
      </c>
      <c r="BG505" s="121" t="str">
        <f t="shared" si="135"/>
        <v/>
      </c>
      <c r="BI505" s="121" t="str">
        <f>IF('Cable Info'!V210="","",CONCATENATE('Cable Info'!V210," - ",'Cable Info'!W210))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str">
        <f>IF('Cable Info'!L211="","",CONCATENATE('Cable Info'!L211," - ",'Cable Info'!M211))</f>
        <v>210 - AW</v>
      </c>
      <c r="AM506" s="121" t="str">
        <f t="shared" si="131"/>
        <v>210 - AW</v>
      </c>
      <c r="AO506" s="121" t="str">
        <f>IF('Cable Info'!N211="","",CONCATENATE('Cable Info'!N211," - ",'Cable Info'!O211))</f>
        <v>210 - AW</v>
      </c>
      <c r="AR506" s="121" t="str">
        <f t="shared" si="132"/>
        <v>210 - AW</v>
      </c>
      <c r="AT506" s="121" t="str">
        <f>IF('Cable Info'!P211="","",CONCATENATE('Cable Info'!P211," - ",'Cable Info'!Q211))</f>
        <v/>
      </c>
      <c r="AW506" s="121" t="str">
        <f t="shared" si="133"/>
        <v/>
      </c>
      <c r="AY506" s="121" t="str">
        <f>IF('Cable Info'!R211="","",CONCATENATE('Cable Info'!R211," - ",'Cable Info'!S211))</f>
        <v/>
      </c>
      <c r="BB506" s="121" t="str">
        <f t="shared" si="134"/>
        <v/>
      </c>
      <c r="BD506" s="121" t="str">
        <f>IF('Cable Info'!T211="","",CONCATENATE('Cable Info'!T211," - ",'Cable Info'!U211))</f>
        <v/>
      </c>
      <c r="BG506" s="121" t="str">
        <f t="shared" si="135"/>
        <v/>
      </c>
      <c r="BI506" s="121" t="str">
        <f>IF('Cable Info'!V211="","",CONCATENATE('Cable Info'!V211," - ",'Cable Info'!W211))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str">
        <f>IF('Cable Info'!L212="","",CONCATENATE('Cable Info'!L212," - ",'Cable Info'!M212))</f>
        <v>211 - AW</v>
      </c>
      <c r="AM507" s="121" t="str">
        <f t="shared" si="131"/>
        <v>211 - AW</v>
      </c>
      <c r="AO507" s="121" t="str">
        <f>IF('Cable Info'!N212="","",CONCATENATE('Cable Info'!N212," - ",'Cable Info'!O212))</f>
        <v>211 - AW</v>
      </c>
      <c r="AR507" s="121" t="str">
        <f t="shared" si="132"/>
        <v>211 - AW</v>
      </c>
      <c r="AT507" s="121" t="str">
        <f>IF('Cable Info'!P212="","",CONCATENATE('Cable Info'!P212," - ",'Cable Info'!Q212))</f>
        <v/>
      </c>
      <c r="AW507" s="121" t="str">
        <f t="shared" si="133"/>
        <v/>
      </c>
      <c r="AY507" s="121" t="str">
        <f>IF('Cable Info'!R212="","",CONCATENATE('Cable Info'!R212," - ",'Cable Info'!S212))</f>
        <v/>
      </c>
      <c r="BB507" s="121" t="str">
        <f t="shared" si="134"/>
        <v/>
      </c>
      <c r="BD507" s="121" t="str">
        <f>IF('Cable Info'!T212="","",CONCATENATE('Cable Info'!T212," - ",'Cable Info'!U212))</f>
        <v/>
      </c>
      <c r="BG507" s="121" t="str">
        <f t="shared" si="135"/>
        <v/>
      </c>
      <c r="BI507" s="121" t="str">
        <f>IF('Cable Info'!V212="","",CONCATENATE('Cable Info'!V212," - ",'Cable Info'!W212))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str">
        <f>IF('Cable Info'!L213="","",CONCATENATE('Cable Info'!L213," - ",'Cable Info'!M213))</f>
        <v>212 - AW</v>
      </c>
      <c r="AM508" s="121" t="str">
        <f t="shared" si="131"/>
        <v>212 - AW</v>
      </c>
      <c r="AO508" s="121" t="str">
        <f>IF('Cable Info'!N213="","",CONCATENATE('Cable Info'!N213," - ",'Cable Info'!O213))</f>
        <v>212 - AW</v>
      </c>
      <c r="AR508" s="121" t="str">
        <f t="shared" si="132"/>
        <v>212 - AW</v>
      </c>
      <c r="AT508" s="121" t="str">
        <f>IF('Cable Info'!P213="","",CONCATENATE('Cable Info'!P213," - ",'Cable Info'!Q213))</f>
        <v/>
      </c>
      <c r="AW508" s="121" t="str">
        <f t="shared" si="133"/>
        <v/>
      </c>
      <c r="AY508" s="121" t="str">
        <f>IF('Cable Info'!R213="","",CONCATENATE('Cable Info'!R213," - ",'Cable Info'!S213))</f>
        <v/>
      </c>
      <c r="BB508" s="121" t="str">
        <f t="shared" si="134"/>
        <v/>
      </c>
      <c r="BD508" s="121" t="str">
        <f>IF('Cable Info'!T213="","",CONCATENATE('Cable Info'!T213," - ",'Cable Info'!U213))</f>
        <v/>
      </c>
      <c r="BG508" s="121" t="str">
        <f t="shared" si="135"/>
        <v/>
      </c>
      <c r="BI508" s="121" t="str">
        <f>IF('Cable Info'!V213="","",CONCATENATE('Cable Info'!V213," - ",'Cable Info'!W213))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str">
        <f>IF('Cable Info'!L214="","",CONCATENATE('Cable Info'!L214," - ",'Cable Info'!M214))</f>
        <v>213 - AW</v>
      </c>
      <c r="AM509" s="121" t="str">
        <f t="shared" si="131"/>
        <v>213 - AW</v>
      </c>
      <c r="AO509" s="121" t="str">
        <f>IF('Cable Info'!N214="","",CONCATENATE('Cable Info'!N214," - ",'Cable Info'!O214))</f>
        <v>213 - AW</v>
      </c>
      <c r="AR509" s="121" t="str">
        <f t="shared" si="132"/>
        <v>213 - AW</v>
      </c>
      <c r="AT509" s="121" t="str">
        <f>IF('Cable Info'!P214="","",CONCATENATE('Cable Info'!P214," - ",'Cable Info'!Q214))</f>
        <v/>
      </c>
      <c r="AW509" s="121" t="str">
        <f t="shared" si="133"/>
        <v/>
      </c>
      <c r="AY509" s="121" t="str">
        <f>IF('Cable Info'!R214="","",CONCATENATE('Cable Info'!R214," - ",'Cable Info'!S214))</f>
        <v/>
      </c>
      <c r="BB509" s="121" t="str">
        <f t="shared" si="134"/>
        <v/>
      </c>
      <c r="BD509" s="121" t="str">
        <f>IF('Cable Info'!T214="","",CONCATENATE('Cable Info'!T214," - ",'Cable Info'!U214))</f>
        <v/>
      </c>
      <c r="BG509" s="121" t="str">
        <f t="shared" si="135"/>
        <v/>
      </c>
      <c r="BI509" s="121" t="str">
        <f>IF('Cable Info'!V214="","",CONCATENATE('Cable Info'!V214," - ",'Cable Info'!W214))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str">
        <f>IF('Cable Info'!L215="","",CONCATENATE('Cable Info'!L215," - ",'Cable Info'!M215))</f>
        <v>214 - AW</v>
      </c>
      <c r="AM510" s="121" t="str">
        <f t="shared" si="131"/>
        <v>214 - AW</v>
      </c>
      <c r="AO510" s="121" t="str">
        <f>IF('Cable Info'!N215="","",CONCATENATE('Cable Info'!N215," - ",'Cable Info'!O215))</f>
        <v>214 - AW</v>
      </c>
      <c r="AR510" s="121" t="str">
        <f t="shared" si="132"/>
        <v>214 - AW</v>
      </c>
      <c r="AT510" s="121" t="str">
        <f>IF('Cable Info'!P215="","",CONCATENATE('Cable Info'!P215," - ",'Cable Info'!Q215))</f>
        <v/>
      </c>
      <c r="AW510" s="121" t="str">
        <f t="shared" si="133"/>
        <v/>
      </c>
      <c r="AY510" s="121" t="str">
        <f>IF('Cable Info'!R215="","",CONCATENATE('Cable Info'!R215," - ",'Cable Info'!S215))</f>
        <v/>
      </c>
      <c r="BB510" s="121" t="str">
        <f t="shared" si="134"/>
        <v/>
      </c>
      <c r="BD510" s="121" t="str">
        <f>IF('Cable Info'!T215="","",CONCATENATE('Cable Info'!T215," - ",'Cable Info'!U215))</f>
        <v/>
      </c>
      <c r="BG510" s="121" t="str">
        <f t="shared" si="135"/>
        <v/>
      </c>
      <c r="BI510" s="121" t="str">
        <f>IF('Cable Info'!V215="","",CONCATENATE('Cable Info'!V215," - ",'Cable Info'!W215))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str">
        <f>IF('Cable Info'!L216="","",CONCATENATE('Cable Info'!L216," - ",'Cable Info'!M216))</f>
        <v>215 - AW</v>
      </c>
      <c r="AM511" s="121" t="str">
        <f t="shared" si="131"/>
        <v>215 - AW</v>
      </c>
      <c r="AO511" s="121" t="str">
        <f>IF('Cable Info'!N216="","",CONCATENATE('Cable Info'!N216," - ",'Cable Info'!O216))</f>
        <v>215 - AW</v>
      </c>
      <c r="AR511" s="121" t="str">
        <f t="shared" si="132"/>
        <v>215 - AW</v>
      </c>
      <c r="AT511" s="121" t="str">
        <f>IF('Cable Info'!P216="","",CONCATENATE('Cable Info'!P216," - ",'Cable Info'!Q216))</f>
        <v/>
      </c>
      <c r="AW511" s="121" t="str">
        <f t="shared" si="133"/>
        <v/>
      </c>
      <c r="AY511" s="121" t="str">
        <f>IF('Cable Info'!R216="","",CONCATENATE('Cable Info'!R216," - ",'Cable Info'!S216))</f>
        <v/>
      </c>
      <c r="BB511" s="121" t="str">
        <f t="shared" si="134"/>
        <v/>
      </c>
      <c r="BD511" s="121" t="str">
        <f>IF('Cable Info'!T216="","",CONCATENATE('Cable Info'!T216," - ",'Cable Info'!U216))</f>
        <v/>
      </c>
      <c r="BG511" s="121" t="str">
        <f t="shared" si="135"/>
        <v/>
      </c>
      <c r="BI511" s="121" t="str">
        <f>IF('Cable Info'!V216="","",CONCATENATE('Cable Info'!V216," - ",'Cable Info'!W216))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str">
        <f>IF('Cable Info'!L217="","",CONCATENATE('Cable Info'!L217," - ",'Cable Info'!M217))</f>
        <v>216 - AW</v>
      </c>
      <c r="AM512" s="121" t="str">
        <f t="shared" si="131"/>
        <v>216 - AW</v>
      </c>
      <c r="AO512" s="121" t="str">
        <f>IF('Cable Info'!N217="","",CONCATENATE('Cable Info'!N217," - ",'Cable Info'!O217))</f>
        <v>216 - AW</v>
      </c>
      <c r="AR512" s="121" t="str">
        <f t="shared" si="132"/>
        <v>216 - AW</v>
      </c>
      <c r="AT512" s="121" t="str">
        <f>IF('Cable Info'!P217="","",CONCATENATE('Cable Info'!P217," - ",'Cable Info'!Q217))</f>
        <v/>
      </c>
      <c r="AW512" s="121" t="str">
        <f t="shared" si="133"/>
        <v/>
      </c>
      <c r="AY512" s="121" t="str">
        <f>IF('Cable Info'!R217="","",CONCATENATE('Cable Info'!R217," - ",'Cable Info'!S217))</f>
        <v/>
      </c>
      <c r="BB512" s="121" t="str">
        <f t="shared" si="134"/>
        <v/>
      </c>
      <c r="BD512" s="121" t="str">
        <f>IF('Cable Info'!T217="","",CONCATENATE('Cable Info'!T217," - ",'Cable Info'!U217))</f>
        <v/>
      </c>
      <c r="BG512" s="121" t="str">
        <f t="shared" si="135"/>
        <v/>
      </c>
      <c r="BI512" s="121" t="str">
        <f>IF('Cable Info'!V217="","",CONCATENATE('Cable Info'!V217," - ",'Cable Info'!W217))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str">
        <f>IF('Cable Info'!L218="","",CONCATENATE('Cable Info'!L218," - ",'Cable Info'!M218))</f>
        <v>217 - AW</v>
      </c>
      <c r="AM513" s="121" t="str">
        <f t="shared" si="131"/>
        <v>217 - AW</v>
      </c>
      <c r="AO513" s="121" t="str">
        <f>IF('Cable Info'!N218="","",CONCATENATE('Cable Info'!N218," - ",'Cable Info'!O218))</f>
        <v>217 - AW</v>
      </c>
      <c r="AR513" s="121" t="str">
        <f t="shared" si="132"/>
        <v>217 - AW</v>
      </c>
      <c r="AT513" s="121" t="str">
        <f>IF('Cable Info'!P218="","",CONCATENATE('Cable Info'!P218," - ",'Cable Info'!Q218))</f>
        <v/>
      </c>
      <c r="AW513" s="121" t="str">
        <f t="shared" si="133"/>
        <v/>
      </c>
      <c r="AY513" s="121" t="str">
        <f>IF('Cable Info'!R218="","",CONCATENATE('Cable Info'!R218," - ",'Cable Info'!S218))</f>
        <v/>
      </c>
      <c r="BB513" s="121" t="str">
        <f t="shared" si="134"/>
        <v/>
      </c>
      <c r="BD513" s="121" t="str">
        <f>IF('Cable Info'!T218="","",CONCATENATE('Cable Info'!T218," - ",'Cable Info'!U218))</f>
        <v/>
      </c>
      <c r="BG513" s="121" t="str">
        <f t="shared" si="135"/>
        <v/>
      </c>
      <c r="BI513" s="121" t="str">
        <f>IF('Cable Info'!V218="","",CONCATENATE('Cable Info'!V218," - ",'Cable Info'!W218))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str">
        <f>IF('Cable Info'!L219="","",CONCATENATE('Cable Info'!L219," - ",'Cable Info'!M219))</f>
        <v>218 - AW</v>
      </c>
      <c r="AM514" s="121" t="str">
        <f t="shared" si="131"/>
        <v>218 - AW</v>
      </c>
      <c r="AO514" s="121" t="str">
        <f>IF('Cable Info'!N219="","",CONCATENATE('Cable Info'!N219," - ",'Cable Info'!O219))</f>
        <v>218 - AW</v>
      </c>
      <c r="AR514" s="121" t="str">
        <f t="shared" si="132"/>
        <v>218 - AW</v>
      </c>
      <c r="AT514" s="121" t="str">
        <f>IF('Cable Info'!P219="","",CONCATENATE('Cable Info'!P219," - ",'Cable Info'!Q219))</f>
        <v/>
      </c>
      <c r="AW514" s="121" t="str">
        <f t="shared" si="133"/>
        <v/>
      </c>
      <c r="AY514" s="121" t="str">
        <f>IF('Cable Info'!R219="","",CONCATENATE('Cable Info'!R219," - ",'Cable Info'!S219))</f>
        <v/>
      </c>
      <c r="BB514" s="121" t="str">
        <f t="shared" si="134"/>
        <v/>
      </c>
      <c r="BD514" s="121" t="str">
        <f>IF('Cable Info'!T219="","",CONCATENATE('Cable Info'!T219," - ",'Cable Info'!U219))</f>
        <v/>
      </c>
      <c r="BG514" s="121" t="str">
        <f t="shared" si="135"/>
        <v/>
      </c>
      <c r="BI514" s="121" t="str">
        <f>IF('Cable Info'!V219="","",CONCATENATE('Cable Info'!V219," - ",'Cable Info'!W219))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str">
        <f>IF('Cable Info'!L220="","",CONCATENATE('Cable Info'!L220," - ",'Cable Info'!M220))</f>
        <v>219 - AW</v>
      </c>
      <c r="AM515" s="121" t="str">
        <f t="shared" si="131"/>
        <v>219 - AW</v>
      </c>
      <c r="AO515" s="121" t="str">
        <f>IF('Cable Info'!N220="","",CONCATENATE('Cable Info'!N220," - ",'Cable Info'!O220))</f>
        <v>219 - AW</v>
      </c>
      <c r="AR515" s="121" t="str">
        <f t="shared" si="132"/>
        <v>219 - AW</v>
      </c>
      <c r="AT515" s="121" t="str">
        <f>IF('Cable Info'!P220="","",CONCATENATE('Cable Info'!P220," - ",'Cable Info'!Q220))</f>
        <v/>
      </c>
      <c r="AW515" s="121" t="str">
        <f t="shared" si="133"/>
        <v/>
      </c>
      <c r="AY515" s="121" t="str">
        <f>IF('Cable Info'!R220="","",CONCATENATE('Cable Info'!R220," - ",'Cable Info'!S220))</f>
        <v/>
      </c>
      <c r="BB515" s="121" t="str">
        <f t="shared" si="134"/>
        <v/>
      </c>
      <c r="BD515" s="121" t="str">
        <f>IF('Cable Info'!T220="","",CONCATENATE('Cable Info'!T220," - ",'Cable Info'!U220))</f>
        <v/>
      </c>
      <c r="BG515" s="121" t="str">
        <f t="shared" si="135"/>
        <v/>
      </c>
      <c r="BI515" s="121" t="str">
        <f>IF('Cable Info'!V220="","",CONCATENATE('Cable Info'!V220," - ",'Cable Info'!W220))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str">
        <f>IF('Cable Info'!L221="","",CONCATENATE('Cable Info'!L221," - ",'Cable Info'!M221))</f>
        <v>220 - AW</v>
      </c>
      <c r="AM516" s="121" t="str">
        <f t="shared" si="131"/>
        <v>220 - AW</v>
      </c>
      <c r="AO516" s="121" t="str">
        <f>IF('Cable Info'!N221="","",CONCATENATE('Cable Info'!N221," - ",'Cable Info'!O221))</f>
        <v>220 - AW</v>
      </c>
      <c r="AR516" s="121" t="str">
        <f t="shared" si="132"/>
        <v>220 - AW</v>
      </c>
      <c r="AT516" s="121" t="str">
        <f>IF('Cable Info'!P221="","",CONCATENATE('Cable Info'!P221," - ",'Cable Info'!Q221))</f>
        <v/>
      </c>
      <c r="AW516" s="121" t="str">
        <f t="shared" si="133"/>
        <v/>
      </c>
      <c r="AY516" s="121" t="str">
        <f>IF('Cable Info'!R221="","",CONCATENATE('Cable Info'!R221," - ",'Cable Info'!S221))</f>
        <v/>
      </c>
      <c r="BB516" s="121" t="str">
        <f t="shared" si="134"/>
        <v/>
      </c>
      <c r="BD516" s="121" t="str">
        <f>IF('Cable Info'!T221="","",CONCATENATE('Cable Info'!T221," - ",'Cable Info'!U221))</f>
        <v/>
      </c>
      <c r="BG516" s="121" t="str">
        <f t="shared" si="135"/>
        <v/>
      </c>
      <c r="BI516" s="121" t="str">
        <f>IF('Cable Info'!V221="","",CONCATENATE('Cable Info'!V221," - ",'Cable Info'!W221))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str">
        <f>IF('Cable Info'!L222="","",CONCATENATE('Cable Info'!L222," - ",'Cable Info'!M222))</f>
        <v>221 - AW</v>
      </c>
      <c r="AM517" s="121" t="str">
        <f t="shared" si="131"/>
        <v>221 - AW</v>
      </c>
      <c r="AO517" s="121" t="str">
        <f>IF('Cable Info'!N222="","",CONCATENATE('Cable Info'!N222," - ",'Cable Info'!O222))</f>
        <v>221 - AW</v>
      </c>
      <c r="AR517" s="121" t="str">
        <f t="shared" si="132"/>
        <v>221 - AW</v>
      </c>
      <c r="AT517" s="121" t="str">
        <f>IF('Cable Info'!P222="","",CONCATENATE('Cable Info'!P222," - ",'Cable Info'!Q222))</f>
        <v/>
      </c>
      <c r="AW517" s="121" t="str">
        <f t="shared" si="133"/>
        <v/>
      </c>
      <c r="AY517" s="121" t="str">
        <f>IF('Cable Info'!R222="","",CONCATENATE('Cable Info'!R222," - ",'Cable Info'!S222))</f>
        <v/>
      </c>
      <c r="BB517" s="121" t="str">
        <f t="shared" si="134"/>
        <v/>
      </c>
      <c r="BD517" s="121" t="str">
        <f>IF('Cable Info'!T222="","",CONCATENATE('Cable Info'!T222," - ",'Cable Info'!U222))</f>
        <v/>
      </c>
      <c r="BG517" s="121" t="str">
        <f t="shared" si="135"/>
        <v/>
      </c>
      <c r="BI517" s="121" t="str">
        <f>IF('Cable Info'!V222="","",CONCATENATE('Cable Info'!V222," - ",'Cable Info'!W222))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str">
        <f>IF('Cable Info'!L223="","",CONCATENATE('Cable Info'!L223," - ",'Cable Info'!M223))</f>
        <v>222 - AW</v>
      </c>
      <c r="AM518" s="121" t="str">
        <f t="shared" si="131"/>
        <v>222 - AW</v>
      </c>
      <c r="AO518" s="121" t="str">
        <f>IF('Cable Info'!N223="","",CONCATENATE('Cable Info'!N223," - ",'Cable Info'!O223))</f>
        <v>222 - AW</v>
      </c>
      <c r="AR518" s="121" t="str">
        <f t="shared" si="132"/>
        <v>222 - AW</v>
      </c>
      <c r="AT518" s="121" t="str">
        <f>IF('Cable Info'!P223="","",CONCATENATE('Cable Info'!P223," - ",'Cable Info'!Q223))</f>
        <v/>
      </c>
      <c r="AW518" s="121" t="str">
        <f t="shared" si="133"/>
        <v/>
      </c>
      <c r="AY518" s="121" t="str">
        <f>IF('Cable Info'!R223="","",CONCATENATE('Cable Info'!R223," - ",'Cable Info'!S223))</f>
        <v/>
      </c>
      <c r="BB518" s="121" t="str">
        <f t="shared" si="134"/>
        <v/>
      </c>
      <c r="BD518" s="121" t="str">
        <f>IF('Cable Info'!T223="","",CONCATENATE('Cable Info'!T223," - ",'Cable Info'!U223))</f>
        <v/>
      </c>
      <c r="BG518" s="121" t="str">
        <f t="shared" si="135"/>
        <v/>
      </c>
      <c r="BI518" s="121" t="str">
        <f>IF('Cable Info'!V223="","",CONCATENATE('Cable Info'!V223," - ",'Cable Info'!W223))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str">
        <f>IF('Cable Info'!L224="","",CONCATENATE('Cable Info'!L224," - ",'Cable Info'!M224))</f>
        <v>223 - AW</v>
      </c>
      <c r="AM519" s="121" t="str">
        <f t="shared" si="131"/>
        <v>223 - AW</v>
      </c>
      <c r="AO519" s="121" t="str">
        <f>IF('Cable Info'!N224="","",CONCATENATE('Cable Info'!N224," - ",'Cable Info'!O224))</f>
        <v>223 - AW</v>
      </c>
      <c r="AR519" s="121" t="str">
        <f t="shared" si="132"/>
        <v>223 - AW</v>
      </c>
      <c r="AT519" s="121" t="str">
        <f>IF('Cable Info'!P224="","",CONCATENATE('Cable Info'!P224," - ",'Cable Info'!Q224))</f>
        <v/>
      </c>
      <c r="AW519" s="121" t="str">
        <f t="shared" si="133"/>
        <v/>
      </c>
      <c r="AY519" s="121" t="str">
        <f>IF('Cable Info'!R224="","",CONCATENATE('Cable Info'!R224," - ",'Cable Info'!S224))</f>
        <v/>
      </c>
      <c r="BB519" s="121" t="str">
        <f t="shared" si="134"/>
        <v/>
      </c>
      <c r="BD519" s="121" t="str">
        <f>IF('Cable Info'!T224="","",CONCATENATE('Cable Info'!T224," - ",'Cable Info'!U224))</f>
        <v/>
      </c>
      <c r="BG519" s="121" t="str">
        <f t="shared" si="135"/>
        <v/>
      </c>
      <c r="BI519" s="121" t="str">
        <f>IF('Cable Info'!V224="","",CONCATENATE('Cable Info'!V224," - ",'Cable Info'!W224))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str">
        <f>IF('Cable Info'!L225="","",CONCATENATE('Cable Info'!L225," - ",'Cable Info'!M225))</f>
        <v>224 - AW</v>
      </c>
      <c r="AM520" s="121" t="str">
        <f t="shared" si="131"/>
        <v>224 - AW</v>
      </c>
      <c r="AO520" s="121" t="str">
        <f>IF('Cable Info'!N225="","",CONCATENATE('Cable Info'!N225," - ",'Cable Info'!O225))</f>
        <v>224 - AW</v>
      </c>
      <c r="AR520" s="121" t="str">
        <f t="shared" si="132"/>
        <v>224 - AW</v>
      </c>
      <c r="AT520" s="121" t="str">
        <f>IF('Cable Info'!P225="","",CONCATENATE('Cable Info'!P225," - ",'Cable Info'!Q225))</f>
        <v/>
      </c>
      <c r="AW520" s="121" t="str">
        <f t="shared" si="133"/>
        <v/>
      </c>
      <c r="AY520" s="121" t="str">
        <f>IF('Cable Info'!R225="","",CONCATENATE('Cable Info'!R225," - ",'Cable Info'!S225))</f>
        <v/>
      </c>
      <c r="BB520" s="121" t="str">
        <f t="shared" si="134"/>
        <v/>
      </c>
      <c r="BD520" s="121" t="str">
        <f>IF('Cable Info'!T225="","",CONCATENATE('Cable Info'!T225," - ",'Cable Info'!U225))</f>
        <v/>
      </c>
      <c r="BG520" s="121" t="str">
        <f t="shared" si="135"/>
        <v/>
      </c>
      <c r="BI520" s="121" t="str">
        <f>IF('Cable Info'!V225="","",CONCATENATE('Cable Info'!V225," - ",'Cable Info'!W225))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str">
        <f>IF('Cable Info'!L226="","",CONCATENATE('Cable Info'!L226," - ",'Cable Info'!M226))</f>
        <v>225 - AW</v>
      </c>
      <c r="AM521" s="121" t="str">
        <f t="shared" si="131"/>
        <v>225 - AW</v>
      </c>
      <c r="AO521" s="121" t="str">
        <f>IF('Cable Info'!N226="","",CONCATENATE('Cable Info'!N226," - ",'Cable Info'!O226))</f>
        <v>225 - AW</v>
      </c>
      <c r="AR521" s="121" t="str">
        <f t="shared" si="132"/>
        <v>225 - AW</v>
      </c>
      <c r="AT521" s="121" t="str">
        <f>IF('Cable Info'!P226="","",CONCATENATE('Cable Info'!P226," - ",'Cable Info'!Q226))</f>
        <v/>
      </c>
      <c r="AW521" s="121" t="str">
        <f t="shared" si="133"/>
        <v/>
      </c>
      <c r="AY521" s="121" t="str">
        <f>IF('Cable Info'!R226="","",CONCATENATE('Cable Info'!R226," - ",'Cable Info'!S226))</f>
        <v/>
      </c>
      <c r="BB521" s="121" t="str">
        <f t="shared" si="134"/>
        <v/>
      </c>
      <c r="BD521" s="121" t="str">
        <f>IF('Cable Info'!T226="","",CONCATENATE('Cable Info'!T226," - ",'Cable Info'!U226))</f>
        <v/>
      </c>
      <c r="BG521" s="121" t="str">
        <f t="shared" si="135"/>
        <v/>
      </c>
      <c r="BI521" s="121" t="str">
        <f>IF('Cable Info'!V226="","",CONCATENATE('Cable Info'!V226," - ",'Cable Info'!W226))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str">
        <f>IF('Cable Info'!L227="","",CONCATENATE('Cable Info'!L227," - ",'Cable Info'!M227))</f>
        <v>226 - AW</v>
      </c>
      <c r="AM522" s="121" t="str">
        <f t="shared" si="131"/>
        <v>226 - AW</v>
      </c>
      <c r="AO522" s="121" t="str">
        <f>IF('Cable Info'!N227="","",CONCATENATE('Cable Info'!N227," - ",'Cable Info'!O227))</f>
        <v>226 - AW</v>
      </c>
      <c r="AR522" s="121" t="str">
        <f t="shared" si="132"/>
        <v>226 - AW</v>
      </c>
      <c r="AT522" s="121" t="str">
        <f>IF('Cable Info'!P227="","",CONCATENATE('Cable Info'!P227," - ",'Cable Info'!Q227))</f>
        <v/>
      </c>
      <c r="AW522" s="121" t="str">
        <f t="shared" si="133"/>
        <v/>
      </c>
      <c r="AY522" s="121" t="str">
        <f>IF('Cable Info'!R227="","",CONCATENATE('Cable Info'!R227," - ",'Cable Info'!S227))</f>
        <v/>
      </c>
      <c r="BB522" s="121" t="str">
        <f t="shared" si="134"/>
        <v/>
      </c>
      <c r="BD522" s="121" t="str">
        <f>IF('Cable Info'!T227="","",CONCATENATE('Cable Info'!T227," - ",'Cable Info'!U227))</f>
        <v/>
      </c>
      <c r="BG522" s="121" t="str">
        <f t="shared" si="135"/>
        <v/>
      </c>
      <c r="BI522" s="121" t="str">
        <f>IF('Cable Info'!V227="","",CONCATENATE('Cable Info'!V227," - ",'Cable Info'!W227))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str">
        <f>IF('Cable Info'!L228="","",CONCATENATE('Cable Info'!L228," - ",'Cable Info'!M228))</f>
        <v>227 - AW</v>
      </c>
      <c r="AM523" s="121" t="str">
        <f t="shared" si="131"/>
        <v>227 - AW</v>
      </c>
      <c r="AO523" s="121" t="str">
        <f>IF('Cable Info'!N228="","",CONCATENATE('Cable Info'!N228," - ",'Cable Info'!O228))</f>
        <v>227 - AW</v>
      </c>
      <c r="AR523" s="121" t="str">
        <f t="shared" si="132"/>
        <v>227 - AW</v>
      </c>
      <c r="AT523" s="121" t="str">
        <f>IF('Cable Info'!P228="","",CONCATENATE('Cable Info'!P228," - ",'Cable Info'!Q228))</f>
        <v/>
      </c>
      <c r="AW523" s="121" t="str">
        <f t="shared" si="133"/>
        <v/>
      </c>
      <c r="AY523" s="121" t="str">
        <f>IF('Cable Info'!R228="","",CONCATENATE('Cable Info'!R228," - ",'Cable Info'!S228))</f>
        <v/>
      </c>
      <c r="BB523" s="121" t="str">
        <f t="shared" si="134"/>
        <v/>
      </c>
      <c r="BD523" s="121" t="str">
        <f>IF('Cable Info'!T228="","",CONCATENATE('Cable Info'!T228," - ",'Cable Info'!U228))</f>
        <v/>
      </c>
      <c r="BG523" s="121" t="str">
        <f t="shared" si="135"/>
        <v/>
      </c>
      <c r="BI523" s="121" t="str">
        <f>IF('Cable Info'!V228="","",CONCATENATE('Cable Info'!V228," - ",'Cable Info'!W228))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str">
        <f>IF('Cable Info'!L229="","",CONCATENATE('Cable Info'!L229," - ",'Cable Info'!M229))</f>
        <v>228 - AW</v>
      </c>
      <c r="AM524" s="121" t="str">
        <f t="shared" si="131"/>
        <v>228 - AW</v>
      </c>
      <c r="AO524" s="121" t="str">
        <f>IF('Cable Info'!N229="","",CONCATENATE('Cable Info'!N229," - ",'Cable Info'!O229))</f>
        <v>228 - AW</v>
      </c>
      <c r="AR524" s="121" t="str">
        <f t="shared" si="132"/>
        <v>228 - AW</v>
      </c>
      <c r="AT524" s="121" t="str">
        <f>IF('Cable Info'!P229="","",CONCATENATE('Cable Info'!P229," - ",'Cable Info'!Q229))</f>
        <v/>
      </c>
      <c r="AW524" s="121" t="str">
        <f t="shared" si="133"/>
        <v/>
      </c>
      <c r="AY524" s="121" t="str">
        <f>IF('Cable Info'!R229="","",CONCATENATE('Cable Info'!R229," - ",'Cable Info'!S229))</f>
        <v/>
      </c>
      <c r="BB524" s="121" t="str">
        <f t="shared" si="134"/>
        <v/>
      </c>
      <c r="BD524" s="121" t="str">
        <f>IF('Cable Info'!T229="","",CONCATENATE('Cable Info'!T229," - ",'Cable Info'!U229))</f>
        <v/>
      </c>
      <c r="BG524" s="121" t="str">
        <f t="shared" si="135"/>
        <v/>
      </c>
      <c r="BI524" s="121" t="str">
        <f>IF('Cable Info'!V229="","",CONCATENATE('Cable Info'!V229," - ",'Cable Info'!W229))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str">
        <f>IF('Cable Info'!L230="","",CONCATENATE('Cable Info'!L230," - ",'Cable Info'!M230))</f>
        <v>229 - AW</v>
      </c>
      <c r="AM525" s="121" t="str">
        <f t="shared" si="131"/>
        <v>229 - AW</v>
      </c>
      <c r="AO525" s="121" t="str">
        <f>IF('Cable Info'!N230="","",CONCATENATE('Cable Info'!N230," - ",'Cable Info'!O230))</f>
        <v>229 - AW</v>
      </c>
      <c r="AR525" s="121" t="str">
        <f t="shared" si="132"/>
        <v>229 - AW</v>
      </c>
      <c r="AT525" s="121" t="str">
        <f>IF('Cable Info'!P230="","",CONCATENATE('Cable Info'!P230," - ",'Cable Info'!Q230))</f>
        <v/>
      </c>
      <c r="AW525" s="121" t="str">
        <f t="shared" si="133"/>
        <v/>
      </c>
      <c r="AY525" s="121" t="str">
        <f>IF('Cable Info'!R230="","",CONCATENATE('Cable Info'!R230," - ",'Cable Info'!S230))</f>
        <v/>
      </c>
      <c r="BB525" s="121" t="str">
        <f t="shared" si="134"/>
        <v/>
      </c>
      <c r="BD525" s="121" t="str">
        <f>IF('Cable Info'!T230="","",CONCATENATE('Cable Info'!T230," - ",'Cable Info'!U230))</f>
        <v/>
      </c>
      <c r="BG525" s="121" t="str">
        <f t="shared" si="135"/>
        <v/>
      </c>
      <c r="BI525" s="121" t="str">
        <f>IF('Cable Info'!V230="","",CONCATENATE('Cable Info'!V230," - ",'Cable Info'!W230))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str">
        <f>IF('Cable Info'!L231="","",CONCATENATE('Cable Info'!L231," - ",'Cable Info'!M231))</f>
        <v>230 - AW</v>
      </c>
      <c r="AM526" s="121" t="str">
        <f t="shared" si="131"/>
        <v>230 - AW</v>
      </c>
      <c r="AO526" s="121" t="str">
        <f>IF('Cable Info'!N231="","",CONCATENATE('Cable Info'!N231," - ",'Cable Info'!O231))</f>
        <v>230 - AW</v>
      </c>
      <c r="AR526" s="121" t="str">
        <f t="shared" si="132"/>
        <v>230 - AW</v>
      </c>
      <c r="AT526" s="121" t="str">
        <f>IF('Cable Info'!P231="","",CONCATENATE('Cable Info'!P231," - ",'Cable Info'!Q231))</f>
        <v/>
      </c>
      <c r="AW526" s="121" t="str">
        <f t="shared" si="133"/>
        <v/>
      </c>
      <c r="AY526" s="121" t="str">
        <f>IF('Cable Info'!R231="","",CONCATENATE('Cable Info'!R231," - ",'Cable Info'!S231))</f>
        <v/>
      </c>
      <c r="BB526" s="121" t="str">
        <f t="shared" si="134"/>
        <v/>
      </c>
      <c r="BD526" s="121" t="str">
        <f>IF('Cable Info'!T231="","",CONCATENATE('Cable Info'!T231," - ",'Cable Info'!U231))</f>
        <v/>
      </c>
      <c r="BG526" s="121" t="str">
        <f t="shared" si="135"/>
        <v/>
      </c>
      <c r="BI526" s="121" t="str">
        <f>IF('Cable Info'!V231="","",CONCATENATE('Cable Info'!V231," - ",'Cable Info'!W231))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str">
        <f>IF('Cable Info'!L232="","",CONCATENATE('Cable Info'!L232," - ",'Cable Info'!M232))</f>
        <v>231 - AW</v>
      </c>
      <c r="AM527" s="121" t="str">
        <f t="shared" si="131"/>
        <v>231 - AW</v>
      </c>
      <c r="AO527" s="121" t="str">
        <f>IF('Cable Info'!N232="","",CONCATENATE('Cable Info'!N232," - ",'Cable Info'!O232))</f>
        <v>231 - AW</v>
      </c>
      <c r="AR527" s="121" t="str">
        <f t="shared" si="132"/>
        <v>231 - AW</v>
      </c>
      <c r="AT527" s="121" t="str">
        <f>IF('Cable Info'!P232="","",CONCATENATE('Cable Info'!P232," - ",'Cable Info'!Q232))</f>
        <v/>
      </c>
      <c r="AW527" s="121" t="str">
        <f t="shared" si="133"/>
        <v/>
      </c>
      <c r="AY527" s="121" t="str">
        <f>IF('Cable Info'!R232="","",CONCATENATE('Cable Info'!R232," - ",'Cable Info'!S232))</f>
        <v/>
      </c>
      <c r="BB527" s="121" t="str">
        <f t="shared" si="134"/>
        <v/>
      </c>
      <c r="BD527" s="121" t="str">
        <f>IF('Cable Info'!T232="","",CONCATENATE('Cable Info'!T232," - ",'Cable Info'!U232))</f>
        <v/>
      </c>
      <c r="BG527" s="121" t="str">
        <f t="shared" si="135"/>
        <v/>
      </c>
      <c r="BI527" s="121" t="str">
        <f>IF('Cable Info'!V232="","",CONCATENATE('Cable Info'!V232," - ",'Cable Info'!W232))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str">
        <f>IF('Cable Info'!L233="","",CONCATENATE('Cable Info'!L233," - ",'Cable Info'!M233))</f>
        <v>232 - AW</v>
      </c>
      <c r="AM528" s="121" t="str">
        <f t="shared" si="131"/>
        <v>232 - AW</v>
      </c>
      <c r="AO528" s="121" t="str">
        <f>IF('Cable Info'!N233="","",CONCATENATE('Cable Info'!N233," - ",'Cable Info'!O233))</f>
        <v>232 - AW</v>
      </c>
      <c r="AR528" s="121" t="str">
        <f t="shared" si="132"/>
        <v>232 - AW</v>
      </c>
      <c r="AT528" s="121" t="str">
        <f>IF('Cable Info'!P233="","",CONCATENATE('Cable Info'!P233," - ",'Cable Info'!Q233))</f>
        <v/>
      </c>
      <c r="AW528" s="121" t="str">
        <f t="shared" si="133"/>
        <v/>
      </c>
      <c r="AY528" s="121" t="str">
        <f>IF('Cable Info'!R233="","",CONCATENATE('Cable Info'!R233," - ",'Cable Info'!S233))</f>
        <v/>
      </c>
      <c r="BB528" s="121" t="str">
        <f t="shared" si="134"/>
        <v/>
      </c>
      <c r="BD528" s="121" t="str">
        <f>IF('Cable Info'!T233="","",CONCATENATE('Cable Info'!T233," - ",'Cable Info'!U233))</f>
        <v/>
      </c>
      <c r="BG528" s="121" t="str">
        <f t="shared" si="135"/>
        <v/>
      </c>
      <c r="BI528" s="121" t="str">
        <f>IF('Cable Info'!V233="","",CONCATENATE('Cable Info'!V233," - ",'Cable Info'!W233))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str">
        <f>IF('Cable Info'!L234="","",CONCATENATE('Cable Info'!L234," - ",'Cable Info'!M234))</f>
        <v>233 - AW</v>
      </c>
      <c r="AM529" s="121" t="str">
        <f t="shared" si="131"/>
        <v>233 - AW</v>
      </c>
      <c r="AO529" s="121" t="str">
        <f>IF('Cable Info'!N234="","",CONCATENATE('Cable Info'!N234," - ",'Cable Info'!O234))</f>
        <v>233 - AW</v>
      </c>
      <c r="AR529" s="121" t="str">
        <f t="shared" si="132"/>
        <v>233 - AW</v>
      </c>
      <c r="AT529" s="121" t="str">
        <f>IF('Cable Info'!P234="","",CONCATENATE('Cable Info'!P234," - ",'Cable Info'!Q234))</f>
        <v/>
      </c>
      <c r="AW529" s="121" t="str">
        <f t="shared" si="133"/>
        <v/>
      </c>
      <c r="AY529" s="121" t="str">
        <f>IF('Cable Info'!R234="","",CONCATENATE('Cable Info'!R234," - ",'Cable Info'!S234))</f>
        <v/>
      </c>
      <c r="BB529" s="121" t="str">
        <f t="shared" si="134"/>
        <v/>
      </c>
      <c r="BD529" s="121" t="str">
        <f>IF('Cable Info'!T234="","",CONCATENATE('Cable Info'!T234," - ",'Cable Info'!U234))</f>
        <v/>
      </c>
      <c r="BG529" s="121" t="str">
        <f t="shared" si="135"/>
        <v/>
      </c>
      <c r="BI529" s="121" t="str">
        <f>IF('Cable Info'!V234="","",CONCATENATE('Cable Info'!V234," - ",'Cable Info'!W234))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str">
        <f>IF('Cable Info'!L235="","",CONCATENATE('Cable Info'!L235," - ",'Cable Info'!M235))</f>
        <v>234 - AW</v>
      </c>
      <c r="AM530" s="121" t="str">
        <f t="shared" si="131"/>
        <v>234 - AW</v>
      </c>
      <c r="AO530" s="121" t="str">
        <f>IF('Cable Info'!N235="","",CONCATENATE('Cable Info'!N235," - ",'Cable Info'!O235))</f>
        <v>234 - AW</v>
      </c>
      <c r="AR530" s="121" t="str">
        <f t="shared" si="132"/>
        <v>234 - AW</v>
      </c>
      <c r="AT530" s="121" t="str">
        <f>IF('Cable Info'!P235="","",CONCATENATE('Cable Info'!P235," - ",'Cable Info'!Q235))</f>
        <v/>
      </c>
      <c r="AW530" s="121" t="str">
        <f t="shared" si="133"/>
        <v/>
      </c>
      <c r="AY530" s="121" t="str">
        <f>IF('Cable Info'!R235="","",CONCATENATE('Cable Info'!R235," - ",'Cable Info'!S235))</f>
        <v/>
      </c>
      <c r="BB530" s="121" t="str">
        <f t="shared" si="134"/>
        <v/>
      </c>
      <c r="BD530" s="121" t="str">
        <f>IF('Cable Info'!T235="","",CONCATENATE('Cable Info'!T235," - ",'Cable Info'!U235))</f>
        <v/>
      </c>
      <c r="BG530" s="121" t="str">
        <f t="shared" si="135"/>
        <v/>
      </c>
      <c r="BI530" s="121" t="str">
        <f>IF('Cable Info'!V235="","",CONCATENATE('Cable Info'!V235," - ",'Cable Info'!W235))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str">
        <f>IF('Cable Info'!L236="","",CONCATENATE('Cable Info'!L236," - ",'Cable Info'!M236))</f>
        <v>235 - AW</v>
      </c>
      <c r="AM531" s="121" t="str">
        <f t="shared" si="131"/>
        <v>235 - AW</v>
      </c>
      <c r="AO531" s="121" t="str">
        <f>IF('Cable Info'!N236="","",CONCATENATE('Cable Info'!N236," - ",'Cable Info'!O236))</f>
        <v>235 - AW</v>
      </c>
      <c r="AR531" s="121" t="str">
        <f t="shared" si="132"/>
        <v>235 - AW</v>
      </c>
      <c r="AT531" s="121" t="str">
        <f>IF('Cable Info'!P236="","",CONCATENATE('Cable Info'!P236," - ",'Cable Info'!Q236))</f>
        <v/>
      </c>
      <c r="AW531" s="121" t="str">
        <f t="shared" si="133"/>
        <v/>
      </c>
      <c r="AY531" s="121" t="str">
        <f>IF('Cable Info'!R236="","",CONCATENATE('Cable Info'!R236," - ",'Cable Info'!S236))</f>
        <v/>
      </c>
      <c r="BB531" s="121" t="str">
        <f t="shared" si="134"/>
        <v/>
      </c>
      <c r="BD531" s="121" t="str">
        <f>IF('Cable Info'!T236="","",CONCATENATE('Cable Info'!T236," - ",'Cable Info'!U236))</f>
        <v/>
      </c>
      <c r="BG531" s="121" t="str">
        <f t="shared" si="135"/>
        <v/>
      </c>
      <c r="BI531" s="121" t="str">
        <f>IF('Cable Info'!V236="","",CONCATENATE('Cable Info'!V236," - ",'Cable Info'!W236))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str">
        <f>IF('Cable Info'!L237="","",CONCATENATE('Cable Info'!L237," - ",'Cable Info'!M237))</f>
        <v>236 - AW</v>
      </c>
      <c r="AM532" s="121" t="str">
        <f t="shared" si="131"/>
        <v>236 - AW</v>
      </c>
      <c r="AO532" s="121" t="str">
        <f>IF('Cable Info'!N237="","",CONCATENATE('Cable Info'!N237," - ",'Cable Info'!O237))</f>
        <v>236 - AW</v>
      </c>
      <c r="AR532" s="121" t="str">
        <f t="shared" si="132"/>
        <v>236 - AW</v>
      </c>
      <c r="AT532" s="121" t="str">
        <f>IF('Cable Info'!P237="","",CONCATENATE('Cable Info'!P237," - ",'Cable Info'!Q237))</f>
        <v/>
      </c>
      <c r="AW532" s="121" t="str">
        <f t="shared" si="133"/>
        <v/>
      </c>
      <c r="AY532" s="121" t="str">
        <f>IF('Cable Info'!R237="","",CONCATENATE('Cable Info'!R237," - ",'Cable Info'!S237))</f>
        <v/>
      </c>
      <c r="BB532" s="121" t="str">
        <f t="shared" si="134"/>
        <v/>
      </c>
      <c r="BD532" s="121" t="str">
        <f>IF('Cable Info'!T237="","",CONCATENATE('Cable Info'!T237," - ",'Cable Info'!U237))</f>
        <v/>
      </c>
      <c r="BG532" s="121" t="str">
        <f t="shared" si="135"/>
        <v/>
      </c>
      <c r="BI532" s="121" t="str">
        <f>IF('Cable Info'!V237="","",CONCATENATE('Cable Info'!V237," - ",'Cable Info'!W237))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str">
        <f>IF('Cable Info'!L238="","",CONCATENATE('Cable Info'!L238," - ",'Cable Info'!M238))</f>
        <v>237 - AW</v>
      </c>
      <c r="AM533" s="121" t="str">
        <f t="shared" si="131"/>
        <v>237 - AW</v>
      </c>
      <c r="AO533" s="121" t="str">
        <f>IF('Cable Info'!N238="","",CONCATENATE('Cable Info'!N238," - ",'Cable Info'!O238))</f>
        <v>237 - AW</v>
      </c>
      <c r="AR533" s="121" t="str">
        <f t="shared" si="132"/>
        <v>237 - AW</v>
      </c>
      <c r="AT533" s="121" t="str">
        <f>IF('Cable Info'!P238="","",CONCATENATE('Cable Info'!P238," - ",'Cable Info'!Q238))</f>
        <v/>
      </c>
      <c r="AW533" s="121" t="str">
        <f t="shared" si="133"/>
        <v/>
      </c>
      <c r="AY533" s="121" t="str">
        <f>IF('Cable Info'!R238="","",CONCATENATE('Cable Info'!R238," - ",'Cable Info'!S238))</f>
        <v/>
      </c>
      <c r="BB533" s="121" t="str">
        <f t="shared" si="134"/>
        <v/>
      </c>
      <c r="BD533" s="121" t="str">
        <f>IF('Cable Info'!T238="","",CONCATENATE('Cable Info'!T238," - ",'Cable Info'!U238))</f>
        <v/>
      </c>
      <c r="BG533" s="121" t="str">
        <f t="shared" si="135"/>
        <v/>
      </c>
      <c r="BI533" s="121" t="str">
        <f>IF('Cable Info'!V238="","",CONCATENATE('Cable Info'!V238," - ",'Cable Info'!W238))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str">
        <f>IF('Cable Info'!L239="","",CONCATENATE('Cable Info'!L239," - ",'Cable Info'!M239))</f>
        <v>238 - AW</v>
      </c>
      <c r="AM534" s="121" t="str">
        <f t="shared" si="131"/>
        <v>238 - AW</v>
      </c>
      <c r="AO534" s="121" t="str">
        <f>IF('Cable Info'!N239="","",CONCATENATE('Cable Info'!N239," - ",'Cable Info'!O239))</f>
        <v>238 - AW</v>
      </c>
      <c r="AR534" s="121" t="str">
        <f t="shared" si="132"/>
        <v>238 - AW</v>
      </c>
      <c r="AT534" s="121" t="str">
        <f>IF('Cable Info'!P239="","",CONCATENATE('Cable Info'!P239," - ",'Cable Info'!Q239))</f>
        <v/>
      </c>
      <c r="AW534" s="121" t="str">
        <f t="shared" si="133"/>
        <v/>
      </c>
      <c r="AY534" s="121" t="str">
        <f>IF('Cable Info'!R239="","",CONCATENATE('Cable Info'!R239," - ",'Cable Info'!S239))</f>
        <v/>
      </c>
      <c r="BB534" s="121" t="str">
        <f t="shared" si="134"/>
        <v/>
      </c>
      <c r="BD534" s="121" t="str">
        <f>IF('Cable Info'!T239="","",CONCATENATE('Cable Info'!T239," - ",'Cable Info'!U239))</f>
        <v/>
      </c>
      <c r="BG534" s="121" t="str">
        <f t="shared" si="135"/>
        <v/>
      </c>
      <c r="BI534" s="121" t="str">
        <f>IF('Cable Info'!V239="","",CONCATENATE('Cable Info'!V239," - ",'Cable Info'!W239))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str">
        <f>IF('Cable Info'!L240="","",CONCATENATE('Cable Info'!L240," - ",'Cable Info'!M240))</f>
        <v>239 - AW</v>
      </c>
      <c r="AM535" s="121" t="str">
        <f t="shared" si="131"/>
        <v>239 - AW</v>
      </c>
      <c r="AO535" s="121" t="str">
        <f>IF('Cable Info'!N240="","",CONCATENATE('Cable Info'!N240," - ",'Cable Info'!O240))</f>
        <v>239 - AW</v>
      </c>
      <c r="AR535" s="121" t="str">
        <f t="shared" si="132"/>
        <v>239 - AW</v>
      </c>
      <c r="AT535" s="121" t="str">
        <f>IF('Cable Info'!P240="","",CONCATENATE('Cable Info'!P240," - ",'Cable Info'!Q240))</f>
        <v/>
      </c>
      <c r="AW535" s="121" t="str">
        <f t="shared" si="133"/>
        <v/>
      </c>
      <c r="AY535" s="121" t="str">
        <f>IF('Cable Info'!R240="","",CONCATENATE('Cable Info'!R240," - ",'Cable Info'!S240))</f>
        <v/>
      </c>
      <c r="BB535" s="121" t="str">
        <f t="shared" si="134"/>
        <v/>
      </c>
      <c r="BD535" s="121" t="str">
        <f>IF('Cable Info'!T240="","",CONCATENATE('Cable Info'!T240," - ",'Cable Info'!U240))</f>
        <v/>
      </c>
      <c r="BG535" s="121" t="str">
        <f t="shared" si="135"/>
        <v/>
      </c>
      <c r="BI535" s="121" t="str">
        <f>IF('Cable Info'!V240="","",CONCATENATE('Cable Info'!V240," - ",'Cable Info'!W240))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str">
        <f>IF('Cable Info'!L241="","",CONCATENATE('Cable Info'!L241," - ",'Cable Info'!M241))</f>
        <v>240 - AW</v>
      </c>
      <c r="AM536" s="121" t="str">
        <f t="shared" si="131"/>
        <v>240 - AW</v>
      </c>
      <c r="AO536" s="121" t="str">
        <f>IF('Cable Info'!N241="","",CONCATENATE('Cable Info'!N241," - ",'Cable Info'!O241))</f>
        <v>240 - AW</v>
      </c>
      <c r="AR536" s="121" t="str">
        <f t="shared" si="132"/>
        <v>240 - AW</v>
      </c>
      <c r="AT536" s="121" t="str">
        <f>IF('Cable Info'!P241="","",CONCATENATE('Cable Info'!P241," - ",'Cable Info'!Q241))</f>
        <v/>
      </c>
      <c r="AW536" s="121" t="str">
        <f t="shared" si="133"/>
        <v/>
      </c>
      <c r="AY536" s="121" t="str">
        <f>IF('Cable Info'!R241="","",CONCATENATE('Cable Info'!R241," - ",'Cable Info'!S241))</f>
        <v/>
      </c>
      <c r="BB536" s="121" t="str">
        <f t="shared" si="134"/>
        <v/>
      </c>
      <c r="BD536" s="121" t="str">
        <f>IF('Cable Info'!T241="","",CONCATENATE('Cable Info'!T241," - ",'Cable Info'!U241))</f>
        <v/>
      </c>
      <c r="BG536" s="121" t="str">
        <f t="shared" si="135"/>
        <v/>
      </c>
      <c r="BI536" s="121" t="str">
        <f>IF('Cable Info'!V241="","",CONCATENATE('Cable Info'!V241," - ",'Cable Info'!W241))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str">
        <f>IF('Cable Info'!L242="","",CONCATENATE('Cable Info'!L242," - ",'Cable Info'!M242))</f>
        <v>241 - AW</v>
      </c>
      <c r="AM537" s="121" t="str">
        <f t="shared" si="131"/>
        <v>241 - AW</v>
      </c>
      <c r="AO537" s="121" t="str">
        <f>IF('Cable Info'!N242="","",CONCATENATE('Cable Info'!N242," - ",'Cable Info'!O242))</f>
        <v>241 - AW</v>
      </c>
      <c r="AR537" s="121" t="str">
        <f t="shared" si="132"/>
        <v>241 - AW</v>
      </c>
      <c r="AT537" s="121" t="str">
        <f>IF('Cable Info'!P242="","",CONCATENATE('Cable Info'!P242," - ",'Cable Info'!Q242))</f>
        <v/>
      </c>
      <c r="AW537" s="121" t="str">
        <f t="shared" si="133"/>
        <v/>
      </c>
      <c r="AY537" s="121" t="str">
        <f>IF('Cable Info'!R242="","",CONCATENATE('Cable Info'!R242," - ",'Cable Info'!S242))</f>
        <v/>
      </c>
      <c r="BB537" s="121" t="str">
        <f t="shared" si="134"/>
        <v/>
      </c>
      <c r="BD537" s="121" t="str">
        <f>IF('Cable Info'!T242="","",CONCATENATE('Cable Info'!T242," - ",'Cable Info'!U242))</f>
        <v/>
      </c>
      <c r="BG537" s="121" t="str">
        <f t="shared" si="135"/>
        <v/>
      </c>
      <c r="BI537" s="121" t="str">
        <f>IF('Cable Info'!V242="","",CONCATENATE('Cable Info'!V242," - ",'Cable Info'!W242))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str">
        <f>IF('Cable Info'!L243="","",CONCATENATE('Cable Info'!L243," - ",'Cable Info'!M243))</f>
        <v>242 - AW</v>
      </c>
      <c r="AM538" s="121" t="str">
        <f t="shared" si="131"/>
        <v>242 - AW</v>
      </c>
      <c r="AO538" s="121" t="str">
        <f>IF('Cable Info'!N243="","",CONCATENATE('Cable Info'!N243," - ",'Cable Info'!O243))</f>
        <v>242 - AW</v>
      </c>
      <c r="AR538" s="121" t="str">
        <f t="shared" si="132"/>
        <v>242 - AW</v>
      </c>
      <c r="AT538" s="121" t="str">
        <f>IF('Cable Info'!P243="","",CONCATENATE('Cable Info'!P243," - ",'Cable Info'!Q243))</f>
        <v/>
      </c>
      <c r="AW538" s="121" t="str">
        <f t="shared" si="133"/>
        <v/>
      </c>
      <c r="AY538" s="121" t="str">
        <f>IF('Cable Info'!R243="","",CONCATENATE('Cable Info'!R243," - ",'Cable Info'!S243))</f>
        <v/>
      </c>
      <c r="BB538" s="121" t="str">
        <f t="shared" si="134"/>
        <v/>
      </c>
      <c r="BD538" s="121" t="str">
        <f>IF('Cable Info'!T243="","",CONCATENATE('Cable Info'!T243," - ",'Cable Info'!U243))</f>
        <v/>
      </c>
      <c r="BG538" s="121" t="str">
        <f t="shared" si="135"/>
        <v/>
      </c>
      <c r="BI538" s="121" t="str">
        <f>IF('Cable Info'!V243="","",CONCATENATE('Cable Info'!V243," - ",'Cable Info'!W243))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str">
        <f>IF('Cable Info'!L244="","",CONCATENATE('Cable Info'!L244," - ",'Cable Info'!M244))</f>
        <v>243 - AW</v>
      </c>
      <c r="AM539" s="121" t="str">
        <f t="shared" si="131"/>
        <v>243 - AW</v>
      </c>
      <c r="AO539" s="121" t="str">
        <f>IF('Cable Info'!N244="","",CONCATENATE('Cable Info'!N244," - ",'Cable Info'!O244))</f>
        <v>243 - AW</v>
      </c>
      <c r="AR539" s="121" t="str">
        <f t="shared" si="132"/>
        <v>243 - AW</v>
      </c>
      <c r="AT539" s="121" t="str">
        <f>IF('Cable Info'!P244="","",CONCATENATE('Cable Info'!P244," - ",'Cable Info'!Q244))</f>
        <v/>
      </c>
      <c r="AW539" s="121" t="str">
        <f t="shared" si="133"/>
        <v/>
      </c>
      <c r="AY539" s="121" t="str">
        <f>IF('Cable Info'!R244="","",CONCATENATE('Cable Info'!R244," - ",'Cable Info'!S244))</f>
        <v/>
      </c>
      <c r="BB539" s="121" t="str">
        <f t="shared" si="134"/>
        <v/>
      </c>
      <c r="BD539" s="121" t="str">
        <f>IF('Cable Info'!T244="","",CONCATENATE('Cable Info'!T244," - ",'Cable Info'!U244))</f>
        <v/>
      </c>
      <c r="BG539" s="121" t="str">
        <f t="shared" si="135"/>
        <v/>
      </c>
      <c r="BI539" s="121" t="str">
        <f>IF('Cable Info'!V244="","",CONCATENATE('Cable Info'!V244," - ",'Cable Info'!W244))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str">
        <f>IF('Cable Info'!L245="","",CONCATENATE('Cable Info'!L245," - ",'Cable Info'!M245))</f>
        <v>244 - AW</v>
      </c>
      <c r="AM540" s="121" t="str">
        <f t="shared" si="131"/>
        <v>244 - AW</v>
      </c>
      <c r="AO540" s="121" t="str">
        <f>IF('Cable Info'!N245="","",CONCATENATE('Cable Info'!N245," - ",'Cable Info'!O245))</f>
        <v>244 - AW</v>
      </c>
      <c r="AR540" s="121" t="str">
        <f t="shared" si="132"/>
        <v>244 - AW</v>
      </c>
      <c r="AT540" s="121" t="str">
        <f>IF('Cable Info'!P245="","",CONCATENATE('Cable Info'!P245," - ",'Cable Info'!Q245))</f>
        <v/>
      </c>
      <c r="AW540" s="121" t="str">
        <f t="shared" si="133"/>
        <v/>
      </c>
      <c r="AY540" s="121" t="str">
        <f>IF('Cable Info'!R245="","",CONCATENATE('Cable Info'!R245," - ",'Cable Info'!S245))</f>
        <v/>
      </c>
      <c r="BB540" s="121" t="str">
        <f t="shared" si="134"/>
        <v/>
      </c>
      <c r="BD540" s="121" t="str">
        <f>IF('Cable Info'!T245="","",CONCATENATE('Cable Info'!T245," - ",'Cable Info'!U245))</f>
        <v/>
      </c>
      <c r="BG540" s="121" t="str">
        <f t="shared" si="135"/>
        <v/>
      </c>
      <c r="BI540" s="121" t="str">
        <f>IF('Cable Info'!V245="","",CONCATENATE('Cable Info'!V245," - ",'Cable Info'!W245))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str">
        <f>IF('Cable Info'!L246="","",CONCATENATE('Cable Info'!L246," - ",'Cable Info'!M246))</f>
        <v>245 - AW</v>
      </c>
      <c r="AM541" s="121" t="str">
        <f t="shared" si="131"/>
        <v>245 - AW</v>
      </c>
      <c r="AO541" s="121" t="str">
        <f>IF('Cable Info'!N246="","",CONCATENATE('Cable Info'!N246," - ",'Cable Info'!O246))</f>
        <v>245 - AW</v>
      </c>
      <c r="AR541" s="121" t="str">
        <f t="shared" si="132"/>
        <v>245 - AW</v>
      </c>
      <c r="AT541" s="121" t="str">
        <f>IF('Cable Info'!P246="","",CONCATENATE('Cable Info'!P246," - ",'Cable Info'!Q246))</f>
        <v/>
      </c>
      <c r="AW541" s="121" t="str">
        <f t="shared" si="133"/>
        <v/>
      </c>
      <c r="AY541" s="121" t="str">
        <f>IF('Cable Info'!R246="","",CONCATENATE('Cable Info'!R246," - ",'Cable Info'!S246))</f>
        <v/>
      </c>
      <c r="BB541" s="121" t="str">
        <f t="shared" si="134"/>
        <v/>
      </c>
      <c r="BD541" s="121" t="str">
        <f>IF('Cable Info'!T246="","",CONCATENATE('Cable Info'!T246," - ",'Cable Info'!U246))</f>
        <v/>
      </c>
      <c r="BG541" s="121" t="str">
        <f t="shared" si="135"/>
        <v/>
      </c>
      <c r="BI541" s="121" t="str">
        <f>IF('Cable Info'!V246="","",CONCATENATE('Cable Info'!V246," - ",'Cable Info'!W246))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str">
        <f>IF('Cable Info'!L247="","",CONCATENATE('Cable Info'!L247," - ",'Cable Info'!M247))</f>
        <v>246 - AW</v>
      </c>
      <c r="AM542" s="121" t="str">
        <f t="shared" si="131"/>
        <v>246 - AW</v>
      </c>
      <c r="AO542" s="121" t="str">
        <f>IF('Cable Info'!N247="","",CONCATENATE('Cable Info'!N247," - ",'Cable Info'!O247))</f>
        <v>246 - AW</v>
      </c>
      <c r="AR542" s="121" t="str">
        <f t="shared" si="132"/>
        <v>246 - AW</v>
      </c>
      <c r="AT542" s="121" t="str">
        <f>IF('Cable Info'!P247="","",CONCATENATE('Cable Info'!P247," - ",'Cable Info'!Q247))</f>
        <v/>
      </c>
      <c r="AW542" s="121" t="str">
        <f t="shared" si="133"/>
        <v/>
      </c>
      <c r="AY542" s="121" t="str">
        <f>IF('Cable Info'!R247="","",CONCATENATE('Cable Info'!R247," - ",'Cable Info'!S247))</f>
        <v/>
      </c>
      <c r="BB542" s="121" t="str">
        <f t="shared" si="134"/>
        <v/>
      </c>
      <c r="BD542" s="121" t="str">
        <f>IF('Cable Info'!T247="","",CONCATENATE('Cable Info'!T247," - ",'Cable Info'!U247))</f>
        <v/>
      </c>
      <c r="BG542" s="121" t="str">
        <f t="shared" si="135"/>
        <v/>
      </c>
      <c r="BI542" s="121" t="str">
        <f>IF('Cable Info'!V247="","",CONCATENATE('Cable Info'!V247," - ",'Cable Info'!W247))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str">
        <f>IF('Cable Info'!L248="","",CONCATENATE('Cable Info'!L248," - ",'Cable Info'!M248))</f>
        <v>247 - AW</v>
      </c>
      <c r="AM543" s="121" t="str">
        <f t="shared" si="131"/>
        <v>247 - AW</v>
      </c>
      <c r="AO543" s="121" t="str">
        <f>IF('Cable Info'!N248="","",CONCATENATE('Cable Info'!N248," - ",'Cable Info'!O248))</f>
        <v>247 - AW</v>
      </c>
      <c r="AR543" s="121" t="str">
        <f t="shared" si="132"/>
        <v>247 - AW</v>
      </c>
      <c r="AT543" s="121" t="str">
        <f>IF('Cable Info'!P248="","",CONCATENATE('Cable Info'!P248," - ",'Cable Info'!Q248))</f>
        <v/>
      </c>
      <c r="AW543" s="121" t="str">
        <f t="shared" si="133"/>
        <v/>
      </c>
      <c r="AY543" s="121" t="str">
        <f>IF('Cable Info'!R248="","",CONCATENATE('Cable Info'!R248," - ",'Cable Info'!S248))</f>
        <v/>
      </c>
      <c r="BB543" s="121" t="str">
        <f t="shared" si="134"/>
        <v/>
      </c>
      <c r="BD543" s="121" t="str">
        <f>IF('Cable Info'!T248="","",CONCATENATE('Cable Info'!T248," - ",'Cable Info'!U248))</f>
        <v/>
      </c>
      <c r="BG543" s="121" t="str">
        <f t="shared" si="135"/>
        <v/>
      </c>
      <c r="BI543" s="121" t="str">
        <f>IF('Cable Info'!V248="","",CONCATENATE('Cable Info'!V248," - ",'Cable Info'!W248))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str">
        <f>IF('Cable Info'!L249="","",CONCATENATE('Cable Info'!L249," - ",'Cable Info'!M249))</f>
        <v>248 - AW</v>
      </c>
      <c r="AM544" s="121" t="str">
        <f t="shared" si="131"/>
        <v>248 - AW</v>
      </c>
      <c r="AO544" s="121" t="str">
        <f>IF('Cable Info'!N249="","",CONCATENATE('Cable Info'!N249," - ",'Cable Info'!O249))</f>
        <v>248 - AW</v>
      </c>
      <c r="AR544" s="121" t="str">
        <f t="shared" si="132"/>
        <v>248 - AW</v>
      </c>
      <c r="AT544" s="121" t="str">
        <f>IF('Cable Info'!P249="","",CONCATENATE('Cable Info'!P249," - ",'Cable Info'!Q249))</f>
        <v/>
      </c>
      <c r="AW544" s="121" t="str">
        <f t="shared" si="133"/>
        <v/>
      </c>
      <c r="AY544" s="121" t="str">
        <f>IF('Cable Info'!R249="","",CONCATENATE('Cable Info'!R249," - ",'Cable Info'!S249))</f>
        <v/>
      </c>
      <c r="BB544" s="121" t="str">
        <f t="shared" si="134"/>
        <v/>
      </c>
      <c r="BD544" s="121" t="str">
        <f>IF('Cable Info'!T249="","",CONCATENATE('Cable Info'!T249," - ",'Cable Info'!U249))</f>
        <v/>
      </c>
      <c r="BG544" s="121" t="str">
        <f t="shared" si="135"/>
        <v/>
      </c>
      <c r="BI544" s="121" t="str">
        <f>IF('Cable Info'!V249="","",CONCATENATE('Cable Info'!V249," - ",'Cable Info'!W249))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str">
        <f>IF('Cable Info'!L250="","",CONCATENATE('Cable Info'!L250," - ",'Cable Info'!M250))</f>
        <v>249 - AW</v>
      </c>
      <c r="AM545" s="121" t="str">
        <f t="shared" si="131"/>
        <v>249 - AW</v>
      </c>
      <c r="AO545" s="121" t="str">
        <f>IF('Cable Info'!N250="","",CONCATENATE('Cable Info'!N250," - ",'Cable Info'!O250))</f>
        <v>249 - AW</v>
      </c>
      <c r="AR545" s="121" t="str">
        <f t="shared" si="132"/>
        <v>249 - AW</v>
      </c>
      <c r="AT545" s="121" t="str">
        <f>IF('Cable Info'!P250="","",CONCATENATE('Cable Info'!P250," - ",'Cable Info'!Q250))</f>
        <v/>
      </c>
      <c r="AW545" s="121" t="str">
        <f t="shared" si="133"/>
        <v/>
      </c>
      <c r="AY545" s="121" t="str">
        <f>IF('Cable Info'!R250="","",CONCATENATE('Cable Info'!R250," - ",'Cable Info'!S250))</f>
        <v/>
      </c>
      <c r="BB545" s="121" t="str">
        <f t="shared" si="134"/>
        <v/>
      </c>
      <c r="BD545" s="121" t="str">
        <f>IF('Cable Info'!T250="","",CONCATENATE('Cable Info'!T250," - ",'Cable Info'!U250))</f>
        <v/>
      </c>
      <c r="BG545" s="121" t="str">
        <f t="shared" si="135"/>
        <v/>
      </c>
      <c r="BI545" s="121" t="str">
        <f>IF('Cable Info'!V250="","",CONCATENATE('Cable Info'!V250," - ",'Cable Info'!W250))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str">
        <f>IF('Cable Info'!L251="","",CONCATENATE('Cable Info'!L251," - ",'Cable Info'!M251))</f>
        <v>250 - AW</v>
      </c>
      <c r="AM546" s="121" t="str">
        <f t="shared" si="131"/>
        <v>250 - AW</v>
      </c>
      <c r="AO546" s="121" t="str">
        <f>IF('Cable Info'!N251="","",CONCATENATE('Cable Info'!N251," - ",'Cable Info'!O251))</f>
        <v>250 - AW</v>
      </c>
      <c r="AR546" s="121" t="str">
        <f t="shared" si="132"/>
        <v>250 - AW</v>
      </c>
      <c r="AT546" s="121" t="str">
        <f>IF('Cable Info'!P251="","",CONCATENATE('Cable Info'!P251," - ",'Cable Info'!Q251))</f>
        <v/>
      </c>
      <c r="AW546" s="121" t="str">
        <f t="shared" si="133"/>
        <v/>
      </c>
      <c r="AY546" s="121" t="str">
        <f>IF('Cable Info'!R251="","",CONCATENATE('Cable Info'!R251," - ",'Cable Info'!S251))</f>
        <v/>
      </c>
      <c r="BB546" s="121" t="str">
        <f t="shared" si="134"/>
        <v/>
      </c>
      <c r="BD546" s="121" t="str">
        <f>IF('Cable Info'!T251="","",CONCATENATE('Cable Info'!T251," - ",'Cable Info'!U251))</f>
        <v/>
      </c>
      <c r="BG546" s="121" t="str">
        <f t="shared" si="135"/>
        <v/>
      </c>
      <c r="BI546" s="121" t="str">
        <f>IF('Cable Info'!V251="","",CONCATENATE('Cable Info'!V251," - ",'Cable Info'!W251))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str">
        <f>IF('Cable Info'!L252="","",CONCATENATE('Cable Info'!L252," - ",'Cable Info'!M252))</f>
        <v>251 - AW</v>
      </c>
      <c r="AM547" s="121" t="str">
        <f t="shared" si="131"/>
        <v>251 - AW</v>
      </c>
      <c r="AO547" s="121" t="str">
        <f>IF('Cable Info'!N252="","",CONCATENATE('Cable Info'!N252," - ",'Cable Info'!O252))</f>
        <v>251 - AW</v>
      </c>
      <c r="AR547" s="121" t="str">
        <f t="shared" si="132"/>
        <v>251 - AW</v>
      </c>
      <c r="AT547" s="121" t="str">
        <f>IF('Cable Info'!P252="","",CONCATENATE('Cable Info'!P252," - ",'Cable Info'!Q252))</f>
        <v/>
      </c>
      <c r="AW547" s="121" t="str">
        <f t="shared" si="133"/>
        <v/>
      </c>
      <c r="AY547" s="121" t="str">
        <f>IF('Cable Info'!R252="","",CONCATENATE('Cable Info'!R252," - ",'Cable Info'!S252))</f>
        <v/>
      </c>
      <c r="BB547" s="121" t="str">
        <f t="shared" si="134"/>
        <v/>
      </c>
      <c r="BD547" s="121" t="str">
        <f>IF('Cable Info'!T252="","",CONCATENATE('Cable Info'!T252," - ",'Cable Info'!U252))</f>
        <v/>
      </c>
      <c r="BG547" s="121" t="str">
        <f t="shared" si="135"/>
        <v/>
      </c>
      <c r="BI547" s="121" t="str">
        <f>IF('Cable Info'!V252="","",CONCATENATE('Cable Info'!V252," - ",'Cable Info'!W252))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str">
        <f>IF('Cable Info'!L253="","",CONCATENATE('Cable Info'!L253," - ",'Cable Info'!M253))</f>
        <v>252 - AW</v>
      </c>
      <c r="AM548" s="121" t="str">
        <f t="shared" si="131"/>
        <v>252 - AW</v>
      </c>
      <c r="AO548" s="121" t="str">
        <f>IF('Cable Info'!N253="","",CONCATENATE('Cable Info'!N253," - ",'Cable Info'!O253))</f>
        <v>252 - AW</v>
      </c>
      <c r="AR548" s="121" t="str">
        <f t="shared" si="132"/>
        <v>252 - AW</v>
      </c>
      <c r="AT548" s="121" t="str">
        <f>IF('Cable Info'!P253="","",CONCATENATE('Cable Info'!P253," - ",'Cable Info'!Q253))</f>
        <v/>
      </c>
      <c r="AW548" s="121" t="str">
        <f t="shared" si="133"/>
        <v/>
      </c>
      <c r="AY548" s="121" t="str">
        <f>IF('Cable Info'!R253="","",CONCATENATE('Cable Info'!R253," - ",'Cable Info'!S253))</f>
        <v/>
      </c>
      <c r="BB548" s="121" t="str">
        <f t="shared" si="134"/>
        <v/>
      </c>
      <c r="BD548" s="121" t="str">
        <f>IF('Cable Info'!T253="","",CONCATENATE('Cable Info'!T253," - ",'Cable Info'!U253))</f>
        <v/>
      </c>
      <c r="BG548" s="121" t="str">
        <f t="shared" si="135"/>
        <v/>
      </c>
      <c r="BI548" s="121" t="str">
        <f>IF('Cable Info'!V253="","",CONCATENATE('Cable Info'!V253," - ",'Cable Info'!W253))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str">
        <f>IF('Cable Info'!L254="","",CONCATENATE('Cable Info'!L254," - ",'Cable Info'!M254))</f>
        <v>253 - AW</v>
      </c>
      <c r="AM549" s="121" t="str">
        <f t="shared" si="131"/>
        <v>253 - AW</v>
      </c>
      <c r="AO549" s="121" t="str">
        <f>IF('Cable Info'!N254="","",CONCATENATE('Cable Info'!N254," - ",'Cable Info'!O254))</f>
        <v>253 - AW</v>
      </c>
      <c r="AR549" s="121" t="str">
        <f t="shared" si="132"/>
        <v>253 - AW</v>
      </c>
      <c r="AT549" s="121" t="str">
        <f>IF('Cable Info'!P254="","",CONCATENATE('Cable Info'!P254," - ",'Cable Info'!Q254))</f>
        <v/>
      </c>
      <c r="AW549" s="121" t="str">
        <f t="shared" si="133"/>
        <v/>
      </c>
      <c r="AY549" s="121" t="str">
        <f>IF('Cable Info'!R254="","",CONCATENATE('Cable Info'!R254," - ",'Cable Info'!S254))</f>
        <v/>
      </c>
      <c r="BB549" s="121" t="str">
        <f t="shared" si="134"/>
        <v/>
      </c>
      <c r="BD549" s="121" t="str">
        <f>IF('Cable Info'!T254="","",CONCATENATE('Cable Info'!T254," - ",'Cable Info'!U254))</f>
        <v/>
      </c>
      <c r="BG549" s="121" t="str">
        <f t="shared" si="135"/>
        <v/>
      </c>
      <c r="BI549" s="121" t="str">
        <f>IF('Cable Info'!V254="","",CONCATENATE('Cable Info'!V254," - ",'Cable Info'!W254))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str">
        <f>IF('Cable Info'!L255="","",CONCATENATE('Cable Info'!L255," - ",'Cable Info'!M255))</f>
        <v>254 - AW</v>
      </c>
      <c r="AM550" s="121" t="str">
        <f t="shared" si="131"/>
        <v>254 - AW</v>
      </c>
      <c r="AO550" s="121" t="str">
        <f>IF('Cable Info'!N255="","",CONCATENATE('Cable Info'!N255," - ",'Cable Info'!O255))</f>
        <v>254 - AW</v>
      </c>
      <c r="AR550" s="121" t="str">
        <f t="shared" si="132"/>
        <v>254 - AW</v>
      </c>
      <c r="AT550" s="121" t="str">
        <f>IF('Cable Info'!P255="","",CONCATENATE('Cable Info'!P255," - ",'Cable Info'!Q255))</f>
        <v/>
      </c>
      <c r="AW550" s="121" t="str">
        <f t="shared" si="133"/>
        <v/>
      </c>
      <c r="AY550" s="121" t="str">
        <f>IF('Cable Info'!R255="","",CONCATENATE('Cable Info'!R255," - ",'Cable Info'!S255))</f>
        <v/>
      </c>
      <c r="BB550" s="121" t="str">
        <f t="shared" si="134"/>
        <v/>
      </c>
      <c r="BD550" s="121" t="str">
        <f>IF('Cable Info'!T255="","",CONCATENATE('Cable Info'!T255," - ",'Cable Info'!U255))</f>
        <v/>
      </c>
      <c r="BG550" s="121" t="str">
        <f t="shared" si="135"/>
        <v/>
      </c>
      <c r="BI550" s="121" t="str">
        <f>IF('Cable Info'!V255="","",CONCATENATE('Cable Info'!V255," - ",'Cable Info'!W255))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str">
        <f>IF('Cable Info'!L256="","",CONCATENATE('Cable Info'!L256," - ",'Cable Info'!M256))</f>
        <v>255 - AW</v>
      </c>
      <c r="AM551" s="121" t="str">
        <f t="shared" si="131"/>
        <v>255 - AW</v>
      </c>
      <c r="AO551" s="121" t="str">
        <f>IF('Cable Info'!N256="","",CONCATENATE('Cable Info'!N256," - ",'Cable Info'!O256))</f>
        <v>255 - AW</v>
      </c>
      <c r="AR551" s="121" t="str">
        <f t="shared" si="132"/>
        <v>255 - AW</v>
      </c>
      <c r="AT551" s="121" t="str">
        <f>IF('Cable Info'!P256="","",CONCATENATE('Cable Info'!P256," - ",'Cable Info'!Q256))</f>
        <v/>
      </c>
      <c r="AW551" s="121" t="str">
        <f t="shared" si="133"/>
        <v/>
      </c>
      <c r="AY551" s="121" t="str">
        <f>IF('Cable Info'!R256="","",CONCATENATE('Cable Info'!R256," - ",'Cable Info'!S256))</f>
        <v/>
      </c>
      <c r="BB551" s="121" t="str">
        <f t="shared" si="134"/>
        <v/>
      </c>
      <c r="BD551" s="121" t="str">
        <f>IF('Cable Info'!T256="","",CONCATENATE('Cable Info'!T256," - ",'Cable Info'!U256))</f>
        <v/>
      </c>
      <c r="BG551" s="121" t="str">
        <f t="shared" si="135"/>
        <v/>
      </c>
      <c r="BI551" s="121" t="str">
        <f>IF('Cable Info'!V256="","",CONCATENATE('Cable Info'!V256," - ",'Cable Info'!W256))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str">
        <f>IF('Cable Info'!L257="","",CONCATENATE('Cable Info'!L257," - ",'Cable Info'!M257))</f>
        <v>256 - AW</v>
      </c>
      <c r="AM552" s="121" t="str">
        <f t="shared" si="131"/>
        <v>256 - AW</v>
      </c>
      <c r="AO552" s="121" t="str">
        <f>IF('Cable Info'!N257="","",CONCATENATE('Cable Info'!N257," - ",'Cable Info'!O257))</f>
        <v>256 - AW</v>
      </c>
      <c r="AR552" s="121" t="str">
        <f t="shared" si="132"/>
        <v>256 - AW</v>
      </c>
      <c r="AT552" s="121" t="str">
        <f>IF('Cable Info'!P257="","",CONCATENATE('Cable Info'!P257," - ",'Cable Info'!Q257))</f>
        <v/>
      </c>
      <c r="AW552" s="121" t="str">
        <f t="shared" si="133"/>
        <v/>
      </c>
      <c r="AY552" s="121" t="str">
        <f>IF('Cable Info'!R257="","",CONCATENATE('Cable Info'!R257," - ",'Cable Info'!S257))</f>
        <v/>
      </c>
      <c r="BB552" s="121" t="str">
        <f t="shared" si="134"/>
        <v/>
      </c>
      <c r="BD552" s="121" t="str">
        <f>IF('Cable Info'!T257="","",CONCATENATE('Cable Info'!T257," - ",'Cable Info'!U257))</f>
        <v/>
      </c>
      <c r="BG552" s="121" t="str">
        <f t="shared" si="135"/>
        <v/>
      </c>
      <c r="BI552" s="121" t="str">
        <f>IF('Cable Info'!V257="","",CONCATENATE('Cable Info'!V257," - ",'Cable Info'!W257))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str">
        <f>IF('Cable Info'!L258="","",CONCATENATE('Cable Info'!L258," - ",'Cable Info'!M258))</f>
        <v>257 - AW</v>
      </c>
      <c r="AM553" s="121" t="str">
        <f t="shared" si="131"/>
        <v>257 - AW</v>
      </c>
      <c r="AO553" s="121" t="str">
        <f>IF('Cable Info'!N258="","",CONCATENATE('Cable Info'!N258," - ",'Cable Info'!O258))</f>
        <v>257 - AW</v>
      </c>
      <c r="AR553" s="121" t="str">
        <f t="shared" si="132"/>
        <v>257 - AW</v>
      </c>
      <c r="AT553" s="121" t="str">
        <f>IF('Cable Info'!P258="","",CONCATENATE('Cable Info'!P258," - ",'Cable Info'!Q258))</f>
        <v/>
      </c>
      <c r="AW553" s="121" t="str">
        <f t="shared" si="133"/>
        <v/>
      </c>
      <c r="AY553" s="121" t="str">
        <f>IF('Cable Info'!R258="","",CONCATENATE('Cable Info'!R258," - ",'Cable Info'!S258))</f>
        <v/>
      </c>
      <c r="BB553" s="121" t="str">
        <f t="shared" si="134"/>
        <v/>
      </c>
      <c r="BD553" s="121" t="str">
        <f>IF('Cable Info'!T258="","",CONCATENATE('Cable Info'!T258," - ",'Cable Info'!U258))</f>
        <v/>
      </c>
      <c r="BG553" s="121" t="str">
        <f t="shared" si="135"/>
        <v/>
      </c>
      <c r="BI553" s="121" t="str">
        <f>IF('Cable Info'!V258="","",CONCATENATE('Cable Info'!V258," - ",'Cable Info'!W258))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str">
        <f>IF('Cable Info'!L259="","",CONCATENATE('Cable Info'!L259," - ",'Cable Info'!M259))</f>
        <v>258 - AW</v>
      </c>
      <c r="AM554" s="121" t="str">
        <f t="shared" ref="AM554:AM617" si="137">IF(AK554="",AJ554,CONCATENATE(AJ554,"  &lt;=&gt; ",AK554," ",AL554))</f>
        <v>258 - AW</v>
      </c>
      <c r="AO554" s="121" t="str">
        <f>IF('Cable Info'!N259="","",CONCATENATE('Cable Info'!N259," - ",'Cable Info'!O259))</f>
        <v>258 - AW</v>
      </c>
      <c r="AR554" s="121" t="str">
        <f t="shared" ref="AR554:AR617" si="138">IF(AP554="",AO554,CONCATENATE(AO554,"  &lt;=&gt; ",AP554," ",AQ554))</f>
        <v>258 - AW</v>
      </c>
      <c r="AT554" s="121" t="str">
        <f>IF('Cable Info'!P259="","",CONCATENATE('Cable Info'!P259," - ",'Cable Info'!Q259))</f>
        <v/>
      </c>
      <c r="AW554" s="121" t="str">
        <f t="shared" ref="AW554:AW617" si="139">IF(AU554="",AT554,CONCATENATE(AT554,"  &lt;=&gt; ",AU554," ",AV554))</f>
        <v/>
      </c>
      <c r="AY554" s="121" t="str">
        <f>IF('Cable Info'!R259="","",CONCATENATE('Cable Info'!R259," - ",'Cable Info'!S259))</f>
        <v/>
      </c>
      <c r="BB554" s="121" t="str">
        <f t="shared" ref="BB554:BB617" si="140">IF(AZ554="",AY554,CONCATENATE(AY554,"  &lt;=&gt; ",AZ554," ",BA554))</f>
        <v/>
      </c>
      <c r="BD554" s="121" t="str">
        <f>IF('Cable Info'!T259="","",CONCATENATE('Cable Info'!T259," - ",'Cable Info'!U259))</f>
        <v/>
      </c>
      <c r="BG554" s="121" t="str">
        <f t="shared" ref="BG554:BG617" si="141">IF(BE554="",BD554,CONCATENATE(BD554,"  &lt;=&gt; ",BE554," ",BF554))</f>
        <v/>
      </c>
      <c r="BI554" s="121" t="str">
        <f>IF('Cable Info'!V259="","",CONCATENATE('Cable Info'!V259," - ",'Cable Info'!W259))</f>
        <v/>
      </c>
      <c r="BL554" s="121" t="str">
        <f t="shared" ref="BL554:BL617" si="142">IF(BJ554="",BI554,CONCATENATE(BI554,"  &lt;=&gt; ",BJ554," ",BK554))</f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str">
        <f>IF('Cable Info'!L260="","",CONCATENATE('Cable Info'!L260," - ",'Cable Info'!M260))</f>
        <v>259 - AW</v>
      </c>
      <c r="AM555" s="121" t="str">
        <f t="shared" si="137"/>
        <v>259 - AW</v>
      </c>
      <c r="AO555" s="121" t="str">
        <f>IF('Cable Info'!N260="","",CONCATENATE('Cable Info'!N260," - ",'Cable Info'!O260))</f>
        <v>259 - AW</v>
      </c>
      <c r="AR555" s="121" t="str">
        <f t="shared" si="138"/>
        <v>259 - AW</v>
      </c>
      <c r="AT555" s="121" t="str">
        <f>IF('Cable Info'!P260="","",CONCATENATE('Cable Info'!P260," - ",'Cable Info'!Q260))</f>
        <v/>
      </c>
      <c r="AW555" s="121" t="str">
        <f t="shared" si="139"/>
        <v/>
      </c>
      <c r="AY555" s="121" t="str">
        <f>IF('Cable Info'!R260="","",CONCATENATE('Cable Info'!R260," - ",'Cable Info'!S260))</f>
        <v/>
      </c>
      <c r="BB555" s="121" t="str">
        <f t="shared" si="140"/>
        <v/>
      </c>
      <c r="BD555" s="121" t="str">
        <f>IF('Cable Info'!T260="","",CONCATENATE('Cable Info'!T260," - ",'Cable Info'!U260))</f>
        <v/>
      </c>
      <c r="BG555" s="121" t="str">
        <f t="shared" si="141"/>
        <v/>
      </c>
      <c r="BI555" s="121" t="str">
        <f>IF('Cable Info'!V260="","",CONCATENATE('Cable Info'!V260," - ",'Cable Info'!W260))</f>
        <v/>
      </c>
      <c r="BL555" s="121" t="str">
        <f t="shared" si="142"/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str">
        <f>IF('Cable Info'!L261="","",CONCATENATE('Cable Info'!L261," - ",'Cable Info'!M261))</f>
        <v>260 - AW</v>
      </c>
      <c r="AM556" s="121" t="str">
        <f t="shared" si="137"/>
        <v>260 - AW</v>
      </c>
      <c r="AO556" s="121" t="str">
        <f>IF('Cable Info'!N261="","",CONCATENATE('Cable Info'!N261," - ",'Cable Info'!O261))</f>
        <v>260 - AW</v>
      </c>
      <c r="AR556" s="121" t="str">
        <f t="shared" si="138"/>
        <v>260 - AW</v>
      </c>
      <c r="AT556" s="121" t="str">
        <f>IF('Cable Info'!P261="","",CONCATENATE('Cable Info'!P261," - ",'Cable Info'!Q261))</f>
        <v/>
      </c>
      <c r="AW556" s="121" t="str">
        <f t="shared" si="139"/>
        <v/>
      </c>
      <c r="AY556" s="121" t="str">
        <f>IF('Cable Info'!R261="","",CONCATENATE('Cable Info'!R261," - ",'Cable Info'!S261))</f>
        <v/>
      </c>
      <c r="BB556" s="121" t="str">
        <f t="shared" si="140"/>
        <v/>
      </c>
      <c r="BD556" s="121" t="str">
        <f>IF('Cable Info'!T261="","",CONCATENATE('Cable Info'!T261," - ",'Cable Info'!U261))</f>
        <v/>
      </c>
      <c r="BG556" s="121" t="str">
        <f t="shared" si="141"/>
        <v/>
      </c>
      <c r="BI556" s="121" t="str">
        <f>IF('Cable Info'!V261="","",CONCATENATE('Cable Info'!V261," - ",'Cable Info'!W261))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str">
        <f>IF('Cable Info'!L262="","",CONCATENATE('Cable Info'!L262," - ",'Cable Info'!M262))</f>
        <v>261 - AW</v>
      </c>
      <c r="AM557" s="121" t="str">
        <f t="shared" si="137"/>
        <v>261 - AW</v>
      </c>
      <c r="AO557" s="121" t="str">
        <f>IF('Cable Info'!N262="","",CONCATENATE('Cable Info'!N262," - ",'Cable Info'!O262))</f>
        <v>261 - AW</v>
      </c>
      <c r="AR557" s="121" t="str">
        <f t="shared" si="138"/>
        <v>261 - AW</v>
      </c>
      <c r="AT557" s="121" t="str">
        <f>IF('Cable Info'!P262="","",CONCATENATE('Cable Info'!P262," - ",'Cable Info'!Q262))</f>
        <v/>
      </c>
      <c r="AW557" s="121" t="str">
        <f t="shared" si="139"/>
        <v/>
      </c>
      <c r="AY557" s="121" t="str">
        <f>IF('Cable Info'!R262="","",CONCATENATE('Cable Info'!R262," - ",'Cable Info'!S262))</f>
        <v/>
      </c>
      <c r="BB557" s="121" t="str">
        <f t="shared" si="140"/>
        <v/>
      </c>
      <c r="BD557" s="121" t="str">
        <f>IF('Cable Info'!T262="","",CONCATENATE('Cable Info'!T262," - ",'Cable Info'!U262))</f>
        <v/>
      </c>
      <c r="BG557" s="121" t="str">
        <f t="shared" si="141"/>
        <v/>
      </c>
      <c r="BI557" s="121" t="str">
        <f>IF('Cable Info'!V262="","",CONCATENATE('Cable Info'!V262," - ",'Cable Info'!W262))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str">
        <f>IF('Cable Info'!L263="","",CONCATENATE('Cable Info'!L263," - ",'Cable Info'!M263))</f>
        <v>262 - AW</v>
      </c>
      <c r="AM558" s="121" t="str">
        <f t="shared" si="137"/>
        <v>262 - AW</v>
      </c>
      <c r="AO558" s="121" t="str">
        <f>IF('Cable Info'!N263="","",CONCATENATE('Cable Info'!N263," - ",'Cable Info'!O263))</f>
        <v>262 - AW</v>
      </c>
      <c r="AR558" s="121" t="str">
        <f t="shared" si="138"/>
        <v>262 - AW</v>
      </c>
      <c r="AT558" s="121" t="str">
        <f>IF('Cable Info'!P263="","",CONCATENATE('Cable Info'!P263," - ",'Cable Info'!Q263))</f>
        <v/>
      </c>
      <c r="AW558" s="121" t="str">
        <f t="shared" si="139"/>
        <v/>
      </c>
      <c r="AY558" s="121" t="str">
        <f>IF('Cable Info'!R263="","",CONCATENATE('Cable Info'!R263," - ",'Cable Info'!S263))</f>
        <v/>
      </c>
      <c r="BB558" s="121" t="str">
        <f t="shared" si="140"/>
        <v/>
      </c>
      <c r="BD558" s="121" t="str">
        <f>IF('Cable Info'!T263="","",CONCATENATE('Cable Info'!T263," - ",'Cable Info'!U263))</f>
        <v/>
      </c>
      <c r="BG558" s="121" t="str">
        <f t="shared" si="141"/>
        <v/>
      </c>
      <c r="BI558" s="121" t="str">
        <f>IF('Cable Info'!V263="","",CONCATENATE('Cable Info'!V263," - ",'Cable Info'!W263))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str">
        <f>IF('Cable Info'!L264="","",CONCATENATE('Cable Info'!L264," - ",'Cable Info'!M264))</f>
        <v>263 - AW</v>
      </c>
      <c r="AM559" s="121" t="str">
        <f t="shared" si="137"/>
        <v>263 - AW</v>
      </c>
      <c r="AO559" s="121" t="str">
        <f>IF('Cable Info'!N264="","",CONCATENATE('Cable Info'!N264," - ",'Cable Info'!O264))</f>
        <v>263 - AW</v>
      </c>
      <c r="AR559" s="121" t="str">
        <f t="shared" si="138"/>
        <v>263 - AW</v>
      </c>
      <c r="AT559" s="121" t="str">
        <f>IF('Cable Info'!P264="","",CONCATENATE('Cable Info'!P264," - ",'Cable Info'!Q264))</f>
        <v/>
      </c>
      <c r="AW559" s="121" t="str">
        <f t="shared" si="139"/>
        <v/>
      </c>
      <c r="AY559" s="121" t="str">
        <f>IF('Cable Info'!R264="","",CONCATENATE('Cable Info'!R264," - ",'Cable Info'!S264))</f>
        <v/>
      </c>
      <c r="BB559" s="121" t="str">
        <f t="shared" si="140"/>
        <v/>
      </c>
      <c r="BD559" s="121" t="str">
        <f>IF('Cable Info'!T264="","",CONCATENATE('Cable Info'!T264," - ",'Cable Info'!U264))</f>
        <v/>
      </c>
      <c r="BG559" s="121" t="str">
        <f t="shared" si="141"/>
        <v/>
      </c>
      <c r="BI559" s="121" t="str">
        <f>IF('Cable Info'!V264="","",CONCATENATE('Cable Info'!V264," - ",'Cable Info'!W264))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str">
        <f>IF('Cable Info'!L265="","",CONCATENATE('Cable Info'!L265," - ",'Cable Info'!M265))</f>
        <v>264 - AW</v>
      </c>
      <c r="AM560" s="121" t="str">
        <f t="shared" si="137"/>
        <v>264 - AW</v>
      </c>
      <c r="AO560" s="121" t="str">
        <f>IF('Cable Info'!N265="","",CONCATENATE('Cable Info'!N265," - ",'Cable Info'!O265))</f>
        <v>264 - AW</v>
      </c>
      <c r="AR560" s="121" t="str">
        <f t="shared" si="138"/>
        <v>264 - AW</v>
      </c>
      <c r="AT560" s="121" t="str">
        <f>IF('Cable Info'!P265="","",CONCATENATE('Cable Info'!P265," - ",'Cable Info'!Q265))</f>
        <v/>
      </c>
      <c r="AW560" s="121" t="str">
        <f t="shared" si="139"/>
        <v/>
      </c>
      <c r="AY560" s="121" t="str">
        <f>IF('Cable Info'!R265="","",CONCATENATE('Cable Info'!R265," - ",'Cable Info'!S265))</f>
        <v/>
      </c>
      <c r="BB560" s="121" t="str">
        <f t="shared" si="140"/>
        <v/>
      </c>
      <c r="BD560" s="121" t="str">
        <f>IF('Cable Info'!T265="","",CONCATENATE('Cable Info'!T265," - ",'Cable Info'!U265))</f>
        <v/>
      </c>
      <c r="BG560" s="121" t="str">
        <f t="shared" si="141"/>
        <v/>
      </c>
      <c r="BI560" s="121" t="str">
        <f>IF('Cable Info'!V265="","",CONCATENATE('Cable Info'!V265," - ",'Cable Info'!W265))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str">
        <f>IF('Cable Info'!L266="","",CONCATENATE('Cable Info'!L266," - ",'Cable Info'!M266))</f>
        <v>265 - AW</v>
      </c>
      <c r="AM561" s="121" t="str">
        <f t="shared" si="137"/>
        <v>265 - AW</v>
      </c>
      <c r="AO561" s="121" t="str">
        <f>IF('Cable Info'!N266="","",CONCATENATE('Cable Info'!N266," - ",'Cable Info'!O266))</f>
        <v>265 - AW</v>
      </c>
      <c r="AR561" s="121" t="str">
        <f t="shared" si="138"/>
        <v>265 - AW</v>
      </c>
      <c r="AT561" s="121" t="str">
        <f>IF('Cable Info'!P266="","",CONCATENATE('Cable Info'!P266," - ",'Cable Info'!Q266))</f>
        <v/>
      </c>
      <c r="AW561" s="121" t="str">
        <f t="shared" si="139"/>
        <v/>
      </c>
      <c r="AY561" s="121" t="str">
        <f>IF('Cable Info'!R266="","",CONCATENATE('Cable Info'!R266," - ",'Cable Info'!S266))</f>
        <v/>
      </c>
      <c r="BB561" s="121" t="str">
        <f t="shared" si="140"/>
        <v/>
      </c>
      <c r="BD561" s="121" t="str">
        <f>IF('Cable Info'!T266="","",CONCATENATE('Cable Info'!T266," - ",'Cable Info'!U266))</f>
        <v/>
      </c>
      <c r="BG561" s="121" t="str">
        <f t="shared" si="141"/>
        <v/>
      </c>
      <c r="BI561" s="121" t="str">
        <f>IF('Cable Info'!V266="","",CONCATENATE('Cable Info'!V266," - ",'Cable Info'!W266))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str">
        <f>IF('Cable Info'!L267="","",CONCATENATE('Cable Info'!L267," - ",'Cable Info'!M267))</f>
        <v>266 - AW</v>
      </c>
      <c r="AM562" s="121" t="str">
        <f t="shared" si="137"/>
        <v>266 - AW</v>
      </c>
      <c r="AO562" s="121" t="str">
        <f>IF('Cable Info'!N267="","",CONCATENATE('Cable Info'!N267," - ",'Cable Info'!O267))</f>
        <v>266 - AW</v>
      </c>
      <c r="AR562" s="121" t="str">
        <f t="shared" si="138"/>
        <v>266 - AW</v>
      </c>
      <c r="AT562" s="121" t="str">
        <f>IF('Cable Info'!P267="","",CONCATENATE('Cable Info'!P267," - ",'Cable Info'!Q267))</f>
        <v/>
      </c>
      <c r="AW562" s="121" t="str">
        <f t="shared" si="139"/>
        <v/>
      </c>
      <c r="AY562" s="121" t="str">
        <f>IF('Cable Info'!R267="","",CONCATENATE('Cable Info'!R267," - ",'Cable Info'!S267))</f>
        <v/>
      </c>
      <c r="BB562" s="121" t="str">
        <f t="shared" si="140"/>
        <v/>
      </c>
      <c r="BD562" s="121" t="str">
        <f>IF('Cable Info'!T267="","",CONCATENATE('Cable Info'!T267," - ",'Cable Info'!U267))</f>
        <v/>
      </c>
      <c r="BG562" s="121" t="str">
        <f t="shared" si="141"/>
        <v/>
      </c>
      <c r="BI562" s="121" t="str">
        <f>IF('Cable Info'!V267="","",CONCATENATE('Cable Info'!V267," - ",'Cable Info'!W267))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str">
        <f>IF('Cable Info'!L268="","",CONCATENATE('Cable Info'!L268," - ",'Cable Info'!M268))</f>
        <v>267 - AW</v>
      </c>
      <c r="AM563" s="121" t="str">
        <f t="shared" si="137"/>
        <v>267 - AW</v>
      </c>
      <c r="AO563" s="121" t="str">
        <f>IF('Cable Info'!N268="","",CONCATENATE('Cable Info'!N268," - ",'Cable Info'!O268))</f>
        <v>267 - AW</v>
      </c>
      <c r="AR563" s="121" t="str">
        <f t="shared" si="138"/>
        <v>267 - AW</v>
      </c>
      <c r="AT563" s="121" t="str">
        <f>IF('Cable Info'!P268="","",CONCATENATE('Cable Info'!P268," - ",'Cable Info'!Q268))</f>
        <v/>
      </c>
      <c r="AW563" s="121" t="str">
        <f t="shared" si="139"/>
        <v/>
      </c>
      <c r="AY563" s="121" t="str">
        <f>IF('Cable Info'!R268="","",CONCATENATE('Cable Info'!R268," - ",'Cable Info'!S268))</f>
        <v/>
      </c>
      <c r="BB563" s="121" t="str">
        <f t="shared" si="140"/>
        <v/>
      </c>
      <c r="BD563" s="121" t="str">
        <f>IF('Cable Info'!T268="","",CONCATENATE('Cable Info'!T268," - ",'Cable Info'!U268))</f>
        <v/>
      </c>
      <c r="BG563" s="121" t="str">
        <f t="shared" si="141"/>
        <v/>
      </c>
      <c r="BI563" s="121" t="str">
        <f>IF('Cable Info'!V268="","",CONCATENATE('Cable Info'!V268," - ",'Cable Info'!W268))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str">
        <f>IF('Cable Info'!L269="","",CONCATENATE('Cable Info'!L269," - ",'Cable Info'!M269))</f>
        <v>268 - AW</v>
      </c>
      <c r="AM564" s="121" t="str">
        <f t="shared" si="137"/>
        <v>268 - AW</v>
      </c>
      <c r="AO564" s="121" t="str">
        <f>IF('Cable Info'!N269="","",CONCATENATE('Cable Info'!N269," - ",'Cable Info'!O269))</f>
        <v>268 - AW</v>
      </c>
      <c r="AR564" s="121" t="str">
        <f t="shared" si="138"/>
        <v>268 - AW</v>
      </c>
      <c r="AT564" s="121" t="str">
        <f>IF('Cable Info'!P269="","",CONCATENATE('Cable Info'!P269," - ",'Cable Info'!Q269))</f>
        <v/>
      </c>
      <c r="AW564" s="121" t="str">
        <f t="shared" si="139"/>
        <v/>
      </c>
      <c r="AY564" s="121" t="str">
        <f>IF('Cable Info'!R269="","",CONCATENATE('Cable Info'!R269," - ",'Cable Info'!S269))</f>
        <v/>
      </c>
      <c r="BB564" s="121" t="str">
        <f t="shared" si="140"/>
        <v/>
      </c>
      <c r="BD564" s="121" t="str">
        <f>IF('Cable Info'!T269="","",CONCATENATE('Cable Info'!T269," - ",'Cable Info'!U269))</f>
        <v/>
      </c>
      <c r="BG564" s="121" t="str">
        <f t="shared" si="141"/>
        <v/>
      </c>
      <c r="BI564" s="121" t="str">
        <f>IF('Cable Info'!V269="","",CONCATENATE('Cable Info'!V269," - ",'Cable Info'!W269))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str">
        <f>IF('Cable Info'!L270="","",CONCATENATE('Cable Info'!L270," - ",'Cable Info'!M270))</f>
        <v>269 - AW</v>
      </c>
      <c r="AM565" s="121" t="str">
        <f t="shared" si="137"/>
        <v>269 - AW</v>
      </c>
      <c r="AO565" s="121" t="str">
        <f>IF('Cable Info'!N270="","",CONCATENATE('Cable Info'!N270," - ",'Cable Info'!O270))</f>
        <v>269 - AW</v>
      </c>
      <c r="AR565" s="121" t="str">
        <f t="shared" si="138"/>
        <v>269 - AW</v>
      </c>
      <c r="AT565" s="121" t="str">
        <f>IF('Cable Info'!P270="","",CONCATENATE('Cable Info'!P270," - ",'Cable Info'!Q270))</f>
        <v/>
      </c>
      <c r="AW565" s="121" t="str">
        <f t="shared" si="139"/>
        <v/>
      </c>
      <c r="AY565" s="121" t="str">
        <f>IF('Cable Info'!R270="","",CONCATENATE('Cable Info'!R270," - ",'Cable Info'!S270))</f>
        <v/>
      </c>
      <c r="BB565" s="121" t="str">
        <f t="shared" si="140"/>
        <v/>
      </c>
      <c r="BD565" s="121" t="str">
        <f>IF('Cable Info'!T270="","",CONCATENATE('Cable Info'!T270," - ",'Cable Info'!U270))</f>
        <v/>
      </c>
      <c r="BG565" s="121" t="str">
        <f t="shared" si="141"/>
        <v/>
      </c>
      <c r="BI565" s="121" t="str">
        <f>IF('Cable Info'!V270="","",CONCATENATE('Cable Info'!V270," - ",'Cable Info'!W270))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str">
        <f>IF('Cable Info'!L271="","",CONCATENATE('Cable Info'!L271," - ",'Cable Info'!M271))</f>
        <v>270 - AW</v>
      </c>
      <c r="AM566" s="121" t="str">
        <f t="shared" si="137"/>
        <v>270 - AW</v>
      </c>
      <c r="AO566" s="121" t="str">
        <f>IF('Cable Info'!N271="","",CONCATENATE('Cable Info'!N271," - ",'Cable Info'!O271))</f>
        <v>270 - AW</v>
      </c>
      <c r="AR566" s="121" t="str">
        <f t="shared" si="138"/>
        <v>270 - AW</v>
      </c>
      <c r="AT566" s="121" t="str">
        <f>IF('Cable Info'!P271="","",CONCATENATE('Cable Info'!P271," - ",'Cable Info'!Q271))</f>
        <v/>
      </c>
      <c r="AW566" s="121" t="str">
        <f t="shared" si="139"/>
        <v/>
      </c>
      <c r="AY566" s="121" t="str">
        <f>IF('Cable Info'!R271="","",CONCATENATE('Cable Info'!R271," - ",'Cable Info'!S271))</f>
        <v/>
      </c>
      <c r="BB566" s="121" t="str">
        <f t="shared" si="140"/>
        <v/>
      </c>
      <c r="BD566" s="121" t="str">
        <f>IF('Cable Info'!T271="","",CONCATENATE('Cable Info'!T271," - ",'Cable Info'!U271))</f>
        <v/>
      </c>
      <c r="BG566" s="121" t="str">
        <f t="shared" si="141"/>
        <v/>
      </c>
      <c r="BI566" s="121" t="str">
        <f>IF('Cable Info'!V271="","",CONCATENATE('Cable Info'!V271," - ",'Cable Info'!W271))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str">
        <f>IF('Cable Info'!L272="","",CONCATENATE('Cable Info'!L272," - ",'Cable Info'!M272))</f>
        <v>271 - AW</v>
      </c>
      <c r="AM567" s="121" t="str">
        <f t="shared" si="137"/>
        <v>271 - AW</v>
      </c>
      <c r="AO567" s="121" t="str">
        <f>IF('Cable Info'!N272="","",CONCATENATE('Cable Info'!N272," - ",'Cable Info'!O272))</f>
        <v>271 - AW</v>
      </c>
      <c r="AR567" s="121" t="str">
        <f t="shared" si="138"/>
        <v>271 - AW</v>
      </c>
      <c r="AT567" s="121" t="str">
        <f>IF('Cable Info'!P272="","",CONCATENATE('Cable Info'!P272," - ",'Cable Info'!Q272))</f>
        <v/>
      </c>
      <c r="AW567" s="121" t="str">
        <f t="shared" si="139"/>
        <v/>
      </c>
      <c r="AY567" s="121" t="str">
        <f>IF('Cable Info'!R272="","",CONCATENATE('Cable Info'!R272," - ",'Cable Info'!S272))</f>
        <v/>
      </c>
      <c r="BB567" s="121" t="str">
        <f t="shared" si="140"/>
        <v/>
      </c>
      <c r="BD567" s="121" t="str">
        <f>IF('Cable Info'!T272="","",CONCATENATE('Cable Info'!T272," - ",'Cable Info'!U272))</f>
        <v/>
      </c>
      <c r="BG567" s="121" t="str">
        <f t="shared" si="141"/>
        <v/>
      </c>
      <c r="BI567" s="121" t="str">
        <f>IF('Cable Info'!V272="","",CONCATENATE('Cable Info'!V272," - ",'Cable Info'!W272))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str">
        <f>IF('Cable Info'!L273="","",CONCATENATE('Cable Info'!L273," - ",'Cable Info'!M273))</f>
        <v>272 - AW</v>
      </c>
      <c r="AM568" s="121" t="str">
        <f t="shared" si="137"/>
        <v>272 - AW</v>
      </c>
      <c r="AO568" s="121" t="str">
        <f>IF('Cable Info'!N273="","",CONCATENATE('Cable Info'!N273," - ",'Cable Info'!O273))</f>
        <v>272 - AW</v>
      </c>
      <c r="AR568" s="121" t="str">
        <f t="shared" si="138"/>
        <v>272 - AW</v>
      </c>
      <c r="AT568" s="121" t="str">
        <f>IF('Cable Info'!P273="","",CONCATENATE('Cable Info'!P273," - ",'Cable Info'!Q273))</f>
        <v/>
      </c>
      <c r="AW568" s="121" t="str">
        <f t="shared" si="139"/>
        <v/>
      </c>
      <c r="AY568" s="121" t="str">
        <f>IF('Cable Info'!R273="","",CONCATENATE('Cable Info'!R273," - ",'Cable Info'!S273))</f>
        <v/>
      </c>
      <c r="BB568" s="121" t="str">
        <f t="shared" si="140"/>
        <v/>
      </c>
      <c r="BD568" s="121" t="str">
        <f>IF('Cable Info'!T273="","",CONCATENATE('Cable Info'!T273," - ",'Cable Info'!U273))</f>
        <v/>
      </c>
      <c r="BG568" s="121" t="str">
        <f t="shared" si="141"/>
        <v/>
      </c>
      <c r="BI568" s="121" t="str">
        <f>IF('Cable Info'!V273="","",CONCATENATE('Cable Info'!V273," - ",'Cable Info'!W273))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str">
        <f>IF('Cable Info'!L274="","",CONCATENATE('Cable Info'!L274," - ",'Cable Info'!M274))</f>
        <v>273 - AW</v>
      </c>
      <c r="AM569" s="121" t="str">
        <f t="shared" si="137"/>
        <v>273 - AW</v>
      </c>
      <c r="AO569" s="121" t="str">
        <f>IF('Cable Info'!N274="","",CONCATENATE('Cable Info'!N274," - ",'Cable Info'!O274))</f>
        <v>273 - AW</v>
      </c>
      <c r="AR569" s="121" t="str">
        <f t="shared" si="138"/>
        <v>273 - AW</v>
      </c>
      <c r="AT569" s="121" t="str">
        <f>IF('Cable Info'!P274="","",CONCATENATE('Cable Info'!P274," - ",'Cable Info'!Q274))</f>
        <v/>
      </c>
      <c r="AW569" s="121" t="str">
        <f t="shared" si="139"/>
        <v/>
      </c>
      <c r="AY569" s="121" t="str">
        <f>IF('Cable Info'!R274="","",CONCATENATE('Cable Info'!R274," - ",'Cable Info'!S274))</f>
        <v/>
      </c>
      <c r="BB569" s="121" t="str">
        <f t="shared" si="140"/>
        <v/>
      </c>
      <c r="BD569" s="121" t="str">
        <f>IF('Cable Info'!T274="","",CONCATENATE('Cable Info'!T274," - ",'Cable Info'!U274))</f>
        <v/>
      </c>
      <c r="BG569" s="121" t="str">
        <f t="shared" si="141"/>
        <v/>
      </c>
      <c r="BI569" s="121" t="str">
        <f>IF('Cable Info'!V274="","",CONCATENATE('Cable Info'!V274," - ",'Cable Info'!W274))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str">
        <f>IF('Cable Info'!L275="","",CONCATENATE('Cable Info'!L275," - ",'Cable Info'!M275))</f>
        <v>274 - AW</v>
      </c>
      <c r="AM570" s="121" t="str">
        <f t="shared" si="137"/>
        <v>274 - AW</v>
      </c>
      <c r="AO570" s="121" t="str">
        <f>IF('Cable Info'!N275="","",CONCATENATE('Cable Info'!N275," - ",'Cable Info'!O275))</f>
        <v>274 - AW</v>
      </c>
      <c r="AR570" s="121" t="str">
        <f t="shared" si="138"/>
        <v>274 - AW</v>
      </c>
      <c r="AT570" s="121" t="str">
        <f>IF('Cable Info'!P275="","",CONCATENATE('Cable Info'!P275," - ",'Cable Info'!Q275))</f>
        <v/>
      </c>
      <c r="AW570" s="121" t="str">
        <f t="shared" si="139"/>
        <v/>
      </c>
      <c r="AY570" s="121" t="str">
        <f>IF('Cable Info'!R275="","",CONCATENATE('Cable Info'!R275," - ",'Cable Info'!S275))</f>
        <v/>
      </c>
      <c r="BB570" s="121" t="str">
        <f t="shared" si="140"/>
        <v/>
      </c>
      <c r="BD570" s="121" t="str">
        <f>IF('Cable Info'!T275="","",CONCATENATE('Cable Info'!T275," - ",'Cable Info'!U275))</f>
        <v/>
      </c>
      <c r="BG570" s="121" t="str">
        <f t="shared" si="141"/>
        <v/>
      </c>
      <c r="BI570" s="121" t="str">
        <f>IF('Cable Info'!V275="","",CONCATENATE('Cable Info'!V275," - ",'Cable Info'!W275))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str">
        <f>IF('Cable Info'!L276="","",CONCATENATE('Cable Info'!L276," - ",'Cable Info'!M276))</f>
        <v>275 - AW</v>
      </c>
      <c r="AM571" s="121" t="str">
        <f t="shared" si="137"/>
        <v>275 - AW</v>
      </c>
      <c r="AO571" s="121" t="str">
        <f>IF('Cable Info'!N276="","",CONCATENATE('Cable Info'!N276," - ",'Cable Info'!O276))</f>
        <v>275 - AW</v>
      </c>
      <c r="AR571" s="121" t="str">
        <f t="shared" si="138"/>
        <v>275 - AW</v>
      </c>
      <c r="AT571" s="121" t="str">
        <f>IF('Cable Info'!P276="","",CONCATENATE('Cable Info'!P276," - ",'Cable Info'!Q276))</f>
        <v/>
      </c>
      <c r="AW571" s="121" t="str">
        <f t="shared" si="139"/>
        <v/>
      </c>
      <c r="AY571" s="121" t="str">
        <f>IF('Cable Info'!R276="","",CONCATENATE('Cable Info'!R276," - ",'Cable Info'!S276))</f>
        <v/>
      </c>
      <c r="BB571" s="121" t="str">
        <f t="shared" si="140"/>
        <v/>
      </c>
      <c r="BD571" s="121" t="str">
        <f>IF('Cable Info'!T276="","",CONCATENATE('Cable Info'!T276," - ",'Cable Info'!U276))</f>
        <v/>
      </c>
      <c r="BG571" s="121" t="str">
        <f t="shared" si="141"/>
        <v/>
      </c>
      <c r="BI571" s="121" t="str">
        <f>IF('Cable Info'!V276="","",CONCATENATE('Cable Info'!V276," - ",'Cable Info'!W276))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str">
        <f>IF('Cable Info'!L277="","",CONCATENATE('Cable Info'!L277," - ",'Cable Info'!M277))</f>
        <v>276 - AW</v>
      </c>
      <c r="AM572" s="121" t="str">
        <f t="shared" si="137"/>
        <v>276 - AW</v>
      </c>
      <c r="AO572" s="121" t="str">
        <f>IF('Cable Info'!N277="","",CONCATENATE('Cable Info'!N277," - ",'Cable Info'!O277))</f>
        <v>276 - AW</v>
      </c>
      <c r="AR572" s="121" t="str">
        <f t="shared" si="138"/>
        <v>276 - AW</v>
      </c>
      <c r="AT572" s="121" t="str">
        <f>IF('Cable Info'!P277="","",CONCATENATE('Cable Info'!P277," - ",'Cable Info'!Q277))</f>
        <v/>
      </c>
      <c r="AW572" s="121" t="str">
        <f t="shared" si="139"/>
        <v/>
      </c>
      <c r="AY572" s="121" t="str">
        <f>IF('Cable Info'!R277="","",CONCATENATE('Cable Info'!R277," - ",'Cable Info'!S277))</f>
        <v/>
      </c>
      <c r="BB572" s="121" t="str">
        <f t="shared" si="140"/>
        <v/>
      </c>
      <c r="BD572" s="121" t="str">
        <f>IF('Cable Info'!T277="","",CONCATENATE('Cable Info'!T277," - ",'Cable Info'!U277))</f>
        <v/>
      </c>
      <c r="BG572" s="121" t="str">
        <f t="shared" si="141"/>
        <v/>
      </c>
      <c r="BI572" s="121" t="str">
        <f>IF('Cable Info'!V277="","",CONCATENATE('Cable Info'!V277," - ",'Cable Info'!W277))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str">
        <f>IF('Cable Info'!L278="","",CONCATENATE('Cable Info'!L278," - ",'Cable Info'!M278))</f>
        <v>277 - AW</v>
      </c>
      <c r="AM573" s="121" t="str">
        <f t="shared" si="137"/>
        <v>277 - AW</v>
      </c>
      <c r="AO573" s="121" t="str">
        <f>IF('Cable Info'!N278="","",CONCATENATE('Cable Info'!N278," - ",'Cable Info'!O278))</f>
        <v>277 - AW</v>
      </c>
      <c r="AR573" s="121" t="str">
        <f t="shared" si="138"/>
        <v>277 - AW</v>
      </c>
      <c r="AT573" s="121" t="str">
        <f>IF('Cable Info'!P278="","",CONCATENATE('Cable Info'!P278," - ",'Cable Info'!Q278))</f>
        <v/>
      </c>
      <c r="AW573" s="121" t="str">
        <f t="shared" si="139"/>
        <v/>
      </c>
      <c r="AY573" s="121" t="str">
        <f>IF('Cable Info'!R278="","",CONCATENATE('Cable Info'!R278," - ",'Cable Info'!S278))</f>
        <v/>
      </c>
      <c r="BB573" s="121" t="str">
        <f t="shared" si="140"/>
        <v/>
      </c>
      <c r="BD573" s="121" t="str">
        <f>IF('Cable Info'!T278="","",CONCATENATE('Cable Info'!T278," - ",'Cable Info'!U278))</f>
        <v/>
      </c>
      <c r="BG573" s="121" t="str">
        <f t="shared" si="141"/>
        <v/>
      </c>
      <c r="BI573" s="121" t="str">
        <f>IF('Cable Info'!V278="","",CONCATENATE('Cable Info'!V278," - ",'Cable Info'!W278))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str">
        <f>IF('Cable Info'!L279="","",CONCATENATE('Cable Info'!L279," - ",'Cable Info'!M279))</f>
        <v>278 - AW</v>
      </c>
      <c r="AM574" s="121" t="str">
        <f t="shared" si="137"/>
        <v>278 - AW</v>
      </c>
      <c r="AO574" s="121" t="str">
        <f>IF('Cable Info'!N279="","",CONCATENATE('Cable Info'!N279," - ",'Cable Info'!O279))</f>
        <v>278 - AW</v>
      </c>
      <c r="AR574" s="121" t="str">
        <f t="shared" si="138"/>
        <v>278 - AW</v>
      </c>
      <c r="AT574" s="121" t="str">
        <f>IF('Cable Info'!P279="","",CONCATENATE('Cable Info'!P279," - ",'Cable Info'!Q279))</f>
        <v/>
      </c>
      <c r="AW574" s="121" t="str">
        <f t="shared" si="139"/>
        <v/>
      </c>
      <c r="AY574" s="121" t="str">
        <f>IF('Cable Info'!R279="","",CONCATENATE('Cable Info'!R279," - ",'Cable Info'!S279))</f>
        <v/>
      </c>
      <c r="BB574" s="121" t="str">
        <f t="shared" si="140"/>
        <v/>
      </c>
      <c r="BD574" s="121" t="str">
        <f>IF('Cable Info'!T279="","",CONCATENATE('Cable Info'!T279," - ",'Cable Info'!U279))</f>
        <v/>
      </c>
      <c r="BG574" s="121" t="str">
        <f t="shared" si="141"/>
        <v/>
      </c>
      <c r="BI574" s="121" t="str">
        <f>IF('Cable Info'!V279="","",CONCATENATE('Cable Info'!V279," - ",'Cable Info'!W279))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str">
        <f>IF('Cable Info'!L280="","",CONCATENATE('Cable Info'!L280," - ",'Cable Info'!M280))</f>
        <v>279 - AW</v>
      </c>
      <c r="AM575" s="121" t="str">
        <f t="shared" si="137"/>
        <v>279 - AW</v>
      </c>
      <c r="AO575" s="121" t="str">
        <f>IF('Cable Info'!N280="","",CONCATENATE('Cable Info'!N280," - ",'Cable Info'!O280))</f>
        <v>279 - AW</v>
      </c>
      <c r="AR575" s="121" t="str">
        <f t="shared" si="138"/>
        <v>279 - AW</v>
      </c>
      <c r="AT575" s="121" t="str">
        <f>IF('Cable Info'!P280="","",CONCATENATE('Cable Info'!P280," - ",'Cable Info'!Q280))</f>
        <v/>
      </c>
      <c r="AW575" s="121" t="str">
        <f t="shared" si="139"/>
        <v/>
      </c>
      <c r="AY575" s="121" t="str">
        <f>IF('Cable Info'!R280="","",CONCATENATE('Cable Info'!R280," - ",'Cable Info'!S280))</f>
        <v/>
      </c>
      <c r="BB575" s="121" t="str">
        <f t="shared" si="140"/>
        <v/>
      </c>
      <c r="BD575" s="121" t="str">
        <f>IF('Cable Info'!T280="","",CONCATENATE('Cable Info'!T280," - ",'Cable Info'!U280))</f>
        <v/>
      </c>
      <c r="BG575" s="121" t="str">
        <f t="shared" si="141"/>
        <v/>
      </c>
      <c r="BI575" s="121" t="str">
        <f>IF('Cable Info'!V280="","",CONCATENATE('Cable Info'!V280," - ",'Cable Info'!W280))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str">
        <f>IF('Cable Info'!L281="","",CONCATENATE('Cable Info'!L281," - ",'Cable Info'!M281))</f>
        <v>280 - AW</v>
      </c>
      <c r="AM576" s="121" t="str">
        <f t="shared" si="137"/>
        <v>280 - AW</v>
      </c>
      <c r="AO576" s="121" t="str">
        <f>IF('Cable Info'!N281="","",CONCATENATE('Cable Info'!N281," - ",'Cable Info'!O281))</f>
        <v>280 - AW</v>
      </c>
      <c r="AR576" s="121" t="str">
        <f t="shared" si="138"/>
        <v>280 - AW</v>
      </c>
      <c r="AT576" s="121" t="str">
        <f>IF('Cable Info'!P281="","",CONCATENATE('Cable Info'!P281," - ",'Cable Info'!Q281))</f>
        <v/>
      </c>
      <c r="AW576" s="121" t="str">
        <f t="shared" si="139"/>
        <v/>
      </c>
      <c r="AY576" s="121" t="str">
        <f>IF('Cable Info'!R281="","",CONCATENATE('Cable Info'!R281," - ",'Cable Info'!S281))</f>
        <v/>
      </c>
      <c r="BB576" s="121" t="str">
        <f t="shared" si="140"/>
        <v/>
      </c>
      <c r="BD576" s="121" t="str">
        <f>IF('Cable Info'!T281="","",CONCATENATE('Cable Info'!T281," - ",'Cable Info'!U281))</f>
        <v/>
      </c>
      <c r="BG576" s="121" t="str">
        <f t="shared" si="141"/>
        <v/>
      </c>
      <c r="BI576" s="121" t="str">
        <f>IF('Cable Info'!V281="","",CONCATENATE('Cable Info'!V281," - ",'Cable Info'!W281))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str">
        <f>IF('Cable Info'!L282="","",CONCATENATE('Cable Info'!L282," - ",'Cable Info'!M282))</f>
        <v>281 - AW</v>
      </c>
      <c r="AM577" s="121" t="str">
        <f t="shared" si="137"/>
        <v>281 - AW</v>
      </c>
      <c r="AO577" s="121" t="str">
        <f>IF('Cable Info'!N282="","",CONCATENATE('Cable Info'!N282," - ",'Cable Info'!O282))</f>
        <v>281 - AW</v>
      </c>
      <c r="AR577" s="121" t="str">
        <f t="shared" si="138"/>
        <v>281 - AW</v>
      </c>
      <c r="AT577" s="121" t="str">
        <f>IF('Cable Info'!P282="","",CONCATENATE('Cable Info'!P282," - ",'Cable Info'!Q282))</f>
        <v/>
      </c>
      <c r="AW577" s="121" t="str">
        <f t="shared" si="139"/>
        <v/>
      </c>
      <c r="AY577" s="121" t="str">
        <f>IF('Cable Info'!R282="","",CONCATENATE('Cable Info'!R282," - ",'Cable Info'!S282))</f>
        <v/>
      </c>
      <c r="BB577" s="121" t="str">
        <f t="shared" si="140"/>
        <v/>
      </c>
      <c r="BD577" s="121" t="str">
        <f>IF('Cable Info'!T282="","",CONCATENATE('Cable Info'!T282," - ",'Cable Info'!U282))</f>
        <v/>
      </c>
      <c r="BG577" s="121" t="str">
        <f t="shared" si="141"/>
        <v/>
      </c>
      <c r="BI577" s="121" t="str">
        <f>IF('Cable Info'!V282="","",CONCATENATE('Cable Info'!V282," - ",'Cable Info'!W282))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str">
        <f>IF('Cable Info'!L283="","",CONCATENATE('Cable Info'!L283," - ",'Cable Info'!M283))</f>
        <v>282 - AW</v>
      </c>
      <c r="AM578" s="121" t="str">
        <f t="shared" si="137"/>
        <v>282 - AW</v>
      </c>
      <c r="AO578" s="121" t="str">
        <f>IF('Cable Info'!N283="","",CONCATENATE('Cable Info'!N283," - ",'Cable Info'!O283))</f>
        <v>282 - AW</v>
      </c>
      <c r="AR578" s="121" t="str">
        <f t="shared" si="138"/>
        <v>282 - AW</v>
      </c>
      <c r="AT578" s="121" t="str">
        <f>IF('Cable Info'!P283="","",CONCATENATE('Cable Info'!P283," - ",'Cable Info'!Q283))</f>
        <v/>
      </c>
      <c r="AW578" s="121" t="str">
        <f t="shared" si="139"/>
        <v/>
      </c>
      <c r="AY578" s="121" t="str">
        <f>IF('Cable Info'!R283="","",CONCATENATE('Cable Info'!R283," - ",'Cable Info'!S283))</f>
        <v/>
      </c>
      <c r="BB578" s="121" t="str">
        <f t="shared" si="140"/>
        <v/>
      </c>
      <c r="BD578" s="121" t="str">
        <f>IF('Cable Info'!T283="","",CONCATENATE('Cable Info'!T283," - ",'Cable Info'!U283))</f>
        <v/>
      </c>
      <c r="BG578" s="121" t="str">
        <f t="shared" si="141"/>
        <v/>
      </c>
      <c r="BI578" s="121" t="str">
        <f>IF('Cable Info'!V283="","",CONCATENATE('Cable Info'!V283," - ",'Cable Info'!W283))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str">
        <f>IF('Cable Info'!L284="","",CONCATENATE('Cable Info'!L284," - ",'Cable Info'!M284))</f>
        <v>283 - AW</v>
      </c>
      <c r="AM579" s="121" t="str">
        <f t="shared" si="137"/>
        <v>283 - AW</v>
      </c>
      <c r="AO579" s="121" t="str">
        <f>IF('Cable Info'!N284="","",CONCATENATE('Cable Info'!N284," - ",'Cable Info'!O284))</f>
        <v>283 - AW</v>
      </c>
      <c r="AR579" s="121" t="str">
        <f t="shared" si="138"/>
        <v>283 - AW</v>
      </c>
      <c r="AT579" s="121" t="str">
        <f>IF('Cable Info'!P284="","",CONCATENATE('Cable Info'!P284," - ",'Cable Info'!Q284))</f>
        <v/>
      </c>
      <c r="AW579" s="121" t="str">
        <f t="shared" si="139"/>
        <v/>
      </c>
      <c r="AY579" s="121" t="str">
        <f>IF('Cable Info'!R284="","",CONCATENATE('Cable Info'!R284," - ",'Cable Info'!S284))</f>
        <v/>
      </c>
      <c r="BB579" s="121" t="str">
        <f t="shared" si="140"/>
        <v/>
      </c>
      <c r="BD579" s="121" t="str">
        <f>IF('Cable Info'!T284="","",CONCATENATE('Cable Info'!T284," - ",'Cable Info'!U284))</f>
        <v/>
      </c>
      <c r="BG579" s="121" t="str">
        <f t="shared" si="141"/>
        <v/>
      </c>
      <c r="BI579" s="121" t="str">
        <f>IF('Cable Info'!V284="","",CONCATENATE('Cable Info'!V284," - ",'Cable Info'!W284))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str">
        <f>IF('Cable Info'!L285="","",CONCATENATE('Cable Info'!L285," - ",'Cable Info'!M285))</f>
        <v>284 - AW</v>
      </c>
      <c r="AM580" s="121" t="str">
        <f t="shared" si="137"/>
        <v>284 - AW</v>
      </c>
      <c r="AO580" s="121" t="str">
        <f>IF('Cable Info'!N285="","",CONCATENATE('Cable Info'!N285," - ",'Cable Info'!O285))</f>
        <v>284 - AW</v>
      </c>
      <c r="AR580" s="121" t="str">
        <f t="shared" si="138"/>
        <v>284 - AW</v>
      </c>
      <c r="AT580" s="121" t="str">
        <f>IF('Cable Info'!P285="","",CONCATENATE('Cable Info'!P285," - ",'Cable Info'!Q285))</f>
        <v/>
      </c>
      <c r="AW580" s="121" t="str">
        <f t="shared" si="139"/>
        <v/>
      </c>
      <c r="AY580" s="121" t="str">
        <f>IF('Cable Info'!R285="","",CONCATENATE('Cable Info'!R285," - ",'Cable Info'!S285))</f>
        <v/>
      </c>
      <c r="BB580" s="121" t="str">
        <f t="shared" si="140"/>
        <v/>
      </c>
      <c r="BD580" s="121" t="str">
        <f>IF('Cable Info'!T285="","",CONCATENATE('Cable Info'!T285," - ",'Cable Info'!U285))</f>
        <v/>
      </c>
      <c r="BG580" s="121" t="str">
        <f t="shared" si="141"/>
        <v/>
      </c>
      <c r="BI580" s="121" t="str">
        <f>IF('Cable Info'!V285="","",CONCATENATE('Cable Info'!V285," - ",'Cable Info'!W285))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str">
        <f>IF('Cable Info'!L286="","",CONCATENATE('Cable Info'!L286," - ",'Cable Info'!M286))</f>
        <v>285 - AW</v>
      </c>
      <c r="AM581" s="121" t="str">
        <f t="shared" si="137"/>
        <v>285 - AW</v>
      </c>
      <c r="AO581" s="121" t="str">
        <f>IF('Cable Info'!N286="","",CONCATENATE('Cable Info'!N286," - ",'Cable Info'!O286))</f>
        <v>285 - AW</v>
      </c>
      <c r="AR581" s="121" t="str">
        <f t="shared" si="138"/>
        <v>285 - AW</v>
      </c>
      <c r="AT581" s="121" t="str">
        <f>IF('Cable Info'!P286="","",CONCATENATE('Cable Info'!P286," - ",'Cable Info'!Q286))</f>
        <v/>
      </c>
      <c r="AW581" s="121" t="str">
        <f t="shared" si="139"/>
        <v/>
      </c>
      <c r="AY581" s="121" t="str">
        <f>IF('Cable Info'!R286="","",CONCATENATE('Cable Info'!R286," - ",'Cable Info'!S286))</f>
        <v/>
      </c>
      <c r="BB581" s="121" t="str">
        <f t="shared" si="140"/>
        <v/>
      </c>
      <c r="BD581" s="121" t="str">
        <f>IF('Cable Info'!T286="","",CONCATENATE('Cable Info'!T286," - ",'Cable Info'!U286))</f>
        <v/>
      </c>
      <c r="BG581" s="121" t="str">
        <f t="shared" si="141"/>
        <v/>
      </c>
      <c r="BI581" s="121" t="str">
        <f>IF('Cable Info'!V286="","",CONCATENATE('Cable Info'!V286," - ",'Cable Info'!W286))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str">
        <f>IF('Cable Info'!L287="","",CONCATENATE('Cable Info'!L287," - ",'Cable Info'!M287))</f>
        <v>286 - AW</v>
      </c>
      <c r="AM582" s="121" t="str">
        <f t="shared" si="137"/>
        <v>286 - AW</v>
      </c>
      <c r="AO582" s="121" t="str">
        <f>IF('Cable Info'!N287="","",CONCATENATE('Cable Info'!N287," - ",'Cable Info'!O287))</f>
        <v>286 - AW</v>
      </c>
      <c r="AR582" s="121" t="str">
        <f t="shared" si="138"/>
        <v>286 - AW</v>
      </c>
      <c r="AT582" s="121" t="str">
        <f>IF('Cable Info'!P287="","",CONCATENATE('Cable Info'!P287," - ",'Cable Info'!Q287))</f>
        <v/>
      </c>
      <c r="AW582" s="121" t="str">
        <f t="shared" si="139"/>
        <v/>
      </c>
      <c r="AY582" s="121" t="str">
        <f>IF('Cable Info'!R287="","",CONCATENATE('Cable Info'!R287," - ",'Cable Info'!S287))</f>
        <v/>
      </c>
      <c r="BB582" s="121" t="str">
        <f t="shared" si="140"/>
        <v/>
      </c>
      <c r="BD582" s="121" t="str">
        <f>IF('Cable Info'!T287="","",CONCATENATE('Cable Info'!T287," - ",'Cable Info'!U287))</f>
        <v/>
      </c>
      <c r="BG582" s="121" t="str">
        <f t="shared" si="141"/>
        <v/>
      </c>
      <c r="BI582" s="121" t="str">
        <f>IF('Cable Info'!V287="","",CONCATENATE('Cable Info'!V287," - ",'Cable Info'!W287))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str">
        <f>IF('Cable Info'!L288="","",CONCATENATE('Cable Info'!L288," - ",'Cable Info'!M288))</f>
        <v>287 - AW</v>
      </c>
      <c r="AM583" s="121" t="str">
        <f t="shared" si="137"/>
        <v>287 - AW</v>
      </c>
      <c r="AO583" s="121" t="str">
        <f>IF('Cable Info'!N288="","",CONCATENATE('Cable Info'!N288," - ",'Cable Info'!O288))</f>
        <v>287 - AW</v>
      </c>
      <c r="AR583" s="121" t="str">
        <f t="shared" si="138"/>
        <v>287 - AW</v>
      </c>
      <c r="AT583" s="121" t="str">
        <f>IF('Cable Info'!P288="","",CONCATENATE('Cable Info'!P288," - ",'Cable Info'!Q288))</f>
        <v/>
      </c>
      <c r="AW583" s="121" t="str">
        <f t="shared" si="139"/>
        <v/>
      </c>
      <c r="AY583" s="121" t="str">
        <f>IF('Cable Info'!R288="","",CONCATENATE('Cable Info'!R288," - ",'Cable Info'!S288))</f>
        <v/>
      </c>
      <c r="BB583" s="121" t="str">
        <f t="shared" si="140"/>
        <v/>
      </c>
      <c r="BD583" s="121" t="str">
        <f>IF('Cable Info'!T288="","",CONCATENATE('Cable Info'!T288," - ",'Cable Info'!U288))</f>
        <v/>
      </c>
      <c r="BG583" s="121" t="str">
        <f t="shared" si="141"/>
        <v/>
      </c>
      <c r="BI583" s="121" t="str">
        <f>IF('Cable Info'!V288="","",CONCATENATE('Cable Info'!V288," - ",'Cable Info'!W288))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str">
        <f>IF('Cable Info'!L289="","",CONCATENATE('Cable Info'!L289," - ",'Cable Info'!M289))</f>
        <v>288 - AW</v>
      </c>
      <c r="AM584" s="121" t="str">
        <f t="shared" si="137"/>
        <v>288 - AW</v>
      </c>
      <c r="AO584" s="121" t="str">
        <f>IF('Cable Info'!N289="","",CONCATENATE('Cable Info'!N289," - ",'Cable Info'!O289))</f>
        <v>288 - AW</v>
      </c>
      <c r="AR584" s="121" t="str">
        <f t="shared" si="138"/>
        <v>288 - AW</v>
      </c>
      <c r="AT584" s="121" t="str">
        <f>IF('Cable Info'!P289="","",CONCATENATE('Cable Info'!P289," - ",'Cable Info'!Q289))</f>
        <v/>
      </c>
      <c r="AW584" s="121" t="str">
        <f t="shared" si="139"/>
        <v/>
      </c>
      <c r="AY584" s="121" t="str">
        <f>IF('Cable Info'!R289="","",CONCATENATE('Cable Info'!R289," - ",'Cable Info'!S289))</f>
        <v/>
      </c>
      <c r="BB584" s="121" t="str">
        <f t="shared" si="140"/>
        <v/>
      </c>
      <c r="BD584" s="121" t="str">
        <f>IF('Cable Info'!T289="","",CONCATENATE('Cable Info'!T289," - ",'Cable Info'!U289))</f>
        <v/>
      </c>
      <c r="BG584" s="121" t="str">
        <f t="shared" si="141"/>
        <v/>
      </c>
      <c r="BI584" s="121" t="str">
        <f>IF('Cable Info'!V289="","",CONCATENATE('Cable Info'!V289," - ",'Cable Info'!W289))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str">
        <f>IF('Cable Info'!L290="","",CONCATENATE('Cable Info'!L290," - ",'Cable Info'!M290))</f>
        <v>289 - AW</v>
      </c>
      <c r="AM585" s="121" t="str">
        <f t="shared" si="137"/>
        <v>289 - AW</v>
      </c>
      <c r="AO585" s="121" t="str">
        <f>IF('Cable Info'!N290="","",CONCATENATE('Cable Info'!N290," - ",'Cable Info'!O290))</f>
        <v>289 - AW</v>
      </c>
      <c r="AR585" s="121" t="str">
        <f t="shared" si="138"/>
        <v>289 - AW</v>
      </c>
      <c r="AT585" s="121" t="str">
        <f>IF('Cable Info'!P290="","",CONCATENATE('Cable Info'!P290," - ",'Cable Info'!Q290))</f>
        <v/>
      </c>
      <c r="AW585" s="121" t="str">
        <f t="shared" si="139"/>
        <v/>
      </c>
      <c r="AY585" s="121" t="str">
        <f>IF('Cable Info'!R290="","",CONCATENATE('Cable Info'!R290," - ",'Cable Info'!S290))</f>
        <v/>
      </c>
      <c r="BB585" s="121" t="str">
        <f t="shared" si="140"/>
        <v/>
      </c>
      <c r="BD585" s="121" t="str">
        <f>IF('Cable Info'!T290="","",CONCATENATE('Cable Info'!T290," - ",'Cable Info'!U290))</f>
        <v/>
      </c>
      <c r="BG585" s="121" t="str">
        <f t="shared" si="141"/>
        <v/>
      </c>
      <c r="BI585" s="121" t="str">
        <f>IF('Cable Info'!V290="","",CONCATENATE('Cable Info'!V290," - ",'Cable Info'!W290))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str">
        <f>IF('Cable Info'!L291="","",CONCATENATE('Cable Info'!L291," - ",'Cable Info'!M291))</f>
        <v>290 - AW</v>
      </c>
      <c r="AM586" s="121" t="str">
        <f t="shared" si="137"/>
        <v>290 - AW</v>
      </c>
      <c r="AO586" s="121" t="str">
        <f>IF('Cable Info'!N291="","",CONCATENATE('Cable Info'!N291," - ",'Cable Info'!O291))</f>
        <v>290 - AW</v>
      </c>
      <c r="AR586" s="121" t="str">
        <f t="shared" si="138"/>
        <v>290 - AW</v>
      </c>
      <c r="AT586" s="121" t="str">
        <f>IF('Cable Info'!P291="","",CONCATENATE('Cable Info'!P291," - ",'Cable Info'!Q291))</f>
        <v/>
      </c>
      <c r="AW586" s="121" t="str">
        <f t="shared" si="139"/>
        <v/>
      </c>
      <c r="AY586" s="121" t="str">
        <f>IF('Cable Info'!R291="","",CONCATENATE('Cable Info'!R291," - ",'Cable Info'!S291))</f>
        <v/>
      </c>
      <c r="BB586" s="121" t="str">
        <f t="shared" si="140"/>
        <v/>
      </c>
      <c r="BD586" s="121" t="str">
        <f>IF('Cable Info'!T291="","",CONCATENATE('Cable Info'!T291," - ",'Cable Info'!U291))</f>
        <v/>
      </c>
      <c r="BG586" s="121" t="str">
        <f t="shared" si="141"/>
        <v/>
      </c>
      <c r="BI586" s="121" t="str">
        <f>IF('Cable Info'!V291="","",CONCATENATE('Cable Info'!V291," - ",'Cable Info'!W291))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str">
        <f>IF('Cable Info'!L292="","",CONCATENATE('Cable Info'!L292," - ",'Cable Info'!M292))</f>
        <v>291 - AW</v>
      </c>
      <c r="AM587" s="121" t="str">
        <f t="shared" si="137"/>
        <v>291 - AW</v>
      </c>
      <c r="AO587" s="121" t="str">
        <f>IF('Cable Info'!N292="","",CONCATENATE('Cable Info'!N292," - ",'Cable Info'!O292))</f>
        <v>291 - AW</v>
      </c>
      <c r="AR587" s="121" t="str">
        <f t="shared" si="138"/>
        <v>291 - AW</v>
      </c>
      <c r="AT587" s="121" t="str">
        <f>IF('Cable Info'!P292="","",CONCATENATE('Cable Info'!P292," - ",'Cable Info'!Q292))</f>
        <v/>
      </c>
      <c r="AW587" s="121" t="str">
        <f t="shared" si="139"/>
        <v/>
      </c>
      <c r="AY587" s="121" t="str">
        <f>IF('Cable Info'!R292="","",CONCATENATE('Cable Info'!R292," - ",'Cable Info'!S292))</f>
        <v/>
      </c>
      <c r="BB587" s="121" t="str">
        <f t="shared" si="140"/>
        <v/>
      </c>
      <c r="BD587" s="121" t="str">
        <f>IF('Cable Info'!T292="","",CONCATENATE('Cable Info'!T292," - ",'Cable Info'!U292))</f>
        <v/>
      </c>
      <c r="BG587" s="121" t="str">
        <f t="shared" si="141"/>
        <v/>
      </c>
      <c r="BI587" s="121" t="str">
        <f>IF('Cable Info'!V292="","",CONCATENATE('Cable Info'!V292," - ",'Cable Info'!W292))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str">
        <f>IF('Cable Info'!L293="","",CONCATENATE('Cable Info'!L293," - ",'Cable Info'!M293))</f>
        <v>292 - AW</v>
      </c>
      <c r="AM588" s="121" t="str">
        <f t="shared" si="137"/>
        <v>292 - AW</v>
      </c>
      <c r="AO588" s="121" t="str">
        <f>IF('Cable Info'!N293="","",CONCATENATE('Cable Info'!N293," - ",'Cable Info'!O293))</f>
        <v>292 - AW</v>
      </c>
      <c r="AR588" s="121" t="str">
        <f t="shared" si="138"/>
        <v>292 - AW</v>
      </c>
      <c r="AT588" s="121" t="str">
        <f>IF('Cable Info'!P293="","",CONCATENATE('Cable Info'!P293," - ",'Cable Info'!Q293))</f>
        <v/>
      </c>
      <c r="AW588" s="121" t="str">
        <f t="shared" si="139"/>
        <v/>
      </c>
      <c r="AY588" s="121" t="str">
        <f>IF('Cable Info'!R293="","",CONCATENATE('Cable Info'!R293," - ",'Cable Info'!S293))</f>
        <v/>
      </c>
      <c r="BB588" s="121" t="str">
        <f t="shared" si="140"/>
        <v/>
      </c>
      <c r="BD588" s="121" t="str">
        <f>IF('Cable Info'!T293="","",CONCATENATE('Cable Info'!T293," - ",'Cable Info'!U293))</f>
        <v/>
      </c>
      <c r="BG588" s="121" t="str">
        <f t="shared" si="141"/>
        <v/>
      </c>
      <c r="BI588" s="121" t="str">
        <f>IF('Cable Info'!V293="","",CONCATENATE('Cable Info'!V293," - ",'Cable Info'!W293))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str">
        <f>IF('Cable Info'!L294="","",CONCATENATE('Cable Info'!L294," - ",'Cable Info'!M294))</f>
        <v>293 - AW</v>
      </c>
      <c r="AM589" s="121" t="str">
        <f t="shared" si="137"/>
        <v>293 - AW</v>
      </c>
      <c r="AO589" s="121" t="str">
        <f>IF('Cable Info'!N294="","",CONCATENATE('Cable Info'!N294," - ",'Cable Info'!O294))</f>
        <v>293 - AW</v>
      </c>
      <c r="AR589" s="121" t="str">
        <f t="shared" si="138"/>
        <v>293 - AW</v>
      </c>
      <c r="AT589" s="121" t="str">
        <f>IF('Cable Info'!P294="","",CONCATENATE('Cable Info'!P294," - ",'Cable Info'!Q294))</f>
        <v/>
      </c>
      <c r="AW589" s="121" t="str">
        <f t="shared" si="139"/>
        <v/>
      </c>
      <c r="AY589" s="121" t="str">
        <f>IF('Cable Info'!R294="","",CONCATENATE('Cable Info'!R294," - ",'Cable Info'!S294))</f>
        <v/>
      </c>
      <c r="BB589" s="121" t="str">
        <f t="shared" si="140"/>
        <v/>
      </c>
      <c r="BD589" s="121" t="str">
        <f>IF('Cable Info'!T294="","",CONCATENATE('Cable Info'!T294," - ",'Cable Info'!U294))</f>
        <v/>
      </c>
      <c r="BG589" s="121" t="str">
        <f t="shared" si="141"/>
        <v/>
      </c>
      <c r="BI589" s="121" t="str">
        <f>IF('Cable Info'!V294="","",CONCATENATE('Cable Info'!V294," - ",'Cable Info'!W294))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str">
        <f>IF('Cable Info'!L295="","",CONCATENATE('Cable Info'!L295," - ",'Cable Info'!M295))</f>
        <v>294 - AW</v>
      </c>
      <c r="AM590" s="121" t="str">
        <f t="shared" si="137"/>
        <v>294 - AW</v>
      </c>
      <c r="AO590" s="121" t="str">
        <f>IF('Cable Info'!N295="","",CONCATENATE('Cable Info'!N295," - ",'Cable Info'!O295))</f>
        <v>294 - AW</v>
      </c>
      <c r="AR590" s="121" t="str">
        <f t="shared" si="138"/>
        <v>294 - AW</v>
      </c>
      <c r="AT590" s="121" t="str">
        <f>IF('Cable Info'!P295="","",CONCATENATE('Cable Info'!P295," - ",'Cable Info'!Q295))</f>
        <v/>
      </c>
      <c r="AW590" s="121" t="str">
        <f t="shared" si="139"/>
        <v/>
      </c>
      <c r="AY590" s="121" t="str">
        <f>IF('Cable Info'!R295="","",CONCATENATE('Cable Info'!R295," - ",'Cable Info'!S295))</f>
        <v/>
      </c>
      <c r="BB590" s="121" t="str">
        <f t="shared" si="140"/>
        <v/>
      </c>
      <c r="BD590" s="121" t="str">
        <f>IF('Cable Info'!T295="","",CONCATENATE('Cable Info'!T295," - ",'Cable Info'!U295))</f>
        <v/>
      </c>
      <c r="BG590" s="121" t="str">
        <f t="shared" si="141"/>
        <v/>
      </c>
      <c r="BI590" s="121" t="str">
        <f>IF('Cable Info'!V295="","",CONCATENATE('Cable Info'!V295," - ",'Cable Info'!W295))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str">
        <f>IF('Cable Info'!L296="","",CONCATENATE('Cable Info'!L296," - ",'Cable Info'!M296))</f>
        <v>295 - AW</v>
      </c>
      <c r="AM591" s="121" t="str">
        <f t="shared" si="137"/>
        <v>295 - AW</v>
      </c>
      <c r="AO591" s="121" t="str">
        <f>IF('Cable Info'!N296="","",CONCATENATE('Cable Info'!N296," - ",'Cable Info'!O296))</f>
        <v>295 - AW</v>
      </c>
      <c r="AR591" s="121" t="str">
        <f t="shared" si="138"/>
        <v>295 - AW</v>
      </c>
      <c r="AT591" s="121" t="str">
        <f>IF('Cable Info'!P296="","",CONCATENATE('Cable Info'!P296," - ",'Cable Info'!Q296))</f>
        <v/>
      </c>
      <c r="AW591" s="121" t="str">
        <f t="shared" si="139"/>
        <v/>
      </c>
      <c r="AY591" s="121" t="str">
        <f>IF('Cable Info'!R296="","",CONCATENATE('Cable Info'!R296," - ",'Cable Info'!S296))</f>
        <v/>
      </c>
      <c r="BB591" s="121" t="str">
        <f t="shared" si="140"/>
        <v/>
      </c>
      <c r="BD591" s="121" t="str">
        <f>IF('Cable Info'!T296="","",CONCATENATE('Cable Info'!T296," - ",'Cable Info'!U296))</f>
        <v/>
      </c>
      <c r="BG591" s="121" t="str">
        <f t="shared" si="141"/>
        <v/>
      </c>
      <c r="BI591" s="121" t="str">
        <f>IF('Cable Info'!V296="","",CONCATENATE('Cable Info'!V296," - ",'Cable Info'!W296))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str">
        <f>IF('Cable Info'!L297="","",CONCATENATE('Cable Info'!L297," - ",'Cable Info'!M297))</f>
        <v>296 - AW</v>
      </c>
      <c r="AM592" s="121" t="str">
        <f t="shared" si="137"/>
        <v>296 - AW</v>
      </c>
      <c r="AO592" s="121" t="str">
        <f>IF('Cable Info'!N297="","",CONCATENATE('Cable Info'!N297," - ",'Cable Info'!O297))</f>
        <v>296 - AW</v>
      </c>
      <c r="AR592" s="121" t="str">
        <f t="shared" si="138"/>
        <v>296 - AW</v>
      </c>
      <c r="AT592" s="121" t="str">
        <f>IF('Cable Info'!P297="","",CONCATENATE('Cable Info'!P297," - ",'Cable Info'!Q297))</f>
        <v/>
      </c>
      <c r="AW592" s="121" t="str">
        <f t="shared" si="139"/>
        <v/>
      </c>
      <c r="AY592" s="121" t="str">
        <f>IF('Cable Info'!R297="","",CONCATENATE('Cable Info'!R297," - ",'Cable Info'!S297))</f>
        <v/>
      </c>
      <c r="BB592" s="121" t="str">
        <f t="shared" si="140"/>
        <v/>
      </c>
      <c r="BD592" s="121" t="str">
        <f>IF('Cable Info'!T297="","",CONCATENATE('Cable Info'!T297," - ",'Cable Info'!U297))</f>
        <v/>
      </c>
      <c r="BG592" s="121" t="str">
        <f t="shared" si="141"/>
        <v/>
      </c>
      <c r="BI592" s="121" t="str">
        <f>IF('Cable Info'!V297="","",CONCATENATE('Cable Info'!V297," - ",'Cable Info'!W297))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str">
        <f>IF('Cable Info'!L298="","",CONCATENATE('Cable Info'!L298," - ",'Cable Info'!M298))</f>
        <v>297 - AW</v>
      </c>
      <c r="AM593" s="121" t="str">
        <f t="shared" si="137"/>
        <v>297 - AW</v>
      </c>
      <c r="AO593" s="121" t="str">
        <f>IF('Cable Info'!N298="","",CONCATENATE('Cable Info'!N298," - ",'Cable Info'!O298))</f>
        <v>297 - AW</v>
      </c>
      <c r="AR593" s="121" t="str">
        <f t="shared" si="138"/>
        <v>297 - AW</v>
      </c>
      <c r="AT593" s="121" t="str">
        <f>IF('Cable Info'!P298="","",CONCATENATE('Cable Info'!P298," - ",'Cable Info'!Q298))</f>
        <v/>
      </c>
      <c r="AW593" s="121" t="str">
        <f t="shared" si="139"/>
        <v/>
      </c>
      <c r="AY593" s="121" t="str">
        <f>IF('Cable Info'!R298="","",CONCATENATE('Cable Info'!R298," - ",'Cable Info'!S298))</f>
        <v/>
      </c>
      <c r="BB593" s="121" t="str">
        <f t="shared" si="140"/>
        <v/>
      </c>
      <c r="BD593" s="121" t="str">
        <f>IF('Cable Info'!T298="","",CONCATENATE('Cable Info'!T298," - ",'Cable Info'!U298))</f>
        <v/>
      </c>
      <c r="BG593" s="121" t="str">
        <f t="shared" si="141"/>
        <v/>
      </c>
      <c r="BI593" s="121" t="str">
        <f>IF('Cable Info'!V298="","",CONCATENATE('Cable Info'!V298," - ",'Cable Info'!W298))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str">
        <f>IF('Cable Info'!L299="","",CONCATENATE('Cable Info'!L299," - ",'Cable Info'!M299))</f>
        <v>298 - AW</v>
      </c>
      <c r="AM594" s="121" t="str">
        <f t="shared" si="137"/>
        <v>298 - AW</v>
      </c>
      <c r="AO594" s="121" t="str">
        <f>IF('Cable Info'!N299="","",CONCATENATE('Cable Info'!N299," - ",'Cable Info'!O299))</f>
        <v>298 - AW</v>
      </c>
      <c r="AR594" s="121" t="str">
        <f t="shared" si="138"/>
        <v>298 - AW</v>
      </c>
      <c r="AT594" s="121" t="str">
        <f>IF('Cable Info'!P299="","",CONCATENATE('Cable Info'!P299," - ",'Cable Info'!Q299))</f>
        <v/>
      </c>
      <c r="AW594" s="121" t="str">
        <f t="shared" si="139"/>
        <v/>
      </c>
      <c r="AY594" s="121" t="str">
        <f>IF('Cable Info'!R299="","",CONCATENATE('Cable Info'!R299," - ",'Cable Info'!S299))</f>
        <v/>
      </c>
      <c r="BB594" s="121" t="str">
        <f t="shared" si="140"/>
        <v/>
      </c>
      <c r="BD594" s="121" t="str">
        <f>IF('Cable Info'!T299="","",CONCATENATE('Cable Info'!T299," - ",'Cable Info'!U299))</f>
        <v/>
      </c>
      <c r="BG594" s="121" t="str">
        <f t="shared" si="141"/>
        <v/>
      </c>
      <c r="BI594" s="121" t="str">
        <f>IF('Cable Info'!V299="","",CONCATENATE('Cable Info'!V299," - ",'Cable Info'!W299))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str">
        <f>IF('Cable Info'!L300="","",CONCATENATE('Cable Info'!L300," - ",'Cable Info'!M300))</f>
        <v>299 - AW</v>
      </c>
      <c r="AM595" s="121" t="str">
        <f t="shared" si="137"/>
        <v>299 - AW</v>
      </c>
      <c r="AO595" s="121" t="str">
        <f>IF('Cable Info'!N300="","",CONCATENATE('Cable Info'!N300," - ",'Cable Info'!O300))</f>
        <v>299 - AW</v>
      </c>
      <c r="AR595" s="121" t="str">
        <f t="shared" si="138"/>
        <v>299 - AW</v>
      </c>
      <c r="AT595" s="121" t="str">
        <f>IF('Cable Info'!P300="","",CONCATENATE('Cable Info'!P300," - ",'Cable Info'!Q300))</f>
        <v/>
      </c>
      <c r="AW595" s="121" t="str">
        <f t="shared" si="139"/>
        <v/>
      </c>
      <c r="AY595" s="121" t="str">
        <f>IF('Cable Info'!R300="","",CONCATENATE('Cable Info'!R300," - ",'Cable Info'!S300))</f>
        <v/>
      </c>
      <c r="BB595" s="121" t="str">
        <f t="shared" si="140"/>
        <v/>
      </c>
      <c r="BD595" s="121" t="str">
        <f>IF('Cable Info'!T300="","",CONCATENATE('Cable Info'!T300," - ",'Cable Info'!U300))</f>
        <v/>
      </c>
      <c r="BG595" s="121" t="str">
        <f t="shared" si="141"/>
        <v/>
      </c>
      <c r="BI595" s="121" t="str">
        <f>IF('Cable Info'!V300="","",CONCATENATE('Cable Info'!V300," - ",'Cable Info'!W300))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str">
        <f>IF('Cable Info'!L301="","",CONCATENATE('Cable Info'!L301," - ",'Cable Info'!M301))</f>
        <v>300 - AW</v>
      </c>
      <c r="AM596" s="121" t="str">
        <f t="shared" si="137"/>
        <v>300 - AW</v>
      </c>
      <c r="AO596" s="121" t="str">
        <f>IF('Cable Info'!N301="","",CONCATENATE('Cable Info'!N301," - ",'Cable Info'!O301))</f>
        <v>300 - AW</v>
      </c>
      <c r="AR596" s="121" t="str">
        <f t="shared" si="138"/>
        <v>300 - AW</v>
      </c>
      <c r="AT596" s="121" t="str">
        <f>IF('Cable Info'!P301="","",CONCATENATE('Cable Info'!P301," - ",'Cable Info'!Q301))</f>
        <v/>
      </c>
      <c r="AW596" s="121" t="str">
        <f t="shared" si="139"/>
        <v/>
      </c>
      <c r="AY596" s="121" t="str">
        <f>IF('Cable Info'!R301="","",CONCATENATE('Cable Info'!R301," - ",'Cable Info'!S301))</f>
        <v/>
      </c>
      <c r="BB596" s="121" t="str">
        <f t="shared" si="140"/>
        <v/>
      </c>
      <c r="BD596" s="121" t="str">
        <f>IF('Cable Info'!T301="","",CONCATENATE('Cable Info'!T301," - ",'Cable Info'!U301))</f>
        <v/>
      </c>
      <c r="BG596" s="121" t="str">
        <f t="shared" si="141"/>
        <v/>
      </c>
      <c r="BI596" s="121" t="str">
        <f>IF('Cable Info'!V301="","",CONCATENATE('Cable Info'!V301," - ",'Cable Info'!W301))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str">
        <f>IF('Cable Info'!L302="","",CONCATENATE('Cable Info'!L302," - ",'Cable Info'!M302))</f>
        <v>301 - AW</v>
      </c>
      <c r="AM597" s="121" t="str">
        <f t="shared" si="137"/>
        <v>301 - AW</v>
      </c>
      <c r="AO597" s="121" t="str">
        <f>IF('Cable Info'!N302="","",CONCATENATE('Cable Info'!N302," - ",'Cable Info'!O302))</f>
        <v>301 - AW</v>
      </c>
      <c r="AR597" s="121" t="str">
        <f t="shared" si="138"/>
        <v>301 - AW</v>
      </c>
      <c r="AT597" s="121" t="str">
        <f>IF('Cable Info'!P302="","",CONCATENATE('Cable Info'!P302," - ",'Cable Info'!Q302))</f>
        <v/>
      </c>
      <c r="AW597" s="121" t="str">
        <f t="shared" si="139"/>
        <v/>
      </c>
      <c r="AY597" s="121" t="str">
        <f>IF('Cable Info'!R302="","",CONCATENATE('Cable Info'!R302," - ",'Cable Info'!S302))</f>
        <v/>
      </c>
      <c r="BB597" s="121" t="str">
        <f t="shared" si="140"/>
        <v/>
      </c>
      <c r="BD597" s="121" t="str">
        <f>IF('Cable Info'!T302="","",CONCATENATE('Cable Info'!T302," - ",'Cable Info'!U302))</f>
        <v/>
      </c>
      <c r="BG597" s="121" t="str">
        <f t="shared" si="141"/>
        <v/>
      </c>
      <c r="BI597" s="121" t="str">
        <f>IF('Cable Info'!V302="","",CONCATENATE('Cable Info'!V302," - ",'Cable Info'!W302))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str">
        <f>IF('Cable Info'!L303="","",CONCATENATE('Cable Info'!L303," - ",'Cable Info'!M303))</f>
        <v>302 - AW</v>
      </c>
      <c r="AM598" s="121" t="str">
        <f t="shared" si="137"/>
        <v>302 - AW</v>
      </c>
      <c r="AO598" s="121" t="str">
        <f>IF('Cable Info'!N303="","",CONCATENATE('Cable Info'!N303," - ",'Cable Info'!O303))</f>
        <v>302 - AW</v>
      </c>
      <c r="AR598" s="121" t="str">
        <f t="shared" si="138"/>
        <v>302 - AW</v>
      </c>
      <c r="AT598" s="121" t="str">
        <f>IF('Cable Info'!P303="","",CONCATENATE('Cable Info'!P303," - ",'Cable Info'!Q303))</f>
        <v/>
      </c>
      <c r="AW598" s="121" t="str">
        <f t="shared" si="139"/>
        <v/>
      </c>
      <c r="AY598" s="121" t="str">
        <f>IF('Cable Info'!R303="","",CONCATENATE('Cable Info'!R303," - ",'Cable Info'!S303))</f>
        <v/>
      </c>
      <c r="BB598" s="121" t="str">
        <f t="shared" si="140"/>
        <v/>
      </c>
      <c r="BD598" s="121" t="str">
        <f>IF('Cable Info'!T303="","",CONCATENATE('Cable Info'!T303," - ",'Cable Info'!U303))</f>
        <v/>
      </c>
      <c r="BG598" s="121" t="str">
        <f t="shared" si="141"/>
        <v/>
      </c>
      <c r="BI598" s="121" t="str">
        <f>IF('Cable Info'!V303="","",CONCATENATE('Cable Info'!V303," - ",'Cable Info'!W303))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str">
        <f>IF('Cable Info'!L304="","",CONCATENATE('Cable Info'!L304," - ",'Cable Info'!M304))</f>
        <v>303 - AW</v>
      </c>
      <c r="AM599" s="121" t="str">
        <f t="shared" si="137"/>
        <v>303 - AW</v>
      </c>
      <c r="AO599" s="121" t="str">
        <f>IF('Cable Info'!N304="","",CONCATENATE('Cable Info'!N304," - ",'Cable Info'!O304))</f>
        <v>303 - AW</v>
      </c>
      <c r="AR599" s="121" t="str">
        <f t="shared" si="138"/>
        <v>303 - AW</v>
      </c>
      <c r="AT599" s="121" t="str">
        <f>IF('Cable Info'!P304="","",CONCATENATE('Cable Info'!P304," - ",'Cable Info'!Q304))</f>
        <v/>
      </c>
      <c r="AW599" s="121" t="str">
        <f t="shared" si="139"/>
        <v/>
      </c>
      <c r="AY599" s="121" t="str">
        <f>IF('Cable Info'!R304="","",CONCATENATE('Cable Info'!R304," - ",'Cable Info'!S304))</f>
        <v/>
      </c>
      <c r="BB599" s="121" t="str">
        <f t="shared" si="140"/>
        <v/>
      </c>
      <c r="BD599" s="121" t="str">
        <f>IF('Cable Info'!T304="","",CONCATENATE('Cable Info'!T304," - ",'Cable Info'!U304))</f>
        <v/>
      </c>
      <c r="BG599" s="121" t="str">
        <f t="shared" si="141"/>
        <v/>
      </c>
      <c r="BI599" s="121" t="str">
        <f>IF('Cable Info'!V304="","",CONCATENATE('Cable Info'!V304," - ",'Cable Info'!W304))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str">
        <f>IF('Cable Info'!L305="","",CONCATENATE('Cable Info'!L305," - ",'Cable Info'!M305))</f>
        <v>304 - AW</v>
      </c>
      <c r="AM600" s="121" t="str">
        <f t="shared" si="137"/>
        <v>304 - AW</v>
      </c>
      <c r="AO600" s="121" t="str">
        <f>IF('Cable Info'!N305="","",CONCATENATE('Cable Info'!N305," - ",'Cable Info'!O305))</f>
        <v>304 - AW</v>
      </c>
      <c r="AR600" s="121" t="str">
        <f t="shared" si="138"/>
        <v>304 - AW</v>
      </c>
      <c r="AT600" s="121" t="str">
        <f>IF('Cable Info'!P305="","",CONCATENATE('Cable Info'!P305," - ",'Cable Info'!Q305))</f>
        <v/>
      </c>
      <c r="AW600" s="121" t="str">
        <f t="shared" si="139"/>
        <v/>
      </c>
      <c r="AY600" s="121" t="str">
        <f>IF('Cable Info'!R305="","",CONCATENATE('Cable Info'!R305," - ",'Cable Info'!S305))</f>
        <v/>
      </c>
      <c r="BB600" s="121" t="str">
        <f t="shared" si="140"/>
        <v/>
      </c>
      <c r="BD600" s="121" t="str">
        <f>IF('Cable Info'!T305="","",CONCATENATE('Cable Info'!T305," - ",'Cable Info'!U305))</f>
        <v/>
      </c>
      <c r="BG600" s="121" t="str">
        <f t="shared" si="141"/>
        <v/>
      </c>
      <c r="BI600" s="121" t="str">
        <f>IF('Cable Info'!V305="","",CONCATENATE('Cable Info'!V305," - ",'Cable Info'!W305))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str">
        <f>IF('Cable Info'!L306="","",CONCATENATE('Cable Info'!L306," - ",'Cable Info'!M306))</f>
        <v>305 - AW</v>
      </c>
      <c r="AM601" s="121" t="str">
        <f t="shared" si="137"/>
        <v>305 - AW</v>
      </c>
      <c r="AO601" s="121" t="str">
        <f>IF('Cable Info'!N306="","",CONCATENATE('Cable Info'!N306," - ",'Cable Info'!O306))</f>
        <v>305 - AW</v>
      </c>
      <c r="AR601" s="121" t="str">
        <f t="shared" si="138"/>
        <v>305 - AW</v>
      </c>
      <c r="AT601" s="121" t="str">
        <f>IF('Cable Info'!P306="","",CONCATENATE('Cable Info'!P306," - ",'Cable Info'!Q306))</f>
        <v/>
      </c>
      <c r="AW601" s="121" t="str">
        <f t="shared" si="139"/>
        <v/>
      </c>
      <c r="AY601" s="121" t="str">
        <f>IF('Cable Info'!R306="","",CONCATENATE('Cable Info'!R306," - ",'Cable Info'!S306))</f>
        <v/>
      </c>
      <c r="BB601" s="121" t="str">
        <f t="shared" si="140"/>
        <v/>
      </c>
      <c r="BD601" s="121" t="str">
        <f>IF('Cable Info'!T306="","",CONCATENATE('Cable Info'!T306," - ",'Cable Info'!U306))</f>
        <v/>
      </c>
      <c r="BG601" s="121" t="str">
        <f t="shared" si="141"/>
        <v/>
      </c>
      <c r="BI601" s="121" t="str">
        <f>IF('Cable Info'!V306="","",CONCATENATE('Cable Info'!V306," - ",'Cable Info'!W306))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str">
        <f>IF('Cable Info'!L307="","",CONCATENATE('Cable Info'!L307," - ",'Cable Info'!M307))</f>
        <v>306 - AW</v>
      </c>
      <c r="AM602" s="121" t="str">
        <f t="shared" si="137"/>
        <v>306 - AW</v>
      </c>
      <c r="AO602" s="121" t="str">
        <f>IF('Cable Info'!N307="","",CONCATENATE('Cable Info'!N307," - ",'Cable Info'!O307))</f>
        <v>306 - AW</v>
      </c>
      <c r="AR602" s="121" t="str">
        <f t="shared" si="138"/>
        <v>306 - AW</v>
      </c>
      <c r="AT602" s="121" t="str">
        <f>IF('Cable Info'!P307="","",CONCATENATE('Cable Info'!P307," - ",'Cable Info'!Q307))</f>
        <v/>
      </c>
      <c r="AW602" s="121" t="str">
        <f t="shared" si="139"/>
        <v/>
      </c>
      <c r="AY602" s="121" t="str">
        <f>IF('Cable Info'!R307="","",CONCATENATE('Cable Info'!R307," - ",'Cable Info'!S307))</f>
        <v/>
      </c>
      <c r="BB602" s="121" t="str">
        <f t="shared" si="140"/>
        <v/>
      </c>
      <c r="BD602" s="121" t="str">
        <f>IF('Cable Info'!T307="","",CONCATENATE('Cable Info'!T307," - ",'Cable Info'!U307))</f>
        <v/>
      </c>
      <c r="BG602" s="121" t="str">
        <f t="shared" si="141"/>
        <v/>
      </c>
      <c r="BI602" s="121" t="str">
        <f>IF('Cable Info'!V307="","",CONCATENATE('Cable Info'!V307," - ",'Cable Info'!W307))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str">
        <f>IF('Cable Info'!L308="","",CONCATENATE('Cable Info'!L308," - ",'Cable Info'!M308))</f>
        <v>307 - AW</v>
      </c>
      <c r="AM603" s="121" t="str">
        <f t="shared" si="137"/>
        <v>307 - AW</v>
      </c>
      <c r="AO603" s="121" t="str">
        <f>IF('Cable Info'!N308="","",CONCATENATE('Cable Info'!N308," - ",'Cable Info'!O308))</f>
        <v>307 - AW</v>
      </c>
      <c r="AR603" s="121" t="str">
        <f t="shared" si="138"/>
        <v>307 - AW</v>
      </c>
      <c r="AT603" s="121" t="str">
        <f>IF('Cable Info'!P308="","",CONCATENATE('Cable Info'!P308," - ",'Cable Info'!Q308))</f>
        <v/>
      </c>
      <c r="AW603" s="121" t="str">
        <f t="shared" si="139"/>
        <v/>
      </c>
      <c r="AY603" s="121" t="str">
        <f>IF('Cable Info'!R308="","",CONCATENATE('Cable Info'!R308," - ",'Cable Info'!S308))</f>
        <v/>
      </c>
      <c r="BB603" s="121" t="str">
        <f t="shared" si="140"/>
        <v/>
      </c>
      <c r="BD603" s="121" t="str">
        <f>IF('Cable Info'!T308="","",CONCATENATE('Cable Info'!T308," - ",'Cable Info'!U308))</f>
        <v/>
      </c>
      <c r="BG603" s="121" t="str">
        <f t="shared" si="141"/>
        <v/>
      </c>
      <c r="BI603" s="121" t="str">
        <f>IF('Cable Info'!V308="","",CONCATENATE('Cable Info'!V308," - ",'Cable Info'!W308))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str">
        <f>IF('Cable Info'!L309="","",CONCATENATE('Cable Info'!L309," - ",'Cable Info'!M309))</f>
        <v>308 - AW</v>
      </c>
      <c r="AM604" s="121" t="str">
        <f t="shared" si="137"/>
        <v>308 - AW</v>
      </c>
      <c r="AO604" s="121" t="str">
        <f>IF('Cable Info'!N309="","",CONCATENATE('Cable Info'!N309," - ",'Cable Info'!O309))</f>
        <v>308 - AW</v>
      </c>
      <c r="AR604" s="121" t="str">
        <f t="shared" si="138"/>
        <v>308 - AW</v>
      </c>
      <c r="AT604" s="121" t="str">
        <f>IF('Cable Info'!P309="","",CONCATENATE('Cable Info'!P309," - ",'Cable Info'!Q309))</f>
        <v/>
      </c>
      <c r="AW604" s="121" t="str">
        <f t="shared" si="139"/>
        <v/>
      </c>
      <c r="AY604" s="121" t="str">
        <f>IF('Cable Info'!R309="","",CONCATENATE('Cable Info'!R309," - ",'Cable Info'!S309))</f>
        <v/>
      </c>
      <c r="BB604" s="121" t="str">
        <f t="shared" si="140"/>
        <v/>
      </c>
      <c r="BD604" s="121" t="str">
        <f>IF('Cable Info'!T309="","",CONCATENATE('Cable Info'!T309," - ",'Cable Info'!U309))</f>
        <v/>
      </c>
      <c r="BG604" s="121" t="str">
        <f t="shared" si="141"/>
        <v/>
      </c>
      <c r="BI604" s="121" t="str">
        <f>IF('Cable Info'!V309="","",CONCATENATE('Cable Info'!V309," - ",'Cable Info'!W309))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str">
        <f>IF('Cable Info'!L310="","",CONCATENATE('Cable Info'!L310," - ",'Cable Info'!M310))</f>
        <v>309 - AW</v>
      </c>
      <c r="AM605" s="121" t="str">
        <f t="shared" si="137"/>
        <v>309 - AW</v>
      </c>
      <c r="AO605" s="121" t="str">
        <f>IF('Cable Info'!N310="","",CONCATENATE('Cable Info'!N310," - ",'Cable Info'!O310))</f>
        <v>309 - AW</v>
      </c>
      <c r="AR605" s="121" t="str">
        <f t="shared" si="138"/>
        <v>309 - AW</v>
      </c>
      <c r="AT605" s="121" t="str">
        <f>IF('Cable Info'!P310="","",CONCATENATE('Cable Info'!P310," - ",'Cable Info'!Q310))</f>
        <v/>
      </c>
      <c r="AW605" s="121" t="str">
        <f t="shared" si="139"/>
        <v/>
      </c>
      <c r="AY605" s="121" t="str">
        <f>IF('Cable Info'!R310="","",CONCATENATE('Cable Info'!R310," - ",'Cable Info'!S310))</f>
        <v/>
      </c>
      <c r="BB605" s="121" t="str">
        <f t="shared" si="140"/>
        <v/>
      </c>
      <c r="BD605" s="121" t="str">
        <f>IF('Cable Info'!T310="","",CONCATENATE('Cable Info'!T310," - ",'Cable Info'!U310))</f>
        <v/>
      </c>
      <c r="BG605" s="121" t="str">
        <f t="shared" si="141"/>
        <v/>
      </c>
      <c r="BI605" s="121" t="str">
        <f>IF('Cable Info'!V310="","",CONCATENATE('Cable Info'!V310," - ",'Cable Info'!W310))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str">
        <f>IF('Cable Info'!L311="","",CONCATENATE('Cable Info'!L311," - ",'Cable Info'!M311))</f>
        <v>310 - AW</v>
      </c>
      <c r="AM606" s="121" t="str">
        <f t="shared" si="137"/>
        <v>310 - AW</v>
      </c>
      <c r="AO606" s="121" t="str">
        <f>IF('Cable Info'!N311="","",CONCATENATE('Cable Info'!N311," - ",'Cable Info'!O311))</f>
        <v>310 - AW</v>
      </c>
      <c r="AR606" s="121" t="str">
        <f t="shared" si="138"/>
        <v>310 - AW</v>
      </c>
      <c r="AT606" s="121" t="str">
        <f>IF('Cable Info'!P311="","",CONCATENATE('Cable Info'!P311," - ",'Cable Info'!Q311))</f>
        <v/>
      </c>
      <c r="AW606" s="121" t="str">
        <f t="shared" si="139"/>
        <v/>
      </c>
      <c r="AY606" s="121" t="str">
        <f>IF('Cable Info'!R311="","",CONCATENATE('Cable Info'!R311," - ",'Cable Info'!S311))</f>
        <v/>
      </c>
      <c r="BB606" s="121" t="str">
        <f t="shared" si="140"/>
        <v/>
      </c>
      <c r="BD606" s="121" t="str">
        <f>IF('Cable Info'!T311="","",CONCATENATE('Cable Info'!T311," - ",'Cable Info'!U311))</f>
        <v/>
      </c>
      <c r="BG606" s="121" t="str">
        <f t="shared" si="141"/>
        <v/>
      </c>
      <c r="BI606" s="121" t="str">
        <f>IF('Cable Info'!V311="","",CONCATENATE('Cable Info'!V311," - ",'Cable Info'!W311))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str">
        <f>IF('Cable Info'!L312="","",CONCATENATE('Cable Info'!L312," - ",'Cable Info'!M312))</f>
        <v>311 - AW</v>
      </c>
      <c r="AM607" s="121" t="str">
        <f t="shared" si="137"/>
        <v>311 - AW</v>
      </c>
      <c r="AO607" s="121" t="str">
        <f>IF('Cable Info'!N312="","",CONCATENATE('Cable Info'!N312," - ",'Cable Info'!O312))</f>
        <v>311 - AW</v>
      </c>
      <c r="AR607" s="121" t="str">
        <f t="shared" si="138"/>
        <v>311 - AW</v>
      </c>
      <c r="AT607" s="121" t="str">
        <f>IF('Cable Info'!P312="","",CONCATENATE('Cable Info'!P312," - ",'Cable Info'!Q312))</f>
        <v/>
      </c>
      <c r="AW607" s="121" t="str">
        <f t="shared" si="139"/>
        <v/>
      </c>
      <c r="AY607" s="121" t="str">
        <f>IF('Cable Info'!R312="","",CONCATENATE('Cable Info'!R312," - ",'Cable Info'!S312))</f>
        <v/>
      </c>
      <c r="BB607" s="121" t="str">
        <f t="shared" si="140"/>
        <v/>
      </c>
      <c r="BD607" s="121" t="str">
        <f>IF('Cable Info'!T312="","",CONCATENATE('Cable Info'!T312," - ",'Cable Info'!U312))</f>
        <v/>
      </c>
      <c r="BG607" s="121" t="str">
        <f t="shared" si="141"/>
        <v/>
      </c>
      <c r="BI607" s="121" t="str">
        <f>IF('Cable Info'!V312="","",CONCATENATE('Cable Info'!V312," - ",'Cable Info'!W312))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str">
        <f>IF('Cable Info'!L313="","",CONCATENATE('Cable Info'!L313," - ",'Cable Info'!M313))</f>
        <v>312 - AW</v>
      </c>
      <c r="AM608" s="121" t="str">
        <f t="shared" si="137"/>
        <v>312 - AW</v>
      </c>
      <c r="AO608" s="121" t="str">
        <f>IF('Cable Info'!N313="","",CONCATENATE('Cable Info'!N313," - ",'Cable Info'!O313))</f>
        <v>312 - AW</v>
      </c>
      <c r="AR608" s="121" t="str">
        <f t="shared" si="138"/>
        <v>312 - AW</v>
      </c>
      <c r="AT608" s="121" t="str">
        <f>IF('Cable Info'!P313="","",CONCATENATE('Cable Info'!P313," - ",'Cable Info'!Q313))</f>
        <v/>
      </c>
      <c r="AW608" s="121" t="str">
        <f t="shared" si="139"/>
        <v/>
      </c>
      <c r="AY608" s="121" t="str">
        <f>IF('Cable Info'!R313="","",CONCATENATE('Cable Info'!R313," - ",'Cable Info'!S313))</f>
        <v/>
      </c>
      <c r="BB608" s="121" t="str">
        <f t="shared" si="140"/>
        <v/>
      </c>
      <c r="BD608" s="121" t="str">
        <f>IF('Cable Info'!T313="","",CONCATENATE('Cable Info'!T313," - ",'Cable Info'!U313))</f>
        <v/>
      </c>
      <c r="BG608" s="121" t="str">
        <f t="shared" si="141"/>
        <v/>
      </c>
      <c r="BI608" s="121" t="str">
        <f>IF('Cable Info'!V313="","",CONCATENATE('Cable Info'!V313," - ",'Cable Info'!W313))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str">
        <f>IF('Cable Info'!L314="","",CONCATENATE('Cable Info'!L314," - ",'Cable Info'!M314))</f>
        <v>313 - AW</v>
      </c>
      <c r="AM609" s="121" t="str">
        <f t="shared" si="137"/>
        <v>313 - AW</v>
      </c>
      <c r="AO609" s="121" t="str">
        <f>IF('Cable Info'!N314="","",CONCATENATE('Cable Info'!N314," - ",'Cable Info'!O314))</f>
        <v>313 - AW</v>
      </c>
      <c r="AR609" s="121" t="str">
        <f t="shared" si="138"/>
        <v>313 - AW</v>
      </c>
      <c r="AT609" s="121" t="str">
        <f>IF('Cable Info'!P314="","",CONCATENATE('Cable Info'!P314," - ",'Cable Info'!Q314))</f>
        <v/>
      </c>
      <c r="AW609" s="121" t="str">
        <f t="shared" si="139"/>
        <v/>
      </c>
      <c r="AY609" s="121" t="str">
        <f>IF('Cable Info'!R314="","",CONCATENATE('Cable Info'!R314," - ",'Cable Info'!S314))</f>
        <v/>
      </c>
      <c r="BB609" s="121" t="str">
        <f t="shared" si="140"/>
        <v/>
      </c>
      <c r="BD609" s="121" t="str">
        <f>IF('Cable Info'!T314="","",CONCATENATE('Cable Info'!T314," - ",'Cable Info'!U314))</f>
        <v/>
      </c>
      <c r="BG609" s="121" t="str">
        <f t="shared" si="141"/>
        <v/>
      </c>
      <c r="BI609" s="121" t="str">
        <f>IF('Cable Info'!V314="","",CONCATENATE('Cable Info'!V314," - ",'Cable Info'!W314))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str">
        <f>IF('Cable Info'!L315="","",CONCATENATE('Cable Info'!L315," - ",'Cable Info'!M315))</f>
        <v>314 - AW</v>
      </c>
      <c r="AM610" s="121" t="str">
        <f t="shared" si="137"/>
        <v>314 - AW</v>
      </c>
      <c r="AO610" s="121" t="str">
        <f>IF('Cable Info'!N315="","",CONCATENATE('Cable Info'!N315," - ",'Cable Info'!O315))</f>
        <v>314 - AW</v>
      </c>
      <c r="AR610" s="121" t="str">
        <f t="shared" si="138"/>
        <v>314 - AW</v>
      </c>
      <c r="AT610" s="121" t="str">
        <f>IF('Cable Info'!P315="","",CONCATENATE('Cable Info'!P315," - ",'Cable Info'!Q315))</f>
        <v/>
      </c>
      <c r="AW610" s="121" t="str">
        <f t="shared" si="139"/>
        <v/>
      </c>
      <c r="AY610" s="121" t="str">
        <f>IF('Cable Info'!R315="","",CONCATENATE('Cable Info'!R315," - ",'Cable Info'!S315))</f>
        <v/>
      </c>
      <c r="BB610" s="121" t="str">
        <f t="shared" si="140"/>
        <v/>
      </c>
      <c r="BD610" s="121" t="str">
        <f>IF('Cable Info'!T315="","",CONCATENATE('Cable Info'!T315," - ",'Cable Info'!U315))</f>
        <v/>
      </c>
      <c r="BG610" s="121" t="str">
        <f t="shared" si="141"/>
        <v/>
      </c>
      <c r="BI610" s="121" t="str">
        <f>IF('Cable Info'!V315="","",CONCATENATE('Cable Info'!V315," - ",'Cable Info'!W315))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str">
        <f>IF('Cable Info'!L316="","",CONCATENATE('Cable Info'!L316," - ",'Cable Info'!M316))</f>
        <v>315 - AW</v>
      </c>
      <c r="AM611" s="121" t="str">
        <f t="shared" si="137"/>
        <v>315 - AW</v>
      </c>
      <c r="AO611" s="121" t="str">
        <f>IF('Cable Info'!N316="","",CONCATENATE('Cable Info'!N316," - ",'Cable Info'!O316))</f>
        <v>315 - AW</v>
      </c>
      <c r="AR611" s="121" t="str">
        <f t="shared" si="138"/>
        <v>315 - AW</v>
      </c>
      <c r="AT611" s="121" t="str">
        <f>IF('Cable Info'!P316="","",CONCATENATE('Cable Info'!P316," - ",'Cable Info'!Q316))</f>
        <v/>
      </c>
      <c r="AW611" s="121" t="str">
        <f t="shared" si="139"/>
        <v/>
      </c>
      <c r="AY611" s="121" t="str">
        <f>IF('Cable Info'!R316="","",CONCATENATE('Cable Info'!R316," - ",'Cable Info'!S316))</f>
        <v/>
      </c>
      <c r="BB611" s="121" t="str">
        <f t="shared" si="140"/>
        <v/>
      </c>
      <c r="BD611" s="121" t="str">
        <f>IF('Cable Info'!T316="","",CONCATENATE('Cable Info'!T316," - ",'Cable Info'!U316))</f>
        <v/>
      </c>
      <c r="BG611" s="121" t="str">
        <f t="shared" si="141"/>
        <v/>
      </c>
      <c r="BI611" s="121" t="str">
        <f>IF('Cable Info'!V316="","",CONCATENATE('Cable Info'!V316," - ",'Cable Info'!W316))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str">
        <f>IF('Cable Info'!L317="","",CONCATENATE('Cable Info'!L317," - ",'Cable Info'!M317))</f>
        <v>316 - AW</v>
      </c>
      <c r="AM612" s="121" t="str">
        <f t="shared" si="137"/>
        <v>316 - AW</v>
      </c>
      <c r="AO612" s="121" t="str">
        <f>IF('Cable Info'!N317="","",CONCATENATE('Cable Info'!N317," - ",'Cable Info'!O317))</f>
        <v>316 - AW</v>
      </c>
      <c r="AR612" s="121" t="str">
        <f t="shared" si="138"/>
        <v>316 - AW</v>
      </c>
      <c r="AT612" s="121" t="str">
        <f>IF('Cable Info'!P317="","",CONCATENATE('Cable Info'!P317," - ",'Cable Info'!Q317))</f>
        <v/>
      </c>
      <c r="AW612" s="121" t="str">
        <f t="shared" si="139"/>
        <v/>
      </c>
      <c r="AY612" s="121" t="str">
        <f>IF('Cable Info'!R317="","",CONCATENATE('Cable Info'!R317," - ",'Cable Info'!S317))</f>
        <v/>
      </c>
      <c r="BB612" s="121" t="str">
        <f t="shared" si="140"/>
        <v/>
      </c>
      <c r="BD612" s="121" t="str">
        <f>IF('Cable Info'!T317="","",CONCATENATE('Cable Info'!T317," - ",'Cable Info'!U317))</f>
        <v/>
      </c>
      <c r="BG612" s="121" t="str">
        <f t="shared" si="141"/>
        <v/>
      </c>
      <c r="BI612" s="121" t="str">
        <f>IF('Cable Info'!V317="","",CONCATENATE('Cable Info'!V317," - ",'Cable Info'!W317))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str">
        <f>IF('Cable Info'!L318="","",CONCATENATE('Cable Info'!L318," - ",'Cable Info'!M318))</f>
        <v>317 - AW</v>
      </c>
      <c r="AM613" s="121" t="str">
        <f t="shared" si="137"/>
        <v>317 - AW</v>
      </c>
      <c r="AO613" s="121" t="str">
        <f>IF('Cable Info'!N318="","",CONCATENATE('Cable Info'!N318," - ",'Cable Info'!O318))</f>
        <v>317 - AW</v>
      </c>
      <c r="AR613" s="121" t="str">
        <f t="shared" si="138"/>
        <v>317 - AW</v>
      </c>
      <c r="AT613" s="121" t="str">
        <f>IF('Cable Info'!P318="","",CONCATENATE('Cable Info'!P318," - ",'Cable Info'!Q318))</f>
        <v/>
      </c>
      <c r="AW613" s="121" t="str">
        <f t="shared" si="139"/>
        <v/>
      </c>
      <c r="AY613" s="121" t="str">
        <f>IF('Cable Info'!R318="","",CONCATENATE('Cable Info'!R318," - ",'Cable Info'!S318))</f>
        <v/>
      </c>
      <c r="BB613" s="121" t="str">
        <f t="shared" si="140"/>
        <v/>
      </c>
      <c r="BD613" s="121" t="str">
        <f>IF('Cable Info'!T318="","",CONCATENATE('Cable Info'!T318," - ",'Cable Info'!U318))</f>
        <v/>
      </c>
      <c r="BG613" s="121" t="str">
        <f t="shared" si="141"/>
        <v/>
      </c>
      <c r="BI613" s="121" t="str">
        <f>IF('Cable Info'!V318="","",CONCATENATE('Cable Info'!V318," - ",'Cable Info'!W318))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str">
        <f>IF('Cable Info'!L319="","",CONCATENATE('Cable Info'!L319," - ",'Cable Info'!M319))</f>
        <v>318 - AW</v>
      </c>
      <c r="AM614" s="121" t="str">
        <f t="shared" si="137"/>
        <v>318 - AW</v>
      </c>
      <c r="AO614" s="121" t="str">
        <f>IF('Cable Info'!N319="","",CONCATENATE('Cable Info'!N319," - ",'Cable Info'!O319))</f>
        <v>318 - AW</v>
      </c>
      <c r="AR614" s="121" t="str">
        <f t="shared" si="138"/>
        <v>318 - AW</v>
      </c>
      <c r="AT614" s="121" t="str">
        <f>IF('Cable Info'!P319="","",CONCATENATE('Cable Info'!P319," - ",'Cable Info'!Q319))</f>
        <v/>
      </c>
      <c r="AW614" s="121" t="str">
        <f t="shared" si="139"/>
        <v/>
      </c>
      <c r="AY614" s="121" t="str">
        <f>IF('Cable Info'!R319="","",CONCATENATE('Cable Info'!R319," - ",'Cable Info'!S319))</f>
        <v/>
      </c>
      <c r="BB614" s="121" t="str">
        <f t="shared" si="140"/>
        <v/>
      </c>
      <c r="BD614" s="121" t="str">
        <f>IF('Cable Info'!T319="","",CONCATENATE('Cable Info'!T319," - ",'Cable Info'!U319))</f>
        <v/>
      </c>
      <c r="BG614" s="121" t="str">
        <f t="shared" si="141"/>
        <v/>
      </c>
      <c r="BI614" s="121" t="str">
        <f>IF('Cable Info'!V319="","",CONCATENATE('Cable Info'!V319," - ",'Cable Info'!W319))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str">
        <f>IF('Cable Info'!L320="","",CONCATENATE('Cable Info'!L320," - ",'Cable Info'!M320))</f>
        <v>319 - AW</v>
      </c>
      <c r="AM615" s="121" t="str">
        <f t="shared" si="137"/>
        <v>319 - AW</v>
      </c>
      <c r="AO615" s="121" t="str">
        <f>IF('Cable Info'!N320="","",CONCATENATE('Cable Info'!N320," - ",'Cable Info'!O320))</f>
        <v>319 - AW</v>
      </c>
      <c r="AR615" s="121" t="str">
        <f t="shared" si="138"/>
        <v>319 - AW</v>
      </c>
      <c r="AT615" s="121" t="str">
        <f>IF('Cable Info'!P320="","",CONCATENATE('Cable Info'!P320," - ",'Cable Info'!Q320))</f>
        <v/>
      </c>
      <c r="AW615" s="121" t="str">
        <f t="shared" si="139"/>
        <v/>
      </c>
      <c r="AY615" s="121" t="str">
        <f>IF('Cable Info'!R320="","",CONCATENATE('Cable Info'!R320," - ",'Cable Info'!S320))</f>
        <v/>
      </c>
      <c r="BB615" s="121" t="str">
        <f t="shared" si="140"/>
        <v/>
      </c>
      <c r="BD615" s="121" t="str">
        <f>IF('Cable Info'!T320="","",CONCATENATE('Cable Info'!T320," - ",'Cable Info'!U320))</f>
        <v/>
      </c>
      <c r="BG615" s="121" t="str">
        <f t="shared" si="141"/>
        <v/>
      </c>
      <c r="BI615" s="121" t="str">
        <f>IF('Cable Info'!V320="","",CONCATENATE('Cable Info'!V320," - ",'Cable Info'!W320))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str">
        <f>IF('Cable Info'!L321="","",CONCATENATE('Cable Info'!L321," - ",'Cable Info'!M321))</f>
        <v>320 - AW</v>
      </c>
      <c r="AM616" s="121" t="str">
        <f t="shared" si="137"/>
        <v>320 - AW</v>
      </c>
      <c r="AO616" s="121" t="str">
        <f>IF('Cable Info'!N321="","",CONCATENATE('Cable Info'!N321," - ",'Cable Info'!O321))</f>
        <v>320 - AW</v>
      </c>
      <c r="AR616" s="121" t="str">
        <f t="shared" si="138"/>
        <v>320 - AW</v>
      </c>
      <c r="AT616" s="121" t="str">
        <f>IF('Cable Info'!P321="","",CONCATENATE('Cable Info'!P321," - ",'Cable Info'!Q321))</f>
        <v/>
      </c>
      <c r="AW616" s="121" t="str">
        <f t="shared" si="139"/>
        <v/>
      </c>
      <c r="AY616" s="121" t="str">
        <f>IF('Cable Info'!R321="","",CONCATENATE('Cable Info'!R321," - ",'Cable Info'!S321))</f>
        <v/>
      </c>
      <c r="BB616" s="121" t="str">
        <f t="shared" si="140"/>
        <v/>
      </c>
      <c r="BD616" s="121" t="str">
        <f>IF('Cable Info'!T321="","",CONCATENATE('Cable Info'!T321," - ",'Cable Info'!U321))</f>
        <v/>
      </c>
      <c r="BG616" s="121" t="str">
        <f t="shared" si="141"/>
        <v/>
      </c>
      <c r="BI616" s="121" t="str">
        <f>IF('Cable Info'!V321="","",CONCATENATE('Cable Info'!V321," - ",'Cable Info'!W321))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str">
        <f>IF('Cable Info'!L322="","",CONCATENATE('Cable Info'!L322," - ",'Cable Info'!M322))</f>
        <v>321 - AW</v>
      </c>
      <c r="AM617" s="121" t="str">
        <f t="shared" si="137"/>
        <v>321 - AW</v>
      </c>
      <c r="AO617" s="121" t="str">
        <f>IF('Cable Info'!N322="","",CONCATENATE('Cable Info'!N322," - ",'Cable Info'!O322))</f>
        <v>321 - AW</v>
      </c>
      <c r="AR617" s="121" t="str">
        <f t="shared" si="138"/>
        <v>321 - AW</v>
      </c>
      <c r="AT617" s="121" t="str">
        <f>IF('Cable Info'!P322="","",CONCATENATE('Cable Info'!P322," - ",'Cable Info'!Q322))</f>
        <v/>
      </c>
      <c r="AW617" s="121" t="str">
        <f t="shared" si="139"/>
        <v/>
      </c>
      <c r="AY617" s="121" t="str">
        <f>IF('Cable Info'!R322="","",CONCATENATE('Cable Info'!R322," - ",'Cable Info'!S322))</f>
        <v/>
      </c>
      <c r="BB617" s="121" t="str">
        <f t="shared" si="140"/>
        <v/>
      </c>
      <c r="BD617" s="121" t="str">
        <f>IF('Cable Info'!T322="","",CONCATENATE('Cable Info'!T322," - ",'Cable Info'!U322))</f>
        <v/>
      </c>
      <c r="BG617" s="121" t="str">
        <f t="shared" si="141"/>
        <v/>
      </c>
      <c r="BI617" s="121" t="str">
        <f>IF('Cable Info'!V322="","",CONCATENATE('Cable Info'!V322," - ",'Cable Info'!W322))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str">
        <f>IF('Cable Info'!L323="","",CONCATENATE('Cable Info'!L323," - ",'Cable Info'!M323))</f>
        <v>322 - AW</v>
      </c>
      <c r="AM618" s="121" t="str">
        <f t="shared" ref="AM618:AM681" si="143">IF(AK618="",AJ618,CONCATENATE(AJ618,"  &lt;=&gt; ",AK618," ",AL618))</f>
        <v>322 - AW</v>
      </c>
      <c r="AO618" s="121" t="str">
        <f>IF('Cable Info'!N323="","",CONCATENATE('Cable Info'!N323," - ",'Cable Info'!O323))</f>
        <v>322 - AW</v>
      </c>
      <c r="AR618" s="121" t="str">
        <f t="shared" ref="AR618:AR681" si="144">IF(AP618="",AO618,CONCATENATE(AO618,"  &lt;=&gt; ",AP618," ",AQ618))</f>
        <v>322 - AW</v>
      </c>
      <c r="AT618" s="121" t="str">
        <f>IF('Cable Info'!P323="","",CONCATENATE('Cable Info'!P323," - ",'Cable Info'!Q323))</f>
        <v/>
      </c>
      <c r="AW618" s="121" t="str">
        <f t="shared" ref="AW618:AW681" si="145">IF(AU618="",AT618,CONCATENATE(AT618,"  &lt;=&gt; ",AU618," ",AV618))</f>
        <v/>
      </c>
      <c r="AY618" s="121" t="str">
        <f>IF('Cable Info'!R323="","",CONCATENATE('Cable Info'!R323," - ",'Cable Info'!S323))</f>
        <v/>
      </c>
      <c r="BB618" s="121" t="str">
        <f t="shared" ref="BB618:BB681" si="146">IF(AZ618="",AY618,CONCATENATE(AY618,"  &lt;=&gt; ",AZ618," ",BA618))</f>
        <v/>
      </c>
      <c r="BD618" s="121" t="str">
        <f>IF('Cable Info'!T323="","",CONCATENATE('Cable Info'!T323," - ",'Cable Info'!U323))</f>
        <v/>
      </c>
      <c r="BG618" s="121" t="str">
        <f t="shared" ref="BG618:BG681" si="147">IF(BE618="",BD618,CONCATENATE(BD618,"  &lt;=&gt; ",BE618," ",BF618))</f>
        <v/>
      </c>
      <c r="BI618" s="121" t="str">
        <f>IF('Cable Info'!V323="","",CONCATENATE('Cable Info'!V323," - ",'Cable Info'!W323))</f>
        <v/>
      </c>
      <c r="BL618" s="121" t="str">
        <f t="shared" ref="BL618:BL681" si="148">IF(BJ618="",BI618,CONCATENATE(BI618,"  &lt;=&gt; ",BJ618," ",BK618))</f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str">
        <f>IF('Cable Info'!L324="","",CONCATENATE('Cable Info'!L324," - ",'Cable Info'!M324))</f>
        <v>323 - AW</v>
      </c>
      <c r="AM619" s="121" t="str">
        <f t="shared" si="143"/>
        <v>323 - AW</v>
      </c>
      <c r="AO619" s="121" t="str">
        <f>IF('Cable Info'!N324="","",CONCATENATE('Cable Info'!N324," - ",'Cable Info'!O324))</f>
        <v>323 - AW</v>
      </c>
      <c r="AR619" s="121" t="str">
        <f t="shared" si="144"/>
        <v>323 - AW</v>
      </c>
      <c r="AT619" s="121" t="str">
        <f>IF('Cable Info'!P324="","",CONCATENATE('Cable Info'!P324," - ",'Cable Info'!Q324))</f>
        <v/>
      </c>
      <c r="AW619" s="121" t="str">
        <f t="shared" si="145"/>
        <v/>
      </c>
      <c r="AY619" s="121" t="str">
        <f>IF('Cable Info'!R324="","",CONCATENATE('Cable Info'!R324," - ",'Cable Info'!S324))</f>
        <v/>
      </c>
      <c r="BB619" s="121" t="str">
        <f t="shared" si="146"/>
        <v/>
      </c>
      <c r="BD619" s="121" t="str">
        <f>IF('Cable Info'!T324="","",CONCATENATE('Cable Info'!T324," - ",'Cable Info'!U324))</f>
        <v/>
      </c>
      <c r="BG619" s="121" t="str">
        <f t="shared" si="147"/>
        <v/>
      </c>
      <c r="BI619" s="121" t="str">
        <f>IF('Cable Info'!V324="","",CONCATENATE('Cable Info'!V324," - ",'Cable Info'!W324))</f>
        <v/>
      </c>
      <c r="BL619" s="121" t="str">
        <f t="shared" si="148"/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str">
        <f>IF('Cable Info'!L325="","",CONCATENATE('Cable Info'!L325," - ",'Cable Info'!M325))</f>
        <v>324 - AW</v>
      </c>
      <c r="AM620" s="121" t="str">
        <f t="shared" si="143"/>
        <v>324 - AW</v>
      </c>
      <c r="AO620" s="121" t="str">
        <f>IF('Cable Info'!N325="","",CONCATENATE('Cable Info'!N325," - ",'Cable Info'!O325))</f>
        <v>324 - AW</v>
      </c>
      <c r="AR620" s="121" t="str">
        <f t="shared" si="144"/>
        <v>324 - AW</v>
      </c>
      <c r="AT620" s="121" t="str">
        <f>IF('Cable Info'!P325="","",CONCATENATE('Cable Info'!P325," - ",'Cable Info'!Q325))</f>
        <v/>
      </c>
      <c r="AW620" s="121" t="str">
        <f t="shared" si="145"/>
        <v/>
      </c>
      <c r="AY620" s="121" t="str">
        <f>IF('Cable Info'!R325="","",CONCATENATE('Cable Info'!R325," - ",'Cable Info'!S325))</f>
        <v/>
      </c>
      <c r="BB620" s="121" t="str">
        <f t="shared" si="146"/>
        <v/>
      </c>
      <c r="BD620" s="121" t="str">
        <f>IF('Cable Info'!T325="","",CONCATENATE('Cable Info'!T325," - ",'Cable Info'!U325))</f>
        <v/>
      </c>
      <c r="BG620" s="121" t="str">
        <f t="shared" si="147"/>
        <v/>
      </c>
      <c r="BI620" s="121" t="str">
        <f>IF('Cable Info'!V325="","",CONCATENATE('Cable Info'!V325," - ",'Cable Info'!W325))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str">
        <f>IF('Cable Info'!L326="","",CONCATENATE('Cable Info'!L326," - ",'Cable Info'!M326))</f>
        <v>325 - AW</v>
      </c>
      <c r="AM621" s="121" t="str">
        <f t="shared" si="143"/>
        <v>325 - AW</v>
      </c>
      <c r="AO621" s="121" t="str">
        <f>IF('Cable Info'!N326="","",CONCATENATE('Cable Info'!N326," - ",'Cable Info'!O326))</f>
        <v>325 - AW</v>
      </c>
      <c r="AR621" s="121" t="str">
        <f t="shared" si="144"/>
        <v>325 - AW</v>
      </c>
      <c r="AT621" s="121" t="str">
        <f>IF('Cable Info'!P326="","",CONCATENATE('Cable Info'!P326," - ",'Cable Info'!Q326))</f>
        <v/>
      </c>
      <c r="AW621" s="121" t="str">
        <f t="shared" si="145"/>
        <v/>
      </c>
      <c r="AY621" s="121" t="str">
        <f>IF('Cable Info'!R326="","",CONCATENATE('Cable Info'!R326," - ",'Cable Info'!S326))</f>
        <v/>
      </c>
      <c r="BB621" s="121" t="str">
        <f t="shared" si="146"/>
        <v/>
      </c>
      <c r="BD621" s="121" t="str">
        <f>IF('Cable Info'!T326="","",CONCATENATE('Cable Info'!T326," - ",'Cable Info'!U326))</f>
        <v/>
      </c>
      <c r="BG621" s="121" t="str">
        <f t="shared" si="147"/>
        <v/>
      </c>
      <c r="BI621" s="121" t="str">
        <f>IF('Cable Info'!V326="","",CONCATENATE('Cable Info'!V326," - ",'Cable Info'!W326))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str">
        <f>IF('Cable Info'!L327="","",CONCATENATE('Cable Info'!L327," - ",'Cable Info'!M327))</f>
        <v>326 - AW</v>
      </c>
      <c r="AM622" s="121" t="str">
        <f t="shared" si="143"/>
        <v>326 - AW</v>
      </c>
      <c r="AO622" s="121" t="str">
        <f>IF('Cable Info'!N327="","",CONCATENATE('Cable Info'!N327," - ",'Cable Info'!O327))</f>
        <v>326 - AW</v>
      </c>
      <c r="AR622" s="121" t="str">
        <f t="shared" si="144"/>
        <v>326 - AW</v>
      </c>
      <c r="AT622" s="121" t="str">
        <f>IF('Cable Info'!P327="","",CONCATENATE('Cable Info'!P327," - ",'Cable Info'!Q327))</f>
        <v/>
      </c>
      <c r="AW622" s="121" t="str">
        <f t="shared" si="145"/>
        <v/>
      </c>
      <c r="AY622" s="121" t="str">
        <f>IF('Cable Info'!R327="","",CONCATENATE('Cable Info'!R327," - ",'Cable Info'!S327))</f>
        <v/>
      </c>
      <c r="BB622" s="121" t="str">
        <f t="shared" si="146"/>
        <v/>
      </c>
      <c r="BD622" s="121" t="str">
        <f>IF('Cable Info'!T327="","",CONCATENATE('Cable Info'!T327," - ",'Cable Info'!U327))</f>
        <v/>
      </c>
      <c r="BG622" s="121" t="str">
        <f t="shared" si="147"/>
        <v/>
      </c>
      <c r="BI622" s="121" t="str">
        <f>IF('Cable Info'!V327="","",CONCATENATE('Cable Info'!V327," - ",'Cable Info'!W327))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str">
        <f>IF('Cable Info'!L328="","",CONCATENATE('Cable Info'!L328," - ",'Cable Info'!M328))</f>
        <v>327 - AW</v>
      </c>
      <c r="AM623" s="121" t="str">
        <f t="shared" si="143"/>
        <v>327 - AW</v>
      </c>
      <c r="AO623" s="121" t="str">
        <f>IF('Cable Info'!N328="","",CONCATENATE('Cable Info'!N328," - ",'Cable Info'!O328))</f>
        <v>327 - AW</v>
      </c>
      <c r="AR623" s="121" t="str">
        <f t="shared" si="144"/>
        <v>327 - AW</v>
      </c>
      <c r="AT623" s="121" t="str">
        <f>IF('Cable Info'!P328="","",CONCATENATE('Cable Info'!P328," - ",'Cable Info'!Q328))</f>
        <v/>
      </c>
      <c r="AW623" s="121" t="str">
        <f t="shared" si="145"/>
        <v/>
      </c>
      <c r="AY623" s="121" t="str">
        <f>IF('Cable Info'!R328="","",CONCATENATE('Cable Info'!R328," - ",'Cable Info'!S328))</f>
        <v/>
      </c>
      <c r="BB623" s="121" t="str">
        <f t="shared" si="146"/>
        <v/>
      </c>
      <c r="BD623" s="121" t="str">
        <f>IF('Cable Info'!T328="","",CONCATENATE('Cable Info'!T328," - ",'Cable Info'!U328))</f>
        <v/>
      </c>
      <c r="BG623" s="121" t="str">
        <f t="shared" si="147"/>
        <v/>
      </c>
      <c r="BI623" s="121" t="str">
        <f>IF('Cable Info'!V328="","",CONCATENATE('Cable Info'!V328," - ",'Cable Info'!W328))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str">
        <f>IF('Cable Info'!L329="","",CONCATENATE('Cable Info'!L329," - ",'Cable Info'!M329))</f>
        <v>328 - AW</v>
      </c>
      <c r="AM624" s="121" t="str">
        <f t="shared" si="143"/>
        <v>328 - AW</v>
      </c>
      <c r="AO624" s="121" t="str">
        <f>IF('Cable Info'!N329="","",CONCATENATE('Cable Info'!N329," - ",'Cable Info'!O329))</f>
        <v>328 - AW</v>
      </c>
      <c r="AR624" s="121" t="str">
        <f t="shared" si="144"/>
        <v>328 - AW</v>
      </c>
      <c r="AT624" s="121" t="str">
        <f>IF('Cable Info'!P329="","",CONCATENATE('Cable Info'!P329," - ",'Cable Info'!Q329))</f>
        <v/>
      </c>
      <c r="AW624" s="121" t="str">
        <f t="shared" si="145"/>
        <v/>
      </c>
      <c r="AY624" s="121" t="str">
        <f>IF('Cable Info'!R329="","",CONCATENATE('Cable Info'!R329," - ",'Cable Info'!S329))</f>
        <v/>
      </c>
      <c r="BB624" s="121" t="str">
        <f t="shared" si="146"/>
        <v/>
      </c>
      <c r="BD624" s="121" t="str">
        <f>IF('Cable Info'!T329="","",CONCATENATE('Cable Info'!T329," - ",'Cable Info'!U329))</f>
        <v/>
      </c>
      <c r="BG624" s="121" t="str">
        <f t="shared" si="147"/>
        <v/>
      </c>
      <c r="BI624" s="121" t="str">
        <f>IF('Cable Info'!V329="","",CONCATENATE('Cable Info'!V329," - ",'Cable Info'!W329))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str">
        <f>IF('Cable Info'!L330="","",CONCATENATE('Cable Info'!L330," - ",'Cable Info'!M330))</f>
        <v>329 - AW</v>
      </c>
      <c r="AM625" s="121" t="str">
        <f t="shared" si="143"/>
        <v>329 - AW</v>
      </c>
      <c r="AO625" s="121" t="str">
        <f>IF('Cable Info'!N330="","",CONCATENATE('Cable Info'!N330," - ",'Cable Info'!O330))</f>
        <v>329 - AW</v>
      </c>
      <c r="AR625" s="121" t="str">
        <f t="shared" si="144"/>
        <v>329 - AW</v>
      </c>
      <c r="AT625" s="121" t="str">
        <f>IF('Cable Info'!P330="","",CONCATENATE('Cable Info'!P330," - ",'Cable Info'!Q330))</f>
        <v/>
      </c>
      <c r="AW625" s="121" t="str">
        <f t="shared" si="145"/>
        <v/>
      </c>
      <c r="AY625" s="121" t="str">
        <f>IF('Cable Info'!R330="","",CONCATENATE('Cable Info'!R330," - ",'Cable Info'!S330))</f>
        <v/>
      </c>
      <c r="BB625" s="121" t="str">
        <f t="shared" si="146"/>
        <v/>
      </c>
      <c r="BD625" s="121" t="str">
        <f>IF('Cable Info'!T330="","",CONCATENATE('Cable Info'!T330," - ",'Cable Info'!U330))</f>
        <v/>
      </c>
      <c r="BG625" s="121" t="str">
        <f t="shared" si="147"/>
        <v/>
      </c>
      <c r="BI625" s="121" t="str">
        <f>IF('Cable Info'!V330="","",CONCATENATE('Cable Info'!V330," - ",'Cable Info'!W330))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str">
        <f>IF('Cable Info'!L331="","",CONCATENATE('Cable Info'!L331," - ",'Cable Info'!M331))</f>
        <v>330 - AW</v>
      </c>
      <c r="AM626" s="121" t="str">
        <f t="shared" si="143"/>
        <v>330 - AW</v>
      </c>
      <c r="AO626" s="121" t="str">
        <f>IF('Cable Info'!N331="","",CONCATENATE('Cable Info'!N331," - ",'Cable Info'!O331))</f>
        <v>330 - AW</v>
      </c>
      <c r="AR626" s="121" t="str">
        <f t="shared" si="144"/>
        <v>330 - AW</v>
      </c>
      <c r="AT626" s="121" t="str">
        <f>IF('Cable Info'!P331="","",CONCATENATE('Cable Info'!P331," - ",'Cable Info'!Q331))</f>
        <v/>
      </c>
      <c r="AW626" s="121" t="str">
        <f t="shared" si="145"/>
        <v/>
      </c>
      <c r="AY626" s="121" t="str">
        <f>IF('Cable Info'!R331="","",CONCATENATE('Cable Info'!R331," - ",'Cable Info'!S331))</f>
        <v/>
      </c>
      <c r="BB626" s="121" t="str">
        <f t="shared" si="146"/>
        <v/>
      </c>
      <c r="BD626" s="121" t="str">
        <f>IF('Cable Info'!T331="","",CONCATENATE('Cable Info'!T331," - ",'Cable Info'!U331))</f>
        <v/>
      </c>
      <c r="BG626" s="121" t="str">
        <f t="shared" si="147"/>
        <v/>
      </c>
      <c r="BI626" s="121" t="str">
        <f>IF('Cable Info'!V331="","",CONCATENATE('Cable Info'!V331," - ",'Cable Info'!W331))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str">
        <f>IF('Cable Info'!L332="","",CONCATENATE('Cable Info'!L332," - ",'Cable Info'!M332))</f>
        <v>331 - AW</v>
      </c>
      <c r="AM627" s="121" t="str">
        <f t="shared" si="143"/>
        <v>331 - AW</v>
      </c>
      <c r="AO627" s="121" t="str">
        <f>IF('Cable Info'!N332="","",CONCATENATE('Cable Info'!N332," - ",'Cable Info'!O332))</f>
        <v>331 - AW</v>
      </c>
      <c r="AR627" s="121" t="str">
        <f t="shared" si="144"/>
        <v>331 - AW</v>
      </c>
      <c r="AT627" s="121" t="str">
        <f>IF('Cable Info'!P332="","",CONCATENATE('Cable Info'!P332," - ",'Cable Info'!Q332))</f>
        <v/>
      </c>
      <c r="AW627" s="121" t="str">
        <f t="shared" si="145"/>
        <v/>
      </c>
      <c r="AY627" s="121" t="str">
        <f>IF('Cable Info'!R332="","",CONCATENATE('Cable Info'!R332," - ",'Cable Info'!S332))</f>
        <v/>
      </c>
      <c r="BB627" s="121" t="str">
        <f t="shared" si="146"/>
        <v/>
      </c>
      <c r="BD627" s="121" t="str">
        <f>IF('Cable Info'!T332="","",CONCATENATE('Cable Info'!T332," - ",'Cable Info'!U332))</f>
        <v/>
      </c>
      <c r="BG627" s="121" t="str">
        <f t="shared" si="147"/>
        <v/>
      </c>
      <c r="BI627" s="121" t="str">
        <f>IF('Cable Info'!V332="","",CONCATENATE('Cable Info'!V332," - ",'Cable Info'!W332))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str">
        <f>IF('Cable Info'!L333="","",CONCATENATE('Cable Info'!L333," - ",'Cable Info'!M333))</f>
        <v>332 - AW</v>
      </c>
      <c r="AM628" s="121" t="str">
        <f t="shared" si="143"/>
        <v>332 - AW</v>
      </c>
      <c r="AO628" s="121" t="str">
        <f>IF('Cable Info'!N333="","",CONCATENATE('Cable Info'!N333," - ",'Cable Info'!O333))</f>
        <v>332 - AW</v>
      </c>
      <c r="AR628" s="121" t="str">
        <f t="shared" si="144"/>
        <v>332 - AW</v>
      </c>
      <c r="AT628" s="121" t="str">
        <f>IF('Cable Info'!P333="","",CONCATENATE('Cable Info'!P333," - ",'Cable Info'!Q333))</f>
        <v/>
      </c>
      <c r="AW628" s="121" t="str">
        <f t="shared" si="145"/>
        <v/>
      </c>
      <c r="AY628" s="121" t="str">
        <f>IF('Cable Info'!R333="","",CONCATENATE('Cable Info'!R333," - ",'Cable Info'!S333))</f>
        <v/>
      </c>
      <c r="BB628" s="121" t="str">
        <f t="shared" si="146"/>
        <v/>
      </c>
      <c r="BD628" s="121" t="str">
        <f>IF('Cable Info'!T333="","",CONCATENATE('Cable Info'!T333," - ",'Cable Info'!U333))</f>
        <v/>
      </c>
      <c r="BG628" s="121" t="str">
        <f t="shared" si="147"/>
        <v/>
      </c>
      <c r="BI628" s="121" t="str">
        <f>IF('Cable Info'!V333="","",CONCATENATE('Cable Info'!V333," - ",'Cable Info'!W333))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str">
        <f>IF('Cable Info'!L334="","",CONCATENATE('Cable Info'!L334," - ",'Cable Info'!M334))</f>
        <v>333 - AW</v>
      </c>
      <c r="AM629" s="121" t="str">
        <f t="shared" si="143"/>
        <v>333 - AW</v>
      </c>
      <c r="AO629" s="121" t="str">
        <f>IF('Cable Info'!N334="","",CONCATENATE('Cable Info'!N334," - ",'Cable Info'!O334))</f>
        <v>333 - AW</v>
      </c>
      <c r="AR629" s="121" t="str">
        <f t="shared" si="144"/>
        <v>333 - AW</v>
      </c>
      <c r="AT629" s="121" t="str">
        <f>IF('Cable Info'!P334="","",CONCATENATE('Cable Info'!P334," - ",'Cable Info'!Q334))</f>
        <v/>
      </c>
      <c r="AW629" s="121" t="str">
        <f t="shared" si="145"/>
        <v/>
      </c>
      <c r="AY629" s="121" t="str">
        <f>IF('Cable Info'!R334="","",CONCATENATE('Cable Info'!R334," - ",'Cable Info'!S334))</f>
        <v/>
      </c>
      <c r="BB629" s="121" t="str">
        <f t="shared" si="146"/>
        <v/>
      </c>
      <c r="BD629" s="121" t="str">
        <f>IF('Cable Info'!T334="","",CONCATENATE('Cable Info'!T334," - ",'Cable Info'!U334))</f>
        <v/>
      </c>
      <c r="BG629" s="121" t="str">
        <f t="shared" si="147"/>
        <v/>
      </c>
      <c r="BI629" s="121" t="str">
        <f>IF('Cable Info'!V334="","",CONCATENATE('Cable Info'!V334," - ",'Cable Info'!W334))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str">
        <f>IF('Cable Info'!L335="","",CONCATENATE('Cable Info'!L335," - ",'Cable Info'!M335))</f>
        <v>334 - AW</v>
      </c>
      <c r="AM630" s="121" t="str">
        <f t="shared" si="143"/>
        <v>334 - AW</v>
      </c>
      <c r="AO630" s="121" t="str">
        <f>IF('Cable Info'!N335="","",CONCATENATE('Cable Info'!N335," - ",'Cable Info'!O335))</f>
        <v>334 - AW</v>
      </c>
      <c r="AR630" s="121" t="str">
        <f t="shared" si="144"/>
        <v>334 - AW</v>
      </c>
      <c r="AT630" s="121" t="str">
        <f>IF('Cable Info'!P335="","",CONCATENATE('Cable Info'!P335," - ",'Cable Info'!Q335))</f>
        <v/>
      </c>
      <c r="AW630" s="121" t="str">
        <f t="shared" si="145"/>
        <v/>
      </c>
      <c r="AY630" s="121" t="str">
        <f>IF('Cable Info'!R335="","",CONCATENATE('Cable Info'!R335," - ",'Cable Info'!S335))</f>
        <v/>
      </c>
      <c r="BB630" s="121" t="str">
        <f t="shared" si="146"/>
        <v/>
      </c>
      <c r="BD630" s="121" t="str">
        <f>IF('Cable Info'!T335="","",CONCATENATE('Cable Info'!T335," - ",'Cable Info'!U335))</f>
        <v/>
      </c>
      <c r="BG630" s="121" t="str">
        <f t="shared" si="147"/>
        <v/>
      </c>
      <c r="BI630" s="121" t="str">
        <f>IF('Cable Info'!V335="","",CONCATENATE('Cable Info'!V335," - ",'Cable Info'!W335))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str">
        <f>IF('Cable Info'!L336="","",CONCATENATE('Cable Info'!L336," - ",'Cable Info'!M336))</f>
        <v>335 - AW</v>
      </c>
      <c r="AM631" s="121" t="str">
        <f t="shared" si="143"/>
        <v>335 - AW</v>
      </c>
      <c r="AO631" s="121" t="str">
        <f>IF('Cable Info'!N336="","",CONCATENATE('Cable Info'!N336," - ",'Cable Info'!O336))</f>
        <v>335 - AW</v>
      </c>
      <c r="AR631" s="121" t="str">
        <f t="shared" si="144"/>
        <v>335 - AW</v>
      </c>
      <c r="AT631" s="121" t="str">
        <f>IF('Cable Info'!P336="","",CONCATENATE('Cable Info'!P336," - ",'Cable Info'!Q336))</f>
        <v/>
      </c>
      <c r="AW631" s="121" t="str">
        <f t="shared" si="145"/>
        <v/>
      </c>
      <c r="AY631" s="121" t="str">
        <f>IF('Cable Info'!R336="","",CONCATENATE('Cable Info'!R336," - ",'Cable Info'!S336))</f>
        <v/>
      </c>
      <c r="BB631" s="121" t="str">
        <f t="shared" si="146"/>
        <v/>
      </c>
      <c r="BD631" s="121" t="str">
        <f>IF('Cable Info'!T336="","",CONCATENATE('Cable Info'!T336," - ",'Cable Info'!U336))</f>
        <v/>
      </c>
      <c r="BG631" s="121" t="str">
        <f t="shared" si="147"/>
        <v/>
      </c>
      <c r="BI631" s="121" t="str">
        <f>IF('Cable Info'!V336="","",CONCATENATE('Cable Info'!V336," - ",'Cable Info'!W336))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str">
        <f>IF('Cable Info'!L337="","",CONCATENATE('Cable Info'!L337," - ",'Cable Info'!M337))</f>
        <v>336 - AW</v>
      </c>
      <c r="AM632" s="121" t="str">
        <f t="shared" si="143"/>
        <v>336 - AW</v>
      </c>
      <c r="AO632" s="121" t="str">
        <f>IF('Cable Info'!N337="","",CONCATENATE('Cable Info'!N337," - ",'Cable Info'!O337))</f>
        <v>336 - AW</v>
      </c>
      <c r="AR632" s="121" t="str">
        <f t="shared" si="144"/>
        <v>336 - AW</v>
      </c>
      <c r="AT632" s="121" t="str">
        <f>IF('Cable Info'!P337="","",CONCATENATE('Cable Info'!P337," - ",'Cable Info'!Q337))</f>
        <v/>
      </c>
      <c r="AW632" s="121" t="str">
        <f t="shared" si="145"/>
        <v/>
      </c>
      <c r="AY632" s="121" t="str">
        <f>IF('Cable Info'!R337="","",CONCATENATE('Cable Info'!R337," - ",'Cable Info'!S337))</f>
        <v/>
      </c>
      <c r="BB632" s="121" t="str">
        <f t="shared" si="146"/>
        <v/>
      </c>
      <c r="BD632" s="121" t="str">
        <f>IF('Cable Info'!T337="","",CONCATENATE('Cable Info'!T337," - ",'Cable Info'!U337))</f>
        <v/>
      </c>
      <c r="BG632" s="121" t="str">
        <f t="shared" si="147"/>
        <v/>
      </c>
      <c r="BI632" s="121" t="str">
        <f>IF('Cable Info'!V337="","",CONCATENATE('Cable Info'!V337," - ",'Cable Info'!W337))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str">
        <f>IF('Cable Info'!L338="","",CONCATENATE('Cable Info'!L338," - ",'Cable Info'!M338))</f>
        <v>337 - AW</v>
      </c>
      <c r="AM633" s="121" t="str">
        <f t="shared" si="143"/>
        <v>337 - AW</v>
      </c>
      <c r="AO633" s="121" t="str">
        <f>IF('Cable Info'!N338="","",CONCATENATE('Cable Info'!N338," - ",'Cable Info'!O338))</f>
        <v>337 - AW</v>
      </c>
      <c r="AR633" s="121" t="str">
        <f t="shared" si="144"/>
        <v>337 - AW</v>
      </c>
      <c r="AT633" s="121" t="str">
        <f>IF('Cable Info'!P338="","",CONCATENATE('Cable Info'!P338," - ",'Cable Info'!Q338))</f>
        <v/>
      </c>
      <c r="AW633" s="121" t="str">
        <f t="shared" si="145"/>
        <v/>
      </c>
      <c r="AY633" s="121" t="str">
        <f>IF('Cable Info'!R338="","",CONCATENATE('Cable Info'!R338," - ",'Cable Info'!S338))</f>
        <v/>
      </c>
      <c r="BB633" s="121" t="str">
        <f t="shared" si="146"/>
        <v/>
      </c>
      <c r="BD633" s="121" t="str">
        <f>IF('Cable Info'!T338="","",CONCATENATE('Cable Info'!T338," - ",'Cable Info'!U338))</f>
        <v/>
      </c>
      <c r="BG633" s="121" t="str">
        <f t="shared" si="147"/>
        <v/>
      </c>
      <c r="BI633" s="121" t="str">
        <f>IF('Cable Info'!V338="","",CONCATENATE('Cable Info'!V338," - ",'Cable Info'!W338))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str">
        <f>IF('Cable Info'!L339="","",CONCATENATE('Cable Info'!L339," - ",'Cable Info'!M339))</f>
        <v>338 - AW</v>
      </c>
      <c r="AM634" s="121" t="str">
        <f t="shared" si="143"/>
        <v>338 - AW</v>
      </c>
      <c r="AO634" s="121" t="str">
        <f>IF('Cable Info'!N339="","",CONCATENATE('Cable Info'!N339," - ",'Cable Info'!O339))</f>
        <v>338 - AW</v>
      </c>
      <c r="AR634" s="121" t="str">
        <f t="shared" si="144"/>
        <v>338 - AW</v>
      </c>
      <c r="AT634" s="121" t="str">
        <f>IF('Cable Info'!P339="","",CONCATENATE('Cable Info'!P339," - ",'Cable Info'!Q339))</f>
        <v/>
      </c>
      <c r="AW634" s="121" t="str">
        <f t="shared" si="145"/>
        <v/>
      </c>
      <c r="AY634" s="121" t="str">
        <f>IF('Cable Info'!R339="","",CONCATENATE('Cable Info'!R339," - ",'Cable Info'!S339))</f>
        <v/>
      </c>
      <c r="BB634" s="121" t="str">
        <f t="shared" si="146"/>
        <v/>
      </c>
      <c r="BD634" s="121" t="str">
        <f>IF('Cable Info'!T339="","",CONCATENATE('Cable Info'!T339," - ",'Cable Info'!U339))</f>
        <v/>
      </c>
      <c r="BG634" s="121" t="str">
        <f t="shared" si="147"/>
        <v/>
      </c>
      <c r="BI634" s="121" t="str">
        <f>IF('Cable Info'!V339="","",CONCATENATE('Cable Info'!V339," - ",'Cable Info'!W339))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str">
        <f>IF('Cable Info'!L340="","",CONCATENATE('Cable Info'!L340," - ",'Cable Info'!M340))</f>
        <v>339 - AW</v>
      </c>
      <c r="AM635" s="121" t="str">
        <f t="shared" si="143"/>
        <v>339 - AW</v>
      </c>
      <c r="AO635" s="121" t="str">
        <f>IF('Cable Info'!N340="","",CONCATENATE('Cable Info'!N340," - ",'Cable Info'!O340))</f>
        <v>339 - AW</v>
      </c>
      <c r="AR635" s="121" t="str">
        <f t="shared" si="144"/>
        <v>339 - AW</v>
      </c>
      <c r="AT635" s="121" t="str">
        <f>IF('Cable Info'!P340="","",CONCATENATE('Cable Info'!P340," - ",'Cable Info'!Q340))</f>
        <v/>
      </c>
      <c r="AW635" s="121" t="str">
        <f t="shared" si="145"/>
        <v/>
      </c>
      <c r="AY635" s="121" t="str">
        <f>IF('Cable Info'!R340="","",CONCATENATE('Cable Info'!R340," - ",'Cable Info'!S340))</f>
        <v/>
      </c>
      <c r="BB635" s="121" t="str">
        <f t="shared" si="146"/>
        <v/>
      </c>
      <c r="BD635" s="121" t="str">
        <f>IF('Cable Info'!T340="","",CONCATENATE('Cable Info'!T340," - ",'Cable Info'!U340))</f>
        <v/>
      </c>
      <c r="BG635" s="121" t="str">
        <f t="shared" si="147"/>
        <v/>
      </c>
      <c r="BI635" s="121" t="str">
        <f>IF('Cable Info'!V340="","",CONCATENATE('Cable Info'!V340," - ",'Cable Info'!W340))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str">
        <f>IF('Cable Info'!L341="","",CONCATENATE('Cable Info'!L341," - ",'Cable Info'!M341))</f>
        <v>340 - AW</v>
      </c>
      <c r="AM636" s="121" t="str">
        <f t="shared" si="143"/>
        <v>340 - AW</v>
      </c>
      <c r="AO636" s="121" t="str">
        <f>IF('Cable Info'!N341="","",CONCATENATE('Cable Info'!N341," - ",'Cable Info'!O341))</f>
        <v>340 - AW</v>
      </c>
      <c r="AR636" s="121" t="str">
        <f t="shared" si="144"/>
        <v>340 - AW</v>
      </c>
      <c r="AT636" s="121" t="str">
        <f>IF('Cable Info'!P341="","",CONCATENATE('Cable Info'!P341," - ",'Cable Info'!Q341))</f>
        <v/>
      </c>
      <c r="AW636" s="121" t="str">
        <f t="shared" si="145"/>
        <v/>
      </c>
      <c r="AY636" s="121" t="str">
        <f>IF('Cable Info'!R341="","",CONCATENATE('Cable Info'!R341," - ",'Cable Info'!S341))</f>
        <v/>
      </c>
      <c r="BB636" s="121" t="str">
        <f t="shared" si="146"/>
        <v/>
      </c>
      <c r="BD636" s="121" t="str">
        <f>IF('Cable Info'!T341="","",CONCATENATE('Cable Info'!T341," - ",'Cable Info'!U341))</f>
        <v/>
      </c>
      <c r="BG636" s="121" t="str">
        <f t="shared" si="147"/>
        <v/>
      </c>
      <c r="BI636" s="121" t="str">
        <f>IF('Cable Info'!V341="","",CONCATENATE('Cable Info'!V341," - ",'Cable Info'!W341))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str">
        <f>IF('Cable Info'!L342="","",CONCATENATE('Cable Info'!L342," - ",'Cable Info'!M342))</f>
        <v>341 - AW</v>
      </c>
      <c r="AM637" s="121" t="str">
        <f t="shared" si="143"/>
        <v>341 - AW</v>
      </c>
      <c r="AO637" s="121" t="str">
        <f>IF('Cable Info'!N342="","",CONCATENATE('Cable Info'!N342," - ",'Cable Info'!O342))</f>
        <v>341 - AW</v>
      </c>
      <c r="AR637" s="121" t="str">
        <f t="shared" si="144"/>
        <v>341 - AW</v>
      </c>
      <c r="AT637" s="121" t="str">
        <f>IF('Cable Info'!P342="","",CONCATENATE('Cable Info'!P342," - ",'Cable Info'!Q342))</f>
        <v/>
      </c>
      <c r="AW637" s="121" t="str">
        <f t="shared" si="145"/>
        <v/>
      </c>
      <c r="AY637" s="121" t="str">
        <f>IF('Cable Info'!R342="","",CONCATENATE('Cable Info'!R342," - ",'Cable Info'!S342))</f>
        <v/>
      </c>
      <c r="BB637" s="121" t="str">
        <f t="shared" si="146"/>
        <v/>
      </c>
      <c r="BD637" s="121" t="str">
        <f>IF('Cable Info'!T342="","",CONCATENATE('Cable Info'!T342," - ",'Cable Info'!U342))</f>
        <v/>
      </c>
      <c r="BG637" s="121" t="str">
        <f t="shared" si="147"/>
        <v/>
      </c>
      <c r="BI637" s="121" t="str">
        <f>IF('Cable Info'!V342="","",CONCATENATE('Cable Info'!V342," - ",'Cable Info'!W342))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str">
        <f>IF('Cable Info'!L343="","",CONCATENATE('Cable Info'!L343," - ",'Cable Info'!M343))</f>
        <v>342 - AW</v>
      </c>
      <c r="AM638" s="121" t="str">
        <f t="shared" si="143"/>
        <v>342 - AW</v>
      </c>
      <c r="AO638" s="121" t="str">
        <f>IF('Cable Info'!N343="","",CONCATENATE('Cable Info'!N343," - ",'Cable Info'!O343))</f>
        <v>342 - AW</v>
      </c>
      <c r="AR638" s="121" t="str">
        <f t="shared" si="144"/>
        <v>342 - AW</v>
      </c>
      <c r="AT638" s="121" t="str">
        <f>IF('Cable Info'!P343="","",CONCATENATE('Cable Info'!P343," - ",'Cable Info'!Q343))</f>
        <v/>
      </c>
      <c r="AW638" s="121" t="str">
        <f t="shared" si="145"/>
        <v/>
      </c>
      <c r="AY638" s="121" t="str">
        <f>IF('Cable Info'!R343="","",CONCATENATE('Cable Info'!R343," - ",'Cable Info'!S343))</f>
        <v/>
      </c>
      <c r="BB638" s="121" t="str">
        <f t="shared" si="146"/>
        <v/>
      </c>
      <c r="BD638" s="121" t="str">
        <f>IF('Cable Info'!T343="","",CONCATENATE('Cable Info'!T343," - ",'Cable Info'!U343))</f>
        <v/>
      </c>
      <c r="BG638" s="121" t="str">
        <f t="shared" si="147"/>
        <v/>
      </c>
      <c r="BI638" s="121" t="str">
        <f>IF('Cable Info'!V343="","",CONCATENATE('Cable Info'!V343," - ",'Cable Info'!W343))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str">
        <f>IF('Cable Info'!L344="","",CONCATENATE('Cable Info'!L344," - ",'Cable Info'!M344))</f>
        <v>343 - AW</v>
      </c>
      <c r="AM639" s="121" t="str">
        <f t="shared" si="143"/>
        <v>343 - AW</v>
      </c>
      <c r="AO639" s="121" t="str">
        <f>IF('Cable Info'!N344="","",CONCATENATE('Cable Info'!N344," - ",'Cable Info'!O344))</f>
        <v>343 - AW</v>
      </c>
      <c r="AR639" s="121" t="str">
        <f t="shared" si="144"/>
        <v>343 - AW</v>
      </c>
      <c r="AT639" s="121" t="str">
        <f>IF('Cable Info'!P344="","",CONCATENATE('Cable Info'!P344," - ",'Cable Info'!Q344))</f>
        <v/>
      </c>
      <c r="AW639" s="121" t="str">
        <f t="shared" si="145"/>
        <v/>
      </c>
      <c r="AY639" s="121" t="str">
        <f>IF('Cable Info'!R344="","",CONCATENATE('Cable Info'!R344," - ",'Cable Info'!S344))</f>
        <v/>
      </c>
      <c r="BB639" s="121" t="str">
        <f t="shared" si="146"/>
        <v/>
      </c>
      <c r="BD639" s="121" t="str">
        <f>IF('Cable Info'!T344="","",CONCATENATE('Cable Info'!T344," - ",'Cable Info'!U344))</f>
        <v/>
      </c>
      <c r="BG639" s="121" t="str">
        <f t="shared" si="147"/>
        <v/>
      </c>
      <c r="BI639" s="121" t="str">
        <f>IF('Cable Info'!V344="","",CONCATENATE('Cable Info'!V344," - ",'Cable Info'!W344))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str">
        <f>IF('Cable Info'!L345="","",CONCATENATE('Cable Info'!L345," - ",'Cable Info'!M345))</f>
        <v>344 - AW</v>
      </c>
      <c r="AM640" s="121" t="str">
        <f t="shared" si="143"/>
        <v>344 - AW</v>
      </c>
      <c r="AO640" s="121" t="str">
        <f>IF('Cable Info'!N345="","",CONCATENATE('Cable Info'!N345," - ",'Cable Info'!O345))</f>
        <v>344 - AW</v>
      </c>
      <c r="AR640" s="121" t="str">
        <f t="shared" si="144"/>
        <v>344 - AW</v>
      </c>
      <c r="AT640" s="121" t="str">
        <f>IF('Cable Info'!P345="","",CONCATENATE('Cable Info'!P345," - ",'Cable Info'!Q345))</f>
        <v/>
      </c>
      <c r="AW640" s="121" t="str">
        <f t="shared" si="145"/>
        <v/>
      </c>
      <c r="AY640" s="121" t="str">
        <f>IF('Cable Info'!R345="","",CONCATENATE('Cable Info'!R345," - ",'Cable Info'!S345))</f>
        <v/>
      </c>
      <c r="BB640" s="121" t="str">
        <f t="shared" si="146"/>
        <v/>
      </c>
      <c r="BD640" s="121" t="str">
        <f>IF('Cable Info'!T345="","",CONCATENATE('Cable Info'!T345," - ",'Cable Info'!U345))</f>
        <v/>
      </c>
      <c r="BG640" s="121" t="str">
        <f t="shared" si="147"/>
        <v/>
      </c>
      <c r="BI640" s="121" t="str">
        <f>IF('Cable Info'!V345="","",CONCATENATE('Cable Info'!V345," - ",'Cable Info'!W345))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str">
        <f>IF('Cable Info'!L346="","",CONCATENATE('Cable Info'!L346," - ",'Cable Info'!M346))</f>
        <v>345 - AW</v>
      </c>
      <c r="AM641" s="121" t="str">
        <f t="shared" si="143"/>
        <v>345 - AW</v>
      </c>
      <c r="AO641" s="121" t="str">
        <f>IF('Cable Info'!N346="","",CONCATENATE('Cable Info'!N346," - ",'Cable Info'!O346))</f>
        <v>345 - AW</v>
      </c>
      <c r="AR641" s="121" t="str">
        <f t="shared" si="144"/>
        <v>345 - AW</v>
      </c>
      <c r="AT641" s="121" t="str">
        <f>IF('Cable Info'!P346="","",CONCATENATE('Cable Info'!P346," - ",'Cable Info'!Q346))</f>
        <v/>
      </c>
      <c r="AW641" s="121" t="str">
        <f t="shared" si="145"/>
        <v/>
      </c>
      <c r="AY641" s="121" t="str">
        <f>IF('Cable Info'!R346="","",CONCATENATE('Cable Info'!R346," - ",'Cable Info'!S346))</f>
        <v/>
      </c>
      <c r="BB641" s="121" t="str">
        <f t="shared" si="146"/>
        <v/>
      </c>
      <c r="BD641" s="121" t="str">
        <f>IF('Cable Info'!T346="","",CONCATENATE('Cable Info'!T346," - ",'Cable Info'!U346))</f>
        <v/>
      </c>
      <c r="BG641" s="121" t="str">
        <f t="shared" si="147"/>
        <v/>
      </c>
      <c r="BI641" s="121" t="str">
        <f>IF('Cable Info'!V346="","",CONCATENATE('Cable Info'!V346," - ",'Cable Info'!W346))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str">
        <f>IF('Cable Info'!L347="","",CONCATENATE('Cable Info'!L347," - ",'Cable Info'!M347))</f>
        <v>346 - AW</v>
      </c>
      <c r="AM642" s="121" t="str">
        <f t="shared" si="143"/>
        <v>346 - AW</v>
      </c>
      <c r="AO642" s="121" t="str">
        <f>IF('Cable Info'!N347="","",CONCATENATE('Cable Info'!N347," - ",'Cable Info'!O347))</f>
        <v>346 - AW</v>
      </c>
      <c r="AR642" s="121" t="str">
        <f t="shared" si="144"/>
        <v>346 - AW</v>
      </c>
      <c r="AT642" s="121" t="str">
        <f>IF('Cable Info'!P347="","",CONCATENATE('Cable Info'!P347," - ",'Cable Info'!Q347))</f>
        <v/>
      </c>
      <c r="AW642" s="121" t="str">
        <f t="shared" si="145"/>
        <v/>
      </c>
      <c r="AY642" s="121" t="str">
        <f>IF('Cable Info'!R347="","",CONCATENATE('Cable Info'!R347," - ",'Cable Info'!S347))</f>
        <v/>
      </c>
      <c r="BB642" s="121" t="str">
        <f t="shared" si="146"/>
        <v/>
      </c>
      <c r="BD642" s="121" t="str">
        <f>IF('Cable Info'!T347="","",CONCATENATE('Cable Info'!T347," - ",'Cable Info'!U347))</f>
        <v/>
      </c>
      <c r="BG642" s="121" t="str">
        <f t="shared" si="147"/>
        <v/>
      </c>
      <c r="BI642" s="121" t="str">
        <f>IF('Cable Info'!V347="","",CONCATENATE('Cable Info'!V347," - ",'Cable Info'!W347))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str">
        <f>IF('Cable Info'!L348="","",CONCATENATE('Cable Info'!L348," - ",'Cable Info'!M348))</f>
        <v>347 - AW</v>
      </c>
      <c r="AM643" s="121" t="str">
        <f t="shared" si="143"/>
        <v>347 - AW</v>
      </c>
      <c r="AO643" s="121" t="str">
        <f>IF('Cable Info'!N348="","",CONCATENATE('Cable Info'!N348," - ",'Cable Info'!O348))</f>
        <v>347 - AW</v>
      </c>
      <c r="AR643" s="121" t="str">
        <f t="shared" si="144"/>
        <v>347 - AW</v>
      </c>
      <c r="AT643" s="121" t="str">
        <f>IF('Cable Info'!P348="","",CONCATENATE('Cable Info'!P348," - ",'Cable Info'!Q348))</f>
        <v/>
      </c>
      <c r="AW643" s="121" t="str">
        <f t="shared" si="145"/>
        <v/>
      </c>
      <c r="AY643" s="121" t="str">
        <f>IF('Cable Info'!R348="","",CONCATENATE('Cable Info'!R348," - ",'Cable Info'!S348))</f>
        <v/>
      </c>
      <c r="BB643" s="121" t="str">
        <f t="shared" si="146"/>
        <v/>
      </c>
      <c r="BD643" s="121" t="str">
        <f>IF('Cable Info'!T348="","",CONCATENATE('Cable Info'!T348," - ",'Cable Info'!U348))</f>
        <v/>
      </c>
      <c r="BG643" s="121" t="str">
        <f t="shared" si="147"/>
        <v/>
      </c>
      <c r="BI643" s="121" t="str">
        <f>IF('Cable Info'!V348="","",CONCATENATE('Cable Info'!V348," - ",'Cable Info'!W348))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str">
        <f>IF('Cable Info'!L349="","",CONCATENATE('Cable Info'!L349," - ",'Cable Info'!M349))</f>
        <v>348 - AW</v>
      </c>
      <c r="AM644" s="121" t="str">
        <f t="shared" si="143"/>
        <v>348 - AW</v>
      </c>
      <c r="AO644" s="121" t="str">
        <f>IF('Cable Info'!N349="","",CONCATENATE('Cable Info'!N349," - ",'Cable Info'!O349))</f>
        <v>348 - AW</v>
      </c>
      <c r="AR644" s="121" t="str">
        <f t="shared" si="144"/>
        <v>348 - AW</v>
      </c>
      <c r="AT644" s="121" t="str">
        <f>IF('Cable Info'!P349="","",CONCATENATE('Cable Info'!P349," - ",'Cable Info'!Q349))</f>
        <v/>
      </c>
      <c r="AW644" s="121" t="str">
        <f t="shared" si="145"/>
        <v/>
      </c>
      <c r="AY644" s="121" t="str">
        <f>IF('Cable Info'!R349="","",CONCATENATE('Cable Info'!R349," - ",'Cable Info'!S349))</f>
        <v/>
      </c>
      <c r="BB644" s="121" t="str">
        <f t="shared" si="146"/>
        <v/>
      </c>
      <c r="BD644" s="121" t="str">
        <f>IF('Cable Info'!T349="","",CONCATENATE('Cable Info'!T349," - ",'Cable Info'!U349))</f>
        <v/>
      </c>
      <c r="BG644" s="121" t="str">
        <f t="shared" si="147"/>
        <v/>
      </c>
      <c r="BI644" s="121" t="str">
        <f>IF('Cable Info'!V349="","",CONCATENATE('Cable Info'!V349," - ",'Cable Info'!W349))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str">
        <f>IF('Cable Info'!L350="","",CONCATENATE('Cable Info'!L350," - ",'Cable Info'!M350))</f>
        <v>349 - AW</v>
      </c>
      <c r="AM645" s="121" t="str">
        <f t="shared" si="143"/>
        <v>349 - AW</v>
      </c>
      <c r="AO645" s="121" t="str">
        <f>IF('Cable Info'!N350="","",CONCATENATE('Cable Info'!N350," - ",'Cable Info'!O350))</f>
        <v>349 - AW</v>
      </c>
      <c r="AR645" s="121" t="str">
        <f t="shared" si="144"/>
        <v>349 - AW</v>
      </c>
      <c r="AT645" s="121" t="str">
        <f>IF('Cable Info'!P350="","",CONCATENATE('Cable Info'!P350," - ",'Cable Info'!Q350))</f>
        <v/>
      </c>
      <c r="AW645" s="121" t="str">
        <f t="shared" si="145"/>
        <v/>
      </c>
      <c r="AY645" s="121" t="str">
        <f>IF('Cable Info'!R350="","",CONCATENATE('Cable Info'!R350," - ",'Cable Info'!S350))</f>
        <v/>
      </c>
      <c r="BB645" s="121" t="str">
        <f t="shared" si="146"/>
        <v/>
      </c>
      <c r="BD645" s="121" t="str">
        <f>IF('Cable Info'!T350="","",CONCATENATE('Cable Info'!T350," - ",'Cable Info'!U350))</f>
        <v/>
      </c>
      <c r="BG645" s="121" t="str">
        <f t="shared" si="147"/>
        <v/>
      </c>
      <c r="BI645" s="121" t="str">
        <f>IF('Cable Info'!V350="","",CONCATENATE('Cable Info'!V350," - ",'Cable Info'!W350))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str">
        <f>IF('Cable Info'!L351="","",CONCATENATE('Cable Info'!L351," - ",'Cable Info'!M351))</f>
        <v>350 - AW</v>
      </c>
      <c r="AM646" s="121" t="str">
        <f t="shared" si="143"/>
        <v>350 - AW</v>
      </c>
      <c r="AO646" s="121" t="str">
        <f>IF('Cable Info'!N351="","",CONCATENATE('Cable Info'!N351," - ",'Cable Info'!O351))</f>
        <v>350 - AW</v>
      </c>
      <c r="AR646" s="121" t="str">
        <f t="shared" si="144"/>
        <v>350 - AW</v>
      </c>
      <c r="AT646" s="121" t="str">
        <f>IF('Cable Info'!P351="","",CONCATENATE('Cable Info'!P351," - ",'Cable Info'!Q351))</f>
        <v/>
      </c>
      <c r="AW646" s="121" t="str">
        <f t="shared" si="145"/>
        <v/>
      </c>
      <c r="AY646" s="121" t="str">
        <f>IF('Cable Info'!R351="","",CONCATENATE('Cable Info'!R351," - ",'Cable Info'!S351))</f>
        <v/>
      </c>
      <c r="BB646" s="121" t="str">
        <f t="shared" si="146"/>
        <v/>
      </c>
      <c r="BD646" s="121" t="str">
        <f>IF('Cable Info'!T351="","",CONCATENATE('Cable Info'!T351," - ",'Cable Info'!U351))</f>
        <v/>
      </c>
      <c r="BG646" s="121" t="str">
        <f t="shared" si="147"/>
        <v/>
      </c>
      <c r="BI646" s="121" t="str">
        <f>IF('Cable Info'!V351="","",CONCATENATE('Cable Info'!V351," - ",'Cable Info'!W351))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str">
        <f>IF('Cable Info'!L352="","",CONCATENATE('Cable Info'!L352," - ",'Cable Info'!M352))</f>
        <v>351 - AW</v>
      </c>
      <c r="AM647" s="121" t="str">
        <f t="shared" si="143"/>
        <v>351 - AW</v>
      </c>
      <c r="AO647" s="121" t="str">
        <f>IF('Cable Info'!N352="","",CONCATENATE('Cable Info'!N352," - ",'Cable Info'!O352))</f>
        <v>351 - AW</v>
      </c>
      <c r="AR647" s="121" t="str">
        <f t="shared" si="144"/>
        <v>351 - AW</v>
      </c>
      <c r="AT647" s="121" t="str">
        <f>IF('Cable Info'!P352="","",CONCATENATE('Cable Info'!P352," - ",'Cable Info'!Q352))</f>
        <v/>
      </c>
      <c r="AW647" s="121" t="str">
        <f t="shared" si="145"/>
        <v/>
      </c>
      <c r="AY647" s="121" t="str">
        <f>IF('Cable Info'!R352="","",CONCATENATE('Cable Info'!R352," - ",'Cable Info'!S352))</f>
        <v/>
      </c>
      <c r="BB647" s="121" t="str">
        <f t="shared" si="146"/>
        <v/>
      </c>
      <c r="BD647" s="121" t="str">
        <f>IF('Cable Info'!T352="","",CONCATENATE('Cable Info'!T352," - ",'Cable Info'!U352))</f>
        <v/>
      </c>
      <c r="BG647" s="121" t="str">
        <f t="shared" si="147"/>
        <v/>
      </c>
      <c r="BI647" s="121" t="str">
        <f>IF('Cable Info'!V352="","",CONCATENATE('Cable Info'!V352," - ",'Cable Info'!W352))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str">
        <f>IF('Cable Info'!L353="","",CONCATENATE('Cable Info'!L353," - ",'Cable Info'!M353))</f>
        <v>352 - AW</v>
      </c>
      <c r="AM648" s="121" t="str">
        <f t="shared" si="143"/>
        <v>352 - AW</v>
      </c>
      <c r="AO648" s="121" t="str">
        <f>IF('Cable Info'!N353="","",CONCATENATE('Cable Info'!N353," - ",'Cable Info'!O353))</f>
        <v>352 - AW</v>
      </c>
      <c r="AR648" s="121" t="str">
        <f t="shared" si="144"/>
        <v>352 - AW</v>
      </c>
      <c r="AT648" s="121" t="str">
        <f>IF('Cable Info'!P353="","",CONCATENATE('Cable Info'!P353," - ",'Cable Info'!Q353))</f>
        <v/>
      </c>
      <c r="AW648" s="121" t="str">
        <f t="shared" si="145"/>
        <v/>
      </c>
      <c r="AY648" s="121" t="str">
        <f>IF('Cable Info'!R353="","",CONCATENATE('Cable Info'!R353," - ",'Cable Info'!S353))</f>
        <v/>
      </c>
      <c r="BB648" s="121" t="str">
        <f t="shared" si="146"/>
        <v/>
      </c>
      <c r="BD648" s="121" t="str">
        <f>IF('Cable Info'!T353="","",CONCATENATE('Cable Info'!T353," - ",'Cable Info'!U353))</f>
        <v/>
      </c>
      <c r="BG648" s="121" t="str">
        <f t="shared" si="147"/>
        <v/>
      </c>
      <c r="BI648" s="121" t="str">
        <f>IF('Cable Info'!V353="","",CONCATENATE('Cable Info'!V353," - ",'Cable Info'!W353))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str">
        <f>IF('Cable Info'!L354="","",CONCATENATE('Cable Info'!L354," - ",'Cable Info'!M354))</f>
        <v>353 - AW</v>
      </c>
      <c r="AM649" s="121" t="str">
        <f t="shared" si="143"/>
        <v>353 - AW</v>
      </c>
      <c r="AO649" s="121" t="str">
        <f>IF('Cable Info'!N354="","",CONCATENATE('Cable Info'!N354," - ",'Cable Info'!O354))</f>
        <v>353 - AW</v>
      </c>
      <c r="AR649" s="121" t="str">
        <f t="shared" si="144"/>
        <v>353 - AW</v>
      </c>
      <c r="AT649" s="121" t="str">
        <f>IF('Cable Info'!P354="","",CONCATENATE('Cable Info'!P354," - ",'Cable Info'!Q354))</f>
        <v/>
      </c>
      <c r="AW649" s="121" t="str">
        <f t="shared" si="145"/>
        <v/>
      </c>
      <c r="AY649" s="121" t="str">
        <f>IF('Cable Info'!R354="","",CONCATENATE('Cable Info'!R354," - ",'Cable Info'!S354))</f>
        <v/>
      </c>
      <c r="BB649" s="121" t="str">
        <f t="shared" si="146"/>
        <v/>
      </c>
      <c r="BD649" s="121" t="str">
        <f>IF('Cable Info'!T354="","",CONCATENATE('Cable Info'!T354," - ",'Cable Info'!U354))</f>
        <v/>
      </c>
      <c r="BG649" s="121" t="str">
        <f t="shared" si="147"/>
        <v/>
      </c>
      <c r="BI649" s="121" t="str">
        <f>IF('Cable Info'!V354="","",CONCATENATE('Cable Info'!V354," - ",'Cable Info'!W354))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str">
        <f>IF('Cable Info'!L355="","",CONCATENATE('Cable Info'!L355," - ",'Cable Info'!M355))</f>
        <v>354 - AW</v>
      </c>
      <c r="AM650" s="121" t="str">
        <f t="shared" si="143"/>
        <v>354 - AW</v>
      </c>
      <c r="AO650" s="121" t="str">
        <f>IF('Cable Info'!N355="","",CONCATENATE('Cable Info'!N355," - ",'Cable Info'!O355))</f>
        <v>354 - AW</v>
      </c>
      <c r="AR650" s="121" t="str">
        <f t="shared" si="144"/>
        <v>354 - AW</v>
      </c>
      <c r="AT650" s="121" t="str">
        <f>IF('Cable Info'!P355="","",CONCATENATE('Cable Info'!P355," - ",'Cable Info'!Q355))</f>
        <v/>
      </c>
      <c r="AW650" s="121" t="str">
        <f t="shared" si="145"/>
        <v/>
      </c>
      <c r="AY650" s="121" t="str">
        <f>IF('Cable Info'!R355="","",CONCATENATE('Cable Info'!R355," - ",'Cable Info'!S355))</f>
        <v/>
      </c>
      <c r="BB650" s="121" t="str">
        <f t="shared" si="146"/>
        <v/>
      </c>
      <c r="BD650" s="121" t="str">
        <f>IF('Cable Info'!T355="","",CONCATENATE('Cable Info'!T355," - ",'Cable Info'!U355))</f>
        <v/>
      </c>
      <c r="BG650" s="121" t="str">
        <f t="shared" si="147"/>
        <v/>
      </c>
      <c r="BI650" s="121" t="str">
        <f>IF('Cable Info'!V355="","",CONCATENATE('Cable Info'!V355," - ",'Cable Info'!W355))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str">
        <f>IF('Cable Info'!L356="","",CONCATENATE('Cable Info'!L356," - ",'Cable Info'!M356))</f>
        <v>355 - AW</v>
      </c>
      <c r="AM651" s="121" t="str">
        <f t="shared" si="143"/>
        <v>355 - AW</v>
      </c>
      <c r="AO651" s="121" t="str">
        <f>IF('Cable Info'!N356="","",CONCATENATE('Cable Info'!N356," - ",'Cable Info'!O356))</f>
        <v>355 - AW</v>
      </c>
      <c r="AR651" s="121" t="str">
        <f t="shared" si="144"/>
        <v>355 - AW</v>
      </c>
      <c r="AT651" s="121" t="str">
        <f>IF('Cable Info'!P356="","",CONCATENATE('Cable Info'!P356," - ",'Cable Info'!Q356))</f>
        <v/>
      </c>
      <c r="AW651" s="121" t="str">
        <f t="shared" si="145"/>
        <v/>
      </c>
      <c r="AY651" s="121" t="str">
        <f>IF('Cable Info'!R356="","",CONCATENATE('Cable Info'!R356," - ",'Cable Info'!S356))</f>
        <v/>
      </c>
      <c r="BB651" s="121" t="str">
        <f t="shared" si="146"/>
        <v/>
      </c>
      <c r="BD651" s="121" t="str">
        <f>IF('Cable Info'!T356="","",CONCATENATE('Cable Info'!T356," - ",'Cable Info'!U356))</f>
        <v/>
      </c>
      <c r="BG651" s="121" t="str">
        <f t="shared" si="147"/>
        <v/>
      </c>
      <c r="BI651" s="121" t="str">
        <f>IF('Cable Info'!V356="","",CONCATENATE('Cable Info'!V356," - ",'Cable Info'!W356))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str">
        <f>IF('Cable Info'!L357="","",CONCATENATE('Cable Info'!L357," - ",'Cable Info'!M357))</f>
        <v>356 - AW</v>
      </c>
      <c r="AM652" s="121" t="str">
        <f t="shared" si="143"/>
        <v>356 - AW</v>
      </c>
      <c r="AO652" s="121" t="str">
        <f>IF('Cable Info'!N357="","",CONCATENATE('Cable Info'!N357," - ",'Cable Info'!O357))</f>
        <v>356 - AW</v>
      </c>
      <c r="AR652" s="121" t="str">
        <f t="shared" si="144"/>
        <v>356 - AW</v>
      </c>
      <c r="AT652" s="121" t="str">
        <f>IF('Cable Info'!P357="","",CONCATENATE('Cable Info'!P357," - ",'Cable Info'!Q357))</f>
        <v/>
      </c>
      <c r="AW652" s="121" t="str">
        <f t="shared" si="145"/>
        <v/>
      </c>
      <c r="AY652" s="121" t="str">
        <f>IF('Cable Info'!R357="","",CONCATENATE('Cable Info'!R357," - ",'Cable Info'!S357))</f>
        <v/>
      </c>
      <c r="BB652" s="121" t="str">
        <f t="shared" si="146"/>
        <v/>
      </c>
      <c r="BD652" s="121" t="str">
        <f>IF('Cable Info'!T357="","",CONCATENATE('Cable Info'!T357," - ",'Cable Info'!U357))</f>
        <v/>
      </c>
      <c r="BG652" s="121" t="str">
        <f t="shared" si="147"/>
        <v/>
      </c>
      <c r="BI652" s="121" t="str">
        <f>IF('Cable Info'!V357="","",CONCATENATE('Cable Info'!V357," - ",'Cable Info'!W357))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str">
        <f>IF('Cable Info'!L358="","",CONCATENATE('Cable Info'!L358," - ",'Cable Info'!M358))</f>
        <v>357 - AW</v>
      </c>
      <c r="AM653" s="121" t="str">
        <f t="shared" si="143"/>
        <v>357 - AW</v>
      </c>
      <c r="AO653" s="121" t="str">
        <f>IF('Cable Info'!N358="","",CONCATENATE('Cable Info'!N358," - ",'Cable Info'!O358))</f>
        <v>357 - AW</v>
      </c>
      <c r="AR653" s="121" t="str">
        <f t="shared" si="144"/>
        <v>357 - AW</v>
      </c>
      <c r="AT653" s="121" t="str">
        <f>IF('Cable Info'!P358="","",CONCATENATE('Cable Info'!P358," - ",'Cable Info'!Q358))</f>
        <v/>
      </c>
      <c r="AW653" s="121" t="str">
        <f t="shared" si="145"/>
        <v/>
      </c>
      <c r="AY653" s="121" t="str">
        <f>IF('Cable Info'!R358="","",CONCATENATE('Cable Info'!R358," - ",'Cable Info'!S358))</f>
        <v/>
      </c>
      <c r="BB653" s="121" t="str">
        <f t="shared" si="146"/>
        <v/>
      </c>
      <c r="BD653" s="121" t="str">
        <f>IF('Cable Info'!T358="","",CONCATENATE('Cable Info'!T358," - ",'Cable Info'!U358))</f>
        <v/>
      </c>
      <c r="BG653" s="121" t="str">
        <f t="shared" si="147"/>
        <v/>
      </c>
      <c r="BI653" s="121" t="str">
        <f>IF('Cable Info'!V358="","",CONCATENATE('Cable Info'!V358," - ",'Cable Info'!W358))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str">
        <f>IF('Cable Info'!L359="","",CONCATENATE('Cable Info'!L359," - ",'Cable Info'!M359))</f>
        <v>358 - AW</v>
      </c>
      <c r="AM654" s="121" t="str">
        <f t="shared" si="143"/>
        <v>358 - AW</v>
      </c>
      <c r="AO654" s="121" t="str">
        <f>IF('Cable Info'!N359="","",CONCATENATE('Cable Info'!N359," - ",'Cable Info'!O359))</f>
        <v>358 - AW</v>
      </c>
      <c r="AR654" s="121" t="str">
        <f t="shared" si="144"/>
        <v>358 - AW</v>
      </c>
      <c r="AT654" s="121" t="str">
        <f>IF('Cable Info'!P359="","",CONCATENATE('Cable Info'!P359," - ",'Cable Info'!Q359))</f>
        <v/>
      </c>
      <c r="AW654" s="121" t="str">
        <f t="shared" si="145"/>
        <v/>
      </c>
      <c r="AY654" s="121" t="str">
        <f>IF('Cable Info'!R359="","",CONCATENATE('Cable Info'!R359," - ",'Cable Info'!S359))</f>
        <v/>
      </c>
      <c r="BB654" s="121" t="str">
        <f t="shared" si="146"/>
        <v/>
      </c>
      <c r="BD654" s="121" t="str">
        <f>IF('Cable Info'!T359="","",CONCATENATE('Cable Info'!T359," - ",'Cable Info'!U359))</f>
        <v/>
      </c>
      <c r="BG654" s="121" t="str">
        <f t="shared" si="147"/>
        <v/>
      </c>
      <c r="BI654" s="121" t="str">
        <f>IF('Cable Info'!V359="","",CONCATENATE('Cable Info'!V359," - ",'Cable Info'!W359))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str">
        <f>IF('Cable Info'!L360="","",CONCATENATE('Cable Info'!L360," - ",'Cable Info'!M360))</f>
        <v>359 - AW</v>
      </c>
      <c r="AM655" s="121" t="str">
        <f t="shared" si="143"/>
        <v>359 - AW</v>
      </c>
      <c r="AO655" s="121" t="str">
        <f>IF('Cable Info'!N360="","",CONCATENATE('Cable Info'!N360," - ",'Cable Info'!O360))</f>
        <v>359 - AW</v>
      </c>
      <c r="AR655" s="121" t="str">
        <f t="shared" si="144"/>
        <v>359 - AW</v>
      </c>
      <c r="AT655" s="121" t="str">
        <f>IF('Cable Info'!P360="","",CONCATENATE('Cable Info'!P360," - ",'Cable Info'!Q360))</f>
        <v/>
      </c>
      <c r="AW655" s="121" t="str">
        <f t="shared" si="145"/>
        <v/>
      </c>
      <c r="AY655" s="121" t="str">
        <f>IF('Cable Info'!R360="","",CONCATENATE('Cable Info'!R360," - ",'Cable Info'!S360))</f>
        <v/>
      </c>
      <c r="BB655" s="121" t="str">
        <f t="shared" si="146"/>
        <v/>
      </c>
      <c r="BD655" s="121" t="str">
        <f>IF('Cable Info'!T360="","",CONCATENATE('Cable Info'!T360," - ",'Cable Info'!U360))</f>
        <v/>
      </c>
      <c r="BG655" s="121" t="str">
        <f t="shared" si="147"/>
        <v/>
      </c>
      <c r="BI655" s="121" t="str">
        <f>IF('Cable Info'!V360="","",CONCATENATE('Cable Info'!V360," - ",'Cable Info'!W360))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str">
        <f>IF('Cable Info'!L361="","",CONCATENATE('Cable Info'!L361," - ",'Cable Info'!M361))</f>
        <v>360 - AW</v>
      </c>
      <c r="AM656" s="121" t="str">
        <f t="shared" si="143"/>
        <v>360 - AW</v>
      </c>
      <c r="AO656" s="121" t="str">
        <f>IF('Cable Info'!N361="","",CONCATENATE('Cable Info'!N361," - ",'Cable Info'!O361))</f>
        <v>360 - AW</v>
      </c>
      <c r="AR656" s="121" t="str">
        <f t="shared" si="144"/>
        <v>360 - AW</v>
      </c>
      <c r="AT656" s="121" t="str">
        <f>IF('Cable Info'!P361="","",CONCATENATE('Cable Info'!P361," - ",'Cable Info'!Q361))</f>
        <v/>
      </c>
      <c r="AW656" s="121" t="str">
        <f t="shared" si="145"/>
        <v/>
      </c>
      <c r="AY656" s="121" t="str">
        <f>IF('Cable Info'!R361="","",CONCATENATE('Cable Info'!R361," - ",'Cable Info'!S361))</f>
        <v/>
      </c>
      <c r="BB656" s="121" t="str">
        <f t="shared" si="146"/>
        <v/>
      </c>
      <c r="BD656" s="121" t="str">
        <f>IF('Cable Info'!T361="","",CONCATENATE('Cable Info'!T361," - ",'Cable Info'!U361))</f>
        <v/>
      </c>
      <c r="BG656" s="121" t="str">
        <f t="shared" si="147"/>
        <v/>
      </c>
      <c r="BI656" s="121" t="str">
        <f>IF('Cable Info'!V361="","",CONCATENATE('Cable Info'!V361," - ",'Cable Info'!W361))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str">
        <f>IF('Cable Info'!L362="","",CONCATENATE('Cable Info'!L362," - ",'Cable Info'!M362))</f>
        <v>361 - AW</v>
      </c>
      <c r="AM657" s="121" t="str">
        <f t="shared" si="143"/>
        <v>361 - AW</v>
      </c>
      <c r="AO657" s="121" t="str">
        <f>IF('Cable Info'!N362="","",CONCATENATE('Cable Info'!N362," - ",'Cable Info'!O362))</f>
        <v>361 - AW</v>
      </c>
      <c r="AR657" s="121" t="str">
        <f t="shared" si="144"/>
        <v>361 - AW</v>
      </c>
      <c r="AT657" s="121" t="str">
        <f>IF('Cable Info'!P362="","",CONCATENATE('Cable Info'!P362," - ",'Cable Info'!Q362))</f>
        <v/>
      </c>
      <c r="AW657" s="121" t="str">
        <f t="shared" si="145"/>
        <v/>
      </c>
      <c r="AY657" s="121" t="str">
        <f>IF('Cable Info'!R362="","",CONCATENATE('Cable Info'!R362," - ",'Cable Info'!S362))</f>
        <v/>
      </c>
      <c r="BB657" s="121" t="str">
        <f t="shared" si="146"/>
        <v/>
      </c>
      <c r="BD657" s="121" t="str">
        <f>IF('Cable Info'!T362="","",CONCATENATE('Cable Info'!T362," - ",'Cable Info'!U362))</f>
        <v/>
      </c>
      <c r="BG657" s="121" t="str">
        <f t="shared" si="147"/>
        <v/>
      </c>
      <c r="BI657" s="121" t="str">
        <f>IF('Cable Info'!V362="","",CONCATENATE('Cable Info'!V362," - ",'Cable Info'!W362))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str">
        <f>IF('Cable Info'!L363="","",CONCATENATE('Cable Info'!L363," - ",'Cable Info'!M363))</f>
        <v>362 - AW</v>
      </c>
      <c r="AM658" s="121" t="str">
        <f t="shared" si="143"/>
        <v>362 - AW</v>
      </c>
      <c r="AO658" s="121" t="str">
        <f>IF('Cable Info'!N363="","",CONCATENATE('Cable Info'!N363," - ",'Cable Info'!O363))</f>
        <v>362 - AW</v>
      </c>
      <c r="AR658" s="121" t="str">
        <f t="shared" si="144"/>
        <v>362 - AW</v>
      </c>
      <c r="AT658" s="121" t="str">
        <f>IF('Cable Info'!P363="","",CONCATENATE('Cable Info'!P363," - ",'Cable Info'!Q363))</f>
        <v/>
      </c>
      <c r="AW658" s="121" t="str">
        <f t="shared" si="145"/>
        <v/>
      </c>
      <c r="AY658" s="121" t="str">
        <f>IF('Cable Info'!R363="","",CONCATENATE('Cable Info'!R363," - ",'Cable Info'!S363))</f>
        <v/>
      </c>
      <c r="BB658" s="121" t="str">
        <f t="shared" si="146"/>
        <v/>
      </c>
      <c r="BD658" s="121" t="str">
        <f>IF('Cable Info'!T363="","",CONCATENATE('Cable Info'!T363," - ",'Cable Info'!U363))</f>
        <v/>
      </c>
      <c r="BG658" s="121" t="str">
        <f t="shared" si="147"/>
        <v/>
      </c>
      <c r="BI658" s="121" t="str">
        <f>IF('Cable Info'!V363="","",CONCATENATE('Cable Info'!V363," - ",'Cable Info'!W363))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str">
        <f>IF('Cable Info'!L364="","",CONCATENATE('Cable Info'!L364," - ",'Cable Info'!M364))</f>
        <v>363 - AW</v>
      </c>
      <c r="AM659" s="121" t="str">
        <f t="shared" si="143"/>
        <v>363 - AW</v>
      </c>
      <c r="AO659" s="121" t="str">
        <f>IF('Cable Info'!N364="","",CONCATENATE('Cable Info'!N364," - ",'Cable Info'!O364))</f>
        <v>363 - AW</v>
      </c>
      <c r="AR659" s="121" t="str">
        <f t="shared" si="144"/>
        <v>363 - AW</v>
      </c>
      <c r="AT659" s="121" t="str">
        <f>IF('Cable Info'!P364="","",CONCATENATE('Cable Info'!P364," - ",'Cable Info'!Q364))</f>
        <v/>
      </c>
      <c r="AW659" s="121" t="str">
        <f t="shared" si="145"/>
        <v/>
      </c>
      <c r="AY659" s="121" t="str">
        <f>IF('Cable Info'!R364="","",CONCATENATE('Cable Info'!R364," - ",'Cable Info'!S364))</f>
        <v/>
      </c>
      <c r="BB659" s="121" t="str">
        <f t="shared" si="146"/>
        <v/>
      </c>
      <c r="BD659" s="121" t="str">
        <f>IF('Cable Info'!T364="","",CONCATENATE('Cable Info'!T364," - ",'Cable Info'!U364))</f>
        <v/>
      </c>
      <c r="BG659" s="121" t="str">
        <f t="shared" si="147"/>
        <v/>
      </c>
      <c r="BI659" s="121" t="str">
        <f>IF('Cable Info'!V364="","",CONCATENATE('Cable Info'!V364," - ",'Cable Info'!W364))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str">
        <f>IF('Cable Info'!L365="","",CONCATENATE('Cable Info'!L365," - ",'Cable Info'!M365))</f>
        <v>364 - AW</v>
      </c>
      <c r="AM660" s="121" t="str">
        <f t="shared" si="143"/>
        <v>364 - AW</v>
      </c>
      <c r="AO660" s="121" t="str">
        <f>IF('Cable Info'!N365="","",CONCATENATE('Cable Info'!N365," - ",'Cable Info'!O365))</f>
        <v>364 - AW</v>
      </c>
      <c r="AR660" s="121" t="str">
        <f t="shared" si="144"/>
        <v>364 - AW</v>
      </c>
      <c r="AT660" s="121" t="str">
        <f>IF('Cable Info'!P365="","",CONCATENATE('Cable Info'!P365," - ",'Cable Info'!Q365))</f>
        <v/>
      </c>
      <c r="AW660" s="121" t="str">
        <f t="shared" si="145"/>
        <v/>
      </c>
      <c r="AY660" s="121" t="str">
        <f>IF('Cable Info'!R365="","",CONCATENATE('Cable Info'!R365," - ",'Cable Info'!S365))</f>
        <v/>
      </c>
      <c r="BB660" s="121" t="str">
        <f t="shared" si="146"/>
        <v/>
      </c>
      <c r="BD660" s="121" t="str">
        <f>IF('Cable Info'!T365="","",CONCATENATE('Cable Info'!T365," - ",'Cable Info'!U365))</f>
        <v/>
      </c>
      <c r="BG660" s="121" t="str">
        <f t="shared" si="147"/>
        <v/>
      </c>
      <c r="BI660" s="121" t="str">
        <f>IF('Cable Info'!V365="","",CONCATENATE('Cable Info'!V365," - ",'Cable Info'!W365))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str">
        <f>IF('Cable Info'!L366="","",CONCATENATE('Cable Info'!L366," - ",'Cable Info'!M366))</f>
        <v>365 - AW</v>
      </c>
      <c r="AM661" s="121" t="str">
        <f t="shared" si="143"/>
        <v>365 - AW</v>
      </c>
      <c r="AO661" s="121" t="str">
        <f>IF('Cable Info'!N366="","",CONCATENATE('Cable Info'!N366," - ",'Cable Info'!O366))</f>
        <v>365 - AW</v>
      </c>
      <c r="AR661" s="121" t="str">
        <f t="shared" si="144"/>
        <v>365 - AW</v>
      </c>
      <c r="AT661" s="121" t="str">
        <f>IF('Cable Info'!P366="","",CONCATENATE('Cable Info'!P366," - ",'Cable Info'!Q366))</f>
        <v/>
      </c>
      <c r="AW661" s="121" t="str">
        <f t="shared" si="145"/>
        <v/>
      </c>
      <c r="AY661" s="121" t="str">
        <f>IF('Cable Info'!R366="","",CONCATENATE('Cable Info'!R366," - ",'Cable Info'!S366))</f>
        <v/>
      </c>
      <c r="BB661" s="121" t="str">
        <f t="shared" si="146"/>
        <v/>
      </c>
      <c r="BD661" s="121" t="str">
        <f>IF('Cable Info'!T366="","",CONCATENATE('Cable Info'!T366," - ",'Cable Info'!U366))</f>
        <v/>
      </c>
      <c r="BG661" s="121" t="str">
        <f t="shared" si="147"/>
        <v/>
      </c>
      <c r="BI661" s="121" t="str">
        <f>IF('Cable Info'!V366="","",CONCATENATE('Cable Info'!V366," - ",'Cable Info'!W366))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str">
        <f>IF('Cable Info'!L367="","",CONCATENATE('Cable Info'!L367," - ",'Cable Info'!M367))</f>
        <v>366 - AW</v>
      </c>
      <c r="AM662" s="121" t="str">
        <f t="shared" si="143"/>
        <v>366 - AW</v>
      </c>
      <c r="AO662" s="121" t="str">
        <f>IF('Cable Info'!N367="","",CONCATENATE('Cable Info'!N367," - ",'Cable Info'!O367))</f>
        <v>366 - AW</v>
      </c>
      <c r="AR662" s="121" t="str">
        <f t="shared" si="144"/>
        <v>366 - AW</v>
      </c>
      <c r="AT662" s="121" t="str">
        <f>IF('Cable Info'!P367="","",CONCATENATE('Cable Info'!P367," - ",'Cable Info'!Q367))</f>
        <v/>
      </c>
      <c r="AW662" s="121" t="str">
        <f t="shared" si="145"/>
        <v/>
      </c>
      <c r="AY662" s="121" t="str">
        <f>IF('Cable Info'!R367="","",CONCATENATE('Cable Info'!R367," - ",'Cable Info'!S367))</f>
        <v/>
      </c>
      <c r="BB662" s="121" t="str">
        <f t="shared" si="146"/>
        <v/>
      </c>
      <c r="BD662" s="121" t="str">
        <f>IF('Cable Info'!T367="","",CONCATENATE('Cable Info'!T367," - ",'Cable Info'!U367))</f>
        <v/>
      </c>
      <c r="BG662" s="121" t="str">
        <f t="shared" si="147"/>
        <v/>
      </c>
      <c r="BI662" s="121" t="str">
        <f>IF('Cable Info'!V367="","",CONCATENATE('Cable Info'!V367," - ",'Cable Info'!W367))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str">
        <f>IF('Cable Info'!L368="","",CONCATENATE('Cable Info'!L368," - ",'Cable Info'!M368))</f>
        <v>367 - AW</v>
      </c>
      <c r="AM663" s="121" t="str">
        <f t="shared" si="143"/>
        <v>367 - AW</v>
      </c>
      <c r="AO663" s="121" t="str">
        <f>IF('Cable Info'!N368="","",CONCATENATE('Cable Info'!N368," - ",'Cable Info'!O368))</f>
        <v>367 - AW</v>
      </c>
      <c r="AR663" s="121" t="str">
        <f t="shared" si="144"/>
        <v>367 - AW</v>
      </c>
      <c r="AT663" s="121" t="str">
        <f>IF('Cable Info'!P368="","",CONCATENATE('Cable Info'!P368," - ",'Cable Info'!Q368))</f>
        <v/>
      </c>
      <c r="AW663" s="121" t="str">
        <f t="shared" si="145"/>
        <v/>
      </c>
      <c r="AY663" s="121" t="str">
        <f>IF('Cable Info'!R368="","",CONCATENATE('Cable Info'!R368," - ",'Cable Info'!S368))</f>
        <v/>
      </c>
      <c r="BB663" s="121" t="str">
        <f t="shared" si="146"/>
        <v/>
      </c>
      <c r="BD663" s="121" t="str">
        <f>IF('Cable Info'!T368="","",CONCATENATE('Cable Info'!T368," - ",'Cable Info'!U368))</f>
        <v/>
      </c>
      <c r="BG663" s="121" t="str">
        <f t="shared" si="147"/>
        <v/>
      </c>
      <c r="BI663" s="121" t="str">
        <f>IF('Cable Info'!V368="","",CONCATENATE('Cable Info'!V368," - ",'Cable Info'!W368))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str">
        <f>IF('Cable Info'!L369="","",CONCATENATE('Cable Info'!L369," - ",'Cable Info'!M369))</f>
        <v>368 - AW</v>
      </c>
      <c r="AM664" s="121" t="str">
        <f t="shared" si="143"/>
        <v>368 - AW</v>
      </c>
      <c r="AO664" s="121" t="str">
        <f>IF('Cable Info'!N369="","",CONCATENATE('Cable Info'!N369," - ",'Cable Info'!O369))</f>
        <v>368 - AW</v>
      </c>
      <c r="AR664" s="121" t="str">
        <f t="shared" si="144"/>
        <v>368 - AW</v>
      </c>
      <c r="AT664" s="121" t="str">
        <f>IF('Cable Info'!P369="","",CONCATENATE('Cable Info'!P369," - ",'Cable Info'!Q369))</f>
        <v/>
      </c>
      <c r="AW664" s="121" t="str">
        <f t="shared" si="145"/>
        <v/>
      </c>
      <c r="AY664" s="121" t="str">
        <f>IF('Cable Info'!R369="","",CONCATENATE('Cable Info'!R369," - ",'Cable Info'!S369))</f>
        <v/>
      </c>
      <c r="BB664" s="121" t="str">
        <f t="shared" si="146"/>
        <v/>
      </c>
      <c r="BD664" s="121" t="str">
        <f>IF('Cable Info'!T369="","",CONCATENATE('Cable Info'!T369," - ",'Cable Info'!U369))</f>
        <v/>
      </c>
      <c r="BG664" s="121" t="str">
        <f t="shared" si="147"/>
        <v/>
      </c>
      <c r="BI664" s="121" t="str">
        <f>IF('Cable Info'!V369="","",CONCATENATE('Cable Info'!V369," - ",'Cable Info'!W369))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str">
        <f>IF('Cable Info'!L370="","",CONCATENATE('Cable Info'!L370," - ",'Cable Info'!M370))</f>
        <v>369 - AW</v>
      </c>
      <c r="AM665" s="121" t="str">
        <f t="shared" si="143"/>
        <v>369 - AW</v>
      </c>
      <c r="AO665" s="121" t="str">
        <f>IF('Cable Info'!N370="","",CONCATENATE('Cable Info'!N370," - ",'Cable Info'!O370))</f>
        <v>369 - AW</v>
      </c>
      <c r="AR665" s="121" t="str">
        <f t="shared" si="144"/>
        <v>369 - AW</v>
      </c>
      <c r="AT665" s="121" t="str">
        <f>IF('Cable Info'!P370="","",CONCATENATE('Cable Info'!P370," - ",'Cable Info'!Q370))</f>
        <v/>
      </c>
      <c r="AW665" s="121" t="str">
        <f t="shared" si="145"/>
        <v/>
      </c>
      <c r="AY665" s="121" t="str">
        <f>IF('Cable Info'!R370="","",CONCATENATE('Cable Info'!R370," - ",'Cable Info'!S370))</f>
        <v/>
      </c>
      <c r="BB665" s="121" t="str">
        <f t="shared" si="146"/>
        <v/>
      </c>
      <c r="BD665" s="121" t="str">
        <f>IF('Cable Info'!T370="","",CONCATENATE('Cable Info'!T370," - ",'Cable Info'!U370))</f>
        <v/>
      </c>
      <c r="BG665" s="121" t="str">
        <f t="shared" si="147"/>
        <v/>
      </c>
      <c r="BI665" s="121" t="str">
        <f>IF('Cable Info'!V370="","",CONCATENATE('Cable Info'!V370," - ",'Cable Info'!W370))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str">
        <f>IF('Cable Info'!L371="","",CONCATENATE('Cable Info'!L371," - ",'Cable Info'!M371))</f>
        <v>370 - AW</v>
      </c>
      <c r="AM666" s="121" t="str">
        <f t="shared" si="143"/>
        <v>370 - AW</v>
      </c>
      <c r="AO666" s="121" t="str">
        <f>IF('Cable Info'!N371="","",CONCATENATE('Cable Info'!N371," - ",'Cable Info'!O371))</f>
        <v>370 - AW</v>
      </c>
      <c r="AR666" s="121" t="str">
        <f t="shared" si="144"/>
        <v>370 - AW</v>
      </c>
      <c r="AT666" s="121" t="str">
        <f>IF('Cable Info'!P371="","",CONCATENATE('Cable Info'!P371," - ",'Cable Info'!Q371))</f>
        <v/>
      </c>
      <c r="AW666" s="121" t="str">
        <f t="shared" si="145"/>
        <v/>
      </c>
      <c r="AY666" s="121" t="str">
        <f>IF('Cable Info'!R371="","",CONCATENATE('Cable Info'!R371," - ",'Cable Info'!S371))</f>
        <v/>
      </c>
      <c r="BB666" s="121" t="str">
        <f t="shared" si="146"/>
        <v/>
      </c>
      <c r="BD666" s="121" t="str">
        <f>IF('Cable Info'!T371="","",CONCATENATE('Cable Info'!T371," - ",'Cable Info'!U371))</f>
        <v/>
      </c>
      <c r="BG666" s="121" t="str">
        <f t="shared" si="147"/>
        <v/>
      </c>
      <c r="BI666" s="121" t="str">
        <f>IF('Cable Info'!V371="","",CONCATENATE('Cable Info'!V371," - ",'Cable Info'!W371))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str">
        <f>IF('Cable Info'!L372="","",CONCATENATE('Cable Info'!L372," - ",'Cable Info'!M372))</f>
        <v>371 - AW</v>
      </c>
      <c r="AM667" s="121" t="str">
        <f t="shared" si="143"/>
        <v>371 - AW</v>
      </c>
      <c r="AO667" s="121" t="str">
        <f>IF('Cable Info'!N372="","",CONCATENATE('Cable Info'!N372," - ",'Cable Info'!O372))</f>
        <v>371 - AW</v>
      </c>
      <c r="AR667" s="121" t="str">
        <f t="shared" si="144"/>
        <v>371 - AW</v>
      </c>
      <c r="AT667" s="121" t="str">
        <f>IF('Cable Info'!P372="","",CONCATENATE('Cable Info'!P372," - ",'Cable Info'!Q372))</f>
        <v/>
      </c>
      <c r="AW667" s="121" t="str">
        <f t="shared" si="145"/>
        <v/>
      </c>
      <c r="AY667" s="121" t="str">
        <f>IF('Cable Info'!R372="","",CONCATENATE('Cable Info'!R372," - ",'Cable Info'!S372))</f>
        <v/>
      </c>
      <c r="BB667" s="121" t="str">
        <f t="shared" si="146"/>
        <v/>
      </c>
      <c r="BD667" s="121" t="str">
        <f>IF('Cable Info'!T372="","",CONCATENATE('Cable Info'!T372," - ",'Cable Info'!U372))</f>
        <v/>
      </c>
      <c r="BG667" s="121" t="str">
        <f t="shared" si="147"/>
        <v/>
      </c>
      <c r="BI667" s="121" t="str">
        <f>IF('Cable Info'!V372="","",CONCATENATE('Cable Info'!V372," - ",'Cable Info'!W372))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str">
        <f>IF('Cable Info'!L373="","",CONCATENATE('Cable Info'!L373," - ",'Cable Info'!M373))</f>
        <v>372 - AW</v>
      </c>
      <c r="AM668" s="121" t="str">
        <f t="shared" si="143"/>
        <v>372 - AW</v>
      </c>
      <c r="AO668" s="121" t="str">
        <f>IF('Cable Info'!N373="","",CONCATENATE('Cable Info'!N373," - ",'Cable Info'!O373))</f>
        <v>372 - AW</v>
      </c>
      <c r="AR668" s="121" t="str">
        <f t="shared" si="144"/>
        <v>372 - AW</v>
      </c>
      <c r="AT668" s="121" t="str">
        <f>IF('Cable Info'!P373="","",CONCATENATE('Cable Info'!P373," - ",'Cable Info'!Q373))</f>
        <v/>
      </c>
      <c r="AW668" s="121" t="str">
        <f t="shared" si="145"/>
        <v/>
      </c>
      <c r="AY668" s="121" t="str">
        <f>IF('Cable Info'!R373="","",CONCATENATE('Cable Info'!R373," - ",'Cable Info'!S373))</f>
        <v/>
      </c>
      <c r="BB668" s="121" t="str">
        <f t="shared" si="146"/>
        <v/>
      </c>
      <c r="BD668" s="121" t="str">
        <f>IF('Cable Info'!T373="","",CONCATENATE('Cable Info'!T373," - ",'Cable Info'!U373))</f>
        <v/>
      </c>
      <c r="BG668" s="121" t="str">
        <f t="shared" si="147"/>
        <v/>
      </c>
      <c r="BI668" s="121" t="str">
        <f>IF('Cable Info'!V373="","",CONCATENATE('Cable Info'!V373," - ",'Cable Info'!W373))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str">
        <f>IF('Cable Info'!L374="","",CONCATENATE('Cable Info'!L374," - ",'Cable Info'!M374))</f>
        <v>373 - AW</v>
      </c>
      <c r="AM669" s="121" t="str">
        <f t="shared" si="143"/>
        <v>373 - AW</v>
      </c>
      <c r="AO669" s="121" t="str">
        <f>IF('Cable Info'!N374="","",CONCATENATE('Cable Info'!N374," - ",'Cable Info'!O374))</f>
        <v>373 - AW</v>
      </c>
      <c r="AR669" s="121" t="str">
        <f t="shared" si="144"/>
        <v>373 - AW</v>
      </c>
      <c r="AT669" s="121" t="str">
        <f>IF('Cable Info'!P374="","",CONCATENATE('Cable Info'!P374," - ",'Cable Info'!Q374))</f>
        <v/>
      </c>
      <c r="AW669" s="121" t="str">
        <f t="shared" si="145"/>
        <v/>
      </c>
      <c r="AY669" s="121" t="str">
        <f>IF('Cable Info'!R374="","",CONCATENATE('Cable Info'!R374," - ",'Cable Info'!S374))</f>
        <v/>
      </c>
      <c r="BB669" s="121" t="str">
        <f t="shared" si="146"/>
        <v/>
      </c>
      <c r="BD669" s="121" t="str">
        <f>IF('Cable Info'!T374="","",CONCATENATE('Cable Info'!T374," - ",'Cable Info'!U374))</f>
        <v/>
      </c>
      <c r="BG669" s="121" t="str">
        <f t="shared" si="147"/>
        <v/>
      </c>
      <c r="BI669" s="121" t="str">
        <f>IF('Cable Info'!V374="","",CONCATENATE('Cable Info'!V374," - ",'Cable Info'!W374))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str">
        <f>IF('Cable Info'!L375="","",CONCATENATE('Cable Info'!L375," - ",'Cable Info'!M375))</f>
        <v>374 - AW</v>
      </c>
      <c r="AM670" s="121" t="str">
        <f t="shared" si="143"/>
        <v>374 - AW</v>
      </c>
      <c r="AO670" s="121" t="str">
        <f>IF('Cable Info'!N375="","",CONCATENATE('Cable Info'!N375," - ",'Cable Info'!O375))</f>
        <v>374 - AW</v>
      </c>
      <c r="AR670" s="121" t="str">
        <f t="shared" si="144"/>
        <v>374 - AW</v>
      </c>
      <c r="AT670" s="121" t="str">
        <f>IF('Cable Info'!P375="","",CONCATENATE('Cable Info'!P375," - ",'Cable Info'!Q375))</f>
        <v/>
      </c>
      <c r="AW670" s="121" t="str">
        <f t="shared" si="145"/>
        <v/>
      </c>
      <c r="AY670" s="121" t="str">
        <f>IF('Cable Info'!R375="","",CONCATENATE('Cable Info'!R375," - ",'Cable Info'!S375))</f>
        <v/>
      </c>
      <c r="BB670" s="121" t="str">
        <f t="shared" si="146"/>
        <v/>
      </c>
      <c r="BD670" s="121" t="str">
        <f>IF('Cable Info'!T375="","",CONCATENATE('Cable Info'!T375," - ",'Cable Info'!U375))</f>
        <v/>
      </c>
      <c r="BG670" s="121" t="str">
        <f t="shared" si="147"/>
        <v/>
      </c>
      <c r="BI670" s="121" t="str">
        <f>IF('Cable Info'!V375="","",CONCATENATE('Cable Info'!V375," - ",'Cable Info'!W375))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str">
        <f>IF('Cable Info'!L376="","",CONCATENATE('Cable Info'!L376," - ",'Cable Info'!M376))</f>
        <v>375 - AW</v>
      </c>
      <c r="AM671" s="121" t="str">
        <f t="shared" si="143"/>
        <v>375 - AW</v>
      </c>
      <c r="AO671" s="121" t="str">
        <f>IF('Cable Info'!N376="","",CONCATENATE('Cable Info'!N376," - ",'Cable Info'!O376))</f>
        <v>375 - AW</v>
      </c>
      <c r="AR671" s="121" t="str">
        <f t="shared" si="144"/>
        <v>375 - AW</v>
      </c>
      <c r="AT671" s="121" t="str">
        <f>IF('Cable Info'!P376="","",CONCATENATE('Cable Info'!P376," - ",'Cable Info'!Q376))</f>
        <v/>
      </c>
      <c r="AW671" s="121" t="str">
        <f t="shared" si="145"/>
        <v/>
      </c>
      <c r="AY671" s="121" t="str">
        <f>IF('Cable Info'!R376="","",CONCATENATE('Cable Info'!R376," - ",'Cable Info'!S376))</f>
        <v/>
      </c>
      <c r="BB671" s="121" t="str">
        <f t="shared" si="146"/>
        <v/>
      </c>
      <c r="BD671" s="121" t="str">
        <f>IF('Cable Info'!T376="","",CONCATENATE('Cable Info'!T376," - ",'Cable Info'!U376))</f>
        <v/>
      </c>
      <c r="BG671" s="121" t="str">
        <f t="shared" si="147"/>
        <v/>
      </c>
      <c r="BI671" s="121" t="str">
        <f>IF('Cable Info'!V376="","",CONCATENATE('Cable Info'!V376," - ",'Cable Info'!W376))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str">
        <f>IF('Cable Info'!L377="","",CONCATENATE('Cable Info'!L377," - ",'Cable Info'!M377))</f>
        <v>376 - AW</v>
      </c>
      <c r="AM672" s="121" t="str">
        <f t="shared" si="143"/>
        <v>376 - AW</v>
      </c>
      <c r="AO672" s="121" t="str">
        <f>IF('Cable Info'!N377="","",CONCATENATE('Cable Info'!N377," - ",'Cable Info'!O377))</f>
        <v>376 - AW</v>
      </c>
      <c r="AR672" s="121" t="str">
        <f t="shared" si="144"/>
        <v>376 - AW</v>
      </c>
      <c r="AT672" s="121" t="str">
        <f>IF('Cable Info'!P377="","",CONCATENATE('Cable Info'!P377," - ",'Cable Info'!Q377))</f>
        <v/>
      </c>
      <c r="AW672" s="121" t="str">
        <f t="shared" si="145"/>
        <v/>
      </c>
      <c r="AY672" s="121" t="str">
        <f>IF('Cable Info'!R377="","",CONCATENATE('Cable Info'!R377," - ",'Cable Info'!S377))</f>
        <v/>
      </c>
      <c r="BB672" s="121" t="str">
        <f t="shared" si="146"/>
        <v/>
      </c>
      <c r="BD672" s="121" t="str">
        <f>IF('Cable Info'!T377="","",CONCATENATE('Cable Info'!T377," - ",'Cable Info'!U377))</f>
        <v/>
      </c>
      <c r="BG672" s="121" t="str">
        <f t="shared" si="147"/>
        <v/>
      </c>
      <c r="BI672" s="121" t="str">
        <f>IF('Cable Info'!V377="","",CONCATENATE('Cable Info'!V377," - ",'Cable Info'!W377))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str">
        <f>IF('Cable Info'!L378="","",CONCATENATE('Cable Info'!L378," - ",'Cable Info'!M378))</f>
        <v>377 - AW</v>
      </c>
      <c r="AM673" s="121" t="str">
        <f t="shared" si="143"/>
        <v>377 - AW</v>
      </c>
      <c r="AO673" s="121" t="str">
        <f>IF('Cable Info'!N378="","",CONCATENATE('Cable Info'!N378," - ",'Cable Info'!O378))</f>
        <v>377 - AW</v>
      </c>
      <c r="AR673" s="121" t="str">
        <f t="shared" si="144"/>
        <v>377 - AW</v>
      </c>
      <c r="AT673" s="121" t="str">
        <f>IF('Cable Info'!P378="","",CONCATENATE('Cable Info'!P378," - ",'Cable Info'!Q378))</f>
        <v/>
      </c>
      <c r="AW673" s="121" t="str">
        <f t="shared" si="145"/>
        <v/>
      </c>
      <c r="AY673" s="121" t="str">
        <f>IF('Cable Info'!R378="","",CONCATENATE('Cable Info'!R378," - ",'Cable Info'!S378))</f>
        <v/>
      </c>
      <c r="BB673" s="121" t="str">
        <f t="shared" si="146"/>
        <v/>
      </c>
      <c r="BD673" s="121" t="str">
        <f>IF('Cable Info'!T378="","",CONCATENATE('Cable Info'!T378," - ",'Cable Info'!U378))</f>
        <v/>
      </c>
      <c r="BG673" s="121" t="str">
        <f t="shared" si="147"/>
        <v/>
      </c>
      <c r="BI673" s="121" t="str">
        <f>IF('Cable Info'!V378="","",CONCATENATE('Cable Info'!V378," - ",'Cable Info'!W378))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str">
        <f>IF('Cable Info'!L379="","",CONCATENATE('Cable Info'!L379," - ",'Cable Info'!M379))</f>
        <v>378 - AW</v>
      </c>
      <c r="AM674" s="121" t="str">
        <f t="shared" si="143"/>
        <v>378 - AW</v>
      </c>
      <c r="AO674" s="121" t="str">
        <f>IF('Cable Info'!N379="","",CONCATENATE('Cable Info'!N379," - ",'Cable Info'!O379))</f>
        <v>378 - AW</v>
      </c>
      <c r="AR674" s="121" t="str">
        <f t="shared" si="144"/>
        <v>378 - AW</v>
      </c>
      <c r="AT674" s="121" t="str">
        <f>IF('Cable Info'!P379="","",CONCATENATE('Cable Info'!P379," - ",'Cable Info'!Q379))</f>
        <v/>
      </c>
      <c r="AW674" s="121" t="str">
        <f t="shared" si="145"/>
        <v/>
      </c>
      <c r="AY674" s="121" t="str">
        <f>IF('Cable Info'!R379="","",CONCATENATE('Cable Info'!R379," - ",'Cable Info'!S379))</f>
        <v/>
      </c>
      <c r="BB674" s="121" t="str">
        <f t="shared" si="146"/>
        <v/>
      </c>
      <c r="BD674" s="121" t="str">
        <f>IF('Cable Info'!T379="","",CONCATENATE('Cable Info'!T379," - ",'Cable Info'!U379))</f>
        <v/>
      </c>
      <c r="BG674" s="121" t="str">
        <f t="shared" si="147"/>
        <v/>
      </c>
      <c r="BI674" s="121" t="str">
        <f>IF('Cable Info'!V379="","",CONCATENATE('Cable Info'!V379," - ",'Cable Info'!W379))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str">
        <f>IF('Cable Info'!L380="","",CONCATENATE('Cable Info'!L380," - ",'Cable Info'!M380))</f>
        <v>379 - AW</v>
      </c>
      <c r="AM675" s="121" t="str">
        <f t="shared" si="143"/>
        <v>379 - AW</v>
      </c>
      <c r="AO675" s="121" t="str">
        <f>IF('Cable Info'!N380="","",CONCATENATE('Cable Info'!N380," - ",'Cable Info'!O380))</f>
        <v>379 - AW</v>
      </c>
      <c r="AR675" s="121" t="str">
        <f t="shared" si="144"/>
        <v>379 - AW</v>
      </c>
      <c r="AT675" s="121" t="str">
        <f>IF('Cable Info'!P380="","",CONCATENATE('Cable Info'!P380," - ",'Cable Info'!Q380))</f>
        <v/>
      </c>
      <c r="AW675" s="121" t="str">
        <f t="shared" si="145"/>
        <v/>
      </c>
      <c r="AY675" s="121" t="str">
        <f>IF('Cable Info'!R380="","",CONCATENATE('Cable Info'!R380," - ",'Cable Info'!S380))</f>
        <v/>
      </c>
      <c r="BB675" s="121" t="str">
        <f t="shared" si="146"/>
        <v/>
      </c>
      <c r="BD675" s="121" t="str">
        <f>IF('Cable Info'!T380="","",CONCATENATE('Cable Info'!T380," - ",'Cable Info'!U380))</f>
        <v/>
      </c>
      <c r="BG675" s="121" t="str">
        <f t="shared" si="147"/>
        <v/>
      </c>
      <c r="BI675" s="121" t="str">
        <f>IF('Cable Info'!V380="","",CONCATENATE('Cable Info'!V380," - ",'Cable Info'!W380))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str">
        <f>IF('Cable Info'!L381="","",CONCATENATE('Cable Info'!L381," - ",'Cable Info'!M381))</f>
        <v>380 - AW</v>
      </c>
      <c r="AM676" s="121" t="str">
        <f t="shared" si="143"/>
        <v>380 - AW</v>
      </c>
      <c r="AO676" s="121" t="str">
        <f>IF('Cable Info'!N381="","",CONCATENATE('Cable Info'!N381," - ",'Cable Info'!O381))</f>
        <v>380 - AW</v>
      </c>
      <c r="AR676" s="121" t="str">
        <f t="shared" si="144"/>
        <v>380 - AW</v>
      </c>
      <c r="AT676" s="121" t="str">
        <f>IF('Cable Info'!P381="","",CONCATENATE('Cable Info'!P381," - ",'Cable Info'!Q381))</f>
        <v/>
      </c>
      <c r="AW676" s="121" t="str">
        <f t="shared" si="145"/>
        <v/>
      </c>
      <c r="AY676" s="121" t="str">
        <f>IF('Cable Info'!R381="","",CONCATENATE('Cable Info'!R381," - ",'Cable Info'!S381))</f>
        <v/>
      </c>
      <c r="BB676" s="121" t="str">
        <f t="shared" si="146"/>
        <v/>
      </c>
      <c r="BD676" s="121" t="str">
        <f>IF('Cable Info'!T381="","",CONCATENATE('Cable Info'!T381," - ",'Cable Info'!U381))</f>
        <v/>
      </c>
      <c r="BG676" s="121" t="str">
        <f t="shared" si="147"/>
        <v/>
      </c>
      <c r="BI676" s="121" t="str">
        <f>IF('Cable Info'!V381="","",CONCATENATE('Cable Info'!V381," - ",'Cable Info'!W381))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str">
        <f>IF('Cable Info'!L382="","",CONCATENATE('Cable Info'!L382," - ",'Cable Info'!M382))</f>
        <v>381 - AW</v>
      </c>
      <c r="AM677" s="121" t="str">
        <f t="shared" si="143"/>
        <v>381 - AW</v>
      </c>
      <c r="AO677" s="121" t="str">
        <f>IF('Cable Info'!N382="","",CONCATENATE('Cable Info'!N382," - ",'Cable Info'!O382))</f>
        <v>381 - AW</v>
      </c>
      <c r="AR677" s="121" t="str">
        <f t="shared" si="144"/>
        <v>381 - AW</v>
      </c>
      <c r="AT677" s="121" t="str">
        <f>IF('Cable Info'!P382="","",CONCATENATE('Cable Info'!P382," - ",'Cable Info'!Q382))</f>
        <v/>
      </c>
      <c r="AW677" s="121" t="str">
        <f t="shared" si="145"/>
        <v/>
      </c>
      <c r="AY677" s="121" t="str">
        <f>IF('Cable Info'!R382="","",CONCATENATE('Cable Info'!R382," - ",'Cable Info'!S382))</f>
        <v/>
      </c>
      <c r="BB677" s="121" t="str">
        <f t="shared" si="146"/>
        <v/>
      </c>
      <c r="BD677" s="121" t="str">
        <f>IF('Cable Info'!T382="","",CONCATENATE('Cable Info'!T382," - ",'Cable Info'!U382))</f>
        <v/>
      </c>
      <c r="BG677" s="121" t="str">
        <f t="shared" si="147"/>
        <v/>
      </c>
      <c r="BI677" s="121" t="str">
        <f>IF('Cable Info'!V382="","",CONCATENATE('Cable Info'!V382," - ",'Cable Info'!W382))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str">
        <f>IF('Cable Info'!L383="","",CONCATENATE('Cable Info'!L383," - ",'Cable Info'!M383))</f>
        <v>382 - AW</v>
      </c>
      <c r="AM678" s="121" t="str">
        <f t="shared" si="143"/>
        <v>382 - AW</v>
      </c>
      <c r="AO678" s="121" t="str">
        <f>IF('Cable Info'!N383="","",CONCATENATE('Cable Info'!N383," - ",'Cable Info'!O383))</f>
        <v>382 - AW</v>
      </c>
      <c r="AR678" s="121" t="str">
        <f t="shared" si="144"/>
        <v>382 - AW</v>
      </c>
      <c r="AT678" s="121" t="str">
        <f>IF('Cable Info'!P383="","",CONCATENATE('Cable Info'!P383," - ",'Cable Info'!Q383))</f>
        <v/>
      </c>
      <c r="AW678" s="121" t="str">
        <f t="shared" si="145"/>
        <v/>
      </c>
      <c r="AY678" s="121" t="str">
        <f>IF('Cable Info'!R383="","",CONCATENATE('Cable Info'!R383," - ",'Cable Info'!S383))</f>
        <v/>
      </c>
      <c r="BB678" s="121" t="str">
        <f t="shared" si="146"/>
        <v/>
      </c>
      <c r="BD678" s="121" t="str">
        <f>IF('Cable Info'!T383="","",CONCATENATE('Cable Info'!T383," - ",'Cable Info'!U383))</f>
        <v/>
      </c>
      <c r="BG678" s="121" t="str">
        <f t="shared" si="147"/>
        <v/>
      </c>
      <c r="BI678" s="121" t="str">
        <f>IF('Cable Info'!V383="","",CONCATENATE('Cable Info'!V383," - ",'Cable Info'!W383))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str">
        <f>IF('Cable Info'!L384="","",CONCATENATE('Cable Info'!L384," - ",'Cable Info'!M384))</f>
        <v>383 - AW</v>
      </c>
      <c r="AM679" s="121" t="str">
        <f t="shared" si="143"/>
        <v>383 - AW</v>
      </c>
      <c r="AO679" s="121" t="str">
        <f>IF('Cable Info'!N384="","",CONCATENATE('Cable Info'!N384," - ",'Cable Info'!O384))</f>
        <v>383 - AW</v>
      </c>
      <c r="AR679" s="121" t="str">
        <f t="shared" si="144"/>
        <v>383 - AW</v>
      </c>
      <c r="AT679" s="121" t="str">
        <f>IF('Cable Info'!P384="","",CONCATENATE('Cable Info'!P384," - ",'Cable Info'!Q384))</f>
        <v/>
      </c>
      <c r="AW679" s="121" t="str">
        <f t="shared" si="145"/>
        <v/>
      </c>
      <c r="AY679" s="121" t="str">
        <f>IF('Cable Info'!R384="","",CONCATENATE('Cable Info'!R384," - ",'Cable Info'!S384))</f>
        <v/>
      </c>
      <c r="BB679" s="121" t="str">
        <f t="shared" si="146"/>
        <v/>
      </c>
      <c r="BD679" s="121" t="str">
        <f>IF('Cable Info'!T384="","",CONCATENATE('Cable Info'!T384," - ",'Cable Info'!U384))</f>
        <v/>
      </c>
      <c r="BG679" s="121" t="str">
        <f t="shared" si="147"/>
        <v/>
      </c>
      <c r="BI679" s="121" t="str">
        <f>IF('Cable Info'!V384="","",CONCATENATE('Cable Info'!V384," - ",'Cable Info'!W384))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str">
        <f>IF('Cable Info'!L385="","",CONCATENATE('Cable Info'!L385," - ",'Cable Info'!M385))</f>
        <v>384 - AW</v>
      </c>
      <c r="AM680" s="121" t="str">
        <f t="shared" si="143"/>
        <v>384 - AW</v>
      </c>
      <c r="AO680" s="121" t="str">
        <f>IF('Cable Info'!N385="","",CONCATENATE('Cable Info'!N385," - ",'Cable Info'!O385))</f>
        <v>384 - AW</v>
      </c>
      <c r="AR680" s="121" t="str">
        <f t="shared" si="144"/>
        <v>384 - AW</v>
      </c>
      <c r="AT680" s="121" t="str">
        <f>IF('Cable Info'!P385="","",CONCATENATE('Cable Info'!P385," - ",'Cable Info'!Q385))</f>
        <v/>
      </c>
      <c r="AW680" s="121" t="str">
        <f t="shared" si="145"/>
        <v/>
      </c>
      <c r="AY680" s="121" t="str">
        <f>IF('Cable Info'!R385="","",CONCATENATE('Cable Info'!R385," - ",'Cable Info'!S385))</f>
        <v/>
      </c>
      <c r="BB680" s="121" t="str">
        <f t="shared" si="146"/>
        <v/>
      </c>
      <c r="BD680" s="121" t="str">
        <f>IF('Cable Info'!T385="","",CONCATENATE('Cable Info'!T385," - ",'Cable Info'!U385))</f>
        <v/>
      </c>
      <c r="BG680" s="121" t="str">
        <f t="shared" si="147"/>
        <v/>
      </c>
      <c r="BI680" s="121" t="str">
        <f>IF('Cable Info'!V385="","",CONCATENATE('Cable Info'!V385," - ",'Cable Info'!W385))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str">
        <f>IF('Cable Info'!L386="","",CONCATENATE('Cable Info'!L386," - ",'Cable Info'!M386))</f>
        <v>385 - AW</v>
      </c>
      <c r="AM681" s="121" t="str">
        <f t="shared" si="143"/>
        <v>385 - AW</v>
      </c>
      <c r="AO681" s="121" t="str">
        <f>IF('Cable Info'!N386="","",CONCATENATE('Cable Info'!N386," - ",'Cable Info'!O386))</f>
        <v>385 - AW</v>
      </c>
      <c r="AR681" s="121" t="str">
        <f t="shared" si="144"/>
        <v>385 - AW</v>
      </c>
      <c r="AT681" s="121" t="str">
        <f>IF('Cable Info'!P386="","",CONCATENATE('Cable Info'!P386," - ",'Cable Info'!Q386))</f>
        <v/>
      </c>
      <c r="AW681" s="121" t="str">
        <f t="shared" si="145"/>
        <v/>
      </c>
      <c r="AY681" s="121" t="str">
        <f>IF('Cable Info'!R386="","",CONCATENATE('Cable Info'!R386," - ",'Cable Info'!S386))</f>
        <v/>
      </c>
      <c r="BB681" s="121" t="str">
        <f t="shared" si="146"/>
        <v/>
      </c>
      <c r="BD681" s="121" t="str">
        <f>IF('Cable Info'!T386="","",CONCATENATE('Cable Info'!T386," - ",'Cable Info'!U386))</f>
        <v/>
      </c>
      <c r="BG681" s="121" t="str">
        <f t="shared" si="147"/>
        <v/>
      </c>
      <c r="BI681" s="121" t="str">
        <f>IF('Cable Info'!V386="","",CONCATENATE('Cable Info'!V386," - ",'Cable Info'!W386))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str">
        <f>IF('Cable Info'!L387="","",CONCATENATE('Cable Info'!L387," - ",'Cable Info'!M387))</f>
        <v>386 - AW</v>
      </c>
      <c r="AM682" s="121" t="str">
        <f t="shared" ref="AM682:AM745" si="149">IF(AK682="",AJ682,CONCATENATE(AJ682,"  &lt;=&gt; ",AK682," ",AL682))</f>
        <v>386 - AW</v>
      </c>
      <c r="AO682" s="121" t="str">
        <f>IF('Cable Info'!N387="","",CONCATENATE('Cable Info'!N387," - ",'Cable Info'!O387))</f>
        <v>386 - AW</v>
      </c>
      <c r="AR682" s="121" t="str">
        <f t="shared" ref="AR682:AR745" si="150">IF(AP682="",AO682,CONCATENATE(AO682,"  &lt;=&gt; ",AP682," ",AQ682))</f>
        <v>386 - AW</v>
      </c>
      <c r="AT682" s="121" t="str">
        <f>IF('Cable Info'!P387="","",CONCATENATE('Cable Info'!P387," - ",'Cable Info'!Q387))</f>
        <v/>
      </c>
      <c r="AW682" s="121" t="str">
        <f t="shared" ref="AW682:AW745" si="151">IF(AU682="",AT682,CONCATENATE(AT682,"  &lt;=&gt; ",AU682," ",AV682))</f>
        <v/>
      </c>
      <c r="AY682" s="121" t="str">
        <f>IF('Cable Info'!R387="","",CONCATENATE('Cable Info'!R387," - ",'Cable Info'!S387))</f>
        <v/>
      </c>
      <c r="BB682" s="121" t="str">
        <f t="shared" ref="BB682:BB745" si="152">IF(AZ682="",AY682,CONCATENATE(AY682,"  &lt;=&gt; ",AZ682," ",BA682))</f>
        <v/>
      </c>
      <c r="BD682" s="121" t="str">
        <f>IF('Cable Info'!T387="","",CONCATENATE('Cable Info'!T387," - ",'Cable Info'!U387))</f>
        <v/>
      </c>
      <c r="BG682" s="121" t="str">
        <f t="shared" ref="BG682:BG745" si="153">IF(BE682="",BD682,CONCATENATE(BD682,"  &lt;=&gt; ",BE682," ",BF682))</f>
        <v/>
      </c>
      <c r="BI682" s="121" t="str">
        <f>IF('Cable Info'!V387="","",CONCATENATE('Cable Info'!V387," - ",'Cable Info'!W387))</f>
        <v/>
      </c>
      <c r="BL682" s="121" t="str">
        <f t="shared" ref="BL682:BL745" si="154">IF(BJ682="",BI682,CONCATENATE(BI682,"  &lt;=&gt; ",BJ682," ",BK682))</f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str">
        <f>IF('Cable Info'!L388="","",CONCATENATE('Cable Info'!L388," - ",'Cable Info'!M388))</f>
        <v>387 - AW</v>
      </c>
      <c r="AM683" s="121" t="str">
        <f t="shared" si="149"/>
        <v>387 - AW</v>
      </c>
      <c r="AO683" s="121" t="str">
        <f>IF('Cable Info'!N388="","",CONCATENATE('Cable Info'!N388," - ",'Cable Info'!O388))</f>
        <v>387 - AW</v>
      </c>
      <c r="AR683" s="121" t="str">
        <f t="shared" si="150"/>
        <v>387 - AW</v>
      </c>
      <c r="AT683" s="121" t="str">
        <f>IF('Cable Info'!P388="","",CONCATENATE('Cable Info'!P388," - ",'Cable Info'!Q388))</f>
        <v/>
      </c>
      <c r="AW683" s="121" t="str">
        <f t="shared" si="151"/>
        <v/>
      </c>
      <c r="AY683" s="121" t="str">
        <f>IF('Cable Info'!R388="","",CONCATENATE('Cable Info'!R388," - ",'Cable Info'!S388))</f>
        <v/>
      </c>
      <c r="BB683" s="121" t="str">
        <f t="shared" si="152"/>
        <v/>
      </c>
      <c r="BD683" s="121" t="str">
        <f>IF('Cable Info'!T388="","",CONCATENATE('Cable Info'!T388," - ",'Cable Info'!U388))</f>
        <v/>
      </c>
      <c r="BG683" s="121" t="str">
        <f t="shared" si="153"/>
        <v/>
      </c>
      <c r="BI683" s="121" t="str">
        <f>IF('Cable Info'!V388="","",CONCATENATE('Cable Info'!V388," - ",'Cable Info'!W388))</f>
        <v/>
      </c>
      <c r="BL683" s="121" t="str">
        <f t="shared" si="154"/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str">
        <f>IF('Cable Info'!L389="","",CONCATENATE('Cable Info'!L389," - ",'Cable Info'!M389))</f>
        <v>388 - AW</v>
      </c>
      <c r="AM684" s="121" t="str">
        <f t="shared" si="149"/>
        <v>388 - AW</v>
      </c>
      <c r="AO684" s="121" t="str">
        <f>IF('Cable Info'!N389="","",CONCATENATE('Cable Info'!N389," - ",'Cable Info'!O389))</f>
        <v>388 - AW</v>
      </c>
      <c r="AR684" s="121" t="str">
        <f t="shared" si="150"/>
        <v>388 - AW</v>
      </c>
      <c r="AT684" s="121" t="str">
        <f>IF('Cable Info'!P389="","",CONCATENATE('Cable Info'!P389," - ",'Cable Info'!Q389))</f>
        <v/>
      </c>
      <c r="AW684" s="121" t="str">
        <f t="shared" si="151"/>
        <v/>
      </c>
      <c r="AY684" s="121" t="str">
        <f>IF('Cable Info'!R389="","",CONCATENATE('Cable Info'!R389," - ",'Cable Info'!S389))</f>
        <v/>
      </c>
      <c r="BB684" s="121" t="str">
        <f t="shared" si="152"/>
        <v/>
      </c>
      <c r="BD684" s="121" t="str">
        <f>IF('Cable Info'!T389="","",CONCATENATE('Cable Info'!T389," - ",'Cable Info'!U389))</f>
        <v/>
      </c>
      <c r="BG684" s="121" t="str">
        <f t="shared" si="153"/>
        <v/>
      </c>
      <c r="BI684" s="121" t="str">
        <f>IF('Cable Info'!V389="","",CONCATENATE('Cable Info'!V389," - ",'Cable Info'!W389))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str">
        <f>IF('Cable Info'!L390="","",CONCATENATE('Cable Info'!L390," - ",'Cable Info'!M390))</f>
        <v>389 - AW</v>
      </c>
      <c r="AM685" s="121" t="str">
        <f t="shared" si="149"/>
        <v>389 - AW</v>
      </c>
      <c r="AO685" s="121" t="str">
        <f>IF('Cable Info'!N390="","",CONCATENATE('Cable Info'!N390," - ",'Cable Info'!O390))</f>
        <v>389 - AW</v>
      </c>
      <c r="AR685" s="121" t="str">
        <f t="shared" si="150"/>
        <v>389 - AW</v>
      </c>
      <c r="AT685" s="121" t="str">
        <f>IF('Cable Info'!P390="","",CONCATENATE('Cable Info'!P390," - ",'Cable Info'!Q390))</f>
        <v/>
      </c>
      <c r="AW685" s="121" t="str">
        <f t="shared" si="151"/>
        <v/>
      </c>
      <c r="AY685" s="121" t="str">
        <f>IF('Cable Info'!R390="","",CONCATENATE('Cable Info'!R390," - ",'Cable Info'!S390))</f>
        <v/>
      </c>
      <c r="BB685" s="121" t="str">
        <f t="shared" si="152"/>
        <v/>
      </c>
      <c r="BD685" s="121" t="str">
        <f>IF('Cable Info'!T390="","",CONCATENATE('Cable Info'!T390," - ",'Cable Info'!U390))</f>
        <v/>
      </c>
      <c r="BG685" s="121" t="str">
        <f t="shared" si="153"/>
        <v/>
      </c>
      <c r="BI685" s="121" t="str">
        <f>IF('Cable Info'!V390="","",CONCATENATE('Cable Info'!V390," - ",'Cable Info'!W390))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str">
        <f>IF('Cable Info'!L391="","",CONCATENATE('Cable Info'!L391," - ",'Cable Info'!M391))</f>
        <v>390 - AW</v>
      </c>
      <c r="AM686" s="121" t="str">
        <f t="shared" si="149"/>
        <v>390 - AW</v>
      </c>
      <c r="AO686" s="121" t="str">
        <f>IF('Cable Info'!N391="","",CONCATENATE('Cable Info'!N391," - ",'Cable Info'!O391))</f>
        <v>390 - AW</v>
      </c>
      <c r="AR686" s="121" t="str">
        <f t="shared" si="150"/>
        <v>390 - AW</v>
      </c>
      <c r="AT686" s="121" t="str">
        <f>IF('Cable Info'!P391="","",CONCATENATE('Cable Info'!P391," - ",'Cable Info'!Q391))</f>
        <v/>
      </c>
      <c r="AW686" s="121" t="str">
        <f t="shared" si="151"/>
        <v/>
      </c>
      <c r="AY686" s="121" t="str">
        <f>IF('Cable Info'!R391="","",CONCATENATE('Cable Info'!R391," - ",'Cable Info'!S391))</f>
        <v/>
      </c>
      <c r="BB686" s="121" t="str">
        <f t="shared" si="152"/>
        <v/>
      </c>
      <c r="BD686" s="121" t="str">
        <f>IF('Cable Info'!T391="","",CONCATENATE('Cable Info'!T391," - ",'Cable Info'!U391))</f>
        <v/>
      </c>
      <c r="BG686" s="121" t="str">
        <f t="shared" si="153"/>
        <v/>
      </c>
      <c r="BI686" s="121" t="str">
        <f>IF('Cable Info'!V391="","",CONCATENATE('Cable Info'!V391," - ",'Cable Info'!W391))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str">
        <f>IF('Cable Info'!L392="","",CONCATENATE('Cable Info'!L392," - ",'Cable Info'!M392))</f>
        <v>391 - AW</v>
      </c>
      <c r="AM687" s="121" t="str">
        <f t="shared" si="149"/>
        <v>391 - AW</v>
      </c>
      <c r="AO687" s="121" t="str">
        <f>IF('Cable Info'!N392="","",CONCATENATE('Cable Info'!N392," - ",'Cable Info'!O392))</f>
        <v>391 - AW</v>
      </c>
      <c r="AR687" s="121" t="str">
        <f t="shared" si="150"/>
        <v>391 - AW</v>
      </c>
      <c r="AT687" s="121" t="str">
        <f>IF('Cable Info'!P392="","",CONCATENATE('Cable Info'!P392," - ",'Cable Info'!Q392))</f>
        <v/>
      </c>
      <c r="AW687" s="121" t="str">
        <f t="shared" si="151"/>
        <v/>
      </c>
      <c r="AY687" s="121" t="str">
        <f>IF('Cable Info'!R392="","",CONCATENATE('Cable Info'!R392," - ",'Cable Info'!S392))</f>
        <v/>
      </c>
      <c r="BB687" s="121" t="str">
        <f t="shared" si="152"/>
        <v/>
      </c>
      <c r="BD687" s="121" t="str">
        <f>IF('Cable Info'!T392="","",CONCATENATE('Cable Info'!T392," - ",'Cable Info'!U392))</f>
        <v/>
      </c>
      <c r="BG687" s="121" t="str">
        <f t="shared" si="153"/>
        <v/>
      </c>
      <c r="BI687" s="121" t="str">
        <f>IF('Cable Info'!V392="","",CONCATENATE('Cable Info'!V392," - ",'Cable Info'!W392))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str">
        <f>IF('Cable Info'!L393="","",CONCATENATE('Cable Info'!L393," - ",'Cable Info'!M393))</f>
        <v>392 - AW</v>
      </c>
      <c r="AM688" s="121" t="str">
        <f t="shared" si="149"/>
        <v>392 - AW</v>
      </c>
      <c r="AO688" s="121" t="str">
        <f>IF('Cable Info'!N393="","",CONCATENATE('Cable Info'!N393," - ",'Cable Info'!O393))</f>
        <v>392 - AW</v>
      </c>
      <c r="AR688" s="121" t="str">
        <f t="shared" si="150"/>
        <v>392 - AW</v>
      </c>
      <c r="AT688" s="121" t="str">
        <f>IF('Cable Info'!P393="","",CONCATENATE('Cable Info'!P393," - ",'Cable Info'!Q393))</f>
        <v/>
      </c>
      <c r="AW688" s="121" t="str">
        <f t="shared" si="151"/>
        <v/>
      </c>
      <c r="AY688" s="121" t="str">
        <f>IF('Cable Info'!R393="","",CONCATENATE('Cable Info'!R393," - ",'Cable Info'!S393))</f>
        <v/>
      </c>
      <c r="BB688" s="121" t="str">
        <f t="shared" si="152"/>
        <v/>
      </c>
      <c r="BD688" s="121" t="str">
        <f>IF('Cable Info'!T393="","",CONCATENATE('Cable Info'!T393," - ",'Cable Info'!U393))</f>
        <v/>
      </c>
      <c r="BG688" s="121" t="str">
        <f t="shared" si="153"/>
        <v/>
      </c>
      <c r="BI688" s="121" t="str">
        <f>IF('Cable Info'!V393="","",CONCATENATE('Cable Info'!V393," - ",'Cable Info'!W393))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str">
        <f>IF('Cable Info'!L394="","",CONCATENATE('Cable Info'!L394," - ",'Cable Info'!M394))</f>
        <v>393 - AW</v>
      </c>
      <c r="AM689" s="121" t="str">
        <f t="shared" si="149"/>
        <v>393 - AW</v>
      </c>
      <c r="AO689" s="121" t="str">
        <f>IF('Cable Info'!N394="","",CONCATENATE('Cable Info'!N394," - ",'Cable Info'!O394))</f>
        <v>393 - AW</v>
      </c>
      <c r="AR689" s="121" t="str">
        <f t="shared" si="150"/>
        <v>393 - AW</v>
      </c>
      <c r="AT689" s="121" t="str">
        <f>IF('Cable Info'!P394="","",CONCATENATE('Cable Info'!P394," - ",'Cable Info'!Q394))</f>
        <v/>
      </c>
      <c r="AW689" s="121" t="str">
        <f t="shared" si="151"/>
        <v/>
      </c>
      <c r="AY689" s="121" t="str">
        <f>IF('Cable Info'!R394="","",CONCATENATE('Cable Info'!R394," - ",'Cable Info'!S394))</f>
        <v/>
      </c>
      <c r="BB689" s="121" t="str">
        <f t="shared" si="152"/>
        <v/>
      </c>
      <c r="BD689" s="121" t="str">
        <f>IF('Cable Info'!T394="","",CONCATENATE('Cable Info'!T394," - ",'Cable Info'!U394))</f>
        <v/>
      </c>
      <c r="BG689" s="121" t="str">
        <f t="shared" si="153"/>
        <v/>
      </c>
      <c r="BI689" s="121" t="str">
        <f>IF('Cable Info'!V394="","",CONCATENATE('Cable Info'!V394," - ",'Cable Info'!W394))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str">
        <f>IF('Cable Info'!L395="","",CONCATENATE('Cable Info'!L395," - ",'Cable Info'!M395))</f>
        <v>394 - AW</v>
      </c>
      <c r="AM690" s="121" t="str">
        <f t="shared" si="149"/>
        <v>394 - AW</v>
      </c>
      <c r="AO690" s="121" t="str">
        <f>IF('Cable Info'!N395="","",CONCATENATE('Cable Info'!N395," - ",'Cable Info'!O395))</f>
        <v>394 - AW</v>
      </c>
      <c r="AR690" s="121" t="str">
        <f t="shared" si="150"/>
        <v>394 - AW</v>
      </c>
      <c r="AT690" s="121" t="str">
        <f>IF('Cable Info'!P395="","",CONCATENATE('Cable Info'!P395," - ",'Cable Info'!Q395))</f>
        <v/>
      </c>
      <c r="AW690" s="121" t="str">
        <f t="shared" si="151"/>
        <v/>
      </c>
      <c r="AY690" s="121" t="str">
        <f>IF('Cable Info'!R395="","",CONCATENATE('Cable Info'!R395," - ",'Cable Info'!S395))</f>
        <v/>
      </c>
      <c r="BB690" s="121" t="str">
        <f t="shared" si="152"/>
        <v/>
      </c>
      <c r="BD690" s="121" t="str">
        <f>IF('Cable Info'!T395="","",CONCATENATE('Cable Info'!T395," - ",'Cable Info'!U395))</f>
        <v/>
      </c>
      <c r="BG690" s="121" t="str">
        <f t="shared" si="153"/>
        <v/>
      </c>
      <c r="BI690" s="121" t="str">
        <f>IF('Cable Info'!V395="","",CONCATENATE('Cable Info'!V395," - ",'Cable Info'!W395))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str">
        <f>IF('Cable Info'!L396="","",CONCATENATE('Cable Info'!L396," - ",'Cable Info'!M396))</f>
        <v>395 - AW</v>
      </c>
      <c r="AM691" s="121" t="str">
        <f t="shared" si="149"/>
        <v>395 - AW</v>
      </c>
      <c r="AO691" s="121" t="str">
        <f>IF('Cable Info'!N396="","",CONCATENATE('Cable Info'!N396," - ",'Cable Info'!O396))</f>
        <v>395 - AW</v>
      </c>
      <c r="AR691" s="121" t="str">
        <f t="shared" si="150"/>
        <v>395 - AW</v>
      </c>
      <c r="AT691" s="121" t="str">
        <f>IF('Cable Info'!P396="","",CONCATENATE('Cable Info'!P396," - ",'Cable Info'!Q396))</f>
        <v/>
      </c>
      <c r="AW691" s="121" t="str">
        <f t="shared" si="151"/>
        <v/>
      </c>
      <c r="AY691" s="121" t="str">
        <f>IF('Cable Info'!R396="","",CONCATENATE('Cable Info'!R396," - ",'Cable Info'!S396))</f>
        <v/>
      </c>
      <c r="BB691" s="121" t="str">
        <f t="shared" si="152"/>
        <v/>
      </c>
      <c r="BD691" s="121" t="str">
        <f>IF('Cable Info'!T396="","",CONCATENATE('Cable Info'!T396," - ",'Cable Info'!U396))</f>
        <v/>
      </c>
      <c r="BG691" s="121" t="str">
        <f t="shared" si="153"/>
        <v/>
      </c>
      <c r="BI691" s="121" t="str">
        <f>IF('Cable Info'!V396="","",CONCATENATE('Cable Info'!V396," - ",'Cable Info'!W396))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str">
        <f>IF('Cable Info'!L397="","",CONCATENATE('Cable Info'!L397," - ",'Cable Info'!M397))</f>
        <v>396 - AW</v>
      </c>
      <c r="AM692" s="121" t="str">
        <f t="shared" si="149"/>
        <v>396 - AW</v>
      </c>
      <c r="AO692" s="121" t="str">
        <f>IF('Cable Info'!N397="","",CONCATENATE('Cable Info'!N397," - ",'Cable Info'!O397))</f>
        <v>396 - AW</v>
      </c>
      <c r="AR692" s="121" t="str">
        <f t="shared" si="150"/>
        <v>396 - AW</v>
      </c>
      <c r="AT692" s="121" t="str">
        <f>IF('Cable Info'!P397="","",CONCATENATE('Cable Info'!P397," - ",'Cable Info'!Q397))</f>
        <v/>
      </c>
      <c r="AW692" s="121" t="str">
        <f t="shared" si="151"/>
        <v/>
      </c>
      <c r="AY692" s="121" t="str">
        <f>IF('Cable Info'!R397="","",CONCATENATE('Cable Info'!R397," - ",'Cable Info'!S397))</f>
        <v/>
      </c>
      <c r="BB692" s="121" t="str">
        <f t="shared" si="152"/>
        <v/>
      </c>
      <c r="BD692" s="121" t="str">
        <f>IF('Cable Info'!T397="","",CONCATENATE('Cable Info'!T397," - ",'Cable Info'!U397))</f>
        <v/>
      </c>
      <c r="BG692" s="121" t="str">
        <f t="shared" si="153"/>
        <v/>
      </c>
      <c r="BI692" s="121" t="str">
        <f>IF('Cable Info'!V397="","",CONCATENATE('Cable Info'!V397," - ",'Cable Info'!W397))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str">
        <f>IF('Cable Info'!L398="","",CONCATENATE('Cable Info'!L398," - ",'Cable Info'!M398))</f>
        <v>397 - AW</v>
      </c>
      <c r="AM693" s="121" t="str">
        <f t="shared" si="149"/>
        <v>397 - AW</v>
      </c>
      <c r="AO693" s="121" t="str">
        <f>IF('Cable Info'!N398="","",CONCATENATE('Cable Info'!N398," - ",'Cable Info'!O398))</f>
        <v>397 - AW</v>
      </c>
      <c r="AR693" s="121" t="str">
        <f t="shared" si="150"/>
        <v>397 - AW</v>
      </c>
      <c r="AT693" s="121" t="str">
        <f>IF('Cable Info'!P398="","",CONCATENATE('Cable Info'!P398," - ",'Cable Info'!Q398))</f>
        <v/>
      </c>
      <c r="AW693" s="121" t="str">
        <f t="shared" si="151"/>
        <v/>
      </c>
      <c r="AY693" s="121" t="str">
        <f>IF('Cable Info'!R398="","",CONCATENATE('Cable Info'!R398," - ",'Cable Info'!S398))</f>
        <v/>
      </c>
      <c r="BB693" s="121" t="str">
        <f t="shared" si="152"/>
        <v/>
      </c>
      <c r="BD693" s="121" t="str">
        <f>IF('Cable Info'!T398="","",CONCATENATE('Cable Info'!T398," - ",'Cable Info'!U398))</f>
        <v/>
      </c>
      <c r="BG693" s="121" t="str">
        <f t="shared" si="153"/>
        <v/>
      </c>
      <c r="BI693" s="121" t="str">
        <f>IF('Cable Info'!V398="","",CONCATENATE('Cable Info'!V398," - ",'Cable Info'!W398))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str">
        <f>IF('Cable Info'!L399="","",CONCATENATE('Cable Info'!L399," - ",'Cable Info'!M399))</f>
        <v>398 - AW</v>
      </c>
      <c r="AM694" s="121" t="str">
        <f t="shared" si="149"/>
        <v>398 - AW</v>
      </c>
      <c r="AO694" s="121" t="str">
        <f>IF('Cable Info'!N399="","",CONCATENATE('Cable Info'!N399," - ",'Cable Info'!O399))</f>
        <v>398 - AW</v>
      </c>
      <c r="AR694" s="121" t="str">
        <f t="shared" si="150"/>
        <v>398 - AW</v>
      </c>
      <c r="AT694" s="121" t="str">
        <f>IF('Cable Info'!P399="","",CONCATENATE('Cable Info'!P399," - ",'Cable Info'!Q399))</f>
        <v/>
      </c>
      <c r="AW694" s="121" t="str">
        <f t="shared" si="151"/>
        <v/>
      </c>
      <c r="AY694" s="121" t="str">
        <f>IF('Cable Info'!R399="","",CONCATENATE('Cable Info'!R399," - ",'Cable Info'!S399))</f>
        <v/>
      </c>
      <c r="BB694" s="121" t="str">
        <f t="shared" si="152"/>
        <v/>
      </c>
      <c r="BD694" s="121" t="str">
        <f>IF('Cable Info'!T399="","",CONCATENATE('Cable Info'!T399," - ",'Cable Info'!U399))</f>
        <v/>
      </c>
      <c r="BG694" s="121" t="str">
        <f t="shared" si="153"/>
        <v/>
      </c>
      <c r="BI694" s="121" t="str">
        <f>IF('Cable Info'!V399="","",CONCATENATE('Cable Info'!V399," - ",'Cable Info'!W399))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str">
        <f>IF('Cable Info'!L400="","",CONCATENATE('Cable Info'!L400," - ",'Cable Info'!M400))</f>
        <v>399 - AW</v>
      </c>
      <c r="AM695" s="121" t="str">
        <f t="shared" si="149"/>
        <v>399 - AW</v>
      </c>
      <c r="AO695" s="121" t="str">
        <f>IF('Cable Info'!N400="","",CONCATENATE('Cable Info'!N400," - ",'Cable Info'!O400))</f>
        <v>399 - AW</v>
      </c>
      <c r="AR695" s="121" t="str">
        <f t="shared" si="150"/>
        <v>399 - AW</v>
      </c>
      <c r="AT695" s="121" t="str">
        <f>IF('Cable Info'!P400="","",CONCATENATE('Cable Info'!P400," - ",'Cable Info'!Q400))</f>
        <v/>
      </c>
      <c r="AW695" s="121" t="str">
        <f t="shared" si="151"/>
        <v/>
      </c>
      <c r="AY695" s="121" t="str">
        <f>IF('Cable Info'!R400="","",CONCATENATE('Cable Info'!R400," - ",'Cable Info'!S400))</f>
        <v/>
      </c>
      <c r="BB695" s="121" t="str">
        <f t="shared" si="152"/>
        <v/>
      </c>
      <c r="BD695" s="121" t="str">
        <f>IF('Cable Info'!T400="","",CONCATENATE('Cable Info'!T400," - ",'Cable Info'!U400))</f>
        <v/>
      </c>
      <c r="BG695" s="121" t="str">
        <f t="shared" si="153"/>
        <v/>
      </c>
      <c r="BI695" s="121" t="str">
        <f>IF('Cable Info'!V400="","",CONCATENATE('Cable Info'!V400," - ",'Cable Info'!W400))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str">
        <f>IF('Cable Info'!L401="","",CONCATENATE('Cable Info'!L401," - ",'Cable Info'!M401))</f>
        <v>400 - AW</v>
      </c>
      <c r="AM696" s="121" t="str">
        <f t="shared" si="149"/>
        <v>400 - AW</v>
      </c>
      <c r="AO696" s="121" t="str">
        <f>IF('Cable Info'!N401="","",CONCATENATE('Cable Info'!N401," - ",'Cable Info'!O401))</f>
        <v>400 - AW</v>
      </c>
      <c r="AR696" s="121" t="str">
        <f t="shared" si="150"/>
        <v>400 - AW</v>
      </c>
      <c r="AT696" s="121" t="str">
        <f>IF('Cable Info'!P401="","",CONCATENATE('Cable Info'!P401," - ",'Cable Info'!Q401))</f>
        <v/>
      </c>
      <c r="AW696" s="121" t="str">
        <f t="shared" si="151"/>
        <v/>
      </c>
      <c r="AY696" s="121" t="str">
        <f>IF('Cable Info'!R401="","",CONCATENATE('Cable Info'!R401," - ",'Cable Info'!S401))</f>
        <v/>
      </c>
      <c r="BB696" s="121" t="str">
        <f t="shared" si="152"/>
        <v/>
      </c>
      <c r="BD696" s="121" t="str">
        <f>IF('Cable Info'!T401="","",CONCATENATE('Cable Info'!T401," - ",'Cable Info'!U401))</f>
        <v/>
      </c>
      <c r="BG696" s="121" t="str">
        <f t="shared" si="153"/>
        <v/>
      </c>
      <c r="BI696" s="121" t="str">
        <f>IF('Cable Info'!V401="","",CONCATENATE('Cable Info'!V401," - ",'Cable Info'!W401))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str">
        <f>IF('Cable Info'!L402="","",CONCATENATE('Cable Info'!L402," - ",'Cable Info'!M402))</f>
        <v>401 - AW</v>
      </c>
      <c r="AM697" s="121" t="str">
        <f t="shared" si="149"/>
        <v>401 - AW</v>
      </c>
      <c r="AO697" s="121" t="str">
        <f>IF('Cable Info'!N402="","",CONCATENATE('Cable Info'!N402," - ",'Cable Info'!O402))</f>
        <v>401 - AW</v>
      </c>
      <c r="AR697" s="121" t="str">
        <f t="shared" si="150"/>
        <v>401 - AW</v>
      </c>
      <c r="AT697" s="121" t="str">
        <f>IF('Cable Info'!P402="","",CONCATENATE('Cable Info'!P402," - ",'Cable Info'!Q402))</f>
        <v/>
      </c>
      <c r="AW697" s="121" t="str">
        <f t="shared" si="151"/>
        <v/>
      </c>
      <c r="AY697" s="121" t="str">
        <f>IF('Cable Info'!R402="","",CONCATENATE('Cable Info'!R402," - ",'Cable Info'!S402))</f>
        <v/>
      </c>
      <c r="BB697" s="121" t="str">
        <f t="shared" si="152"/>
        <v/>
      </c>
      <c r="BD697" s="121" t="str">
        <f>IF('Cable Info'!T402="","",CONCATENATE('Cable Info'!T402," - ",'Cable Info'!U402))</f>
        <v/>
      </c>
      <c r="BG697" s="121" t="str">
        <f t="shared" si="153"/>
        <v/>
      </c>
      <c r="BI697" s="121" t="str">
        <f>IF('Cable Info'!V402="","",CONCATENATE('Cable Info'!V402," - ",'Cable Info'!W402))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str">
        <f>IF('Cable Info'!L403="","",CONCATENATE('Cable Info'!L403," - ",'Cable Info'!M403))</f>
        <v>402 - AW</v>
      </c>
      <c r="AM698" s="121" t="str">
        <f t="shared" si="149"/>
        <v>402 - AW</v>
      </c>
      <c r="AO698" s="121" t="str">
        <f>IF('Cable Info'!N403="","",CONCATENATE('Cable Info'!N403," - ",'Cable Info'!O403))</f>
        <v>402 - AW</v>
      </c>
      <c r="AR698" s="121" t="str">
        <f t="shared" si="150"/>
        <v>402 - AW</v>
      </c>
      <c r="AT698" s="121" t="str">
        <f>IF('Cable Info'!P403="","",CONCATENATE('Cable Info'!P403," - ",'Cable Info'!Q403))</f>
        <v/>
      </c>
      <c r="AW698" s="121" t="str">
        <f t="shared" si="151"/>
        <v/>
      </c>
      <c r="AY698" s="121" t="str">
        <f>IF('Cable Info'!R403="","",CONCATENATE('Cable Info'!R403," - ",'Cable Info'!S403))</f>
        <v/>
      </c>
      <c r="BB698" s="121" t="str">
        <f t="shared" si="152"/>
        <v/>
      </c>
      <c r="BD698" s="121" t="str">
        <f>IF('Cable Info'!T403="","",CONCATENATE('Cable Info'!T403," - ",'Cable Info'!U403))</f>
        <v/>
      </c>
      <c r="BG698" s="121" t="str">
        <f t="shared" si="153"/>
        <v/>
      </c>
      <c r="BI698" s="121" t="str">
        <f>IF('Cable Info'!V403="","",CONCATENATE('Cable Info'!V403," - ",'Cable Info'!W403))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str">
        <f>IF('Cable Info'!L404="","",CONCATENATE('Cable Info'!L404," - ",'Cable Info'!M404))</f>
        <v>403 - AW</v>
      </c>
      <c r="AM699" s="121" t="str">
        <f t="shared" si="149"/>
        <v>403 - AW</v>
      </c>
      <c r="AO699" s="121" t="str">
        <f>IF('Cable Info'!N404="","",CONCATENATE('Cable Info'!N404," - ",'Cable Info'!O404))</f>
        <v>403 - AW</v>
      </c>
      <c r="AR699" s="121" t="str">
        <f t="shared" si="150"/>
        <v>403 - AW</v>
      </c>
      <c r="AT699" s="121" t="str">
        <f>IF('Cable Info'!P404="","",CONCATENATE('Cable Info'!P404," - ",'Cable Info'!Q404))</f>
        <v/>
      </c>
      <c r="AW699" s="121" t="str">
        <f t="shared" si="151"/>
        <v/>
      </c>
      <c r="AY699" s="121" t="str">
        <f>IF('Cable Info'!R404="","",CONCATENATE('Cable Info'!R404," - ",'Cable Info'!S404))</f>
        <v/>
      </c>
      <c r="BB699" s="121" t="str">
        <f t="shared" si="152"/>
        <v/>
      </c>
      <c r="BD699" s="121" t="str">
        <f>IF('Cable Info'!T404="","",CONCATENATE('Cable Info'!T404," - ",'Cable Info'!U404))</f>
        <v/>
      </c>
      <c r="BG699" s="121" t="str">
        <f t="shared" si="153"/>
        <v/>
      </c>
      <c r="BI699" s="121" t="str">
        <f>IF('Cable Info'!V404="","",CONCATENATE('Cable Info'!V404," - ",'Cable Info'!W404))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str">
        <f>IF('Cable Info'!L405="","",CONCATENATE('Cable Info'!L405," - ",'Cable Info'!M405))</f>
        <v>404 - AW</v>
      </c>
      <c r="AM700" s="121" t="str">
        <f t="shared" si="149"/>
        <v>404 - AW</v>
      </c>
      <c r="AO700" s="121" t="str">
        <f>IF('Cable Info'!N405="","",CONCATENATE('Cable Info'!N405," - ",'Cable Info'!O405))</f>
        <v>404 - AW</v>
      </c>
      <c r="AR700" s="121" t="str">
        <f t="shared" si="150"/>
        <v>404 - AW</v>
      </c>
      <c r="AT700" s="121" t="str">
        <f>IF('Cable Info'!P405="","",CONCATENATE('Cable Info'!P405," - ",'Cable Info'!Q405))</f>
        <v/>
      </c>
      <c r="AW700" s="121" t="str">
        <f t="shared" si="151"/>
        <v/>
      </c>
      <c r="AY700" s="121" t="str">
        <f>IF('Cable Info'!R405="","",CONCATENATE('Cable Info'!R405," - ",'Cable Info'!S405))</f>
        <v/>
      </c>
      <c r="BB700" s="121" t="str">
        <f t="shared" si="152"/>
        <v/>
      </c>
      <c r="BD700" s="121" t="str">
        <f>IF('Cable Info'!T405="","",CONCATENATE('Cable Info'!T405," - ",'Cable Info'!U405))</f>
        <v/>
      </c>
      <c r="BG700" s="121" t="str">
        <f t="shared" si="153"/>
        <v/>
      </c>
      <c r="BI700" s="121" t="str">
        <f>IF('Cable Info'!V405="","",CONCATENATE('Cable Info'!V405," - ",'Cable Info'!W405))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str">
        <f>IF('Cable Info'!L406="","",CONCATENATE('Cable Info'!L406," - ",'Cable Info'!M406))</f>
        <v>405 - AW</v>
      </c>
      <c r="AM701" s="121" t="str">
        <f t="shared" si="149"/>
        <v>405 - AW</v>
      </c>
      <c r="AO701" s="121" t="str">
        <f>IF('Cable Info'!N406="","",CONCATENATE('Cable Info'!N406," - ",'Cable Info'!O406))</f>
        <v>405 - AW</v>
      </c>
      <c r="AR701" s="121" t="str">
        <f t="shared" si="150"/>
        <v>405 - AW</v>
      </c>
      <c r="AT701" s="121" t="str">
        <f>IF('Cable Info'!P406="","",CONCATENATE('Cable Info'!P406," - ",'Cable Info'!Q406))</f>
        <v/>
      </c>
      <c r="AW701" s="121" t="str">
        <f t="shared" si="151"/>
        <v/>
      </c>
      <c r="AY701" s="121" t="str">
        <f>IF('Cable Info'!R406="","",CONCATENATE('Cable Info'!R406," - ",'Cable Info'!S406))</f>
        <v/>
      </c>
      <c r="BB701" s="121" t="str">
        <f t="shared" si="152"/>
        <v/>
      </c>
      <c r="BD701" s="121" t="str">
        <f>IF('Cable Info'!T406="","",CONCATENATE('Cable Info'!T406," - ",'Cable Info'!U406))</f>
        <v/>
      </c>
      <c r="BG701" s="121" t="str">
        <f t="shared" si="153"/>
        <v/>
      </c>
      <c r="BI701" s="121" t="str">
        <f>IF('Cable Info'!V406="","",CONCATENATE('Cable Info'!V406," - ",'Cable Info'!W406))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str">
        <f>IF('Cable Info'!L407="","",CONCATENATE('Cable Info'!L407," - ",'Cable Info'!M407))</f>
        <v>406 - AW</v>
      </c>
      <c r="AM702" s="121" t="str">
        <f t="shared" si="149"/>
        <v>406 - AW</v>
      </c>
      <c r="AO702" s="121" t="str">
        <f>IF('Cable Info'!N407="","",CONCATENATE('Cable Info'!N407," - ",'Cable Info'!O407))</f>
        <v>406 - AW</v>
      </c>
      <c r="AR702" s="121" t="str">
        <f t="shared" si="150"/>
        <v>406 - AW</v>
      </c>
      <c r="AT702" s="121" t="str">
        <f>IF('Cable Info'!P407="","",CONCATENATE('Cable Info'!P407," - ",'Cable Info'!Q407))</f>
        <v/>
      </c>
      <c r="AW702" s="121" t="str">
        <f t="shared" si="151"/>
        <v/>
      </c>
      <c r="AY702" s="121" t="str">
        <f>IF('Cable Info'!R407="","",CONCATENATE('Cable Info'!R407," - ",'Cable Info'!S407))</f>
        <v/>
      </c>
      <c r="BB702" s="121" t="str">
        <f t="shared" si="152"/>
        <v/>
      </c>
      <c r="BD702" s="121" t="str">
        <f>IF('Cable Info'!T407="","",CONCATENATE('Cable Info'!T407," - ",'Cable Info'!U407))</f>
        <v/>
      </c>
      <c r="BG702" s="121" t="str">
        <f t="shared" si="153"/>
        <v/>
      </c>
      <c r="BI702" s="121" t="str">
        <f>IF('Cable Info'!V407="","",CONCATENATE('Cable Info'!V407," - ",'Cable Info'!W407))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str">
        <f>IF('Cable Info'!L408="","",CONCATENATE('Cable Info'!L408," - ",'Cable Info'!M408))</f>
        <v>407 - AW</v>
      </c>
      <c r="AM703" s="121" t="str">
        <f t="shared" si="149"/>
        <v>407 - AW</v>
      </c>
      <c r="AO703" s="121" t="str">
        <f>IF('Cable Info'!N408="","",CONCATENATE('Cable Info'!N408," - ",'Cable Info'!O408))</f>
        <v>407 - AW</v>
      </c>
      <c r="AR703" s="121" t="str">
        <f t="shared" si="150"/>
        <v>407 - AW</v>
      </c>
      <c r="AT703" s="121" t="str">
        <f>IF('Cable Info'!P408="","",CONCATENATE('Cable Info'!P408," - ",'Cable Info'!Q408))</f>
        <v/>
      </c>
      <c r="AW703" s="121" t="str">
        <f t="shared" si="151"/>
        <v/>
      </c>
      <c r="AY703" s="121" t="str">
        <f>IF('Cable Info'!R408="","",CONCATENATE('Cable Info'!R408," - ",'Cable Info'!S408))</f>
        <v/>
      </c>
      <c r="BB703" s="121" t="str">
        <f t="shared" si="152"/>
        <v/>
      </c>
      <c r="BD703" s="121" t="str">
        <f>IF('Cable Info'!T408="","",CONCATENATE('Cable Info'!T408," - ",'Cable Info'!U408))</f>
        <v/>
      </c>
      <c r="BG703" s="121" t="str">
        <f t="shared" si="153"/>
        <v/>
      </c>
      <c r="BI703" s="121" t="str">
        <f>IF('Cable Info'!V408="","",CONCATENATE('Cable Info'!V408," - ",'Cable Info'!W408))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str">
        <f>IF('Cable Info'!L409="","",CONCATENATE('Cable Info'!L409," - ",'Cable Info'!M409))</f>
        <v>408 - AW</v>
      </c>
      <c r="AM704" s="121" t="str">
        <f t="shared" si="149"/>
        <v>408 - AW</v>
      </c>
      <c r="AO704" s="121" t="str">
        <f>IF('Cable Info'!N409="","",CONCATENATE('Cable Info'!N409," - ",'Cable Info'!O409))</f>
        <v>408 - AW</v>
      </c>
      <c r="AR704" s="121" t="str">
        <f t="shared" si="150"/>
        <v>408 - AW</v>
      </c>
      <c r="AT704" s="121" t="str">
        <f>IF('Cable Info'!P409="","",CONCATENATE('Cable Info'!P409," - ",'Cable Info'!Q409))</f>
        <v/>
      </c>
      <c r="AW704" s="121" t="str">
        <f t="shared" si="151"/>
        <v/>
      </c>
      <c r="AY704" s="121" t="str">
        <f>IF('Cable Info'!R409="","",CONCATENATE('Cable Info'!R409," - ",'Cable Info'!S409))</f>
        <v/>
      </c>
      <c r="BB704" s="121" t="str">
        <f t="shared" si="152"/>
        <v/>
      </c>
      <c r="BD704" s="121" t="str">
        <f>IF('Cable Info'!T409="","",CONCATENATE('Cable Info'!T409," - ",'Cable Info'!U409))</f>
        <v/>
      </c>
      <c r="BG704" s="121" t="str">
        <f t="shared" si="153"/>
        <v/>
      </c>
      <c r="BI704" s="121" t="str">
        <f>IF('Cable Info'!V409="","",CONCATENATE('Cable Info'!V409," - ",'Cable Info'!W409))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str">
        <f>IF('Cable Info'!L410="","",CONCATENATE('Cable Info'!L410," - ",'Cable Info'!M410))</f>
        <v>409 - AW</v>
      </c>
      <c r="AM705" s="121" t="str">
        <f t="shared" si="149"/>
        <v>409 - AW</v>
      </c>
      <c r="AO705" s="121" t="str">
        <f>IF('Cable Info'!N410="","",CONCATENATE('Cable Info'!N410," - ",'Cable Info'!O410))</f>
        <v>409 - AW</v>
      </c>
      <c r="AR705" s="121" t="str">
        <f t="shared" si="150"/>
        <v>409 - AW</v>
      </c>
      <c r="AT705" s="121" t="str">
        <f>IF('Cable Info'!P410="","",CONCATENATE('Cable Info'!P410," - ",'Cable Info'!Q410))</f>
        <v/>
      </c>
      <c r="AW705" s="121" t="str">
        <f t="shared" si="151"/>
        <v/>
      </c>
      <c r="AY705" s="121" t="str">
        <f>IF('Cable Info'!R410="","",CONCATENATE('Cable Info'!R410," - ",'Cable Info'!S410))</f>
        <v/>
      </c>
      <c r="BB705" s="121" t="str">
        <f t="shared" si="152"/>
        <v/>
      </c>
      <c r="BD705" s="121" t="str">
        <f>IF('Cable Info'!T410="","",CONCATENATE('Cable Info'!T410," - ",'Cable Info'!U410))</f>
        <v/>
      </c>
      <c r="BG705" s="121" t="str">
        <f t="shared" si="153"/>
        <v/>
      </c>
      <c r="BI705" s="121" t="str">
        <f>IF('Cable Info'!V410="","",CONCATENATE('Cable Info'!V410," - ",'Cable Info'!W410))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str">
        <f>IF('Cable Info'!L411="","",CONCATENATE('Cable Info'!L411," - ",'Cable Info'!M411))</f>
        <v>410 - AW</v>
      </c>
      <c r="AM706" s="121" t="str">
        <f t="shared" si="149"/>
        <v>410 - AW</v>
      </c>
      <c r="AO706" s="121" t="str">
        <f>IF('Cable Info'!N411="","",CONCATENATE('Cable Info'!N411," - ",'Cable Info'!O411))</f>
        <v>410 - AW</v>
      </c>
      <c r="AR706" s="121" t="str">
        <f t="shared" si="150"/>
        <v>410 - AW</v>
      </c>
      <c r="AT706" s="121" t="str">
        <f>IF('Cable Info'!P411="","",CONCATENATE('Cable Info'!P411," - ",'Cable Info'!Q411))</f>
        <v/>
      </c>
      <c r="AW706" s="121" t="str">
        <f t="shared" si="151"/>
        <v/>
      </c>
      <c r="AY706" s="121" t="str">
        <f>IF('Cable Info'!R411="","",CONCATENATE('Cable Info'!R411," - ",'Cable Info'!S411))</f>
        <v/>
      </c>
      <c r="BB706" s="121" t="str">
        <f t="shared" si="152"/>
        <v/>
      </c>
      <c r="BD706" s="121" t="str">
        <f>IF('Cable Info'!T411="","",CONCATENATE('Cable Info'!T411," - ",'Cable Info'!U411))</f>
        <v/>
      </c>
      <c r="BG706" s="121" t="str">
        <f t="shared" si="153"/>
        <v/>
      </c>
      <c r="BI706" s="121" t="str">
        <f>IF('Cable Info'!V411="","",CONCATENATE('Cable Info'!V411," - ",'Cable Info'!W411))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str">
        <f>IF('Cable Info'!L412="","",CONCATENATE('Cable Info'!L412," - ",'Cable Info'!M412))</f>
        <v>411 - AW</v>
      </c>
      <c r="AM707" s="121" t="str">
        <f t="shared" si="149"/>
        <v>411 - AW</v>
      </c>
      <c r="AO707" s="121" t="str">
        <f>IF('Cable Info'!N412="","",CONCATENATE('Cable Info'!N412," - ",'Cable Info'!O412))</f>
        <v>411 - AW</v>
      </c>
      <c r="AR707" s="121" t="str">
        <f t="shared" si="150"/>
        <v>411 - AW</v>
      </c>
      <c r="AT707" s="121" t="str">
        <f>IF('Cable Info'!P412="","",CONCATENATE('Cable Info'!P412," - ",'Cable Info'!Q412))</f>
        <v/>
      </c>
      <c r="AW707" s="121" t="str">
        <f t="shared" si="151"/>
        <v/>
      </c>
      <c r="AY707" s="121" t="str">
        <f>IF('Cable Info'!R412="","",CONCATENATE('Cable Info'!R412," - ",'Cable Info'!S412))</f>
        <v/>
      </c>
      <c r="BB707" s="121" t="str">
        <f t="shared" si="152"/>
        <v/>
      </c>
      <c r="BD707" s="121" t="str">
        <f>IF('Cable Info'!T412="","",CONCATENATE('Cable Info'!T412," - ",'Cable Info'!U412))</f>
        <v/>
      </c>
      <c r="BG707" s="121" t="str">
        <f t="shared" si="153"/>
        <v/>
      </c>
      <c r="BI707" s="121" t="str">
        <f>IF('Cable Info'!V412="","",CONCATENATE('Cable Info'!V412," - ",'Cable Info'!W412))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str">
        <f>IF('Cable Info'!L413="","",CONCATENATE('Cable Info'!L413," - ",'Cable Info'!M413))</f>
        <v>412 - AW</v>
      </c>
      <c r="AM708" s="121" t="str">
        <f t="shared" si="149"/>
        <v>412 - AW</v>
      </c>
      <c r="AO708" s="121" t="str">
        <f>IF('Cable Info'!N413="","",CONCATENATE('Cable Info'!N413," - ",'Cable Info'!O413))</f>
        <v>412 - AW</v>
      </c>
      <c r="AR708" s="121" t="str">
        <f t="shared" si="150"/>
        <v>412 - AW</v>
      </c>
      <c r="AT708" s="121" t="str">
        <f>IF('Cable Info'!P413="","",CONCATENATE('Cable Info'!P413," - ",'Cable Info'!Q413))</f>
        <v/>
      </c>
      <c r="AW708" s="121" t="str">
        <f t="shared" si="151"/>
        <v/>
      </c>
      <c r="AY708" s="121" t="str">
        <f>IF('Cable Info'!R413="","",CONCATENATE('Cable Info'!R413," - ",'Cable Info'!S413))</f>
        <v/>
      </c>
      <c r="BB708" s="121" t="str">
        <f t="shared" si="152"/>
        <v/>
      </c>
      <c r="BD708" s="121" t="str">
        <f>IF('Cable Info'!T413="","",CONCATENATE('Cable Info'!T413," - ",'Cable Info'!U413))</f>
        <v/>
      </c>
      <c r="BG708" s="121" t="str">
        <f t="shared" si="153"/>
        <v/>
      </c>
      <c r="BI708" s="121" t="str">
        <f>IF('Cable Info'!V413="","",CONCATENATE('Cable Info'!V413," - ",'Cable Info'!W413))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str">
        <f>IF('Cable Info'!L414="","",CONCATENATE('Cable Info'!L414," - ",'Cable Info'!M414))</f>
        <v>413 - AW</v>
      </c>
      <c r="AM709" s="121" t="str">
        <f t="shared" si="149"/>
        <v>413 - AW</v>
      </c>
      <c r="AO709" s="121" t="str">
        <f>IF('Cable Info'!N414="","",CONCATENATE('Cable Info'!N414," - ",'Cable Info'!O414))</f>
        <v>413 - AW</v>
      </c>
      <c r="AR709" s="121" t="str">
        <f t="shared" si="150"/>
        <v>413 - AW</v>
      </c>
      <c r="AT709" s="121" t="str">
        <f>IF('Cable Info'!P414="","",CONCATENATE('Cable Info'!P414," - ",'Cable Info'!Q414))</f>
        <v/>
      </c>
      <c r="AW709" s="121" t="str">
        <f t="shared" si="151"/>
        <v/>
      </c>
      <c r="AY709" s="121" t="str">
        <f>IF('Cable Info'!R414="","",CONCATENATE('Cable Info'!R414," - ",'Cable Info'!S414))</f>
        <v/>
      </c>
      <c r="BB709" s="121" t="str">
        <f t="shared" si="152"/>
        <v/>
      </c>
      <c r="BD709" s="121" t="str">
        <f>IF('Cable Info'!T414="","",CONCATENATE('Cable Info'!T414," - ",'Cable Info'!U414))</f>
        <v/>
      </c>
      <c r="BG709" s="121" t="str">
        <f t="shared" si="153"/>
        <v/>
      </c>
      <c r="BI709" s="121" t="str">
        <f>IF('Cable Info'!V414="","",CONCATENATE('Cable Info'!V414," - ",'Cable Info'!W414))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str">
        <f>IF('Cable Info'!L415="","",CONCATENATE('Cable Info'!L415," - ",'Cable Info'!M415))</f>
        <v>414 - AW</v>
      </c>
      <c r="AM710" s="121" t="str">
        <f t="shared" si="149"/>
        <v>414 - AW</v>
      </c>
      <c r="AO710" s="121" t="str">
        <f>IF('Cable Info'!N415="","",CONCATENATE('Cable Info'!N415," - ",'Cable Info'!O415))</f>
        <v>414 - AW</v>
      </c>
      <c r="AR710" s="121" t="str">
        <f t="shared" si="150"/>
        <v>414 - AW</v>
      </c>
      <c r="AT710" s="121" t="str">
        <f>IF('Cable Info'!P415="","",CONCATENATE('Cable Info'!P415," - ",'Cable Info'!Q415))</f>
        <v/>
      </c>
      <c r="AW710" s="121" t="str">
        <f t="shared" si="151"/>
        <v/>
      </c>
      <c r="AY710" s="121" t="str">
        <f>IF('Cable Info'!R415="","",CONCATENATE('Cable Info'!R415," - ",'Cable Info'!S415))</f>
        <v/>
      </c>
      <c r="BB710" s="121" t="str">
        <f t="shared" si="152"/>
        <v/>
      </c>
      <c r="BD710" s="121" t="str">
        <f>IF('Cable Info'!T415="","",CONCATENATE('Cable Info'!T415," - ",'Cable Info'!U415))</f>
        <v/>
      </c>
      <c r="BG710" s="121" t="str">
        <f t="shared" si="153"/>
        <v/>
      </c>
      <c r="BI710" s="121" t="str">
        <f>IF('Cable Info'!V415="","",CONCATENATE('Cable Info'!V415," - ",'Cable Info'!W415))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str">
        <f>IF('Cable Info'!L416="","",CONCATENATE('Cable Info'!L416," - ",'Cable Info'!M416))</f>
        <v>415 - AW</v>
      </c>
      <c r="AM711" s="121" t="str">
        <f t="shared" si="149"/>
        <v>415 - AW</v>
      </c>
      <c r="AO711" s="121" t="str">
        <f>IF('Cable Info'!N416="","",CONCATENATE('Cable Info'!N416," - ",'Cable Info'!O416))</f>
        <v>415 - AW</v>
      </c>
      <c r="AR711" s="121" t="str">
        <f t="shared" si="150"/>
        <v>415 - AW</v>
      </c>
      <c r="AT711" s="121" t="str">
        <f>IF('Cable Info'!P416="","",CONCATENATE('Cable Info'!P416," - ",'Cable Info'!Q416))</f>
        <v/>
      </c>
      <c r="AW711" s="121" t="str">
        <f t="shared" si="151"/>
        <v/>
      </c>
      <c r="AY711" s="121" t="str">
        <f>IF('Cable Info'!R416="","",CONCATENATE('Cable Info'!R416," - ",'Cable Info'!S416))</f>
        <v/>
      </c>
      <c r="BB711" s="121" t="str">
        <f t="shared" si="152"/>
        <v/>
      </c>
      <c r="BD711" s="121" t="str">
        <f>IF('Cable Info'!T416="","",CONCATENATE('Cable Info'!T416," - ",'Cable Info'!U416))</f>
        <v/>
      </c>
      <c r="BG711" s="121" t="str">
        <f t="shared" si="153"/>
        <v/>
      </c>
      <c r="BI711" s="121" t="str">
        <f>IF('Cable Info'!V416="","",CONCATENATE('Cable Info'!V416," - ",'Cable Info'!W416))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str">
        <f>IF('Cable Info'!L417="","",CONCATENATE('Cable Info'!L417," - ",'Cable Info'!M417))</f>
        <v>416 - AW</v>
      </c>
      <c r="AM712" s="121" t="str">
        <f t="shared" si="149"/>
        <v>416 - AW</v>
      </c>
      <c r="AO712" s="121" t="str">
        <f>IF('Cable Info'!N417="","",CONCATENATE('Cable Info'!N417," - ",'Cable Info'!O417))</f>
        <v>416 - AW</v>
      </c>
      <c r="AR712" s="121" t="str">
        <f t="shared" si="150"/>
        <v>416 - AW</v>
      </c>
      <c r="AT712" s="121" t="str">
        <f>IF('Cable Info'!P417="","",CONCATENATE('Cable Info'!P417," - ",'Cable Info'!Q417))</f>
        <v/>
      </c>
      <c r="AW712" s="121" t="str">
        <f t="shared" si="151"/>
        <v/>
      </c>
      <c r="AY712" s="121" t="str">
        <f>IF('Cable Info'!R417="","",CONCATENATE('Cable Info'!R417," - ",'Cable Info'!S417))</f>
        <v/>
      </c>
      <c r="BB712" s="121" t="str">
        <f t="shared" si="152"/>
        <v/>
      </c>
      <c r="BD712" s="121" t="str">
        <f>IF('Cable Info'!T417="","",CONCATENATE('Cable Info'!T417," - ",'Cable Info'!U417))</f>
        <v/>
      </c>
      <c r="BG712" s="121" t="str">
        <f t="shared" si="153"/>
        <v/>
      </c>
      <c r="BI712" s="121" t="str">
        <f>IF('Cable Info'!V417="","",CONCATENATE('Cable Info'!V417," - ",'Cable Info'!W417))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str">
        <f>IF('Cable Info'!L418="","",CONCATENATE('Cable Info'!L418," - ",'Cable Info'!M418))</f>
        <v>417 - AW</v>
      </c>
      <c r="AM713" s="121" t="str">
        <f t="shared" si="149"/>
        <v>417 - AW</v>
      </c>
      <c r="AO713" s="121" t="str">
        <f>IF('Cable Info'!N418="","",CONCATENATE('Cable Info'!N418," - ",'Cable Info'!O418))</f>
        <v>417 - AW</v>
      </c>
      <c r="AR713" s="121" t="str">
        <f t="shared" si="150"/>
        <v>417 - AW</v>
      </c>
      <c r="AT713" s="121" t="str">
        <f>IF('Cable Info'!P418="","",CONCATENATE('Cable Info'!P418," - ",'Cable Info'!Q418))</f>
        <v/>
      </c>
      <c r="AW713" s="121" t="str">
        <f t="shared" si="151"/>
        <v/>
      </c>
      <c r="AY713" s="121" t="str">
        <f>IF('Cable Info'!R418="","",CONCATENATE('Cable Info'!R418," - ",'Cable Info'!S418))</f>
        <v/>
      </c>
      <c r="BB713" s="121" t="str">
        <f t="shared" si="152"/>
        <v/>
      </c>
      <c r="BD713" s="121" t="str">
        <f>IF('Cable Info'!T418="","",CONCATENATE('Cable Info'!T418," - ",'Cable Info'!U418))</f>
        <v/>
      </c>
      <c r="BG713" s="121" t="str">
        <f t="shared" si="153"/>
        <v/>
      </c>
      <c r="BI713" s="121" t="str">
        <f>IF('Cable Info'!V418="","",CONCATENATE('Cable Info'!V418," - ",'Cable Info'!W418))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str">
        <f>IF('Cable Info'!L419="","",CONCATENATE('Cable Info'!L419," - ",'Cable Info'!M419))</f>
        <v>418 - AW</v>
      </c>
      <c r="AM714" s="121" t="str">
        <f t="shared" si="149"/>
        <v>418 - AW</v>
      </c>
      <c r="AO714" s="121" t="str">
        <f>IF('Cable Info'!N419="","",CONCATENATE('Cable Info'!N419," - ",'Cable Info'!O419))</f>
        <v>418 - AW</v>
      </c>
      <c r="AR714" s="121" t="str">
        <f t="shared" si="150"/>
        <v>418 - AW</v>
      </c>
      <c r="AT714" s="121" t="str">
        <f>IF('Cable Info'!P419="","",CONCATENATE('Cable Info'!P419," - ",'Cable Info'!Q419))</f>
        <v/>
      </c>
      <c r="AW714" s="121" t="str">
        <f t="shared" si="151"/>
        <v/>
      </c>
      <c r="AY714" s="121" t="str">
        <f>IF('Cable Info'!R419="","",CONCATENATE('Cable Info'!R419," - ",'Cable Info'!S419))</f>
        <v/>
      </c>
      <c r="BB714" s="121" t="str">
        <f t="shared" si="152"/>
        <v/>
      </c>
      <c r="BD714" s="121" t="str">
        <f>IF('Cable Info'!T419="","",CONCATENATE('Cable Info'!T419," - ",'Cable Info'!U419))</f>
        <v/>
      </c>
      <c r="BG714" s="121" t="str">
        <f t="shared" si="153"/>
        <v/>
      </c>
      <c r="BI714" s="121" t="str">
        <f>IF('Cable Info'!V419="","",CONCATENATE('Cable Info'!V419," - ",'Cable Info'!W419))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str">
        <f>IF('Cable Info'!L420="","",CONCATENATE('Cable Info'!L420," - ",'Cable Info'!M420))</f>
        <v>419 - AW</v>
      </c>
      <c r="AM715" s="121" t="str">
        <f t="shared" si="149"/>
        <v>419 - AW</v>
      </c>
      <c r="AO715" s="121" t="str">
        <f>IF('Cable Info'!N420="","",CONCATENATE('Cable Info'!N420," - ",'Cable Info'!O420))</f>
        <v>419 - AW</v>
      </c>
      <c r="AR715" s="121" t="str">
        <f t="shared" si="150"/>
        <v>419 - AW</v>
      </c>
      <c r="AT715" s="121" t="str">
        <f>IF('Cable Info'!P420="","",CONCATENATE('Cable Info'!P420," - ",'Cable Info'!Q420))</f>
        <v/>
      </c>
      <c r="AW715" s="121" t="str">
        <f t="shared" si="151"/>
        <v/>
      </c>
      <c r="AY715" s="121" t="str">
        <f>IF('Cable Info'!R420="","",CONCATENATE('Cable Info'!R420," - ",'Cable Info'!S420))</f>
        <v/>
      </c>
      <c r="BB715" s="121" t="str">
        <f t="shared" si="152"/>
        <v/>
      </c>
      <c r="BD715" s="121" t="str">
        <f>IF('Cable Info'!T420="","",CONCATENATE('Cable Info'!T420," - ",'Cable Info'!U420))</f>
        <v/>
      </c>
      <c r="BG715" s="121" t="str">
        <f t="shared" si="153"/>
        <v/>
      </c>
      <c r="BI715" s="121" t="str">
        <f>IF('Cable Info'!V420="","",CONCATENATE('Cable Info'!V420," - ",'Cable Info'!W420))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str">
        <f>IF('Cable Info'!L421="","",CONCATENATE('Cable Info'!L421," - ",'Cable Info'!M421))</f>
        <v>420 - AW</v>
      </c>
      <c r="AM716" s="121" t="str">
        <f t="shared" si="149"/>
        <v>420 - AW</v>
      </c>
      <c r="AO716" s="121" t="str">
        <f>IF('Cable Info'!N421="","",CONCATENATE('Cable Info'!N421," - ",'Cable Info'!O421))</f>
        <v>420 - AW</v>
      </c>
      <c r="AR716" s="121" t="str">
        <f t="shared" si="150"/>
        <v>420 - AW</v>
      </c>
      <c r="AT716" s="121" t="str">
        <f>IF('Cable Info'!P421="","",CONCATENATE('Cable Info'!P421," - ",'Cable Info'!Q421))</f>
        <v/>
      </c>
      <c r="AW716" s="121" t="str">
        <f t="shared" si="151"/>
        <v/>
      </c>
      <c r="AY716" s="121" t="str">
        <f>IF('Cable Info'!R421="","",CONCATENATE('Cable Info'!R421," - ",'Cable Info'!S421))</f>
        <v/>
      </c>
      <c r="BB716" s="121" t="str">
        <f t="shared" si="152"/>
        <v/>
      </c>
      <c r="BD716" s="121" t="str">
        <f>IF('Cable Info'!T421="","",CONCATENATE('Cable Info'!T421," - ",'Cable Info'!U421))</f>
        <v/>
      </c>
      <c r="BG716" s="121" t="str">
        <f t="shared" si="153"/>
        <v/>
      </c>
      <c r="BI716" s="121" t="str">
        <f>IF('Cable Info'!V421="","",CONCATENATE('Cable Info'!V421," - ",'Cable Info'!W421))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str">
        <f>IF('Cable Info'!L422="","",CONCATENATE('Cable Info'!L422," - ",'Cable Info'!M422))</f>
        <v>421 - AW</v>
      </c>
      <c r="AM717" s="121" t="str">
        <f t="shared" si="149"/>
        <v>421 - AW</v>
      </c>
      <c r="AO717" s="121" t="str">
        <f>IF('Cable Info'!N422="","",CONCATENATE('Cable Info'!N422," - ",'Cable Info'!O422))</f>
        <v>421 - AW</v>
      </c>
      <c r="AR717" s="121" t="str">
        <f t="shared" si="150"/>
        <v>421 - AW</v>
      </c>
      <c r="AT717" s="121" t="str">
        <f>IF('Cable Info'!P422="","",CONCATENATE('Cable Info'!P422," - ",'Cable Info'!Q422))</f>
        <v/>
      </c>
      <c r="AW717" s="121" t="str">
        <f t="shared" si="151"/>
        <v/>
      </c>
      <c r="AY717" s="121" t="str">
        <f>IF('Cable Info'!R422="","",CONCATENATE('Cable Info'!R422," - ",'Cable Info'!S422))</f>
        <v/>
      </c>
      <c r="BB717" s="121" t="str">
        <f t="shared" si="152"/>
        <v/>
      </c>
      <c r="BD717" s="121" t="str">
        <f>IF('Cable Info'!T422="","",CONCATENATE('Cable Info'!T422," - ",'Cable Info'!U422))</f>
        <v/>
      </c>
      <c r="BG717" s="121" t="str">
        <f t="shared" si="153"/>
        <v/>
      </c>
      <c r="BI717" s="121" t="str">
        <f>IF('Cable Info'!V422="","",CONCATENATE('Cable Info'!V422," - ",'Cable Info'!W422))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str">
        <f>IF('Cable Info'!L423="","",CONCATENATE('Cable Info'!L423," - ",'Cable Info'!M423))</f>
        <v>422 - AW</v>
      </c>
      <c r="AM718" s="121" t="str">
        <f t="shared" si="149"/>
        <v>422 - AW</v>
      </c>
      <c r="AO718" s="121" t="str">
        <f>IF('Cable Info'!N423="","",CONCATENATE('Cable Info'!N423," - ",'Cable Info'!O423))</f>
        <v>422 - AW</v>
      </c>
      <c r="AR718" s="121" t="str">
        <f t="shared" si="150"/>
        <v>422 - AW</v>
      </c>
      <c r="AT718" s="121" t="str">
        <f>IF('Cable Info'!P423="","",CONCATENATE('Cable Info'!P423," - ",'Cable Info'!Q423))</f>
        <v/>
      </c>
      <c r="AW718" s="121" t="str">
        <f t="shared" si="151"/>
        <v/>
      </c>
      <c r="AY718" s="121" t="str">
        <f>IF('Cable Info'!R423="","",CONCATENATE('Cable Info'!R423," - ",'Cable Info'!S423))</f>
        <v/>
      </c>
      <c r="BB718" s="121" t="str">
        <f t="shared" si="152"/>
        <v/>
      </c>
      <c r="BD718" s="121" t="str">
        <f>IF('Cable Info'!T423="","",CONCATENATE('Cable Info'!T423," - ",'Cable Info'!U423))</f>
        <v/>
      </c>
      <c r="BG718" s="121" t="str">
        <f t="shared" si="153"/>
        <v/>
      </c>
      <c r="BI718" s="121" t="str">
        <f>IF('Cable Info'!V423="","",CONCATENATE('Cable Info'!V423," - ",'Cable Info'!W423))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str">
        <f>IF('Cable Info'!L424="","",CONCATENATE('Cable Info'!L424," - ",'Cable Info'!M424))</f>
        <v>423 - AW</v>
      </c>
      <c r="AM719" s="121" t="str">
        <f t="shared" si="149"/>
        <v>423 - AW</v>
      </c>
      <c r="AO719" s="121" t="str">
        <f>IF('Cable Info'!N424="","",CONCATENATE('Cable Info'!N424," - ",'Cable Info'!O424))</f>
        <v>423 - AW</v>
      </c>
      <c r="AR719" s="121" t="str">
        <f t="shared" si="150"/>
        <v>423 - AW</v>
      </c>
      <c r="AT719" s="121" t="str">
        <f>IF('Cable Info'!P424="","",CONCATENATE('Cable Info'!P424," - ",'Cable Info'!Q424))</f>
        <v/>
      </c>
      <c r="AW719" s="121" t="str">
        <f t="shared" si="151"/>
        <v/>
      </c>
      <c r="AY719" s="121" t="str">
        <f>IF('Cable Info'!R424="","",CONCATENATE('Cable Info'!R424," - ",'Cable Info'!S424))</f>
        <v/>
      </c>
      <c r="BB719" s="121" t="str">
        <f t="shared" si="152"/>
        <v/>
      </c>
      <c r="BD719" s="121" t="str">
        <f>IF('Cable Info'!T424="","",CONCATENATE('Cable Info'!T424," - ",'Cable Info'!U424))</f>
        <v/>
      </c>
      <c r="BG719" s="121" t="str">
        <f t="shared" si="153"/>
        <v/>
      </c>
      <c r="BI719" s="121" t="str">
        <f>IF('Cable Info'!V424="","",CONCATENATE('Cable Info'!V424," - ",'Cable Info'!W424))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str">
        <f>IF('Cable Info'!L425="","",CONCATENATE('Cable Info'!L425," - ",'Cable Info'!M425))</f>
        <v>424 - AW</v>
      </c>
      <c r="AM720" s="121" t="str">
        <f t="shared" si="149"/>
        <v>424 - AW</v>
      </c>
      <c r="AO720" s="121" t="str">
        <f>IF('Cable Info'!N425="","",CONCATENATE('Cable Info'!N425," - ",'Cable Info'!O425))</f>
        <v>424 - AW</v>
      </c>
      <c r="AR720" s="121" t="str">
        <f t="shared" si="150"/>
        <v>424 - AW</v>
      </c>
      <c r="AT720" s="121" t="str">
        <f>IF('Cable Info'!P425="","",CONCATENATE('Cable Info'!P425," - ",'Cable Info'!Q425))</f>
        <v/>
      </c>
      <c r="AW720" s="121" t="str">
        <f t="shared" si="151"/>
        <v/>
      </c>
      <c r="AY720" s="121" t="str">
        <f>IF('Cable Info'!R425="","",CONCATENATE('Cable Info'!R425," - ",'Cable Info'!S425))</f>
        <v/>
      </c>
      <c r="BB720" s="121" t="str">
        <f t="shared" si="152"/>
        <v/>
      </c>
      <c r="BD720" s="121" t="str">
        <f>IF('Cable Info'!T425="","",CONCATENATE('Cable Info'!T425," - ",'Cable Info'!U425))</f>
        <v/>
      </c>
      <c r="BG720" s="121" t="str">
        <f t="shared" si="153"/>
        <v/>
      </c>
      <c r="BI720" s="121" t="str">
        <f>IF('Cable Info'!V425="","",CONCATENATE('Cable Info'!V425," - ",'Cable Info'!W425))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str">
        <f>IF('Cable Info'!L426="","",CONCATENATE('Cable Info'!L426," - ",'Cable Info'!M426))</f>
        <v>425 - AW</v>
      </c>
      <c r="AM721" s="121" t="str">
        <f t="shared" si="149"/>
        <v>425 - AW</v>
      </c>
      <c r="AO721" s="121" t="str">
        <f>IF('Cable Info'!N426="","",CONCATENATE('Cable Info'!N426," - ",'Cable Info'!O426))</f>
        <v>425 - AW</v>
      </c>
      <c r="AR721" s="121" t="str">
        <f t="shared" si="150"/>
        <v>425 - AW</v>
      </c>
      <c r="AT721" s="121" t="str">
        <f>IF('Cable Info'!P426="","",CONCATENATE('Cable Info'!P426," - ",'Cable Info'!Q426))</f>
        <v/>
      </c>
      <c r="AW721" s="121" t="str">
        <f t="shared" si="151"/>
        <v/>
      </c>
      <c r="AY721" s="121" t="str">
        <f>IF('Cable Info'!R426="","",CONCATENATE('Cable Info'!R426," - ",'Cable Info'!S426))</f>
        <v/>
      </c>
      <c r="BB721" s="121" t="str">
        <f t="shared" si="152"/>
        <v/>
      </c>
      <c r="BD721" s="121" t="str">
        <f>IF('Cable Info'!T426="","",CONCATENATE('Cable Info'!T426," - ",'Cable Info'!U426))</f>
        <v/>
      </c>
      <c r="BG721" s="121" t="str">
        <f t="shared" si="153"/>
        <v/>
      </c>
      <c r="BI721" s="121" t="str">
        <f>IF('Cable Info'!V426="","",CONCATENATE('Cable Info'!V426," - ",'Cable Info'!W426))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str">
        <f>IF('Cable Info'!L427="","",CONCATENATE('Cable Info'!L427," - ",'Cable Info'!M427))</f>
        <v>426 - AW</v>
      </c>
      <c r="AM722" s="121" t="str">
        <f t="shared" si="149"/>
        <v>426 - AW</v>
      </c>
      <c r="AO722" s="121" t="str">
        <f>IF('Cable Info'!N427="","",CONCATENATE('Cable Info'!N427," - ",'Cable Info'!O427))</f>
        <v>426 - AW</v>
      </c>
      <c r="AR722" s="121" t="str">
        <f t="shared" si="150"/>
        <v>426 - AW</v>
      </c>
      <c r="AT722" s="121" t="str">
        <f>IF('Cable Info'!P427="","",CONCATENATE('Cable Info'!P427," - ",'Cable Info'!Q427))</f>
        <v/>
      </c>
      <c r="AW722" s="121" t="str">
        <f t="shared" si="151"/>
        <v/>
      </c>
      <c r="AY722" s="121" t="str">
        <f>IF('Cable Info'!R427="","",CONCATENATE('Cable Info'!R427," - ",'Cable Info'!S427))</f>
        <v/>
      </c>
      <c r="BB722" s="121" t="str">
        <f t="shared" si="152"/>
        <v/>
      </c>
      <c r="BD722" s="121" t="str">
        <f>IF('Cable Info'!T427="","",CONCATENATE('Cable Info'!T427," - ",'Cable Info'!U427))</f>
        <v/>
      </c>
      <c r="BG722" s="121" t="str">
        <f t="shared" si="153"/>
        <v/>
      </c>
      <c r="BI722" s="121" t="str">
        <f>IF('Cable Info'!V427="","",CONCATENATE('Cable Info'!V427," - ",'Cable Info'!W427))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str">
        <f>IF('Cable Info'!L428="","",CONCATENATE('Cable Info'!L428," - ",'Cable Info'!M428))</f>
        <v>427 - AW</v>
      </c>
      <c r="AM723" s="121" t="str">
        <f t="shared" si="149"/>
        <v>427 - AW</v>
      </c>
      <c r="AO723" s="121" t="str">
        <f>IF('Cable Info'!N428="","",CONCATENATE('Cable Info'!N428," - ",'Cable Info'!O428))</f>
        <v>427 - AW</v>
      </c>
      <c r="AR723" s="121" t="str">
        <f t="shared" si="150"/>
        <v>427 - AW</v>
      </c>
      <c r="AT723" s="121" t="str">
        <f>IF('Cable Info'!P428="","",CONCATENATE('Cable Info'!P428," - ",'Cable Info'!Q428))</f>
        <v/>
      </c>
      <c r="AW723" s="121" t="str">
        <f t="shared" si="151"/>
        <v/>
      </c>
      <c r="AY723" s="121" t="str">
        <f>IF('Cable Info'!R428="","",CONCATENATE('Cable Info'!R428," - ",'Cable Info'!S428))</f>
        <v/>
      </c>
      <c r="BB723" s="121" t="str">
        <f t="shared" si="152"/>
        <v/>
      </c>
      <c r="BD723" s="121" t="str">
        <f>IF('Cable Info'!T428="","",CONCATENATE('Cable Info'!T428," - ",'Cable Info'!U428))</f>
        <v/>
      </c>
      <c r="BG723" s="121" t="str">
        <f t="shared" si="153"/>
        <v/>
      </c>
      <c r="BI723" s="121" t="str">
        <f>IF('Cable Info'!V428="","",CONCATENATE('Cable Info'!V428," - ",'Cable Info'!W428))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str">
        <f>IF('Cable Info'!L429="","",CONCATENATE('Cable Info'!L429," - ",'Cable Info'!M429))</f>
        <v>428 - AW</v>
      </c>
      <c r="AM724" s="121" t="str">
        <f t="shared" si="149"/>
        <v>428 - AW</v>
      </c>
      <c r="AO724" s="121" t="str">
        <f>IF('Cable Info'!N429="","",CONCATENATE('Cable Info'!N429," - ",'Cable Info'!O429))</f>
        <v>428 - AW</v>
      </c>
      <c r="AR724" s="121" t="str">
        <f t="shared" si="150"/>
        <v>428 - AW</v>
      </c>
      <c r="AT724" s="121" t="str">
        <f>IF('Cable Info'!P429="","",CONCATENATE('Cable Info'!P429," - ",'Cable Info'!Q429))</f>
        <v/>
      </c>
      <c r="AW724" s="121" t="str">
        <f t="shared" si="151"/>
        <v/>
      </c>
      <c r="AY724" s="121" t="str">
        <f>IF('Cable Info'!R429="","",CONCATENATE('Cable Info'!R429," - ",'Cable Info'!S429))</f>
        <v/>
      </c>
      <c r="BB724" s="121" t="str">
        <f t="shared" si="152"/>
        <v/>
      </c>
      <c r="BD724" s="121" t="str">
        <f>IF('Cable Info'!T429="","",CONCATENATE('Cable Info'!T429," - ",'Cable Info'!U429))</f>
        <v/>
      </c>
      <c r="BG724" s="121" t="str">
        <f t="shared" si="153"/>
        <v/>
      </c>
      <c r="BI724" s="121" t="str">
        <f>IF('Cable Info'!V429="","",CONCATENATE('Cable Info'!V429," - ",'Cable Info'!W429))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str">
        <f>IF('Cable Info'!L430="","",CONCATENATE('Cable Info'!L430," - ",'Cable Info'!M430))</f>
        <v>429 - AW</v>
      </c>
      <c r="AM725" s="121" t="str">
        <f t="shared" si="149"/>
        <v>429 - AW</v>
      </c>
      <c r="AO725" s="121" t="str">
        <f>IF('Cable Info'!N430="","",CONCATENATE('Cable Info'!N430," - ",'Cable Info'!O430))</f>
        <v>429 - AW</v>
      </c>
      <c r="AR725" s="121" t="str">
        <f t="shared" si="150"/>
        <v>429 - AW</v>
      </c>
      <c r="AT725" s="121" t="str">
        <f>IF('Cable Info'!P430="","",CONCATENATE('Cable Info'!P430," - ",'Cable Info'!Q430))</f>
        <v/>
      </c>
      <c r="AW725" s="121" t="str">
        <f t="shared" si="151"/>
        <v/>
      </c>
      <c r="AY725" s="121" t="str">
        <f>IF('Cable Info'!R430="","",CONCATENATE('Cable Info'!R430," - ",'Cable Info'!S430))</f>
        <v/>
      </c>
      <c r="BB725" s="121" t="str">
        <f t="shared" si="152"/>
        <v/>
      </c>
      <c r="BD725" s="121" t="str">
        <f>IF('Cable Info'!T430="","",CONCATENATE('Cable Info'!T430," - ",'Cable Info'!U430))</f>
        <v/>
      </c>
      <c r="BG725" s="121" t="str">
        <f t="shared" si="153"/>
        <v/>
      </c>
      <c r="BI725" s="121" t="str">
        <f>IF('Cable Info'!V430="","",CONCATENATE('Cable Info'!V430," - ",'Cable Info'!W430))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str">
        <f>IF('Cable Info'!L431="","",CONCATENATE('Cable Info'!L431," - ",'Cable Info'!M431))</f>
        <v>430 - AW</v>
      </c>
      <c r="AM726" s="121" t="str">
        <f t="shared" si="149"/>
        <v>430 - AW</v>
      </c>
      <c r="AO726" s="121" t="str">
        <f>IF('Cable Info'!N431="","",CONCATENATE('Cable Info'!N431," - ",'Cable Info'!O431))</f>
        <v>430 - AW</v>
      </c>
      <c r="AR726" s="121" t="str">
        <f t="shared" si="150"/>
        <v>430 - AW</v>
      </c>
      <c r="AT726" s="121" t="str">
        <f>IF('Cable Info'!P431="","",CONCATENATE('Cable Info'!P431," - ",'Cable Info'!Q431))</f>
        <v/>
      </c>
      <c r="AW726" s="121" t="str">
        <f t="shared" si="151"/>
        <v/>
      </c>
      <c r="AY726" s="121" t="str">
        <f>IF('Cable Info'!R431="","",CONCATENATE('Cable Info'!R431," - ",'Cable Info'!S431))</f>
        <v/>
      </c>
      <c r="BB726" s="121" t="str">
        <f t="shared" si="152"/>
        <v/>
      </c>
      <c r="BD726" s="121" t="str">
        <f>IF('Cable Info'!T431="","",CONCATENATE('Cable Info'!T431," - ",'Cable Info'!U431))</f>
        <v/>
      </c>
      <c r="BG726" s="121" t="str">
        <f t="shared" si="153"/>
        <v/>
      </c>
      <c r="BI726" s="121" t="str">
        <f>IF('Cable Info'!V431="","",CONCATENATE('Cable Info'!V431," - ",'Cable Info'!W431))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str">
        <f>IF('Cable Info'!L432="","",CONCATENATE('Cable Info'!L432," - ",'Cable Info'!M432))</f>
        <v>431 - AW</v>
      </c>
      <c r="AM727" s="121" t="str">
        <f t="shared" si="149"/>
        <v>431 - AW</v>
      </c>
      <c r="AO727" s="121" t="str">
        <f>IF('Cable Info'!N432="","",CONCATENATE('Cable Info'!N432," - ",'Cable Info'!O432))</f>
        <v>431 - AW</v>
      </c>
      <c r="AR727" s="121" t="str">
        <f t="shared" si="150"/>
        <v>431 - AW</v>
      </c>
      <c r="AT727" s="121" t="str">
        <f>IF('Cable Info'!P432="","",CONCATENATE('Cable Info'!P432," - ",'Cable Info'!Q432))</f>
        <v/>
      </c>
      <c r="AW727" s="121" t="str">
        <f t="shared" si="151"/>
        <v/>
      </c>
      <c r="AY727" s="121" t="str">
        <f>IF('Cable Info'!R432="","",CONCATENATE('Cable Info'!R432," - ",'Cable Info'!S432))</f>
        <v/>
      </c>
      <c r="BB727" s="121" t="str">
        <f t="shared" si="152"/>
        <v/>
      </c>
      <c r="BD727" s="121" t="str">
        <f>IF('Cable Info'!T432="","",CONCATENATE('Cable Info'!T432," - ",'Cable Info'!U432))</f>
        <v/>
      </c>
      <c r="BG727" s="121" t="str">
        <f t="shared" si="153"/>
        <v/>
      </c>
      <c r="BI727" s="121" t="str">
        <f>IF('Cable Info'!V432="","",CONCATENATE('Cable Info'!V432," - ",'Cable Info'!W432))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str">
        <f>IF('Cable Info'!L433="","",CONCATENATE('Cable Info'!L433," - ",'Cable Info'!M433))</f>
        <v>432 - AW</v>
      </c>
      <c r="AM728" s="121" t="str">
        <f t="shared" si="149"/>
        <v>432 - AW</v>
      </c>
      <c r="AO728" s="121" t="str">
        <f>IF('Cable Info'!N433="","",CONCATENATE('Cable Info'!N433," - ",'Cable Info'!O433))</f>
        <v>432 - AW</v>
      </c>
      <c r="AR728" s="121" t="str">
        <f t="shared" si="150"/>
        <v>432 - AW</v>
      </c>
      <c r="AT728" s="121" t="str">
        <f>IF('Cable Info'!P433="","",CONCATENATE('Cable Info'!P433," - ",'Cable Info'!Q433))</f>
        <v/>
      </c>
      <c r="AW728" s="121" t="str">
        <f t="shared" si="151"/>
        <v/>
      </c>
      <c r="AY728" s="121" t="str">
        <f>IF('Cable Info'!R433="","",CONCATENATE('Cable Info'!R433," - ",'Cable Info'!S433))</f>
        <v/>
      </c>
      <c r="BB728" s="121" t="str">
        <f t="shared" si="152"/>
        <v/>
      </c>
      <c r="BD728" s="121" t="str">
        <f>IF('Cable Info'!T433="","",CONCATENATE('Cable Info'!T433," - ",'Cable Info'!U433))</f>
        <v/>
      </c>
      <c r="BG728" s="121" t="str">
        <f t="shared" si="153"/>
        <v/>
      </c>
      <c r="BI728" s="121" t="str">
        <f>IF('Cable Info'!V433="","",CONCATENATE('Cable Info'!V433," - ",'Cable Info'!W433))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str">
        <f>IF('Cable Info'!L434="","",CONCATENATE('Cable Info'!L434," - ",'Cable Info'!M434))</f>
        <v>433 - AW</v>
      </c>
      <c r="AM729" s="121" t="str">
        <f t="shared" si="149"/>
        <v>433 - AW</v>
      </c>
      <c r="AO729" s="121" t="str">
        <f>IF('Cable Info'!N434="","",CONCATENATE('Cable Info'!N434," - ",'Cable Info'!O434))</f>
        <v>433 - AW</v>
      </c>
      <c r="AR729" s="121" t="str">
        <f t="shared" si="150"/>
        <v>433 - AW</v>
      </c>
      <c r="AT729" s="121" t="str">
        <f>IF('Cable Info'!P434="","",CONCATENATE('Cable Info'!P434," - ",'Cable Info'!Q434))</f>
        <v/>
      </c>
      <c r="AW729" s="121" t="str">
        <f t="shared" si="151"/>
        <v/>
      </c>
      <c r="AY729" s="121" t="str">
        <f>IF('Cable Info'!R434="","",CONCATENATE('Cable Info'!R434," - ",'Cable Info'!S434))</f>
        <v/>
      </c>
      <c r="BB729" s="121" t="str">
        <f t="shared" si="152"/>
        <v/>
      </c>
      <c r="BD729" s="121" t="str">
        <f>IF('Cable Info'!T434="","",CONCATENATE('Cable Info'!T434," - ",'Cable Info'!U434))</f>
        <v/>
      </c>
      <c r="BG729" s="121" t="str">
        <f t="shared" si="153"/>
        <v/>
      </c>
      <c r="BI729" s="121" t="str">
        <f>IF('Cable Info'!V434="","",CONCATENATE('Cable Info'!V434," - ",'Cable Info'!W434))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str">
        <f>IF('Cable Info'!L435="","",CONCATENATE('Cable Info'!L435," - ",'Cable Info'!M435))</f>
        <v>434 - AW</v>
      </c>
      <c r="AM730" s="121" t="str">
        <f t="shared" si="149"/>
        <v>434 - AW</v>
      </c>
      <c r="AO730" s="121" t="str">
        <f>IF('Cable Info'!N435="","",CONCATENATE('Cable Info'!N435," - ",'Cable Info'!O435))</f>
        <v>434 - AW</v>
      </c>
      <c r="AR730" s="121" t="str">
        <f t="shared" si="150"/>
        <v>434 - AW</v>
      </c>
      <c r="AT730" s="121" t="str">
        <f>IF('Cable Info'!P435="","",CONCATENATE('Cable Info'!P435," - ",'Cable Info'!Q435))</f>
        <v/>
      </c>
      <c r="AW730" s="121" t="str">
        <f t="shared" si="151"/>
        <v/>
      </c>
      <c r="AY730" s="121" t="str">
        <f>IF('Cable Info'!R435="","",CONCATENATE('Cable Info'!R435," - ",'Cable Info'!S435))</f>
        <v/>
      </c>
      <c r="BB730" s="121" t="str">
        <f t="shared" si="152"/>
        <v/>
      </c>
      <c r="BD730" s="121" t="str">
        <f>IF('Cable Info'!T435="","",CONCATENATE('Cable Info'!T435," - ",'Cable Info'!U435))</f>
        <v/>
      </c>
      <c r="BG730" s="121" t="str">
        <f t="shared" si="153"/>
        <v/>
      </c>
      <c r="BI730" s="121" t="str">
        <f>IF('Cable Info'!V435="","",CONCATENATE('Cable Info'!V435," - ",'Cable Info'!W435))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str">
        <f>IF('Cable Info'!L436="","",CONCATENATE('Cable Info'!L436," - ",'Cable Info'!M436))</f>
        <v>435 - AW</v>
      </c>
      <c r="AM731" s="121" t="str">
        <f t="shared" si="149"/>
        <v>435 - AW</v>
      </c>
      <c r="AO731" s="121" t="str">
        <f>IF('Cable Info'!N436="","",CONCATENATE('Cable Info'!N436," - ",'Cable Info'!O436))</f>
        <v>435 - AW</v>
      </c>
      <c r="AR731" s="121" t="str">
        <f t="shared" si="150"/>
        <v>435 - AW</v>
      </c>
      <c r="AT731" s="121" t="str">
        <f>IF('Cable Info'!P436="","",CONCATENATE('Cable Info'!P436," - ",'Cable Info'!Q436))</f>
        <v/>
      </c>
      <c r="AW731" s="121" t="str">
        <f t="shared" si="151"/>
        <v/>
      </c>
      <c r="AY731" s="121" t="str">
        <f>IF('Cable Info'!R436="","",CONCATENATE('Cable Info'!R436," - ",'Cable Info'!S436))</f>
        <v/>
      </c>
      <c r="BB731" s="121" t="str">
        <f t="shared" si="152"/>
        <v/>
      </c>
      <c r="BD731" s="121" t="str">
        <f>IF('Cable Info'!T436="","",CONCATENATE('Cable Info'!T436," - ",'Cable Info'!U436))</f>
        <v/>
      </c>
      <c r="BG731" s="121" t="str">
        <f t="shared" si="153"/>
        <v/>
      </c>
      <c r="BI731" s="121" t="str">
        <f>IF('Cable Info'!V436="","",CONCATENATE('Cable Info'!V436," - ",'Cable Info'!W436))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str">
        <f>IF('Cable Info'!L437="","",CONCATENATE('Cable Info'!L437," - ",'Cable Info'!M437))</f>
        <v>436 - AW</v>
      </c>
      <c r="AM732" s="121" t="str">
        <f t="shared" si="149"/>
        <v>436 - AW</v>
      </c>
      <c r="AO732" s="121" t="str">
        <f>IF('Cable Info'!N437="","",CONCATENATE('Cable Info'!N437," - ",'Cable Info'!O437))</f>
        <v>436 - AW</v>
      </c>
      <c r="AR732" s="121" t="str">
        <f t="shared" si="150"/>
        <v>436 - AW</v>
      </c>
      <c r="AT732" s="121" t="str">
        <f>IF('Cable Info'!P437="","",CONCATENATE('Cable Info'!P437," - ",'Cable Info'!Q437))</f>
        <v/>
      </c>
      <c r="AW732" s="121" t="str">
        <f t="shared" si="151"/>
        <v/>
      </c>
      <c r="AY732" s="121" t="str">
        <f>IF('Cable Info'!R437="","",CONCATENATE('Cable Info'!R437," - ",'Cable Info'!S437))</f>
        <v/>
      </c>
      <c r="BB732" s="121" t="str">
        <f t="shared" si="152"/>
        <v/>
      </c>
      <c r="BD732" s="121" t="str">
        <f>IF('Cable Info'!T437="","",CONCATENATE('Cable Info'!T437," - ",'Cable Info'!U437))</f>
        <v/>
      </c>
      <c r="BG732" s="121" t="str">
        <f t="shared" si="153"/>
        <v/>
      </c>
      <c r="BI732" s="121" t="str">
        <f>IF('Cable Info'!V437="","",CONCATENATE('Cable Info'!V437," - ",'Cable Info'!W437))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str">
        <f>IF('Cable Info'!L438="","",CONCATENATE('Cable Info'!L438," - ",'Cable Info'!M438))</f>
        <v>437 - AW</v>
      </c>
      <c r="AM733" s="121" t="str">
        <f t="shared" si="149"/>
        <v>437 - AW</v>
      </c>
      <c r="AO733" s="121" t="str">
        <f>IF('Cable Info'!N438="","",CONCATENATE('Cable Info'!N438," - ",'Cable Info'!O438))</f>
        <v>437 - AW</v>
      </c>
      <c r="AR733" s="121" t="str">
        <f t="shared" si="150"/>
        <v>437 - AW</v>
      </c>
      <c r="AT733" s="121" t="str">
        <f>IF('Cable Info'!P438="","",CONCATENATE('Cable Info'!P438," - ",'Cable Info'!Q438))</f>
        <v/>
      </c>
      <c r="AW733" s="121" t="str">
        <f t="shared" si="151"/>
        <v/>
      </c>
      <c r="AY733" s="121" t="str">
        <f>IF('Cable Info'!R438="","",CONCATENATE('Cable Info'!R438," - ",'Cable Info'!S438))</f>
        <v/>
      </c>
      <c r="BB733" s="121" t="str">
        <f t="shared" si="152"/>
        <v/>
      </c>
      <c r="BD733" s="121" t="str">
        <f>IF('Cable Info'!T438="","",CONCATENATE('Cable Info'!T438," - ",'Cable Info'!U438))</f>
        <v/>
      </c>
      <c r="BG733" s="121" t="str">
        <f t="shared" si="153"/>
        <v/>
      </c>
      <c r="BI733" s="121" t="str">
        <f>IF('Cable Info'!V438="","",CONCATENATE('Cable Info'!V438," - ",'Cable Info'!W438))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str">
        <f>IF('Cable Info'!L439="","",CONCATENATE('Cable Info'!L439," - ",'Cable Info'!M439))</f>
        <v>438 - AW</v>
      </c>
      <c r="AM734" s="121" t="str">
        <f t="shared" si="149"/>
        <v>438 - AW</v>
      </c>
      <c r="AO734" s="121" t="str">
        <f>IF('Cable Info'!N439="","",CONCATENATE('Cable Info'!N439," - ",'Cable Info'!O439))</f>
        <v>438 - AW</v>
      </c>
      <c r="AR734" s="121" t="str">
        <f t="shared" si="150"/>
        <v>438 - AW</v>
      </c>
      <c r="AT734" s="121" t="str">
        <f>IF('Cable Info'!P439="","",CONCATENATE('Cable Info'!P439," - ",'Cable Info'!Q439))</f>
        <v/>
      </c>
      <c r="AW734" s="121" t="str">
        <f t="shared" si="151"/>
        <v/>
      </c>
      <c r="AY734" s="121" t="str">
        <f>IF('Cable Info'!R439="","",CONCATENATE('Cable Info'!R439," - ",'Cable Info'!S439))</f>
        <v/>
      </c>
      <c r="BB734" s="121" t="str">
        <f t="shared" si="152"/>
        <v/>
      </c>
      <c r="BD734" s="121" t="str">
        <f>IF('Cable Info'!T439="","",CONCATENATE('Cable Info'!T439," - ",'Cable Info'!U439))</f>
        <v/>
      </c>
      <c r="BG734" s="121" t="str">
        <f t="shared" si="153"/>
        <v/>
      </c>
      <c r="BI734" s="121" t="str">
        <f>IF('Cable Info'!V439="","",CONCATENATE('Cable Info'!V439," - ",'Cable Info'!W439))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str">
        <f>IF('Cable Info'!L440="","",CONCATENATE('Cable Info'!L440," - ",'Cable Info'!M440))</f>
        <v>439 - AW</v>
      </c>
      <c r="AM735" s="121" t="str">
        <f t="shared" si="149"/>
        <v>439 - AW</v>
      </c>
      <c r="AO735" s="121" t="str">
        <f>IF('Cable Info'!N440="","",CONCATENATE('Cable Info'!N440," - ",'Cable Info'!O440))</f>
        <v>439 - AW</v>
      </c>
      <c r="AR735" s="121" t="str">
        <f t="shared" si="150"/>
        <v>439 - AW</v>
      </c>
      <c r="AT735" s="121" t="str">
        <f>IF('Cable Info'!P440="","",CONCATENATE('Cable Info'!P440," - ",'Cable Info'!Q440))</f>
        <v/>
      </c>
      <c r="AW735" s="121" t="str">
        <f t="shared" si="151"/>
        <v/>
      </c>
      <c r="AY735" s="121" t="str">
        <f>IF('Cable Info'!R440="","",CONCATENATE('Cable Info'!R440," - ",'Cable Info'!S440))</f>
        <v/>
      </c>
      <c r="BB735" s="121" t="str">
        <f t="shared" si="152"/>
        <v/>
      </c>
      <c r="BD735" s="121" t="str">
        <f>IF('Cable Info'!T440="","",CONCATENATE('Cable Info'!T440," - ",'Cable Info'!U440))</f>
        <v/>
      </c>
      <c r="BG735" s="121" t="str">
        <f t="shared" si="153"/>
        <v/>
      </c>
      <c r="BI735" s="121" t="str">
        <f>IF('Cable Info'!V440="","",CONCATENATE('Cable Info'!V440," - ",'Cable Info'!W440))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str">
        <f>IF('Cable Info'!L441="","",CONCATENATE('Cable Info'!L441," - ",'Cable Info'!M441))</f>
        <v>440 - AW</v>
      </c>
      <c r="AM736" s="121" t="str">
        <f t="shared" si="149"/>
        <v>440 - AW</v>
      </c>
      <c r="AO736" s="121" t="str">
        <f>IF('Cable Info'!N441="","",CONCATENATE('Cable Info'!N441," - ",'Cable Info'!O441))</f>
        <v>440 - AW</v>
      </c>
      <c r="AR736" s="121" t="str">
        <f t="shared" si="150"/>
        <v>440 - AW</v>
      </c>
      <c r="AT736" s="121" t="str">
        <f>IF('Cable Info'!P441="","",CONCATENATE('Cable Info'!P441," - ",'Cable Info'!Q441))</f>
        <v/>
      </c>
      <c r="AW736" s="121" t="str">
        <f t="shared" si="151"/>
        <v/>
      </c>
      <c r="AY736" s="121" t="str">
        <f>IF('Cable Info'!R441="","",CONCATENATE('Cable Info'!R441," - ",'Cable Info'!S441))</f>
        <v/>
      </c>
      <c r="BB736" s="121" t="str">
        <f t="shared" si="152"/>
        <v/>
      </c>
      <c r="BD736" s="121" t="str">
        <f>IF('Cable Info'!T441="","",CONCATENATE('Cable Info'!T441," - ",'Cable Info'!U441))</f>
        <v/>
      </c>
      <c r="BG736" s="121" t="str">
        <f t="shared" si="153"/>
        <v/>
      </c>
      <c r="BI736" s="121" t="str">
        <f>IF('Cable Info'!V441="","",CONCATENATE('Cable Info'!V441," - ",'Cable Info'!W441))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str">
        <f>IF('Cable Info'!L442="","",CONCATENATE('Cable Info'!L442," - ",'Cable Info'!M442))</f>
        <v>441 - AW</v>
      </c>
      <c r="AM737" s="121" t="str">
        <f t="shared" si="149"/>
        <v>441 - AW</v>
      </c>
      <c r="AO737" s="121" t="str">
        <f>IF('Cable Info'!N442="","",CONCATENATE('Cable Info'!N442," - ",'Cable Info'!O442))</f>
        <v>441 - AW</v>
      </c>
      <c r="AR737" s="121" t="str">
        <f t="shared" si="150"/>
        <v>441 - AW</v>
      </c>
      <c r="AT737" s="121" t="str">
        <f>IF('Cable Info'!P442="","",CONCATENATE('Cable Info'!P442," - ",'Cable Info'!Q442))</f>
        <v/>
      </c>
      <c r="AW737" s="121" t="str">
        <f t="shared" si="151"/>
        <v/>
      </c>
      <c r="AY737" s="121" t="str">
        <f>IF('Cable Info'!R442="","",CONCATENATE('Cable Info'!R442," - ",'Cable Info'!S442))</f>
        <v/>
      </c>
      <c r="BB737" s="121" t="str">
        <f t="shared" si="152"/>
        <v/>
      </c>
      <c r="BD737" s="121" t="str">
        <f>IF('Cable Info'!T442="","",CONCATENATE('Cable Info'!T442," - ",'Cable Info'!U442))</f>
        <v/>
      </c>
      <c r="BG737" s="121" t="str">
        <f t="shared" si="153"/>
        <v/>
      </c>
      <c r="BI737" s="121" t="str">
        <f>IF('Cable Info'!V442="","",CONCATENATE('Cable Info'!V442," - ",'Cable Info'!W442))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str">
        <f>IF('Cable Info'!L443="","",CONCATENATE('Cable Info'!L443," - ",'Cable Info'!M443))</f>
        <v>442 - AW</v>
      </c>
      <c r="AM738" s="121" t="str">
        <f t="shared" si="149"/>
        <v>442 - AW</v>
      </c>
      <c r="AO738" s="121" t="str">
        <f>IF('Cable Info'!N443="","",CONCATENATE('Cable Info'!N443," - ",'Cable Info'!O443))</f>
        <v>442 - AW</v>
      </c>
      <c r="AR738" s="121" t="str">
        <f t="shared" si="150"/>
        <v>442 - AW</v>
      </c>
      <c r="AT738" s="121" t="str">
        <f>IF('Cable Info'!P443="","",CONCATENATE('Cable Info'!P443," - ",'Cable Info'!Q443))</f>
        <v/>
      </c>
      <c r="AW738" s="121" t="str">
        <f t="shared" si="151"/>
        <v/>
      </c>
      <c r="AY738" s="121" t="str">
        <f>IF('Cable Info'!R443="","",CONCATENATE('Cable Info'!R443," - ",'Cable Info'!S443))</f>
        <v/>
      </c>
      <c r="BB738" s="121" t="str">
        <f t="shared" si="152"/>
        <v/>
      </c>
      <c r="BD738" s="121" t="str">
        <f>IF('Cable Info'!T443="","",CONCATENATE('Cable Info'!T443," - ",'Cable Info'!U443))</f>
        <v/>
      </c>
      <c r="BG738" s="121" t="str">
        <f t="shared" si="153"/>
        <v/>
      </c>
      <c r="BI738" s="121" t="str">
        <f>IF('Cable Info'!V443="","",CONCATENATE('Cable Info'!V443," - ",'Cable Info'!W443))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str">
        <f>IF('Cable Info'!L444="","",CONCATENATE('Cable Info'!L444," - ",'Cable Info'!M444))</f>
        <v>443 - AW</v>
      </c>
      <c r="AM739" s="121" t="str">
        <f t="shared" si="149"/>
        <v>443 - AW</v>
      </c>
      <c r="AO739" s="121" t="str">
        <f>IF('Cable Info'!N444="","",CONCATENATE('Cable Info'!N444," - ",'Cable Info'!O444))</f>
        <v>443 - AW</v>
      </c>
      <c r="AR739" s="121" t="str">
        <f t="shared" si="150"/>
        <v>443 - AW</v>
      </c>
      <c r="AT739" s="121" t="str">
        <f>IF('Cable Info'!P444="","",CONCATENATE('Cable Info'!P444," - ",'Cable Info'!Q444))</f>
        <v/>
      </c>
      <c r="AW739" s="121" t="str">
        <f t="shared" si="151"/>
        <v/>
      </c>
      <c r="AY739" s="121" t="str">
        <f>IF('Cable Info'!R444="","",CONCATENATE('Cable Info'!R444," - ",'Cable Info'!S444))</f>
        <v/>
      </c>
      <c r="BB739" s="121" t="str">
        <f t="shared" si="152"/>
        <v/>
      </c>
      <c r="BD739" s="121" t="str">
        <f>IF('Cable Info'!T444="","",CONCATENATE('Cable Info'!T444," - ",'Cable Info'!U444))</f>
        <v/>
      </c>
      <c r="BG739" s="121" t="str">
        <f t="shared" si="153"/>
        <v/>
      </c>
      <c r="BI739" s="121" t="str">
        <f>IF('Cable Info'!V444="","",CONCATENATE('Cable Info'!V444," - ",'Cable Info'!W444))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str">
        <f>IF('Cable Info'!L445="","",CONCATENATE('Cable Info'!L445," - ",'Cable Info'!M445))</f>
        <v>444 - AW</v>
      </c>
      <c r="AM740" s="121" t="str">
        <f t="shared" si="149"/>
        <v>444 - AW</v>
      </c>
      <c r="AO740" s="121" t="str">
        <f>IF('Cable Info'!N445="","",CONCATENATE('Cable Info'!N445," - ",'Cable Info'!O445))</f>
        <v>444 - AW</v>
      </c>
      <c r="AR740" s="121" t="str">
        <f t="shared" si="150"/>
        <v>444 - AW</v>
      </c>
      <c r="AT740" s="121" t="str">
        <f>IF('Cable Info'!P445="","",CONCATENATE('Cable Info'!P445," - ",'Cable Info'!Q445))</f>
        <v/>
      </c>
      <c r="AW740" s="121" t="str">
        <f t="shared" si="151"/>
        <v/>
      </c>
      <c r="AY740" s="121" t="str">
        <f>IF('Cable Info'!R445="","",CONCATENATE('Cable Info'!R445," - ",'Cable Info'!S445))</f>
        <v/>
      </c>
      <c r="BB740" s="121" t="str">
        <f t="shared" si="152"/>
        <v/>
      </c>
      <c r="BD740" s="121" t="str">
        <f>IF('Cable Info'!T445="","",CONCATENATE('Cable Info'!T445," - ",'Cable Info'!U445))</f>
        <v/>
      </c>
      <c r="BG740" s="121" t="str">
        <f t="shared" si="153"/>
        <v/>
      </c>
      <c r="BI740" s="121" t="str">
        <f>IF('Cable Info'!V445="","",CONCATENATE('Cable Info'!V445," - ",'Cable Info'!W445))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str">
        <f>IF('Cable Info'!L446="","",CONCATENATE('Cable Info'!L446," - ",'Cable Info'!M446))</f>
        <v>445 - AW</v>
      </c>
      <c r="AM741" s="121" t="str">
        <f t="shared" si="149"/>
        <v>445 - AW</v>
      </c>
      <c r="AO741" s="121" t="str">
        <f>IF('Cable Info'!N446="","",CONCATENATE('Cable Info'!N446," - ",'Cable Info'!O446))</f>
        <v>445 - AW</v>
      </c>
      <c r="AR741" s="121" t="str">
        <f t="shared" si="150"/>
        <v>445 - AW</v>
      </c>
      <c r="AT741" s="121" t="str">
        <f>IF('Cable Info'!P446="","",CONCATENATE('Cable Info'!P446," - ",'Cable Info'!Q446))</f>
        <v/>
      </c>
      <c r="AW741" s="121" t="str">
        <f t="shared" si="151"/>
        <v/>
      </c>
      <c r="AY741" s="121" t="str">
        <f>IF('Cable Info'!R446="","",CONCATENATE('Cable Info'!R446," - ",'Cable Info'!S446))</f>
        <v/>
      </c>
      <c r="BB741" s="121" t="str">
        <f t="shared" si="152"/>
        <v/>
      </c>
      <c r="BD741" s="121" t="str">
        <f>IF('Cable Info'!T446="","",CONCATENATE('Cable Info'!T446," - ",'Cable Info'!U446))</f>
        <v/>
      </c>
      <c r="BG741" s="121" t="str">
        <f t="shared" si="153"/>
        <v/>
      </c>
      <c r="BI741" s="121" t="str">
        <f>IF('Cable Info'!V446="","",CONCATENATE('Cable Info'!V446," - ",'Cable Info'!W446))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str">
        <f>IF('Cable Info'!L447="","",CONCATENATE('Cable Info'!L447," - ",'Cable Info'!M447))</f>
        <v>446 - AW</v>
      </c>
      <c r="AM742" s="121" t="str">
        <f t="shared" si="149"/>
        <v>446 - AW</v>
      </c>
      <c r="AO742" s="121" t="str">
        <f>IF('Cable Info'!N447="","",CONCATENATE('Cable Info'!N447," - ",'Cable Info'!O447))</f>
        <v>446 - AW</v>
      </c>
      <c r="AR742" s="121" t="str">
        <f t="shared" si="150"/>
        <v>446 - AW</v>
      </c>
      <c r="AT742" s="121" t="str">
        <f>IF('Cable Info'!P447="","",CONCATENATE('Cable Info'!P447," - ",'Cable Info'!Q447))</f>
        <v/>
      </c>
      <c r="AW742" s="121" t="str">
        <f t="shared" si="151"/>
        <v/>
      </c>
      <c r="AY742" s="121" t="str">
        <f>IF('Cable Info'!R447="","",CONCATENATE('Cable Info'!R447," - ",'Cable Info'!S447))</f>
        <v/>
      </c>
      <c r="BB742" s="121" t="str">
        <f t="shared" si="152"/>
        <v/>
      </c>
      <c r="BD742" s="121" t="str">
        <f>IF('Cable Info'!T447="","",CONCATENATE('Cable Info'!T447," - ",'Cable Info'!U447))</f>
        <v/>
      </c>
      <c r="BG742" s="121" t="str">
        <f t="shared" si="153"/>
        <v/>
      </c>
      <c r="BI742" s="121" t="str">
        <f>IF('Cable Info'!V447="","",CONCATENATE('Cable Info'!V447," - ",'Cable Info'!W447))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str">
        <f>IF('Cable Info'!L448="","",CONCATENATE('Cable Info'!L448," - ",'Cable Info'!M448))</f>
        <v>447 - AW</v>
      </c>
      <c r="AM743" s="121" t="str">
        <f t="shared" si="149"/>
        <v>447 - AW</v>
      </c>
      <c r="AO743" s="121" t="str">
        <f>IF('Cable Info'!N448="","",CONCATENATE('Cable Info'!N448," - ",'Cable Info'!O448))</f>
        <v>447 - AW</v>
      </c>
      <c r="AR743" s="121" t="str">
        <f t="shared" si="150"/>
        <v>447 - AW</v>
      </c>
      <c r="AT743" s="121" t="str">
        <f>IF('Cable Info'!P448="","",CONCATENATE('Cable Info'!P448," - ",'Cable Info'!Q448))</f>
        <v/>
      </c>
      <c r="AW743" s="121" t="str">
        <f t="shared" si="151"/>
        <v/>
      </c>
      <c r="AY743" s="121" t="str">
        <f>IF('Cable Info'!R448="","",CONCATENATE('Cable Info'!R448," - ",'Cable Info'!S448))</f>
        <v/>
      </c>
      <c r="BB743" s="121" t="str">
        <f t="shared" si="152"/>
        <v/>
      </c>
      <c r="BD743" s="121" t="str">
        <f>IF('Cable Info'!T448="","",CONCATENATE('Cable Info'!T448," - ",'Cable Info'!U448))</f>
        <v/>
      </c>
      <c r="BG743" s="121" t="str">
        <f t="shared" si="153"/>
        <v/>
      </c>
      <c r="BI743" s="121" t="str">
        <f>IF('Cable Info'!V448="","",CONCATENATE('Cable Info'!V448," - ",'Cable Info'!W448))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str">
        <f>IF('Cable Info'!L449="","",CONCATENATE('Cable Info'!L449," - ",'Cable Info'!M449))</f>
        <v>448 - AW</v>
      </c>
      <c r="AM744" s="121" t="str">
        <f t="shared" si="149"/>
        <v>448 - AW</v>
      </c>
      <c r="AO744" s="121" t="str">
        <f>IF('Cable Info'!N449="","",CONCATENATE('Cable Info'!N449," - ",'Cable Info'!O449))</f>
        <v>448 - AW</v>
      </c>
      <c r="AR744" s="121" t="str">
        <f t="shared" si="150"/>
        <v>448 - AW</v>
      </c>
      <c r="AT744" s="121" t="str">
        <f>IF('Cable Info'!P449="","",CONCATENATE('Cable Info'!P449," - ",'Cable Info'!Q449))</f>
        <v/>
      </c>
      <c r="AW744" s="121" t="str">
        <f t="shared" si="151"/>
        <v/>
      </c>
      <c r="AY744" s="121" t="str">
        <f>IF('Cable Info'!R449="","",CONCATENATE('Cable Info'!R449," - ",'Cable Info'!S449))</f>
        <v/>
      </c>
      <c r="BB744" s="121" t="str">
        <f t="shared" si="152"/>
        <v/>
      </c>
      <c r="BD744" s="121" t="str">
        <f>IF('Cable Info'!T449="","",CONCATENATE('Cable Info'!T449," - ",'Cable Info'!U449))</f>
        <v/>
      </c>
      <c r="BG744" s="121" t="str">
        <f t="shared" si="153"/>
        <v/>
      </c>
      <c r="BI744" s="121" t="str">
        <f>IF('Cable Info'!V449="","",CONCATENATE('Cable Info'!V449," - ",'Cable Info'!W449))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str">
        <f>IF('Cable Info'!L450="","",CONCATENATE('Cable Info'!L450," - ",'Cable Info'!M450))</f>
        <v>449 - AW</v>
      </c>
      <c r="AM745" s="121" t="str">
        <f t="shared" si="149"/>
        <v>449 - AW</v>
      </c>
      <c r="AO745" s="121" t="str">
        <f>IF('Cable Info'!N450="","",CONCATENATE('Cable Info'!N450," - ",'Cable Info'!O450))</f>
        <v>449 - AW</v>
      </c>
      <c r="AR745" s="121" t="str">
        <f t="shared" si="150"/>
        <v>449 - AW</v>
      </c>
      <c r="AT745" s="121" t="str">
        <f>IF('Cable Info'!P450="","",CONCATENATE('Cable Info'!P450," - ",'Cable Info'!Q450))</f>
        <v/>
      </c>
      <c r="AW745" s="121" t="str">
        <f t="shared" si="151"/>
        <v/>
      </c>
      <c r="AY745" s="121" t="str">
        <f>IF('Cable Info'!R450="","",CONCATENATE('Cable Info'!R450," - ",'Cable Info'!S450))</f>
        <v/>
      </c>
      <c r="BB745" s="121" t="str">
        <f t="shared" si="152"/>
        <v/>
      </c>
      <c r="BD745" s="121" t="str">
        <f>IF('Cable Info'!T450="","",CONCATENATE('Cable Info'!T450," - ",'Cable Info'!U450))</f>
        <v/>
      </c>
      <c r="BG745" s="121" t="str">
        <f t="shared" si="153"/>
        <v/>
      </c>
      <c r="BI745" s="121" t="str">
        <f>IF('Cable Info'!V450="","",CONCATENATE('Cable Info'!V450," - ",'Cable Info'!W450))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str">
        <f>IF('Cable Info'!L451="","",CONCATENATE('Cable Info'!L451," - ",'Cable Info'!M451))</f>
        <v>450 - AW</v>
      </c>
      <c r="AM746" s="121" t="str">
        <f t="shared" ref="AM746:AM809" si="155">IF(AK746="",AJ746,CONCATENATE(AJ746,"  &lt;=&gt; ",AK746," ",AL746))</f>
        <v>450 - AW</v>
      </c>
      <c r="AO746" s="121" t="str">
        <f>IF('Cable Info'!N451="","",CONCATENATE('Cable Info'!N451," - ",'Cable Info'!O451))</f>
        <v>450 - AW</v>
      </c>
      <c r="AR746" s="121" t="str">
        <f t="shared" ref="AR746:AR809" si="156">IF(AP746="",AO746,CONCATENATE(AO746,"  &lt;=&gt; ",AP746," ",AQ746))</f>
        <v>450 - AW</v>
      </c>
      <c r="AT746" s="121" t="str">
        <f>IF('Cable Info'!P451="","",CONCATENATE('Cable Info'!P451," - ",'Cable Info'!Q451))</f>
        <v/>
      </c>
      <c r="AW746" s="121" t="str">
        <f t="shared" ref="AW746:AW809" si="157">IF(AU746="",AT746,CONCATENATE(AT746,"  &lt;=&gt; ",AU746," ",AV746))</f>
        <v/>
      </c>
      <c r="AY746" s="121" t="str">
        <f>IF('Cable Info'!R451="","",CONCATENATE('Cable Info'!R451," - ",'Cable Info'!S451))</f>
        <v/>
      </c>
      <c r="BB746" s="121" t="str">
        <f t="shared" ref="BB746:BB809" si="158">IF(AZ746="",AY746,CONCATENATE(AY746,"  &lt;=&gt; ",AZ746," ",BA746))</f>
        <v/>
      </c>
      <c r="BD746" s="121" t="str">
        <f>IF('Cable Info'!T451="","",CONCATENATE('Cable Info'!T451," - ",'Cable Info'!U451))</f>
        <v/>
      </c>
      <c r="BG746" s="121" t="str">
        <f t="shared" ref="BG746:BG809" si="159">IF(BE746="",BD746,CONCATENATE(BD746,"  &lt;=&gt; ",BE746," ",BF746))</f>
        <v/>
      </c>
      <c r="BI746" s="121" t="str">
        <f>IF('Cable Info'!V451="","",CONCATENATE('Cable Info'!V451," - ",'Cable Info'!W451))</f>
        <v/>
      </c>
      <c r="BL746" s="121" t="str">
        <f t="shared" ref="BL746:BL809" si="160">IF(BJ746="",BI746,CONCATENATE(BI746,"  &lt;=&gt; ",BJ746," ",BK746))</f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str">
        <f>IF('Cable Info'!L452="","",CONCATENATE('Cable Info'!L452," - ",'Cable Info'!M452))</f>
        <v>451 - AW</v>
      </c>
      <c r="AM747" s="121" t="str">
        <f t="shared" si="155"/>
        <v>451 - AW</v>
      </c>
      <c r="AO747" s="121" t="str">
        <f>IF('Cable Info'!N452="","",CONCATENATE('Cable Info'!N452," - ",'Cable Info'!O452))</f>
        <v>451 - AW</v>
      </c>
      <c r="AR747" s="121" t="str">
        <f t="shared" si="156"/>
        <v>451 - AW</v>
      </c>
      <c r="AT747" s="121" t="str">
        <f>IF('Cable Info'!P452="","",CONCATENATE('Cable Info'!P452," - ",'Cable Info'!Q452))</f>
        <v/>
      </c>
      <c r="AW747" s="121" t="str">
        <f t="shared" si="157"/>
        <v/>
      </c>
      <c r="AY747" s="121" t="str">
        <f>IF('Cable Info'!R452="","",CONCATENATE('Cable Info'!R452," - ",'Cable Info'!S452))</f>
        <v/>
      </c>
      <c r="BB747" s="121" t="str">
        <f t="shared" si="158"/>
        <v/>
      </c>
      <c r="BD747" s="121" t="str">
        <f>IF('Cable Info'!T452="","",CONCATENATE('Cable Info'!T452," - ",'Cable Info'!U452))</f>
        <v/>
      </c>
      <c r="BG747" s="121" t="str">
        <f t="shared" si="159"/>
        <v/>
      </c>
      <c r="BI747" s="121" t="str">
        <f>IF('Cable Info'!V452="","",CONCATENATE('Cable Info'!V452," - ",'Cable Info'!W452))</f>
        <v/>
      </c>
      <c r="BL747" s="121" t="str">
        <f t="shared" si="160"/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str">
        <f>IF('Cable Info'!L453="","",CONCATENATE('Cable Info'!L453," - ",'Cable Info'!M453))</f>
        <v>452 - AW</v>
      </c>
      <c r="AM748" s="121" t="str">
        <f t="shared" si="155"/>
        <v>452 - AW</v>
      </c>
      <c r="AO748" s="121" t="str">
        <f>IF('Cable Info'!N453="","",CONCATENATE('Cable Info'!N453," - ",'Cable Info'!O453))</f>
        <v>452 - AW</v>
      </c>
      <c r="AR748" s="121" t="str">
        <f t="shared" si="156"/>
        <v>452 - AW</v>
      </c>
      <c r="AT748" s="121" t="str">
        <f>IF('Cable Info'!P453="","",CONCATENATE('Cable Info'!P453," - ",'Cable Info'!Q453))</f>
        <v/>
      </c>
      <c r="AW748" s="121" t="str">
        <f t="shared" si="157"/>
        <v/>
      </c>
      <c r="AY748" s="121" t="str">
        <f>IF('Cable Info'!R453="","",CONCATENATE('Cable Info'!R453," - ",'Cable Info'!S453))</f>
        <v/>
      </c>
      <c r="BB748" s="121" t="str">
        <f t="shared" si="158"/>
        <v/>
      </c>
      <c r="BD748" s="121" t="str">
        <f>IF('Cable Info'!T453="","",CONCATENATE('Cable Info'!T453," - ",'Cable Info'!U453))</f>
        <v/>
      </c>
      <c r="BG748" s="121" t="str">
        <f t="shared" si="159"/>
        <v/>
      </c>
      <c r="BI748" s="121" t="str">
        <f>IF('Cable Info'!V453="","",CONCATENATE('Cable Info'!V453," - ",'Cable Info'!W453))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str">
        <f>IF('Cable Info'!L454="","",CONCATENATE('Cable Info'!L454," - ",'Cable Info'!M454))</f>
        <v>453 - AW</v>
      </c>
      <c r="AM749" s="121" t="str">
        <f t="shared" si="155"/>
        <v>453 - AW</v>
      </c>
      <c r="AO749" s="121" t="str">
        <f>IF('Cable Info'!N454="","",CONCATENATE('Cable Info'!N454," - ",'Cable Info'!O454))</f>
        <v>453 - AW</v>
      </c>
      <c r="AR749" s="121" t="str">
        <f t="shared" si="156"/>
        <v>453 - AW</v>
      </c>
      <c r="AT749" s="121" t="str">
        <f>IF('Cable Info'!P454="","",CONCATENATE('Cable Info'!P454," - ",'Cable Info'!Q454))</f>
        <v/>
      </c>
      <c r="AW749" s="121" t="str">
        <f t="shared" si="157"/>
        <v/>
      </c>
      <c r="AY749" s="121" t="str">
        <f>IF('Cable Info'!R454="","",CONCATENATE('Cable Info'!R454," - ",'Cable Info'!S454))</f>
        <v/>
      </c>
      <c r="BB749" s="121" t="str">
        <f t="shared" si="158"/>
        <v/>
      </c>
      <c r="BD749" s="121" t="str">
        <f>IF('Cable Info'!T454="","",CONCATENATE('Cable Info'!T454," - ",'Cable Info'!U454))</f>
        <v/>
      </c>
      <c r="BG749" s="121" t="str">
        <f t="shared" si="159"/>
        <v/>
      </c>
      <c r="BI749" s="121" t="str">
        <f>IF('Cable Info'!V454="","",CONCATENATE('Cable Info'!V454," - ",'Cable Info'!W454))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str">
        <f>IF('Cable Info'!L455="","",CONCATENATE('Cable Info'!L455," - ",'Cable Info'!M455))</f>
        <v>454 - AW</v>
      </c>
      <c r="AM750" s="121" t="str">
        <f t="shared" si="155"/>
        <v>454 - AW</v>
      </c>
      <c r="AO750" s="121" t="str">
        <f>IF('Cable Info'!N455="","",CONCATENATE('Cable Info'!N455," - ",'Cable Info'!O455))</f>
        <v>454 - AW</v>
      </c>
      <c r="AR750" s="121" t="str">
        <f t="shared" si="156"/>
        <v>454 - AW</v>
      </c>
      <c r="AT750" s="121" t="str">
        <f>IF('Cable Info'!P455="","",CONCATENATE('Cable Info'!P455," - ",'Cable Info'!Q455))</f>
        <v/>
      </c>
      <c r="AW750" s="121" t="str">
        <f t="shared" si="157"/>
        <v/>
      </c>
      <c r="AY750" s="121" t="str">
        <f>IF('Cable Info'!R455="","",CONCATENATE('Cable Info'!R455," - ",'Cable Info'!S455))</f>
        <v/>
      </c>
      <c r="BB750" s="121" t="str">
        <f t="shared" si="158"/>
        <v/>
      </c>
      <c r="BD750" s="121" t="str">
        <f>IF('Cable Info'!T455="","",CONCATENATE('Cable Info'!T455," - ",'Cable Info'!U455))</f>
        <v/>
      </c>
      <c r="BG750" s="121" t="str">
        <f t="shared" si="159"/>
        <v/>
      </c>
      <c r="BI750" s="121" t="str">
        <f>IF('Cable Info'!V455="","",CONCATENATE('Cable Info'!V455," - ",'Cable Info'!W455))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str">
        <f>IF('Cable Info'!L456="","",CONCATENATE('Cable Info'!L456," - ",'Cable Info'!M456))</f>
        <v>455 - AW</v>
      </c>
      <c r="AM751" s="121" t="str">
        <f t="shared" si="155"/>
        <v>455 - AW</v>
      </c>
      <c r="AO751" s="121" t="str">
        <f>IF('Cable Info'!N456="","",CONCATENATE('Cable Info'!N456," - ",'Cable Info'!O456))</f>
        <v>455 - AW</v>
      </c>
      <c r="AR751" s="121" t="str">
        <f t="shared" si="156"/>
        <v>455 - AW</v>
      </c>
      <c r="AT751" s="121" t="str">
        <f>IF('Cable Info'!P456="","",CONCATENATE('Cable Info'!P456," - ",'Cable Info'!Q456))</f>
        <v/>
      </c>
      <c r="AW751" s="121" t="str">
        <f t="shared" si="157"/>
        <v/>
      </c>
      <c r="AY751" s="121" t="str">
        <f>IF('Cable Info'!R456="","",CONCATENATE('Cable Info'!R456," - ",'Cable Info'!S456))</f>
        <v/>
      </c>
      <c r="BB751" s="121" t="str">
        <f t="shared" si="158"/>
        <v/>
      </c>
      <c r="BD751" s="121" t="str">
        <f>IF('Cable Info'!T456="","",CONCATENATE('Cable Info'!T456," - ",'Cable Info'!U456))</f>
        <v/>
      </c>
      <c r="BG751" s="121" t="str">
        <f t="shared" si="159"/>
        <v/>
      </c>
      <c r="BI751" s="121" t="str">
        <f>IF('Cable Info'!V456="","",CONCATENATE('Cable Info'!V456," - ",'Cable Info'!W456))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str">
        <f>IF('Cable Info'!L457="","",CONCATENATE('Cable Info'!L457," - ",'Cable Info'!M457))</f>
        <v>456 - AW</v>
      </c>
      <c r="AM752" s="121" t="str">
        <f t="shared" si="155"/>
        <v>456 - AW</v>
      </c>
      <c r="AO752" s="121" t="str">
        <f>IF('Cable Info'!N457="","",CONCATENATE('Cable Info'!N457," - ",'Cable Info'!O457))</f>
        <v>456 - AW</v>
      </c>
      <c r="AR752" s="121" t="str">
        <f t="shared" si="156"/>
        <v>456 - AW</v>
      </c>
      <c r="AT752" s="121" t="str">
        <f>IF('Cable Info'!P457="","",CONCATENATE('Cable Info'!P457," - ",'Cable Info'!Q457))</f>
        <v/>
      </c>
      <c r="AW752" s="121" t="str">
        <f t="shared" si="157"/>
        <v/>
      </c>
      <c r="AY752" s="121" t="str">
        <f>IF('Cable Info'!R457="","",CONCATENATE('Cable Info'!R457," - ",'Cable Info'!S457))</f>
        <v/>
      </c>
      <c r="BB752" s="121" t="str">
        <f t="shared" si="158"/>
        <v/>
      </c>
      <c r="BD752" s="121" t="str">
        <f>IF('Cable Info'!T457="","",CONCATENATE('Cable Info'!T457," - ",'Cable Info'!U457))</f>
        <v/>
      </c>
      <c r="BG752" s="121" t="str">
        <f t="shared" si="159"/>
        <v/>
      </c>
      <c r="BI752" s="121" t="str">
        <f>IF('Cable Info'!V457="","",CONCATENATE('Cable Info'!V457," - ",'Cable Info'!W457))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str">
        <f>IF('Cable Info'!L458="","",CONCATENATE('Cable Info'!L458," - ",'Cable Info'!M458))</f>
        <v>457 - AW</v>
      </c>
      <c r="AM753" s="121" t="str">
        <f t="shared" si="155"/>
        <v>457 - AW</v>
      </c>
      <c r="AO753" s="121" t="str">
        <f>IF('Cable Info'!N458="","",CONCATENATE('Cable Info'!N458," - ",'Cable Info'!O458))</f>
        <v>457 - AW</v>
      </c>
      <c r="AR753" s="121" t="str">
        <f t="shared" si="156"/>
        <v>457 - AW</v>
      </c>
      <c r="AT753" s="121" t="str">
        <f>IF('Cable Info'!P458="","",CONCATENATE('Cable Info'!P458," - ",'Cable Info'!Q458))</f>
        <v/>
      </c>
      <c r="AW753" s="121" t="str">
        <f t="shared" si="157"/>
        <v/>
      </c>
      <c r="AY753" s="121" t="str">
        <f>IF('Cable Info'!R458="","",CONCATENATE('Cable Info'!R458," - ",'Cable Info'!S458))</f>
        <v/>
      </c>
      <c r="BB753" s="121" t="str">
        <f t="shared" si="158"/>
        <v/>
      </c>
      <c r="BD753" s="121" t="str">
        <f>IF('Cable Info'!T458="","",CONCATENATE('Cable Info'!T458," - ",'Cable Info'!U458))</f>
        <v/>
      </c>
      <c r="BG753" s="121" t="str">
        <f t="shared" si="159"/>
        <v/>
      </c>
      <c r="BI753" s="121" t="str">
        <f>IF('Cable Info'!V458="","",CONCATENATE('Cable Info'!V458," - ",'Cable Info'!W458))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str">
        <f>IF('Cable Info'!L459="","",CONCATENATE('Cable Info'!L459," - ",'Cable Info'!M459))</f>
        <v>458 - AW</v>
      </c>
      <c r="AM754" s="121" t="str">
        <f t="shared" si="155"/>
        <v>458 - AW</v>
      </c>
      <c r="AO754" s="121" t="str">
        <f>IF('Cable Info'!N459="","",CONCATENATE('Cable Info'!N459," - ",'Cable Info'!O459))</f>
        <v>458 - AW</v>
      </c>
      <c r="AR754" s="121" t="str">
        <f t="shared" si="156"/>
        <v>458 - AW</v>
      </c>
      <c r="AT754" s="121" t="str">
        <f>IF('Cable Info'!P459="","",CONCATENATE('Cable Info'!P459," - ",'Cable Info'!Q459))</f>
        <v/>
      </c>
      <c r="AW754" s="121" t="str">
        <f t="shared" si="157"/>
        <v/>
      </c>
      <c r="AY754" s="121" t="str">
        <f>IF('Cable Info'!R459="","",CONCATENATE('Cable Info'!R459," - ",'Cable Info'!S459))</f>
        <v/>
      </c>
      <c r="BB754" s="121" t="str">
        <f t="shared" si="158"/>
        <v/>
      </c>
      <c r="BD754" s="121" t="str">
        <f>IF('Cable Info'!T459="","",CONCATENATE('Cable Info'!T459," - ",'Cable Info'!U459))</f>
        <v/>
      </c>
      <c r="BG754" s="121" t="str">
        <f t="shared" si="159"/>
        <v/>
      </c>
      <c r="BI754" s="121" t="str">
        <f>IF('Cable Info'!V459="","",CONCATENATE('Cable Info'!V459," - ",'Cable Info'!W459))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str">
        <f>IF('Cable Info'!L460="","",CONCATENATE('Cable Info'!L460," - ",'Cable Info'!M460))</f>
        <v>459 - AW</v>
      </c>
      <c r="AM755" s="121" t="str">
        <f t="shared" si="155"/>
        <v>459 - AW</v>
      </c>
      <c r="AO755" s="121" t="str">
        <f>IF('Cable Info'!N460="","",CONCATENATE('Cable Info'!N460," - ",'Cable Info'!O460))</f>
        <v>459 - AW</v>
      </c>
      <c r="AR755" s="121" t="str">
        <f t="shared" si="156"/>
        <v>459 - AW</v>
      </c>
      <c r="AT755" s="121" t="str">
        <f>IF('Cable Info'!P460="","",CONCATENATE('Cable Info'!P460," - ",'Cable Info'!Q460))</f>
        <v/>
      </c>
      <c r="AW755" s="121" t="str">
        <f t="shared" si="157"/>
        <v/>
      </c>
      <c r="AY755" s="121" t="str">
        <f>IF('Cable Info'!R460="","",CONCATENATE('Cable Info'!R460," - ",'Cable Info'!S460))</f>
        <v/>
      </c>
      <c r="BB755" s="121" t="str">
        <f t="shared" si="158"/>
        <v/>
      </c>
      <c r="BD755" s="121" t="str">
        <f>IF('Cable Info'!T460="","",CONCATENATE('Cable Info'!T460," - ",'Cable Info'!U460))</f>
        <v/>
      </c>
      <c r="BG755" s="121" t="str">
        <f t="shared" si="159"/>
        <v/>
      </c>
      <c r="BI755" s="121" t="str">
        <f>IF('Cable Info'!V460="","",CONCATENATE('Cable Info'!V460," - ",'Cable Info'!W460))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str">
        <f>IF('Cable Info'!L461="","",CONCATENATE('Cable Info'!L461," - ",'Cable Info'!M461))</f>
        <v>460 - AW</v>
      </c>
      <c r="AM756" s="121" t="str">
        <f t="shared" si="155"/>
        <v>460 - AW</v>
      </c>
      <c r="AO756" s="121" t="str">
        <f>IF('Cable Info'!N461="","",CONCATENATE('Cable Info'!N461," - ",'Cable Info'!O461))</f>
        <v>460 - AW</v>
      </c>
      <c r="AR756" s="121" t="str">
        <f t="shared" si="156"/>
        <v>460 - AW</v>
      </c>
      <c r="AT756" s="121" t="str">
        <f>IF('Cable Info'!P461="","",CONCATENATE('Cable Info'!P461," - ",'Cable Info'!Q461))</f>
        <v/>
      </c>
      <c r="AW756" s="121" t="str">
        <f t="shared" si="157"/>
        <v/>
      </c>
      <c r="AY756" s="121" t="str">
        <f>IF('Cable Info'!R461="","",CONCATENATE('Cable Info'!R461," - ",'Cable Info'!S461))</f>
        <v/>
      </c>
      <c r="BB756" s="121" t="str">
        <f t="shared" si="158"/>
        <v/>
      </c>
      <c r="BD756" s="121" t="str">
        <f>IF('Cable Info'!T461="","",CONCATENATE('Cable Info'!T461," - ",'Cable Info'!U461))</f>
        <v/>
      </c>
      <c r="BG756" s="121" t="str">
        <f t="shared" si="159"/>
        <v/>
      </c>
      <c r="BI756" s="121" t="str">
        <f>IF('Cable Info'!V461="","",CONCATENATE('Cable Info'!V461," - ",'Cable Info'!W461))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str">
        <f>IF('Cable Info'!L462="","",CONCATENATE('Cable Info'!L462," - ",'Cable Info'!M462))</f>
        <v>461 - AW</v>
      </c>
      <c r="AM757" s="121" t="str">
        <f t="shared" si="155"/>
        <v>461 - AW</v>
      </c>
      <c r="AO757" s="121" t="str">
        <f>IF('Cable Info'!N462="","",CONCATENATE('Cable Info'!N462," - ",'Cable Info'!O462))</f>
        <v>461 - AW</v>
      </c>
      <c r="AR757" s="121" t="str">
        <f t="shared" si="156"/>
        <v>461 - AW</v>
      </c>
      <c r="AT757" s="121" t="str">
        <f>IF('Cable Info'!P462="","",CONCATENATE('Cable Info'!P462," - ",'Cable Info'!Q462))</f>
        <v/>
      </c>
      <c r="AW757" s="121" t="str">
        <f t="shared" si="157"/>
        <v/>
      </c>
      <c r="AY757" s="121" t="str">
        <f>IF('Cable Info'!R462="","",CONCATENATE('Cable Info'!R462," - ",'Cable Info'!S462))</f>
        <v/>
      </c>
      <c r="BB757" s="121" t="str">
        <f t="shared" si="158"/>
        <v/>
      </c>
      <c r="BD757" s="121" t="str">
        <f>IF('Cable Info'!T462="","",CONCATENATE('Cable Info'!T462," - ",'Cable Info'!U462))</f>
        <v/>
      </c>
      <c r="BG757" s="121" t="str">
        <f t="shared" si="159"/>
        <v/>
      </c>
      <c r="BI757" s="121" t="str">
        <f>IF('Cable Info'!V462="","",CONCATENATE('Cable Info'!V462," - ",'Cable Info'!W462))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str">
        <f>IF('Cable Info'!L463="","",CONCATENATE('Cable Info'!L463," - ",'Cable Info'!M463))</f>
        <v>462 - AW</v>
      </c>
      <c r="AM758" s="121" t="str">
        <f t="shared" si="155"/>
        <v>462 - AW</v>
      </c>
      <c r="AO758" s="121" t="str">
        <f>IF('Cable Info'!N463="","",CONCATENATE('Cable Info'!N463," - ",'Cable Info'!O463))</f>
        <v>462 - AW</v>
      </c>
      <c r="AR758" s="121" t="str">
        <f t="shared" si="156"/>
        <v>462 - AW</v>
      </c>
      <c r="AT758" s="121" t="str">
        <f>IF('Cable Info'!P463="","",CONCATENATE('Cable Info'!P463," - ",'Cable Info'!Q463))</f>
        <v/>
      </c>
      <c r="AW758" s="121" t="str">
        <f t="shared" si="157"/>
        <v/>
      </c>
      <c r="AY758" s="121" t="str">
        <f>IF('Cable Info'!R463="","",CONCATENATE('Cable Info'!R463," - ",'Cable Info'!S463))</f>
        <v/>
      </c>
      <c r="BB758" s="121" t="str">
        <f t="shared" si="158"/>
        <v/>
      </c>
      <c r="BD758" s="121" t="str">
        <f>IF('Cable Info'!T463="","",CONCATENATE('Cable Info'!T463," - ",'Cable Info'!U463))</f>
        <v/>
      </c>
      <c r="BG758" s="121" t="str">
        <f t="shared" si="159"/>
        <v/>
      </c>
      <c r="BI758" s="121" t="str">
        <f>IF('Cable Info'!V463="","",CONCATENATE('Cable Info'!V463," - ",'Cable Info'!W463))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str">
        <f>IF('Cable Info'!L464="","",CONCATENATE('Cable Info'!L464," - ",'Cable Info'!M464))</f>
        <v>463 - AW</v>
      </c>
      <c r="AM759" s="121" t="str">
        <f t="shared" si="155"/>
        <v>463 - AW</v>
      </c>
      <c r="AO759" s="121" t="str">
        <f>IF('Cable Info'!N464="","",CONCATENATE('Cable Info'!N464," - ",'Cable Info'!O464))</f>
        <v>463 - AW</v>
      </c>
      <c r="AR759" s="121" t="str">
        <f t="shared" si="156"/>
        <v>463 - AW</v>
      </c>
      <c r="AT759" s="121" t="str">
        <f>IF('Cable Info'!P464="","",CONCATENATE('Cable Info'!P464," - ",'Cable Info'!Q464))</f>
        <v/>
      </c>
      <c r="AW759" s="121" t="str">
        <f t="shared" si="157"/>
        <v/>
      </c>
      <c r="AY759" s="121" t="str">
        <f>IF('Cable Info'!R464="","",CONCATENATE('Cable Info'!R464," - ",'Cable Info'!S464))</f>
        <v/>
      </c>
      <c r="BB759" s="121" t="str">
        <f t="shared" si="158"/>
        <v/>
      </c>
      <c r="BD759" s="121" t="str">
        <f>IF('Cable Info'!T464="","",CONCATENATE('Cable Info'!T464," - ",'Cable Info'!U464))</f>
        <v/>
      </c>
      <c r="BG759" s="121" t="str">
        <f t="shared" si="159"/>
        <v/>
      </c>
      <c r="BI759" s="121" t="str">
        <f>IF('Cable Info'!V464="","",CONCATENATE('Cable Info'!V464," - ",'Cable Info'!W464))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str">
        <f>IF('Cable Info'!L465="","",CONCATENATE('Cable Info'!L465," - ",'Cable Info'!M465))</f>
        <v>464 - AW</v>
      </c>
      <c r="AM760" s="121" t="str">
        <f t="shared" si="155"/>
        <v>464 - AW</v>
      </c>
      <c r="AO760" s="121" t="str">
        <f>IF('Cable Info'!N465="","",CONCATENATE('Cable Info'!N465," - ",'Cable Info'!O465))</f>
        <v>464 - AW</v>
      </c>
      <c r="AR760" s="121" t="str">
        <f t="shared" si="156"/>
        <v>464 - AW</v>
      </c>
      <c r="AT760" s="121" t="str">
        <f>IF('Cable Info'!P465="","",CONCATENATE('Cable Info'!P465," - ",'Cable Info'!Q465))</f>
        <v/>
      </c>
      <c r="AW760" s="121" t="str">
        <f t="shared" si="157"/>
        <v/>
      </c>
      <c r="AY760" s="121" t="str">
        <f>IF('Cable Info'!R465="","",CONCATENATE('Cable Info'!R465," - ",'Cable Info'!S465))</f>
        <v/>
      </c>
      <c r="BB760" s="121" t="str">
        <f t="shared" si="158"/>
        <v/>
      </c>
      <c r="BD760" s="121" t="str">
        <f>IF('Cable Info'!T465="","",CONCATENATE('Cable Info'!T465," - ",'Cable Info'!U465))</f>
        <v/>
      </c>
      <c r="BG760" s="121" t="str">
        <f t="shared" si="159"/>
        <v/>
      </c>
      <c r="BI760" s="121" t="str">
        <f>IF('Cable Info'!V465="","",CONCATENATE('Cable Info'!V465," - ",'Cable Info'!W465))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str">
        <f>IF('Cable Info'!L466="","",CONCATENATE('Cable Info'!L466," - ",'Cable Info'!M466))</f>
        <v>465 - AW</v>
      </c>
      <c r="AM761" s="121" t="str">
        <f t="shared" si="155"/>
        <v>465 - AW</v>
      </c>
      <c r="AO761" s="121" t="str">
        <f>IF('Cable Info'!N466="","",CONCATENATE('Cable Info'!N466," - ",'Cable Info'!O466))</f>
        <v>465 - AW</v>
      </c>
      <c r="AR761" s="121" t="str">
        <f t="shared" si="156"/>
        <v>465 - AW</v>
      </c>
      <c r="AT761" s="121" t="str">
        <f>IF('Cable Info'!P466="","",CONCATENATE('Cable Info'!P466," - ",'Cable Info'!Q466))</f>
        <v/>
      </c>
      <c r="AW761" s="121" t="str">
        <f t="shared" si="157"/>
        <v/>
      </c>
      <c r="AY761" s="121" t="str">
        <f>IF('Cable Info'!R466="","",CONCATENATE('Cable Info'!R466," - ",'Cable Info'!S466))</f>
        <v/>
      </c>
      <c r="BB761" s="121" t="str">
        <f t="shared" si="158"/>
        <v/>
      </c>
      <c r="BD761" s="121" t="str">
        <f>IF('Cable Info'!T466="","",CONCATENATE('Cable Info'!T466," - ",'Cable Info'!U466))</f>
        <v/>
      </c>
      <c r="BG761" s="121" t="str">
        <f t="shared" si="159"/>
        <v/>
      </c>
      <c r="BI761" s="121" t="str">
        <f>IF('Cable Info'!V466="","",CONCATENATE('Cable Info'!V466," - ",'Cable Info'!W466))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str">
        <f>IF('Cable Info'!L467="","",CONCATENATE('Cable Info'!L467," - ",'Cable Info'!M467))</f>
        <v>466 - AW</v>
      </c>
      <c r="AM762" s="121" t="str">
        <f t="shared" si="155"/>
        <v>466 - AW</v>
      </c>
      <c r="AO762" s="121" t="str">
        <f>IF('Cable Info'!N467="","",CONCATENATE('Cable Info'!N467," - ",'Cable Info'!O467))</f>
        <v>466 - AW</v>
      </c>
      <c r="AR762" s="121" t="str">
        <f t="shared" si="156"/>
        <v>466 - AW</v>
      </c>
      <c r="AT762" s="121" t="str">
        <f>IF('Cable Info'!P467="","",CONCATENATE('Cable Info'!P467," - ",'Cable Info'!Q467))</f>
        <v/>
      </c>
      <c r="AW762" s="121" t="str">
        <f t="shared" si="157"/>
        <v/>
      </c>
      <c r="AY762" s="121" t="str">
        <f>IF('Cable Info'!R467="","",CONCATENATE('Cable Info'!R467," - ",'Cable Info'!S467))</f>
        <v/>
      </c>
      <c r="BB762" s="121" t="str">
        <f t="shared" si="158"/>
        <v/>
      </c>
      <c r="BD762" s="121" t="str">
        <f>IF('Cable Info'!T467="","",CONCATENATE('Cable Info'!T467," - ",'Cable Info'!U467))</f>
        <v/>
      </c>
      <c r="BG762" s="121" t="str">
        <f t="shared" si="159"/>
        <v/>
      </c>
      <c r="BI762" s="121" t="str">
        <f>IF('Cable Info'!V467="","",CONCATENATE('Cable Info'!V467," - ",'Cable Info'!W467))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str">
        <f>IF('Cable Info'!L468="","",CONCATENATE('Cable Info'!L468," - ",'Cable Info'!M468))</f>
        <v>467 - AW</v>
      </c>
      <c r="AM763" s="121" t="str">
        <f t="shared" si="155"/>
        <v>467 - AW</v>
      </c>
      <c r="AO763" s="121" t="str">
        <f>IF('Cable Info'!N468="","",CONCATENATE('Cable Info'!N468," - ",'Cable Info'!O468))</f>
        <v>467 - AW</v>
      </c>
      <c r="AR763" s="121" t="str">
        <f t="shared" si="156"/>
        <v>467 - AW</v>
      </c>
      <c r="AT763" s="121" t="str">
        <f>IF('Cable Info'!P468="","",CONCATENATE('Cable Info'!P468," - ",'Cable Info'!Q468))</f>
        <v/>
      </c>
      <c r="AW763" s="121" t="str">
        <f t="shared" si="157"/>
        <v/>
      </c>
      <c r="AY763" s="121" t="str">
        <f>IF('Cable Info'!R468="","",CONCATENATE('Cable Info'!R468," - ",'Cable Info'!S468))</f>
        <v/>
      </c>
      <c r="BB763" s="121" t="str">
        <f t="shared" si="158"/>
        <v/>
      </c>
      <c r="BD763" s="121" t="str">
        <f>IF('Cable Info'!T468="","",CONCATENATE('Cable Info'!T468," - ",'Cable Info'!U468))</f>
        <v/>
      </c>
      <c r="BG763" s="121" t="str">
        <f t="shared" si="159"/>
        <v/>
      </c>
      <c r="BI763" s="121" t="str">
        <f>IF('Cable Info'!V468="","",CONCATENATE('Cable Info'!V468," - ",'Cable Info'!W468))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str">
        <f>IF('Cable Info'!L469="","",CONCATENATE('Cable Info'!L469," - ",'Cable Info'!M469))</f>
        <v>468 - AW</v>
      </c>
      <c r="AM764" s="121" t="str">
        <f t="shared" si="155"/>
        <v>468 - AW</v>
      </c>
      <c r="AO764" s="121" t="str">
        <f>IF('Cable Info'!N469="","",CONCATENATE('Cable Info'!N469," - ",'Cable Info'!O469))</f>
        <v>468 - AW</v>
      </c>
      <c r="AR764" s="121" t="str">
        <f t="shared" si="156"/>
        <v>468 - AW</v>
      </c>
      <c r="AT764" s="121" t="str">
        <f>IF('Cable Info'!P469="","",CONCATENATE('Cable Info'!P469," - ",'Cable Info'!Q469))</f>
        <v/>
      </c>
      <c r="AW764" s="121" t="str">
        <f t="shared" si="157"/>
        <v/>
      </c>
      <c r="AY764" s="121" t="str">
        <f>IF('Cable Info'!R469="","",CONCATENATE('Cable Info'!R469," - ",'Cable Info'!S469))</f>
        <v/>
      </c>
      <c r="BB764" s="121" t="str">
        <f t="shared" si="158"/>
        <v/>
      </c>
      <c r="BD764" s="121" t="str">
        <f>IF('Cable Info'!T469="","",CONCATENATE('Cable Info'!T469," - ",'Cable Info'!U469))</f>
        <v/>
      </c>
      <c r="BG764" s="121" t="str">
        <f t="shared" si="159"/>
        <v/>
      </c>
      <c r="BI764" s="121" t="str">
        <f>IF('Cable Info'!V469="","",CONCATENATE('Cable Info'!V469," - ",'Cable Info'!W469))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str">
        <f>IF('Cable Info'!L470="","",CONCATENATE('Cable Info'!L470," - ",'Cable Info'!M470))</f>
        <v>469 - AW</v>
      </c>
      <c r="AM765" s="121" t="str">
        <f t="shared" si="155"/>
        <v>469 - AW</v>
      </c>
      <c r="AO765" s="121" t="str">
        <f>IF('Cable Info'!N470="","",CONCATENATE('Cable Info'!N470," - ",'Cable Info'!O470))</f>
        <v>469 - AW</v>
      </c>
      <c r="AR765" s="121" t="str">
        <f t="shared" si="156"/>
        <v>469 - AW</v>
      </c>
      <c r="AT765" s="121" t="str">
        <f>IF('Cable Info'!P470="","",CONCATENATE('Cable Info'!P470," - ",'Cable Info'!Q470))</f>
        <v/>
      </c>
      <c r="AW765" s="121" t="str">
        <f t="shared" si="157"/>
        <v/>
      </c>
      <c r="AY765" s="121" t="str">
        <f>IF('Cable Info'!R470="","",CONCATENATE('Cable Info'!R470," - ",'Cable Info'!S470))</f>
        <v/>
      </c>
      <c r="BB765" s="121" t="str">
        <f t="shared" si="158"/>
        <v/>
      </c>
      <c r="BD765" s="121" t="str">
        <f>IF('Cable Info'!T470="","",CONCATENATE('Cable Info'!T470," - ",'Cable Info'!U470))</f>
        <v/>
      </c>
      <c r="BG765" s="121" t="str">
        <f t="shared" si="159"/>
        <v/>
      </c>
      <c r="BI765" s="121" t="str">
        <f>IF('Cable Info'!V470="","",CONCATENATE('Cable Info'!V470," - ",'Cable Info'!W470))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str">
        <f>IF('Cable Info'!L471="","",CONCATENATE('Cable Info'!L471," - ",'Cable Info'!M471))</f>
        <v>470 - AW</v>
      </c>
      <c r="AM766" s="121" t="str">
        <f t="shared" si="155"/>
        <v>470 - AW</v>
      </c>
      <c r="AO766" s="121" t="str">
        <f>IF('Cable Info'!N471="","",CONCATENATE('Cable Info'!N471," - ",'Cable Info'!O471))</f>
        <v>470 - AW</v>
      </c>
      <c r="AR766" s="121" t="str">
        <f t="shared" si="156"/>
        <v>470 - AW</v>
      </c>
      <c r="AT766" s="121" t="str">
        <f>IF('Cable Info'!P471="","",CONCATENATE('Cable Info'!P471," - ",'Cable Info'!Q471))</f>
        <v/>
      </c>
      <c r="AW766" s="121" t="str">
        <f t="shared" si="157"/>
        <v/>
      </c>
      <c r="AY766" s="121" t="str">
        <f>IF('Cable Info'!R471="","",CONCATENATE('Cable Info'!R471," - ",'Cable Info'!S471))</f>
        <v/>
      </c>
      <c r="BB766" s="121" t="str">
        <f t="shared" si="158"/>
        <v/>
      </c>
      <c r="BD766" s="121" t="str">
        <f>IF('Cable Info'!T471="","",CONCATENATE('Cable Info'!T471," - ",'Cable Info'!U471))</f>
        <v/>
      </c>
      <c r="BG766" s="121" t="str">
        <f t="shared" si="159"/>
        <v/>
      </c>
      <c r="BI766" s="121" t="str">
        <f>IF('Cable Info'!V471="","",CONCATENATE('Cable Info'!V471," - ",'Cable Info'!W471))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str">
        <f>IF('Cable Info'!L472="","",CONCATENATE('Cable Info'!L472," - ",'Cable Info'!M472))</f>
        <v>471 - AW</v>
      </c>
      <c r="AM767" s="121" t="str">
        <f t="shared" si="155"/>
        <v>471 - AW</v>
      </c>
      <c r="AO767" s="121" t="str">
        <f>IF('Cable Info'!N472="","",CONCATENATE('Cable Info'!N472," - ",'Cable Info'!O472))</f>
        <v>471 - AW</v>
      </c>
      <c r="AR767" s="121" t="str">
        <f t="shared" si="156"/>
        <v>471 - AW</v>
      </c>
      <c r="AT767" s="121" t="str">
        <f>IF('Cable Info'!P472="","",CONCATENATE('Cable Info'!P472," - ",'Cable Info'!Q472))</f>
        <v/>
      </c>
      <c r="AW767" s="121" t="str">
        <f t="shared" si="157"/>
        <v/>
      </c>
      <c r="AY767" s="121" t="str">
        <f>IF('Cable Info'!R472="","",CONCATENATE('Cable Info'!R472," - ",'Cable Info'!S472))</f>
        <v/>
      </c>
      <c r="BB767" s="121" t="str">
        <f t="shared" si="158"/>
        <v/>
      </c>
      <c r="BD767" s="121" t="str">
        <f>IF('Cable Info'!T472="","",CONCATENATE('Cable Info'!T472," - ",'Cable Info'!U472))</f>
        <v/>
      </c>
      <c r="BG767" s="121" t="str">
        <f t="shared" si="159"/>
        <v/>
      </c>
      <c r="BI767" s="121" t="str">
        <f>IF('Cable Info'!V472="","",CONCATENATE('Cable Info'!V472," - ",'Cable Info'!W472))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str">
        <f>IF('Cable Info'!L473="","",CONCATENATE('Cable Info'!L473," - ",'Cable Info'!M473))</f>
        <v>472 - AW</v>
      </c>
      <c r="AM768" s="121" t="str">
        <f t="shared" si="155"/>
        <v>472 - AW</v>
      </c>
      <c r="AO768" s="121" t="str">
        <f>IF('Cable Info'!N473="","",CONCATENATE('Cable Info'!N473," - ",'Cable Info'!O473))</f>
        <v>472 - AW</v>
      </c>
      <c r="AR768" s="121" t="str">
        <f t="shared" si="156"/>
        <v>472 - AW</v>
      </c>
      <c r="AT768" s="121" t="str">
        <f>IF('Cable Info'!P473="","",CONCATENATE('Cable Info'!P473," - ",'Cable Info'!Q473))</f>
        <v/>
      </c>
      <c r="AW768" s="121" t="str">
        <f t="shared" si="157"/>
        <v/>
      </c>
      <c r="AY768" s="121" t="str">
        <f>IF('Cable Info'!R473="","",CONCATENATE('Cable Info'!R473," - ",'Cable Info'!S473))</f>
        <v/>
      </c>
      <c r="BB768" s="121" t="str">
        <f t="shared" si="158"/>
        <v/>
      </c>
      <c r="BD768" s="121" t="str">
        <f>IF('Cable Info'!T473="","",CONCATENATE('Cable Info'!T473," - ",'Cable Info'!U473))</f>
        <v/>
      </c>
      <c r="BG768" s="121" t="str">
        <f t="shared" si="159"/>
        <v/>
      </c>
      <c r="BI768" s="121" t="str">
        <f>IF('Cable Info'!V473="","",CONCATENATE('Cable Info'!V473," - ",'Cable Info'!W473))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str">
        <f>IF('Cable Info'!L474="","",CONCATENATE('Cable Info'!L474," - ",'Cable Info'!M474))</f>
        <v>473 - AW</v>
      </c>
      <c r="AM769" s="121" t="str">
        <f t="shared" si="155"/>
        <v>473 - AW</v>
      </c>
      <c r="AO769" s="121" t="str">
        <f>IF('Cable Info'!N474="","",CONCATENATE('Cable Info'!N474," - ",'Cable Info'!O474))</f>
        <v>473 - AW</v>
      </c>
      <c r="AR769" s="121" t="str">
        <f t="shared" si="156"/>
        <v>473 - AW</v>
      </c>
      <c r="AT769" s="121" t="str">
        <f>IF('Cable Info'!P474="","",CONCATENATE('Cable Info'!P474," - ",'Cable Info'!Q474))</f>
        <v/>
      </c>
      <c r="AW769" s="121" t="str">
        <f t="shared" si="157"/>
        <v/>
      </c>
      <c r="AY769" s="121" t="str">
        <f>IF('Cable Info'!R474="","",CONCATENATE('Cable Info'!R474," - ",'Cable Info'!S474))</f>
        <v/>
      </c>
      <c r="BB769" s="121" t="str">
        <f t="shared" si="158"/>
        <v/>
      </c>
      <c r="BD769" s="121" t="str">
        <f>IF('Cable Info'!T474="","",CONCATENATE('Cable Info'!T474," - ",'Cable Info'!U474))</f>
        <v/>
      </c>
      <c r="BG769" s="121" t="str">
        <f t="shared" si="159"/>
        <v/>
      </c>
      <c r="BI769" s="121" t="str">
        <f>IF('Cable Info'!V474="","",CONCATENATE('Cable Info'!V474," - ",'Cable Info'!W474))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str">
        <f>IF('Cable Info'!L475="","",CONCATENATE('Cable Info'!L475," - ",'Cable Info'!M475))</f>
        <v>474 - AW</v>
      </c>
      <c r="AM770" s="121" t="str">
        <f t="shared" si="155"/>
        <v>474 - AW</v>
      </c>
      <c r="AO770" s="121" t="str">
        <f>IF('Cable Info'!N475="","",CONCATENATE('Cable Info'!N475," - ",'Cable Info'!O475))</f>
        <v>474 - AW</v>
      </c>
      <c r="AR770" s="121" t="str">
        <f t="shared" si="156"/>
        <v>474 - AW</v>
      </c>
      <c r="AT770" s="121" t="str">
        <f>IF('Cable Info'!P475="","",CONCATENATE('Cable Info'!P475," - ",'Cable Info'!Q475))</f>
        <v/>
      </c>
      <c r="AW770" s="121" t="str">
        <f t="shared" si="157"/>
        <v/>
      </c>
      <c r="AY770" s="121" t="str">
        <f>IF('Cable Info'!R475="","",CONCATENATE('Cable Info'!R475," - ",'Cable Info'!S475))</f>
        <v/>
      </c>
      <c r="BB770" s="121" t="str">
        <f t="shared" si="158"/>
        <v/>
      </c>
      <c r="BD770" s="121" t="str">
        <f>IF('Cable Info'!T475="","",CONCATENATE('Cable Info'!T475," - ",'Cable Info'!U475))</f>
        <v/>
      </c>
      <c r="BG770" s="121" t="str">
        <f t="shared" si="159"/>
        <v/>
      </c>
      <c r="BI770" s="121" t="str">
        <f>IF('Cable Info'!V475="","",CONCATENATE('Cable Info'!V475," - ",'Cable Info'!W475))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str">
        <f>IF('Cable Info'!L476="","",CONCATENATE('Cable Info'!L476," - ",'Cable Info'!M476))</f>
        <v>475 - AW</v>
      </c>
      <c r="AM771" s="121" t="str">
        <f t="shared" si="155"/>
        <v>475 - AW</v>
      </c>
      <c r="AO771" s="121" t="str">
        <f>IF('Cable Info'!N476="","",CONCATENATE('Cable Info'!N476," - ",'Cable Info'!O476))</f>
        <v>475 - AW</v>
      </c>
      <c r="AR771" s="121" t="str">
        <f t="shared" si="156"/>
        <v>475 - AW</v>
      </c>
      <c r="AT771" s="121" t="str">
        <f>IF('Cable Info'!P476="","",CONCATENATE('Cable Info'!P476," - ",'Cable Info'!Q476))</f>
        <v/>
      </c>
      <c r="AW771" s="121" t="str">
        <f t="shared" si="157"/>
        <v/>
      </c>
      <c r="AY771" s="121" t="str">
        <f>IF('Cable Info'!R476="","",CONCATENATE('Cable Info'!R476," - ",'Cable Info'!S476))</f>
        <v/>
      </c>
      <c r="BB771" s="121" t="str">
        <f t="shared" si="158"/>
        <v/>
      </c>
      <c r="BD771" s="121" t="str">
        <f>IF('Cable Info'!T476="","",CONCATENATE('Cable Info'!T476," - ",'Cable Info'!U476))</f>
        <v/>
      </c>
      <c r="BG771" s="121" t="str">
        <f t="shared" si="159"/>
        <v/>
      </c>
      <c r="BI771" s="121" t="str">
        <f>IF('Cable Info'!V476="","",CONCATENATE('Cable Info'!V476," - ",'Cable Info'!W476))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str">
        <f>IF('Cable Info'!L477="","",CONCATENATE('Cable Info'!L477," - ",'Cable Info'!M477))</f>
        <v>476 - AW</v>
      </c>
      <c r="AM772" s="121" t="str">
        <f t="shared" si="155"/>
        <v>476 - AW</v>
      </c>
      <c r="AO772" s="121" t="str">
        <f>IF('Cable Info'!N477="","",CONCATENATE('Cable Info'!N477," - ",'Cable Info'!O477))</f>
        <v>476 - AW</v>
      </c>
      <c r="AR772" s="121" t="str">
        <f t="shared" si="156"/>
        <v>476 - AW</v>
      </c>
      <c r="AT772" s="121" t="str">
        <f>IF('Cable Info'!P477="","",CONCATENATE('Cable Info'!P477," - ",'Cable Info'!Q477))</f>
        <v/>
      </c>
      <c r="AW772" s="121" t="str">
        <f t="shared" si="157"/>
        <v/>
      </c>
      <c r="AY772" s="121" t="str">
        <f>IF('Cable Info'!R477="","",CONCATENATE('Cable Info'!R477," - ",'Cable Info'!S477))</f>
        <v/>
      </c>
      <c r="BB772" s="121" t="str">
        <f t="shared" si="158"/>
        <v/>
      </c>
      <c r="BD772" s="121" t="str">
        <f>IF('Cable Info'!T477="","",CONCATENATE('Cable Info'!T477," - ",'Cable Info'!U477))</f>
        <v/>
      </c>
      <c r="BG772" s="121" t="str">
        <f t="shared" si="159"/>
        <v/>
      </c>
      <c r="BI772" s="121" t="str">
        <f>IF('Cable Info'!V477="","",CONCATENATE('Cable Info'!V477," - ",'Cable Info'!W477))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str">
        <f>IF('Cable Info'!L478="","",CONCATENATE('Cable Info'!L478," - ",'Cable Info'!M478))</f>
        <v>477 - AW</v>
      </c>
      <c r="AM773" s="121" t="str">
        <f t="shared" si="155"/>
        <v>477 - AW</v>
      </c>
      <c r="AO773" s="121" t="str">
        <f>IF('Cable Info'!N478="","",CONCATENATE('Cable Info'!N478," - ",'Cable Info'!O478))</f>
        <v>477 - AW</v>
      </c>
      <c r="AR773" s="121" t="str">
        <f t="shared" si="156"/>
        <v>477 - AW</v>
      </c>
      <c r="AT773" s="121" t="str">
        <f>IF('Cable Info'!P478="","",CONCATENATE('Cable Info'!P478," - ",'Cable Info'!Q478))</f>
        <v/>
      </c>
      <c r="AW773" s="121" t="str">
        <f t="shared" si="157"/>
        <v/>
      </c>
      <c r="AY773" s="121" t="str">
        <f>IF('Cable Info'!R478="","",CONCATENATE('Cable Info'!R478," - ",'Cable Info'!S478))</f>
        <v/>
      </c>
      <c r="BB773" s="121" t="str">
        <f t="shared" si="158"/>
        <v/>
      </c>
      <c r="BD773" s="121" t="str">
        <f>IF('Cable Info'!T478="","",CONCATENATE('Cable Info'!T478," - ",'Cable Info'!U478))</f>
        <v/>
      </c>
      <c r="BG773" s="121" t="str">
        <f t="shared" si="159"/>
        <v/>
      </c>
      <c r="BI773" s="121" t="str">
        <f>IF('Cable Info'!V478="","",CONCATENATE('Cable Info'!V478," - ",'Cable Info'!W478))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str">
        <f>IF('Cable Info'!L479="","",CONCATENATE('Cable Info'!L479," - ",'Cable Info'!M479))</f>
        <v>478 - AW</v>
      </c>
      <c r="AM774" s="121" t="str">
        <f t="shared" si="155"/>
        <v>478 - AW</v>
      </c>
      <c r="AO774" s="121" t="str">
        <f>IF('Cable Info'!N479="","",CONCATENATE('Cable Info'!N479," - ",'Cable Info'!O479))</f>
        <v>478 - AW</v>
      </c>
      <c r="AR774" s="121" t="str">
        <f t="shared" si="156"/>
        <v>478 - AW</v>
      </c>
      <c r="AT774" s="121" t="str">
        <f>IF('Cable Info'!P479="","",CONCATENATE('Cable Info'!P479," - ",'Cable Info'!Q479))</f>
        <v/>
      </c>
      <c r="AW774" s="121" t="str">
        <f t="shared" si="157"/>
        <v/>
      </c>
      <c r="AY774" s="121" t="str">
        <f>IF('Cable Info'!R479="","",CONCATENATE('Cable Info'!R479," - ",'Cable Info'!S479))</f>
        <v/>
      </c>
      <c r="BB774" s="121" t="str">
        <f t="shared" si="158"/>
        <v/>
      </c>
      <c r="BD774" s="121" t="str">
        <f>IF('Cable Info'!T479="","",CONCATENATE('Cable Info'!T479," - ",'Cable Info'!U479))</f>
        <v/>
      </c>
      <c r="BG774" s="121" t="str">
        <f t="shared" si="159"/>
        <v/>
      </c>
      <c r="BI774" s="121" t="str">
        <f>IF('Cable Info'!V479="","",CONCATENATE('Cable Info'!V479," - ",'Cable Info'!W479))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str">
        <f>IF('Cable Info'!L480="","",CONCATENATE('Cable Info'!L480," - ",'Cable Info'!M480))</f>
        <v>479 - AW</v>
      </c>
      <c r="AM775" s="121" t="str">
        <f t="shared" si="155"/>
        <v>479 - AW</v>
      </c>
      <c r="AO775" s="121" t="str">
        <f>IF('Cable Info'!N480="","",CONCATENATE('Cable Info'!N480," - ",'Cable Info'!O480))</f>
        <v>479 - AW</v>
      </c>
      <c r="AR775" s="121" t="str">
        <f t="shared" si="156"/>
        <v>479 - AW</v>
      </c>
      <c r="AT775" s="121" t="str">
        <f>IF('Cable Info'!P480="","",CONCATENATE('Cable Info'!P480," - ",'Cable Info'!Q480))</f>
        <v/>
      </c>
      <c r="AW775" s="121" t="str">
        <f t="shared" si="157"/>
        <v/>
      </c>
      <c r="AY775" s="121" t="str">
        <f>IF('Cable Info'!R480="","",CONCATENATE('Cable Info'!R480," - ",'Cable Info'!S480))</f>
        <v/>
      </c>
      <c r="BB775" s="121" t="str">
        <f t="shared" si="158"/>
        <v/>
      </c>
      <c r="BD775" s="121" t="str">
        <f>IF('Cable Info'!T480="","",CONCATENATE('Cable Info'!T480," - ",'Cable Info'!U480))</f>
        <v/>
      </c>
      <c r="BG775" s="121" t="str">
        <f t="shared" si="159"/>
        <v/>
      </c>
      <c r="BI775" s="121" t="str">
        <f>IF('Cable Info'!V480="","",CONCATENATE('Cable Info'!V480," - ",'Cable Info'!W480))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str">
        <f>IF('Cable Info'!L481="","",CONCATENATE('Cable Info'!L481," - ",'Cable Info'!M481))</f>
        <v>480 - AW</v>
      </c>
      <c r="AM776" s="121" t="str">
        <f t="shared" si="155"/>
        <v>480 - AW</v>
      </c>
      <c r="AO776" s="121" t="str">
        <f>IF('Cable Info'!N481="","",CONCATENATE('Cable Info'!N481," - ",'Cable Info'!O481))</f>
        <v>480 - AW</v>
      </c>
      <c r="AR776" s="121" t="str">
        <f t="shared" si="156"/>
        <v>480 - AW</v>
      </c>
      <c r="AT776" s="121" t="str">
        <f>IF('Cable Info'!P481="","",CONCATENATE('Cable Info'!P481," - ",'Cable Info'!Q481))</f>
        <v/>
      </c>
      <c r="AW776" s="121" t="str">
        <f t="shared" si="157"/>
        <v/>
      </c>
      <c r="AY776" s="121" t="str">
        <f>IF('Cable Info'!R481="","",CONCATENATE('Cable Info'!R481," - ",'Cable Info'!S481))</f>
        <v/>
      </c>
      <c r="BB776" s="121" t="str">
        <f t="shared" si="158"/>
        <v/>
      </c>
      <c r="BD776" s="121" t="str">
        <f>IF('Cable Info'!T481="","",CONCATENATE('Cable Info'!T481," - ",'Cable Info'!U481))</f>
        <v/>
      </c>
      <c r="BG776" s="121" t="str">
        <f t="shared" si="159"/>
        <v/>
      </c>
      <c r="BI776" s="121" t="str">
        <f>IF('Cable Info'!V481="","",CONCATENATE('Cable Info'!V481," - ",'Cable Info'!W481))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str">
        <f>IF('Cable Info'!L482="","",CONCATENATE('Cable Info'!L482," - ",'Cable Info'!M482))</f>
        <v>481 - AW</v>
      </c>
      <c r="AM777" s="121" t="str">
        <f t="shared" si="155"/>
        <v>481 - AW</v>
      </c>
      <c r="AO777" s="121" t="str">
        <f>IF('Cable Info'!N482="","",CONCATENATE('Cable Info'!N482," - ",'Cable Info'!O482))</f>
        <v>481 - AW</v>
      </c>
      <c r="AR777" s="121" t="str">
        <f t="shared" si="156"/>
        <v>481 - AW</v>
      </c>
      <c r="AT777" s="121" t="str">
        <f>IF('Cable Info'!P482="","",CONCATENATE('Cable Info'!P482," - ",'Cable Info'!Q482))</f>
        <v/>
      </c>
      <c r="AW777" s="121" t="str">
        <f t="shared" si="157"/>
        <v/>
      </c>
      <c r="AY777" s="121" t="str">
        <f>IF('Cable Info'!R482="","",CONCATENATE('Cable Info'!R482," - ",'Cable Info'!S482))</f>
        <v/>
      </c>
      <c r="BB777" s="121" t="str">
        <f t="shared" si="158"/>
        <v/>
      </c>
      <c r="BD777" s="121" t="str">
        <f>IF('Cable Info'!T482="","",CONCATENATE('Cable Info'!T482," - ",'Cable Info'!U482))</f>
        <v/>
      </c>
      <c r="BG777" s="121" t="str">
        <f t="shared" si="159"/>
        <v/>
      </c>
      <c r="BI777" s="121" t="str">
        <f>IF('Cable Info'!V482="","",CONCATENATE('Cable Info'!V482," - ",'Cable Info'!W482))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str">
        <f>IF('Cable Info'!L483="","",CONCATENATE('Cable Info'!L483," - ",'Cable Info'!M483))</f>
        <v>482 - AW</v>
      </c>
      <c r="AM778" s="121" t="str">
        <f t="shared" si="155"/>
        <v>482 - AW</v>
      </c>
      <c r="AO778" s="121" t="str">
        <f>IF('Cable Info'!N483="","",CONCATENATE('Cable Info'!N483," - ",'Cable Info'!O483))</f>
        <v>482 - AW</v>
      </c>
      <c r="AR778" s="121" t="str">
        <f t="shared" si="156"/>
        <v>482 - AW</v>
      </c>
      <c r="AT778" s="121" t="str">
        <f>IF('Cable Info'!P483="","",CONCATENATE('Cable Info'!P483," - ",'Cable Info'!Q483))</f>
        <v/>
      </c>
      <c r="AW778" s="121" t="str">
        <f t="shared" si="157"/>
        <v/>
      </c>
      <c r="AY778" s="121" t="str">
        <f>IF('Cable Info'!R483="","",CONCATENATE('Cable Info'!R483," - ",'Cable Info'!S483))</f>
        <v/>
      </c>
      <c r="BB778" s="121" t="str">
        <f t="shared" si="158"/>
        <v/>
      </c>
      <c r="BD778" s="121" t="str">
        <f>IF('Cable Info'!T483="","",CONCATENATE('Cable Info'!T483," - ",'Cable Info'!U483))</f>
        <v/>
      </c>
      <c r="BG778" s="121" t="str">
        <f t="shared" si="159"/>
        <v/>
      </c>
      <c r="BI778" s="121" t="str">
        <f>IF('Cable Info'!V483="","",CONCATENATE('Cable Info'!V483," - ",'Cable Info'!W483))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str">
        <f>IF('Cable Info'!L484="","",CONCATENATE('Cable Info'!L484," - ",'Cable Info'!M484))</f>
        <v>483 - AW</v>
      </c>
      <c r="AM779" s="121" t="str">
        <f t="shared" si="155"/>
        <v>483 - AW</v>
      </c>
      <c r="AO779" s="121" t="str">
        <f>IF('Cable Info'!N484="","",CONCATENATE('Cable Info'!N484," - ",'Cable Info'!O484))</f>
        <v>483 - AW</v>
      </c>
      <c r="AR779" s="121" t="str">
        <f t="shared" si="156"/>
        <v>483 - AW</v>
      </c>
      <c r="AT779" s="121" t="str">
        <f>IF('Cable Info'!P484="","",CONCATENATE('Cable Info'!P484," - ",'Cable Info'!Q484))</f>
        <v/>
      </c>
      <c r="AW779" s="121" t="str">
        <f t="shared" si="157"/>
        <v/>
      </c>
      <c r="AY779" s="121" t="str">
        <f>IF('Cable Info'!R484="","",CONCATENATE('Cable Info'!R484," - ",'Cable Info'!S484))</f>
        <v/>
      </c>
      <c r="BB779" s="121" t="str">
        <f t="shared" si="158"/>
        <v/>
      </c>
      <c r="BD779" s="121" t="str">
        <f>IF('Cable Info'!T484="","",CONCATENATE('Cable Info'!T484," - ",'Cable Info'!U484))</f>
        <v/>
      </c>
      <c r="BG779" s="121" t="str">
        <f t="shared" si="159"/>
        <v/>
      </c>
      <c r="BI779" s="121" t="str">
        <f>IF('Cable Info'!V484="","",CONCATENATE('Cable Info'!V484," - ",'Cable Info'!W484))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str">
        <f>IF('Cable Info'!L485="","",CONCATENATE('Cable Info'!L485," - ",'Cable Info'!M485))</f>
        <v>484 - AW</v>
      </c>
      <c r="AM780" s="121" t="str">
        <f t="shared" si="155"/>
        <v>484 - AW</v>
      </c>
      <c r="AO780" s="121" t="str">
        <f>IF('Cable Info'!N485="","",CONCATENATE('Cable Info'!N485," - ",'Cable Info'!O485))</f>
        <v>484 - AW</v>
      </c>
      <c r="AR780" s="121" t="str">
        <f t="shared" si="156"/>
        <v>484 - AW</v>
      </c>
      <c r="AT780" s="121" t="str">
        <f>IF('Cable Info'!P485="","",CONCATENATE('Cable Info'!P485," - ",'Cable Info'!Q485))</f>
        <v/>
      </c>
      <c r="AW780" s="121" t="str">
        <f t="shared" si="157"/>
        <v/>
      </c>
      <c r="AY780" s="121" t="str">
        <f>IF('Cable Info'!R485="","",CONCATENATE('Cable Info'!R485," - ",'Cable Info'!S485))</f>
        <v/>
      </c>
      <c r="BB780" s="121" t="str">
        <f t="shared" si="158"/>
        <v/>
      </c>
      <c r="BD780" s="121" t="str">
        <f>IF('Cable Info'!T485="","",CONCATENATE('Cable Info'!T485," - ",'Cable Info'!U485))</f>
        <v/>
      </c>
      <c r="BG780" s="121" t="str">
        <f t="shared" si="159"/>
        <v/>
      </c>
      <c r="BI780" s="121" t="str">
        <f>IF('Cable Info'!V485="","",CONCATENATE('Cable Info'!V485," - ",'Cable Info'!W485))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str">
        <f>IF('Cable Info'!L486="","",CONCATENATE('Cable Info'!L486," - ",'Cable Info'!M486))</f>
        <v>485 - AW</v>
      </c>
      <c r="AM781" s="121" t="str">
        <f t="shared" si="155"/>
        <v>485 - AW</v>
      </c>
      <c r="AO781" s="121" t="str">
        <f>IF('Cable Info'!N486="","",CONCATENATE('Cable Info'!N486," - ",'Cable Info'!O486))</f>
        <v>485 - AW</v>
      </c>
      <c r="AR781" s="121" t="str">
        <f t="shared" si="156"/>
        <v>485 - AW</v>
      </c>
      <c r="AT781" s="121" t="str">
        <f>IF('Cable Info'!P486="","",CONCATENATE('Cable Info'!P486," - ",'Cable Info'!Q486))</f>
        <v/>
      </c>
      <c r="AW781" s="121" t="str">
        <f t="shared" si="157"/>
        <v/>
      </c>
      <c r="AY781" s="121" t="str">
        <f>IF('Cable Info'!R486="","",CONCATENATE('Cable Info'!R486," - ",'Cable Info'!S486))</f>
        <v/>
      </c>
      <c r="BB781" s="121" t="str">
        <f t="shared" si="158"/>
        <v/>
      </c>
      <c r="BD781" s="121" t="str">
        <f>IF('Cable Info'!T486="","",CONCATENATE('Cable Info'!T486," - ",'Cable Info'!U486))</f>
        <v/>
      </c>
      <c r="BG781" s="121" t="str">
        <f t="shared" si="159"/>
        <v/>
      </c>
      <c r="BI781" s="121" t="str">
        <f>IF('Cable Info'!V486="","",CONCATENATE('Cable Info'!V486," - ",'Cable Info'!W486))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str">
        <f>IF('Cable Info'!L487="","",CONCATENATE('Cable Info'!L487," - ",'Cable Info'!M487))</f>
        <v>486 - AW</v>
      </c>
      <c r="AM782" s="121" t="str">
        <f t="shared" si="155"/>
        <v>486 - AW</v>
      </c>
      <c r="AO782" s="121" t="str">
        <f>IF('Cable Info'!N487="","",CONCATENATE('Cable Info'!N487," - ",'Cable Info'!O487))</f>
        <v>486 - AW</v>
      </c>
      <c r="AR782" s="121" t="str">
        <f t="shared" si="156"/>
        <v>486 - AW</v>
      </c>
      <c r="AT782" s="121" t="str">
        <f>IF('Cable Info'!P487="","",CONCATENATE('Cable Info'!P487," - ",'Cable Info'!Q487))</f>
        <v/>
      </c>
      <c r="AW782" s="121" t="str">
        <f t="shared" si="157"/>
        <v/>
      </c>
      <c r="AY782" s="121" t="str">
        <f>IF('Cable Info'!R487="","",CONCATENATE('Cable Info'!R487," - ",'Cable Info'!S487))</f>
        <v/>
      </c>
      <c r="BB782" s="121" t="str">
        <f t="shared" si="158"/>
        <v/>
      </c>
      <c r="BD782" s="121" t="str">
        <f>IF('Cable Info'!T487="","",CONCATENATE('Cable Info'!T487," - ",'Cable Info'!U487))</f>
        <v/>
      </c>
      <c r="BG782" s="121" t="str">
        <f t="shared" si="159"/>
        <v/>
      </c>
      <c r="BI782" s="121" t="str">
        <f>IF('Cable Info'!V487="","",CONCATENATE('Cable Info'!V487," - ",'Cable Info'!W487))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str">
        <f>IF('Cable Info'!L488="","",CONCATENATE('Cable Info'!L488," - ",'Cable Info'!M488))</f>
        <v>487 - AW</v>
      </c>
      <c r="AM783" s="121" t="str">
        <f t="shared" si="155"/>
        <v>487 - AW</v>
      </c>
      <c r="AO783" s="121" t="str">
        <f>IF('Cable Info'!N488="","",CONCATENATE('Cable Info'!N488," - ",'Cable Info'!O488))</f>
        <v>487 - AW</v>
      </c>
      <c r="AR783" s="121" t="str">
        <f t="shared" si="156"/>
        <v>487 - AW</v>
      </c>
      <c r="AT783" s="121" t="str">
        <f>IF('Cable Info'!P488="","",CONCATENATE('Cable Info'!P488," - ",'Cable Info'!Q488))</f>
        <v/>
      </c>
      <c r="AW783" s="121" t="str">
        <f t="shared" si="157"/>
        <v/>
      </c>
      <c r="AY783" s="121" t="str">
        <f>IF('Cable Info'!R488="","",CONCATENATE('Cable Info'!R488," - ",'Cable Info'!S488))</f>
        <v/>
      </c>
      <c r="BB783" s="121" t="str">
        <f t="shared" si="158"/>
        <v/>
      </c>
      <c r="BD783" s="121" t="str">
        <f>IF('Cable Info'!T488="","",CONCATENATE('Cable Info'!T488," - ",'Cable Info'!U488))</f>
        <v/>
      </c>
      <c r="BG783" s="121" t="str">
        <f t="shared" si="159"/>
        <v/>
      </c>
      <c r="BI783" s="121" t="str">
        <f>IF('Cable Info'!V488="","",CONCATENATE('Cable Info'!V488," - ",'Cable Info'!W488))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str">
        <f>IF('Cable Info'!L489="","",CONCATENATE('Cable Info'!L489," - ",'Cable Info'!M489))</f>
        <v>488 - AW</v>
      </c>
      <c r="AM784" s="121" t="str">
        <f t="shared" si="155"/>
        <v>488 - AW</v>
      </c>
      <c r="AO784" s="121" t="str">
        <f>IF('Cable Info'!N489="","",CONCATENATE('Cable Info'!N489," - ",'Cable Info'!O489))</f>
        <v>488 - AW</v>
      </c>
      <c r="AR784" s="121" t="str">
        <f t="shared" si="156"/>
        <v>488 - AW</v>
      </c>
      <c r="AT784" s="121" t="str">
        <f>IF('Cable Info'!P489="","",CONCATENATE('Cable Info'!P489," - ",'Cable Info'!Q489))</f>
        <v/>
      </c>
      <c r="AW784" s="121" t="str">
        <f t="shared" si="157"/>
        <v/>
      </c>
      <c r="AY784" s="121" t="str">
        <f>IF('Cable Info'!R489="","",CONCATENATE('Cable Info'!R489," - ",'Cable Info'!S489))</f>
        <v/>
      </c>
      <c r="BB784" s="121" t="str">
        <f t="shared" si="158"/>
        <v/>
      </c>
      <c r="BD784" s="121" t="str">
        <f>IF('Cable Info'!T489="","",CONCATENATE('Cable Info'!T489," - ",'Cable Info'!U489))</f>
        <v/>
      </c>
      <c r="BG784" s="121" t="str">
        <f t="shared" si="159"/>
        <v/>
      </c>
      <c r="BI784" s="121" t="str">
        <f>IF('Cable Info'!V489="","",CONCATENATE('Cable Info'!V489," - ",'Cable Info'!W489))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str">
        <f>IF('Cable Info'!L490="","",CONCATENATE('Cable Info'!L490," - ",'Cable Info'!M490))</f>
        <v>489 - AW</v>
      </c>
      <c r="AM785" s="121" t="str">
        <f t="shared" si="155"/>
        <v>489 - AW</v>
      </c>
      <c r="AO785" s="121" t="str">
        <f>IF('Cable Info'!N490="","",CONCATENATE('Cable Info'!N490," - ",'Cable Info'!O490))</f>
        <v>489 - AW</v>
      </c>
      <c r="AR785" s="121" t="str">
        <f t="shared" si="156"/>
        <v>489 - AW</v>
      </c>
      <c r="AT785" s="121" t="str">
        <f>IF('Cable Info'!P490="","",CONCATENATE('Cable Info'!P490," - ",'Cable Info'!Q490))</f>
        <v/>
      </c>
      <c r="AW785" s="121" t="str">
        <f t="shared" si="157"/>
        <v/>
      </c>
      <c r="AY785" s="121" t="str">
        <f>IF('Cable Info'!R490="","",CONCATENATE('Cable Info'!R490," - ",'Cable Info'!S490))</f>
        <v/>
      </c>
      <c r="BB785" s="121" t="str">
        <f t="shared" si="158"/>
        <v/>
      </c>
      <c r="BD785" s="121" t="str">
        <f>IF('Cable Info'!T490="","",CONCATENATE('Cable Info'!T490," - ",'Cable Info'!U490))</f>
        <v/>
      </c>
      <c r="BG785" s="121" t="str">
        <f t="shared" si="159"/>
        <v/>
      </c>
      <c r="BI785" s="121" t="str">
        <f>IF('Cable Info'!V490="","",CONCATENATE('Cable Info'!V490," - ",'Cable Info'!W490))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str">
        <f>IF('Cable Info'!L491="","",CONCATENATE('Cable Info'!L491," - ",'Cable Info'!M491))</f>
        <v>490 - AW</v>
      </c>
      <c r="AM786" s="121" t="str">
        <f t="shared" si="155"/>
        <v>490 - AW</v>
      </c>
      <c r="AO786" s="121" t="str">
        <f>IF('Cable Info'!N491="","",CONCATENATE('Cable Info'!N491," - ",'Cable Info'!O491))</f>
        <v>490 - AW</v>
      </c>
      <c r="AR786" s="121" t="str">
        <f t="shared" si="156"/>
        <v>490 - AW</v>
      </c>
      <c r="AT786" s="121" t="str">
        <f>IF('Cable Info'!P491="","",CONCATENATE('Cable Info'!P491," - ",'Cable Info'!Q491))</f>
        <v/>
      </c>
      <c r="AW786" s="121" t="str">
        <f t="shared" si="157"/>
        <v/>
      </c>
      <c r="AY786" s="121" t="str">
        <f>IF('Cable Info'!R491="","",CONCATENATE('Cable Info'!R491," - ",'Cable Info'!S491))</f>
        <v/>
      </c>
      <c r="BB786" s="121" t="str">
        <f t="shared" si="158"/>
        <v/>
      </c>
      <c r="BD786" s="121" t="str">
        <f>IF('Cable Info'!T491="","",CONCATENATE('Cable Info'!T491," - ",'Cable Info'!U491))</f>
        <v/>
      </c>
      <c r="BG786" s="121" t="str">
        <f t="shared" si="159"/>
        <v/>
      </c>
      <c r="BI786" s="121" t="str">
        <f>IF('Cable Info'!V491="","",CONCATENATE('Cable Info'!V491," - ",'Cable Info'!W491))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str">
        <f>IF('Cable Info'!L492="","",CONCATENATE('Cable Info'!L492," - ",'Cable Info'!M492))</f>
        <v>491 - AW</v>
      </c>
      <c r="AM787" s="121" t="str">
        <f t="shared" si="155"/>
        <v>491 - AW</v>
      </c>
      <c r="AO787" s="121" t="str">
        <f>IF('Cable Info'!N492="","",CONCATENATE('Cable Info'!N492," - ",'Cable Info'!O492))</f>
        <v>491 - AW</v>
      </c>
      <c r="AR787" s="121" t="str">
        <f t="shared" si="156"/>
        <v>491 - AW</v>
      </c>
      <c r="AT787" s="121" t="str">
        <f>IF('Cable Info'!P492="","",CONCATENATE('Cable Info'!P492," - ",'Cable Info'!Q492))</f>
        <v/>
      </c>
      <c r="AW787" s="121" t="str">
        <f t="shared" si="157"/>
        <v/>
      </c>
      <c r="AY787" s="121" t="str">
        <f>IF('Cable Info'!R492="","",CONCATENATE('Cable Info'!R492," - ",'Cable Info'!S492))</f>
        <v/>
      </c>
      <c r="BB787" s="121" t="str">
        <f t="shared" si="158"/>
        <v/>
      </c>
      <c r="BD787" s="121" t="str">
        <f>IF('Cable Info'!T492="","",CONCATENATE('Cable Info'!T492," - ",'Cable Info'!U492))</f>
        <v/>
      </c>
      <c r="BG787" s="121" t="str">
        <f t="shared" si="159"/>
        <v/>
      </c>
      <c r="BI787" s="121" t="str">
        <f>IF('Cable Info'!V492="","",CONCATENATE('Cable Info'!V492," - ",'Cable Info'!W492))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str">
        <f>IF('Cable Info'!L493="","",CONCATENATE('Cable Info'!L493," - ",'Cable Info'!M493))</f>
        <v>492 - AW</v>
      </c>
      <c r="AM788" s="121" t="str">
        <f t="shared" si="155"/>
        <v>492 - AW</v>
      </c>
      <c r="AO788" s="121" t="str">
        <f>IF('Cable Info'!N493="","",CONCATENATE('Cable Info'!N493," - ",'Cable Info'!O493))</f>
        <v>492 - AW</v>
      </c>
      <c r="AR788" s="121" t="str">
        <f t="shared" si="156"/>
        <v>492 - AW</v>
      </c>
      <c r="AT788" s="121" t="str">
        <f>IF('Cable Info'!P493="","",CONCATENATE('Cable Info'!P493," - ",'Cable Info'!Q493))</f>
        <v/>
      </c>
      <c r="AW788" s="121" t="str">
        <f t="shared" si="157"/>
        <v/>
      </c>
      <c r="AY788" s="121" t="str">
        <f>IF('Cable Info'!R493="","",CONCATENATE('Cable Info'!R493," - ",'Cable Info'!S493))</f>
        <v/>
      </c>
      <c r="BB788" s="121" t="str">
        <f t="shared" si="158"/>
        <v/>
      </c>
      <c r="BD788" s="121" t="str">
        <f>IF('Cable Info'!T493="","",CONCATENATE('Cable Info'!T493," - ",'Cable Info'!U493))</f>
        <v/>
      </c>
      <c r="BG788" s="121" t="str">
        <f t="shared" si="159"/>
        <v/>
      </c>
      <c r="BI788" s="121" t="str">
        <f>IF('Cable Info'!V493="","",CONCATENATE('Cable Info'!V493," - ",'Cable Info'!W493))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str">
        <f>IF('Cable Info'!L494="","",CONCATENATE('Cable Info'!L494," - ",'Cable Info'!M494))</f>
        <v>493 - AW</v>
      </c>
      <c r="AM789" s="121" t="str">
        <f t="shared" si="155"/>
        <v>493 - AW</v>
      </c>
      <c r="AO789" s="121" t="str">
        <f>IF('Cable Info'!N494="","",CONCATENATE('Cable Info'!N494," - ",'Cable Info'!O494))</f>
        <v>493 - AW</v>
      </c>
      <c r="AR789" s="121" t="str">
        <f t="shared" si="156"/>
        <v>493 - AW</v>
      </c>
      <c r="AT789" s="121" t="str">
        <f>IF('Cable Info'!P494="","",CONCATENATE('Cable Info'!P494," - ",'Cable Info'!Q494))</f>
        <v/>
      </c>
      <c r="AW789" s="121" t="str">
        <f t="shared" si="157"/>
        <v/>
      </c>
      <c r="AY789" s="121" t="str">
        <f>IF('Cable Info'!R494="","",CONCATENATE('Cable Info'!R494," - ",'Cable Info'!S494))</f>
        <v/>
      </c>
      <c r="BB789" s="121" t="str">
        <f t="shared" si="158"/>
        <v/>
      </c>
      <c r="BD789" s="121" t="str">
        <f>IF('Cable Info'!T494="","",CONCATENATE('Cable Info'!T494," - ",'Cable Info'!U494))</f>
        <v/>
      </c>
      <c r="BG789" s="121" t="str">
        <f t="shared" si="159"/>
        <v/>
      </c>
      <c r="BI789" s="121" t="str">
        <f>IF('Cable Info'!V494="","",CONCATENATE('Cable Info'!V494," - ",'Cable Info'!W494))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str">
        <f>IF('Cable Info'!L495="","",CONCATENATE('Cable Info'!L495," - ",'Cable Info'!M495))</f>
        <v>494 - AW</v>
      </c>
      <c r="AM790" s="121" t="str">
        <f t="shared" si="155"/>
        <v>494 - AW</v>
      </c>
      <c r="AO790" s="121" t="str">
        <f>IF('Cable Info'!N495="","",CONCATENATE('Cable Info'!N495," - ",'Cable Info'!O495))</f>
        <v>494 - AW</v>
      </c>
      <c r="AR790" s="121" t="str">
        <f t="shared" si="156"/>
        <v>494 - AW</v>
      </c>
      <c r="AT790" s="121" t="str">
        <f>IF('Cable Info'!P495="","",CONCATENATE('Cable Info'!P495," - ",'Cable Info'!Q495))</f>
        <v/>
      </c>
      <c r="AW790" s="121" t="str">
        <f t="shared" si="157"/>
        <v/>
      </c>
      <c r="AY790" s="121" t="str">
        <f>IF('Cable Info'!R495="","",CONCATENATE('Cable Info'!R495," - ",'Cable Info'!S495))</f>
        <v/>
      </c>
      <c r="BB790" s="121" t="str">
        <f t="shared" si="158"/>
        <v/>
      </c>
      <c r="BD790" s="121" t="str">
        <f>IF('Cable Info'!T495="","",CONCATENATE('Cable Info'!T495," - ",'Cable Info'!U495))</f>
        <v/>
      </c>
      <c r="BG790" s="121" t="str">
        <f t="shared" si="159"/>
        <v/>
      </c>
      <c r="BI790" s="121" t="str">
        <f>IF('Cable Info'!V495="","",CONCATENATE('Cable Info'!V495," - ",'Cable Info'!W495))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str">
        <f>IF('Cable Info'!L496="","",CONCATENATE('Cable Info'!L496," - ",'Cable Info'!M496))</f>
        <v>495 - AW</v>
      </c>
      <c r="AM791" s="121" t="str">
        <f t="shared" si="155"/>
        <v>495 - AW</v>
      </c>
      <c r="AO791" s="121" t="str">
        <f>IF('Cable Info'!N496="","",CONCATENATE('Cable Info'!N496," - ",'Cable Info'!O496))</f>
        <v>495 - AW</v>
      </c>
      <c r="AR791" s="121" t="str">
        <f t="shared" si="156"/>
        <v>495 - AW</v>
      </c>
      <c r="AT791" s="121" t="str">
        <f>IF('Cable Info'!P496="","",CONCATENATE('Cable Info'!P496," - ",'Cable Info'!Q496))</f>
        <v/>
      </c>
      <c r="AW791" s="121" t="str">
        <f t="shared" si="157"/>
        <v/>
      </c>
      <c r="AY791" s="121" t="str">
        <f>IF('Cable Info'!R496="","",CONCATENATE('Cable Info'!R496," - ",'Cable Info'!S496))</f>
        <v/>
      </c>
      <c r="BB791" s="121" t="str">
        <f t="shared" si="158"/>
        <v/>
      </c>
      <c r="BD791" s="121" t="str">
        <f>IF('Cable Info'!T496="","",CONCATENATE('Cable Info'!T496," - ",'Cable Info'!U496))</f>
        <v/>
      </c>
      <c r="BG791" s="121" t="str">
        <f t="shared" si="159"/>
        <v/>
      </c>
      <c r="BI791" s="121" t="str">
        <f>IF('Cable Info'!V496="","",CONCATENATE('Cable Info'!V496," - ",'Cable Info'!W496))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str">
        <f>IF('Cable Info'!L497="","",CONCATENATE('Cable Info'!L497," - ",'Cable Info'!M497))</f>
        <v>496 - AW</v>
      </c>
      <c r="AM792" s="121" t="str">
        <f t="shared" si="155"/>
        <v>496 - AW</v>
      </c>
      <c r="AO792" s="121" t="str">
        <f>IF('Cable Info'!N497="","",CONCATENATE('Cable Info'!N497," - ",'Cable Info'!O497))</f>
        <v>496 - AW</v>
      </c>
      <c r="AR792" s="121" t="str">
        <f t="shared" si="156"/>
        <v>496 - AW</v>
      </c>
      <c r="AT792" s="121" t="str">
        <f>IF('Cable Info'!P497="","",CONCATENATE('Cable Info'!P497," - ",'Cable Info'!Q497))</f>
        <v/>
      </c>
      <c r="AW792" s="121" t="str">
        <f t="shared" si="157"/>
        <v/>
      </c>
      <c r="AY792" s="121" t="str">
        <f>IF('Cable Info'!R497="","",CONCATENATE('Cable Info'!R497," - ",'Cable Info'!S497))</f>
        <v/>
      </c>
      <c r="BB792" s="121" t="str">
        <f t="shared" si="158"/>
        <v/>
      </c>
      <c r="BD792" s="121" t="str">
        <f>IF('Cable Info'!T497="","",CONCATENATE('Cable Info'!T497," - ",'Cable Info'!U497))</f>
        <v/>
      </c>
      <c r="BG792" s="121" t="str">
        <f t="shared" si="159"/>
        <v/>
      </c>
      <c r="BI792" s="121" t="str">
        <f>IF('Cable Info'!V497="","",CONCATENATE('Cable Info'!V497," - ",'Cable Info'!W497))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str">
        <f>IF('Cable Info'!L498="","",CONCATENATE('Cable Info'!L498," - ",'Cable Info'!M498))</f>
        <v>497 - AW</v>
      </c>
      <c r="AM793" s="121" t="str">
        <f t="shared" si="155"/>
        <v>497 - AW</v>
      </c>
      <c r="AO793" s="121" t="str">
        <f>IF('Cable Info'!N498="","",CONCATENATE('Cable Info'!N498," - ",'Cable Info'!O498))</f>
        <v>497 - AW</v>
      </c>
      <c r="AR793" s="121" t="str">
        <f t="shared" si="156"/>
        <v>497 - AW</v>
      </c>
      <c r="AT793" s="121" t="str">
        <f>IF('Cable Info'!P498="","",CONCATENATE('Cable Info'!P498," - ",'Cable Info'!Q498))</f>
        <v/>
      </c>
      <c r="AW793" s="121" t="str">
        <f t="shared" si="157"/>
        <v/>
      </c>
      <c r="AY793" s="121" t="str">
        <f>IF('Cable Info'!R498="","",CONCATENATE('Cable Info'!R498," - ",'Cable Info'!S498))</f>
        <v/>
      </c>
      <c r="BB793" s="121" t="str">
        <f t="shared" si="158"/>
        <v/>
      </c>
      <c r="BD793" s="121" t="str">
        <f>IF('Cable Info'!T498="","",CONCATENATE('Cable Info'!T498," - ",'Cable Info'!U498))</f>
        <v/>
      </c>
      <c r="BG793" s="121" t="str">
        <f t="shared" si="159"/>
        <v/>
      </c>
      <c r="BI793" s="121" t="str">
        <f>IF('Cable Info'!V498="","",CONCATENATE('Cable Info'!V498," - ",'Cable Info'!W498))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str">
        <f>IF('Cable Info'!L499="","",CONCATENATE('Cable Info'!L499," - ",'Cable Info'!M499))</f>
        <v>498 - AW</v>
      </c>
      <c r="AM794" s="121" t="str">
        <f t="shared" si="155"/>
        <v>498 - AW</v>
      </c>
      <c r="AO794" s="121" t="str">
        <f>IF('Cable Info'!N499="","",CONCATENATE('Cable Info'!N499," - ",'Cable Info'!O499))</f>
        <v>498 - AW</v>
      </c>
      <c r="AR794" s="121" t="str">
        <f t="shared" si="156"/>
        <v>498 - AW</v>
      </c>
      <c r="AT794" s="121" t="str">
        <f>IF('Cable Info'!P499="","",CONCATENATE('Cable Info'!P499," - ",'Cable Info'!Q499))</f>
        <v/>
      </c>
      <c r="AW794" s="121" t="str">
        <f t="shared" si="157"/>
        <v/>
      </c>
      <c r="AY794" s="121" t="str">
        <f>IF('Cable Info'!R499="","",CONCATENATE('Cable Info'!R499," - ",'Cable Info'!S499))</f>
        <v/>
      </c>
      <c r="BB794" s="121" t="str">
        <f t="shared" si="158"/>
        <v/>
      </c>
      <c r="BD794" s="121" t="str">
        <f>IF('Cable Info'!T499="","",CONCATENATE('Cable Info'!T499," - ",'Cable Info'!U499))</f>
        <v/>
      </c>
      <c r="BG794" s="121" t="str">
        <f t="shared" si="159"/>
        <v/>
      </c>
      <c r="BI794" s="121" t="str">
        <f>IF('Cable Info'!V499="","",CONCATENATE('Cable Info'!V499," - ",'Cable Info'!W499))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str">
        <f>IF('Cable Info'!L500="","",CONCATENATE('Cable Info'!L500," - ",'Cable Info'!M500))</f>
        <v>499 - AW</v>
      </c>
      <c r="AM795" s="121" t="str">
        <f t="shared" si="155"/>
        <v>499 - AW</v>
      </c>
      <c r="AO795" s="121" t="str">
        <f>IF('Cable Info'!N500="","",CONCATENATE('Cable Info'!N500," - ",'Cable Info'!O500))</f>
        <v>499 - AW</v>
      </c>
      <c r="AR795" s="121" t="str">
        <f t="shared" si="156"/>
        <v>499 - AW</v>
      </c>
      <c r="AT795" s="121" t="str">
        <f>IF('Cable Info'!P500="","",CONCATENATE('Cable Info'!P500," - ",'Cable Info'!Q500))</f>
        <v/>
      </c>
      <c r="AW795" s="121" t="str">
        <f t="shared" si="157"/>
        <v/>
      </c>
      <c r="AY795" s="121" t="str">
        <f>IF('Cable Info'!R500="","",CONCATENATE('Cable Info'!R500," - ",'Cable Info'!S500))</f>
        <v/>
      </c>
      <c r="BB795" s="121" t="str">
        <f t="shared" si="158"/>
        <v/>
      </c>
      <c r="BD795" s="121" t="str">
        <f>IF('Cable Info'!T500="","",CONCATENATE('Cable Info'!T500," - ",'Cable Info'!U500))</f>
        <v/>
      </c>
      <c r="BG795" s="121" t="str">
        <f t="shared" si="159"/>
        <v/>
      </c>
      <c r="BI795" s="121" t="str">
        <f>IF('Cable Info'!V500="","",CONCATENATE('Cable Info'!V500," - ",'Cable Info'!W500))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str">
        <f>IF('Cable Info'!L501="","",CONCATENATE('Cable Info'!L501," - ",'Cable Info'!M501))</f>
        <v>500 - AW</v>
      </c>
      <c r="AM796" s="121" t="str">
        <f t="shared" si="155"/>
        <v>500 - AW</v>
      </c>
      <c r="AO796" s="121" t="str">
        <f>IF('Cable Info'!N501="","",CONCATENATE('Cable Info'!N501," - ",'Cable Info'!O501))</f>
        <v>500 - AW</v>
      </c>
      <c r="AR796" s="121" t="str">
        <f t="shared" si="156"/>
        <v>500 - AW</v>
      </c>
      <c r="AT796" s="121" t="str">
        <f>IF('Cable Info'!P501="","",CONCATENATE('Cable Info'!P501," - ",'Cable Info'!Q501))</f>
        <v/>
      </c>
      <c r="AW796" s="121" t="str">
        <f t="shared" si="157"/>
        <v/>
      </c>
      <c r="AY796" s="121" t="str">
        <f>IF('Cable Info'!R501="","",CONCATENATE('Cable Info'!R501," - ",'Cable Info'!S501))</f>
        <v/>
      </c>
      <c r="BB796" s="121" t="str">
        <f t="shared" si="158"/>
        <v/>
      </c>
      <c r="BD796" s="121" t="str">
        <f>IF('Cable Info'!T501="","",CONCATENATE('Cable Info'!T501," - ",'Cable Info'!U501))</f>
        <v/>
      </c>
      <c r="BG796" s="121" t="str">
        <f t="shared" si="159"/>
        <v/>
      </c>
      <c r="BI796" s="121" t="str">
        <f>IF('Cable Info'!V501="","",CONCATENATE('Cable Info'!V501," - ",'Cable Info'!W501))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str">
        <f>IF('Cable Info'!L502="","",CONCATENATE('Cable Info'!L502," - ",'Cable Info'!M502))</f>
        <v>501 - AW</v>
      </c>
      <c r="AM797" s="121" t="str">
        <f t="shared" si="155"/>
        <v>501 - AW</v>
      </c>
      <c r="AO797" s="121" t="str">
        <f>IF('Cable Info'!N502="","",CONCATENATE('Cable Info'!N502," - ",'Cable Info'!O502))</f>
        <v>501 - AW</v>
      </c>
      <c r="AR797" s="121" t="str">
        <f t="shared" si="156"/>
        <v>501 - AW</v>
      </c>
      <c r="AT797" s="121" t="str">
        <f>IF('Cable Info'!P502="","",CONCATENATE('Cable Info'!P502," - ",'Cable Info'!Q502))</f>
        <v/>
      </c>
      <c r="AW797" s="121" t="str">
        <f t="shared" si="157"/>
        <v/>
      </c>
      <c r="AY797" s="121" t="str">
        <f>IF('Cable Info'!R502="","",CONCATENATE('Cable Info'!R502," - ",'Cable Info'!S502))</f>
        <v/>
      </c>
      <c r="BB797" s="121" t="str">
        <f t="shared" si="158"/>
        <v/>
      </c>
      <c r="BD797" s="121" t="str">
        <f>IF('Cable Info'!T502="","",CONCATENATE('Cable Info'!T502," - ",'Cable Info'!U502))</f>
        <v/>
      </c>
      <c r="BG797" s="121" t="str">
        <f t="shared" si="159"/>
        <v/>
      </c>
      <c r="BI797" s="121" t="str">
        <f>IF('Cable Info'!V502="","",CONCATENATE('Cable Info'!V502," - ",'Cable Info'!W502))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str">
        <f>IF('Cable Info'!L503="","",CONCATENATE('Cable Info'!L503," - ",'Cable Info'!M503))</f>
        <v>502 - AW</v>
      </c>
      <c r="AM798" s="121" t="str">
        <f t="shared" si="155"/>
        <v>502 - AW</v>
      </c>
      <c r="AO798" s="121" t="str">
        <f>IF('Cable Info'!N503="","",CONCATENATE('Cable Info'!N503," - ",'Cable Info'!O503))</f>
        <v>502 - AW</v>
      </c>
      <c r="AR798" s="121" t="str">
        <f t="shared" si="156"/>
        <v>502 - AW</v>
      </c>
      <c r="AT798" s="121" t="str">
        <f>IF('Cable Info'!P503="","",CONCATENATE('Cable Info'!P503," - ",'Cable Info'!Q503))</f>
        <v/>
      </c>
      <c r="AW798" s="121" t="str">
        <f t="shared" si="157"/>
        <v/>
      </c>
      <c r="AY798" s="121" t="str">
        <f>IF('Cable Info'!R503="","",CONCATENATE('Cable Info'!R503," - ",'Cable Info'!S503))</f>
        <v/>
      </c>
      <c r="BB798" s="121" t="str">
        <f t="shared" si="158"/>
        <v/>
      </c>
      <c r="BD798" s="121" t="str">
        <f>IF('Cable Info'!T503="","",CONCATENATE('Cable Info'!T503," - ",'Cable Info'!U503))</f>
        <v/>
      </c>
      <c r="BG798" s="121" t="str">
        <f t="shared" si="159"/>
        <v/>
      </c>
      <c r="BI798" s="121" t="str">
        <f>IF('Cable Info'!V503="","",CONCATENATE('Cable Info'!V503," - ",'Cable Info'!W503))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str">
        <f>IF('Cable Info'!L504="","",CONCATENATE('Cable Info'!L504," - ",'Cable Info'!M504))</f>
        <v>503 - AW</v>
      </c>
      <c r="AM799" s="121" t="str">
        <f t="shared" si="155"/>
        <v>503 - AW</v>
      </c>
      <c r="AO799" s="121" t="str">
        <f>IF('Cable Info'!N504="","",CONCATENATE('Cable Info'!N504," - ",'Cable Info'!O504))</f>
        <v>503 - AW</v>
      </c>
      <c r="AR799" s="121" t="str">
        <f t="shared" si="156"/>
        <v>503 - AW</v>
      </c>
      <c r="AT799" s="121" t="str">
        <f>IF('Cable Info'!P504="","",CONCATENATE('Cable Info'!P504," - ",'Cable Info'!Q504))</f>
        <v/>
      </c>
      <c r="AW799" s="121" t="str">
        <f t="shared" si="157"/>
        <v/>
      </c>
      <c r="AY799" s="121" t="str">
        <f>IF('Cable Info'!R504="","",CONCATENATE('Cable Info'!R504," - ",'Cable Info'!S504))</f>
        <v/>
      </c>
      <c r="BB799" s="121" t="str">
        <f t="shared" si="158"/>
        <v/>
      </c>
      <c r="BD799" s="121" t="str">
        <f>IF('Cable Info'!T504="","",CONCATENATE('Cable Info'!T504," - ",'Cable Info'!U504))</f>
        <v/>
      </c>
      <c r="BG799" s="121" t="str">
        <f t="shared" si="159"/>
        <v/>
      </c>
      <c r="BI799" s="121" t="str">
        <f>IF('Cable Info'!V504="","",CONCATENATE('Cable Info'!V504," - ",'Cable Info'!W504))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str">
        <f>IF('Cable Info'!L505="","",CONCATENATE('Cable Info'!L505," - ",'Cable Info'!M505))</f>
        <v>504 - AW</v>
      </c>
      <c r="AM800" s="121" t="str">
        <f t="shared" si="155"/>
        <v>504 - AW</v>
      </c>
      <c r="AO800" s="121" t="str">
        <f>IF('Cable Info'!N505="","",CONCATENATE('Cable Info'!N505," - ",'Cable Info'!O505))</f>
        <v>504 - AW</v>
      </c>
      <c r="AR800" s="121" t="str">
        <f t="shared" si="156"/>
        <v>504 - AW</v>
      </c>
      <c r="AT800" s="121" t="str">
        <f>IF('Cable Info'!P505="","",CONCATENATE('Cable Info'!P505," - ",'Cable Info'!Q505))</f>
        <v/>
      </c>
      <c r="AW800" s="121" t="str">
        <f t="shared" si="157"/>
        <v/>
      </c>
      <c r="AY800" s="121" t="str">
        <f>IF('Cable Info'!R505="","",CONCATENATE('Cable Info'!R505," - ",'Cable Info'!S505))</f>
        <v/>
      </c>
      <c r="BB800" s="121" t="str">
        <f t="shared" si="158"/>
        <v/>
      </c>
      <c r="BD800" s="121" t="str">
        <f>IF('Cable Info'!T505="","",CONCATENATE('Cable Info'!T505," - ",'Cable Info'!U505))</f>
        <v/>
      </c>
      <c r="BG800" s="121" t="str">
        <f t="shared" si="159"/>
        <v/>
      </c>
      <c r="BI800" s="121" t="str">
        <f>IF('Cable Info'!V505="","",CONCATENATE('Cable Info'!V505," - ",'Cable Info'!W505))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str">
        <f>IF('Cable Info'!L506="","",CONCATENATE('Cable Info'!L506," - ",'Cable Info'!M506))</f>
        <v>505 - AW</v>
      </c>
      <c r="AM801" s="121" t="str">
        <f t="shared" si="155"/>
        <v>505 - AW</v>
      </c>
      <c r="AO801" s="121" t="str">
        <f>IF('Cable Info'!N506="","",CONCATENATE('Cable Info'!N506," - ",'Cable Info'!O506))</f>
        <v>505 - AW</v>
      </c>
      <c r="AR801" s="121" t="str">
        <f t="shared" si="156"/>
        <v>505 - AW</v>
      </c>
      <c r="AT801" s="121" t="str">
        <f>IF('Cable Info'!P506="","",CONCATENATE('Cable Info'!P506," - ",'Cable Info'!Q506))</f>
        <v/>
      </c>
      <c r="AW801" s="121" t="str">
        <f t="shared" si="157"/>
        <v/>
      </c>
      <c r="AY801" s="121" t="str">
        <f>IF('Cable Info'!R506="","",CONCATENATE('Cable Info'!R506," - ",'Cable Info'!S506))</f>
        <v/>
      </c>
      <c r="BB801" s="121" t="str">
        <f t="shared" si="158"/>
        <v/>
      </c>
      <c r="BD801" s="121" t="str">
        <f>IF('Cable Info'!T506="","",CONCATENATE('Cable Info'!T506," - ",'Cable Info'!U506))</f>
        <v/>
      </c>
      <c r="BG801" s="121" t="str">
        <f t="shared" si="159"/>
        <v/>
      </c>
      <c r="BI801" s="121" t="str">
        <f>IF('Cable Info'!V506="","",CONCATENATE('Cable Info'!V506," - ",'Cable Info'!W506))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str">
        <f>IF('Cable Info'!L507="","",CONCATENATE('Cable Info'!L507," - ",'Cable Info'!M507))</f>
        <v>506 - AW</v>
      </c>
      <c r="AM802" s="121" t="str">
        <f t="shared" si="155"/>
        <v>506 - AW</v>
      </c>
      <c r="AO802" s="121" t="str">
        <f>IF('Cable Info'!N507="","",CONCATENATE('Cable Info'!N507," - ",'Cable Info'!O507))</f>
        <v>506 - AW</v>
      </c>
      <c r="AR802" s="121" t="str">
        <f t="shared" si="156"/>
        <v>506 - AW</v>
      </c>
      <c r="AT802" s="121" t="str">
        <f>IF('Cable Info'!P507="","",CONCATENATE('Cable Info'!P507," - ",'Cable Info'!Q507))</f>
        <v/>
      </c>
      <c r="AW802" s="121" t="str">
        <f t="shared" si="157"/>
        <v/>
      </c>
      <c r="AY802" s="121" t="str">
        <f>IF('Cable Info'!R507="","",CONCATENATE('Cable Info'!R507," - ",'Cable Info'!S507))</f>
        <v/>
      </c>
      <c r="BB802" s="121" t="str">
        <f t="shared" si="158"/>
        <v/>
      </c>
      <c r="BD802" s="121" t="str">
        <f>IF('Cable Info'!T507="","",CONCATENATE('Cable Info'!T507," - ",'Cable Info'!U507))</f>
        <v/>
      </c>
      <c r="BG802" s="121" t="str">
        <f t="shared" si="159"/>
        <v/>
      </c>
      <c r="BI802" s="121" t="str">
        <f>IF('Cable Info'!V507="","",CONCATENATE('Cable Info'!V507," - ",'Cable Info'!W507))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str">
        <f>IF('Cable Info'!L508="","",CONCATENATE('Cable Info'!L508," - ",'Cable Info'!M508))</f>
        <v>507 - AW</v>
      </c>
      <c r="AM803" s="121" t="str">
        <f t="shared" si="155"/>
        <v>507 - AW</v>
      </c>
      <c r="AO803" s="121" t="str">
        <f>IF('Cable Info'!N508="","",CONCATENATE('Cable Info'!N508," - ",'Cable Info'!O508))</f>
        <v>507 - AW</v>
      </c>
      <c r="AR803" s="121" t="str">
        <f t="shared" si="156"/>
        <v>507 - AW</v>
      </c>
      <c r="AT803" s="121" t="str">
        <f>IF('Cable Info'!P508="","",CONCATENATE('Cable Info'!P508," - ",'Cable Info'!Q508))</f>
        <v/>
      </c>
      <c r="AW803" s="121" t="str">
        <f t="shared" si="157"/>
        <v/>
      </c>
      <c r="AY803" s="121" t="str">
        <f>IF('Cable Info'!R508="","",CONCATENATE('Cable Info'!R508," - ",'Cable Info'!S508))</f>
        <v/>
      </c>
      <c r="BB803" s="121" t="str">
        <f t="shared" si="158"/>
        <v/>
      </c>
      <c r="BD803" s="121" t="str">
        <f>IF('Cable Info'!T508="","",CONCATENATE('Cable Info'!T508," - ",'Cable Info'!U508))</f>
        <v/>
      </c>
      <c r="BG803" s="121" t="str">
        <f t="shared" si="159"/>
        <v/>
      </c>
      <c r="BI803" s="121" t="str">
        <f>IF('Cable Info'!V508="","",CONCATENATE('Cable Info'!V508," - ",'Cable Info'!W508))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str">
        <f>IF('Cable Info'!L509="","",CONCATENATE('Cable Info'!L509," - ",'Cable Info'!M509))</f>
        <v>508 - AW</v>
      </c>
      <c r="AM804" s="121" t="str">
        <f t="shared" si="155"/>
        <v>508 - AW</v>
      </c>
      <c r="AO804" s="121" t="str">
        <f>IF('Cable Info'!N509="","",CONCATENATE('Cable Info'!N509," - ",'Cable Info'!O509))</f>
        <v>508 - AW</v>
      </c>
      <c r="AR804" s="121" t="str">
        <f t="shared" si="156"/>
        <v>508 - AW</v>
      </c>
      <c r="AT804" s="121" t="str">
        <f>IF('Cable Info'!P509="","",CONCATENATE('Cable Info'!P509," - ",'Cable Info'!Q509))</f>
        <v/>
      </c>
      <c r="AW804" s="121" t="str">
        <f t="shared" si="157"/>
        <v/>
      </c>
      <c r="AY804" s="121" t="str">
        <f>IF('Cable Info'!R509="","",CONCATENATE('Cable Info'!R509," - ",'Cable Info'!S509))</f>
        <v/>
      </c>
      <c r="BB804" s="121" t="str">
        <f t="shared" si="158"/>
        <v/>
      </c>
      <c r="BD804" s="121" t="str">
        <f>IF('Cable Info'!T509="","",CONCATENATE('Cable Info'!T509," - ",'Cable Info'!U509))</f>
        <v/>
      </c>
      <c r="BG804" s="121" t="str">
        <f t="shared" si="159"/>
        <v/>
      </c>
      <c r="BI804" s="121" t="str">
        <f>IF('Cable Info'!V509="","",CONCATENATE('Cable Info'!V509," - ",'Cable Info'!W509))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str">
        <f>IF('Cable Info'!L510="","",CONCATENATE('Cable Info'!L510," - ",'Cable Info'!M510))</f>
        <v>509 - AW</v>
      </c>
      <c r="AM805" s="121" t="str">
        <f t="shared" si="155"/>
        <v>509 - AW</v>
      </c>
      <c r="AO805" s="121" t="str">
        <f>IF('Cable Info'!N510="","",CONCATENATE('Cable Info'!N510," - ",'Cable Info'!O510))</f>
        <v>509 - AW</v>
      </c>
      <c r="AR805" s="121" t="str">
        <f t="shared" si="156"/>
        <v>509 - AW</v>
      </c>
      <c r="AT805" s="121" t="str">
        <f>IF('Cable Info'!P510="","",CONCATENATE('Cable Info'!P510," - ",'Cable Info'!Q510))</f>
        <v/>
      </c>
      <c r="AW805" s="121" t="str">
        <f t="shared" si="157"/>
        <v/>
      </c>
      <c r="AY805" s="121" t="str">
        <f>IF('Cable Info'!R510="","",CONCATENATE('Cable Info'!R510," - ",'Cable Info'!S510))</f>
        <v/>
      </c>
      <c r="BB805" s="121" t="str">
        <f t="shared" si="158"/>
        <v/>
      </c>
      <c r="BD805" s="121" t="str">
        <f>IF('Cable Info'!T510="","",CONCATENATE('Cable Info'!T510," - ",'Cable Info'!U510))</f>
        <v/>
      </c>
      <c r="BG805" s="121" t="str">
        <f t="shared" si="159"/>
        <v/>
      </c>
      <c r="BI805" s="121" t="str">
        <f>IF('Cable Info'!V510="","",CONCATENATE('Cable Info'!V510," - ",'Cable Info'!W510))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str">
        <f>IF('Cable Info'!L511="","",CONCATENATE('Cable Info'!L511," - ",'Cable Info'!M511))</f>
        <v>510 - AW</v>
      </c>
      <c r="AM806" s="121" t="str">
        <f t="shared" si="155"/>
        <v>510 - AW</v>
      </c>
      <c r="AO806" s="121" t="str">
        <f>IF('Cable Info'!N511="","",CONCATENATE('Cable Info'!N511," - ",'Cable Info'!O511))</f>
        <v>510 - AW</v>
      </c>
      <c r="AR806" s="121" t="str">
        <f t="shared" si="156"/>
        <v>510 - AW</v>
      </c>
      <c r="AT806" s="121" t="str">
        <f>IF('Cable Info'!P511="","",CONCATENATE('Cable Info'!P511," - ",'Cable Info'!Q511))</f>
        <v/>
      </c>
      <c r="AW806" s="121" t="str">
        <f t="shared" si="157"/>
        <v/>
      </c>
      <c r="AY806" s="121" t="str">
        <f>IF('Cable Info'!R511="","",CONCATENATE('Cable Info'!R511," - ",'Cable Info'!S511))</f>
        <v/>
      </c>
      <c r="BB806" s="121" t="str">
        <f t="shared" si="158"/>
        <v/>
      </c>
      <c r="BD806" s="121" t="str">
        <f>IF('Cable Info'!T511="","",CONCATENATE('Cable Info'!T511," - ",'Cable Info'!U511))</f>
        <v/>
      </c>
      <c r="BG806" s="121" t="str">
        <f t="shared" si="159"/>
        <v/>
      </c>
      <c r="BI806" s="121" t="str">
        <f>IF('Cable Info'!V511="","",CONCATENATE('Cable Info'!V511," - ",'Cable Info'!W511))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str">
        <f>IF('Cable Info'!L512="","",CONCATENATE('Cable Info'!L512," - ",'Cable Info'!M512))</f>
        <v>511 - AW</v>
      </c>
      <c r="AM807" s="121" t="str">
        <f t="shared" si="155"/>
        <v>511 - AW</v>
      </c>
      <c r="AO807" s="121" t="str">
        <f>IF('Cable Info'!N512="","",CONCATENATE('Cable Info'!N512," - ",'Cable Info'!O512))</f>
        <v>511 - AW</v>
      </c>
      <c r="AR807" s="121" t="str">
        <f t="shared" si="156"/>
        <v>511 - AW</v>
      </c>
      <c r="AT807" s="121" t="str">
        <f>IF('Cable Info'!P512="","",CONCATENATE('Cable Info'!P512," - ",'Cable Info'!Q512))</f>
        <v/>
      </c>
      <c r="AW807" s="121" t="str">
        <f t="shared" si="157"/>
        <v/>
      </c>
      <c r="AY807" s="121" t="str">
        <f>IF('Cable Info'!R512="","",CONCATENATE('Cable Info'!R512," - ",'Cable Info'!S512))</f>
        <v/>
      </c>
      <c r="BB807" s="121" t="str">
        <f t="shared" si="158"/>
        <v/>
      </c>
      <c r="BD807" s="121" t="str">
        <f>IF('Cable Info'!T512="","",CONCATENATE('Cable Info'!T512," - ",'Cable Info'!U512))</f>
        <v/>
      </c>
      <c r="BG807" s="121" t="str">
        <f t="shared" si="159"/>
        <v/>
      </c>
      <c r="BI807" s="121" t="str">
        <f>IF('Cable Info'!V512="","",CONCATENATE('Cable Info'!V512," - ",'Cable Info'!W512))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str">
        <f>IF('Cable Info'!L513="","",CONCATENATE('Cable Info'!L513," - ",'Cable Info'!M513))</f>
        <v>512 - AW</v>
      </c>
      <c r="AM808" s="121" t="str">
        <f t="shared" si="155"/>
        <v>512 - AW</v>
      </c>
      <c r="AO808" s="121" t="str">
        <f>IF('Cable Info'!N513="","",CONCATENATE('Cable Info'!N513," - ",'Cable Info'!O513))</f>
        <v>512 - AW</v>
      </c>
      <c r="AR808" s="121" t="str">
        <f t="shared" si="156"/>
        <v>512 - AW</v>
      </c>
      <c r="AT808" s="121" t="str">
        <f>IF('Cable Info'!P513="","",CONCATENATE('Cable Info'!P513," - ",'Cable Info'!Q513))</f>
        <v/>
      </c>
      <c r="AW808" s="121" t="str">
        <f t="shared" si="157"/>
        <v/>
      </c>
      <c r="AY808" s="121" t="str">
        <f>IF('Cable Info'!R513="","",CONCATENATE('Cable Info'!R513," - ",'Cable Info'!S513))</f>
        <v/>
      </c>
      <c r="BB808" s="121" t="str">
        <f t="shared" si="158"/>
        <v/>
      </c>
      <c r="BD808" s="121" t="str">
        <f>IF('Cable Info'!T513="","",CONCATENATE('Cable Info'!T513," - ",'Cable Info'!U513))</f>
        <v/>
      </c>
      <c r="BG808" s="121" t="str">
        <f t="shared" si="159"/>
        <v/>
      </c>
      <c r="BI808" s="121" t="str">
        <f>IF('Cable Info'!V513="","",CONCATENATE('Cable Info'!V513," - ",'Cable Info'!W513))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str">
        <f>IF('Cable Info'!L514="","",CONCATENATE('Cable Info'!L514," - ",'Cable Info'!M514))</f>
        <v>513 - AW</v>
      </c>
      <c r="AM809" s="121" t="str">
        <f t="shared" si="155"/>
        <v>513 - AW</v>
      </c>
      <c r="AO809" s="121" t="str">
        <f>IF('Cable Info'!N514="","",CONCATENATE('Cable Info'!N514," - ",'Cable Info'!O514))</f>
        <v>513 - AW</v>
      </c>
      <c r="AR809" s="121" t="str">
        <f t="shared" si="156"/>
        <v>513 - AW</v>
      </c>
      <c r="AT809" s="121" t="str">
        <f>IF('Cable Info'!P514="","",CONCATENATE('Cable Info'!P514," - ",'Cable Info'!Q514))</f>
        <v/>
      </c>
      <c r="AW809" s="121" t="str">
        <f t="shared" si="157"/>
        <v/>
      </c>
      <c r="AY809" s="121" t="str">
        <f>IF('Cable Info'!R514="","",CONCATENATE('Cable Info'!R514," - ",'Cable Info'!S514))</f>
        <v/>
      </c>
      <c r="BB809" s="121" t="str">
        <f t="shared" si="158"/>
        <v/>
      </c>
      <c r="BD809" s="121" t="str">
        <f>IF('Cable Info'!T514="","",CONCATENATE('Cable Info'!T514," - ",'Cable Info'!U514))</f>
        <v/>
      </c>
      <c r="BG809" s="121" t="str">
        <f t="shared" si="159"/>
        <v/>
      </c>
      <c r="BI809" s="121" t="str">
        <f>IF('Cable Info'!V514="","",CONCATENATE('Cable Info'!V514," - ",'Cable Info'!W514))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str">
        <f>IF('Cable Info'!L515="","",CONCATENATE('Cable Info'!L515," - ",'Cable Info'!M515))</f>
        <v>514 - AW</v>
      </c>
      <c r="AM810" s="121" t="str">
        <f t="shared" ref="AM810:AM873" si="161">IF(AK810="",AJ810,CONCATENATE(AJ810,"  &lt;=&gt; ",AK810," ",AL810))</f>
        <v>514 - AW</v>
      </c>
      <c r="AO810" s="121" t="str">
        <f>IF('Cable Info'!N515="","",CONCATENATE('Cable Info'!N515," - ",'Cable Info'!O515))</f>
        <v>514 - AW</v>
      </c>
      <c r="AR810" s="121" t="str">
        <f t="shared" ref="AR810:AR873" si="162">IF(AP810="",AO810,CONCATENATE(AO810,"  &lt;=&gt; ",AP810," ",AQ810))</f>
        <v>514 - AW</v>
      </c>
      <c r="AT810" s="121" t="str">
        <f>IF('Cable Info'!P515="","",CONCATENATE('Cable Info'!P515," - ",'Cable Info'!Q515))</f>
        <v/>
      </c>
      <c r="AW810" s="121" t="str">
        <f t="shared" ref="AW810:AW873" si="163">IF(AU810="",AT810,CONCATENATE(AT810,"  &lt;=&gt; ",AU810," ",AV810))</f>
        <v/>
      </c>
      <c r="AY810" s="121" t="str">
        <f>IF('Cable Info'!R515="","",CONCATENATE('Cable Info'!R515," - ",'Cable Info'!S515))</f>
        <v/>
      </c>
      <c r="BB810" s="121" t="str">
        <f t="shared" ref="BB810:BB873" si="164">IF(AZ810="",AY810,CONCATENATE(AY810,"  &lt;=&gt; ",AZ810," ",BA810))</f>
        <v/>
      </c>
      <c r="BD810" s="121" t="str">
        <f>IF('Cable Info'!T515="","",CONCATENATE('Cable Info'!T515," - ",'Cable Info'!U515))</f>
        <v/>
      </c>
      <c r="BG810" s="121" t="str">
        <f t="shared" ref="BG810:BG873" si="165">IF(BE810="",BD810,CONCATENATE(BD810,"  &lt;=&gt; ",BE810," ",BF810))</f>
        <v/>
      </c>
      <c r="BI810" s="121" t="str">
        <f>IF('Cable Info'!V515="","",CONCATENATE('Cable Info'!V515," - ",'Cable Info'!W515))</f>
        <v/>
      </c>
      <c r="BL810" s="121" t="str">
        <f t="shared" ref="BL810:BL873" si="166">IF(BJ810="",BI810,CONCATENATE(BI810,"  &lt;=&gt; ",BJ810," ",BK810))</f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str">
        <f>IF('Cable Info'!L516="","",CONCATENATE('Cable Info'!L516," - ",'Cable Info'!M516))</f>
        <v>515 - AW</v>
      </c>
      <c r="AM811" s="121" t="str">
        <f t="shared" si="161"/>
        <v>515 - AW</v>
      </c>
      <c r="AO811" s="121" t="str">
        <f>IF('Cable Info'!N516="","",CONCATENATE('Cable Info'!N516," - ",'Cable Info'!O516))</f>
        <v>515 - AW</v>
      </c>
      <c r="AR811" s="121" t="str">
        <f t="shared" si="162"/>
        <v>515 - AW</v>
      </c>
      <c r="AT811" s="121" t="str">
        <f>IF('Cable Info'!P516="","",CONCATENATE('Cable Info'!P516," - ",'Cable Info'!Q516))</f>
        <v/>
      </c>
      <c r="AW811" s="121" t="str">
        <f t="shared" si="163"/>
        <v/>
      </c>
      <c r="AY811" s="121" t="str">
        <f>IF('Cable Info'!R516="","",CONCATENATE('Cable Info'!R516," - ",'Cable Info'!S516))</f>
        <v/>
      </c>
      <c r="BB811" s="121" t="str">
        <f t="shared" si="164"/>
        <v/>
      </c>
      <c r="BD811" s="121" t="str">
        <f>IF('Cable Info'!T516="","",CONCATENATE('Cable Info'!T516," - ",'Cable Info'!U516))</f>
        <v/>
      </c>
      <c r="BG811" s="121" t="str">
        <f t="shared" si="165"/>
        <v/>
      </c>
      <c r="BI811" s="121" t="str">
        <f>IF('Cable Info'!V516="","",CONCATENATE('Cable Info'!V516," - ",'Cable Info'!W516))</f>
        <v/>
      </c>
      <c r="BL811" s="121" t="str">
        <f t="shared" si="166"/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str">
        <f>IF('Cable Info'!L517="","",CONCATENATE('Cable Info'!L517," - ",'Cable Info'!M517))</f>
        <v>516 - AW</v>
      </c>
      <c r="AM812" s="121" t="str">
        <f t="shared" si="161"/>
        <v>516 - AW</v>
      </c>
      <c r="AO812" s="121" t="str">
        <f>IF('Cable Info'!N517="","",CONCATENATE('Cable Info'!N517," - ",'Cable Info'!O517))</f>
        <v>516 - AW</v>
      </c>
      <c r="AR812" s="121" t="str">
        <f t="shared" si="162"/>
        <v>516 - AW</v>
      </c>
      <c r="AT812" s="121" t="str">
        <f>IF('Cable Info'!P517="","",CONCATENATE('Cable Info'!P517," - ",'Cable Info'!Q517))</f>
        <v/>
      </c>
      <c r="AW812" s="121" t="str">
        <f t="shared" si="163"/>
        <v/>
      </c>
      <c r="AY812" s="121" t="str">
        <f>IF('Cable Info'!R517="","",CONCATENATE('Cable Info'!R517," - ",'Cable Info'!S517))</f>
        <v/>
      </c>
      <c r="BB812" s="121" t="str">
        <f t="shared" si="164"/>
        <v/>
      </c>
      <c r="BD812" s="121" t="str">
        <f>IF('Cable Info'!T517="","",CONCATENATE('Cable Info'!T517," - ",'Cable Info'!U517))</f>
        <v/>
      </c>
      <c r="BG812" s="121" t="str">
        <f t="shared" si="165"/>
        <v/>
      </c>
      <c r="BI812" s="121" t="str">
        <f>IF('Cable Info'!V517="","",CONCATENATE('Cable Info'!V517," - ",'Cable Info'!W517))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str">
        <f>IF('Cable Info'!L518="","",CONCATENATE('Cable Info'!L518," - ",'Cable Info'!M518))</f>
        <v>517 - AW</v>
      </c>
      <c r="AM813" s="121" t="str">
        <f t="shared" si="161"/>
        <v>517 - AW</v>
      </c>
      <c r="AO813" s="121" t="str">
        <f>IF('Cable Info'!N518="","",CONCATENATE('Cable Info'!N518," - ",'Cable Info'!O518))</f>
        <v>517 - AW</v>
      </c>
      <c r="AR813" s="121" t="str">
        <f t="shared" si="162"/>
        <v>517 - AW</v>
      </c>
      <c r="AT813" s="121" t="str">
        <f>IF('Cable Info'!P518="","",CONCATENATE('Cable Info'!P518," - ",'Cable Info'!Q518))</f>
        <v/>
      </c>
      <c r="AW813" s="121" t="str">
        <f t="shared" si="163"/>
        <v/>
      </c>
      <c r="AY813" s="121" t="str">
        <f>IF('Cable Info'!R518="","",CONCATENATE('Cable Info'!R518," - ",'Cable Info'!S518))</f>
        <v/>
      </c>
      <c r="BB813" s="121" t="str">
        <f t="shared" si="164"/>
        <v/>
      </c>
      <c r="BD813" s="121" t="str">
        <f>IF('Cable Info'!T518="","",CONCATENATE('Cable Info'!T518," - ",'Cable Info'!U518))</f>
        <v/>
      </c>
      <c r="BG813" s="121" t="str">
        <f t="shared" si="165"/>
        <v/>
      </c>
      <c r="BI813" s="121" t="str">
        <f>IF('Cable Info'!V518="","",CONCATENATE('Cable Info'!V518," - ",'Cable Info'!W518))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str">
        <f>IF('Cable Info'!L519="","",CONCATENATE('Cable Info'!L519," - ",'Cable Info'!M519))</f>
        <v>518 - AW</v>
      </c>
      <c r="AM814" s="121" t="str">
        <f t="shared" si="161"/>
        <v>518 - AW</v>
      </c>
      <c r="AO814" s="121" t="str">
        <f>IF('Cable Info'!N519="","",CONCATENATE('Cable Info'!N519," - ",'Cable Info'!O519))</f>
        <v>518 - AW</v>
      </c>
      <c r="AR814" s="121" t="str">
        <f t="shared" si="162"/>
        <v>518 - AW</v>
      </c>
      <c r="AT814" s="121" t="str">
        <f>IF('Cable Info'!P519="","",CONCATENATE('Cable Info'!P519," - ",'Cable Info'!Q519))</f>
        <v/>
      </c>
      <c r="AW814" s="121" t="str">
        <f t="shared" si="163"/>
        <v/>
      </c>
      <c r="AY814" s="121" t="str">
        <f>IF('Cable Info'!R519="","",CONCATENATE('Cable Info'!R519," - ",'Cable Info'!S519))</f>
        <v/>
      </c>
      <c r="BB814" s="121" t="str">
        <f t="shared" si="164"/>
        <v/>
      </c>
      <c r="BD814" s="121" t="str">
        <f>IF('Cable Info'!T519="","",CONCATENATE('Cable Info'!T519," - ",'Cable Info'!U519))</f>
        <v/>
      </c>
      <c r="BG814" s="121" t="str">
        <f t="shared" si="165"/>
        <v/>
      </c>
      <c r="BI814" s="121" t="str">
        <f>IF('Cable Info'!V519="","",CONCATENATE('Cable Info'!V519," - ",'Cable Info'!W519))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str">
        <f>IF('Cable Info'!L520="","",CONCATENATE('Cable Info'!L520," - ",'Cable Info'!M520))</f>
        <v>519 - AW</v>
      </c>
      <c r="AM815" s="121" t="str">
        <f t="shared" si="161"/>
        <v>519 - AW</v>
      </c>
      <c r="AO815" s="121" t="str">
        <f>IF('Cable Info'!N520="","",CONCATENATE('Cable Info'!N520," - ",'Cable Info'!O520))</f>
        <v>519 - AW</v>
      </c>
      <c r="AR815" s="121" t="str">
        <f t="shared" si="162"/>
        <v>519 - AW</v>
      </c>
      <c r="AT815" s="121" t="str">
        <f>IF('Cable Info'!P520="","",CONCATENATE('Cable Info'!P520," - ",'Cable Info'!Q520))</f>
        <v/>
      </c>
      <c r="AW815" s="121" t="str">
        <f t="shared" si="163"/>
        <v/>
      </c>
      <c r="AY815" s="121" t="str">
        <f>IF('Cable Info'!R520="","",CONCATENATE('Cable Info'!R520," - ",'Cable Info'!S520))</f>
        <v/>
      </c>
      <c r="BB815" s="121" t="str">
        <f t="shared" si="164"/>
        <v/>
      </c>
      <c r="BD815" s="121" t="str">
        <f>IF('Cable Info'!T520="","",CONCATENATE('Cable Info'!T520," - ",'Cable Info'!U520))</f>
        <v/>
      </c>
      <c r="BG815" s="121" t="str">
        <f t="shared" si="165"/>
        <v/>
      </c>
      <c r="BI815" s="121" t="str">
        <f>IF('Cable Info'!V520="","",CONCATENATE('Cable Info'!V520," - ",'Cable Info'!W520))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str">
        <f>IF('Cable Info'!L521="","",CONCATENATE('Cable Info'!L521," - ",'Cable Info'!M521))</f>
        <v>520 - AW</v>
      </c>
      <c r="AM816" s="121" t="str">
        <f t="shared" si="161"/>
        <v>520 - AW</v>
      </c>
      <c r="AO816" s="121" t="str">
        <f>IF('Cable Info'!N521="","",CONCATENATE('Cable Info'!N521," - ",'Cable Info'!O521))</f>
        <v>520 - AW</v>
      </c>
      <c r="AR816" s="121" t="str">
        <f t="shared" si="162"/>
        <v>520 - AW</v>
      </c>
      <c r="AT816" s="121" t="str">
        <f>IF('Cable Info'!P521="","",CONCATENATE('Cable Info'!P521," - ",'Cable Info'!Q521))</f>
        <v/>
      </c>
      <c r="AW816" s="121" t="str">
        <f t="shared" si="163"/>
        <v/>
      </c>
      <c r="AY816" s="121" t="str">
        <f>IF('Cable Info'!R521="","",CONCATENATE('Cable Info'!R521," - ",'Cable Info'!S521))</f>
        <v/>
      </c>
      <c r="BB816" s="121" t="str">
        <f t="shared" si="164"/>
        <v/>
      </c>
      <c r="BD816" s="121" t="str">
        <f>IF('Cable Info'!T521="","",CONCATENATE('Cable Info'!T521," - ",'Cable Info'!U521))</f>
        <v/>
      </c>
      <c r="BG816" s="121" t="str">
        <f t="shared" si="165"/>
        <v/>
      </c>
      <c r="BI816" s="121" t="str">
        <f>IF('Cable Info'!V521="","",CONCATENATE('Cable Info'!V521," - ",'Cable Info'!W521))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str">
        <f>IF('Cable Info'!L522="","",CONCATENATE('Cable Info'!L522," - ",'Cable Info'!M522))</f>
        <v>521 - AW</v>
      </c>
      <c r="AM817" s="121" t="str">
        <f t="shared" si="161"/>
        <v>521 - AW</v>
      </c>
      <c r="AO817" s="121" t="str">
        <f>IF('Cable Info'!N522="","",CONCATENATE('Cable Info'!N522," - ",'Cable Info'!O522))</f>
        <v>521 - AW</v>
      </c>
      <c r="AR817" s="121" t="str">
        <f t="shared" si="162"/>
        <v>521 - AW</v>
      </c>
      <c r="AT817" s="121" t="str">
        <f>IF('Cable Info'!P522="","",CONCATENATE('Cable Info'!P522," - ",'Cable Info'!Q522))</f>
        <v/>
      </c>
      <c r="AW817" s="121" t="str">
        <f t="shared" si="163"/>
        <v/>
      </c>
      <c r="AY817" s="121" t="str">
        <f>IF('Cable Info'!R522="","",CONCATENATE('Cable Info'!R522," - ",'Cable Info'!S522))</f>
        <v/>
      </c>
      <c r="BB817" s="121" t="str">
        <f t="shared" si="164"/>
        <v/>
      </c>
      <c r="BD817" s="121" t="str">
        <f>IF('Cable Info'!T522="","",CONCATENATE('Cable Info'!T522," - ",'Cable Info'!U522))</f>
        <v/>
      </c>
      <c r="BG817" s="121" t="str">
        <f t="shared" si="165"/>
        <v/>
      </c>
      <c r="BI817" s="121" t="str">
        <f>IF('Cable Info'!V522="","",CONCATENATE('Cable Info'!V522," - ",'Cable Info'!W522))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str">
        <f>IF('Cable Info'!L523="","",CONCATENATE('Cable Info'!L523," - ",'Cable Info'!M523))</f>
        <v>522 - AW</v>
      </c>
      <c r="AM818" s="121" t="str">
        <f t="shared" si="161"/>
        <v>522 - AW</v>
      </c>
      <c r="AO818" s="121" t="str">
        <f>IF('Cable Info'!N523="","",CONCATENATE('Cable Info'!N523," - ",'Cable Info'!O523))</f>
        <v>522 - AW</v>
      </c>
      <c r="AR818" s="121" t="str">
        <f t="shared" si="162"/>
        <v>522 - AW</v>
      </c>
      <c r="AT818" s="121" t="str">
        <f>IF('Cable Info'!P523="","",CONCATENATE('Cable Info'!P523," - ",'Cable Info'!Q523))</f>
        <v/>
      </c>
      <c r="AW818" s="121" t="str">
        <f t="shared" si="163"/>
        <v/>
      </c>
      <c r="AY818" s="121" t="str">
        <f>IF('Cable Info'!R523="","",CONCATENATE('Cable Info'!R523," - ",'Cable Info'!S523))</f>
        <v/>
      </c>
      <c r="BB818" s="121" t="str">
        <f t="shared" si="164"/>
        <v/>
      </c>
      <c r="BD818" s="121" t="str">
        <f>IF('Cable Info'!T523="","",CONCATENATE('Cable Info'!T523," - ",'Cable Info'!U523))</f>
        <v/>
      </c>
      <c r="BG818" s="121" t="str">
        <f t="shared" si="165"/>
        <v/>
      </c>
      <c r="BI818" s="121" t="str">
        <f>IF('Cable Info'!V523="","",CONCATENATE('Cable Info'!V523," - ",'Cable Info'!W523))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str">
        <f>IF('Cable Info'!L524="","",CONCATENATE('Cable Info'!L524," - ",'Cable Info'!M524))</f>
        <v>523 - AW</v>
      </c>
      <c r="AM819" s="121" t="str">
        <f t="shared" si="161"/>
        <v>523 - AW</v>
      </c>
      <c r="AO819" s="121" t="str">
        <f>IF('Cable Info'!N524="","",CONCATENATE('Cable Info'!N524," - ",'Cable Info'!O524))</f>
        <v>523 - AW</v>
      </c>
      <c r="AR819" s="121" t="str">
        <f t="shared" si="162"/>
        <v>523 - AW</v>
      </c>
      <c r="AT819" s="121" t="str">
        <f>IF('Cable Info'!P524="","",CONCATENATE('Cable Info'!P524," - ",'Cable Info'!Q524))</f>
        <v/>
      </c>
      <c r="AW819" s="121" t="str">
        <f t="shared" si="163"/>
        <v/>
      </c>
      <c r="AY819" s="121" t="str">
        <f>IF('Cable Info'!R524="","",CONCATENATE('Cable Info'!R524," - ",'Cable Info'!S524))</f>
        <v/>
      </c>
      <c r="BB819" s="121" t="str">
        <f t="shared" si="164"/>
        <v/>
      </c>
      <c r="BD819" s="121" t="str">
        <f>IF('Cable Info'!T524="","",CONCATENATE('Cable Info'!T524," - ",'Cable Info'!U524))</f>
        <v/>
      </c>
      <c r="BG819" s="121" t="str">
        <f t="shared" si="165"/>
        <v/>
      </c>
      <c r="BI819" s="121" t="str">
        <f>IF('Cable Info'!V524="","",CONCATENATE('Cable Info'!V524," - ",'Cable Info'!W524))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str">
        <f>IF('Cable Info'!L525="","",CONCATENATE('Cable Info'!L525," - ",'Cable Info'!M525))</f>
        <v>524 - AW</v>
      </c>
      <c r="AM820" s="121" t="str">
        <f t="shared" si="161"/>
        <v>524 - AW</v>
      </c>
      <c r="AO820" s="121" t="str">
        <f>IF('Cable Info'!N525="","",CONCATENATE('Cable Info'!N525," - ",'Cable Info'!O525))</f>
        <v>524 - AW</v>
      </c>
      <c r="AR820" s="121" t="str">
        <f t="shared" si="162"/>
        <v>524 - AW</v>
      </c>
      <c r="AT820" s="121" t="str">
        <f>IF('Cable Info'!P525="","",CONCATENATE('Cable Info'!P525," - ",'Cable Info'!Q525))</f>
        <v/>
      </c>
      <c r="AW820" s="121" t="str">
        <f t="shared" si="163"/>
        <v/>
      </c>
      <c r="AY820" s="121" t="str">
        <f>IF('Cable Info'!R525="","",CONCATENATE('Cable Info'!R525," - ",'Cable Info'!S525))</f>
        <v/>
      </c>
      <c r="BB820" s="121" t="str">
        <f t="shared" si="164"/>
        <v/>
      </c>
      <c r="BD820" s="121" t="str">
        <f>IF('Cable Info'!T525="","",CONCATENATE('Cable Info'!T525," - ",'Cable Info'!U525))</f>
        <v/>
      </c>
      <c r="BG820" s="121" t="str">
        <f t="shared" si="165"/>
        <v/>
      </c>
      <c r="BI820" s="121" t="str">
        <f>IF('Cable Info'!V525="","",CONCATENATE('Cable Info'!V525," - ",'Cable Info'!W525))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str">
        <f>IF('Cable Info'!L526="","",CONCATENATE('Cable Info'!L526," - ",'Cable Info'!M526))</f>
        <v>525 - AW</v>
      </c>
      <c r="AM821" s="121" t="str">
        <f t="shared" si="161"/>
        <v>525 - AW</v>
      </c>
      <c r="AO821" s="121" t="str">
        <f>IF('Cable Info'!N526="","",CONCATENATE('Cable Info'!N526," - ",'Cable Info'!O526))</f>
        <v>525 - AW</v>
      </c>
      <c r="AR821" s="121" t="str">
        <f t="shared" si="162"/>
        <v>525 - AW</v>
      </c>
      <c r="AT821" s="121" t="str">
        <f>IF('Cable Info'!P526="","",CONCATENATE('Cable Info'!P526," - ",'Cable Info'!Q526))</f>
        <v/>
      </c>
      <c r="AW821" s="121" t="str">
        <f t="shared" si="163"/>
        <v/>
      </c>
      <c r="AY821" s="121" t="str">
        <f>IF('Cable Info'!R526="","",CONCATENATE('Cable Info'!R526," - ",'Cable Info'!S526))</f>
        <v/>
      </c>
      <c r="BB821" s="121" t="str">
        <f t="shared" si="164"/>
        <v/>
      </c>
      <c r="BD821" s="121" t="str">
        <f>IF('Cable Info'!T526="","",CONCATENATE('Cable Info'!T526," - ",'Cable Info'!U526))</f>
        <v/>
      </c>
      <c r="BG821" s="121" t="str">
        <f t="shared" si="165"/>
        <v/>
      </c>
      <c r="BI821" s="121" t="str">
        <f>IF('Cable Info'!V526="","",CONCATENATE('Cable Info'!V526," - ",'Cable Info'!W526))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str">
        <f>IF('Cable Info'!L527="","",CONCATENATE('Cable Info'!L527," - ",'Cable Info'!M527))</f>
        <v>526 - AW</v>
      </c>
      <c r="AM822" s="121" t="str">
        <f t="shared" si="161"/>
        <v>526 - AW</v>
      </c>
      <c r="AO822" s="121" t="str">
        <f>IF('Cable Info'!N527="","",CONCATENATE('Cable Info'!N527," - ",'Cable Info'!O527))</f>
        <v>526 - AW</v>
      </c>
      <c r="AR822" s="121" t="str">
        <f t="shared" si="162"/>
        <v>526 - AW</v>
      </c>
      <c r="AT822" s="121" t="str">
        <f>IF('Cable Info'!P527="","",CONCATENATE('Cable Info'!P527," - ",'Cable Info'!Q527))</f>
        <v/>
      </c>
      <c r="AW822" s="121" t="str">
        <f t="shared" si="163"/>
        <v/>
      </c>
      <c r="AY822" s="121" t="str">
        <f>IF('Cable Info'!R527="","",CONCATENATE('Cable Info'!R527," - ",'Cable Info'!S527))</f>
        <v/>
      </c>
      <c r="BB822" s="121" t="str">
        <f t="shared" si="164"/>
        <v/>
      </c>
      <c r="BD822" s="121" t="str">
        <f>IF('Cable Info'!T527="","",CONCATENATE('Cable Info'!T527," - ",'Cable Info'!U527))</f>
        <v/>
      </c>
      <c r="BG822" s="121" t="str">
        <f t="shared" si="165"/>
        <v/>
      </c>
      <c r="BI822" s="121" t="str">
        <f>IF('Cable Info'!V527="","",CONCATENATE('Cable Info'!V527," - ",'Cable Info'!W527))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str">
        <f>IF('Cable Info'!L528="","",CONCATENATE('Cable Info'!L528," - ",'Cable Info'!M528))</f>
        <v>527 - AW</v>
      </c>
      <c r="AM823" s="121" t="str">
        <f t="shared" si="161"/>
        <v>527 - AW</v>
      </c>
      <c r="AO823" s="121" t="str">
        <f>IF('Cable Info'!N528="","",CONCATENATE('Cable Info'!N528," - ",'Cable Info'!O528))</f>
        <v>527 - AW</v>
      </c>
      <c r="AR823" s="121" t="str">
        <f t="shared" si="162"/>
        <v>527 - AW</v>
      </c>
      <c r="AT823" s="121" t="str">
        <f>IF('Cable Info'!P528="","",CONCATENATE('Cable Info'!P528," - ",'Cable Info'!Q528))</f>
        <v/>
      </c>
      <c r="AW823" s="121" t="str">
        <f t="shared" si="163"/>
        <v/>
      </c>
      <c r="AY823" s="121" t="str">
        <f>IF('Cable Info'!R528="","",CONCATENATE('Cable Info'!R528," - ",'Cable Info'!S528))</f>
        <v/>
      </c>
      <c r="BB823" s="121" t="str">
        <f t="shared" si="164"/>
        <v/>
      </c>
      <c r="BD823" s="121" t="str">
        <f>IF('Cable Info'!T528="","",CONCATENATE('Cable Info'!T528," - ",'Cable Info'!U528))</f>
        <v/>
      </c>
      <c r="BG823" s="121" t="str">
        <f t="shared" si="165"/>
        <v/>
      </c>
      <c r="BI823" s="121" t="str">
        <f>IF('Cable Info'!V528="","",CONCATENATE('Cable Info'!V528," - ",'Cable Info'!W528))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str">
        <f>IF('Cable Info'!L529="","",CONCATENATE('Cable Info'!L529," - ",'Cable Info'!M529))</f>
        <v>528 - AW</v>
      </c>
      <c r="AM824" s="121" t="str">
        <f t="shared" si="161"/>
        <v>528 - AW</v>
      </c>
      <c r="AO824" s="121" t="str">
        <f>IF('Cable Info'!N529="","",CONCATENATE('Cable Info'!N529," - ",'Cable Info'!O529))</f>
        <v>528 - AW</v>
      </c>
      <c r="AR824" s="121" t="str">
        <f t="shared" si="162"/>
        <v>528 - AW</v>
      </c>
      <c r="AT824" s="121" t="str">
        <f>IF('Cable Info'!P529="","",CONCATENATE('Cable Info'!P529," - ",'Cable Info'!Q529))</f>
        <v/>
      </c>
      <c r="AW824" s="121" t="str">
        <f t="shared" si="163"/>
        <v/>
      </c>
      <c r="AY824" s="121" t="str">
        <f>IF('Cable Info'!R529="","",CONCATENATE('Cable Info'!R529," - ",'Cable Info'!S529))</f>
        <v/>
      </c>
      <c r="BB824" s="121" t="str">
        <f t="shared" si="164"/>
        <v/>
      </c>
      <c r="BD824" s="121" t="str">
        <f>IF('Cable Info'!T529="","",CONCATENATE('Cable Info'!T529," - ",'Cable Info'!U529))</f>
        <v/>
      </c>
      <c r="BG824" s="121" t="str">
        <f t="shared" si="165"/>
        <v/>
      </c>
      <c r="BI824" s="121" t="str">
        <f>IF('Cable Info'!V529="","",CONCATENATE('Cable Info'!V529," - ",'Cable Info'!W529))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str">
        <f>IF('Cable Info'!L530="","",CONCATENATE('Cable Info'!L530," - ",'Cable Info'!M530))</f>
        <v>529 - AW</v>
      </c>
      <c r="AM825" s="121" t="str">
        <f t="shared" si="161"/>
        <v>529 - AW</v>
      </c>
      <c r="AO825" s="121" t="str">
        <f>IF('Cable Info'!N530="","",CONCATENATE('Cable Info'!N530," - ",'Cable Info'!O530))</f>
        <v>529 - AW</v>
      </c>
      <c r="AR825" s="121" t="str">
        <f t="shared" si="162"/>
        <v>529 - AW</v>
      </c>
      <c r="AT825" s="121" t="str">
        <f>IF('Cable Info'!P530="","",CONCATENATE('Cable Info'!P530," - ",'Cable Info'!Q530))</f>
        <v/>
      </c>
      <c r="AW825" s="121" t="str">
        <f t="shared" si="163"/>
        <v/>
      </c>
      <c r="AY825" s="121" t="str">
        <f>IF('Cable Info'!R530="","",CONCATENATE('Cable Info'!R530," - ",'Cable Info'!S530))</f>
        <v/>
      </c>
      <c r="BB825" s="121" t="str">
        <f t="shared" si="164"/>
        <v/>
      </c>
      <c r="BD825" s="121" t="str">
        <f>IF('Cable Info'!T530="","",CONCATENATE('Cable Info'!T530," - ",'Cable Info'!U530))</f>
        <v/>
      </c>
      <c r="BG825" s="121" t="str">
        <f t="shared" si="165"/>
        <v/>
      </c>
      <c r="BI825" s="121" t="str">
        <f>IF('Cable Info'!V530="","",CONCATENATE('Cable Info'!V530," - ",'Cable Info'!W530))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str">
        <f>IF('Cable Info'!L531="","",CONCATENATE('Cable Info'!L531," - ",'Cable Info'!M531))</f>
        <v>530 - AW</v>
      </c>
      <c r="AM826" s="121" t="str">
        <f t="shared" si="161"/>
        <v>530 - AW</v>
      </c>
      <c r="AO826" s="121" t="str">
        <f>IF('Cable Info'!N531="","",CONCATENATE('Cable Info'!N531," - ",'Cable Info'!O531))</f>
        <v>530 - AW</v>
      </c>
      <c r="AR826" s="121" t="str">
        <f t="shared" si="162"/>
        <v>530 - AW</v>
      </c>
      <c r="AT826" s="121" t="str">
        <f>IF('Cable Info'!P531="","",CONCATENATE('Cable Info'!P531," - ",'Cable Info'!Q531))</f>
        <v/>
      </c>
      <c r="AW826" s="121" t="str">
        <f t="shared" si="163"/>
        <v/>
      </c>
      <c r="AY826" s="121" t="str">
        <f>IF('Cable Info'!R531="","",CONCATENATE('Cable Info'!R531," - ",'Cable Info'!S531))</f>
        <v/>
      </c>
      <c r="BB826" s="121" t="str">
        <f t="shared" si="164"/>
        <v/>
      </c>
      <c r="BD826" s="121" t="str">
        <f>IF('Cable Info'!T531="","",CONCATENATE('Cable Info'!T531," - ",'Cable Info'!U531))</f>
        <v/>
      </c>
      <c r="BG826" s="121" t="str">
        <f t="shared" si="165"/>
        <v/>
      </c>
      <c r="BI826" s="121" t="str">
        <f>IF('Cable Info'!V531="","",CONCATENATE('Cable Info'!V531," - ",'Cable Info'!W531))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str">
        <f>IF('Cable Info'!L532="","",CONCATENATE('Cable Info'!L532," - ",'Cable Info'!M532))</f>
        <v>531 - AW</v>
      </c>
      <c r="AM827" s="121" t="str">
        <f t="shared" si="161"/>
        <v>531 - AW</v>
      </c>
      <c r="AO827" s="121" t="str">
        <f>IF('Cable Info'!N532="","",CONCATENATE('Cable Info'!N532," - ",'Cable Info'!O532))</f>
        <v>531 - AW</v>
      </c>
      <c r="AR827" s="121" t="str">
        <f t="shared" si="162"/>
        <v>531 - AW</v>
      </c>
      <c r="AT827" s="121" t="str">
        <f>IF('Cable Info'!P532="","",CONCATENATE('Cable Info'!P532," - ",'Cable Info'!Q532))</f>
        <v/>
      </c>
      <c r="AW827" s="121" t="str">
        <f t="shared" si="163"/>
        <v/>
      </c>
      <c r="AY827" s="121" t="str">
        <f>IF('Cable Info'!R532="","",CONCATENATE('Cable Info'!R532," - ",'Cable Info'!S532))</f>
        <v/>
      </c>
      <c r="BB827" s="121" t="str">
        <f t="shared" si="164"/>
        <v/>
      </c>
      <c r="BD827" s="121" t="str">
        <f>IF('Cable Info'!T532="","",CONCATENATE('Cable Info'!T532," - ",'Cable Info'!U532))</f>
        <v/>
      </c>
      <c r="BG827" s="121" t="str">
        <f t="shared" si="165"/>
        <v/>
      </c>
      <c r="BI827" s="121" t="str">
        <f>IF('Cable Info'!V532="","",CONCATENATE('Cable Info'!V532," - ",'Cable Info'!W532))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str">
        <f>IF('Cable Info'!L533="","",CONCATENATE('Cable Info'!L533," - ",'Cable Info'!M533))</f>
        <v>532 - AW</v>
      </c>
      <c r="AM828" s="121" t="str">
        <f t="shared" si="161"/>
        <v>532 - AW</v>
      </c>
      <c r="AO828" s="121" t="str">
        <f>IF('Cable Info'!N533="","",CONCATENATE('Cable Info'!N533," - ",'Cable Info'!O533))</f>
        <v>532 - AW</v>
      </c>
      <c r="AR828" s="121" t="str">
        <f t="shared" si="162"/>
        <v>532 - AW</v>
      </c>
      <c r="AT828" s="121" t="str">
        <f>IF('Cable Info'!P533="","",CONCATENATE('Cable Info'!P533," - ",'Cable Info'!Q533))</f>
        <v/>
      </c>
      <c r="AW828" s="121" t="str">
        <f t="shared" si="163"/>
        <v/>
      </c>
      <c r="AY828" s="121" t="str">
        <f>IF('Cable Info'!R533="","",CONCATENATE('Cable Info'!R533," - ",'Cable Info'!S533))</f>
        <v/>
      </c>
      <c r="BB828" s="121" t="str">
        <f t="shared" si="164"/>
        <v/>
      </c>
      <c r="BD828" s="121" t="str">
        <f>IF('Cable Info'!T533="","",CONCATENATE('Cable Info'!T533," - ",'Cable Info'!U533))</f>
        <v/>
      </c>
      <c r="BG828" s="121" t="str">
        <f t="shared" si="165"/>
        <v/>
      </c>
      <c r="BI828" s="121" t="str">
        <f>IF('Cable Info'!V533="","",CONCATENATE('Cable Info'!V533," - ",'Cable Info'!W533))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str">
        <f>IF('Cable Info'!L534="","",CONCATENATE('Cable Info'!L534," - ",'Cable Info'!M534))</f>
        <v>533 - AW</v>
      </c>
      <c r="AM829" s="121" t="str">
        <f t="shared" si="161"/>
        <v>533 - AW</v>
      </c>
      <c r="AO829" s="121" t="str">
        <f>IF('Cable Info'!N534="","",CONCATENATE('Cable Info'!N534," - ",'Cable Info'!O534))</f>
        <v>533 - AW</v>
      </c>
      <c r="AR829" s="121" t="str">
        <f t="shared" si="162"/>
        <v>533 - AW</v>
      </c>
      <c r="AT829" s="121" t="str">
        <f>IF('Cable Info'!P534="","",CONCATENATE('Cable Info'!P534," - ",'Cable Info'!Q534))</f>
        <v/>
      </c>
      <c r="AW829" s="121" t="str">
        <f t="shared" si="163"/>
        <v/>
      </c>
      <c r="AY829" s="121" t="str">
        <f>IF('Cable Info'!R534="","",CONCATENATE('Cable Info'!R534," - ",'Cable Info'!S534))</f>
        <v/>
      </c>
      <c r="BB829" s="121" t="str">
        <f t="shared" si="164"/>
        <v/>
      </c>
      <c r="BD829" s="121" t="str">
        <f>IF('Cable Info'!T534="","",CONCATENATE('Cable Info'!T534," - ",'Cable Info'!U534))</f>
        <v/>
      </c>
      <c r="BG829" s="121" t="str">
        <f t="shared" si="165"/>
        <v/>
      </c>
      <c r="BI829" s="121" t="str">
        <f>IF('Cable Info'!V534="","",CONCATENATE('Cable Info'!V534," - ",'Cable Info'!W534))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str">
        <f>IF('Cable Info'!L535="","",CONCATENATE('Cable Info'!L535," - ",'Cable Info'!M535))</f>
        <v>534 - AW</v>
      </c>
      <c r="AM830" s="121" t="str">
        <f t="shared" si="161"/>
        <v>534 - AW</v>
      </c>
      <c r="AO830" s="121" t="str">
        <f>IF('Cable Info'!N535="","",CONCATENATE('Cable Info'!N535," - ",'Cable Info'!O535))</f>
        <v>534 - AW</v>
      </c>
      <c r="AR830" s="121" t="str">
        <f t="shared" si="162"/>
        <v>534 - AW</v>
      </c>
      <c r="AT830" s="121" t="str">
        <f>IF('Cable Info'!P535="","",CONCATENATE('Cable Info'!P535," - ",'Cable Info'!Q535))</f>
        <v/>
      </c>
      <c r="AW830" s="121" t="str">
        <f t="shared" si="163"/>
        <v/>
      </c>
      <c r="AY830" s="121" t="str">
        <f>IF('Cable Info'!R535="","",CONCATENATE('Cable Info'!R535," - ",'Cable Info'!S535))</f>
        <v/>
      </c>
      <c r="BB830" s="121" t="str">
        <f t="shared" si="164"/>
        <v/>
      </c>
      <c r="BD830" s="121" t="str">
        <f>IF('Cable Info'!T535="","",CONCATENATE('Cable Info'!T535," - ",'Cable Info'!U535))</f>
        <v/>
      </c>
      <c r="BG830" s="121" t="str">
        <f t="shared" si="165"/>
        <v/>
      </c>
      <c r="BI830" s="121" t="str">
        <f>IF('Cable Info'!V535="","",CONCATENATE('Cable Info'!V535," - ",'Cable Info'!W535))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str">
        <f>IF('Cable Info'!L536="","",CONCATENATE('Cable Info'!L536," - ",'Cable Info'!M536))</f>
        <v>535 - AW</v>
      </c>
      <c r="AM831" s="121" t="str">
        <f t="shared" si="161"/>
        <v>535 - AW</v>
      </c>
      <c r="AO831" s="121" t="str">
        <f>IF('Cable Info'!N536="","",CONCATENATE('Cable Info'!N536," - ",'Cable Info'!O536))</f>
        <v>535 - AW</v>
      </c>
      <c r="AR831" s="121" t="str">
        <f t="shared" si="162"/>
        <v>535 - AW</v>
      </c>
      <c r="AT831" s="121" t="str">
        <f>IF('Cable Info'!P536="","",CONCATENATE('Cable Info'!P536," - ",'Cable Info'!Q536))</f>
        <v/>
      </c>
      <c r="AW831" s="121" t="str">
        <f t="shared" si="163"/>
        <v/>
      </c>
      <c r="AY831" s="121" t="str">
        <f>IF('Cable Info'!R536="","",CONCATENATE('Cable Info'!R536," - ",'Cable Info'!S536))</f>
        <v/>
      </c>
      <c r="BB831" s="121" t="str">
        <f t="shared" si="164"/>
        <v/>
      </c>
      <c r="BD831" s="121" t="str">
        <f>IF('Cable Info'!T536="","",CONCATENATE('Cable Info'!T536," - ",'Cable Info'!U536))</f>
        <v/>
      </c>
      <c r="BG831" s="121" t="str">
        <f t="shared" si="165"/>
        <v/>
      </c>
      <c r="BI831" s="121" t="str">
        <f>IF('Cable Info'!V536="","",CONCATENATE('Cable Info'!V536," - ",'Cable Info'!W536))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str">
        <f>IF('Cable Info'!L537="","",CONCATENATE('Cable Info'!L537," - ",'Cable Info'!M537))</f>
        <v>536 - AW</v>
      </c>
      <c r="AM832" s="121" t="str">
        <f t="shared" si="161"/>
        <v>536 - AW</v>
      </c>
      <c r="AO832" s="121" t="str">
        <f>IF('Cable Info'!N537="","",CONCATENATE('Cable Info'!N537," - ",'Cable Info'!O537))</f>
        <v>536 - AW</v>
      </c>
      <c r="AR832" s="121" t="str">
        <f t="shared" si="162"/>
        <v>536 - AW</v>
      </c>
      <c r="AT832" s="121" t="str">
        <f>IF('Cable Info'!P537="","",CONCATENATE('Cable Info'!P537," - ",'Cable Info'!Q537))</f>
        <v/>
      </c>
      <c r="AW832" s="121" t="str">
        <f t="shared" si="163"/>
        <v/>
      </c>
      <c r="AY832" s="121" t="str">
        <f>IF('Cable Info'!R537="","",CONCATENATE('Cable Info'!R537," - ",'Cable Info'!S537))</f>
        <v/>
      </c>
      <c r="BB832" s="121" t="str">
        <f t="shared" si="164"/>
        <v/>
      </c>
      <c r="BD832" s="121" t="str">
        <f>IF('Cable Info'!T537="","",CONCATENATE('Cable Info'!T537," - ",'Cable Info'!U537))</f>
        <v/>
      </c>
      <c r="BG832" s="121" t="str">
        <f t="shared" si="165"/>
        <v/>
      </c>
      <c r="BI832" s="121" t="str">
        <f>IF('Cable Info'!V537="","",CONCATENATE('Cable Info'!V537," - ",'Cable Info'!W537))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str">
        <f>IF('Cable Info'!L538="","",CONCATENATE('Cable Info'!L538," - ",'Cable Info'!M538))</f>
        <v>537 - AW</v>
      </c>
      <c r="AM833" s="121" t="str">
        <f t="shared" si="161"/>
        <v>537 - AW</v>
      </c>
      <c r="AO833" s="121" t="str">
        <f>IF('Cable Info'!N538="","",CONCATENATE('Cable Info'!N538," - ",'Cable Info'!O538))</f>
        <v>537 - AW</v>
      </c>
      <c r="AR833" s="121" t="str">
        <f t="shared" si="162"/>
        <v>537 - AW</v>
      </c>
      <c r="AT833" s="121" t="str">
        <f>IF('Cable Info'!P538="","",CONCATENATE('Cable Info'!P538," - ",'Cable Info'!Q538))</f>
        <v/>
      </c>
      <c r="AW833" s="121" t="str">
        <f t="shared" si="163"/>
        <v/>
      </c>
      <c r="AY833" s="121" t="str">
        <f>IF('Cable Info'!R538="","",CONCATENATE('Cable Info'!R538," - ",'Cable Info'!S538))</f>
        <v/>
      </c>
      <c r="BB833" s="121" t="str">
        <f t="shared" si="164"/>
        <v/>
      </c>
      <c r="BD833" s="121" t="str">
        <f>IF('Cable Info'!T538="","",CONCATENATE('Cable Info'!T538," - ",'Cable Info'!U538))</f>
        <v/>
      </c>
      <c r="BG833" s="121" t="str">
        <f t="shared" si="165"/>
        <v/>
      </c>
      <c r="BI833" s="121" t="str">
        <f>IF('Cable Info'!V538="","",CONCATENATE('Cable Info'!V538," - ",'Cable Info'!W538))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str">
        <f>IF('Cable Info'!L539="","",CONCATENATE('Cable Info'!L539," - ",'Cable Info'!M539))</f>
        <v>538 - AW</v>
      </c>
      <c r="AM834" s="121" t="str">
        <f t="shared" si="161"/>
        <v>538 - AW</v>
      </c>
      <c r="AO834" s="121" t="str">
        <f>IF('Cable Info'!N539="","",CONCATENATE('Cable Info'!N539," - ",'Cable Info'!O539))</f>
        <v>538 - AW</v>
      </c>
      <c r="AR834" s="121" t="str">
        <f t="shared" si="162"/>
        <v>538 - AW</v>
      </c>
      <c r="AT834" s="121" t="str">
        <f>IF('Cable Info'!P539="","",CONCATENATE('Cable Info'!P539," - ",'Cable Info'!Q539))</f>
        <v/>
      </c>
      <c r="AW834" s="121" t="str">
        <f t="shared" si="163"/>
        <v/>
      </c>
      <c r="AY834" s="121" t="str">
        <f>IF('Cable Info'!R539="","",CONCATENATE('Cable Info'!R539," - ",'Cable Info'!S539))</f>
        <v/>
      </c>
      <c r="BB834" s="121" t="str">
        <f t="shared" si="164"/>
        <v/>
      </c>
      <c r="BD834" s="121" t="str">
        <f>IF('Cable Info'!T539="","",CONCATENATE('Cable Info'!T539," - ",'Cable Info'!U539))</f>
        <v/>
      </c>
      <c r="BG834" s="121" t="str">
        <f t="shared" si="165"/>
        <v/>
      </c>
      <c r="BI834" s="121" t="str">
        <f>IF('Cable Info'!V539="","",CONCATENATE('Cable Info'!V539," - ",'Cable Info'!W539))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str">
        <f>IF('Cable Info'!L540="","",CONCATENATE('Cable Info'!L540," - ",'Cable Info'!M540))</f>
        <v>539 - AW</v>
      </c>
      <c r="AM835" s="121" t="str">
        <f t="shared" si="161"/>
        <v>539 - AW</v>
      </c>
      <c r="AO835" s="121" t="str">
        <f>IF('Cable Info'!N540="","",CONCATENATE('Cable Info'!N540," - ",'Cable Info'!O540))</f>
        <v>539 - AW</v>
      </c>
      <c r="AR835" s="121" t="str">
        <f t="shared" si="162"/>
        <v>539 - AW</v>
      </c>
      <c r="AT835" s="121" t="str">
        <f>IF('Cable Info'!P540="","",CONCATENATE('Cable Info'!P540," - ",'Cable Info'!Q540))</f>
        <v/>
      </c>
      <c r="AW835" s="121" t="str">
        <f t="shared" si="163"/>
        <v/>
      </c>
      <c r="AY835" s="121" t="str">
        <f>IF('Cable Info'!R540="","",CONCATENATE('Cable Info'!R540," - ",'Cable Info'!S540))</f>
        <v/>
      </c>
      <c r="BB835" s="121" t="str">
        <f t="shared" si="164"/>
        <v/>
      </c>
      <c r="BD835" s="121" t="str">
        <f>IF('Cable Info'!T540="","",CONCATENATE('Cable Info'!T540," - ",'Cable Info'!U540))</f>
        <v/>
      </c>
      <c r="BG835" s="121" t="str">
        <f t="shared" si="165"/>
        <v/>
      </c>
      <c r="BI835" s="121" t="str">
        <f>IF('Cable Info'!V540="","",CONCATENATE('Cable Info'!V540," - ",'Cable Info'!W540))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str">
        <f>IF('Cable Info'!L541="","",CONCATENATE('Cable Info'!L541," - ",'Cable Info'!M541))</f>
        <v>540 - AW</v>
      </c>
      <c r="AM836" s="121" t="str">
        <f t="shared" si="161"/>
        <v>540 - AW</v>
      </c>
      <c r="AO836" s="121" t="str">
        <f>IF('Cable Info'!N541="","",CONCATENATE('Cable Info'!N541," - ",'Cable Info'!O541))</f>
        <v>540 - AW</v>
      </c>
      <c r="AR836" s="121" t="str">
        <f t="shared" si="162"/>
        <v>540 - AW</v>
      </c>
      <c r="AT836" s="121" t="str">
        <f>IF('Cable Info'!P541="","",CONCATENATE('Cable Info'!P541," - ",'Cable Info'!Q541))</f>
        <v/>
      </c>
      <c r="AW836" s="121" t="str">
        <f t="shared" si="163"/>
        <v/>
      </c>
      <c r="AY836" s="121" t="str">
        <f>IF('Cable Info'!R541="","",CONCATENATE('Cable Info'!R541," - ",'Cable Info'!S541))</f>
        <v/>
      </c>
      <c r="BB836" s="121" t="str">
        <f t="shared" si="164"/>
        <v/>
      </c>
      <c r="BD836" s="121" t="str">
        <f>IF('Cable Info'!T541="","",CONCATENATE('Cable Info'!T541," - ",'Cable Info'!U541))</f>
        <v/>
      </c>
      <c r="BG836" s="121" t="str">
        <f t="shared" si="165"/>
        <v/>
      </c>
      <c r="BI836" s="121" t="str">
        <f>IF('Cable Info'!V541="","",CONCATENATE('Cable Info'!V541," - ",'Cable Info'!W541))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str">
        <f>IF('Cable Info'!L542="","",CONCATENATE('Cable Info'!L542," - ",'Cable Info'!M542))</f>
        <v>541 - AW</v>
      </c>
      <c r="AM837" s="121" t="str">
        <f t="shared" si="161"/>
        <v>541 - AW</v>
      </c>
      <c r="AO837" s="121" t="str">
        <f>IF('Cable Info'!N542="","",CONCATENATE('Cable Info'!N542," - ",'Cable Info'!O542))</f>
        <v>541 - AW</v>
      </c>
      <c r="AR837" s="121" t="str">
        <f t="shared" si="162"/>
        <v>541 - AW</v>
      </c>
      <c r="AT837" s="121" t="str">
        <f>IF('Cable Info'!P542="","",CONCATENATE('Cable Info'!P542," - ",'Cable Info'!Q542))</f>
        <v/>
      </c>
      <c r="AW837" s="121" t="str">
        <f t="shared" si="163"/>
        <v/>
      </c>
      <c r="AY837" s="121" t="str">
        <f>IF('Cable Info'!R542="","",CONCATENATE('Cable Info'!R542," - ",'Cable Info'!S542))</f>
        <v/>
      </c>
      <c r="BB837" s="121" t="str">
        <f t="shared" si="164"/>
        <v/>
      </c>
      <c r="BD837" s="121" t="str">
        <f>IF('Cable Info'!T542="","",CONCATENATE('Cable Info'!T542," - ",'Cable Info'!U542))</f>
        <v/>
      </c>
      <c r="BG837" s="121" t="str">
        <f t="shared" si="165"/>
        <v/>
      </c>
      <c r="BI837" s="121" t="str">
        <f>IF('Cable Info'!V542="","",CONCATENATE('Cable Info'!V542," - ",'Cable Info'!W542))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str">
        <f>IF('Cable Info'!L543="","",CONCATENATE('Cable Info'!L543," - ",'Cable Info'!M543))</f>
        <v>542 - AW</v>
      </c>
      <c r="AM838" s="121" t="str">
        <f t="shared" si="161"/>
        <v>542 - AW</v>
      </c>
      <c r="AO838" s="121" t="str">
        <f>IF('Cable Info'!N543="","",CONCATENATE('Cable Info'!N543," - ",'Cable Info'!O543))</f>
        <v>542 - AW</v>
      </c>
      <c r="AR838" s="121" t="str">
        <f t="shared" si="162"/>
        <v>542 - AW</v>
      </c>
      <c r="AT838" s="121" t="str">
        <f>IF('Cable Info'!P543="","",CONCATENATE('Cable Info'!P543," - ",'Cable Info'!Q543))</f>
        <v/>
      </c>
      <c r="AW838" s="121" t="str">
        <f t="shared" si="163"/>
        <v/>
      </c>
      <c r="AY838" s="121" t="str">
        <f>IF('Cable Info'!R543="","",CONCATENATE('Cable Info'!R543," - ",'Cable Info'!S543))</f>
        <v/>
      </c>
      <c r="BB838" s="121" t="str">
        <f t="shared" si="164"/>
        <v/>
      </c>
      <c r="BD838" s="121" t="str">
        <f>IF('Cable Info'!T543="","",CONCATENATE('Cable Info'!T543," - ",'Cable Info'!U543))</f>
        <v/>
      </c>
      <c r="BG838" s="121" t="str">
        <f t="shared" si="165"/>
        <v/>
      </c>
      <c r="BI838" s="121" t="str">
        <f>IF('Cable Info'!V543="","",CONCATENATE('Cable Info'!V543," - ",'Cable Info'!W543))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str">
        <f>IF('Cable Info'!L544="","",CONCATENATE('Cable Info'!L544," - ",'Cable Info'!M544))</f>
        <v>543 - AW</v>
      </c>
      <c r="AM839" s="121" t="str">
        <f t="shared" si="161"/>
        <v>543 - AW</v>
      </c>
      <c r="AO839" s="121" t="str">
        <f>IF('Cable Info'!N544="","",CONCATENATE('Cable Info'!N544," - ",'Cable Info'!O544))</f>
        <v>543 - AW</v>
      </c>
      <c r="AR839" s="121" t="str">
        <f t="shared" si="162"/>
        <v>543 - AW</v>
      </c>
      <c r="AT839" s="121" t="str">
        <f>IF('Cable Info'!P544="","",CONCATENATE('Cable Info'!P544," - ",'Cable Info'!Q544))</f>
        <v/>
      </c>
      <c r="AW839" s="121" t="str">
        <f t="shared" si="163"/>
        <v/>
      </c>
      <c r="AY839" s="121" t="str">
        <f>IF('Cable Info'!R544="","",CONCATENATE('Cable Info'!R544," - ",'Cable Info'!S544))</f>
        <v/>
      </c>
      <c r="BB839" s="121" t="str">
        <f t="shared" si="164"/>
        <v/>
      </c>
      <c r="BD839" s="121" t="str">
        <f>IF('Cable Info'!T544="","",CONCATENATE('Cable Info'!T544," - ",'Cable Info'!U544))</f>
        <v/>
      </c>
      <c r="BG839" s="121" t="str">
        <f t="shared" si="165"/>
        <v/>
      </c>
      <c r="BI839" s="121" t="str">
        <f>IF('Cable Info'!V544="","",CONCATENATE('Cable Info'!V544," - ",'Cable Info'!W544))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str">
        <f>IF('Cable Info'!L545="","",CONCATENATE('Cable Info'!L545," - ",'Cable Info'!M545))</f>
        <v>544 - AW</v>
      </c>
      <c r="AM840" s="121" t="str">
        <f t="shared" si="161"/>
        <v>544 - AW</v>
      </c>
      <c r="AO840" s="121" t="str">
        <f>IF('Cable Info'!N545="","",CONCATENATE('Cable Info'!N545," - ",'Cable Info'!O545))</f>
        <v>544 - AW</v>
      </c>
      <c r="AR840" s="121" t="str">
        <f t="shared" si="162"/>
        <v>544 - AW</v>
      </c>
      <c r="AT840" s="121" t="str">
        <f>IF('Cable Info'!P545="","",CONCATENATE('Cable Info'!P545," - ",'Cable Info'!Q545))</f>
        <v/>
      </c>
      <c r="AW840" s="121" t="str">
        <f t="shared" si="163"/>
        <v/>
      </c>
      <c r="AY840" s="121" t="str">
        <f>IF('Cable Info'!R545="","",CONCATENATE('Cable Info'!R545," - ",'Cable Info'!S545))</f>
        <v/>
      </c>
      <c r="BB840" s="121" t="str">
        <f t="shared" si="164"/>
        <v/>
      </c>
      <c r="BD840" s="121" t="str">
        <f>IF('Cable Info'!T545="","",CONCATENATE('Cable Info'!T545," - ",'Cable Info'!U545))</f>
        <v/>
      </c>
      <c r="BG840" s="121" t="str">
        <f t="shared" si="165"/>
        <v/>
      </c>
      <c r="BI840" s="121" t="str">
        <f>IF('Cable Info'!V545="","",CONCATENATE('Cable Info'!V545," - ",'Cable Info'!W545))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str">
        <f>IF('Cable Info'!L546="","",CONCATENATE('Cable Info'!L546," - ",'Cable Info'!M546))</f>
        <v>545 - AW</v>
      </c>
      <c r="AM841" s="121" t="str">
        <f t="shared" si="161"/>
        <v>545 - AW</v>
      </c>
      <c r="AO841" s="121" t="str">
        <f>IF('Cable Info'!N546="","",CONCATENATE('Cable Info'!N546," - ",'Cable Info'!O546))</f>
        <v>545 - AW</v>
      </c>
      <c r="AR841" s="121" t="str">
        <f t="shared" si="162"/>
        <v>545 - AW</v>
      </c>
      <c r="AT841" s="121" t="str">
        <f>IF('Cable Info'!P546="","",CONCATENATE('Cable Info'!P546," - ",'Cable Info'!Q546))</f>
        <v/>
      </c>
      <c r="AW841" s="121" t="str">
        <f t="shared" si="163"/>
        <v/>
      </c>
      <c r="AY841" s="121" t="str">
        <f>IF('Cable Info'!R546="","",CONCATENATE('Cable Info'!R546," - ",'Cable Info'!S546))</f>
        <v/>
      </c>
      <c r="BB841" s="121" t="str">
        <f t="shared" si="164"/>
        <v/>
      </c>
      <c r="BD841" s="121" t="str">
        <f>IF('Cable Info'!T546="","",CONCATENATE('Cable Info'!T546," - ",'Cable Info'!U546))</f>
        <v/>
      </c>
      <c r="BG841" s="121" t="str">
        <f t="shared" si="165"/>
        <v/>
      </c>
      <c r="BI841" s="121" t="str">
        <f>IF('Cable Info'!V546="","",CONCATENATE('Cable Info'!V546," - ",'Cable Info'!W546))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str">
        <f>IF('Cable Info'!L547="","",CONCATENATE('Cable Info'!L547," - ",'Cable Info'!M547))</f>
        <v>546 - AW</v>
      </c>
      <c r="AM842" s="121" t="str">
        <f t="shared" si="161"/>
        <v>546 - AW</v>
      </c>
      <c r="AO842" s="121" t="str">
        <f>IF('Cable Info'!N547="","",CONCATENATE('Cable Info'!N547," - ",'Cable Info'!O547))</f>
        <v>546 - AW</v>
      </c>
      <c r="AR842" s="121" t="str">
        <f t="shared" si="162"/>
        <v>546 - AW</v>
      </c>
      <c r="AT842" s="121" t="str">
        <f>IF('Cable Info'!P547="","",CONCATENATE('Cable Info'!P547," - ",'Cable Info'!Q547))</f>
        <v/>
      </c>
      <c r="AW842" s="121" t="str">
        <f t="shared" si="163"/>
        <v/>
      </c>
      <c r="AY842" s="121" t="str">
        <f>IF('Cable Info'!R547="","",CONCATENATE('Cable Info'!R547," - ",'Cable Info'!S547))</f>
        <v/>
      </c>
      <c r="BB842" s="121" t="str">
        <f t="shared" si="164"/>
        <v/>
      </c>
      <c r="BD842" s="121" t="str">
        <f>IF('Cable Info'!T547="","",CONCATENATE('Cable Info'!T547," - ",'Cable Info'!U547))</f>
        <v/>
      </c>
      <c r="BG842" s="121" t="str">
        <f t="shared" si="165"/>
        <v/>
      </c>
      <c r="BI842" s="121" t="str">
        <f>IF('Cable Info'!V547="","",CONCATENATE('Cable Info'!V547," - ",'Cable Info'!W547))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str">
        <f>IF('Cable Info'!L548="","",CONCATENATE('Cable Info'!L548," - ",'Cable Info'!M548))</f>
        <v>547 - AW</v>
      </c>
      <c r="AM843" s="121" t="str">
        <f t="shared" si="161"/>
        <v>547 - AW</v>
      </c>
      <c r="AO843" s="121" t="str">
        <f>IF('Cable Info'!N548="","",CONCATENATE('Cable Info'!N548," - ",'Cable Info'!O548))</f>
        <v>547 - AW</v>
      </c>
      <c r="AR843" s="121" t="str">
        <f t="shared" si="162"/>
        <v>547 - AW</v>
      </c>
      <c r="AT843" s="121" t="str">
        <f>IF('Cable Info'!P548="","",CONCATENATE('Cable Info'!P548," - ",'Cable Info'!Q548))</f>
        <v/>
      </c>
      <c r="AW843" s="121" t="str">
        <f t="shared" si="163"/>
        <v/>
      </c>
      <c r="AY843" s="121" t="str">
        <f>IF('Cable Info'!R548="","",CONCATENATE('Cable Info'!R548," - ",'Cable Info'!S548))</f>
        <v/>
      </c>
      <c r="BB843" s="121" t="str">
        <f t="shared" si="164"/>
        <v/>
      </c>
      <c r="BD843" s="121" t="str">
        <f>IF('Cable Info'!T548="","",CONCATENATE('Cable Info'!T548," - ",'Cable Info'!U548))</f>
        <v/>
      </c>
      <c r="BG843" s="121" t="str">
        <f t="shared" si="165"/>
        <v/>
      </c>
      <c r="BI843" s="121" t="str">
        <f>IF('Cable Info'!V548="","",CONCATENATE('Cable Info'!V548," - ",'Cable Info'!W548))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str">
        <f>IF('Cable Info'!L549="","",CONCATENATE('Cable Info'!L549," - ",'Cable Info'!M549))</f>
        <v>548 - AW</v>
      </c>
      <c r="AM844" s="121" t="str">
        <f t="shared" si="161"/>
        <v>548 - AW</v>
      </c>
      <c r="AO844" s="121" t="str">
        <f>IF('Cable Info'!N549="","",CONCATENATE('Cable Info'!N549," - ",'Cable Info'!O549))</f>
        <v>548 - AW</v>
      </c>
      <c r="AR844" s="121" t="str">
        <f t="shared" si="162"/>
        <v>548 - AW</v>
      </c>
      <c r="AT844" s="121" t="str">
        <f>IF('Cable Info'!P549="","",CONCATENATE('Cable Info'!P549," - ",'Cable Info'!Q549))</f>
        <v/>
      </c>
      <c r="AW844" s="121" t="str">
        <f t="shared" si="163"/>
        <v/>
      </c>
      <c r="AY844" s="121" t="str">
        <f>IF('Cable Info'!R549="","",CONCATENATE('Cable Info'!R549," - ",'Cable Info'!S549))</f>
        <v/>
      </c>
      <c r="BB844" s="121" t="str">
        <f t="shared" si="164"/>
        <v/>
      </c>
      <c r="BD844" s="121" t="str">
        <f>IF('Cable Info'!T549="","",CONCATENATE('Cable Info'!T549," - ",'Cable Info'!U549))</f>
        <v/>
      </c>
      <c r="BG844" s="121" t="str">
        <f t="shared" si="165"/>
        <v/>
      </c>
      <c r="BI844" s="121" t="str">
        <f>IF('Cable Info'!V549="","",CONCATENATE('Cable Info'!V549," - ",'Cable Info'!W549))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str">
        <f>IF('Cable Info'!L550="","",CONCATENATE('Cable Info'!L550," - ",'Cable Info'!M550))</f>
        <v>549 - AW</v>
      </c>
      <c r="AM845" s="121" t="str">
        <f t="shared" si="161"/>
        <v>549 - AW</v>
      </c>
      <c r="AO845" s="121" t="str">
        <f>IF('Cable Info'!N550="","",CONCATENATE('Cable Info'!N550," - ",'Cable Info'!O550))</f>
        <v>549 - AW</v>
      </c>
      <c r="AR845" s="121" t="str">
        <f t="shared" si="162"/>
        <v>549 - AW</v>
      </c>
      <c r="AT845" s="121" t="str">
        <f>IF('Cable Info'!P550="","",CONCATENATE('Cable Info'!P550," - ",'Cable Info'!Q550))</f>
        <v/>
      </c>
      <c r="AW845" s="121" t="str">
        <f t="shared" si="163"/>
        <v/>
      </c>
      <c r="AY845" s="121" t="str">
        <f>IF('Cable Info'!R550="","",CONCATENATE('Cable Info'!R550," - ",'Cable Info'!S550))</f>
        <v/>
      </c>
      <c r="BB845" s="121" t="str">
        <f t="shared" si="164"/>
        <v/>
      </c>
      <c r="BD845" s="121" t="str">
        <f>IF('Cable Info'!T550="","",CONCATENATE('Cable Info'!T550," - ",'Cable Info'!U550))</f>
        <v/>
      </c>
      <c r="BG845" s="121" t="str">
        <f t="shared" si="165"/>
        <v/>
      </c>
      <c r="BI845" s="121" t="str">
        <f>IF('Cable Info'!V550="","",CONCATENATE('Cable Info'!V550," - ",'Cable Info'!W550))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str">
        <f>IF('Cable Info'!L551="","",CONCATENATE('Cable Info'!L551," - ",'Cable Info'!M551))</f>
        <v>550 - AW</v>
      </c>
      <c r="AM846" s="121" t="str">
        <f t="shared" si="161"/>
        <v>550 - AW</v>
      </c>
      <c r="AO846" s="121" t="str">
        <f>IF('Cable Info'!N551="","",CONCATENATE('Cable Info'!N551," - ",'Cable Info'!O551))</f>
        <v>550 - AW</v>
      </c>
      <c r="AR846" s="121" t="str">
        <f t="shared" si="162"/>
        <v>550 - AW</v>
      </c>
      <c r="AT846" s="121" t="str">
        <f>IF('Cable Info'!P551="","",CONCATENATE('Cable Info'!P551," - ",'Cable Info'!Q551))</f>
        <v/>
      </c>
      <c r="AW846" s="121" t="str">
        <f t="shared" si="163"/>
        <v/>
      </c>
      <c r="AY846" s="121" t="str">
        <f>IF('Cable Info'!R551="","",CONCATENATE('Cable Info'!R551," - ",'Cable Info'!S551))</f>
        <v/>
      </c>
      <c r="BB846" s="121" t="str">
        <f t="shared" si="164"/>
        <v/>
      </c>
      <c r="BD846" s="121" t="str">
        <f>IF('Cable Info'!T551="","",CONCATENATE('Cable Info'!T551," - ",'Cable Info'!U551))</f>
        <v/>
      </c>
      <c r="BG846" s="121" t="str">
        <f t="shared" si="165"/>
        <v/>
      </c>
      <c r="BI846" s="121" t="str">
        <f>IF('Cable Info'!V551="","",CONCATENATE('Cable Info'!V551," - ",'Cable Info'!W551))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str">
        <f>IF('Cable Info'!L552="","",CONCATENATE('Cable Info'!L552," - ",'Cable Info'!M552))</f>
        <v>551 - AW</v>
      </c>
      <c r="AM847" s="121" t="str">
        <f t="shared" si="161"/>
        <v>551 - AW</v>
      </c>
      <c r="AO847" s="121" t="str">
        <f>IF('Cable Info'!N552="","",CONCATENATE('Cable Info'!N552," - ",'Cable Info'!O552))</f>
        <v>551 - AW</v>
      </c>
      <c r="AR847" s="121" t="str">
        <f t="shared" si="162"/>
        <v>551 - AW</v>
      </c>
      <c r="AT847" s="121" t="str">
        <f>IF('Cable Info'!P552="","",CONCATENATE('Cable Info'!P552," - ",'Cable Info'!Q552))</f>
        <v/>
      </c>
      <c r="AW847" s="121" t="str">
        <f t="shared" si="163"/>
        <v/>
      </c>
      <c r="AY847" s="121" t="str">
        <f>IF('Cable Info'!R552="","",CONCATENATE('Cable Info'!R552," - ",'Cable Info'!S552))</f>
        <v/>
      </c>
      <c r="BB847" s="121" t="str">
        <f t="shared" si="164"/>
        <v/>
      </c>
      <c r="BD847" s="121" t="str">
        <f>IF('Cable Info'!T552="","",CONCATENATE('Cable Info'!T552," - ",'Cable Info'!U552))</f>
        <v/>
      </c>
      <c r="BG847" s="121" t="str">
        <f t="shared" si="165"/>
        <v/>
      </c>
      <c r="BI847" s="121" t="str">
        <f>IF('Cable Info'!V552="","",CONCATENATE('Cable Info'!V552," - ",'Cable Info'!W552))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str">
        <f>IF('Cable Info'!L553="","",CONCATENATE('Cable Info'!L553," - ",'Cable Info'!M553))</f>
        <v>552 - AW</v>
      </c>
      <c r="AM848" s="121" t="str">
        <f t="shared" si="161"/>
        <v>552 - AW</v>
      </c>
      <c r="AO848" s="121" t="str">
        <f>IF('Cable Info'!N553="","",CONCATENATE('Cable Info'!N553," - ",'Cable Info'!O553))</f>
        <v>552 - AW</v>
      </c>
      <c r="AR848" s="121" t="str">
        <f t="shared" si="162"/>
        <v>552 - AW</v>
      </c>
      <c r="AT848" s="121" t="str">
        <f>IF('Cable Info'!P553="","",CONCATENATE('Cable Info'!P553," - ",'Cable Info'!Q553))</f>
        <v/>
      </c>
      <c r="AW848" s="121" t="str">
        <f t="shared" si="163"/>
        <v/>
      </c>
      <c r="AY848" s="121" t="str">
        <f>IF('Cable Info'!R553="","",CONCATENATE('Cable Info'!R553," - ",'Cable Info'!S553))</f>
        <v/>
      </c>
      <c r="BB848" s="121" t="str">
        <f t="shared" si="164"/>
        <v/>
      </c>
      <c r="BD848" s="121" t="str">
        <f>IF('Cable Info'!T553="","",CONCATENATE('Cable Info'!T553," - ",'Cable Info'!U553))</f>
        <v/>
      </c>
      <c r="BG848" s="121" t="str">
        <f t="shared" si="165"/>
        <v/>
      </c>
      <c r="BI848" s="121" t="str">
        <f>IF('Cable Info'!V553="","",CONCATENATE('Cable Info'!V553," - ",'Cable Info'!W553))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str">
        <f>IF('Cable Info'!L554="","",CONCATENATE('Cable Info'!L554," - ",'Cable Info'!M554))</f>
        <v>553 - AW</v>
      </c>
      <c r="AM849" s="121" t="str">
        <f t="shared" si="161"/>
        <v>553 - AW</v>
      </c>
      <c r="AO849" s="121" t="str">
        <f>IF('Cable Info'!N554="","",CONCATENATE('Cable Info'!N554," - ",'Cable Info'!O554))</f>
        <v>553 - AW</v>
      </c>
      <c r="AR849" s="121" t="str">
        <f t="shared" si="162"/>
        <v>553 - AW</v>
      </c>
      <c r="AT849" s="121" t="str">
        <f>IF('Cable Info'!P554="","",CONCATENATE('Cable Info'!P554," - ",'Cable Info'!Q554))</f>
        <v/>
      </c>
      <c r="AW849" s="121" t="str">
        <f t="shared" si="163"/>
        <v/>
      </c>
      <c r="AY849" s="121" t="str">
        <f>IF('Cable Info'!R554="","",CONCATENATE('Cable Info'!R554," - ",'Cable Info'!S554))</f>
        <v/>
      </c>
      <c r="BB849" s="121" t="str">
        <f t="shared" si="164"/>
        <v/>
      </c>
      <c r="BD849" s="121" t="str">
        <f>IF('Cable Info'!T554="","",CONCATENATE('Cable Info'!T554," - ",'Cable Info'!U554))</f>
        <v/>
      </c>
      <c r="BG849" s="121" t="str">
        <f t="shared" si="165"/>
        <v/>
      </c>
      <c r="BI849" s="121" t="str">
        <f>IF('Cable Info'!V554="","",CONCATENATE('Cable Info'!V554," - ",'Cable Info'!W554))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str">
        <f>IF('Cable Info'!L555="","",CONCATENATE('Cable Info'!L555," - ",'Cable Info'!M555))</f>
        <v>554 - AW</v>
      </c>
      <c r="AM850" s="121" t="str">
        <f t="shared" si="161"/>
        <v>554 - AW</v>
      </c>
      <c r="AO850" s="121" t="str">
        <f>IF('Cable Info'!N555="","",CONCATENATE('Cable Info'!N555," - ",'Cable Info'!O555))</f>
        <v>554 - AW</v>
      </c>
      <c r="AR850" s="121" t="str">
        <f t="shared" si="162"/>
        <v>554 - AW</v>
      </c>
      <c r="AT850" s="121" t="str">
        <f>IF('Cable Info'!P555="","",CONCATENATE('Cable Info'!P555," - ",'Cable Info'!Q555))</f>
        <v/>
      </c>
      <c r="AW850" s="121" t="str">
        <f t="shared" si="163"/>
        <v/>
      </c>
      <c r="AY850" s="121" t="str">
        <f>IF('Cable Info'!R555="","",CONCATENATE('Cable Info'!R555," - ",'Cable Info'!S555))</f>
        <v/>
      </c>
      <c r="BB850" s="121" t="str">
        <f t="shared" si="164"/>
        <v/>
      </c>
      <c r="BD850" s="121" t="str">
        <f>IF('Cable Info'!T555="","",CONCATENATE('Cable Info'!T555," - ",'Cable Info'!U555))</f>
        <v/>
      </c>
      <c r="BG850" s="121" t="str">
        <f t="shared" si="165"/>
        <v/>
      </c>
      <c r="BI850" s="121" t="str">
        <f>IF('Cable Info'!V555="","",CONCATENATE('Cable Info'!V555," - ",'Cable Info'!W555))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str">
        <f>IF('Cable Info'!L556="","",CONCATENATE('Cable Info'!L556," - ",'Cable Info'!M556))</f>
        <v>555 - AW</v>
      </c>
      <c r="AM851" s="121" t="str">
        <f t="shared" si="161"/>
        <v>555 - AW</v>
      </c>
      <c r="AO851" s="121" t="str">
        <f>IF('Cable Info'!N556="","",CONCATENATE('Cable Info'!N556," - ",'Cable Info'!O556))</f>
        <v>555 - AW</v>
      </c>
      <c r="AR851" s="121" t="str">
        <f t="shared" si="162"/>
        <v>555 - AW</v>
      </c>
      <c r="AT851" s="121" t="str">
        <f>IF('Cable Info'!P556="","",CONCATENATE('Cable Info'!P556," - ",'Cable Info'!Q556))</f>
        <v/>
      </c>
      <c r="AW851" s="121" t="str">
        <f t="shared" si="163"/>
        <v/>
      </c>
      <c r="AY851" s="121" t="str">
        <f>IF('Cable Info'!R556="","",CONCATENATE('Cable Info'!R556," - ",'Cable Info'!S556))</f>
        <v/>
      </c>
      <c r="BB851" s="121" t="str">
        <f t="shared" si="164"/>
        <v/>
      </c>
      <c r="BD851" s="121" t="str">
        <f>IF('Cable Info'!T556="","",CONCATENATE('Cable Info'!T556," - ",'Cable Info'!U556))</f>
        <v/>
      </c>
      <c r="BG851" s="121" t="str">
        <f t="shared" si="165"/>
        <v/>
      </c>
      <c r="BI851" s="121" t="str">
        <f>IF('Cable Info'!V556="","",CONCATENATE('Cable Info'!V556," - ",'Cable Info'!W556))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str">
        <f>IF('Cable Info'!L557="","",CONCATENATE('Cable Info'!L557," - ",'Cable Info'!M557))</f>
        <v>556 - AW</v>
      </c>
      <c r="AM852" s="121" t="str">
        <f t="shared" si="161"/>
        <v>556 - AW</v>
      </c>
      <c r="AO852" s="121" t="str">
        <f>IF('Cable Info'!N557="","",CONCATENATE('Cable Info'!N557," - ",'Cable Info'!O557))</f>
        <v>556 - AW</v>
      </c>
      <c r="AR852" s="121" t="str">
        <f t="shared" si="162"/>
        <v>556 - AW</v>
      </c>
      <c r="AT852" s="121" t="str">
        <f>IF('Cable Info'!P557="","",CONCATENATE('Cable Info'!P557," - ",'Cable Info'!Q557))</f>
        <v/>
      </c>
      <c r="AW852" s="121" t="str">
        <f t="shared" si="163"/>
        <v/>
      </c>
      <c r="AY852" s="121" t="str">
        <f>IF('Cable Info'!R557="","",CONCATENATE('Cable Info'!R557," - ",'Cable Info'!S557))</f>
        <v/>
      </c>
      <c r="BB852" s="121" t="str">
        <f t="shared" si="164"/>
        <v/>
      </c>
      <c r="BD852" s="121" t="str">
        <f>IF('Cable Info'!T557="","",CONCATENATE('Cable Info'!T557," - ",'Cable Info'!U557))</f>
        <v/>
      </c>
      <c r="BG852" s="121" t="str">
        <f t="shared" si="165"/>
        <v/>
      </c>
      <c r="BI852" s="121" t="str">
        <f>IF('Cable Info'!V557="","",CONCATENATE('Cable Info'!V557," - ",'Cable Info'!W557))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str">
        <f>IF('Cable Info'!L558="","",CONCATENATE('Cable Info'!L558," - ",'Cable Info'!M558))</f>
        <v>557 - AW</v>
      </c>
      <c r="AM853" s="121" t="str">
        <f t="shared" si="161"/>
        <v>557 - AW</v>
      </c>
      <c r="AO853" s="121" t="str">
        <f>IF('Cable Info'!N558="","",CONCATENATE('Cable Info'!N558," - ",'Cable Info'!O558))</f>
        <v>557 - AW</v>
      </c>
      <c r="AR853" s="121" t="str">
        <f t="shared" si="162"/>
        <v>557 - AW</v>
      </c>
      <c r="AT853" s="121" t="str">
        <f>IF('Cable Info'!P558="","",CONCATENATE('Cable Info'!P558," - ",'Cable Info'!Q558))</f>
        <v/>
      </c>
      <c r="AW853" s="121" t="str">
        <f t="shared" si="163"/>
        <v/>
      </c>
      <c r="AY853" s="121" t="str">
        <f>IF('Cable Info'!R558="","",CONCATENATE('Cable Info'!R558," - ",'Cable Info'!S558))</f>
        <v/>
      </c>
      <c r="BB853" s="121" t="str">
        <f t="shared" si="164"/>
        <v/>
      </c>
      <c r="BD853" s="121" t="str">
        <f>IF('Cable Info'!T558="","",CONCATENATE('Cable Info'!T558," - ",'Cable Info'!U558))</f>
        <v/>
      </c>
      <c r="BG853" s="121" t="str">
        <f t="shared" si="165"/>
        <v/>
      </c>
      <c r="BI853" s="121" t="str">
        <f>IF('Cable Info'!V558="","",CONCATENATE('Cable Info'!V558," - ",'Cable Info'!W558))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str">
        <f>IF('Cable Info'!L559="","",CONCATENATE('Cable Info'!L559," - ",'Cable Info'!M559))</f>
        <v>558 - AW</v>
      </c>
      <c r="AM854" s="121" t="str">
        <f t="shared" si="161"/>
        <v>558 - AW</v>
      </c>
      <c r="AO854" s="121" t="str">
        <f>IF('Cable Info'!N559="","",CONCATENATE('Cable Info'!N559," - ",'Cable Info'!O559))</f>
        <v>558 - AW</v>
      </c>
      <c r="AR854" s="121" t="str">
        <f t="shared" si="162"/>
        <v>558 - AW</v>
      </c>
      <c r="AT854" s="121" t="str">
        <f>IF('Cable Info'!P559="","",CONCATENATE('Cable Info'!P559," - ",'Cable Info'!Q559))</f>
        <v/>
      </c>
      <c r="AW854" s="121" t="str">
        <f t="shared" si="163"/>
        <v/>
      </c>
      <c r="AY854" s="121" t="str">
        <f>IF('Cable Info'!R559="","",CONCATENATE('Cable Info'!R559," - ",'Cable Info'!S559))</f>
        <v/>
      </c>
      <c r="BB854" s="121" t="str">
        <f t="shared" si="164"/>
        <v/>
      </c>
      <c r="BD854" s="121" t="str">
        <f>IF('Cable Info'!T559="","",CONCATENATE('Cable Info'!T559," - ",'Cable Info'!U559))</f>
        <v/>
      </c>
      <c r="BG854" s="121" t="str">
        <f t="shared" si="165"/>
        <v/>
      </c>
      <c r="BI854" s="121" t="str">
        <f>IF('Cable Info'!V559="","",CONCATENATE('Cable Info'!V559," - ",'Cable Info'!W559))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str">
        <f>IF('Cable Info'!L560="","",CONCATENATE('Cable Info'!L560," - ",'Cable Info'!M560))</f>
        <v>559 - AW</v>
      </c>
      <c r="AM855" s="121" t="str">
        <f t="shared" si="161"/>
        <v>559 - AW</v>
      </c>
      <c r="AO855" s="121" t="str">
        <f>IF('Cable Info'!N560="","",CONCATENATE('Cable Info'!N560," - ",'Cable Info'!O560))</f>
        <v>559 - AW</v>
      </c>
      <c r="AR855" s="121" t="str">
        <f t="shared" si="162"/>
        <v>559 - AW</v>
      </c>
      <c r="AT855" s="121" t="str">
        <f>IF('Cable Info'!P560="","",CONCATENATE('Cable Info'!P560," - ",'Cable Info'!Q560))</f>
        <v/>
      </c>
      <c r="AW855" s="121" t="str">
        <f t="shared" si="163"/>
        <v/>
      </c>
      <c r="AY855" s="121" t="str">
        <f>IF('Cable Info'!R560="","",CONCATENATE('Cable Info'!R560," - ",'Cable Info'!S560))</f>
        <v/>
      </c>
      <c r="BB855" s="121" t="str">
        <f t="shared" si="164"/>
        <v/>
      </c>
      <c r="BD855" s="121" t="str">
        <f>IF('Cable Info'!T560="","",CONCATENATE('Cable Info'!T560," - ",'Cable Info'!U560))</f>
        <v/>
      </c>
      <c r="BG855" s="121" t="str">
        <f t="shared" si="165"/>
        <v/>
      </c>
      <c r="BI855" s="121" t="str">
        <f>IF('Cable Info'!V560="","",CONCATENATE('Cable Info'!V560," - ",'Cable Info'!W560))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str">
        <f>IF('Cable Info'!L561="","",CONCATENATE('Cable Info'!L561," - ",'Cable Info'!M561))</f>
        <v>560 - AW</v>
      </c>
      <c r="AM856" s="121" t="str">
        <f t="shared" si="161"/>
        <v>560 - AW</v>
      </c>
      <c r="AO856" s="121" t="str">
        <f>IF('Cable Info'!N561="","",CONCATENATE('Cable Info'!N561," - ",'Cable Info'!O561))</f>
        <v>560 - AW</v>
      </c>
      <c r="AR856" s="121" t="str">
        <f t="shared" si="162"/>
        <v>560 - AW</v>
      </c>
      <c r="AT856" s="121" t="str">
        <f>IF('Cable Info'!P561="","",CONCATENATE('Cable Info'!P561," - ",'Cable Info'!Q561))</f>
        <v/>
      </c>
      <c r="AW856" s="121" t="str">
        <f t="shared" si="163"/>
        <v/>
      </c>
      <c r="AY856" s="121" t="str">
        <f>IF('Cable Info'!R561="","",CONCATENATE('Cable Info'!R561," - ",'Cable Info'!S561))</f>
        <v/>
      </c>
      <c r="BB856" s="121" t="str">
        <f t="shared" si="164"/>
        <v/>
      </c>
      <c r="BD856" s="121" t="str">
        <f>IF('Cable Info'!T561="","",CONCATENATE('Cable Info'!T561," - ",'Cable Info'!U561))</f>
        <v/>
      </c>
      <c r="BG856" s="121" t="str">
        <f t="shared" si="165"/>
        <v/>
      </c>
      <c r="BI856" s="121" t="str">
        <f>IF('Cable Info'!V561="","",CONCATENATE('Cable Info'!V561," - ",'Cable Info'!W561))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str">
        <f>IF('Cable Info'!L562="","",CONCATENATE('Cable Info'!L562," - ",'Cable Info'!M562))</f>
        <v>561 - AW</v>
      </c>
      <c r="AM857" s="121" t="str">
        <f t="shared" si="161"/>
        <v>561 - AW</v>
      </c>
      <c r="AO857" s="121" t="str">
        <f>IF('Cable Info'!N562="","",CONCATENATE('Cable Info'!N562," - ",'Cable Info'!O562))</f>
        <v>561 - AW</v>
      </c>
      <c r="AR857" s="121" t="str">
        <f t="shared" si="162"/>
        <v>561 - AW</v>
      </c>
      <c r="AT857" s="121" t="str">
        <f>IF('Cable Info'!P562="","",CONCATENATE('Cable Info'!P562," - ",'Cable Info'!Q562))</f>
        <v/>
      </c>
      <c r="AW857" s="121" t="str">
        <f t="shared" si="163"/>
        <v/>
      </c>
      <c r="AY857" s="121" t="str">
        <f>IF('Cable Info'!R562="","",CONCATENATE('Cable Info'!R562," - ",'Cable Info'!S562))</f>
        <v/>
      </c>
      <c r="BB857" s="121" t="str">
        <f t="shared" si="164"/>
        <v/>
      </c>
      <c r="BD857" s="121" t="str">
        <f>IF('Cable Info'!T562="","",CONCATENATE('Cable Info'!T562," - ",'Cable Info'!U562))</f>
        <v/>
      </c>
      <c r="BG857" s="121" t="str">
        <f t="shared" si="165"/>
        <v/>
      </c>
      <c r="BI857" s="121" t="str">
        <f>IF('Cable Info'!V562="","",CONCATENATE('Cable Info'!V562," - ",'Cable Info'!W562))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str">
        <f>IF('Cable Info'!L563="","",CONCATENATE('Cable Info'!L563," - ",'Cable Info'!M563))</f>
        <v>562 - AW</v>
      </c>
      <c r="AM858" s="121" t="str">
        <f t="shared" si="161"/>
        <v>562 - AW</v>
      </c>
      <c r="AO858" s="121" t="str">
        <f>IF('Cable Info'!N563="","",CONCATENATE('Cable Info'!N563," - ",'Cable Info'!O563))</f>
        <v>562 - AW</v>
      </c>
      <c r="AR858" s="121" t="str">
        <f t="shared" si="162"/>
        <v>562 - AW</v>
      </c>
      <c r="AT858" s="121" t="str">
        <f>IF('Cable Info'!P563="","",CONCATENATE('Cable Info'!P563," - ",'Cable Info'!Q563))</f>
        <v/>
      </c>
      <c r="AW858" s="121" t="str">
        <f t="shared" si="163"/>
        <v/>
      </c>
      <c r="AY858" s="121" t="str">
        <f>IF('Cable Info'!R563="","",CONCATENATE('Cable Info'!R563," - ",'Cable Info'!S563))</f>
        <v/>
      </c>
      <c r="BB858" s="121" t="str">
        <f t="shared" si="164"/>
        <v/>
      </c>
      <c r="BD858" s="121" t="str">
        <f>IF('Cable Info'!T563="","",CONCATENATE('Cable Info'!T563," - ",'Cable Info'!U563))</f>
        <v/>
      </c>
      <c r="BG858" s="121" t="str">
        <f t="shared" si="165"/>
        <v/>
      </c>
      <c r="BI858" s="121" t="str">
        <f>IF('Cable Info'!V563="","",CONCATENATE('Cable Info'!V563," - ",'Cable Info'!W563))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str">
        <f>IF('Cable Info'!L564="","",CONCATENATE('Cable Info'!L564," - ",'Cable Info'!M564))</f>
        <v>563 - AW</v>
      </c>
      <c r="AM859" s="121" t="str">
        <f t="shared" si="161"/>
        <v>563 - AW</v>
      </c>
      <c r="AO859" s="121" t="str">
        <f>IF('Cable Info'!N564="","",CONCATENATE('Cable Info'!N564," - ",'Cable Info'!O564))</f>
        <v>563 - AW</v>
      </c>
      <c r="AR859" s="121" t="str">
        <f t="shared" si="162"/>
        <v>563 - AW</v>
      </c>
      <c r="AT859" s="121" t="str">
        <f>IF('Cable Info'!P564="","",CONCATENATE('Cable Info'!P564," - ",'Cable Info'!Q564))</f>
        <v/>
      </c>
      <c r="AW859" s="121" t="str">
        <f t="shared" si="163"/>
        <v/>
      </c>
      <c r="AY859" s="121" t="str">
        <f>IF('Cable Info'!R564="","",CONCATENATE('Cable Info'!R564," - ",'Cable Info'!S564))</f>
        <v/>
      </c>
      <c r="BB859" s="121" t="str">
        <f t="shared" si="164"/>
        <v/>
      </c>
      <c r="BD859" s="121" t="str">
        <f>IF('Cable Info'!T564="","",CONCATENATE('Cable Info'!T564," - ",'Cable Info'!U564))</f>
        <v/>
      </c>
      <c r="BG859" s="121" t="str">
        <f t="shared" si="165"/>
        <v/>
      </c>
      <c r="BI859" s="121" t="str">
        <f>IF('Cable Info'!V564="","",CONCATENATE('Cable Info'!V564," - ",'Cable Info'!W564))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str">
        <f>IF('Cable Info'!L565="","",CONCATENATE('Cable Info'!L565," - ",'Cable Info'!M565))</f>
        <v>564 - AW</v>
      </c>
      <c r="AM860" s="121" t="str">
        <f t="shared" si="161"/>
        <v>564 - AW</v>
      </c>
      <c r="AO860" s="121" t="str">
        <f>IF('Cable Info'!N565="","",CONCATENATE('Cable Info'!N565," - ",'Cable Info'!O565))</f>
        <v>564 - AW</v>
      </c>
      <c r="AR860" s="121" t="str">
        <f t="shared" si="162"/>
        <v>564 - AW</v>
      </c>
      <c r="AT860" s="121" t="str">
        <f>IF('Cable Info'!P565="","",CONCATENATE('Cable Info'!P565," - ",'Cable Info'!Q565))</f>
        <v/>
      </c>
      <c r="AW860" s="121" t="str">
        <f t="shared" si="163"/>
        <v/>
      </c>
      <c r="AY860" s="121" t="str">
        <f>IF('Cable Info'!R565="","",CONCATENATE('Cable Info'!R565," - ",'Cable Info'!S565))</f>
        <v/>
      </c>
      <c r="BB860" s="121" t="str">
        <f t="shared" si="164"/>
        <v/>
      </c>
      <c r="BD860" s="121" t="str">
        <f>IF('Cable Info'!T565="","",CONCATENATE('Cable Info'!T565," - ",'Cable Info'!U565))</f>
        <v/>
      </c>
      <c r="BG860" s="121" t="str">
        <f t="shared" si="165"/>
        <v/>
      </c>
      <c r="BI860" s="121" t="str">
        <f>IF('Cable Info'!V565="","",CONCATENATE('Cable Info'!V565," - ",'Cable Info'!W565))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str">
        <f>IF('Cable Info'!L566="","",CONCATENATE('Cable Info'!L566," - ",'Cable Info'!M566))</f>
        <v>565 - AW</v>
      </c>
      <c r="AM861" s="121" t="str">
        <f t="shared" si="161"/>
        <v>565 - AW</v>
      </c>
      <c r="AO861" s="121" t="str">
        <f>IF('Cable Info'!N566="","",CONCATENATE('Cable Info'!N566," - ",'Cable Info'!O566))</f>
        <v>565 - AW</v>
      </c>
      <c r="AR861" s="121" t="str">
        <f t="shared" si="162"/>
        <v>565 - AW</v>
      </c>
      <c r="AT861" s="121" t="str">
        <f>IF('Cable Info'!P566="","",CONCATENATE('Cable Info'!P566," - ",'Cable Info'!Q566))</f>
        <v/>
      </c>
      <c r="AW861" s="121" t="str">
        <f t="shared" si="163"/>
        <v/>
      </c>
      <c r="AY861" s="121" t="str">
        <f>IF('Cable Info'!R566="","",CONCATENATE('Cable Info'!R566," - ",'Cable Info'!S566))</f>
        <v/>
      </c>
      <c r="BB861" s="121" t="str">
        <f t="shared" si="164"/>
        <v/>
      </c>
      <c r="BD861" s="121" t="str">
        <f>IF('Cable Info'!T566="","",CONCATENATE('Cable Info'!T566," - ",'Cable Info'!U566))</f>
        <v/>
      </c>
      <c r="BG861" s="121" t="str">
        <f t="shared" si="165"/>
        <v/>
      </c>
      <c r="BI861" s="121" t="str">
        <f>IF('Cable Info'!V566="","",CONCATENATE('Cable Info'!V566," - ",'Cable Info'!W566))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str">
        <f>IF('Cable Info'!L567="","",CONCATENATE('Cable Info'!L567," - ",'Cable Info'!M567))</f>
        <v>566 - AW</v>
      </c>
      <c r="AM862" s="121" t="str">
        <f t="shared" si="161"/>
        <v>566 - AW</v>
      </c>
      <c r="AO862" s="121" t="str">
        <f>IF('Cable Info'!N567="","",CONCATENATE('Cable Info'!N567," - ",'Cable Info'!O567))</f>
        <v>566 - AW</v>
      </c>
      <c r="AR862" s="121" t="str">
        <f t="shared" si="162"/>
        <v>566 - AW</v>
      </c>
      <c r="AT862" s="121" t="str">
        <f>IF('Cable Info'!P567="","",CONCATENATE('Cable Info'!P567," - ",'Cable Info'!Q567))</f>
        <v/>
      </c>
      <c r="AW862" s="121" t="str">
        <f t="shared" si="163"/>
        <v/>
      </c>
      <c r="AY862" s="121" t="str">
        <f>IF('Cable Info'!R567="","",CONCATENATE('Cable Info'!R567," - ",'Cable Info'!S567))</f>
        <v/>
      </c>
      <c r="BB862" s="121" t="str">
        <f t="shared" si="164"/>
        <v/>
      </c>
      <c r="BD862" s="121" t="str">
        <f>IF('Cable Info'!T567="","",CONCATENATE('Cable Info'!T567," - ",'Cable Info'!U567))</f>
        <v/>
      </c>
      <c r="BG862" s="121" t="str">
        <f t="shared" si="165"/>
        <v/>
      </c>
      <c r="BI862" s="121" t="str">
        <f>IF('Cable Info'!V567="","",CONCATENATE('Cable Info'!V567," - ",'Cable Info'!W567))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str">
        <f>IF('Cable Info'!L568="","",CONCATENATE('Cable Info'!L568," - ",'Cable Info'!M568))</f>
        <v>567 - AW</v>
      </c>
      <c r="AM863" s="121" t="str">
        <f t="shared" si="161"/>
        <v>567 - AW</v>
      </c>
      <c r="AO863" s="121" t="str">
        <f>IF('Cable Info'!N568="","",CONCATENATE('Cable Info'!N568," - ",'Cable Info'!O568))</f>
        <v>567 - AW</v>
      </c>
      <c r="AR863" s="121" t="str">
        <f t="shared" si="162"/>
        <v>567 - AW</v>
      </c>
      <c r="AT863" s="121" t="str">
        <f>IF('Cable Info'!P568="","",CONCATENATE('Cable Info'!P568," - ",'Cable Info'!Q568))</f>
        <v/>
      </c>
      <c r="AW863" s="121" t="str">
        <f t="shared" si="163"/>
        <v/>
      </c>
      <c r="AY863" s="121" t="str">
        <f>IF('Cable Info'!R568="","",CONCATENATE('Cable Info'!R568," - ",'Cable Info'!S568))</f>
        <v/>
      </c>
      <c r="BB863" s="121" t="str">
        <f t="shared" si="164"/>
        <v/>
      </c>
      <c r="BD863" s="121" t="str">
        <f>IF('Cable Info'!T568="","",CONCATENATE('Cable Info'!T568," - ",'Cable Info'!U568))</f>
        <v/>
      </c>
      <c r="BG863" s="121" t="str">
        <f t="shared" si="165"/>
        <v/>
      </c>
      <c r="BI863" s="121" t="str">
        <f>IF('Cable Info'!V568="","",CONCATENATE('Cable Info'!V568," - ",'Cable Info'!W568))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str">
        <f>IF('Cable Info'!L569="","",CONCATENATE('Cable Info'!L569," - ",'Cable Info'!M569))</f>
        <v>568 - AW</v>
      </c>
      <c r="AM864" s="121" t="str">
        <f t="shared" si="161"/>
        <v>568 - AW</v>
      </c>
      <c r="AO864" s="121" t="str">
        <f>IF('Cable Info'!N569="","",CONCATENATE('Cable Info'!N569," - ",'Cable Info'!O569))</f>
        <v>568 - AW</v>
      </c>
      <c r="AR864" s="121" t="str">
        <f t="shared" si="162"/>
        <v>568 - AW</v>
      </c>
      <c r="AT864" s="121" t="str">
        <f>IF('Cable Info'!P569="","",CONCATENATE('Cable Info'!P569," - ",'Cable Info'!Q569))</f>
        <v/>
      </c>
      <c r="AW864" s="121" t="str">
        <f t="shared" si="163"/>
        <v/>
      </c>
      <c r="AY864" s="121" t="str">
        <f>IF('Cable Info'!R569="","",CONCATENATE('Cable Info'!R569," - ",'Cable Info'!S569))</f>
        <v/>
      </c>
      <c r="BB864" s="121" t="str">
        <f t="shared" si="164"/>
        <v/>
      </c>
      <c r="BD864" s="121" t="str">
        <f>IF('Cable Info'!T569="","",CONCATENATE('Cable Info'!T569," - ",'Cable Info'!U569))</f>
        <v/>
      </c>
      <c r="BG864" s="121" t="str">
        <f t="shared" si="165"/>
        <v/>
      </c>
      <c r="BI864" s="121" t="str">
        <f>IF('Cable Info'!V569="","",CONCATENATE('Cable Info'!V569," - ",'Cable Info'!W569))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str">
        <f>IF('Cable Info'!L570="","",CONCATENATE('Cable Info'!L570," - ",'Cable Info'!M570))</f>
        <v>569 - AW</v>
      </c>
      <c r="AM865" s="121" t="str">
        <f t="shared" si="161"/>
        <v>569 - AW</v>
      </c>
      <c r="AO865" s="121" t="str">
        <f>IF('Cable Info'!N570="","",CONCATENATE('Cable Info'!N570," - ",'Cable Info'!O570))</f>
        <v>569 - AW</v>
      </c>
      <c r="AR865" s="121" t="str">
        <f t="shared" si="162"/>
        <v>569 - AW</v>
      </c>
      <c r="AT865" s="121" t="str">
        <f>IF('Cable Info'!P570="","",CONCATENATE('Cable Info'!P570," - ",'Cable Info'!Q570))</f>
        <v/>
      </c>
      <c r="AW865" s="121" t="str">
        <f t="shared" si="163"/>
        <v/>
      </c>
      <c r="AY865" s="121" t="str">
        <f>IF('Cable Info'!R570="","",CONCATENATE('Cable Info'!R570," - ",'Cable Info'!S570))</f>
        <v/>
      </c>
      <c r="BB865" s="121" t="str">
        <f t="shared" si="164"/>
        <v/>
      </c>
      <c r="BD865" s="121" t="str">
        <f>IF('Cable Info'!T570="","",CONCATENATE('Cable Info'!T570," - ",'Cable Info'!U570))</f>
        <v/>
      </c>
      <c r="BG865" s="121" t="str">
        <f t="shared" si="165"/>
        <v/>
      </c>
      <c r="BI865" s="121" t="str">
        <f>IF('Cable Info'!V570="","",CONCATENATE('Cable Info'!V570," - ",'Cable Info'!W570))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str">
        <f>IF('Cable Info'!L571="","",CONCATENATE('Cable Info'!L571," - ",'Cable Info'!M571))</f>
        <v>570 - AW</v>
      </c>
      <c r="AM866" s="121" t="str">
        <f t="shared" si="161"/>
        <v>570 - AW</v>
      </c>
      <c r="AO866" s="121" t="str">
        <f>IF('Cable Info'!N571="","",CONCATENATE('Cable Info'!N571," - ",'Cable Info'!O571))</f>
        <v>570 - AW</v>
      </c>
      <c r="AR866" s="121" t="str">
        <f t="shared" si="162"/>
        <v>570 - AW</v>
      </c>
      <c r="AT866" s="121" t="str">
        <f>IF('Cable Info'!P571="","",CONCATENATE('Cable Info'!P571," - ",'Cable Info'!Q571))</f>
        <v/>
      </c>
      <c r="AW866" s="121" t="str">
        <f t="shared" si="163"/>
        <v/>
      </c>
      <c r="AY866" s="121" t="str">
        <f>IF('Cable Info'!R571="","",CONCATENATE('Cable Info'!R571," - ",'Cable Info'!S571))</f>
        <v/>
      </c>
      <c r="BB866" s="121" t="str">
        <f t="shared" si="164"/>
        <v/>
      </c>
      <c r="BD866" s="121" t="str">
        <f>IF('Cable Info'!T571="","",CONCATENATE('Cable Info'!T571," - ",'Cable Info'!U571))</f>
        <v/>
      </c>
      <c r="BG866" s="121" t="str">
        <f t="shared" si="165"/>
        <v/>
      </c>
      <c r="BI866" s="121" t="str">
        <f>IF('Cable Info'!V571="","",CONCATENATE('Cable Info'!V571," - ",'Cable Info'!W571))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str">
        <f>IF('Cable Info'!L572="","",CONCATENATE('Cable Info'!L572," - ",'Cable Info'!M572))</f>
        <v>571 - AW</v>
      </c>
      <c r="AM867" s="121" t="str">
        <f t="shared" si="161"/>
        <v>571 - AW</v>
      </c>
      <c r="AO867" s="121" t="str">
        <f>IF('Cable Info'!N572="","",CONCATENATE('Cable Info'!N572," - ",'Cable Info'!O572))</f>
        <v>571 - AW</v>
      </c>
      <c r="AR867" s="121" t="str">
        <f t="shared" si="162"/>
        <v>571 - AW</v>
      </c>
      <c r="AT867" s="121" t="str">
        <f>IF('Cable Info'!P572="","",CONCATENATE('Cable Info'!P572," - ",'Cable Info'!Q572))</f>
        <v/>
      </c>
      <c r="AW867" s="121" t="str">
        <f t="shared" si="163"/>
        <v/>
      </c>
      <c r="AY867" s="121" t="str">
        <f>IF('Cable Info'!R572="","",CONCATENATE('Cable Info'!R572," - ",'Cable Info'!S572))</f>
        <v/>
      </c>
      <c r="BB867" s="121" t="str">
        <f t="shared" si="164"/>
        <v/>
      </c>
      <c r="BD867" s="121" t="str">
        <f>IF('Cable Info'!T572="","",CONCATENATE('Cable Info'!T572," - ",'Cable Info'!U572))</f>
        <v/>
      </c>
      <c r="BG867" s="121" t="str">
        <f t="shared" si="165"/>
        <v/>
      </c>
      <c r="BI867" s="121" t="str">
        <f>IF('Cable Info'!V572="","",CONCATENATE('Cable Info'!V572," - ",'Cable Info'!W572))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str">
        <f>IF('Cable Info'!L573="","",CONCATENATE('Cable Info'!L573," - ",'Cable Info'!M573))</f>
        <v>572 - AW</v>
      </c>
      <c r="AM868" s="121" t="str">
        <f t="shared" si="161"/>
        <v>572 - AW</v>
      </c>
      <c r="AO868" s="121" t="str">
        <f>IF('Cable Info'!N573="","",CONCATENATE('Cable Info'!N573," - ",'Cable Info'!O573))</f>
        <v>572 - AW</v>
      </c>
      <c r="AR868" s="121" t="str">
        <f t="shared" si="162"/>
        <v>572 - AW</v>
      </c>
      <c r="AT868" s="121" t="str">
        <f>IF('Cable Info'!P573="","",CONCATENATE('Cable Info'!P573," - ",'Cable Info'!Q573))</f>
        <v/>
      </c>
      <c r="AW868" s="121" t="str">
        <f t="shared" si="163"/>
        <v/>
      </c>
      <c r="AY868" s="121" t="str">
        <f>IF('Cable Info'!R573="","",CONCATENATE('Cable Info'!R573," - ",'Cable Info'!S573))</f>
        <v/>
      </c>
      <c r="BB868" s="121" t="str">
        <f t="shared" si="164"/>
        <v/>
      </c>
      <c r="BD868" s="121" t="str">
        <f>IF('Cable Info'!T573="","",CONCATENATE('Cable Info'!T573," - ",'Cable Info'!U573))</f>
        <v/>
      </c>
      <c r="BG868" s="121" t="str">
        <f t="shared" si="165"/>
        <v/>
      </c>
      <c r="BI868" s="121" t="str">
        <f>IF('Cable Info'!V573="","",CONCATENATE('Cable Info'!V573," - ",'Cable Info'!W573))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str">
        <f>IF('Cable Info'!L574="","",CONCATENATE('Cable Info'!L574," - ",'Cable Info'!M574))</f>
        <v>573 - AW</v>
      </c>
      <c r="AM869" s="121" t="str">
        <f t="shared" si="161"/>
        <v>573 - AW</v>
      </c>
      <c r="AO869" s="121" t="str">
        <f>IF('Cable Info'!N574="","",CONCATENATE('Cable Info'!N574," - ",'Cable Info'!O574))</f>
        <v>573 - AW</v>
      </c>
      <c r="AR869" s="121" t="str">
        <f t="shared" si="162"/>
        <v>573 - AW</v>
      </c>
      <c r="AT869" s="121" t="str">
        <f>IF('Cable Info'!P574="","",CONCATENATE('Cable Info'!P574," - ",'Cable Info'!Q574))</f>
        <v/>
      </c>
      <c r="AW869" s="121" t="str">
        <f t="shared" si="163"/>
        <v/>
      </c>
      <c r="AY869" s="121" t="str">
        <f>IF('Cable Info'!R574="","",CONCATENATE('Cable Info'!R574," - ",'Cable Info'!S574))</f>
        <v/>
      </c>
      <c r="BB869" s="121" t="str">
        <f t="shared" si="164"/>
        <v/>
      </c>
      <c r="BD869" s="121" t="str">
        <f>IF('Cable Info'!T574="","",CONCATENATE('Cable Info'!T574," - ",'Cable Info'!U574))</f>
        <v/>
      </c>
      <c r="BG869" s="121" t="str">
        <f t="shared" si="165"/>
        <v/>
      </c>
      <c r="BI869" s="121" t="str">
        <f>IF('Cable Info'!V574="","",CONCATENATE('Cable Info'!V574," - ",'Cable Info'!W574))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str">
        <f>IF('Cable Info'!L575="","",CONCATENATE('Cable Info'!L575," - ",'Cable Info'!M575))</f>
        <v>574 - AW</v>
      </c>
      <c r="AM870" s="121" t="str">
        <f t="shared" si="161"/>
        <v>574 - AW</v>
      </c>
      <c r="AO870" s="121" t="str">
        <f>IF('Cable Info'!N575="","",CONCATENATE('Cable Info'!N575," - ",'Cable Info'!O575))</f>
        <v>574 - AW</v>
      </c>
      <c r="AR870" s="121" t="str">
        <f t="shared" si="162"/>
        <v>574 - AW</v>
      </c>
      <c r="AT870" s="121" t="str">
        <f>IF('Cable Info'!P575="","",CONCATENATE('Cable Info'!P575," - ",'Cable Info'!Q575))</f>
        <v/>
      </c>
      <c r="AW870" s="121" t="str">
        <f t="shared" si="163"/>
        <v/>
      </c>
      <c r="AY870" s="121" t="str">
        <f>IF('Cable Info'!R575="","",CONCATENATE('Cable Info'!R575," - ",'Cable Info'!S575))</f>
        <v/>
      </c>
      <c r="BB870" s="121" t="str">
        <f t="shared" si="164"/>
        <v/>
      </c>
      <c r="BD870" s="121" t="str">
        <f>IF('Cable Info'!T575="","",CONCATENATE('Cable Info'!T575," - ",'Cable Info'!U575))</f>
        <v/>
      </c>
      <c r="BG870" s="121" t="str">
        <f t="shared" si="165"/>
        <v/>
      </c>
      <c r="BI870" s="121" t="str">
        <f>IF('Cable Info'!V575="","",CONCATENATE('Cable Info'!V575," - ",'Cable Info'!W575))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str">
        <f>IF('Cable Info'!L576="","",CONCATENATE('Cable Info'!L576," - ",'Cable Info'!M576))</f>
        <v>575 - AW</v>
      </c>
      <c r="AM871" s="121" t="str">
        <f t="shared" si="161"/>
        <v>575 - AW</v>
      </c>
      <c r="AO871" s="121" t="str">
        <f>IF('Cable Info'!N576="","",CONCATENATE('Cable Info'!N576," - ",'Cable Info'!O576))</f>
        <v>575 - AW</v>
      </c>
      <c r="AR871" s="121" t="str">
        <f t="shared" si="162"/>
        <v>575 - AW</v>
      </c>
      <c r="AT871" s="121" t="str">
        <f>IF('Cable Info'!P576="","",CONCATENATE('Cable Info'!P576," - ",'Cable Info'!Q576))</f>
        <v/>
      </c>
      <c r="AW871" s="121" t="str">
        <f t="shared" si="163"/>
        <v/>
      </c>
      <c r="AY871" s="121" t="str">
        <f>IF('Cable Info'!R576="","",CONCATENATE('Cable Info'!R576," - ",'Cable Info'!S576))</f>
        <v/>
      </c>
      <c r="BB871" s="121" t="str">
        <f t="shared" si="164"/>
        <v/>
      </c>
      <c r="BD871" s="121" t="str">
        <f>IF('Cable Info'!T576="","",CONCATENATE('Cable Info'!T576," - ",'Cable Info'!U576))</f>
        <v/>
      </c>
      <c r="BG871" s="121" t="str">
        <f t="shared" si="165"/>
        <v/>
      </c>
      <c r="BI871" s="121" t="str">
        <f>IF('Cable Info'!V576="","",CONCATENATE('Cable Info'!V576," - ",'Cable Info'!W576))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str">
        <f>IF('Cable Info'!L577="","",CONCATENATE('Cable Info'!L577," - ",'Cable Info'!M577))</f>
        <v>576 - AW</v>
      </c>
      <c r="AM872" s="121" t="str">
        <f t="shared" si="161"/>
        <v>576 - AW</v>
      </c>
      <c r="AO872" s="121" t="str">
        <f>IF('Cable Info'!N577="","",CONCATENATE('Cable Info'!N577," - ",'Cable Info'!O577))</f>
        <v>576 - AW</v>
      </c>
      <c r="AR872" s="121" t="str">
        <f t="shared" si="162"/>
        <v>576 - AW</v>
      </c>
      <c r="AT872" s="121" t="str">
        <f>IF('Cable Info'!P577="","",CONCATENATE('Cable Info'!P577," - ",'Cable Info'!Q577))</f>
        <v/>
      </c>
      <c r="AW872" s="121" t="str">
        <f t="shared" si="163"/>
        <v/>
      </c>
      <c r="AY872" s="121" t="str">
        <f>IF('Cable Info'!R577="","",CONCATENATE('Cable Info'!R577," - ",'Cable Info'!S577))</f>
        <v/>
      </c>
      <c r="BB872" s="121" t="str">
        <f t="shared" si="164"/>
        <v/>
      </c>
      <c r="BD872" s="121" t="str">
        <f>IF('Cable Info'!T577="","",CONCATENATE('Cable Info'!T577," - ",'Cable Info'!U577))</f>
        <v/>
      </c>
      <c r="BG872" s="121" t="str">
        <f t="shared" si="165"/>
        <v/>
      </c>
      <c r="BI872" s="121" t="str">
        <f>IF('Cable Info'!V577="","",CONCATENATE('Cable Info'!V577," - ",'Cable Info'!W577))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str">
        <f>IF('Cable Info'!L578="","",CONCATENATE('Cable Info'!L578," - ",'Cable Info'!M578))</f>
        <v>577 - AW</v>
      </c>
      <c r="AM873" s="121" t="str">
        <f t="shared" si="161"/>
        <v>577 - AW</v>
      </c>
      <c r="AO873" s="121" t="str">
        <f>IF('Cable Info'!N578="","",CONCATENATE('Cable Info'!N578," - ",'Cable Info'!O578))</f>
        <v>577 - AW</v>
      </c>
      <c r="AR873" s="121" t="str">
        <f t="shared" si="162"/>
        <v>577 - AW</v>
      </c>
      <c r="AT873" s="121" t="str">
        <f>IF('Cable Info'!P578="","",CONCATENATE('Cable Info'!P578," - ",'Cable Info'!Q578))</f>
        <v/>
      </c>
      <c r="AW873" s="121" t="str">
        <f t="shared" si="163"/>
        <v/>
      </c>
      <c r="AY873" s="121" t="str">
        <f>IF('Cable Info'!R578="","",CONCATENATE('Cable Info'!R578," - ",'Cable Info'!S578))</f>
        <v/>
      </c>
      <c r="BB873" s="121" t="str">
        <f t="shared" si="164"/>
        <v/>
      </c>
      <c r="BD873" s="121" t="str">
        <f>IF('Cable Info'!T578="","",CONCATENATE('Cable Info'!T578," - ",'Cable Info'!U578))</f>
        <v/>
      </c>
      <c r="BG873" s="121" t="str">
        <f t="shared" si="165"/>
        <v/>
      </c>
      <c r="BI873" s="121" t="str">
        <f>IF('Cable Info'!V578="","",CONCATENATE('Cable Info'!V578," - ",'Cable Info'!W578))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str">
        <f>IF('Cable Info'!L579="","",CONCATENATE('Cable Info'!L579," - ",'Cable Info'!M579))</f>
        <v>578 - AW</v>
      </c>
      <c r="AM874" s="121" t="str">
        <f t="shared" ref="AM874:AM937" si="167">IF(AK874="",AJ874,CONCATENATE(AJ874,"  &lt;=&gt; ",AK874," ",AL874))</f>
        <v>578 - AW</v>
      </c>
      <c r="AO874" s="121" t="str">
        <f>IF('Cable Info'!N579="","",CONCATENATE('Cable Info'!N579," - ",'Cable Info'!O579))</f>
        <v>578 - AW</v>
      </c>
      <c r="AR874" s="121" t="str">
        <f t="shared" ref="AR874:AR937" si="168">IF(AP874="",AO874,CONCATENATE(AO874,"  &lt;=&gt; ",AP874," ",AQ874))</f>
        <v>578 - AW</v>
      </c>
      <c r="AT874" s="121" t="str">
        <f>IF('Cable Info'!P579="","",CONCATENATE('Cable Info'!P579," - ",'Cable Info'!Q579))</f>
        <v/>
      </c>
      <c r="AW874" s="121" t="str">
        <f t="shared" ref="AW874:AW937" si="169">IF(AU874="",AT874,CONCATENATE(AT874,"  &lt;=&gt; ",AU874," ",AV874))</f>
        <v/>
      </c>
      <c r="AY874" s="121" t="str">
        <f>IF('Cable Info'!R579="","",CONCATENATE('Cable Info'!R579," - ",'Cable Info'!S579))</f>
        <v/>
      </c>
      <c r="BB874" s="121" t="str">
        <f t="shared" ref="BB874:BB937" si="170">IF(AZ874="",AY874,CONCATENATE(AY874,"  &lt;=&gt; ",AZ874," ",BA874))</f>
        <v/>
      </c>
      <c r="BD874" s="121" t="str">
        <f>IF('Cable Info'!T579="","",CONCATENATE('Cable Info'!T579," - ",'Cable Info'!U579))</f>
        <v/>
      </c>
      <c r="BG874" s="121" t="str">
        <f t="shared" ref="BG874:BG937" si="171">IF(BE874="",BD874,CONCATENATE(BD874,"  &lt;=&gt; ",BE874," ",BF874))</f>
        <v/>
      </c>
      <c r="BI874" s="121" t="str">
        <f>IF('Cable Info'!V579="","",CONCATENATE('Cable Info'!V579," - ",'Cable Info'!W579))</f>
        <v/>
      </c>
      <c r="BL874" s="121" t="str">
        <f t="shared" ref="BL874:BL937" si="172">IF(BJ874="",BI874,CONCATENATE(BI874,"  &lt;=&gt; ",BJ874," ",BK874))</f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str">
        <f>IF('Cable Info'!L580="","",CONCATENATE('Cable Info'!L580," - ",'Cable Info'!M580))</f>
        <v>579 - AW</v>
      </c>
      <c r="AM875" s="121" t="str">
        <f t="shared" si="167"/>
        <v>579 - AW</v>
      </c>
      <c r="AO875" s="121" t="str">
        <f>IF('Cable Info'!N580="","",CONCATENATE('Cable Info'!N580," - ",'Cable Info'!O580))</f>
        <v>579 - AW</v>
      </c>
      <c r="AR875" s="121" t="str">
        <f t="shared" si="168"/>
        <v>579 - AW</v>
      </c>
      <c r="AT875" s="121" t="str">
        <f>IF('Cable Info'!P580="","",CONCATENATE('Cable Info'!P580," - ",'Cable Info'!Q580))</f>
        <v/>
      </c>
      <c r="AW875" s="121" t="str">
        <f t="shared" si="169"/>
        <v/>
      </c>
      <c r="AY875" s="121" t="str">
        <f>IF('Cable Info'!R580="","",CONCATENATE('Cable Info'!R580," - ",'Cable Info'!S580))</f>
        <v/>
      </c>
      <c r="BB875" s="121" t="str">
        <f t="shared" si="170"/>
        <v/>
      </c>
      <c r="BD875" s="121" t="str">
        <f>IF('Cable Info'!T580="","",CONCATENATE('Cable Info'!T580," - ",'Cable Info'!U580))</f>
        <v/>
      </c>
      <c r="BG875" s="121" t="str">
        <f t="shared" si="171"/>
        <v/>
      </c>
      <c r="BI875" s="121" t="str">
        <f>IF('Cable Info'!V580="","",CONCATENATE('Cable Info'!V580," - ",'Cable Info'!W580))</f>
        <v/>
      </c>
      <c r="BL875" s="121" t="str">
        <f t="shared" si="172"/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str">
        <f>IF('Cable Info'!L581="","",CONCATENATE('Cable Info'!L581," - ",'Cable Info'!M581))</f>
        <v>580 - AW</v>
      </c>
      <c r="AM876" s="121" t="str">
        <f t="shared" si="167"/>
        <v>580 - AW</v>
      </c>
      <c r="AO876" s="121" t="str">
        <f>IF('Cable Info'!N581="","",CONCATENATE('Cable Info'!N581," - ",'Cable Info'!O581))</f>
        <v>580 - AW</v>
      </c>
      <c r="AR876" s="121" t="str">
        <f t="shared" si="168"/>
        <v>580 - AW</v>
      </c>
      <c r="AT876" s="121" t="str">
        <f>IF('Cable Info'!P581="","",CONCATENATE('Cable Info'!P581," - ",'Cable Info'!Q581))</f>
        <v/>
      </c>
      <c r="AW876" s="121" t="str">
        <f t="shared" si="169"/>
        <v/>
      </c>
      <c r="AY876" s="121" t="str">
        <f>IF('Cable Info'!R581="","",CONCATENATE('Cable Info'!R581," - ",'Cable Info'!S581))</f>
        <v/>
      </c>
      <c r="BB876" s="121" t="str">
        <f t="shared" si="170"/>
        <v/>
      </c>
      <c r="BD876" s="121" t="str">
        <f>IF('Cable Info'!T581="","",CONCATENATE('Cable Info'!T581," - ",'Cable Info'!U581))</f>
        <v/>
      </c>
      <c r="BG876" s="121" t="str">
        <f t="shared" si="171"/>
        <v/>
      </c>
      <c r="BI876" s="121" t="str">
        <f>IF('Cable Info'!V581="","",CONCATENATE('Cable Info'!V581," - ",'Cable Info'!W581))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str">
        <f>IF('Cable Info'!L582="","",CONCATENATE('Cable Info'!L582," - ",'Cable Info'!M582))</f>
        <v>581 - AW</v>
      </c>
      <c r="AM877" s="121" t="str">
        <f t="shared" si="167"/>
        <v>581 - AW</v>
      </c>
      <c r="AO877" s="121" t="str">
        <f>IF('Cable Info'!N582="","",CONCATENATE('Cable Info'!N582," - ",'Cable Info'!O582))</f>
        <v>581 - AW</v>
      </c>
      <c r="AR877" s="121" t="str">
        <f t="shared" si="168"/>
        <v>581 - AW</v>
      </c>
      <c r="AT877" s="121" t="str">
        <f>IF('Cable Info'!P582="","",CONCATENATE('Cable Info'!P582," - ",'Cable Info'!Q582))</f>
        <v/>
      </c>
      <c r="AW877" s="121" t="str">
        <f t="shared" si="169"/>
        <v/>
      </c>
      <c r="AY877" s="121" t="str">
        <f>IF('Cable Info'!R582="","",CONCATENATE('Cable Info'!R582," - ",'Cable Info'!S582))</f>
        <v/>
      </c>
      <c r="BB877" s="121" t="str">
        <f t="shared" si="170"/>
        <v/>
      </c>
      <c r="BD877" s="121" t="str">
        <f>IF('Cable Info'!T582="","",CONCATENATE('Cable Info'!T582," - ",'Cable Info'!U582))</f>
        <v/>
      </c>
      <c r="BG877" s="121" t="str">
        <f t="shared" si="171"/>
        <v/>
      </c>
      <c r="BI877" s="121" t="str">
        <f>IF('Cable Info'!V582="","",CONCATENATE('Cable Info'!V582," - ",'Cable Info'!W582))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str">
        <f>IF('Cable Info'!L583="","",CONCATENATE('Cable Info'!L583," - ",'Cable Info'!M583))</f>
        <v>582 - AW</v>
      </c>
      <c r="AM878" s="121" t="str">
        <f t="shared" si="167"/>
        <v>582 - AW</v>
      </c>
      <c r="AO878" s="121" t="str">
        <f>IF('Cable Info'!N583="","",CONCATENATE('Cable Info'!N583," - ",'Cable Info'!O583))</f>
        <v>582 - AW</v>
      </c>
      <c r="AR878" s="121" t="str">
        <f t="shared" si="168"/>
        <v>582 - AW</v>
      </c>
      <c r="AT878" s="121" t="str">
        <f>IF('Cable Info'!P583="","",CONCATENATE('Cable Info'!P583," - ",'Cable Info'!Q583))</f>
        <v/>
      </c>
      <c r="AW878" s="121" t="str">
        <f t="shared" si="169"/>
        <v/>
      </c>
      <c r="AY878" s="121" t="str">
        <f>IF('Cable Info'!R583="","",CONCATENATE('Cable Info'!R583," - ",'Cable Info'!S583))</f>
        <v/>
      </c>
      <c r="BB878" s="121" t="str">
        <f t="shared" si="170"/>
        <v/>
      </c>
      <c r="BD878" s="121" t="str">
        <f>IF('Cable Info'!T583="","",CONCATENATE('Cable Info'!T583," - ",'Cable Info'!U583))</f>
        <v/>
      </c>
      <c r="BG878" s="121" t="str">
        <f t="shared" si="171"/>
        <v/>
      </c>
      <c r="BI878" s="121" t="str">
        <f>IF('Cable Info'!V583="","",CONCATENATE('Cable Info'!V583," - ",'Cable Info'!W583))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str">
        <f>IF('Cable Info'!L584="","",CONCATENATE('Cable Info'!L584," - ",'Cable Info'!M584))</f>
        <v>583 - AW</v>
      </c>
      <c r="AM879" s="121" t="str">
        <f t="shared" si="167"/>
        <v>583 - AW</v>
      </c>
      <c r="AO879" s="121" t="str">
        <f>IF('Cable Info'!N584="","",CONCATENATE('Cable Info'!N584," - ",'Cable Info'!O584))</f>
        <v>583 - AW</v>
      </c>
      <c r="AR879" s="121" t="str">
        <f t="shared" si="168"/>
        <v>583 - AW</v>
      </c>
      <c r="AT879" s="121" t="str">
        <f>IF('Cable Info'!P584="","",CONCATENATE('Cable Info'!P584," - ",'Cable Info'!Q584))</f>
        <v/>
      </c>
      <c r="AW879" s="121" t="str">
        <f t="shared" si="169"/>
        <v/>
      </c>
      <c r="AY879" s="121" t="str">
        <f>IF('Cable Info'!R584="","",CONCATENATE('Cable Info'!R584," - ",'Cable Info'!S584))</f>
        <v/>
      </c>
      <c r="BB879" s="121" t="str">
        <f t="shared" si="170"/>
        <v/>
      </c>
      <c r="BD879" s="121" t="str">
        <f>IF('Cable Info'!T584="","",CONCATENATE('Cable Info'!T584," - ",'Cable Info'!U584))</f>
        <v/>
      </c>
      <c r="BG879" s="121" t="str">
        <f t="shared" si="171"/>
        <v/>
      </c>
      <c r="BI879" s="121" t="str">
        <f>IF('Cable Info'!V584="","",CONCATENATE('Cable Info'!V584," - ",'Cable Info'!W584))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str">
        <f>IF('Cable Info'!L585="","",CONCATENATE('Cable Info'!L585," - ",'Cable Info'!M585))</f>
        <v>584 - AW</v>
      </c>
      <c r="AM880" s="121" t="str">
        <f t="shared" si="167"/>
        <v>584 - AW</v>
      </c>
      <c r="AO880" s="121" t="str">
        <f>IF('Cable Info'!N585="","",CONCATENATE('Cable Info'!N585," - ",'Cable Info'!O585))</f>
        <v>584 - AW</v>
      </c>
      <c r="AR880" s="121" t="str">
        <f t="shared" si="168"/>
        <v>584 - AW</v>
      </c>
      <c r="AT880" s="121" t="str">
        <f>IF('Cable Info'!P585="","",CONCATENATE('Cable Info'!P585," - ",'Cable Info'!Q585))</f>
        <v/>
      </c>
      <c r="AW880" s="121" t="str">
        <f t="shared" si="169"/>
        <v/>
      </c>
      <c r="AY880" s="121" t="str">
        <f>IF('Cable Info'!R585="","",CONCATENATE('Cable Info'!R585," - ",'Cable Info'!S585))</f>
        <v/>
      </c>
      <c r="BB880" s="121" t="str">
        <f t="shared" si="170"/>
        <v/>
      </c>
      <c r="BD880" s="121" t="str">
        <f>IF('Cable Info'!T585="","",CONCATENATE('Cable Info'!T585," - ",'Cable Info'!U585))</f>
        <v/>
      </c>
      <c r="BG880" s="121" t="str">
        <f t="shared" si="171"/>
        <v/>
      </c>
      <c r="BI880" s="121" t="str">
        <f>IF('Cable Info'!V585="","",CONCATENATE('Cable Info'!V585," - ",'Cable Info'!W585))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str">
        <f>IF('Cable Info'!L586="","",CONCATENATE('Cable Info'!L586," - ",'Cable Info'!M586))</f>
        <v>585 - AW</v>
      </c>
      <c r="AM881" s="121" t="str">
        <f t="shared" si="167"/>
        <v>585 - AW</v>
      </c>
      <c r="AO881" s="121" t="str">
        <f>IF('Cable Info'!N586="","",CONCATENATE('Cable Info'!N586," - ",'Cable Info'!O586))</f>
        <v>585 - AW</v>
      </c>
      <c r="AR881" s="121" t="str">
        <f t="shared" si="168"/>
        <v>585 - AW</v>
      </c>
      <c r="AT881" s="121" t="str">
        <f>IF('Cable Info'!P586="","",CONCATENATE('Cable Info'!P586," - ",'Cable Info'!Q586))</f>
        <v/>
      </c>
      <c r="AW881" s="121" t="str">
        <f t="shared" si="169"/>
        <v/>
      </c>
      <c r="AY881" s="121" t="str">
        <f>IF('Cable Info'!R586="","",CONCATENATE('Cable Info'!R586," - ",'Cable Info'!S586))</f>
        <v/>
      </c>
      <c r="BB881" s="121" t="str">
        <f t="shared" si="170"/>
        <v/>
      </c>
      <c r="BD881" s="121" t="str">
        <f>IF('Cable Info'!T586="","",CONCATENATE('Cable Info'!T586," - ",'Cable Info'!U586))</f>
        <v/>
      </c>
      <c r="BG881" s="121" t="str">
        <f t="shared" si="171"/>
        <v/>
      </c>
      <c r="BI881" s="121" t="str">
        <f>IF('Cable Info'!V586="","",CONCATENATE('Cable Info'!V586," - ",'Cable Info'!W586))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str">
        <f>IF('Cable Info'!L587="","",CONCATENATE('Cable Info'!L587," - ",'Cable Info'!M587))</f>
        <v>586 - AW</v>
      </c>
      <c r="AM882" s="121" t="str">
        <f t="shared" si="167"/>
        <v>586 - AW</v>
      </c>
      <c r="AO882" s="121" t="str">
        <f>IF('Cable Info'!N587="","",CONCATENATE('Cable Info'!N587," - ",'Cable Info'!O587))</f>
        <v>586 - AW</v>
      </c>
      <c r="AR882" s="121" t="str">
        <f t="shared" si="168"/>
        <v>586 - AW</v>
      </c>
      <c r="AT882" s="121" t="str">
        <f>IF('Cable Info'!P587="","",CONCATENATE('Cable Info'!P587," - ",'Cable Info'!Q587))</f>
        <v/>
      </c>
      <c r="AW882" s="121" t="str">
        <f t="shared" si="169"/>
        <v/>
      </c>
      <c r="AY882" s="121" t="str">
        <f>IF('Cable Info'!R587="","",CONCATENATE('Cable Info'!R587," - ",'Cable Info'!S587))</f>
        <v/>
      </c>
      <c r="BB882" s="121" t="str">
        <f t="shared" si="170"/>
        <v/>
      </c>
      <c r="BD882" s="121" t="str">
        <f>IF('Cable Info'!T587="","",CONCATENATE('Cable Info'!T587," - ",'Cable Info'!U587))</f>
        <v/>
      </c>
      <c r="BG882" s="121" t="str">
        <f t="shared" si="171"/>
        <v/>
      </c>
      <c r="BI882" s="121" t="str">
        <f>IF('Cable Info'!V587="","",CONCATENATE('Cable Info'!V587," - ",'Cable Info'!W587))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str">
        <f>IF('Cable Info'!L588="","",CONCATENATE('Cable Info'!L588," - ",'Cable Info'!M588))</f>
        <v>587 - AW</v>
      </c>
      <c r="AM883" s="121" t="str">
        <f t="shared" si="167"/>
        <v>587 - AW</v>
      </c>
      <c r="AO883" s="121" t="str">
        <f>IF('Cable Info'!N588="","",CONCATENATE('Cable Info'!N588," - ",'Cable Info'!O588))</f>
        <v>587 - AW</v>
      </c>
      <c r="AR883" s="121" t="str">
        <f t="shared" si="168"/>
        <v>587 - AW</v>
      </c>
      <c r="AT883" s="121" t="str">
        <f>IF('Cable Info'!P588="","",CONCATENATE('Cable Info'!P588," - ",'Cable Info'!Q588))</f>
        <v/>
      </c>
      <c r="AW883" s="121" t="str">
        <f t="shared" si="169"/>
        <v/>
      </c>
      <c r="AY883" s="121" t="str">
        <f>IF('Cable Info'!R588="","",CONCATENATE('Cable Info'!R588," - ",'Cable Info'!S588))</f>
        <v/>
      </c>
      <c r="BB883" s="121" t="str">
        <f t="shared" si="170"/>
        <v/>
      </c>
      <c r="BD883" s="121" t="str">
        <f>IF('Cable Info'!T588="","",CONCATENATE('Cable Info'!T588," - ",'Cable Info'!U588))</f>
        <v/>
      </c>
      <c r="BG883" s="121" t="str">
        <f t="shared" si="171"/>
        <v/>
      </c>
      <c r="BI883" s="121" t="str">
        <f>IF('Cable Info'!V588="","",CONCATENATE('Cable Info'!V588," - ",'Cable Info'!W588))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str">
        <f>IF('Cable Info'!L589="","",CONCATENATE('Cable Info'!L589," - ",'Cable Info'!M589))</f>
        <v>588 - AW</v>
      </c>
      <c r="AM884" s="121" t="str">
        <f t="shared" si="167"/>
        <v>588 - AW</v>
      </c>
      <c r="AO884" s="121" t="str">
        <f>IF('Cable Info'!N589="","",CONCATENATE('Cable Info'!N589," - ",'Cable Info'!O589))</f>
        <v>588 - AW</v>
      </c>
      <c r="AR884" s="121" t="str">
        <f t="shared" si="168"/>
        <v>588 - AW</v>
      </c>
      <c r="AT884" s="121" t="str">
        <f>IF('Cable Info'!P589="","",CONCATENATE('Cable Info'!P589," - ",'Cable Info'!Q589))</f>
        <v/>
      </c>
      <c r="AW884" s="121" t="str">
        <f t="shared" si="169"/>
        <v/>
      </c>
      <c r="AY884" s="121" t="str">
        <f>IF('Cable Info'!R589="","",CONCATENATE('Cable Info'!R589," - ",'Cable Info'!S589))</f>
        <v/>
      </c>
      <c r="BB884" s="121" t="str">
        <f t="shared" si="170"/>
        <v/>
      </c>
      <c r="BD884" s="121" t="str">
        <f>IF('Cable Info'!T589="","",CONCATENATE('Cable Info'!T589," - ",'Cable Info'!U589))</f>
        <v/>
      </c>
      <c r="BG884" s="121" t="str">
        <f t="shared" si="171"/>
        <v/>
      </c>
      <c r="BI884" s="121" t="str">
        <f>IF('Cable Info'!V589="","",CONCATENATE('Cable Info'!V589," - ",'Cable Info'!W589))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str">
        <f>IF('Cable Info'!L590="","",CONCATENATE('Cable Info'!L590," - ",'Cable Info'!M590))</f>
        <v>589 - AW</v>
      </c>
      <c r="AM885" s="121" t="str">
        <f t="shared" si="167"/>
        <v>589 - AW</v>
      </c>
      <c r="AO885" s="121" t="str">
        <f>IF('Cable Info'!N590="","",CONCATENATE('Cable Info'!N590," - ",'Cable Info'!O590))</f>
        <v>589 - AW</v>
      </c>
      <c r="AR885" s="121" t="str">
        <f t="shared" si="168"/>
        <v>589 - AW</v>
      </c>
      <c r="AT885" s="121" t="str">
        <f>IF('Cable Info'!P590="","",CONCATENATE('Cable Info'!P590," - ",'Cable Info'!Q590))</f>
        <v/>
      </c>
      <c r="AW885" s="121" t="str">
        <f t="shared" si="169"/>
        <v/>
      </c>
      <c r="AY885" s="121" t="str">
        <f>IF('Cable Info'!R590="","",CONCATENATE('Cable Info'!R590," - ",'Cable Info'!S590))</f>
        <v/>
      </c>
      <c r="BB885" s="121" t="str">
        <f t="shared" si="170"/>
        <v/>
      </c>
      <c r="BD885" s="121" t="str">
        <f>IF('Cable Info'!T590="","",CONCATENATE('Cable Info'!T590," - ",'Cable Info'!U590))</f>
        <v/>
      </c>
      <c r="BG885" s="121" t="str">
        <f t="shared" si="171"/>
        <v/>
      </c>
      <c r="BI885" s="121" t="str">
        <f>IF('Cable Info'!V590="","",CONCATENATE('Cable Info'!V590," - ",'Cable Info'!W590))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str">
        <f>IF('Cable Info'!L591="","",CONCATENATE('Cable Info'!L591," - ",'Cable Info'!M591))</f>
        <v>590 - AW</v>
      </c>
      <c r="AM886" s="121" t="str">
        <f t="shared" si="167"/>
        <v>590 - AW</v>
      </c>
      <c r="AO886" s="121" t="str">
        <f>IF('Cable Info'!N591="","",CONCATENATE('Cable Info'!N591," - ",'Cable Info'!O591))</f>
        <v>590 - AW</v>
      </c>
      <c r="AR886" s="121" t="str">
        <f t="shared" si="168"/>
        <v>590 - AW</v>
      </c>
      <c r="AT886" s="121" t="str">
        <f>IF('Cable Info'!P591="","",CONCATENATE('Cable Info'!P591," - ",'Cable Info'!Q591))</f>
        <v/>
      </c>
      <c r="AW886" s="121" t="str">
        <f t="shared" si="169"/>
        <v/>
      </c>
      <c r="AY886" s="121" t="str">
        <f>IF('Cable Info'!R591="","",CONCATENATE('Cable Info'!R591," - ",'Cable Info'!S591))</f>
        <v/>
      </c>
      <c r="BB886" s="121" t="str">
        <f t="shared" si="170"/>
        <v/>
      </c>
      <c r="BD886" s="121" t="str">
        <f>IF('Cable Info'!T591="","",CONCATENATE('Cable Info'!T591," - ",'Cable Info'!U591))</f>
        <v/>
      </c>
      <c r="BG886" s="121" t="str">
        <f t="shared" si="171"/>
        <v/>
      </c>
      <c r="BI886" s="121" t="str">
        <f>IF('Cable Info'!V591="","",CONCATENATE('Cable Info'!V591," - ",'Cable Info'!W591))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str">
        <f>IF('Cable Info'!L592="","",CONCATENATE('Cable Info'!L592," - ",'Cable Info'!M592))</f>
        <v>591 - AW</v>
      </c>
      <c r="AM887" s="121" t="str">
        <f t="shared" si="167"/>
        <v>591 - AW</v>
      </c>
      <c r="AO887" s="121" t="str">
        <f>IF('Cable Info'!N592="","",CONCATENATE('Cable Info'!N592," - ",'Cable Info'!O592))</f>
        <v>591 - AW</v>
      </c>
      <c r="AR887" s="121" t="str">
        <f t="shared" si="168"/>
        <v>591 - AW</v>
      </c>
      <c r="AT887" s="121" t="str">
        <f>IF('Cable Info'!P592="","",CONCATENATE('Cable Info'!P592," - ",'Cable Info'!Q592))</f>
        <v/>
      </c>
      <c r="AW887" s="121" t="str">
        <f t="shared" si="169"/>
        <v/>
      </c>
      <c r="AY887" s="121" t="str">
        <f>IF('Cable Info'!R592="","",CONCATENATE('Cable Info'!R592," - ",'Cable Info'!S592))</f>
        <v/>
      </c>
      <c r="BB887" s="121" t="str">
        <f t="shared" si="170"/>
        <v/>
      </c>
      <c r="BD887" s="121" t="str">
        <f>IF('Cable Info'!T592="","",CONCATENATE('Cable Info'!T592," - ",'Cable Info'!U592))</f>
        <v/>
      </c>
      <c r="BG887" s="121" t="str">
        <f t="shared" si="171"/>
        <v/>
      </c>
      <c r="BI887" s="121" t="str">
        <f>IF('Cable Info'!V592="","",CONCATENATE('Cable Info'!V592," - ",'Cable Info'!W592))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str">
        <f>IF('Cable Info'!L593="","",CONCATENATE('Cable Info'!L593," - ",'Cable Info'!M593))</f>
        <v>592 - AW</v>
      </c>
      <c r="AM888" s="121" t="str">
        <f t="shared" si="167"/>
        <v>592 - AW</v>
      </c>
      <c r="AO888" s="121" t="str">
        <f>IF('Cable Info'!N593="","",CONCATENATE('Cable Info'!N593," - ",'Cable Info'!O593))</f>
        <v>592 - AW</v>
      </c>
      <c r="AR888" s="121" t="str">
        <f t="shared" si="168"/>
        <v>592 - AW</v>
      </c>
      <c r="AT888" s="121" t="str">
        <f>IF('Cable Info'!P593="","",CONCATENATE('Cable Info'!P593," - ",'Cable Info'!Q593))</f>
        <v/>
      </c>
      <c r="AW888" s="121" t="str">
        <f t="shared" si="169"/>
        <v/>
      </c>
      <c r="AY888" s="121" t="str">
        <f>IF('Cable Info'!R593="","",CONCATENATE('Cable Info'!R593," - ",'Cable Info'!S593))</f>
        <v/>
      </c>
      <c r="BB888" s="121" t="str">
        <f t="shared" si="170"/>
        <v/>
      </c>
      <c r="BD888" s="121" t="str">
        <f>IF('Cable Info'!T593="","",CONCATENATE('Cable Info'!T593," - ",'Cable Info'!U593))</f>
        <v/>
      </c>
      <c r="BG888" s="121" t="str">
        <f t="shared" si="171"/>
        <v/>
      </c>
      <c r="BI888" s="121" t="str">
        <f>IF('Cable Info'!V593="","",CONCATENATE('Cable Info'!V593," - ",'Cable Info'!W593))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str">
        <f>IF('Cable Info'!L594="","",CONCATENATE('Cable Info'!L594," - ",'Cable Info'!M594))</f>
        <v>593 - AW</v>
      </c>
      <c r="AM889" s="121" t="str">
        <f t="shared" si="167"/>
        <v>593 - AW</v>
      </c>
      <c r="AO889" s="121" t="str">
        <f>IF('Cable Info'!N594="","",CONCATENATE('Cable Info'!N594," - ",'Cable Info'!O594))</f>
        <v>593 - AW</v>
      </c>
      <c r="AR889" s="121" t="str">
        <f t="shared" si="168"/>
        <v>593 - AW</v>
      </c>
      <c r="AT889" s="121" t="str">
        <f>IF('Cable Info'!P594="","",CONCATENATE('Cable Info'!P594," - ",'Cable Info'!Q594))</f>
        <v/>
      </c>
      <c r="AW889" s="121" t="str">
        <f t="shared" si="169"/>
        <v/>
      </c>
      <c r="AY889" s="121" t="str">
        <f>IF('Cable Info'!R594="","",CONCATENATE('Cable Info'!R594," - ",'Cable Info'!S594))</f>
        <v/>
      </c>
      <c r="BB889" s="121" t="str">
        <f t="shared" si="170"/>
        <v/>
      </c>
      <c r="BD889" s="121" t="str">
        <f>IF('Cable Info'!T594="","",CONCATENATE('Cable Info'!T594," - ",'Cable Info'!U594))</f>
        <v/>
      </c>
      <c r="BG889" s="121" t="str">
        <f t="shared" si="171"/>
        <v/>
      </c>
      <c r="BI889" s="121" t="str">
        <f>IF('Cable Info'!V594="","",CONCATENATE('Cable Info'!V594," - ",'Cable Info'!W594))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str">
        <f>IF('Cable Info'!L595="","",CONCATENATE('Cable Info'!L595," - ",'Cable Info'!M595))</f>
        <v>594 - AW</v>
      </c>
      <c r="AM890" s="121" t="str">
        <f t="shared" si="167"/>
        <v>594 - AW</v>
      </c>
      <c r="AO890" s="121" t="str">
        <f>IF('Cable Info'!N595="","",CONCATENATE('Cable Info'!N595," - ",'Cable Info'!O595))</f>
        <v>594 - AW</v>
      </c>
      <c r="AR890" s="121" t="str">
        <f t="shared" si="168"/>
        <v>594 - AW</v>
      </c>
      <c r="AT890" s="121" t="str">
        <f>IF('Cable Info'!P595="","",CONCATENATE('Cable Info'!P595," - ",'Cable Info'!Q595))</f>
        <v/>
      </c>
      <c r="AW890" s="121" t="str">
        <f t="shared" si="169"/>
        <v/>
      </c>
      <c r="AY890" s="121" t="str">
        <f>IF('Cable Info'!R595="","",CONCATENATE('Cable Info'!R595," - ",'Cable Info'!S595))</f>
        <v/>
      </c>
      <c r="BB890" s="121" t="str">
        <f t="shared" si="170"/>
        <v/>
      </c>
      <c r="BD890" s="121" t="str">
        <f>IF('Cable Info'!T595="","",CONCATENATE('Cable Info'!T595," - ",'Cable Info'!U595))</f>
        <v/>
      </c>
      <c r="BG890" s="121" t="str">
        <f t="shared" si="171"/>
        <v/>
      </c>
      <c r="BI890" s="121" t="str">
        <f>IF('Cable Info'!V595="","",CONCATENATE('Cable Info'!V595," - ",'Cable Info'!W595))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str">
        <f>IF('Cable Info'!L596="","",CONCATENATE('Cable Info'!L596," - ",'Cable Info'!M596))</f>
        <v>595 - AW</v>
      </c>
      <c r="AM891" s="121" t="str">
        <f t="shared" si="167"/>
        <v>595 - AW</v>
      </c>
      <c r="AO891" s="121" t="str">
        <f>IF('Cable Info'!N596="","",CONCATENATE('Cable Info'!N596," - ",'Cable Info'!O596))</f>
        <v>595 - AW</v>
      </c>
      <c r="AR891" s="121" t="str">
        <f t="shared" si="168"/>
        <v>595 - AW</v>
      </c>
      <c r="AT891" s="121" t="str">
        <f>IF('Cable Info'!P596="","",CONCATENATE('Cable Info'!P596," - ",'Cable Info'!Q596))</f>
        <v/>
      </c>
      <c r="AW891" s="121" t="str">
        <f t="shared" si="169"/>
        <v/>
      </c>
      <c r="AY891" s="121" t="str">
        <f>IF('Cable Info'!R596="","",CONCATENATE('Cable Info'!R596," - ",'Cable Info'!S596))</f>
        <v/>
      </c>
      <c r="BB891" s="121" t="str">
        <f t="shared" si="170"/>
        <v/>
      </c>
      <c r="BD891" s="121" t="str">
        <f>IF('Cable Info'!T596="","",CONCATENATE('Cable Info'!T596," - ",'Cable Info'!U596))</f>
        <v/>
      </c>
      <c r="BG891" s="121" t="str">
        <f t="shared" si="171"/>
        <v/>
      </c>
      <c r="BI891" s="121" t="str">
        <f>IF('Cable Info'!V596="","",CONCATENATE('Cable Info'!V596," - ",'Cable Info'!W596))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str">
        <f>IF('Cable Info'!L597="","",CONCATENATE('Cable Info'!L597," - ",'Cable Info'!M597))</f>
        <v>596 - AW</v>
      </c>
      <c r="AM892" s="121" t="str">
        <f t="shared" si="167"/>
        <v>596 - AW</v>
      </c>
      <c r="AO892" s="121" t="str">
        <f>IF('Cable Info'!N597="","",CONCATENATE('Cable Info'!N597," - ",'Cable Info'!O597))</f>
        <v>596 - AW</v>
      </c>
      <c r="AR892" s="121" t="str">
        <f t="shared" si="168"/>
        <v>596 - AW</v>
      </c>
      <c r="AT892" s="121" t="str">
        <f>IF('Cable Info'!P597="","",CONCATENATE('Cable Info'!P597," - ",'Cable Info'!Q597))</f>
        <v/>
      </c>
      <c r="AW892" s="121" t="str">
        <f t="shared" si="169"/>
        <v/>
      </c>
      <c r="AY892" s="121" t="str">
        <f>IF('Cable Info'!R597="","",CONCATENATE('Cable Info'!R597," - ",'Cable Info'!S597))</f>
        <v/>
      </c>
      <c r="BB892" s="121" t="str">
        <f t="shared" si="170"/>
        <v/>
      </c>
      <c r="BD892" s="121" t="str">
        <f>IF('Cable Info'!T597="","",CONCATENATE('Cable Info'!T597," - ",'Cable Info'!U597))</f>
        <v/>
      </c>
      <c r="BG892" s="121" t="str">
        <f t="shared" si="171"/>
        <v/>
      </c>
      <c r="BI892" s="121" t="str">
        <f>IF('Cable Info'!V597="","",CONCATENATE('Cable Info'!V597," - ",'Cable Info'!W597))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str">
        <f>IF('Cable Info'!L598="","",CONCATENATE('Cable Info'!L598," - ",'Cable Info'!M598))</f>
        <v>597 - AW</v>
      </c>
      <c r="AM893" s="121" t="str">
        <f t="shared" si="167"/>
        <v>597 - AW</v>
      </c>
      <c r="AO893" s="121" t="str">
        <f>IF('Cable Info'!N598="","",CONCATENATE('Cable Info'!N598," - ",'Cable Info'!O598))</f>
        <v>597 - AW</v>
      </c>
      <c r="AR893" s="121" t="str">
        <f t="shared" si="168"/>
        <v>597 - AW</v>
      </c>
      <c r="AT893" s="121" t="str">
        <f>IF('Cable Info'!P598="","",CONCATENATE('Cable Info'!P598," - ",'Cable Info'!Q598))</f>
        <v/>
      </c>
      <c r="AW893" s="121" t="str">
        <f t="shared" si="169"/>
        <v/>
      </c>
      <c r="AY893" s="121" t="str">
        <f>IF('Cable Info'!R598="","",CONCATENATE('Cable Info'!R598," - ",'Cable Info'!S598))</f>
        <v/>
      </c>
      <c r="BB893" s="121" t="str">
        <f t="shared" si="170"/>
        <v/>
      </c>
      <c r="BD893" s="121" t="str">
        <f>IF('Cable Info'!T598="","",CONCATENATE('Cable Info'!T598," - ",'Cable Info'!U598))</f>
        <v/>
      </c>
      <c r="BG893" s="121" t="str">
        <f t="shared" si="171"/>
        <v/>
      </c>
      <c r="BI893" s="121" t="str">
        <f>IF('Cable Info'!V598="","",CONCATENATE('Cable Info'!V598," - ",'Cable Info'!W598))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str">
        <f>IF('Cable Info'!L599="","",CONCATENATE('Cable Info'!L599," - ",'Cable Info'!M599))</f>
        <v>598 - AW</v>
      </c>
      <c r="AM894" s="121" t="str">
        <f t="shared" si="167"/>
        <v>598 - AW</v>
      </c>
      <c r="AO894" s="121" t="str">
        <f>IF('Cable Info'!N599="","",CONCATENATE('Cable Info'!N599," - ",'Cable Info'!O599))</f>
        <v>598 - AW</v>
      </c>
      <c r="AR894" s="121" t="str">
        <f t="shared" si="168"/>
        <v>598 - AW</v>
      </c>
      <c r="AT894" s="121" t="str">
        <f>IF('Cable Info'!P599="","",CONCATENATE('Cable Info'!P599," - ",'Cable Info'!Q599))</f>
        <v/>
      </c>
      <c r="AW894" s="121" t="str">
        <f t="shared" si="169"/>
        <v/>
      </c>
      <c r="AY894" s="121" t="str">
        <f>IF('Cable Info'!R599="","",CONCATENATE('Cable Info'!R599," - ",'Cable Info'!S599))</f>
        <v/>
      </c>
      <c r="BB894" s="121" t="str">
        <f t="shared" si="170"/>
        <v/>
      </c>
      <c r="BD894" s="121" t="str">
        <f>IF('Cable Info'!T599="","",CONCATENATE('Cable Info'!T599," - ",'Cable Info'!U599))</f>
        <v/>
      </c>
      <c r="BG894" s="121" t="str">
        <f t="shared" si="171"/>
        <v/>
      </c>
      <c r="BI894" s="121" t="str">
        <f>IF('Cable Info'!V599="","",CONCATENATE('Cable Info'!V599," - ",'Cable Info'!W599))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str">
        <f>IF('Cable Info'!L600="","",CONCATENATE('Cable Info'!L600," - ",'Cable Info'!M600))</f>
        <v>599 - AW</v>
      </c>
      <c r="AM895" s="121" t="str">
        <f t="shared" si="167"/>
        <v>599 - AW</v>
      </c>
      <c r="AO895" s="121" t="str">
        <f>IF('Cable Info'!N600="","",CONCATENATE('Cable Info'!N600," - ",'Cable Info'!O600))</f>
        <v>599 - AW</v>
      </c>
      <c r="AR895" s="121" t="str">
        <f t="shared" si="168"/>
        <v>599 - AW</v>
      </c>
      <c r="AT895" s="121" t="str">
        <f>IF('Cable Info'!P600="","",CONCATENATE('Cable Info'!P600," - ",'Cable Info'!Q600))</f>
        <v/>
      </c>
      <c r="AW895" s="121" t="str">
        <f t="shared" si="169"/>
        <v/>
      </c>
      <c r="AY895" s="121" t="str">
        <f>IF('Cable Info'!R600="","",CONCATENATE('Cable Info'!R600," - ",'Cable Info'!S600))</f>
        <v/>
      </c>
      <c r="BB895" s="121" t="str">
        <f t="shared" si="170"/>
        <v/>
      </c>
      <c r="BD895" s="121" t="str">
        <f>IF('Cable Info'!T600="","",CONCATENATE('Cable Info'!T600," - ",'Cable Info'!U600))</f>
        <v/>
      </c>
      <c r="BG895" s="121" t="str">
        <f t="shared" si="171"/>
        <v/>
      </c>
      <c r="BI895" s="121" t="str">
        <f>IF('Cable Info'!V600="","",CONCATENATE('Cable Info'!V600," - ",'Cable Info'!W600))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str">
        <f>IF('Cable Info'!L601="","",CONCATENATE('Cable Info'!L601," - ",'Cable Info'!M601))</f>
        <v>600 - AW</v>
      </c>
      <c r="AM896" s="121" t="str">
        <f t="shared" si="167"/>
        <v>600 - AW</v>
      </c>
      <c r="AO896" s="121" t="str">
        <f>IF('Cable Info'!N601="","",CONCATENATE('Cable Info'!N601," - ",'Cable Info'!O601))</f>
        <v>600 - AW</v>
      </c>
      <c r="AR896" s="121" t="str">
        <f t="shared" si="168"/>
        <v>600 - AW</v>
      </c>
      <c r="AT896" s="121" t="str">
        <f>IF('Cable Info'!P601="","",CONCATENATE('Cable Info'!P601," - ",'Cable Info'!Q601))</f>
        <v/>
      </c>
      <c r="AW896" s="121" t="str">
        <f t="shared" si="169"/>
        <v/>
      </c>
      <c r="AY896" s="121" t="str">
        <f>IF('Cable Info'!R601="","",CONCATENATE('Cable Info'!R601," - ",'Cable Info'!S601))</f>
        <v/>
      </c>
      <c r="BB896" s="121" t="str">
        <f t="shared" si="170"/>
        <v/>
      </c>
      <c r="BD896" s="121" t="str">
        <f>IF('Cable Info'!T601="","",CONCATENATE('Cable Info'!T601," - ",'Cable Info'!U601))</f>
        <v/>
      </c>
      <c r="BG896" s="121" t="str">
        <f t="shared" si="171"/>
        <v/>
      </c>
      <c r="BI896" s="121" t="str">
        <f>IF('Cable Info'!V601="","",CONCATENATE('Cable Info'!V601," - ",'Cable Info'!W601))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str">
        <f>IF('Cable Info'!L602="","",CONCATENATE('Cable Info'!L602," - ",'Cable Info'!M602))</f>
        <v>601 - AW</v>
      </c>
      <c r="AM897" s="121" t="str">
        <f t="shared" si="167"/>
        <v>601 - AW</v>
      </c>
      <c r="AO897" s="121" t="str">
        <f>IF('Cable Info'!N602="","",CONCATENATE('Cable Info'!N602," - ",'Cable Info'!O602))</f>
        <v>601 - AW</v>
      </c>
      <c r="AR897" s="121" t="str">
        <f t="shared" si="168"/>
        <v>601 - AW</v>
      </c>
      <c r="AT897" s="121" t="str">
        <f>IF('Cable Info'!P602="","",CONCATENATE('Cable Info'!P602," - ",'Cable Info'!Q602))</f>
        <v/>
      </c>
      <c r="AW897" s="121" t="str">
        <f t="shared" si="169"/>
        <v/>
      </c>
      <c r="AY897" s="121" t="str">
        <f>IF('Cable Info'!R602="","",CONCATENATE('Cable Info'!R602," - ",'Cable Info'!S602))</f>
        <v/>
      </c>
      <c r="BB897" s="121" t="str">
        <f t="shared" si="170"/>
        <v/>
      </c>
      <c r="BD897" s="121" t="str">
        <f>IF('Cable Info'!T602="","",CONCATENATE('Cable Info'!T602," - ",'Cable Info'!U602))</f>
        <v/>
      </c>
      <c r="BG897" s="121" t="str">
        <f t="shared" si="171"/>
        <v/>
      </c>
      <c r="BI897" s="121" t="str">
        <f>IF('Cable Info'!V602="","",CONCATENATE('Cable Info'!V602," - ",'Cable Info'!W602))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str">
        <f>IF('Cable Info'!L603="","",CONCATENATE('Cable Info'!L603," - ",'Cable Info'!M603))</f>
        <v>602 - AW</v>
      </c>
      <c r="AM898" s="121" t="str">
        <f t="shared" si="167"/>
        <v>602 - AW</v>
      </c>
      <c r="AO898" s="121" t="str">
        <f>IF('Cable Info'!N603="","",CONCATENATE('Cable Info'!N603," - ",'Cable Info'!O603))</f>
        <v>602 - AW</v>
      </c>
      <c r="AR898" s="121" t="str">
        <f t="shared" si="168"/>
        <v>602 - AW</v>
      </c>
      <c r="AT898" s="121" t="str">
        <f>IF('Cable Info'!P603="","",CONCATENATE('Cable Info'!P603," - ",'Cable Info'!Q603))</f>
        <v/>
      </c>
      <c r="AW898" s="121" t="str">
        <f t="shared" si="169"/>
        <v/>
      </c>
      <c r="AY898" s="121" t="str">
        <f>IF('Cable Info'!R603="","",CONCATENATE('Cable Info'!R603," - ",'Cable Info'!S603))</f>
        <v/>
      </c>
      <c r="BB898" s="121" t="str">
        <f t="shared" si="170"/>
        <v/>
      </c>
      <c r="BD898" s="121" t="str">
        <f>IF('Cable Info'!T603="","",CONCATENATE('Cable Info'!T603," - ",'Cable Info'!U603))</f>
        <v/>
      </c>
      <c r="BG898" s="121" t="str">
        <f t="shared" si="171"/>
        <v/>
      </c>
      <c r="BI898" s="121" t="str">
        <f>IF('Cable Info'!V603="","",CONCATENATE('Cable Info'!V603," - ",'Cable Info'!W603))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str">
        <f>IF('Cable Info'!L604="","",CONCATENATE('Cable Info'!L604," - ",'Cable Info'!M604))</f>
        <v>603 - AW</v>
      </c>
      <c r="AM899" s="121" t="str">
        <f t="shared" si="167"/>
        <v>603 - AW</v>
      </c>
      <c r="AO899" s="121" t="str">
        <f>IF('Cable Info'!N604="","",CONCATENATE('Cable Info'!N604," - ",'Cable Info'!O604))</f>
        <v>603 - AW</v>
      </c>
      <c r="AR899" s="121" t="str">
        <f t="shared" si="168"/>
        <v>603 - AW</v>
      </c>
      <c r="AT899" s="121" t="str">
        <f>IF('Cable Info'!P604="","",CONCATENATE('Cable Info'!P604," - ",'Cable Info'!Q604))</f>
        <v/>
      </c>
      <c r="AW899" s="121" t="str">
        <f t="shared" si="169"/>
        <v/>
      </c>
      <c r="AY899" s="121" t="str">
        <f>IF('Cable Info'!R604="","",CONCATENATE('Cable Info'!R604," - ",'Cable Info'!S604))</f>
        <v/>
      </c>
      <c r="BB899" s="121" t="str">
        <f t="shared" si="170"/>
        <v/>
      </c>
      <c r="BD899" s="121" t="str">
        <f>IF('Cable Info'!T604="","",CONCATENATE('Cable Info'!T604," - ",'Cable Info'!U604))</f>
        <v/>
      </c>
      <c r="BG899" s="121" t="str">
        <f t="shared" si="171"/>
        <v/>
      </c>
      <c r="BI899" s="121" t="str">
        <f>IF('Cable Info'!V604="","",CONCATENATE('Cable Info'!V604," - ",'Cable Info'!W604))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str">
        <f>IF('Cable Info'!L605="","",CONCATENATE('Cable Info'!L605," - ",'Cable Info'!M605))</f>
        <v>604 - AW</v>
      </c>
      <c r="AM900" s="121" t="str">
        <f t="shared" si="167"/>
        <v>604 - AW</v>
      </c>
      <c r="AO900" s="121" t="str">
        <f>IF('Cable Info'!N605="","",CONCATENATE('Cable Info'!N605," - ",'Cable Info'!O605))</f>
        <v>604 - AW</v>
      </c>
      <c r="AR900" s="121" t="str">
        <f t="shared" si="168"/>
        <v>604 - AW</v>
      </c>
      <c r="AT900" s="121" t="str">
        <f>IF('Cable Info'!P605="","",CONCATENATE('Cable Info'!P605," - ",'Cable Info'!Q605))</f>
        <v/>
      </c>
      <c r="AW900" s="121" t="str">
        <f t="shared" si="169"/>
        <v/>
      </c>
      <c r="AY900" s="121" t="str">
        <f>IF('Cable Info'!R605="","",CONCATENATE('Cable Info'!R605," - ",'Cable Info'!S605))</f>
        <v/>
      </c>
      <c r="BB900" s="121" t="str">
        <f t="shared" si="170"/>
        <v/>
      </c>
      <c r="BD900" s="121" t="str">
        <f>IF('Cable Info'!T605="","",CONCATENATE('Cable Info'!T605," - ",'Cable Info'!U605))</f>
        <v/>
      </c>
      <c r="BG900" s="121" t="str">
        <f t="shared" si="171"/>
        <v/>
      </c>
      <c r="BI900" s="121" t="str">
        <f>IF('Cable Info'!V605="","",CONCATENATE('Cable Info'!V605," - ",'Cable Info'!W605))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str">
        <f>IF('Cable Info'!L606="","",CONCATENATE('Cable Info'!L606," - ",'Cable Info'!M606))</f>
        <v>605 - AW</v>
      </c>
      <c r="AM901" s="121" t="str">
        <f t="shared" si="167"/>
        <v>605 - AW</v>
      </c>
      <c r="AO901" s="121" t="str">
        <f>IF('Cable Info'!N606="","",CONCATENATE('Cable Info'!N606," - ",'Cable Info'!O606))</f>
        <v>605 - AW</v>
      </c>
      <c r="AR901" s="121" t="str">
        <f t="shared" si="168"/>
        <v>605 - AW</v>
      </c>
      <c r="AT901" s="121" t="str">
        <f>IF('Cable Info'!P606="","",CONCATENATE('Cable Info'!P606," - ",'Cable Info'!Q606))</f>
        <v/>
      </c>
      <c r="AW901" s="121" t="str">
        <f t="shared" si="169"/>
        <v/>
      </c>
      <c r="AY901" s="121" t="str">
        <f>IF('Cable Info'!R606="","",CONCATENATE('Cable Info'!R606," - ",'Cable Info'!S606))</f>
        <v/>
      </c>
      <c r="BB901" s="121" t="str">
        <f t="shared" si="170"/>
        <v/>
      </c>
      <c r="BD901" s="121" t="str">
        <f>IF('Cable Info'!T606="","",CONCATENATE('Cable Info'!T606," - ",'Cable Info'!U606))</f>
        <v/>
      </c>
      <c r="BG901" s="121" t="str">
        <f t="shared" si="171"/>
        <v/>
      </c>
      <c r="BI901" s="121" t="str">
        <f>IF('Cable Info'!V606="","",CONCATENATE('Cable Info'!V606," - ",'Cable Info'!W606))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str">
        <f>IF('Cable Info'!L607="","",CONCATENATE('Cable Info'!L607," - ",'Cable Info'!M607))</f>
        <v>606 - AW</v>
      </c>
      <c r="AM902" s="121" t="str">
        <f t="shared" si="167"/>
        <v>606 - AW</v>
      </c>
      <c r="AO902" s="121" t="str">
        <f>IF('Cable Info'!N607="","",CONCATENATE('Cable Info'!N607," - ",'Cable Info'!O607))</f>
        <v>606 - AW</v>
      </c>
      <c r="AR902" s="121" t="str">
        <f t="shared" si="168"/>
        <v>606 - AW</v>
      </c>
      <c r="AT902" s="121" t="str">
        <f>IF('Cable Info'!P607="","",CONCATENATE('Cable Info'!P607," - ",'Cable Info'!Q607))</f>
        <v/>
      </c>
      <c r="AW902" s="121" t="str">
        <f t="shared" si="169"/>
        <v/>
      </c>
      <c r="AY902" s="121" t="str">
        <f>IF('Cable Info'!R607="","",CONCATENATE('Cable Info'!R607," - ",'Cable Info'!S607))</f>
        <v/>
      </c>
      <c r="BB902" s="121" t="str">
        <f t="shared" si="170"/>
        <v/>
      </c>
      <c r="BD902" s="121" t="str">
        <f>IF('Cable Info'!T607="","",CONCATENATE('Cable Info'!T607," - ",'Cable Info'!U607))</f>
        <v/>
      </c>
      <c r="BG902" s="121" t="str">
        <f t="shared" si="171"/>
        <v/>
      </c>
      <c r="BI902" s="121" t="str">
        <f>IF('Cable Info'!V607="","",CONCATENATE('Cable Info'!V607," - ",'Cable Info'!W607))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str">
        <f>IF('Cable Info'!L608="","",CONCATENATE('Cable Info'!L608," - ",'Cable Info'!M608))</f>
        <v>607 - AW</v>
      </c>
      <c r="AM903" s="121" t="str">
        <f t="shared" si="167"/>
        <v>607 - AW</v>
      </c>
      <c r="AO903" s="121" t="str">
        <f>IF('Cable Info'!N608="","",CONCATENATE('Cable Info'!N608," - ",'Cable Info'!O608))</f>
        <v>607 - AW</v>
      </c>
      <c r="AR903" s="121" t="str">
        <f t="shared" si="168"/>
        <v>607 - AW</v>
      </c>
      <c r="AT903" s="121" t="str">
        <f>IF('Cable Info'!P608="","",CONCATENATE('Cable Info'!P608," - ",'Cable Info'!Q608))</f>
        <v/>
      </c>
      <c r="AW903" s="121" t="str">
        <f t="shared" si="169"/>
        <v/>
      </c>
      <c r="AY903" s="121" t="str">
        <f>IF('Cable Info'!R608="","",CONCATENATE('Cable Info'!R608," - ",'Cable Info'!S608))</f>
        <v/>
      </c>
      <c r="BB903" s="121" t="str">
        <f t="shared" si="170"/>
        <v/>
      </c>
      <c r="BD903" s="121" t="str">
        <f>IF('Cable Info'!T608="","",CONCATENATE('Cable Info'!T608," - ",'Cable Info'!U608))</f>
        <v/>
      </c>
      <c r="BG903" s="121" t="str">
        <f t="shared" si="171"/>
        <v/>
      </c>
      <c r="BI903" s="121" t="str">
        <f>IF('Cable Info'!V608="","",CONCATENATE('Cable Info'!V608," - ",'Cable Info'!W608))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str">
        <f>IF('Cable Info'!L609="","",CONCATENATE('Cable Info'!L609," - ",'Cable Info'!M609))</f>
        <v>608 - AW</v>
      </c>
      <c r="AM904" s="121" t="str">
        <f t="shared" si="167"/>
        <v>608 - AW</v>
      </c>
      <c r="AO904" s="121" t="str">
        <f>IF('Cable Info'!N609="","",CONCATENATE('Cable Info'!N609," - ",'Cable Info'!O609))</f>
        <v>608 - AW</v>
      </c>
      <c r="AR904" s="121" t="str">
        <f t="shared" si="168"/>
        <v>608 - AW</v>
      </c>
      <c r="AT904" s="121" t="str">
        <f>IF('Cable Info'!P609="","",CONCATENATE('Cable Info'!P609," - ",'Cable Info'!Q609))</f>
        <v/>
      </c>
      <c r="AW904" s="121" t="str">
        <f t="shared" si="169"/>
        <v/>
      </c>
      <c r="AY904" s="121" t="str">
        <f>IF('Cable Info'!R609="","",CONCATENATE('Cable Info'!R609," - ",'Cable Info'!S609))</f>
        <v/>
      </c>
      <c r="BB904" s="121" t="str">
        <f t="shared" si="170"/>
        <v/>
      </c>
      <c r="BD904" s="121" t="str">
        <f>IF('Cable Info'!T609="","",CONCATENATE('Cable Info'!T609," - ",'Cable Info'!U609))</f>
        <v/>
      </c>
      <c r="BG904" s="121" t="str">
        <f t="shared" si="171"/>
        <v/>
      </c>
      <c r="BI904" s="121" t="str">
        <f>IF('Cable Info'!V609="","",CONCATENATE('Cable Info'!V609," - ",'Cable Info'!W609))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str">
        <f>IF('Cable Info'!L610="","",CONCATENATE('Cable Info'!L610," - ",'Cable Info'!M610))</f>
        <v>609 - AW</v>
      </c>
      <c r="AM905" s="121" t="str">
        <f t="shared" si="167"/>
        <v>609 - AW</v>
      </c>
      <c r="AO905" s="121" t="str">
        <f>IF('Cable Info'!N610="","",CONCATENATE('Cable Info'!N610," - ",'Cable Info'!O610))</f>
        <v>609 - AW</v>
      </c>
      <c r="AR905" s="121" t="str">
        <f t="shared" si="168"/>
        <v>609 - AW</v>
      </c>
      <c r="AT905" s="121" t="str">
        <f>IF('Cable Info'!P610="","",CONCATENATE('Cable Info'!P610," - ",'Cable Info'!Q610))</f>
        <v/>
      </c>
      <c r="AW905" s="121" t="str">
        <f t="shared" si="169"/>
        <v/>
      </c>
      <c r="AY905" s="121" t="str">
        <f>IF('Cable Info'!R610="","",CONCATENATE('Cable Info'!R610," - ",'Cable Info'!S610))</f>
        <v/>
      </c>
      <c r="BB905" s="121" t="str">
        <f t="shared" si="170"/>
        <v/>
      </c>
      <c r="BD905" s="121" t="str">
        <f>IF('Cable Info'!T610="","",CONCATENATE('Cable Info'!T610," - ",'Cable Info'!U610))</f>
        <v/>
      </c>
      <c r="BG905" s="121" t="str">
        <f t="shared" si="171"/>
        <v/>
      </c>
      <c r="BI905" s="121" t="str">
        <f>IF('Cable Info'!V610="","",CONCATENATE('Cable Info'!V610," - ",'Cable Info'!W610))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str">
        <f>IF('Cable Info'!L611="","",CONCATENATE('Cable Info'!L611," - ",'Cable Info'!M611))</f>
        <v>610 - AW</v>
      </c>
      <c r="AM906" s="121" t="str">
        <f t="shared" si="167"/>
        <v>610 - AW</v>
      </c>
      <c r="AO906" s="121" t="str">
        <f>IF('Cable Info'!N611="","",CONCATENATE('Cable Info'!N611," - ",'Cable Info'!O611))</f>
        <v>610 - AW</v>
      </c>
      <c r="AR906" s="121" t="str">
        <f t="shared" si="168"/>
        <v>610 - AW</v>
      </c>
      <c r="AT906" s="121" t="str">
        <f>IF('Cable Info'!P611="","",CONCATENATE('Cable Info'!P611," - ",'Cable Info'!Q611))</f>
        <v/>
      </c>
      <c r="AW906" s="121" t="str">
        <f t="shared" si="169"/>
        <v/>
      </c>
      <c r="AY906" s="121" t="str">
        <f>IF('Cable Info'!R611="","",CONCATENATE('Cable Info'!R611," - ",'Cable Info'!S611))</f>
        <v/>
      </c>
      <c r="BB906" s="121" t="str">
        <f t="shared" si="170"/>
        <v/>
      </c>
      <c r="BD906" s="121" t="str">
        <f>IF('Cable Info'!T611="","",CONCATENATE('Cable Info'!T611," - ",'Cable Info'!U611))</f>
        <v/>
      </c>
      <c r="BG906" s="121" t="str">
        <f t="shared" si="171"/>
        <v/>
      </c>
      <c r="BI906" s="121" t="str">
        <f>IF('Cable Info'!V611="","",CONCATENATE('Cable Info'!V611," - ",'Cable Info'!W611))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str">
        <f>IF('Cable Info'!L612="","",CONCATENATE('Cable Info'!L612," - ",'Cable Info'!M612))</f>
        <v>611 - AW</v>
      </c>
      <c r="AM907" s="121" t="str">
        <f t="shared" si="167"/>
        <v>611 - AW</v>
      </c>
      <c r="AO907" s="121" t="str">
        <f>IF('Cable Info'!N612="","",CONCATENATE('Cable Info'!N612," - ",'Cable Info'!O612))</f>
        <v>611 - AW</v>
      </c>
      <c r="AR907" s="121" t="str">
        <f t="shared" si="168"/>
        <v>611 - AW</v>
      </c>
      <c r="AT907" s="121" t="str">
        <f>IF('Cable Info'!P612="","",CONCATENATE('Cable Info'!P612," - ",'Cable Info'!Q612))</f>
        <v/>
      </c>
      <c r="AW907" s="121" t="str">
        <f t="shared" si="169"/>
        <v/>
      </c>
      <c r="AY907" s="121" t="str">
        <f>IF('Cable Info'!R612="","",CONCATENATE('Cable Info'!R612," - ",'Cable Info'!S612))</f>
        <v/>
      </c>
      <c r="BB907" s="121" t="str">
        <f t="shared" si="170"/>
        <v/>
      </c>
      <c r="BD907" s="121" t="str">
        <f>IF('Cable Info'!T612="","",CONCATENATE('Cable Info'!T612," - ",'Cable Info'!U612))</f>
        <v/>
      </c>
      <c r="BG907" s="121" t="str">
        <f t="shared" si="171"/>
        <v/>
      </c>
      <c r="BI907" s="121" t="str">
        <f>IF('Cable Info'!V612="","",CONCATENATE('Cable Info'!V612," - ",'Cable Info'!W612))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str">
        <f>IF('Cable Info'!L613="","",CONCATENATE('Cable Info'!L613," - ",'Cable Info'!M613))</f>
        <v>612 - AW</v>
      </c>
      <c r="AM908" s="121" t="str">
        <f t="shared" si="167"/>
        <v>612 - AW</v>
      </c>
      <c r="AO908" s="121" t="str">
        <f>IF('Cable Info'!N613="","",CONCATENATE('Cable Info'!N613," - ",'Cable Info'!O613))</f>
        <v>612 - AW</v>
      </c>
      <c r="AR908" s="121" t="str">
        <f t="shared" si="168"/>
        <v>612 - AW</v>
      </c>
      <c r="AT908" s="121" t="str">
        <f>IF('Cable Info'!P613="","",CONCATENATE('Cable Info'!P613," - ",'Cable Info'!Q613))</f>
        <v/>
      </c>
      <c r="AW908" s="121" t="str">
        <f t="shared" si="169"/>
        <v/>
      </c>
      <c r="AY908" s="121" t="str">
        <f>IF('Cable Info'!R613="","",CONCATENATE('Cable Info'!R613," - ",'Cable Info'!S613))</f>
        <v/>
      </c>
      <c r="BB908" s="121" t="str">
        <f t="shared" si="170"/>
        <v/>
      </c>
      <c r="BD908" s="121" t="str">
        <f>IF('Cable Info'!T613="","",CONCATENATE('Cable Info'!T613," - ",'Cable Info'!U613))</f>
        <v/>
      </c>
      <c r="BG908" s="121" t="str">
        <f t="shared" si="171"/>
        <v/>
      </c>
      <c r="BI908" s="121" t="str">
        <f>IF('Cable Info'!V613="","",CONCATENATE('Cable Info'!V613," - ",'Cable Info'!W613))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str">
        <f>IF('Cable Info'!L614="","",CONCATENATE('Cable Info'!L614," - ",'Cable Info'!M614))</f>
        <v>613 - AW</v>
      </c>
      <c r="AM909" s="121" t="str">
        <f t="shared" si="167"/>
        <v>613 - AW</v>
      </c>
      <c r="AO909" s="121" t="str">
        <f>IF('Cable Info'!N614="","",CONCATENATE('Cable Info'!N614," - ",'Cable Info'!O614))</f>
        <v>613 - AW</v>
      </c>
      <c r="AR909" s="121" t="str">
        <f t="shared" si="168"/>
        <v>613 - AW</v>
      </c>
      <c r="AT909" s="121" t="str">
        <f>IF('Cable Info'!P614="","",CONCATENATE('Cable Info'!P614," - ",'Cable Info'!Q614))</f>
        <v/>
      </c>
      <c r="AW909" s="121" t="str">
        <f t="shared" si="169"/>
        <v/>
      </c>
      <c r="AY909" s="121" t="str">
        <f>IF('Cable Info'!R614="","",CONCATENATE('Cable Info'!R614," - ",'Cable Info'!S614))</f>
        <v/>
      </c>
      <c r="BB909" s="121" t="str">
        <f t="shared" si="170"/>
        <v/>
      </c>
      <c r="BD909" s="121" t="str">
        <f>IF('Cable Info'!T614="","",CONCATENATE('Cable Info'!T614," - ",'Cable Info'!U614))</f>
        <v/>
      </c>
      <c r="BG909" s="121" t="str">
        <f t="shared" si="171"/>
        <v/>
      </c>
      <c r="BI909" s="121" t="str">
        <f>IF('Cable Info'!V614="","",CONCATENATE('Cable Info'!V614," - ",'Cable Info'!W614))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str">
        <f>IF('Cable Info'!L615="","",CONCATENATE('Cable Info'!L615," - ",'Cable Info'!M615))</f>
        <v>614 - AW</v>
      </c>
      <c r="AM910" s="121" t="str">
        <f t="shared" si="167"/>
        <v>614 - AW</v>
      </c>
      <c r="AO910" s="121" t="str">
        <f>IF('Cable Info'!N615="","",CONCATENATE('Cable Info'!N615," - ",'Cable Info'!O615))</f>
        <v>614 - AW</v>
      </c>
      <c r="AR910" s="121" t="str">
        <f t="shared" si="168"/>
        <v>614 - AW</v>
      </c>
      <c r="AT910" s="121" t="str">
        <f>IF('Cable Info'!P615="","",CONCATENATE('Cable Info'!P615," - ",'Cable Info'!Q615))</f>
        <v/>
      </c>
      <c r="AW910" s="121" t="str">
        <f t="shared" si="169"/>
        <v/>
      </c>
      <c r="AY910" s="121" t="str">
        <f>IF('Cable Info'!R615="","",CONCATENATE('Cable Info'!R615," - ",'Cable Info'!S615))</f>
        <v/>
      </c>
      <c r="BB910" s="121" t="str">
        <f t="shared" si="170"/>
        <v/>
      </c>
      <c r="BD910" s="121" t="str">
        <f>IF('Cable Info'!T615="","",CONCATENATE('Cable Info'!T615," - ",'Cable Info'!U615))</f>
        <v/>
      </c>
      <c r="BG910" s="121" t="str">
        <f t="shared" si="171"/>
        <v/>
      </c>
      <c r="BI910" s="121" t="str">
        <f>IF('Cable Info'!V615="","",CONCATENATE('Cable Info'!V615," - ",'Cable Info'!W615))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str">
        <f>IF('Cable Info'!L616="","",CONCATENATE('Cable Info'!L616," - ",'Cable Info'!M616))</f>
        <v>615 - AW</v>
      </c>
      <c r="AM911" s="121" t="str">
        <f t="shared" si="167"/>
        <v>615 - AW</v>
      </c>
      <c r="AO911" s="121" t="str">
        <f>IF('Cable Info'!N616="","",CONCATENATE('Cable Info'!N616," - ",'Cable Info'!O616))</f>
        <v>615 - AW</v>
      </c>
      <c r="AR911" s="121" t="str">
        <f t="shared" si="168"/>
        <v>615 - AW</v>
      </c>
      <c r="AT911" s="121" t="str">
        <f>IF('Cable Info'!P616="","",CONCATENATE('Cable Info'!P616," - ",'Cable Info'!Q616))</f>
        <v/>
      </c>
      <c r="AW911" s="121" t="str">
        <f t="shared" si="169"/>
        <v/>
      </c>
      <c r="AY911" s="121" t="str">
        <f>IF('Cable Info'!R616="","",CONCATENATE('Cable Info'!R616," - ",'Cable Info'!S616))</f>
        <v/>
      </c>
      <c r="BB911" s="121" t="str">
        <f t="shared" si="170"/>
        <v/>
      </c>
      <c r="BD911" s="121" t="str">
        <f>IF('Cable Info'!T616="","",CONCATENATE('Cable Info'!T616," - ",'Cable Info'!U616))</f>
        <v/>
      </c>
      <c r="BG911" s="121" t="str">
        <f t="shared" si="171"/>
        <v/>
      </c>
      <c r="BI911" s="121" t="str">
        <f>IF('Cable Info'!V616="","",CONCATENATE('Cable Info'!V616," - ",'Cable Info'!W616))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str">
        <f>IF('Cable Info'!L617="","",CONCATENATE('Cable Info'!L617," - ",'Cable Info'!M617))</f>
        <v>616 - AW</v>
      </c>
      <c r="AM912" s="121" t="str">
        <f t="shared" si="167"/>
        <v>616 - AW</v>
      </c>
      <c r="AO912" s="121" t="str">
        <f>IF('Cable Info'!N617="","",CONCATENATE('Cable Info'!N617," - ",'Cable Info'!O617))</f>
        <v>616 - AW</v>
      </c>
      <c r="AR912" s="121" t="str">
        <f t="shared" si="168"/>
        <v>616 - AW</v>
      </c>
      <c r="AT912" s="121" t="str">
        <f>IF('Cable Info'!P617="","",CONCATENATE('Cable Info'!P617," - ",'Cable Info'!Q617))</f>
        <v/>
      </c>
      <c r="AW912" s="121" t="str">
        <f t="shared" si="169"/>
        <v/>
      </c>
      <c r="AY912" s="121" t="str">
        <f>IF('Cable Info'!R617="","",CONCATENATE('Cable Info'!R617," - ",'Cable Info'!S617))</f>
        <v/>
      </c>
      <c r="BB912" s="121" t="str">
        <f t="shared" si="170"/>
        <v/>
      </c>
      <c r="BD912" s="121" t="str">
        <f>IF('Cable Info'!T617="","",CONCATENATE('Cable Info'!T617," - ",'Cable Info'!U617))</f>
        <v/>
      </c>
      <c r="BG912" s="121" t="str">
        <f t="shared" si="171"/>
        <v/>
      </c>
      <c r="BI912" s="121" t="str">
        <f>IF('Cable Info'!V617="","",CONCATENATE('Cable Info'!V617," - ",'Cable Info'!W617))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str">
        <f>IF('Cable Info'!L618="","",CONCATENATE('Cable Info'!L618," - ",'Cable Info'!M618))</f>
        <v>617 - AW</v>
      </c>
      <c r="AM913" s="121" t="str">
        <f t="shared" si="167"/>
        <v>617 - AW</v>
      </c>
      <c r="AO913" s="121" t="str">
        <f>IF('Cable Info'!N618="","",CONCATENATE('Cable Info'!N618," - ",'Cable Info'!O618))</f>
        <v>617 - AW</v>
      </c>
      <c r="AR913" s="121" t="str">
        <f t="shared" si="168"/>
        <v>617 - AW</v>
      </c>
      <c r="AT913" s="121" t="str">
        <f>IF('Cable Info'!P618="","",CONCATENATE('Cable Info'!P618," - ",'Cable Info'!Q618))</f>
        <v/>
      </c>
      <c r="AW913" s="121" t="str">
        <f t="shared" si="169"/>
        <v/>
      </c>
      <c r="AY913" s="121" t="str">
        <f>IF('Cable Info'!R618="","",CONCATENATE('Cable Info'!R618," - ",'Cable Info'!S618))</f>
        <v/>
      </c>
      <c r="BB913" s="121" t="str">
        <f t="shared" si="170"/>
        <v/>
      </c>
      <c r="BD913" s="121" t="str">
        <f>IF('Cable Info'!T618="","",CONCATENATE('Cable Info'!T618," - ",'Cable Info'!U618))</f>
        <v/>
      </c>
      <c r="BG913" s="121" t="str">
        <f t="shared" si="171"/>
        <v/>
      </c>
      <c r="BI913" s="121" t="str">
        <f>IF('Cable Info'!V618="","",CONCATENATE('Cable Info'!V618," - ",'Cable Info'!W618))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str">
        <f>IF('Cable Info'!L619="","",CONCATENATE('Cable Info'!L619," - ",'Cable Info'!M619))</f>
        <v>618 - AW</v>
      </c>
      <c r="AM914" s="121" t="str">
        <f t="shared" si="167"/>
        <v>618 - AW</v>
      </c>
      <c r="AO914" s="121" t="str">
        <f>IF('Cable Info'!N619="","",CONCATENATE('Cable Info'!N619," - ",'Cable Info'!O619))</f>
        <v>618 - AW</v>
      </c>
      <c r="AR914" s="121" t="str">
        <f t="shared" si="168"/>
        <v>618 - AW</v>
      </c>
      <c r="AT914" s="121" t="str">
        <f>IF('Cable Info'!P619="","",CONCATENATE('Cable Info'!P619," - ",'Cable Info'!Q619))</f>
        <v/>
      </c>
      <c r="AW914" s="121" t="str">
        <f t="shared" si="169"/>
        <v/>
      </c>
      <c r="AY914" s="121" t="str">
        <f>IF('Cable Info'!R619="","",CONCATENATE('Cable Info'!R619," - ",'Cable Info'!S619))</f>
        <v/>
      </c>
      <c r="BB914" s="121" t="str">
        <f t="shared" si="170"/>
        <v/>
      </c>
      <c r="BD914" s="121" t="str">
        <f>IF('Cable Info'!T619="","",CONCATENATE('Cable Info'!T619," - ",'Cable Info'!U619))</f>
        <v/>
      </c>
      <c r="BG914" s="121" t="str">
        <f t="shared" si="171"/>
        <v/>
      </c>
      <c r="BI914" s="121" t="str">
        <f>IF('Cable Info'!V619="","",CONCATENATE('Cable Info'!V619," - ",'Cable Info'!W619))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str">
        <f>IF('Cable Info'!L620="","",CONCATENATE('Cable Info'!L620," - ",'Cable Info'!M620))</f>
        <v>619 - AW</v>
      </c>
      <c r="AM915" s="121" t="str">
        <f t="shared" si="167"/>
        <v>619 - AW</v>
      </c>
      <c r="AO915" s="121" t="str">
        <f>IF('Cable Info'!N620="","",CONCATENATE('Cable Info'!N620," - ",'Cable Info'!O620))</f>
        <v>619 - AW</v>
      </c>
      <c r="AR915" s="121" t="str">
        <f t="shared" si="168"/>
        <v>619 - AW</v>
      </c>
      <c r="AT915" s="121" t="str">
        <f>IF('Cable Info'!P620="","",CONCATENATE('Cable Info'!P620," - ",'Cable Info'!Q620))</f>
        <v/>
      </c>
      <c r="AW915" s="121" t="str">
        <f t="shared" si="169"/>
        <v/>
      </c>
      <c r="AY915" s="121" t="str">
        <f>IF('Cable Info'!R620="","",CONCATENATE('Cable Info'!R620," - ",'Cable Info'!S620))</f>
        <v/>
      </c>
      <c r="BB915" s="121" t="str">
        <f t="shared" si="170"/>
        <v/>
      </c>
      <c r="BD915" s="121" t="str">
        <f>IF('Cable Info'!T620="","",CONCATENATE('Cable Info'!T620," - ",'Cable Info'!U620))</f>
        <v/>
      </c>
      <c r="BG915" s="121" t="str">
        <f t="shared" si="171"/>
        <v/>
      </c>
      <c r="BI915" s="121" t="str">
        <f>IF('Cable Info'!V620="","",CONCATENATE('Cable Info'!V620," - ",'Cable Info'!W620))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str">
        <f>IF('Cable Info'!L621="","",CONCATENATE('Cable Info'!L621," - ",'Cable Info'!M621))</f>
        <v>620 - AW</v>
      </c>
      <c r="AM916" s="121" t="str">
        <f t="shared" si="167"/>
        <v>620 - AW</v>
      </c>
      <c r="AO916" s="121" t="str">
        <f>IF('Cable Info'!N621="","",CONCATENATE('Cable Info'!N621," - ",'Cable Info'!O621))</f>
        <v>620 - AW</v>
      </c>
      <c r="AR916" s="121" t="str">
        <f t="shared" si="168"/>
        <v>620 - AW</v>
      </c>
      <c r="AT916" s="121" t="str">
        <f>IF('Cable Info'!P621="","",CONCATENATE('Cable Info'!P621," - ",'Cable Info'!Q621))</f>
        <v/>
      </c>
      <c r="AW916" s="121" t="str">
        <f t="shared" si="169"/>
        <v/>
      </c>
      <c r="AY916" s="121" t="str">
        <f>IF('Cable Info'!R621="","",CONCATENATE('Cable Info'!R621," - ",'Cable Info'!S621))</f>
        <v/>
      </c>
      <c r="BB916" s="121" t="str">
        <f t="shared" si="170"/>
        <v/>
      </c>
      <c r="BD916" s="121" t="str">
        <f>IF('Cable Info'!T621="","",CONCATENATE('Cable Info'!T621," - ",'Cable Info'!U621))</f>
        <v/>
      </c>
      <c r="BG916" s="121" t="str">
        <f t="shared" si="171"/>
        <v/>
      </c>
      <c r="BI916" s="121" t="str">
        <f>IF('Cable Info'!V621="","",CONCATENATE('Cable Info'!V621," - ",'Cable Info'!W621))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str">
        <f>IF('Cable Info'!L622="","",CONCATENATE('Cable Info'!L622," - ",'Cable Info'!M622))</f>
        <v>621 - AW</v>
      </c>
      <c r="AM917" s="121" t="str">
        <f t="shared" si="167"/>
        <v>621 - AW</v>
      </c>
      <c r="AO917" s="121" t="str">
        <f>IF('Cable Info'!N622="","",CONCATENATE('Cable Info'!N622," - ",'Cable Info'!O622))</f>
        <v>621 - AW</v>
      </c>
      <c r="AR917" s="121" t="str">
        <f t="shared" si="168"/>
        <v>621 - AW</v>
      </c>
      <c r="AT917" s="121" t="str">
        <f>IF('Cable Info'!P622="","",CONCATENATE('Cable Info'!P622," - ",'Cable Info'!Q622))</f>
        <v/>
      </c>
      <c r="AW917" s="121" t="str">
        <f t="shared" si="169"/>
        <v/>
      </c>
      <c r="AY917" s="121" t="str">
        <f>IF('Cable Info'!R622="","",CONCATENATE('Cable Info'!R622," - ",'Cable Info'!S622))</f>
        <v/>
      </c>
      <c r="BB917" s="121" t="str">
        <f t="shared" si="170"/>
        <v/>
      </c>
      <c r="BD917" s="121" t="str">
        <f>IF('Cable Info'!T622="","",CONCATENATE('Cable Info'!T622," - ",'Cable Info'!U622))</f>
        <v/>
      </c>
      <c r="BG917" s="121" t="str">
        <f t="shared" si="171"/>
        <v/>
      </c>
      <c r="BI917" s="121" t="str">
        <f>IF('Cable Info'!V622="","",CONCATENATE('Cable Info'!V622," - ",'Cable Info'!W622))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str">
        <f>IF('Cable Info'!L623="","",CONCATENATE('Cable Info'!L623," - ",'Cable Info'!M623))</f>
        <v>622 - AW</v>
      </c>
      <c r="AM918" s="121" t="str">
        <f t="shared" si="167"/>
        <v>622 - AW</v>
      </c>
      <c r="AO918" s="121" t="str">
        <f>IF('Cable Info'!N623="","",CONCATENATE('Cable Info'!N623," - ",'Cable Info'!O623))</f>
        <v>622 - AW</v>
      </c>
      <c r="AR918" s="121" t="str">
        <f t="shared" si="168"/>
        <v>622 - AW</v>
      </c>
      <c r="AT918" s="121" t="str">
        <f>IF('Cable Info'!P623="","",CONCATENATE('Cable Info'!P623," - ",'Cable Info'!Q623))</f>
        <v/>
      </c>
      <c r="AW918" s="121" t="str">
        <f t="shared" si="169"/>
        <v/>
      </c>
      <c r="AY918" s="121" t="str">
        <f>IF('Cable Info'!R623="","",CONCATENATE('Cable Info'!R623," - ",'Cable Info'!S623))</f>
        <v/>
      </c>
      <c r="BB918" s="121" t="str">
        <f t="shared" si="170"/>
        <v/>
      </c>
      <c r="BD918" s="121" t="str">
        <f>IF('Cable Info'!T623="","",CONCATENATE('Cable Info'!T623," - ",'Cable Info'!U623))</f>
        <v/>
      </c>
      <c r="BG918" s="121" t="str">
        <f t="shared" si="171"/>
        <v/>
      </c>
      <c r="BI918" s="121" t="str">
        <f>IF('Cable Info'!V623="","",CONCATENATE('Cable Info'!V623," - ",'Cable Info'!W623))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str">
        <f>IF('Cable Info'!L624="","",CONCATENATE('Cable Info'!L624," - ",'Cable Info'!M624))</f>
        <v>623 - AW</v>
      </c>
      <c r="AM919" s="121" t="str">
        <f t="shared" si="167"/>
        <v>623 - AW</v>
      </c>
      <c r="AO919" s="121" t="str">
        <f>IF('Cable Info'!N624="","",CONCATENATE('Cable Info'!N624," - ",'Cable Info'!O624))</f>
        <v>623 - AW</v>
      </c>
      <c r="AR919" s="121" t="str">
        <f t="shared" si="168"/>
        <v>623 - AW</v>
      </c>
      <c r="AT919" s="121" t="str">
        <f>IF('Cable Info'!P624="","",CONCATENATE('Cable Info'!P624," - ",'Cable Info'!Q624))</f>
        <v/>
      </c>
      <c r="AW919" s="121" t="str">
        <f t="shared" si="169"/>
        <v/>
      </c>
      <c r="AY919" s="121" t="str">
        <f>IF('Cable Info'!R624="","",CONCATENATE('Cable Info'!R624," - ",'Cable Info'!S624))</f>
        <v/>
      </c>
      <c r="BB919" s="121" t="str">
        <f t="shared" si="170"/>
        <v/>
      </c>
      <c r="BD919" s="121" t="str">
        <f>IF('Cable Info'!T624="","",CONCATENATE('Cable Info'!T624," - ",'Cable Info'!U624))</f>
        <v/>
      </c>
      <c r="BG919" s="121" t="str">
        <f t="shared" si="171"/>
        <v/>
      </c>
      <c r="BI919" s="121" t="str">
        <f>IF('Cable Info'!V624="","",CONCATENATE('Cable Info'!V624," - ",'Cable Info'!W624))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str">
        <f>IF('Cable Info'!L625="","",CONCATENATE('Cable Info'!L625," - ",'Cable Info'!M625))</f>
        <v>624 - AW</v>
      </c>
      <c r="AM920" s="121" t="str">
        <f t="shared" si="167"/>
        <v>624 - AW</v>
      </c>
      <c r="AO920" s="121" t="str">
        <f>IF('Cable Info'!N625="","",CONCATENATE('Cable Info'!N625," - ",'Cable Info'!O625))</f>
        <v>624 - AW</v>
      </c>
      <c r="AR920" s="121" t="str">
        <f t="shared" si="168"/>
        <v>624 - AW</v>
      </c>
      <c r="AT920" s="121" t="str">
        <f>IF('Cable Info'!P625="","",CONCATENATE('Cable Info'!P625," - ",'Cable Info'!Q625))</f>
        <v/>
      </c>
      <c r="AW920" s="121" t="str">
        <f t="shared" si="169"/>
        <v/>
      </c>
      <c r="AY920" s="121" t="str">
        <f>IF('Cable Info'!R625="","",CONCATENATE('Cable Info'!R625," - ",'Cable Info'!S625))</f>
        <v/>
      </c>
      <c r="BB920" s="121" t="str">
        <f t="shared" si="170"/>
        <v/>
      </c>
      <c r="BD920" s="121" t="str">
        <f>IF('Cable Info'!T625="","",CONCATENATE('Cable Info'!T625," - ",'Cable Info'!U625))</f>
        <v/>
      </c>
      <c r="BG920" s="121" t="str">
        <f t="shared" si="171"/>
        <v/>
      </c>
      <c r="BI920" s="121" t="str">
        <f>IF('Cable Info'!V625="","",CONCATENATE('Cable Info'!V625," - ",'Cable Info'!W625))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str">
        <f>IF('Cable Info'!L626="","",CONCATENATE('Cable Info'!L626," - ",'Cable Info'!M626))</f>
        <v>625 - AW</v>
      </c>
      <c r="AM921" s="121" t="str">
        <f t="shared" si="167"/>
        <v>625 - AW</v>
      </c>
      <c r="AO921" s="121" t="str">
        <f>IF('Cable Info'!N626="","",CONCATENATE('Cable Info'!N626," - ",'Cable Info'!O626))</f>
        <v>625 - AW</v>
      </c>
      <c r="AR921" s="121" t="str">
        <f t="shared" si="168"/>
        <v>625 - AW</v>
      </c>
      <c r="AT921" s="121" t="str">
        <f>IF('Cable Info'!P626="","",CONCATENATE('Cable Info'!P626," - ",'Cable Info'!Q626))</f>
        <v/>
      </c>
      <c r="AW921" s="121" t="str">
        <f t="shared" si="169"/>
        <v/>
      </c>
      <c r="AY921" s="121" t="str">
        <f>IF('Cable Info'!R626="","",CONCATENATE('Cable Info'!R626," - ",'Cable Info'!S626))</f>
        <v/>
      </c>
      <c r="BB921" s="121" t="str">
        <f t="shared" si="170"/>
        <v/>
      </c>
      <c r="BD921" s="121" t="str">
        <f>IF('Cable Info'!T626="","",CONCATENATE('Cable Info'!T626," - ",'Cable Info'!U626))</f>
        <v/>
      </c>
      <c r="BG921" s="121" t="str">
        <f t="shared" si="171"/>
        <v/>
      </c>
      <c r="BI921" s="121" t="str">
        <f>IF('Cable Info'!V626="","",CONCATENATE('Cable Info'!V626," - ",'Cable Info'!W626))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str">
        <f>IF('Cable Info'!L627="","",CONCATENATE('Cable Info'!L627," - ",'Cable Info'!M627))</f>
        <v>626 - AW</v>
      </c>
      <c r="AM922" s="121" t="str">
        <f t="shared" si="167"/>
        <v>626 - AW</v>
      </c>
      <c r="AO922" s="121" t="str">
        <f>IF('Cable Info'!N627="","",CONCATENATE('Cable Info'!N627," - ",'Cable Info'!O627))</f>
        <v>626 - AW</v>
      </c>
      <c r="AR922" s="121" t="str">
        <f t="shared" si="168"/>
        <v>626 - AW</v>
      </c>
      <c r="AT922" s="121" t="str">
        <f>IF('Cable Info'!P627="","",CONCATENATE('Cable Info'!P627," - ",'Cable Info'!Q627))</f>
        <v/>
      </c>
      <c r="AW922" s="121" t="str">
        <f t="shared" si="169"/>
        <v/>
      </c>
      <c r="AY922" s="121" t="str">
        <f>IF('Cable Info'!R627="","",CONCATENATE('Cable Info'!R627," - ",'Cable Info'!S627))</f>
        <v/>
      </c>
      <c r="BB922" s="121" t="str">
        <f t="shared" si="170"/>
        <v/>
      </c>
      <c r="BD922" s="121" t="str">
        <f>IF('Cable Info'!T627="","",CONCATENATE('Cable Info'!T627," - ",'Cable Info'!U627))</f>
        <v/>
      </c>
      <c r="BG922" s="121" t="str">
        <f t="shared" si="171"/>
        <v/>
      </c>
      <c r="BI922" s="121" t="str">
        <f>IF('Cable Info'!V627="","",CONCATENATE('Cable Info'!V627," - ",'Cable Info'!W627))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str">
        <f>IF('Cable Info'!L628="","",CONCATENATE('Cable Info'!L628," - ",'Cable Info'!M628))</f>
        <v>627 - AW</v>
      </c>
      <c r="AM923" s="121" t="str">
        <f t="shared" si="167"/>
        <v>627 - AW</v>
      </c>
      <c r="AO923" s="121" t="str">
        <f>IF('Cable Info'!N628="","",CONCATENATE('Cable Info'!N628," - ",'Cable Info'!O628))</f>
        <v>627 - AW</v>
      </c>
      <c r="AR923" s="121" t="str">
        <f t="shared" si="168"/>
        <v>627 - AW</v>
      </c>
      <c r="AT923" s="121" t="str">
        <f>IF('Cable Info'!P628="","",CONCATENATE('Cable Info'!P628," - ",'Cable Info'!Q628))</f>
        <v/>
      </c>
      <c r="AW923" s="121" t="str">
        <f t="shared" si="169"/>
        <v/>
      </c>
      <c r="AY923" s="121" t="str">
        <f>IF('Cable Info'!R628="","",CONCATENATE('Cable Info'!R628," - ",'Cable Info'!S628))</f>
        <v/>
      </c>
      <c r="BB923" s="121" t="str">
        <f t="shared" si="170"/>
        <v/>
      </c>
      <c r="BD923" s="121" t="str">
        <f>IF('Cable Info'!T628="","",CONCATENATE('Cable Info'!T628," - ",'Cable Info'!U628))</f>
        <v/>
      </c>
      <c r="BG923" s="121" t="str">
        <f t="shared" si="171"/>
        <v/>
      </c>
      <c r="BI923" s="121" t="str">
        <f>IF('Cable Info'!V628="","",CONCATENATE('Cable Info'!V628," - ",'Cable Info'!W628))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str">
        <f>IF('Cable Info'!L629="","",CONCATENATE('Cable Info'!L629," - ",'Cable Info'!M629))</f>
        <v>628 - AW</v>
      </c>
      <c r="AM924" s="121" t="str">
        <f t="shared" si="167"/>
        <v>628 - AW</v>
      </c>
      <c r="AO924" s="121" t="str">
        <f>IF('Cable Info'!N629="","",CONCATENATE('Cable Info'!N629," - ",'Cable Info'!O629))</f>
        <v>628 - AW</v>
      </c>
      <c r="AR924" s="121" t="str">
        <f t="shared" si="168"/>
        <v>628 - AW</v>
      </c>
      <c r="AT924" s="121" t="str">
        <f>IF('Cable Info'!P629="","",CONCATENATE('Cable Info'!P629," - ",'Cable Info'!Q629))</f>
        <v/>
      </c>
      <c r="AW924" s="121" t="str">
        <f t="shared" si="169"/>
        <v/>
      </c>
      <c r="AY924" s="121" t="str">
        <f>IF('Cable Info'!R629="","",CONCATENATE('Cable Info'!R629," - ",'Cable Info'!S629))</f>
        <v/>
      </c>
      <c r="BB924" s="121" t="str">
        <f t="shared" si="170"/>
        <v/>
      </c>
      <c r="BD924" s="121" t="str">
        <f>IF('Cable Info'!T629="","",CONCATENATE('Cable Info'!T629," - ",'Cable Info'!U629))</f>
        <v/>
      </c>
      <c r="BG924" s="121" t="str">
        <f t="shared" si="171"/>
        <v/>
      </c>
      <c r="BI924" s="121" t="str">
        <f>IF('Cable Info'!V629="","",CONCATENATE('Cable Info'!V629," - ",'Cable Info'!W629))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str">
        <f>IF('Cable Info'!L630="","",CONCATENATE('Cable Info'!L630," - ",'Cable Info'!M630))</f>
        <v>629 - AW</v>
      </c>
      <c r="AM925" s="121" t="str">
        <f t="shared" si="167"/>
        <v>629 - AW</v>
      </c>
      <c r="AO925" s="121" t="str">
        <f>IF('Cable Info'!N630="","",CONCATENATE('Cable Info'!N630," - ",'Cable Info'!O630))</f>
        <v>629 - AW</v>
      </c>
      <c r="AR925" s="121" t="str">
        <f t="shared" si="168"/>
        <v>629 - AW</v>
      </c>
      <c r="AT925" s="121" t="str">
        <f>IF('Cable Info'!P630="","",CONCATENATE('Cable Info'!P630," - ",'Cable Info'!Q630))</f>
        <v/>
      </c>
      <c r="AW925" s="121" t="str">
        <f t="shared" si="169"/>
        <v/>
      </c>
      <c r="AY925" s="121" t="str">
        <f>IF('Cable Info'!R630="","",CONCATENATE('Cable Info'!R630," - ",'Cable Info'!S630))</f>
        <v/>
      </c>
      <c r="BB925" s="121" t="str">
        <f t="shared" si="170"/>
        <v/>
      </c>
      <c r="BD925" s="121" t="str">
        <f>IF('Cable Info'!T630="","",CONCATENATE('Cable Info'!T630," - ",'Cable Info'!U630))</f>
        <v/>
      </c>
      <c r="BG925" s="121" t="str">
        <f t="shared" si="171"/>
        <v/>
      </c>
      <c r="BI925" s="121" t="str">
        <f>IF('Cable Info'!V630="","",CONCATENATE('Cable Info'!V630," - ",'Cable Info'!W630))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str">
        <f>IF('Cable Info'!L631="","",CONCATENATE('Cable Info'!L631," - ",'Cable Info'!M631))</f>
        <v>630 - AW</v>
      </c>
      <c r="AM926" s="121" t="str">
        <f t="shared" si="167"/>
        <v>630 - AW</v>
      </c>
      <c r="AO926" s="121" t="str">
        <f>IF('Cable Info'!N631="","",CONCATENATE('Cable Info'!N631," - ",'Cable Info'!O631))</f>
        <v>630 - AW</v>
      </c>
      <c r="AR926" s="121" t="str">
        <f t="shared" si="168"/>
        <v>630 - AW</v>
      </c>
      <c r="AT926" s="121" t="str">
        <f>IF('Cable Info'!P631="","",CONCATENATE('Cable Info'!P631," - ",'Cable Info'!Q631))</f>
        <v/>
      </c>
      <c r="AW926" s="121" t="str">
        <f t="shared" si="169"/>
        <v/>
      </c>
      <c r="AY926" s="121" t="str">
        <f>IF('Cable Info'!R631="","",CONCATENATE('Cable Info'!R631," - ",'Cable Info'!S631))</f>
        <v/>
      </c>
      <c r="BB926" s="121" t="str">
        <f t="shared" si="170"/>
        <v/>
      </c>
      <c r="BD926" s="121" t="str">
        <f>IF('Cable Info'!T631="","",CONCATENATE('Cable Info'!T631," - ",'Cable Info'!U631))</f>
        <v/>
      </c>
      <c r="BG926" s="121" t="str">
        <f t="shared" si="171"/>
        <v/>
      </c>
      <c r="BI926" s="121" t="str">
        <f>IF('Cable Info'!V631="","",CONCATENATE('Cable Info'!V631," - ",'Cable Info'!W631))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str">
        <f>IF('Cable Info'!L632="","",CONCATENATE('Cable Info'!L632," - ",'Cable Info'!M632))</f>
        <v>631 - AW</v>
      </c>
      <c r="AM927" s="121" t="str">
        <f t="shared" si="167"/>
        <v>631 - AW</v>
      </c>
      <c r="AO927" s="121" t="str">
        <f>IF('Cable Info'!N632="","",CONCATENATE('Cable Info'!N632," - ",'Cable Info'!O632))</f>
        <v>631 - AW</v>
      </c>
      <c r="AR927" s="121" t="str">
        <f t="shared" si="168"/>
        <v>631 - AW</v>
      </c>
      <c r="AT927" s="121" t="str">
        <f>IF('Cable Info'!P632="","",CONCATENATE('Cable Info'!P632," - ",'Cable Info'!Q632))</f>
        <v/>
      </c>
      <c r="AW927" s="121" t="str">
        <f t="shared" si="169"/>
        <v/>
      </c>
      <c r="AY927" s="121" t="str">
        <f>IF('Cable Info'!R632="","",CONCATENATE('Cable Info'!R632," - ",'Cable Info'!S632))</f>
        <v/>
      </c>
      <c r="BB927" s="121" t="str">
        <f t="shared" si="170"/>
        <v/>
      </c>
      <c r="BD927" s="121" t="str">
        <f>IF('Cable Info'!T632="","",CONCATENATE('Cable Info'!T632," - ",'Cable Info'!U632))</f>
        <v/>
      </c>
      <c r="BG927" s="121" t="str">
        <f t="shared" si="171"/>
        <v/>
      </c>
      <c r="BI927" s="121" t="str">
        <f>IF('Cable Info'!V632="","",CONCATENATE('Cable Info'!V632," - ",'Cable Info'!W632))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str">
        <f>IF('Cable Info'!L633="","",CONCATENATE('Cable Info'!L633," - ",'Cable Info'!M633))</f>
        <v>632 - AW</v>
      </c>
      <c r="AM928" s="121" t="str">
        <f t="shared" si="167"/>
        <v>632 - AW</v>
      </c>
      <c r="AO928" s="121" t="str">
        <f>IF('Cable Info'!N633="","",CONCATENATE('Cable Info'!N633," - ",'Cable Info'!O633))</f>
        <v>632 - AW</v>
      </c>
      <c r="AR928" s="121" t="str">
        <f t="shared" si="168"/>
        <v>632 - AW</v>
      </c>
      <c r="AT928" s="121" t="str">
        <f>IF('Cable Info'!P633="","",CONCATENATE('Cable Info'!P633," - ",'Cable Info'!Q633))</f>
        <v/>
      </c>
      <c r="AW928" s="121" t="str">
        <f t="shared" si="169"/>
        <v/>
      </c>
      <c r="AY928" s="121" t="str">
        <f>IF('Cable Info'!R633="","",CONCATENATE('Cable Info'!R633," - ",'Cable Info'!S633))</f>
        <v/>
      </c>
      <c r="BB928" s="121" t="str">
        <f t="shared" si="170"/>
        <v/>
      </c>
      <c r="BD928" s="121" t="str">
        <f>IF('Cable Info'!T633="","",CONCATENATE('Cable Info'!T633," - ",'Cable Info'!U633))</f>
        <v/>
      </c>
      <c r="BG928" s="121" t="str">
        <f t="shared" si="171"/>
        <v/>
      </c>
      <c r="BI928" s="121" t="str">
        <f>IF('Cable Info'!V633="","",CONCATENATE('Cable Info'!V633," - ",'Cable Info'!W633))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str">
        <f>IF('Cable Info'!L634="","",CONCATENATE('Cable Info'!L634," - ",'Cable Info'!M634))</f>
        <v>633 - AW</v>
      </c>
      <c r="AM929" s="121" t="str">
        <f t="shared" si="167"/>
        <v>633 - AW</v>
      </c>
      <c r="AO929" s="121" t="str">
        <f>IF('Cable Info'!N634="","",CONCATENATE('Cable Info'!N634," - ",'Cable Info'!O634))</f>
        <v>633 - AW</v>
      </c>
      <c r="AR929" s="121" t="str">
        <f t="shared" si="168"/>
        <v>633 - AW</v>
      </c>
      <c r="AT929" s="121" t="str">
        <f>IF('Cable Info'!P634="","",CONCATENATE('Cable Info'!P634," - ",'Cable Info'!Q634))</f>
        <v/>
      </c>
      <c r="AW929" s="121" t="str">
        <f t="shared" si="169"/>
        <v/>
      </c>
      <c r="AY929" s="121" t="str">
        <f>IF('Cable Info'!R634="","",CONCATENATE('Cable Info'!R634," - ",'Cable Info'!S634))</f>
        <v/>
      </c>
      <c r="BB929" s="121" t="str">
        <f t="shared" si="170"/>
        <v/>
      </c>
      <c r="BD929" s="121" t="str">
        <f>IF('Cable Info'!T634="","",CONCATENATE('Cable Info'!T634," - ",'Cable Info'!U634))</f>
        <v/>
      </c>
      <c r="BG929" s="121" t="str">
        <f t="shared" si="171"/>
        <v/>
      </c>
      <c r="BI929" s="121" t="str">
        <f>IF('Cable Info'!V634="","",CONCATENATE('Cable Info'!V634," - ",'Cable Info'!W634))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str">
        <f>IF('Cable Info'!L635="","",CONCATENATE('Cable Info'!L635," - ",'Cable Info'!M635))</f>
        <v>634 - AW</v>
      </c>
      <c r="AM930" s="121" t="str">
        <f t="shared" si="167"/>
        <v>634 - AW</v>
      </c>
      <c r="AO930" s="121" t="str">
        <f>IF('Cable Info'!N635="","",CONCATENATE('Cable Info'!N635," - ",'Cable Info'!O635))</f>
        <v>634 - AW</v>
      </c>
      <c r="AR930" s="121" t="str">
        <f t="shared" si="168"/>
        <v>634 - AW</v>
      </c>
      <c r="AT930" s="121" t="str">
        <f>IF('Cable Info'!P635="","",CONCATENATE('Cable Info'!P635," - ",'Cable Info'!Q635))</f>
        <v/>
      </c>
      <c r="AW930" s="121" t="str">
        <f t="shared" si="169"/>
        <v/>
      </c>
      <c r="AY930" s="121" t="str">
        <f>IF('Cable Info'!R635="","",CONCATENATE('Cable Info'!R635," - ",'Cable Info'!S635))</f>
        <v/>
      </c>
      <c r="BB930" s="121" t="str">
        <f t="shared" si="170"/>
        <v/>
      </c>
      <c r="BD930" s="121" t="str">
        <f>IF('Cable Info'!T635="","",CONCATENATE('Cable Info'!T635," - ",'Cable Info'!U635))</f>
        <v/>
      </c>
      <c r="BG930" s="121" t="str">
        <f t="shared" si="171"/>
        <v/>
      </c>
      <c r="BI930" s="121" t="str">
        <f>IF('Cable Info'!V635="","",CONCATENATE('Cable Info'!V635," - ",'Cable Info'!W635))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str">
        <f>IF('Cable Info'!L636="","",CONCATENATE('Cable Info'!L636," - ",'Cable Info'!M636))</f>
        <v>635 - AW</v>
      </c>
      <c r="AM931" s="121" t="str">
        <f t="shared" si="167"/>
        <v>635 - AW</v>
      </c>
      <c r="AO931" s="121" t="str">
        <f>IF('Cable Info'!N636="","",CONCATENATE('Cable Info'!N636," - ",'Cable Info'!O636))</f>
        <v>635 - AW</v>
      </c>
      <c r="AR931" s="121" t="str">
        <f t="shared" si="168"/>
        <v>635 - AW</v>
      </c>
      <c r="AT931" s="121" t="str">
        <f>IF('Cable Info'!P636="","",CONCATENATE('Cable Info'!P636," - ",'Cable Info'!Q636))</f>
        <v/>
      </c>
      <c r="AW931" s="121" t="str">
        <f t="shared" si="169"/>
        <v/>
      </c>
      <c r="AY931" s="121" t="str">
        <f>IF('Cable Info'!R636="","",CONCATENATE('Cable Info'!R636," - ",'Cable Info'!S636))</f>
        <v/>
      </c>
      <c r="BB931" s="121" t="str">
        <f t="shared" si="170"/>
        <v/>
      </c>
      <c r="BD931" s="121" t="str">
        <f>IF('Cable Info'!T636="","",CONCATENATE('Cable Info'!T636," - ",'Cable Info'!U636))</f>
        <v/>
      </c>
      <c r="BG931" s="121" t="str">
        <f t="shared" si="171"/>
        <v/>
      </c>
      <c r="BI931" s="121" t="str">
        <f>IF('Cable Info'!V636="","",CONCATENATE('Cable Info'!V636," - ",'Cable Info'!W636))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str">
        <f>IF('Cable Info'!L637="","",CONCATENATE('Cable Info'!L637," - ",'Cable Info'!M637))</f>
        <v>636 - AW</v>
      </c>
      <c r="AM932" s="121" t="str">
        <f t="shared" si="167"/>
        <v>636 - AW</v>
      </c>
      <c r="AO932" s="121" t="str">
        <f>IF('Cable Info'!N637="","",CONCATENATE('Cable Info'!N637," - ",'Cable Info'!O637))</f>
        <v>636 - AW</v>
      </c>
      <c r="AR932" s="121" t="str">
        <f t="shared" si="168"/>
        <v>636 - AW</v>
      </c>
      <c r="AT932" s="121" t="str">
        <f>IF('Cable Info'!P637="","",CONCATENATE('Cable Info'!P637," - ",'Cable Info'!Q637))</f>
        <v/>
      </c>
      <c r="AW932" s="121" t="str">
        <f t="shared" si="169"/>
        <v/>
      </c>
      <c r="AY932" s="121" t="str">
        <f>IF('Cable Info'!R637="","",CONCATENATE('Cable Info'!R637," - ",'Cable Info'!S637))</f>
        <v/>
      </c>
      <c r="BB932" s="121" t="str">
        <f t="shared" si="170"/>
        <v/>
      </c>
      <c r="BD932" s="121" t="str">
        <f>IF('Cable Info'!T637="","",CONCATENATE('Cable Info'!T637," - ",'Cable Info'!U637))</f>
        <v/>
      </c>
      <c r="BG932" s="121" t="str">
        <f t="shared" si="171"/>
        <v/>
      </c>
      <c r="BI932" s="121" t="str">
        <f>IF('Cable Info'!V637="","",CONCATENATE('Cable Info'!V637," - ",'Cable Info'!W637))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str">
        <f>IF('Cable Info'!L638="","",CONCATENATE('Cable Info'!L638," - ",'Cable Info'!M638))</f>
        <v>637 - AW</v>
      </c>
      <c r="AM933" s="121" t="str">
        <f t="shared" si="167"/>
        <v>637 - AW</v>
      </c>
      <c r="AO933" s="121" t="str">
        <f>IF('Cable Info'!N638="","",CONCATENATE('Cable Info'!N638," - ",'Cable Info'!O638))</f>
        <v>637 - AW</v>
      </c>
      <c r="AR933" s="121" t="str">
        <f t="shared" si="168"/>
        <v>637 - AW</v>
      </c>
      <c r="AT933" s="121" t="str">
        <f>IF('Cable Info'!P638="","",CONCATENATE('Cable Info'!P638," - ",'Cable Info'!Q638))</f>
        <v/>
      </c>
      <c r="AW933" s="121" t="str">
        <f t="shared" si="169"/>
        <v/>
      </c>
      <c r="AY933" s="121" t="str">
        <f>IF('Cable Info'!R638="","",CONCATENATE('Cable Info'!R638," - ",'Cable Info'!S638))</f>
        <v/>
      </c>
      <c r="BB933" s="121" t="str">
        <f t="shared" si="170"/>
        <v/>
      </c>
      <c r="BD933" s="121" t="str">
        <f>IF('Cable Info'!T638="","",CONCATENATE('Cable Info'!T638," - ",'Cable Info'!U638))</f>
        <v/>
      </c>
      <c r="BG933" s="121" t="str">
        <f t="shared" si="171"/>
        <v/>
      </c>
      <c r="BI933" s="121" t="str">
        <f>IF('Cable Info'!V638="","",CONCATENATE('Cable Info'!V638," - ",'Cable Info'!W638))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str">
        <f>IF('Cable Info'!L639="","",CONCATENATE('Cable Info'!L639," - ",'Cable Info'!M639))</f>
        <v>638 - AW</v>
      </c>
      <c r="AM934" s="121" t="str">
        <f t="shared" si="167"/>
        <v>638 - AW</v>
      </c>
      <c r="AO934" s="121" t="str">
        <f>IF('Cable Info'!N639="","",CONCATENATE('Cable Info'!N639," - ",'Cable Info'!O639))</f>
        <v>638 - AW</v>
      </c>
      <c r="AR934" s="121" t="str">
        <f t="shared" si="168"/>
        <v>638 - AW</v>
      </c>
      <c r="AT934" s="121" t="str">
        <f>IF('Cable Info'!P639="","",CONCATENATE('Cable Info'!P639," - ",'Cable Info'!Q639))</f>
        <v/>
      </c>
      <c r="AW934" s="121" t="str">
        <f t="shared" si="169"/>
        <v/>
      </c>
      <c r="AY934" s="121" t="str">
        <f>IF('Cable Info'!R639="","",CONCATENATE('Cable Info'!R639," - ",'Cable Info'!S639))</f>
        <v/>
      </c>
      <c r="BB934" s="121" t="str">
        <f t="shared" si="170"/>
        <v/>
      </c>
      <c r="BD934" s="121" t="str">
        <f>IF('Cable Info'!T639="","",CONCATENATE('Cable Info'!T639," - ",'Cable Info'!U639))</f>
        <v/>
      </c>
      <c r="BG934" s="121" t="str">
        <f t="shared" si="171"/>
        <v/>
      </c>
      <c r="BI934" s="121" t="str">
        <f>IF('Cable Info'!V639="","",CONCATENATE('Cable Info'!V639," - ",'Cable Info'!W639))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str">
        <f>IF('Cable Info'!L640="","",CONCATENATE('Cable Info'!L640," - ",'Cable Info'!M640))</f>
        <v>639 - AW</v>
      </c>
      <c r="AM935" s="121" t="str">
        <f t="shared" si="167"/>
        <v>639 - AW</v>
      </c>
      <c r="AO935" s="121" t="str">
        <f>IF('Cable Info'!N640="","",CONCATENATE('Cable Info'!N640," - ",'Cable Info'!O640))</f>
        <v>639 - AW</v>
      </c>
      <c r="AR935" s="121" t="str">
        <f t="shared" si="168"/>
        <v>639 - AW</v>
      </c>
      <c r="AT935" s="121" t="str">
        <f>IF('Cable Info'!P640="","",CONCATENATE('Cable Info'!P640," - ",'Cable Info'!Q640))</f>
        <v/>
      </c>
      <c r="AW935" s="121" t="str">
        <f t="shared" si="169"/>
        <v/>
      </c>
      <c r="AY935" s="121" t="str">
        <f>IF('Cable Info'!R640="","",CONCATENATE('Cable Info'!R640," - ",'Cable Info'!S640))</f>
        <v/>
      </c>
      <c r="BB935" s="121" t="str">
        <f t="shared" si="170"/>
        <v/>
      </c>
      <c r="BD935" s="121" t="str">
        <f>IF('Cable Info'!T640="","",CONCATENATE('Cable Info'!T640," - ",'Cable Info'!U640))</f>
        <v/>
      </c>
      <c r="BG935" s="121" t="str">
        <f t="shared" si="171"/>
        <v/>
      </c>
      <c r="BI935" s="121" t="str">
        <f>IF('Cable Info'!V640="","",CONCATENATE('Cable Info'!V640," - ",'Cable Info'!W640))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str">
        <f>IF('Cable Info'!L641="","",CONCATENATE('Cable Info'!L641," - ",'Cable Info'!M641))</f>
        <v>640 - AW</v>
      </c>
      <c r="AM936" s="121" t="str">
        <f t="shared" si="167"/>
        <v>640 - AW</v>
      </c>
      <c r="AO936" s="121" t="str">
        <f>IF('Cable Info'!N641="","",CONCATENATE('Cable Info'!N641," - ",'Cable Info'!O641))</f>
        <v>640 - AW</v>
      </c>
      <c r="AR936" s="121" t="str">
        <f t="shared" si="168"/>
        <v>640 - AW</v>
      </c>
      <c r="AT936" s="121" t="str">
        <f>IF('Cable Info'!P641="","",CONCATENATE('Cable Info'!P641," - ",'Cable Info'!Q641))</f>
        <v/>
      </c>
      <c r="AW936" s="121" t="str">
        <f t="shared" si="169"/>
        <v/>
      </c>
      <c r="AY936" s="121" t="str">
        <f>IF('Cable Info'!R641="","",CONCATENATE('Cable Info'!R641," - ",'Cable Info'!S641))</f>
        <v/>
      </c>
      <c r="BB936" s="121" t="str">
        <f t="shared" si="170"/>
        <v/>
      </c>
      <c r="BD936" s="121" t="str">
        <f>IF('Cable Info'!T641="","",CONCATENATE('Cable Info'!T641," - ",'Cable Info'!U641))</f>
        <v/>
      </c>
      <c r="BG936" s="121" t="str">
        <f t="shared" si="171"/>
        <v/>
      </c>
      <c r="BI936" s="121" t="str">
        <f>IF('Cable Info'!V641="","",CONCATENATE('Cable Info'!V641," - ",'Cable Info'!W641))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str">
        <f>IF('Cable Info'!L642="","",CONCATENATE('Cable Info'!L642," - ",'Cable Info'!M642))</f>
        <v>641 - AW</v>
      </c>
      <c r="AM937" s="121" t="str">
        <f t="shared" si="167"/>
        <v>641 - AW</v>
      </c>
      <c r="AO937" s="121" t="str">
        <f>IF('Cable Info'!N642="","",CONCATENATE('Cable Info'!N642," - ",'Cable Info'!O642))</f>
        <v>641 - AW</v>
      </c>
      <c r="AR937" s="121" t="str">
        <f t="shared" si="168"/>
        <v>641 - AW</v>
      </c>
      <c r="AT937" s="121" t="str">
        <f>IF('Cable Info'!P642="","",CONCATENATE('Cable Info'!P642," - ",'Cable Info'!Q642))</f>
        <v/>
      </c>
      <c r="AW937" s="121" t="str">
        <f t="shared" si="169"/>
        <v/>
      </c>
      <c r="AY937" s="121" t="str">
        <f>IF('Cable Info'!R642="","",CONCATENATE('Cable Info'!R642," - ",'Cable Info'!S642))</f>
        <v/>
      </c>
      <c r="BB937" s="121" t="str">
        <f t="shared" si="170"/>
        <v/>
      </c>
      <c r="BD937" s="121" t="str">
        <f>IF('Cable Info'!T642="","",CONCATENATE('Cable Info'!T642," - ",'Cable Info'!U642))</f>
        <v/>
      </c>
      <c r="BG937" s="121" t="str">
        <f t="shared" si="171"/>
        <v/>
      </c>
      <c r="BI937" s="121" t="str">
        <f>IF('Cable Info'!V642="","",CONCATENATE('Cable Info'!V642," - ",'Cable Info'!W642))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str">
        <f>IF('Cable Info'!L643="","",CONCATENATE('Cable Info'!L643," - ",'Cable Info'!M643))</f>
        <v>642 - AW</v>
      </c>
      <c r="AM938" s="121" t="str">
        <f t="shared" ref="AM938:AM1001" si="173">IF(AK938="",AJ938,CONCATENATE(AJ938,"  &lt;=&gt; ",AK938," ",AL938))</f>
        <v>642 - AW</v>
      </c>
      <c r="AO938" s="121" t="str">
        <f>IF('Cable Info'!N643="","",CONCATENATE('Cable Info'!N643," - ",'Cable Info'!O643))</f>
        <v>642 - AW</v>
      </c>
      <c r="AR938" s="121" t="str">
        <f t="shared" ref="AR938:AR1001" si="174">IF(AP938="",AO938,CONCATENATE(AO938,"  &lt;=&gt; ",AP938," ",AQ938))</f>
        <v>642 - AW</v>
      </c>
      <c r="AT938" s="121" t="str">
        <f>IF('Cable Info'!P643="","",CONCATENATE('Cable Info'!P643," - ",'Cable Info'!Q643))</f>
        <v/>
      </c>
      <c r="AW938" s="121" t="str">
        <f t="shared" ref="AW938:AW1001" si="175">IF(AU938="",AT938,CONCATENATE(AT938,"  &lt;=&gt; ",AU938," ",AV938))</f>
        <v/>
      </c>
      <c r="AY938" s="121" t="str">
        <f>IF('Cable Info'!R643="","",CONCATENATE('Cable Info'!R643," - ",'Cable Info'!S643))</f>
        <v/>
      </c>
      <c r="BB938" s="121" t="str">
        <f t="shared" ref="BB938:BB1001" si="176">IF(AZ938="",AY938,CONCATENATE(AY938,"  &lt;=&gt; ",AZ938," ",BA938))</f>
        <v/>
      </c>
      <c r="BD938" s="121" t="str">
        <f>IF('Cable Info'!T643="","",CONCATENATE('Cable Info'!T643," - ",'Cable Info'!U643))</f>
        <v/>
      </c>
      <c r="BG938" s="121" t="str">
        <f t="shared" ref="BG938:BG1001" si="177">IF(BE938="",BD938,CONCATENATE(BD938,"  &lt;=&gt; ",BE938," ",BF938))</f>
        <v/>
      </c>
      <c r="BI938" s="121" t="str">
        <f>IF('Cable Info'!V643="","",CONCATENATE('Cable Info'!V643," - ",'Cable Info'!W643))</f>
        <v/>
      </c>
      <c r="BL938" s="121" t="str">
        <f t="shared" ref="BL938:BL1001" si="178">IF(BJ938="",BI938,CONCATENATE(BI938,"  &lt;=&gt; ",BJ938," ",BK938))</f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str">
        <f>IF('Cable Info'!L644="","",CONCATENATE('Cable Info'!L644," - ",'Cable Info'!M644))</f>
        <v>643 - AW</v>
      </c>
      <c r="AM939" s="121" t="str">
        <f t="shared" si="173"/>
        <v>643 - AW</v>
      </c>
      <c r="AO939" s="121" t="str">
        <f>IF('Cable Info'!N644="","",CONCATENATE('Cable Info'!N644," - ",'Cable Info'!O644))</f>
        <v>643 - AW</v>
      </c>
      <c r="AR939" s="121" t="str">
        <f t="shared" si="174"/>
        <v>643 - AW</v>
      </c>
      <c r="AT939" s="121" t="str">
        <f>IF('Cable Info'!P644="","",CONCATENATE('Cable Info'!P644," - ",'Cable Info'!Q644))</f>
        <v/>
      </c>
      <c r="AW939" s="121" t="str">
        <f t="shared" si="175"/>
        <v/>
      </c>
      <c r="AY939" s="121" t="str">
        <f>IF('Cable Info'!R644="","",CONCATENATE('Cable Info'!R644," - ",'Cable Info'!S644))</f>
        <v/>
      </c>
      <c r="BB939" s="121" t="str">
        <f t="shared" si="176"/>
        <v/>
      </c>
      <c r="BD939" s="121" t="str">
        <f>IF('Cable Info'!T644="","",CONCATENATE('Cable Info'!T644," - ",'Cable Info'!U644))</f>
        <v/>
      </c>
      <c r="BG939" s="121" t="str">
        <f t="shared" si="177"/>
        <v/>
      </c>
      <c r="BI939" s="121" t="str">
        <f>IF('Cable Info'!V644="","",CONCATENATE('Cable Info'!V644," - ",'Cable Info'!W644))</f>
        <v/>
      </c>
      <c r="BL939" s="121" t="str">
        <f t="shared" si="178"/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str">
        <f>IF('Cable Info'!L645="","",CONCATENATE('Cable Info'!L645," - ",'Cable Info'!M645))</f>
        <v>644 - AW</v>
      </c>
      <c r="AM940" s="121" t="str">
        <f t="shared" si="173"/>
        <v>644 - AW</v>
      </c>
      <c r="AO940" s="121" t="str">
        <f>IF('Cable Info'!N645="","",CONCATENATE('Cable Info'!N645," - ",'Cable Info'!O645))</f>
        <v>644 - AW</v>
      </c>
      <c r="AR940" s="121" t="str">
        <f t="shared" si="174"/>
        <v>644 - AW</v>
      </c>
      <c r="AT940" s="121" t="str">
        <f>IF('Cable Info'!P645="","",CONCATENATE('Cable Info'!P645," - ",'Cable Info'!Q645))</f>
        <v/>
      </c>
      <c r="AW940" s="121" t="str">
        <f t="shared" si="175"/>
        <v/>
      </c>
      <c r="AY940" s="121" t="str">
        <f>IF('Cable Info'!R645="","",CONCATENATE('Cable Info'!R645," - ",'Cable Info'!S645))</f>
        <v/>
      </c>
      <c r="BB940" s="121" t="str">
        <f t="shared" si="176"/>
        <v/>
      </c>
      <c r="BD940" s="121" t="str">
        <f>IF('Cable Info'!T645="","",CONCATENATE('Cable Info'!T645," - ",'Cable Info'!U645))</f>
        <v/>
      </c>
      <c r="BG940" s="121" t="str">
        <f t="shared" si="177"/>
        <v/>
      </c>
      <c r="BI940" s="121" t="str">
        <f>IF('Cable Info'!V645="","",CONCATENATE('Cable Info'!V645," - ",'Cable Info'!W645))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str">
        <f>IF('Cable Info'!L646="","",CONCATENATE('Cable Info'!L646," - ",'Cable Info'!M646))</f>
        <v>645 - AW</v>
      </c>
      <c r="AM941" s="121" t="str">
        <f t="shared" si="173"/>
        <v>645 - AW</v>
      </c>
      <c r="AO941" s="121" t="str">
        <f>IF('Cable Info'!N646="","",CONCATENATE('Cable Info'!N646," - ",'Cable Info'!O646))</f>
        <v>645 - AW</v>
      </c>
      <c r="AR941" s="121" t="str">
        <f t="shared" si="174"/>
        <v>645 - AW</v>
      </c>
      <c r="AT941" s="121" t="str">
        <f>IF('Cable Info'!P646="","",CONCATENATE('Cable Info'!P646," - ",'Cable Info'!Q646))</f>
        <v/>
      </c>
      <c r="AW941" s="121" t="str">
        <f t="shared" si="175"/>
        <v/>
      </c>
      <c r="AY941" s="121" t="str">
        <f>IF('Cable Info'!R646="","",CONCATENATE('Cable Info'!R646," - ",'Cable Info'!S646))</f>
        <v/>
      </c>
      <c r="BB941" s="121" t="str">
        <f t="shared" si="176"/>
        <v/>
      </c>
      <c r="BD941" s="121" t="str">
        <f>IF('Cable Info'!T646="","",CONCATENATE('Cable Info'!T646," - ",'Cable Info'!U646))</f>
        <v/>
      </c>
      <c r="BG941" s="121" t="str">
        <f t="shared" si="177"/>
        <v/>
      </c>
      <c r="BI941" s="121" t="str">
        <f>IF('Cable Info'!V646="","",CONCATENATE('Cable Info'!V646," - ",'Cable Info'!W646))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str">
        <f>IF('Cable Info'!L647="","",CONCATENATE('Cable Info'!L647," - ",'Cable Info'!M647))</f>
        <v>646 - AW</v>
      </c>
      <c r="AM942" s="121" t="str">
        <f t="shared" si="173"/>
        <v>646 - AW</v>
      </c>
      <c r="AO942" s="121" t="str">
        <f>IF('Cable Info'!N647="","",CONCATENATE('Cable Info'!N647," - ",'Cable Info'!O647))</f>
        <v>646 - AW</v>
      </c>
      <c r="AR942" s="121" t="str">
        <f t="shared" si="174"/>
        <v>646 - AW</v>
      </c>
      <c r="AT942" s="121" t="str">
        <f>IF('Cable Info'!P647="","",CONCATENATE('Cable Info'!P647," - ",'Cable Info'!Q647))</f>
        <v/>
      </c>
      <c r="AW942" s="121" t="str">
        <f t="shared" si="175"/>
        <v/>
      </c>
      <c r="AY942" s="121" t="str">
        <f>IF('Cable Info'!R647="","",CONCATENATE('Cable Info'!R647," - ",'Cable Info'!S647))</f>
        <v/>
      </c>
      <c r="BB942" s="121" t="str">
        <f t="shared" si="176"/>
        <v/>
      </c>
      <c r="BD942" s="121" t="str">
        <f>IF('Cable Info'!T647="","",CONCATENATE('Cable Info'!T647," - ",'Cable Info'!U647))</f>
        <v/>
      </c>
      <c r="BG942" s="121" t="str">
        <f t="shared" si="177"/>
        <v/>
      </c>
      <c r="BI942" s="121" t="str">
        <f>IF('Cable Info'!V647="","",CONCATENATE('Cable Info'!V647," - ",'Cable Info'!W647))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str">
        <f>IF('Cable Info'!L648="","",CONCATENATE('Cable Info'!L648," - ",'Cable Info'!M648))</f>
        <v>647 - AW</v>
      </c>
      <c r="AM943" s="121" t="str">
        <f t="shared" si="173"/>
        <v>647 - AW</v>
      </c>
      <c r="AO943" s="121" t="str">
        <f>IF('Cable Info'!N648="","",CONCATENATE('Cable Info'!N648," - ",'Cable Info'!O648))</f>
        <v>647 - AW</v>
      </c>
      <c r="AR943" s="121" t="str">
        <f t="shared" si="174"/>
        <v>647 - AW</v>
      </c>
      <c r="AT943" s="121" t="str">
        <f>IF('Cable Info'!P648="","",CONCATENATE('Cable Info'!P648," - ",'Cable Info'!Q648))</f>
        <v/>
      </c>
      <c r="AW943" s="121" t="str">
        <f t="shared" si="175"/>
        <v/>
      </c>
      <c r="AY943" s="121" t="str">
        <f>IF('Cable Info'!R648="","",CONCATENATE('Cable Info'!R648," - ",'Cable Info'!S648))</f>
        <v/>
      </c>
      <c r="BB943" s="121" t="str">
        <f t="shared" si="176"/>
        <v/>
      </c>
      <c r="BD943" s="121" t="str">
        <f>IF('Cable Info'!T648="","",CONCATENATE('Cable Info'!T648," - ",'Cable Info'!U648))</f>
        <v/>
      </c>
      <c r="BG943" s="121" t="str">
        <f t="shared" si="177"/>
        <v/>
      </c>
      <c r="BI943" s="121" t="str">
        <f>IF('Cable Info'!V648="","",CONCATENATE('Cable Info'!V648," - ",'Cable Info'!W648))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str">
        <f>IF('Cable Info'!L649="","",CONCATENATE('Cable Info'!L649," - ",'Cable Info'!M649))</f>
        <v>648 - AW</v>
      </c>
      <c r="AM944" s="121" t="str">
        <f t="shared" si="173"/>
        <v>648 - AW</v>
      </c>
      <c r="AO944" s="121" t="str">
        <f>IF('Cable Info'!N649="","",CONCATENATE('Cable Info'!N649," - ",'Cable Info'!O649))</f>
        <v>648 - AW</v>
      </c>
      <c r="AR944" s="121" t="str">
        <f t="shared" si="174"/>
        <v>648 - AW</v>
      </c>
      <c r="AT944" s="121" t="str">
        <f>IF('Cable Info'!P649="","",CONCATENATE('Cable Info'!P649," - ",'Cable Info'!Q649))</f>
        <v/>
      </c>
      <c r="AW944" s="121" t="str">
        <f t="shared" si="175"/>
        <v/>
      </c>
      <c r="AY944" s="121" t="str">
        <f>IF('Cable Info'!R649="","",CONCATENATE('Cable Info'!R649," - ",'Cable Info'!S649))</f>
        <v/>
      </c>
      <c r="BB944" s="121" t="str">
        <f t="shared" si="176"/>
        <v/>
      </c>
      <c r="BD944" s="121" t="str">
        <f>IF('Cable Info'!T649="","",CONCATENATE('Cable Info'!T649," - ",'Cable Info'!U649))</f>
        <v/>
      </c>
      <c r="BG944" s="121" t="str">
        <f t="shared" si="177"/>
        <v/>
      </c>
      <c r="BI944" s="121" t="str">
        <f>IF('Cable Info'!V649="","",CONCATENATE('Cable Info'!V649," - ",'Cable Info'!W649))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str">
        <f>IF('Cable Info'!L650="","",CONCATENATE('Cable Info'!L650," - ",'Cable Info'!M650))</f>
        <v>649 - AW</v>
      </c>
      <c r="AM945" s="121" t="str">
        <f t="shared" si="173"/>
        <v>649 - AW</v>
      </c>
      <c r="AO945" s="121" t="str">
        <f>IF('Cable Info'!N650="","",CONCATENATE('Cable Info'!N650," - ",'Cable Info'!O650))</f>
        <v>649 - AW</v>
      </c>
      <c r="AR945" s="121" t="str">
        <f t="shared" si="174"/>
        <v>649 - AW</v>
      </c>
      <c r="AT945" s="121" t="str">
        <f>IF('Cable Info'!P650="","",CONCATENATE('Cable Info'!P650," - ",'Cable Info'!Q650))</f>
        <v/>
      </c>
      <c r="AW945" s="121" t="str">
        <f t="shared" si="175"/>
        <v/>
      </c>
      <c r="AY945" s="121" t="str">
        <f>IF('Cable Info'!R650="","",CONCATENATE('Cable Info'!R650," - ",'Cable Info'!S650))</f>
        <v/>
      </c>
      <c r="BB945" s="121" t="str">
        <f t="shared" si="176"/>
        <v/>
      </c>
      <c r="BD945" s="121" t="str">
        <f>IF('Cable Info'!T650="","",CONCATENATE('Cable Info'!T650," - ",'Cable Info'!U650))</f>
        <v/>
      </c>
      <c r="BG945" s="121" t="str">
        <f t="shared" si="177"/>
        <v/>
      </c>
      <c r="BI945" s="121" t="str">
        <f>IF('Cable Info'!V650="","",CONCATENATE('Cable Info'!V650," - ",'Cable Info'!W650))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str">
        <f>IF('Cable Info'!L651="","",CONCATENATE('Cable Info'!L651," - ",'Cable Info'!M651))</f>
        <v>650 - AW</v>
      </c>
      <c r="AM946" s="121" t="str">
        <f t="shared" si="173"/>
        <v>650 - AW</v>
      </c>
      <c r="AO946" s="121" t="str">
        <f>IF('Cable Info'!N651="","",CONCATENATE('Cable Info'!N651," - ",'Cable Info'!O651))</f>
        <v>650 - AW</v>
      </c>
      <c r="AR946" s="121" t="str">
        <f t="shared" si="174"/>
        <v>650 - AW</v>
      </c>
      <c r="AT946" s="121" t="str">
        <f>IF('Cable Info'!P651="","",CONCATENATE('Cable Info'!P651," - ",'Cable Info'!Q651))</f>
        <v/>
      </c>
      <c r="AW946" s="121" t="str">
        <f t="shared" si="175"/>
        <v/>
      </c>
      <c r="AY946" s="121" t="str">
        <f>IF('Cable Info'!R651="","",CONCATENATE('Cable Info'!R651," - ",'Cable Info'!S651))</f>
        <v/>
      </c>
      <c r="BB946" s="121" t="str">
        <f t="shared" si="176"/>
        <v/>
      </c>
      <c r="BD946" s="121" t="str">
        <f>IF('Cable Info'!T651="","",CONCATENATE('Cable Info'!T651," - ",'Cable Info'!U651))</f>
        <v/>
      </c>
      <c r="BG946" s="121" t="str">
        <f t="shared" si="177"/>
        <v/>
      </c>
      <c r="BI946" s="121" t="str">
        <f>IF('Cable Info'!V651="","",CONCATENATE('Cable Info'!V651," - ",'Cable Info'!W651))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str">
        <f>IF('Cable Info'!L652="","",CONCATENATE('Cable Info'!L652," - ",'Cable Info'!M652))</f>
        <v>651 - AW</v>
      </c>
      <c r="AM947" s="121" t="str">
        <f t="shared" si="173"/>
        <v>651 - AW</v>
      </c>
      <c r="AO947" s="121" t="str">
        <f>IF('Cable Info'!N652="","",CONCATENATE('Cable Info'!N652," - ",'Cable Info'!O652))</f>
        <v>651 - AW</v>
      </c>
      <c r="AR947" s="121" t="str">
        <f t="shared" si="174"/>
        <v>651 - AW</v>
      </c>
      <c r="AT947" s="121" t="str">
        <f>IF('Cable Info'!P652="","",CONCATENATE('Cable Info'!P652," - ",'Cable Info'!Q652))</f>
        <v/>
      </c>
      <c r="AW947" s="121" t="str">
        <f t="shared" si="175"/>
        <v/>
      </c>
      <c r="AY947" s="121" t="str">
        <f>IF('Cable Info'!R652="","",CONCATENATE('Cable Info'!R652," - ",'Cable Info'!S652))</f>
        <v/>
      </c>
      <c r="BB947" s="121" t="str">
        <f t="shared" si="176"/>
        <v/>
      </c>
      <c r="BD947" s="121" t="str">
        <f>IF('Cable Info'!T652="","",CONCATENATE('Cable Info'!T652," - ",'Cable Info'!U652))</f>
        <v/>
      </c>
      <c r="BG947" s="121" t="str">
        <f t="shared" si="177"/>
        <v/>
      </c>
      <c r="BI947" s="121" t="str">
        <f>IF('Cable Info'!V652="","",CONCATENATE('Cable Info'!V652," - ",'Cable Info'!W652))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str">
        <f>IF('Cable Info'!L653="","",CONCATENATE('Cable Info'!L653," - ",'Cable Info'!M653))</f>
        <v>652 - AW</v>
      </c>
      <c r="AM948" s="121" t="str">
        <f t="shared" si="173"/>
        <v>652 - AW</v>
      </c>
      <c r="AO948" s="121" t="str">
        <f>IF('Cable Info'!N653="","",CONCATENATE('Cable Info'!N653," - ",'Cable Info'!O653))</f>
        <v>652 - AW</v>
      </c>
      <c r="AR948" s="121" t="str">
        <f t="shared" si="174"/>
        <v>652 - AW</v>
      </c>
      <c r="AT948" s="121" t="str">
        <f>IF('Cable Info'!P653="","",CONCATENATE('Cable Info'!P653," - ",'Cable Info'!Q653))</f>
        <v/>
      </c>
      <c r="AW948" s="121" t="str">
        <f t="shared" si="175"/>
        <v/>
      </c>
      <c r="AY948" s="121" t="str">
        <f>IF('Cable Info'!R653="","",CONCATENATE('Cable Info'!R653," - ",'Cable Info'!S653))</f>
        <v/>
      </c>
      <c r="BB948" s="121" t="str">
        <f t="shared" si="176"/>
        <v/>
      </c>
      <c r="BD948" s="121" t="str">
        <f>IF('Cable Info'!T653="","",CONCATENATE('Cable Info'!T653," - ",'Cable Info'!U653))</f>
        <v/>
      </c>
      <c r="BG948" s="121" t="str">
        <f t="shared" si="177"/>
        <v/>
      </c>
      <c r="BI948" s="121" t="str">
        <f>IF('Cable Info'!V653="","",CONCATENATE('Cable Info'!V653," - ",'Cable Info'!W653))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str">
        <f>IF('Cable Info'!L654="","",CONCATENATE('Cable Info'!L654," - ",'Cable Info'!M654))</f>
        <v>653 - AW</v>
      </c>
      <c r="AM949" s="121" t="str">
        <f t="shared" si="173"/>
        <v>653 - AW</v>
      </c>
      <c r="AO949" s="121" t="str">
        <f>IF('Cable Info'!N654="","",CONCATENATE('Cable Info'!N654," - ",'Cable Info'!O654))</f>
        <v>653 - AW</v>
      </c>
      <c r="AR949" s="121" t="str">
        <f t="shared" si="174"/>
        <v>653 - AW</v>
      </c>
      <c r="AT949" s="121" t="str">
        <f>IF('Cable Info'!P654="","",CONCATENATE('Cable Info'!P654," - ",'Cable Info'!Q654))</f>
        <v/>
      </c>
      <c r="AW949" s="121" t="str">
        <f t="shared" si="175"/>
        <v/>
      </c>
      <c r="AY949" s="121" t="str">
        <f>IF('Cable Info'!R654="","",CONCATENATE('Cable Info'!R654," - ",'Cable Info'!S654))</f>
        <v/>
      </c>
      <c r="BB949" s="121" t="str">
        <f t="shared" si="176"/>
        <v/>
      </c>
      <c r="BD949" s="121" t="str">
        <f>IF('Cable Info'!T654="","",CONCATENATE('Cable Info'!T654," - ",'Cable Info'!U654))</f>
        <v/>
      </c>
      <c r="BG949" s="121" t="str">
        <f t="shared" si="177"/>
        <v/>
      </c>
      <c r="BI949" s="121" t="str">
        <f>IF('Cable Info'!V654="","",CONCATENATE('Cable Info'!V654," - ",'Cable Info'!W654))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str">
        <f>IF('Cable Info'!L655="","",CONCATENATE('Cable Info'!L655," - ",'Cable Info'!M655))</f>
        <v>654 - AW</v>
      </c>
      <c r="AM950" s="121" t="str">
        <f t="shared" si="173"/>
        <v>654 - AW</v>
      </c>
      <c r="AO950" s="121" t="str">
        <f>IF('Cable Info'!N655="","",CONCATENATE('Cable Info'!N655," - ",'Cable Info'!O655))</f>
        <v>654 - AW</v>
      </c>
      <c r="AR950" s="121" t="str">
        <f t="shared" si="174"/>
        <v>654 - AW</v>
      </c>
      <c r="AT950" s="121" t="str">
        <f>IF('Cable Info'!P655="","",CONCATENATE('Cable Info'!P655," - ",'Cable Info'!Q655))</f>
        <v/>
      </c>
      <c r="AW950" s="121" t="str">
        <f t="shared" si="175"/>
        <v/>
      </c>
      <c r="AY950" s="121" t="str">
        <f>IF('Cable Info'!R655="","",CONCATENATE('Cable Info'!R655," - ",'Cable Info'!S655))</f>
        <v/>
      </c>
      <c r="BB950" s="121" t="str">
        <f t="shared" si="176"/>
        <v/>
      </c>
      <c r="BD950" s="121" t="str">
        <f>IF('Cable Info'!T655="","",CONCATENATE('Cable Info'!T655," - ",'Cable Info'!U655))</f>
        <v/>
      </c>
      <c r="BG950" s="121" t="str">
        <f t="shared" si="177"/>
        <v/>
      </c>
      <c r="BI950" s="121" t="str">
        <f>IF('Cable Info'!V655="","",CONCATENATE('Cable Info'!V655," - ",'Cable Info'!W655))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str">
        <f>IF('Cable Info'!L656="","",CONCATENATE('Cable Info'!L656," - ",'Cable Info'!M656))</f>
        <v>655 - AW</v>
      </c>
      <c r="AM951" s="121" t="str">
        <f t="shared" si="173"/>
        <v>655 - AW</v>
      </c>
      <c r="AO951" s="121" t="str">
        <f>IF('Cable Info'!N656="","",CONCATENATE('Cable Info'!N656," - ",'Cable Info'!O656))</f>
        <v>655 - AW</v>
      </c>
      <c r="AR951" s="121" t="str">
        <f t="shared" si="174"/>
        <v>655 - AW</v>
      </c>
      <c r="AT951" s="121" t="str">
        <f>IF('Cable Info'!P656="","",CONCATENATE('Cable Info'!P656," - ",'Cable Info'!Q656))</f>
        <v/>
      </c>
      <c r="AW951" s="121" t="str">
        <f t="shared" si="175"/>
        <v/>
      </c>
      <c r="AY951" s="121" t="str">
        <f>IF('Cable Info'!R656="","",CONCATENATE('Cable Info'!R656," - ",'Cable Info'!S656))</f>
        <v/>
      </c>
      <c r="BB951" s="121" t="str">
        <f t="shared" si="176"/>
        <v/>
      </c>
      <c r="BD951" s="121" t="str">
        <f>IF('Cable Info'!T656="","",CONCATENATE('Cable Info'!T656," - ",'Cable Info'!U656))</f>
        <v/>
      </c>
      <c r="BG951" s="121" t="str">
        <f t="shared" si="177"/>
        <v/>
      </c>
      <c r="BI951" s="121" t="str">
        <f>IF('Cable Info'!V656="","",CONCATENATE('Cable Info'!V656," - ",'Cable Info'!W656))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str">
        <f>IF('Cable Info'!L657="","",CONCATENATE('Cable Info'!L657," - ",'Cable Info'!M657))</f>
        <v>656 - AW</v>
      </c>
      <c r="AM952" s="121" t="str">
        <f t="shared" si="173"/>
        <v>656 - AW</v>
      </c>
      <c r="AO952" s="121" t="str">
        <f>IF('Cable Info'!N657="","",CONCATENATE('Cable Info'!N657," - ",'Cable Info'!O657))</f>
        <v>656 - AW</v>
      </c>
      <c r="AR952" s="121" t="str">
        <f t="shared" si="174"/>
        <v>656 - AW</v>
      </c>
      <c r="AT952" s="121" t="str">
        <f>IF('Cable Info'!P657="","",CONCATENATE('Cable Info'!P657," - ",'Cable Info'!Q657))</f>
        <v/>
      </c>
      <c r="AW952" s="121" t="str">
        <f t="shared" si="175"/>
        <v/>
      </c>
      <c r="AY952" s="121" t="str">
        <f>IF('Cable Info'!R657="","",CONCATENATE('Cable Info'!R657," - ",'Cable Info'!S657))</f>
        <v/>
      </c>
      <c r="BB952" s="121" t="str">
        <f t="shared" si="176"/>
        <v/>
      </c>
      <c r="BD952" s="121" t="str">
        <f>IF('Cable Info'!T657="","",CONCATENATE('Cable Info'!T657," - ",'Cable Info'!U657))</f>
        <v/>
      </c>
      <c r="BG952" s="121" t="str">
        <f t="shared" si="177"/>
        <v/>
      </c>
      <c r="BI952" s="121" t="str">
        <f>IF('Cable Info'!V657="","",CONCATENATE('Cable Info'!V657," - ",'Cable Info'!W657))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str">
        <f>IF('Cable Info'!L658="","",CONCATENATE('Cable Info'!L658," - ",'Cable Info'!M658))</f>
        <v>657 - AW</v>
      </c>
      <c r="AM953" s="121" t="str">
        <f t="shared" si="173"/>
        <v>657 - AW</v>
      </c>
      <c r="AO953" s="121" t="str">
        <f>IF('Cable Info'!N658="","",CONCATENATE('Cable Info'!N658," - ",'Cable Info'!O658))</f>
        <v>657 - AW</v>
      </c>
      <c r="AR953" s="121" t="str">
        <f t="shared" si="174"/>
        <v>657 - AW</v>
      </c>
      <c r="AT953" s="121" t="str">
        <f>IF('Cable Info'!P658="","",CONCATENATE('Cable Info'!P658," - ",'Cable Info'!Q658))</f>
        <v/>
      </c>
      <c r="AW953" s="121" t="str">
        <f t="shared" si="175"/>
        <v/>
      </c>
      <c r="AY953" s="121" t="str">
        <f>IF('Cable Info'!R658="","",CONCATENATE('Cable Info'!R658," - ",'Cable Info'!S658))</f>
        <v/>
      </c>
      <c r="BB953" s="121" t="str">
        <f t="shared" si="176"/>
        <v/>
      </c>
      <c r="BD953" s="121" t="str">
        <f>IF('Cable Info'!T658="","",CONCATENATE('Cable Info'!T658," - ",'Cable Info'!U658))</f>
        <v/>
      </c>
      <c r="BG953" s="121" t="str">
        <f t="shared" si="177"/>
        <v/>
      </c>
      <c r="BI953" s="121" t="str">
        <f>IF('Cable Info'!V658="","",CONCATENATE('Cable Info'!V658," - ",'Cable Info'!W658))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str">
        <f>IF('Cable Info'!L659="","",CONCATENATE('Cable Info'!L659," - ",'Cable Info'!M659))</f>
        <v>658 - AW</v>
      </c>
      <c r="AM954" s="121" t="str">
        <f t="shared" si="173"/>
        <v>658 - AW</v>
      </c>
      <c r="AO954" s="121" t="str">
        <f>IF('Cable Info'!N659="","",CONCATENATE('Cable Info'!N659," - ",'Cable Info'!O659))</f>
        <v>658 - AW</v>
      </c>
      <c r="AR954" s="121" t="str">
        <f t="shared" si="174"/>
        <v>658 - AW</v>
      </c>
      <c r="AT954" s="121" t="str">
        <f>IF('Cable Info'!P659="","",CONCATENATE('Cable Info'!P659," - ",'Cable Info'!Q659))</f>
        <v/>
      </c>
      <c r="AW954" s="121" t="str">
        <f t="shared" si="175"/>
        <v/>
      </c>
      <c r="AY954" s="121" t="str">
        <f>IF('Cable Info'!R659="","",CONCATENATE('Cable Info'!R659," - ",'Cable Info'!S659))</f>
        <v/>
      </c>
      <c r="BB954" s="121" t="str">
        <f t="shared" si="176"/>
        <v/>
      </c>
      <c r="BD954" s="121" t="str">
        <f>IF('Cable Info'!T659="","",CONCATENATE('Cable Info'!T659," - ",'Cable Info'!U659))</f>
        <v/>
      </c>
      <c r="BG954" s="121" t="str">
        <f t="shared" si="177"/>
        <v/>
      </c>
      <c r="BI954" s="121" t="str">
        <f>IF('Cable Info'!V659="","",CONCATENATE('Cable Info'!V659," - ",'Cable Info'!W659))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str">
        <f>IF('Cable Info'!L660="","",CONCATENATE('Cable Info'!L660," - ",'Cable Info'!M660))</f>
        <v>659 - AW</v>
      </c>
      <c r="AM955" s="121" t="str">
        <f t="shared" si="173"/>
        <v>659 - AW</v>
      </c>
      <c r="AO955" s="121" t="str">
        <f>IF('Cable Info'!N660="","",CONCATENATE('Cable Info'!N660," - ",'Cable Info'!O660))</f>
        <v>659 - AW</v>
      </c>
      <c r="AR955" s="121" t="str">
        <f t="shared" si="174"/>
        <v>659 - AW</v>
      </c>
      <c r="AT955" s="121" t="str">
        <f>IF('Cable Info'!P660="","",CONCATENATE('Cable Info'!P660," - ",'Cable Info'!Q660))</f>
        <v/>
      </c>
      <c r="AW955" s="121" t="str">
        <f t="shared" si="175"/>
        <v/>
      </c>
      <c r="AY955" s="121" t="str">
        <f>IF('Cable Info'!R660="","",CONCATENATE('Cable Info'!R660," - ",'Cable Info'!S660))</f>
        <v/>
      </c>
      <c r="BB955" s="121" t="str">
        <f t="shared" si="176"/>
        <v/>
      </c>
      <c r="BD955" s="121" t="str">
        <f>IF('Cable Info'!T660="","",CONCATENATE('Cable Info'!T660," - ",'Cable Info'!U660))</f>
        <v/>
      </c>
      <c r="BG955" s="121" t="str">
        <f t="shared" si="177"/>
        <v/>
      </c>
      <c r="BI955" s="121" t="str">
        <f>IF('Cable Info'!V660="","",CONCATENATE('Cable Info'!V660," - ",'Cable Info'!W660))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str">
        <f>IF('Cable Info'!L661="","",CONCATENATE('Cable Info'!L661," - ",'Cable Info'!M661))</f>
        <v>660 - AW</v>
      </c>
      <c r="AM956" s="121" t="str">
        <f t="shared" si="173"/>
        <v>660 - AW</v>
      </c>
      <c r="AO956" s="121" t="str">
        <f>IF('Cable Info'!N661="","",CONCATENATE('Cable Info'!N661," - ",'Cable Info'!O661))</f>
        <v>660 - AW</v>
      </c>
      <c r="AR956" s="121" t="str">
        <f t="shared" si="174"/>
        <v>660 - AW</v>
      </c>
      <c r="AT956" s="121" t="str">
        <f>IF('Cable Info'!P661="","",CONCATENATE('Cable Info'!P661," - ",'Cable Info'!Q661))</f>
        <v/>
      </c>
      <c r="AW956" s="121" t="str">
        <f t="shared" si="175"/>
        <v/>
      </c>
      <c r="AY956" s="121" t="str">
        <f>IF('Cable Info'!R661="","",CONCATENATE('Cable Info'!R661," - ",'Cable Info'!S661))</f>
        <v/>
      </c>
      <c r="BB956" s="121" t="str">
        <f t="shared" si="176"/>
        <v/>
      </c>
      <c r="BD956" s="121" t="str">
        <f>IF('Cable Info'!T661="","",CONCATENATE('Cable Info'!T661," - ",'Cable Info'!U661))</f>
        <v/>
      </c>
      <c r="BG956" s="121" t="str">
        <f t="shared" si="177"/>
        <v/>
      </c>
      <c r="BI956" s="121" t="str">
        <f>IF('Cable Info'!V661="","",CONCATENATE('Cable Info'!V661," - ",'Cable Info'!W661))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str">
        <f>IF('Cable Info'!L662="","",CONCATENATE('Cable Info'!L662," - ",'Cable Info'!M662))</f>
        <v>661 - AW</v>
      </c>
      <c r="AM957" s="121" t="str">
        <f t="shared" si="173"/>
        <v>661 - AW</v>
      </c>
      <c r="AO957" s="121" t="str">
        <f>IF('Cable Info'!N662="","",CONCATENATE('Cable Info'!N662," - ",'Cable Info'!O662))</f>
        <v>661 - AW</v>
      </c>
      <c r="AR957" s="121" t="str">
        <f t="shared" si="174"/>
        <v>661 - AW</v>
      </c>
      <c r="AT957" s="121" t="str">
        <f>IF('Cable Info'!P662="","",CONCATENATE('Cable Info'!P662," - ",'Cable Info'!Q662))</f>
        <v/>
      </c>
      <c r="AW957" s="121" t="str">
        <f t="shared" si="175"/>
        <v/>
      </c>
      <c r="AY957" s="121" t="str">
        <f>IF('Cable Info'!R662="","",CONCATENATE('Cable Info'!R662," - ",'Cable Info'!S662))</f>
        <v/>
      </c>
      <c r="BB957" s="121" t="str">
        <f t="shared" si="176"/>
        <v/>
      </c>
      <c r="BD957" s="121" t="str">
        <f>IF('Cable Info'!T662="","",CONCATENATE('Cable Info'!T662," - ",'Cable Info'!U662))</f>
        <v/>
      </c>
      <c r="BG957" s="121" t="str">
        <f t="shared" si="177"/>
        <v/>
      </c>
      <c r="BI957" s="121" t="str">
        <f>IF('Cable Info'!V662="","",CONCATENATE('Cable Info'!V662," - ",'Cable Info'!W662))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str">
        <f>IF('Cable Info'!L663="","",CONCATENATE('Cable Info'!L663," - ",'Cable Info'!M663))</f>
        <v>662 - AW</v>
      </c>
      <c r="AM958" s="121" t="str">
        <f t="shared" si="173"/>
        <v>662 - AW</v>
      </c>
      <c r="AO958" s="121" t="str">
        <f>IF('Cable Info'!N663="","",CONCATENATE('Cable Info'!N663," - ",'Cable Info'!O663))</f>
        <v>662 - AW</v>
      </c>
      <c r="AR958" s="121" t="str">
        <f t="shared" si="174"/>
        <v>662 - AW</v>
      </c>
      <c r="AT958" s="121" t="str">
        <f>IF('Cable Info'!P663="","",CONCATENATE('Cable Info'!P663," - ",'Cable Info'!Q663))</f>
        <v/>
      </c>
      <c r="AW958" s="121" t="str">
        <f t="shared" si="175"/>
        <v/>
      </c>
      <c r="AY958" s="121" t="str">
        <f>IF('Cable Info'!R663="","",CONCATENATE('Cable Info'!R663," - ",'Cable Info'!S663))</f>
        <v/>
      </c>
      <c r="BB958" s="121" t="str">
        <f t="shared" si="176"/>
        <v/>
      </c>
      <c r="BD958" s="121" t="str">
        <f>IF('Cable Info'!T663="","",CONCATENATE('Cable Info'!T663," - ",'Cable Info'!U663))</f>
        <v/>
      </c>
      <c r="BG958" s="121" t="str">
        <f t="shared" si="177"/>
        <v/>
      </c>
      <c r="BI958" s="121" t="str">
        <f>IF('Cable Info'!V663="","",CONCATENATE('Cable Info'!V663," - ",'Cable Info'!W663))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str">
        <f>IF('Cable Info'!L664="","",CONCATENATE('Cable Info'!L664," - ",'Cable Info'!M664))</f>
        <v>663 - AW</v>
      </c>
      <c r="AM959" s="121" t="str">
        <f t="shared" si="173"/>
        <v>663 - AW</v>
      </c>
      <c r="AO959" s="121" t="str">
        <f>IF('Cable Info'!N664="","",CONCATENATE('Cable Info'!N664," - ",'Cable Info'!O664))</f>
        <v>663 - AW</v>
      </c>
      <c r="AR959" s="121" t="str">
        <f t="shared" si="174"/>
        <v>663 - AW</v>
      </c>
      <c r="AT959" s="121" t="str">
        <f>IF('Cable Info'!P664="","",CONCATENATE('Cable Info'!P664," - ",'Cable Info'!Q664))</f>
        <v/>
      </c>
      <c r="AW959" s="121" t="str">
        <f t="shared" si="175"/>
        <v/>
      </c>
      <c r="AY959" s="121" t="str">
        <f>IF('Cable Info'!R664="","",CONCATENATE('Cable Info'!R664," - ",'Cable Info'!S664))</f>
        <v/>
      </c>
      <c r="BB959" s="121" t="str">
        <f t="shared" si="176"/>
        <v/>
      </c>
      <c r="BD959" s="121" t="str">
        <f>IF('Cable Info'!T664="","",CONCATENATE('Cable Info'!T664," - ",'Cable Info'!U664))</f>
        <v/>
      </c>
      <c r="BG959" s="121" t="str">
        <f t="shared" si="177"/>
        <v/>
      </c>
      <c r="BI959" s="121" t="str">
        <f>IF('Cable Info'!V664="","",CONCATENATE('Cable Info'!V664," - ",'Cable Info'!W664))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str">
        <f>IF('Cable Info'!L665="","",CONCATENATE('Cable Info'!L665," - ",'Cable Info'!M665))</f>
        <v>664 - AW</v>
      </c>
      <c r="AM960" s="121" t="str">
        <f t="shared" si="173"/>
        <v>664 - AW</v>
      </c>
      <c r="AO960" s="121" t="str">
        <f>IF('Cable Info'!N665="","",CONCATENATE('Cable Info'!N665," - ",'Cable Info'!O665))</f>
        <v>664 - AW</v>
      </c>
      <c r="AR960" s="121" t="str">
        <f t="shared" si="174"/>
        <v>664 - AW</v>
      </c>
      <c r="AT960" s="121" t="str">
        <f>IF('Cable Info'!P665="","",CONCATENATE('Cable Info'!P665," - ",'Cable Info'!Q665))</f>
        <v/>
      </c>
      <c r="AW960" s="121" t="str">
        <f t="shared" si="175"/>
        <v/>
      </c>
      <c r="AY960" s="121" t="str">
        <f>IF('Cable Info'!R665="","",CONCATENATE('Cable Info'!R665," - ",'Cable Info'!S665))</f>
        <v/>
      </c>
      <c r="BB960" s="121" t="str">
        <f t="shared" si="176"/>
        <v/>
      </c>
      <c r="BD960" s="121" t="str">
        <f>IF('Cable Info'!T665="","",CONCATENATE('Cable Info'!T665," - ",'Cable Info'!U665))</f>
        <v/>
      </c>
      <c r="BG960" s="121" t="str">
        <f t="shared" si="177"/>
        <v/>
      </c>
      <c r="BI960" s="121" t="str">
        <f>IF('Cable Info'!V665="","",CONCATENATE('Cable Info'!V665," - ",'Cable Info'!W665))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str">
        <f>IF('Cable Info'!L666="","",CONCATENATE('Cable Info'!L666," - ",'Cable Info'!M666))</f>
        <v>665 - AW</v>
      </c>
      <c r="AM961" s="121" t="str">
        <f t="shared" si="173"/>
        <v>665 - AW</v>
      </c>
      <c r="AO961" s="121" t="str">
        <f>IF('Cable Info'!N666="","",CONCATENATE('Cable Info'!N666," - ",'Cable Info'!O666))</f>
        <v>665 - AW</v>
      </c>
      <c r="AR961" s="121" t="str">
        <f t="shared" si="174"/>
        <v>665 - AW</v>
      </c>
      <c r="AT961" s="121" t="str">
        <f>IF('Cable Info'!P666="","",CONCATENATE('Cable Info'!P666," - ",'Cable Info'!Q666))</f>
        <v/>
      </c>
      <c r="AW961" s="121" t="str">
        <f t="shared" si="175"/>
        <v/>
      </c>
      <c r="AY961" s="121" t="str">
        <f>IF('Cable Info'!R666="","",CONCATENATE('Cable Info'!R666," - ",'Cable Info'!S666))</f>
        <v/>
      </c>
      <c r="BB961" s="121" t="str">
        <f t="shared" si="176"/>
        <v/>
      </c>
      <c r="BD961" s="121" t="str">
        <f>IF('Cable Info'!T666="","",CONCATENATE('Cable Info'!T666," - ",'Cable Info'!U666))</f>
        <v/>
      </c>
      <c r="BG961" s="121" t="str">
        <f t="shared" si="177"/>
        <v/>
      </c>
      <c r="BI961" s="121" t="str">
        <f>IF('Cable Info'!V666="","",CONCATENATE('Cable Info'!V666," - ",'Cable Info'!W666))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str">
        <f>IF('Cable Info'!L667="","",CONCATENATE('Cable Info'!L667," - ",'Cable Info'!M667))</f>
        <v>666 - AW</v>
      </c>
      <c r="AM962" s="121" t="str">
        <f t="shared" si="173"/>
        <v>666 - AW</v>
      </c>
      <c r="AO962" s="121" t="str">
        <f>IF('Cable Info'!N667="","",CONCATENATE('Cable Info'!N667," - ",'Cable Info'!O667))</f>
        <v>666 - AW</v>
      </c>
      <c r="AR962" s="121" t="str">
        <f t="shared" si="174"/>
        <v>666 - AW</v>
      </c>
      <c r="AT962" s="121" t="str">
        <f>IF('Cable Info'!P667="","",CONCATENATE('Cable Info'!P667," - ",'Cable Info'!Q667))</f>
        <v/>
      </c>
      <c r="AW962" s="121" t="str">
        <f t="shared" si="175"/>
        <v/>
      </c>
      <c r="AY962" s="121" t="str">
        <f>IF('Cable Info'!R667="","",CONCATENATE('Cable Info'!R667," - ",'Cable Info'!S667))</f>
        <v/>
      </c>
      <c r="BB962" s="121" t="str">
        <f t="shared" si="176"/>
        <v/>
      </c>
      <c r="BD962" s="121" t="str">
        <f>IF('Cable Info'!T667="","",CONCATENATE('Cable Info'!T667," - ",'Cable Info'!U667))</f>
        <v/>
      </c>
      <c r="BG962" s="121" t="str">
        <f t="shared" si="177"/>
        <v/>
      </c>
      <c r="BI962" s="121" t="str">
        <f>IF('Cable Info'!V667="","",CONCATENATE('Cable Info'!V667," - ",'Cable Info'!W667))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str">
        <f>IF('Cable Info'!L668="","",CONCATENATE('Cable Info'!L668," - ",'Cable Info'!M668))</f>
        <v>667 - AW</v>
      </c>
      <c r="AM963" s="121" t="str">
        <f t="shared" si="173"/>
        <v>667 - AW</v>
      </c>
      <c r="AO963" s="121" t="str">
        <f>IF('Cable Info'!N668="","",CONCATENATE('Cable Info'!N668," - ",'Cable Info'!O668))</f>
        <v>667 - AW</v>
      </c>
      <c r="AR963" s="121" t="str">
        <f t="shared" si="174"/>
        <v>667 - AW</v>
      </c>
      <c r="AT963" s="121" t="str">
        <f>IF('Cable Info'!P668="","",CONCATENATE('Cable Info'!P668," - ",'Cable Info'!Q668))</f>
        <v/>
      </c>
      <c r="AW963" s="121" t="str">
        <f t="shared" si="175"/>
        <v/>
      </c>
      <c r="AY963" s="121" t="str">
        <f>IF('Cable Info'!R668="","",CONCATENATE('Cable Info'!R668," - ",'Cable Info'!S668))</f>
        <v/>
      </c>
      <c r="BB963" s="121" t="str">
        <f t="shared" si="176"/>
        <v/>
      </c>
      <c r="BD963" s="121" t="str">
        <f>IF('Cable Info'!T668="","",CONCATENATE('Cable Info'!T668," - ",'Cable Info'!U668))</f>
        <v/>
      </c>
      <c r="BG963" s="121" t="str">
        <f t="shared" si="177"/>
        <v/>
      </c>
      <c r="BI963" s="121" t="str">
        <f>IF('Cable Info'!V668="","",CONCATENATE('Cable Info'!V668," - ",'Cable Info'!W668))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str">
        <f>IF('Cable Info'!L669="","",CONCATENATE('Cable Info'!L669," - ",'Cable Info'!M669))</f>
        <v>668 - AW</v>
      </c>
      <c r="AM964" s="121" t="str">
        <f t="shared" si="173"/>
        <v>668 - AW</v>
      </c>
      <c r="AO964" s="121" t="str">
        <f>IF('Cable Info'!N669="","",CONCATENATE('Cable Info'!N669," - ",'Cable Info'!O669))</f>
        <v>668 - AW</v>
      </c>
      <c r="AR964" s="121" t="str">
        <f t="shared" si="174"/>
        <v>668 - AW</v>
      </c>
      <c r="AT964" s="121" t="str">
        <f>IF('Cable Info'!P669="","",CONCATENATE('Cable Info'!P669," - ",'Cable Info'!Q669))</f>
        <v/>
      </c>
      <c r="AW964" s="121" t="str">
        <f t="shared" si="175"/>
        <v/>
      </c>
      <c r="AY964" s="121" t="str">
        <f>IF('Cable Info'!R669="","",CONCATENATE('Cable Info'!R669," - ",'Cable Info'!S669))</f>
        <v/>
      </c>
      <c r="BB964" s="121" t="str">
        <f t="shared" si="176"/>
        <v/>
      </c>
      <c r="BD964" s="121" t="str">
        <f>IF('Cable Info'!T669="","",CONCATENATE('Cable Info'!T669," - ",'Cable Info'!U669))</f>
        <v/>
      </c>
      <c r="BG964" s="121" t="str">
        <f t="shared" si="177"/>
        <v/>
      </c>
      <c r="BI964" s="121" t="str">
        <f>IF('Cable Info'!V669="","",CONCATENATE('Cable Info'!V669," - ",'Cable Info'!W669))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str">
        <f>IF('Cable Info'!L670="","",CONCATENATE('Cable Info'!L670," - ",'Cable Info'!M670))</f>
        <v>669 - AW</v>
      </c>
      <c r="AM965" s="121" t="str">
        <f t="shared" si="173"/>
        <v>669 - AW</v>
      </c>
      <c r="AO965" s="121" t="str">
        <f>IF('Cable Info'!N670="","",CONCATENATE('Cable Info'!N670," - ",'Cable Info'!O670))</f>
        <v>669 - AW</v>
      </c>
      <c r="AR965" s="121" t="str">
        <f t="shared" si="174"/>
        <v>669 - AW</v>
      </c>
      <c r="AT965" s="121" t="str">
        <f>IF('Cable Info'!P670="","",CONCATENATE('Cable Info'!P670," - ",'Cable Info'!Q670))</f>
        <v/>
      </c>
      <c r="AW965" s="121" t="str">
        <f t="shared" si="175"/>
        <v/>
      </c>
      <c r="AY965" s="121" t="str">
        <f>IF('Cable Info'!R670="","",CONCATENATE('Cable Info'!R670," - ",'Cable Info'!S670))</f>
        <v/>
      </c>
      <c r="BB965" s="121" t="str">
        <f t="shared" si="176"/>
        <v/>
      </c>
      <c r="BD965" s="121" t="str">
        <f>IF('Cable Info'!T670="","",CONCATENATE('Cable Info'!T670," - ",'Cable Info'!U670))</f>
        <v/>
      </c>
      <c r="BG965" s="121" t="str">
        <f t="shared" si="177"/>
        <v/>
      </c>
      <c r="BI965" s="121" t="str">
        <f>IF('Cable Info'!V670="","",CONCATENATE('Cable Info'!V670," - ",'Cable Info'!W670))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str">
        <f>IF('Cable Info'!L671="","",CONCATENATE('Cable Info'!L671," - ",'Cable Info'!M671))</f>
        <v>670 - AW</v>
      </c>
      <c r="AM966" s="121" t="str">
        <f t="shared" si="173"/>
        <v>670 - AW</v>
      </c>
      <c r="AO966" s="121" t="str">
        <f>IF('Cable Info'!N671="","",CONCATENATE('Cable Info'!N671," - ",'Cable Info'!O671))</f>
        <v>670 - AW</v>
      </c>
      <c r="AR966" s="121" t="str">
        <f t="shared" si="174"/>
        <v>670 - AW</v>
      </c>
      <c r="AT966" s="121" t="str">
        <f>IF('Cable Info'!P671="","",CONCATENATE('Cable Info'!P671," - ",'Cable Info'!Q671))</f>
        <v/>
      </c>
      <c r="AW966" s="121" t="str">
        <f t="shared" si="175"/>
        <v/>
      </c>
      <c r="AY966" s="121" t="str">
        <f>IF('Cable Info'!R671="","",CONCATENATE('Cable Info'!R671," - ",'Cable Info'!S671))</f>
        <v/>
      </c>
      <c r="BB966" s="121" t="str">
        <f t="shared" si="176"/>
        <v/>
      </c>
      <c r="BD966" s="121" t="str">
        <f>IF('Cable Info'!T671="","",CONCATENATE('Cable Info'!T671," - ",'Cable Info'!U671))</f>
        <v/>
      </c>
      <c r="BG966" s="121" t="str">
        <f t="shared" si="177"/>
        <v/>
      </c>
      <c r="BI966" s="121" t="str">
        <f>IF('Cable Info'!V671="","",CONCATENATE('Cable Info'!V671," - ",'Cable Info'!W671))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str">
        <f>IF('Cable Info'!L672="","",CONCATENATE('Cable Info'!L672," - ",'Cable Info'!M672))</f>
        <v>671 - AW</v>
      </c>
      <c r="AM967" s="121" t="str">
        <f t="shared" si="173"/>
        <v>671 - AW</v>
      </c>
      <c r="AO967" s="121" t="str">
        <f>IF('Cable Info'!N672="","",CONCATENATE('Cable Info'!N672," - ",'Cable Info'!O672))</f>
        <v>671 - AW</v>
      </c>
      <c r="AR967" s="121" t="str">
        <f t="shared" si="174"/>
        <v>671 - AW</v>
      </c>
      <c r="AT967" s="121" t="str">
        <f>IF('Cable Info'!P672="","",CONCATENATE('Cable Info'!P672," - ",'Cable Info'!Q672))</f>
        <v/>
      </c>
      <c r="AW967" s="121" t="str">
        <f t="shared" si="175"/>
        <v/>
      </c>
      <c r="AY967" s="121" t="str">
        <f>IF('Cable Info'!R672="","",CONCATENATE('Cable Info'!R672," - ",'Cable Info'!S672))</f>
        <v/>
      </c>
      <c r="BB967" s="121" t="str">
        <f t="shared" si="176"/>
        <v/>
      </c>
      <c r="BD967" s="121" t="str">
        <f>IF('Cable Info'!T672="","",CONCATENATE('Cable Info'!T672," - ",'Cable Info'!U672))</f>
        <v/>
      </c>
      <c r="BG967" s="121" t="str">
        <f t="shared" si="177"/>
        <v/>
      </c>
      <c r="BI967" s="121" t="str">
        <f>IF('Cable Info'!V672="","",CONCATENATE('Cable Info'!V672," - ",'Cable Info'!W672))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str">
        <f>IF('Cable Info'!L673="","",CONCATENATE('Cable Info'!L673," - ",'Cable Info'!M673))</f>
        <v>672 - AW</v>
      </c>
      <c r="AM968" s="121" t="str">
        <f t="shared" si="173"/>
        <v>672 - AW</v>
      </c>
      <c r="AO968" s="121" t="str">
        <f>IF('Cable Info'!N673="","",CONCATENATE('Cable Info'!N673," - ",'Cable Info'!O673))</f>
        <v>672 - AW</v>
      </c>
      <c r="AR968" s="121" t="str">
        <f t="shared" si="174"/>
        <v>672 - AW</v>
      </c>
      <c r="AT968" s="121" t="str">
        <f>IF('Cable Info'!P673="","",CONCATENATE('Cable Info'!P673," - ",'Cable Info'!Q673))</f>
        <v/>
      </c>
      <c r="AW968" s="121" t="str">
        <f t="shared" si="175"/>
        <v/>
      </c>
      <c r="AY968" s="121" t="str">
        <f>IF('Cable Info'!R673="","",CONCATENATE('Cable Info'!R673," - ",'Cable Info'!S673))</f>
        <v/>
      </c>
      <c r="BB968" s="121" t="str">
        <f t="shared" si="176"/>
        <v/>
      </c>
      <c r="BD968" s="121" t="str">
        <f>IF('Cable Info'!T673="","",CONCATENATE('Cable Info'!T673," - ",'Cable Info'!U673))</f>
        <v/>
      </c>
      <c r="BG968" s="121" t="str">
        <f t="shared" si="177"/>
        <v/>
      </c>
      <c r="BI968" s="121" t="str">
        <f>IF('Cable Info'!V673="","",CONCATENATE('Cable Info'!V673," - ",'Cable Info'!W673))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str">
        <f>IF('Cable Info'!L674="","",CONCATENATE('Cable Info'!L674," - ",'Cable Info'!M674))</f>
        <v>673 - AW</v>
      </c>
      <c r="AM969" s="121" t="str">
        <f t="shared" si="173"/>
        <v>673 - AW</v>
      </c>
      <c r="AO969" s="121" t="str">
        <f>IF('Cable Info'!N674="","",CONCATENATE('Cable Info'!N674," - ",'Cable Info'!O674))</f>
        <v>673 - AW</v>
      </c>
      <c r="AR969" s="121" t="str">
        <f t="shared" si="174"/>
        <v>673 - AW</v>
      </c>
      <c r="AT969" s="121" t="str">
        <f>IF('Cable Info'!P674="","",CONCATENATE('Cable Info'!P674," - ",'Cable Info'!Q674))</f>
        <v/>
      </c>
      <c r="AW969" s="121" t="str">
        <f t="shared" si="175"/>
        <v/>
      </c>
      <c r="AY969" s="121" t="str">
        <f>IF('Cable Info'!R674="","",CONCATENATE('Cable Info'!R674," - ",'Cable Info'!S674))</f>
        <v/>
      </c>
      <c r="BB969" s="121" t="str">
        <f t="shared" si="176"/>
        <v/>
      </c>
      <c r="BD969" s="121" t="str">
        <f>IF('Cable Info'!T674="","",CONCATENATE('Cable Info'!T674," - ",'Cable Info'!U674))</f>
        <v/>
      </c>
      <c r="BG969" s="121" t="str">
        <f t="shared" si="177"/>
        <v/>
      </c>
      <c r="BI969" s="121" t="str">
        <f>IF('Cable Info'!V674="","",CONCATENATE('Cable Info'!V674," - ",'Cable Info'!W674))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str">
        <f>IF('Cable Info'!L675="","",CONCATENATE('Cable Info'!L675," - ",'Cable Info'!M675))</f>
        <v>674 - AW</v>
      </c>
      <c r="AM970" s="121" t="str">
        <f t="shared" si="173"/>
        <v>674 - AW</v>
      </c>
      <c r="AO970" s="121" t="str">
        <f>IF('Cable Info'!N675="","",CONCATENATE('Cable Info'!N675," - ",'Cable Info'!O675))</f>
        <v>674 - AW</v>
      </c>
      <c r="AR970" s="121" t="str">
        <f t="shared" si="174"/>
        <v>674 - AW</v>
      </c>
      <c r="AT970" s="121" t="str">
        <f>IF('Cable Info'!P675="","",CONCATENATE('Cable Info'!P675," - ",'Cable Info'!Q675))</f>
        <v/>
      </c>
      <c r="AW970" s="121" t="str">
        <f t="shared" si="175"/>
        <v/>
      </c>
      <c r="AY970" s="121" t="str">
        <f>IF('Cable Info'!R675="","",CONCATENATE('Cable Info'!R675," - ",'Cable Info'!S675))</f>
        <v/>
      </c>
      <c r="BB970" s="121" t="str">
        <f t="shared" si="176"/>
        <v/>
      </c>
      <c r="BD970" s="121" t="str">
        <f>IF('Cable Info'!T675="","",CONCATENATE('Cable Info'!T675," - ",'Cable Info'!U675))</f>
        <v/>
      </c>
      <c r="BG970" s="121" t="str">
        <f t="shared" si="177"/>
        <v/>
      </c>
      <c r="BI970" s="121" t="str">
        <f>IF('Cable Info'!V675="","",CONCATENATE('Cable Info'!V675," - ",'Cable Info'!W675))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str">
        <f>IF('Cable Info'!L676="","",CONCATENATE('Cable Info'!L676," - ",'Cable Info'!M676))</f>
        <v>675 - AW</v>
      </c>
      <c r="AM971" s="121" t="str">
        <f t="shared" si="173"/>
        <v>675 - AW</v>
      </c>
      <c r="AO971" s="121" t="str">
        <f>IF('Cable Info'!N676="","",CONCATENATE('Cable Info'!N676," - ",'Cable Info'!O676))</f>
        <v>675 - AW</v>
      </c>
      <c r="AR971" s="121" t="str">
        <f t="shared" si="174"/>
        <v>675 - AW</v>
      </c>
      <c r="AT971" s="121" t="str">
        <f>IF('Cable Info'!P676="","",CONCATENATE('Cable Info'!P676," - ",'Cable Info'!Q676))</f>
        <v/>
      </c>
      <c r="AW971" s="121" t="str">
        <f t="shared" si="175"/>
        <v/>
      </c>
      <c r="AY971" s="121" t="str">
        <f>IF('Cable Info'!R676="","",CONCATENATE('Cable Info'!R676," - ",'Cable Info'!S676))</f>
        <v/>
      </c>
      <c r="BB971" s="121" t="str">
        <f t="shared" si="176"/>
        <v/>
      </c>
      <c r="BD971" s="121" t="str">
        <f>IF('Cable Info'!T676="","",CONCATENATE('Cable Info'!T676," - ",'Cable Info'!U676))</f>
        <v/>
      </c>
      <c r="BG971" s="121" t="str">
        <f t="shared" si="177"/>
        <v/>
      </c>
      <c r="BI971" s="121" t="str">
        <f>IF('Cable Info'!V676="","",CONCATENATE('Cable Info'!V676," - ",'Cable Info'!W676))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str">
        <f>IF('Cable Info'!L677="","",CONCATENATE('Cable Info'!L677," - ",'Cable Info'!M677))</f>
        <v>676 - AW</v>
      </c>
      <c r="AM972" s="121" t="str">
        <f t="shared" si="173"/>
        <v>676 - AW</v>
      </c>
      <c r="AO972" s="121" t="str">
        <f>IF('Cable Info'!N677="","",CONCATENATE('Cable Info'!N677," - ",'Cable Info'!O677))</f>
        <v>676 - AW</v>
      </c>
      <c r="AR972" s="121" t="str">
        <f t="shared" si="174"/>
        <v>676 - AW</v>
      </c>
      <c r="AT972" s="121" t="str">
        <f>IF('Cable Info'!P677="","",CONCATENATE('Cable Info'!P677," - ",'Cable Info'!Q677))</f>
        <v/>
      </c>
      <c r="AW972" s="121" t="str">
        <f t="shared" si="175"/>
        <v/>
      </c>
      <c r="AY972" s="121" t="str">
        <f>IF('Cable Info'!R677="","",CONCATENATE('Cable Info'!R677," - ",'Cable Info'!S677))</f>
        <v/>
      </c>
      <c r="BB972" s="121" t="str">
        <f t="shared" si="176"/>
        <v/>
      </c>
      <c r="BD972" s="121" t="str">
        <f>IF('Cable Info'!T677="","",CONCATENATE('Cable Info'!T677," - ",'Cable Info'!U677))</f>
        <v/>
      </c>
      <c r="BG972" s="121" t="str">
        <f t="shared" si="177"/>
        <v/>
      </c>
      <c r="BI972" s="121" t="str">
        <f>IF('Cable Info'!V677="","",CONCATENATE('Cable Info'!V677," - ",'Cable Info'!W677))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str">
        <f>IF('Cable Info'!L678="","",CONCATENATE('Cable Info'!L678," - ",'Cable Info'!M678))</f>
        <v>677 - AW</v>
      </c>
      <c r="AM973" s="121" t="str">
        <f t="shared" si="173"/>
        <v>677 - AW</v>
      </c>
      <c r="AO973" s="121" t="str">
        <f>IF('Cable Info'!N678="","",CONCATENATE('Cable Info'!N678," - ",'Cable Info'!O678))</f>
        <v>677 - AW</v>
      </c>
      <c r="AR973" s="121" t="str">
        <f t="shared" si="174"/>
        <v>677 - AW</v>
      </c>
      <c r="AT973" s="121" t="str">
        <f>IF('Cable Info'!P678="","",CONCATENATE('Cable Info'!P678," - ",'Cable Info'!Q678))</f>
        <v/>
      </c>
      <c r="AW973" s="121" t="str">
        <f t="shared" si="175"/>
        <v/>
      </c>
      <c r="AY973" s="121" t="str">
        <f>IF('Cable Info'!R678="","",CONCATENATE('Cable Info'!R678," - ",'Cable Info'!S678))</f>
        <v/>
      </c>
      <c r="BB973" s="121" t="str">
        <f t="shared" si="176"/>
        <v/>
      </c>
      <c r="BD973" s="121" t="str">
        <f>IF('Cable Info'!T678="","",CONCATENATE('Cable Info'!T678," - ",'Cable Info'!U678))</f>
        <v/>
      </c>
      <c r="BG973" s="121" t="str">
        <f t="shared" si="177"/>
        <v/>
      </c>
      <c r="BI973" s="121" t="str">
        <f>IF('Cable Info'!V678="","",CONCATENATE('Cable Info'!V678," - ",'Cable Info'!W678))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str">
        <f>IF('Cable Info'!L679="","",CONCATENATE('Cable Info'!L679," - ",'Cable Info'!M679))</f>
        <v>678 - AW</v>
      </c>
      <c r="AM974" s="121" t="str">
        <f t="shared" si="173"/>
        <v>678 - AW</v>
      </c>
      <c r="AO974" s="121" t="str">
        <f>IF('Cable Info'!N679="","",CONCATENATE('Cable Info'!N679," - ",'Cable Info'!O679))</f>
        <v>678 - AW</v>
      </c>
      <c r="AR974" s="121" t="str">
        <f t="shared" si="174"/>
        <v>678 - AW</v>
      </c>
      <c r="AT974" s="121" t="str">
        <f>IF('Cable Info'!P679="","",CONCATENATE('Cable Info'!P679," - ",'Cable Info'!Q679))</f>
        <v/>
      </c>
      <c r="AW974" s="121" t="str">
        <f t="shared" si="175"/>
        <v/>
      </c>
      <c r="AY974" s="121" t="str">
        <f>IF('Cable Info'!R679="","",CONCATENATE('Cable Info'!R679," - ",'Cable Info'!S679))</f>
        <v/>
      </c>
      <c r="BB974" s="121" t="str">
        <f t="shared" si="176"/>
        <v/>
      </c>
      <c r="BD974" s="121" t="str">
        <f>IF('Cable Info'!T679="","",CONCATENATE('Cable Info'!T679," - ",'Cable Info'!U679))</f>
        <v/>
      </c>
      <c r="BG974" s="121" t="str">
        <f t="shared" si="177"/>
        <v/>
      </c>
      <c r="BI974" s="121" t="str">
        <f>IF('Cable Info'!V679="","",CONCATENATE('Cable Info'!V679," - ",'Cable Info'!W679))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str">
        <f>IF('Cable Info'!L680="","",CONCATENATE('Cable Info'!L680," - ",'Cable Info'!M680))</f>
        <v>679 - AW</v>
      </c>
      <c r="AM975" s="121" t="str">
        <f t="shared" si="173"/>
        <v>679 - AW</v>
      </c>
      <c r="AO975" s="121" t="str">
        <f>IF('Cable Info'!N680="","",CONCATENATE('Cable Info'!N680," - ",'Cable Info'!O680))</f>
        <v>679 - AW</v>
      </c>
      <c r="AR975" s="121" t="str">
        <f t="shared" si="174"/>
        <v>679 - AW</v>
      </c>
      <c r="AT975" s="121" t="str">
        <f>IF('Cable Info'!P680="","",CONCATENATE('Cable Info'!P680," - ",'Cable Info'!Q680))</f>
        <v/>
      </c>
      <c r="AW975" s="121" t="str">
        <f t="shared" si="175"/>
        <v/>
      </c>
      <c r="AY975" s="121" t="str">
        <f>IF('Cable Info'!R680="","",CONCATENATE('Cable Info'!R680," - ",'Cable Info'!S680))</f>
        <v/>
      </c>
      <c r="BB975" s="121" t="str">
        <f t="shared" si="176"/>
        <v/>
      </c>
      <c r="BD975" s="121" t="str">
        <f>IF('Cable Info'!T680="","",CONCATENATE('Cable Info'!T680," - ",'Cable Info'!U680))</f>
        <v/>
      </c>
      <c r="BG975" s="121" t="str">
        <f t="shared" si="177"/>
        <v/>
      </c>
      <c r="BI975" s="121" t="str">
        <f>IF('Cable Info'!V680="","",CONCATENATE('Cable Info'!V680," - ",'Cable Info'!W680))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str">
        <f>IF('Cable Info'!L681="","",CONCATENATE('Cable Info'!L681," - ",'Cable Info'!M681))</f>
        <v>680 - AW</v>
      </c>
      <c r="AM976" s="121" t="str">
        <f t="shared" si="173"/>
        <v>680 - AW</v>
      </c>
      <c r="AO976" s="121" t="str">
        <f>IF('Cable Info'!N681="","",CONCATENATE('Cable Info'!N681," - ",'Cable Info'!O681))</f>
        <v>680 - AW</v>
      </c>
      <c r="AR976" s="121" t="str">
        <f t="shared" si="174"/>
        <v>680 - AW</v>
      </c>
      <c r="AT976" s="121" t="str">
        <f>IF('Cable Info'!P681="","",CONCATENATE('Cable Info'!P681," - ",'Cable Info'!Q681))</f>
        <v/>
      </c>
      <c r="AW976" s="121" t="str">
        <f t="shared" si="175"/>
        <v/>
      </c>
      <c r="AY976" s="121" t="str">
        <f>IF('Cable Info'!R681="","",CONCATENATE('Cable Info'!R681," - ",'Cable Info'!S681))</f>
        <v/>
      </c>
      <c r="BB976" s="121" t="str">
        <f t="shared" si="176"/>
        <v/>
      </c>
      <c r="BD976" s="121" t="str">
        <f>IF('Cable Info'!T681="","",CONCATENATE('Cable Info'!T681," - ",'Cable Info'!U681))</f>
        <v/>
      </c>
      <c r="BG976" s="121" t="str">
        <f t="shared" si="177"/>
        <v/>
      </c>
      <c r="BI976" s="121" t="str">
        <f>IF('Cable Info'!V681="","",CONCATENATE('Cable Info'!V681," - ",'Cable Info'!W681))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str">
        <f>IF('Cable Info'!L682="","",CONCATENATE('Cable Info'!L682," - ",'Cable Info'!M682))</f>
        <v>681 - AW</v>
      </c>
      <c r="AM977" s="121" t="str">
        <f t="shared" si="173"/>
        <v>681 - AW</v>
      </c>
      <c r="AO977" s="121" t="str">
        <f>IF('Cable Info'!N682="","",CONCATENATE('Cable Info'!N682," - ",'Cable Info'!O682))</f>
        <v>681 - AW</v>
      </c>
      <c r="AR977" s="121" t="str">
        <f t="shared" si="174"/>
        <v>681 - AW</v>
      </c>
      <c r="AT977" s="121" t="str">
        <f>IF('Cable Info'!P682="","",CONCATENATE('Cable Info'!P682," - ",'Cable Info'!Q682))</f>
        <v/>
      </c>
      <c r="AW977" s="121" t="str">
        <f t="shared" si="175"/>
        <v/>
      </c>
      <c r="AY977" s="121" t="str">
        <f>IF('Cable Info'!R682="","",CONCATENATE('Cable Info'!R682," - ",'Cable Info'!S682))</f>
        <v/>
      </c>
      <c r="BB977" s="121" t="str">
        <f t="shared" si="176"/>
        <v/>
      </c>
      <c r="BD977" s="121" t="str">
        <f>IF('Cable Info'!T682="","",CONCATENATE('Cable Info'!T682," - ",'Cable Info'!U682))</f>
        <v/>
      </c>
      <c r="BG977" s="121" t="str">
        <f t="shared" si="177"/>
        <v/>
      </c>
      <c r="BI977" s="121" t="str">
        <f>IF('Cable Info'!V682="","",CONCATENATE('Cable Info'!V682," - ",'Cable Info'!W682))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str">
        <f>IF('Cable Info'!L683="","",CONCATENATE('Cable Info'!L683," - ",'Cable Info'!M683))</f>
        <v>682 - AW</v>
      </c>
      <c r="AM978" s="121" t="str">
        <f t="shared" si="173"/>
        <v>682 - AW</v>
      </c>
      <c r="AO978" s="121" t="str">
        <f>IF('Cable Info'!N683="","",CONCATENATE('Cable Info'!N683," - ",'Cable Info'!O683))</f>
        <v>682 - AW</v>
      </c>
      <c r="AR978" s="121" t="str">
        <f t="shared" si="174"/>
        <v>682 - AW</v>
      </c>
      <c r="AT978" s="121" t="str">
        <f>IF('Cable Info'!P683="","",CONCATENATE('Cable Info'!P683," - ",'Cable Info'!Q683))</f>
        <v/>
      </c>
      <c r="AW978" s="121" t="str">
        <f t="shared" si="175"/>
        <v/>
      </c>
      <c r="AY978" s="121" t="str">
        <f>IF('Cable Info'!R683="","",CONCATENATE('Cable Info'!R683," - ",'Cable Info'!S683))</f>
        <v/>
      </c>
      <c r="BB978" s="121" t="str">
        <f t="shared" si="176"/>
        <v/>
      </c>
      <c r="BD978" s="121" t="str">
        <f>IF('Cable Info'!T683="","",CONCATENATE('Cable Info'!T683," - ",'Cable Info'!U683))</f>
        <v/>
      </c>
      <c r="BG978" s="121" t="str">
        <f t="shared" si="177"/>
        <v/>
      </c>
      <c r="BI978" s="121" t="str">
        <f>IF('Cable Info'!V683="","",CONCATENATE('Cable Info'!V683," - ",'Cable Info'!W683))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str">
        <f>IF('Cable Info'!L684="","",CONCATENATE('Cable Info'!L684," - ",'Cable Info'!M684))</f>
        <v>683 - AW</v>
      </c>
      <c r="AM979" s="121" t="str">
        <f t="shared" si="173"/>
        <v>683 - AW</v>
      </c>
      <c r="AO979" s="121" t="str">
        <f>IF('Cable Info'!N684="","",CONCATENATE('Cable Info'!N684," - ",'Cable Info'!O684))</f>
        <v>683 - AW</v>
      </c>
      <c r="AR979" s="121" t="str">
        <f t="shared" si="174"/>
        <v>683 - AW</v>
      </c>
      <c r="AT979" s="121" t="str">
        <f>IF('Cable Info'!P684="","",CONCATENATE('Cable Info'!P684," - ",'Cable Info'!Q684))</f>
        <v/>
      </c>
      <c r="AW979" s="121" t="str">
        <f t="shared" si="175"/>
        <v/>
      </c>
      <c r="AY979" s="121" t="str">
        <f>IF('Cable Info'!R684="","",CONCATENATE('Cable Info'!R684," - ",'Cable Info'!S684))</f>
        <v/>
      </c>
      <c r="BB979" s="121" t="str">
        <f t="shared" si="176"/>
        <v/>
      </c>
      <c r="BD979" s="121" t="str">
        <f>IF('Cable Info'!T684="","",CONCATENATE('Cable Info'!T684," - ",'Cable Info'!U684))</f>
        <v/>
      </c>
      <c r="BG979" s="121" t="str">
        <f t="shared" si="177"/>
        <v/>
      </c>
      <c r="BI979" s="121" t="str">
        <f>IF('Cable Info'!V684="","",CONCATENATE('Cable Info'!V684," - ",'Cable Info'!W684))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str">
        <f>IF('Cable Info'!L685="","",CONCATENATE('Cable Info'!L685," - ",'Cable Info'!M685))</f>
        <v>684 - AW</v>
      </c>
      <c r="AM980" s="121" t="str">
        <f t="shared" si="173"/>
        <v>684 - AW</v>
      </c>
      <c r="AO980" s="121" t="str">
        <f>IF('Cable Info'!N685="","",CONCATENATE('Cable Info'!N685," - ",'Cable Info'!O685))</f>
        <v>684 - AW</v>
      </c>
      <c r="AR980" s="121" t="str">
        <f t="shared" si="174"/>
        <v>684 - AW</v>
      </c>
      <c r="AT980" s="121" t="str">
        <f>IF('Cable Info'!P685="","",CONCATENATE('Cable Info'!P685," - ",'Cable Info'!Q685))</f>
        <v/>
      </c>
      <c r="AW980" s="121" t="str">
        <f t="shared" si="175"/>
        <v/>
      </c>
      <c r="AY980" s="121" t="str">
        <f>IF('Cable Info'!R685="","",CONCATENATE('Cable Info'!R685," - ",'Cable Info'!S685))</f>
        <v/>
      </c>
      <c r="BB980" s="121" t="str">
        <f t="shared" si="176"/>
        <v/>
      </c>
      <c r="BD980" s="121" t="str">
        <f>IF('Cable Info'!T685="","",CONCATENATE('Cable Info'!T685," - ",'Cable Info'!U685))</f>
        <v/>
      </c>
      <c r="BG980" s="121" t="str">
        <f t="shared" si="177"/>
        <v/>
      </c>
      <c r="BI980" s="121" t="str">
        <f>IF('Cable Info'!V685="","",CONCATENATE('Cable Info'!V685," - ",'Cable Info'!W685))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str">
        <f>IF('Cable Info'!L686="","",CONCATENATE('Cable Info'!L686," - ",'Cable Info'!M686))</f>
        <v>685 - AW</v>
      </c>
      <c r="AM981" s="121" t="str">
        <f t="shared" si="173"/>
        <v>685 - AW</v>
      </c>
      <c r="AO981" s="121" t="str">
        <f>IF('Cable Info'!N686="","",CONCATENATE('Cable Info'!N686," - ",'Cable Info'!O686))</f>
        <v>685 - AW</v>
      </c>
      <c r="AR981" s="121" t="str">
        <f t="shared" si="174"/>
        <v>685 - AW</v>
      </c>
      <c r="AT981" s="121" t="str">
        <f>IF('Cable Info'!P686="","",CONCATENATE('Cable Info'!P686," - ",'Cable Info'!Q686))</f>
        <v/>
      </c>
      <c r="AW981" s="121" t="str">
        <f t="shared" si="175"/>
        <v/>
      </c>
      <c r="AY981" s="121" t="str">
        <f>IF('Cable Info'!R686="","",CONCATENATE('Cable Info'!R686," - ",'Cable Info'!S686))</f>
        <v/>
      </c>
      <c r="BB981" s="121" t="str">
        <f t="shared" si="176"/>
        <v/>
      </c>
      <c r="BD981" s="121" t="str">
        <f>IF('Cable Info'!T686="","",CONCATENATE('Cable Info'!T686," - ",'Cable Info'!U686))</f>
        <v/>
      </c>
      <c r="BG981" s="121" t="str">
        <f t="shared" si="177"/>
        <v/>
      </c>
      <c r="BI981" s="121" t="str">
        <f>IF('Cable Info'!V686="","",CONCATENATE('Cable Info'!V686," - ",'Cable Info'!W686))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str">
        <f>IF('Cable Info'!L687="","",CONCATENATE('Cable Info'!L687," - ",'Cable Info'!M687))</f>
        <v>686 - AW</v>
      </c>
      <c r="AM982" s="121" t="str">
        <f t="shared" si="173"/>
        <v>686 - AW</v>
      </c>
      <c r="AO982" s="121" t="str">
        <f>IF('Cable Info'!N687="","",CONCATENATE('Cable Info'!N687," - ",'Cable Info'!O687))</f>
        <v>686 - AW</v>
      </c>
      <c r="AR982" s="121" t="str">
        <f t="shared" si="174"/>
        <v>686 - AW</v>
      </c>
      <c r="AT982" s="121" t="str">
        <f>IF('Cable Info'!P687="","",CONCATENATE('Cable Info'!P687," - ",'Cable Info'!Q687))</f>
        <v/>
      </c>
      <c r="AW982" s="121" t="str">
        <f t="shared" si="175"/>
        <v/>
      </c>
      <c r="AY982" s="121" t="str">
        <f>IF('Cable Info'!R687="","",CONCATENATE('Cable Info'!R687," - ",'Cable Info'!S687))</f>
        <v/>
      </c>
      <c r="BB982" s="121" t="str">
        <f t="shared" si="176"/>
        <v/>
      </c>
      <c r="BD982" s="121" t="str">
        <f>IF('Cable Info'!T687="","",CONCATENATE('Cable Info'!T687," - ",'Cable Info'!U687))</f>
        <v/>
      </c>
      <c r="BG982" s="121" t="str">
        <f t="shared" si="177"/>
        <v/>
      </c>
      <c r="BI982" s="121" t="str">
        <f>IF('Cable Info'!V687="","",CONCATENATE('Cable Info'!V687," - ",'Cable Info'!W687))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str">
        <f>IF('Cable Info'!L688="","",CONCATENATE('Cable Info'!L688," - ",'Cable Info'!M688))</f>
        <v>687 - AW</v>
      </c>
      <c r="AM983" s="121" t="str">
        <f t="shared" si="173"/>
        <v>687 - AW</v>
      </c>
      <c r="AO983" s="121" t="str">
        <f>IF('Cable Info'!N688="","",CONCATENATE('Cable Info'!N688," - ",'Cable Info'!O688))</f>
        <v>687 - AW</v>
      </c>
      <c r="AR983" s="121" t="str">
        <f t="shared" si="174"/>
        <v>687 - AW</v>
      </c>
      <c r="AT983" s="121" t="str">
        <f>IF('Cable Info'!P688="","",CONCATENATE('Cable Info'!P688," - ",'Cable Info'!Q688))</f>
        <v/>
      </c>
      <c r="AW983" s="121" t="str">
        <f t="shared" si="175"/>
        <v/>
      </c>
      <c r="AY983" s="121" t="str">
        <f>IF('Cable Info'!R688="","",CONCATENATE('Cable Info'!R688," - ",'Cable Info'!S688))</f>
        <v/>
      </c>
      <c r="BB983" s="121" t="str">
        <f t="shared" si="176"/>
        <v/>
      </c>
      <c r="BD983" s="121" t="str">
        <f>IF('Cable Info'!T688="","",CONCATENATE('Cable Info'!T688," - ",'Cable Info'!U688))</f>
        <v/>
      </c>
      <c r="BG983" s="121" t="str">
        <f t="shared" si="177"/>
        <v/>
      </c>
      <c r="BI983" s="121" t="str">
        <f>IF('Cable Info'!V688="","",CONCATENATE('Cable Info'!V688," - ",'Cable Info'!W688))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str">
        <f>IF('Cable Info'!L689="","",CONCATENATE('Cable Info'!L689," - ",'Cable Info'!M689))</f>
        <v>688 - AW</v>
      </c>
      <c r="AM984" s="121" t="str">
        <f t="shared" si="173"/>
        <v>688 - AW</v>
      </c>
      <c r="AO984" s="121" t="str">
        <f>IF('Cable Info'!N689="","",CONCATENATE('Cable Info'!N689," - ",'Cable Info'!O689))</f>
        <v>688 - AW</v>
      </c>
      <c r="AR984" s="121" t="str">
        <f t="shared" si="174"/>
        <v>688 - AW</v>
      </c>
      <c r="AT984" s="121" t="str">
        <f>IF('Cable Info'!P689="","",CONCATENATE('Cable Info'!P689," - ",'Cable Info'!Q689))</f>
        <v/>
      </c>
      <c r="AW984" s="121" t="str">
        <f t="shared" si="175"/>
        <v/>
      </c>
      <c r="AY984" s="121" t="str">
        <f>IF('Cable Info'!R689="","",CONCATENATE('Cable Info'!R689," - ",'Cable Info'!S689))</f>
        <v/>
      </c>
      <c r="BB984" s="121" t="str">
        <f t="shared" si="176"/>
        <v/>
      </c>
      <c r="BD984" s="121" t="str">
        <f>IF('Cable Info'!T689="","",CONCATENATE('Cable Info'!T689," - ",'Cable Info'!U689))</f>
        <v/>
      </c>
      <c r="BG984" s="121" t="str">
        <f t="shared" si="177"/>
        <v/>
      </c>
      <c r="BI984" s="121" t="str">
        <f>IF('Cable Info'!V689="","",CONCATENATE('Cable Info'!V689," - ",'Cable Info'!W689))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str">
        <f>IF('Cable Info'!L690="","",CONCATENATE('Cable Info'!L690," - ",'Cable Info'!M690))</f>
        <v>689 - AW</v>
      </c>
      <c r="AM985" s="121" t="str">
        <f t="shared" si="173"/>
        <v>689 - AW</v>
      </c>
      <c r="AO985" s="121" t="str">
        <f>IF('Cable Info'!N690="","",CONCATENATE('Cable Info'!N690," - ",'Cable Info'!O690))</f>
        <v>689 - AW</v>
      </c>
      <c r="AR985" s="121" t="str">
        <f t="shared" si="174"/>
        <v>689 - AW</v>
      </c>
      <c r="AT985" s="121" t="str">
        <f>IF('Cable Info'!P690="","",CONCATENATE('Cable Info'!P690," - ",'Cable Info'!Q690))</f>
        <v/>
      </c>
      <c r="AW985" s="121" t="str">
        <f t="shared" si="175"/>
        <v/>
      </c>
      <c r="AY985" s="121" t="str">
        <f>IF('Cable Info'!R690="","",CONCATENATE('Cable Info'!R690," - ",'Cable Info'!S690))</f>
        <v/>
      </c>
      <c r="BB985" s="121" t="str">
        <f t="shared" si="176"/>
        <v/>
      </c>
      <c r="BD985" s="121" t="str">
        <f>IF('Cable Info'!T690="","",CONCATENATE('Cable Info'!T690," - ",'Cable Info'!U690))</f>
        <v/>
      </c>
      <c r="BG985" s="121" t="str">
        <f t="shared" si="177"/>
        <v/>
      </c>
      <c r="BI985" s="121" t="str">
        <f>IF('Cable Info'!V690="","",CONCATENATE('Cable Info'!V690," - ",'Cable Info'!W690))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str">
        <f>IF('Cable Info'!L691="","",CONCATENATE('Cable Info'!L691," - ",'Cable Info'!M691))</f>
        <v>690 - AW</v>
      </c>
      <c r="AM986" s="121" t="str">
        <f t="shared" si="173"/>
        <v>690 - AW</v>
      </c>
      <c r="AO986" s="121" t="str">
        <f>IF('Cable Info'!N691="","",CONCATENATE('Cable Info'!N691," - ",'Cable Info'!O691))</f>
        <v>690 - AW</v>
      </c>
      <c r="AR986" s="121" t="str">
        <f t="shared" si="174"/>
        <v>690 - AW</v>
      </c>
      <c r="AT986" s="121" t="str">
        <f>IF('Cable Info'!P691="","",CONCATENATE('Cable Info'!P691," - ",'Cable Info'!Q691))</f>
        <v/>
      </c>
      <c r="AW986" s="121" t="str">
        <f t="shared" si="175"/>
        <v/>
      </c>
      <c r="AY986" s="121" t="str">
        <f>IF('Cable Info'!R691="","",CONCATENATE('Cable Info'!R691," - ",'Cable Info'!S691))</f>
        <v/>
      </c>
      <c r="BB986" s="121" t="str">
        <f t="shared" si="176"/>
        <v/>
      </c>
      <c r="BD986" s="121" t="str">
        <f>IF('Cable Info'!T691="","",CONCATENATE('Cable Info'!T691," - ",'Cable Info'!U691))</f>
        <v/>
      </c>
      <c r="BG986" s="121" t="str">
        <f t="shared" si="177"/>
        <v/>
      </c>
      <c r="BI986" s="121" t="str">
        <f>IF('Cable Info'!V691="","",CONCATENATE('Cable Info'!V691," - ",'Cable Info'!W691))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str">
        <f>IF('Cable Info'!L692="","",CONCATENATE('Cable Info'!L692," - ",'Cable Info'!M692))</f>
        <v>691 - AW</v>
      </c>
      <c r="AM987" s="121" t="str">
        <f t="shared" si="173"/>
        <v>691 - AW</v>
      </c>
      <c r="AO987" s="121" t="str">
        <f>IF('Cable Info'!N692="","",CONCATENATE('Cable Info'!N692," - ",'Cable Info'!O692))</f>
        <v>691 - AW</v>
      </c>
      <c r="AR987" s="121" t="str">
        <f t="shared" si="174"/>
        <v>691 - AW</v>
      </c>
      <c r="AT987" s="121" t="str">
        <f>IF('Cable Info'!P692="","",CONCATENATE('Cable Info'!P692," - ",'Cable Info'!Q692))</f>
        <v/>
      </c>
      <c r="AW987" s="121" t="str">
        <f t="shared" si="175"/>
        <v/>
      </c>
      <c r="AY987" s="121" t="str">
        <f>IF('Cable Info'!R692="","",CONCATENATE('Cable Info'!R692," - ",'Cable Info'!S692))</f>
        <v/>
      </c>
      <c r="BB987" s="121" t="str">
        <f t="shared" si="176"/>
        <v/>
      </c>
      <c r="BD987" s="121" t="str">
        <f>IF('Cable Info'!T692="","",CONCATENATE('Cable Info'!T692," - ",'Cable Info'!U692))</f>
        <v/>
      </c>
      <c r="BG987" s="121" t="str">
        <f t="shared" si="177"/>
        <v/>
      </c>
      <c r="BI987" s="121" t="str">
        <f>IF('Cable Info'!V692="","",CONCATENATE('Cable Info'!V692," - ",'Cable Info'!W692))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str">
        <f>IF('Cable Info'!L693="","",CONCATENATE('Cable Info'!L693," - ",'Cable Info'!M693))</f>
        <v>692 - AW</v>
      </c>
      <c r="AM988" s="121" t="str">
        <f t="shared" si="173"/>
        <v>692 - AW</v>
      </c>
      <c r="AO988" s="121" t="str">
        <f>IF('Cable Info'!N693="","",CONCATENATE('Cable Info'!N693," - ",'Cable Info'!O693))</f>
        <v>692 - AW</v>
      </c>
      <c r="AR988" s="121" t="str">
        <f t="shared" si="174"/>
        <v>692 - AW</v>
      </c>
      <c r="AT988" s="121" t="str">
        <f>IF('Cable Info'!P693="","",CONCATENATE('Cable Info'!P693," - ",'Cable Info'!Q693))</f>
        <v/>
      </c>
      <c r="AW988" s="121" t="str">
        <f t="shared" si="175"/>
        <v/>
      </c>
      <c r="AY988" s="121" t="str">
        <f>IF('Cable Info'!R693="","",CONCATENATE('Cable Info'!R693," - ",'Cable Info'!S693))</f>
        <v/>
      </c>
      <c r="BB988" s="121" t="str">
        <f t="shared" si="176"/>
        <v/>
      </c>
      <c r="BD988" s="121" t="str">
        <f>IF('Cable Info'!T693="","",CONCATENATE('Cable Info'!T693," - ",'Cable Info'!U693))</f>
        <v/>
      </c>
      <c r="BG988" s="121" t="str">
        <f t="shared" si="177"/>
        <v/>
      </c>
      <c r="BI988" s="121" t="str">
        <f>IF('Cable Info'!V693="","",CONCATENATE('Cable Info'!V693," - ",'Cable Info'!W693))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str">
        <f>IF('Cable Info'!L694="","",CONCATENATE('Cable Info'!L694," - ",'Cable Info'!M694))</f>
        <v>693 - AW</v>
      </c>
      <c r="AM989" s="121" t="str">
        <f t="shared" si="173"/>
        <v>693 - AW</v>
      </c>
      <c r="AO989" s="121" t="str">
        <f>IF('Cable Info'!N694="","",CONCATENATE('Cable Info'!N694," - ",'Cable Info'!O694))</f>
        <v>693 - AW</v>
      </c>
      <c r="AR989" s="121" t="str">
        <f t="shared" si="174"/>
        <v>693 - AW</v>
      </c>
      <c r="AT989" s="121" t="str">
        <f>IF('Cable Info'!P694="","",CONCATENATE('Cable Info'!P694," - ",'Cable Info'!Q694))</f>
        <v/>
      </c>
      <c r="AW989" s="121" t="str">
        <f t="shared" si="175"/>
        <v/>
      </c>
      <c r="AY989" s="121" t="str">
        <f>IF('Cable Info'!R694="","",CONCATENATE('Cable Info'!R694," - ",'Cable Info'!S694))</f>
        <v/>
      </c>
      <c r="BB989" s="121" t="str">
        <f t="shared" si="176"/>
        <v/>
      </c>
      <c r="BD989" s="121" t="str">
        <f>IF('Cable Info'!T694="","",CONCATENATE('Cable Info'!T694," - ",'Cable Info'!U694))</f>
        <v/>
      </c>
      <c r="BG989" s="121" t="str">
        <f t="shared" si="177"/>
        <v/>
      </c>
      <c r="BI989" s="121" t="str">
        <f>IF('Cable Info'!V694="","",CONCATENATE('Cable Info'!V694," - ",'Cable Info'!W694))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str">
        <f>IF('Cable Info'!L695="","",CONCATENATE('Cable Info'!L695," - ",'Cable Info'!M695))</f>
        <v>694 - AW</v>
      </c>
      <c r="AM990" s="121" t="str">
        <f t="shared" si="173"/>
        <v>694 - AW</v>
      </c>
      <c r="AO990" s="121" t="str">
        <f>IF('Cable Info'!N695="","",CONCATENATE('Cable Info'!N695," - ",'Cable Info'!O695))</f>
        <v>694 - AW</v>
      </c>
      <c r="AR990" s="121" t="str">
        <f t="shared" si="174"/>
        <v>694 - AW</v>
      </c>
      <c r="AT990" s="121" t="str">
        <f>IF('Cable Info'!P695="","",CONCATENATE('Cable Info'!P695," - ",'Cable Info'!Q695))</f>
        <v/>
      </c>
      <c r="AW990" s="121" t="str">
        <f t="shared" si="175"/>
        <v/>
      </c>
      <c r="AY990" s="121" t="str">
        <f>IF('Cable Info'!R695="","",CONCATENATE('Cable Info'!R695," - ",'Cable Info'!S695))</f>
        <v/>
      </c>
      <c r="BB990" s="121" t="str">
        <f t="shared" si="176"/>
        <v/>
      </c>
      <c r="BD990" s="121" t="str">
        <f>IF('Cable Info'!T695="","",CONCATENATE('Cable Info'!T695," - ",'Cable Info'!U695))</f>
        <v/>
      </c>
      <c r="BG990" s="121" t="str">
        <f t="shared" si="177"/>
        <v/>
      </c>
      <c r="BI990" s="121" t="str">
        <f>IF('Cable Info'!V695="","",CONCATENATE('Cable Info'!V695," - ",'Cable Info'!W695))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str">
        <f>IF('Cable Info'!L696="","",CONCATENATE('Cable Info'!L696," - ",'Cable Info'!M696))</f>
        <v>695 - AW</v>
      </c>
      <c r="AM991" s="121" t="str">
        <f t="shared" si="173"/>
        <v>695 - AW</v>
      </c>
      <c r="AO991" s="121" t="str">
        <f>IF('Cable Info'!N696="","",CONCATENATE('Cable Info'!N696," - ",'Cable Info'!O696))</f>
        <v>695 - AW</v>
      </c>
      <c r="AR991" s="121" t="str">
        <f t="shared" si="174"/>
        <v>695 - AW</v>
      </c>
      <c r="AT991" s="121" t="str">
        <f>IF('Cable Info'!P696="","",CONCATENATE('Cable Info'!P696," - ",'Cable Info'!Q696))</f>
        <v/>
      </c>
      <c r="AW991" s="121" t="str">
        <f t="shared" si="175"/>
        <v/>
      </c>
      <c r="AY991" s="121" t="str">
        <f>IF('Cable Info'!R696="","",CONCATENATE('Cable Info'!R696," - ",'Cable Info'!S696))</f>
        <v/>
      </c>
      <c r="BB991" s="121" t="str">
        <f t="shared" si="176"/>
        <v/>
      </c>
      <c r="BD991" s="121" t="str">
        <f>IF('Cable Info'!T696="","",CONCATENATE('Cable Info'!T696," - ",'Cable Info'!U696))</f>
        <v/>
      </c>
      <c r="BG991" s="121" t="str">
        <f t="shared" si="177"/>
        <v/>
      </c>
      <c r="BI991" s="121" t="str">
        <f>IF('Cable Info'!V696="","",CONCATENATE('Cable Info'!V696," - ",'Cable Info'!W696))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str">
        <f>IF('Cable Info'!L697="","",CONCATENATE('Cable Info'!L697," - ",'Cable Info'!M697))</f>
        <v>696 - AW</v>
      </c>
      <c r="AM992" s="121" t="str">
        <f t="shared" si="173"/>
        <v>696 - AW</v>
      </c>
      <c r="AO992" s="121" t="str">
        <f>IF('Cable Info'!N697="","",CONCATENATE('Cable Info'!N697," - ",'Cable Info'!O697))</f>
        <v>696 - AW</v>
      </c>
      <c r="AR992" s="121" t="str">
        <f t="shared" si="174"/>
        <v>696 - AW</v>
      </c>
      <c r="AT992" s="121" t="str">
        <f>IF('Cable Info'!P697="","",CONCATENATE('Cable Info'!P697," - ",'Cable Info'!Q697))</f>
        <v/>
      </c>
      <c r="AW992" s="121" t="str">
        <f t="shared" si="175"/>
        <v/>
      </c>
      <c r="AY992" s="121" t="str">
        <f>IF('Cable Info'!R697="","",CONCATENATE('Cable Info'!R697," - ",'Cable Info'!S697))</f>
        <v/>
      </c>
      <c r="BB992" s="121" t="str">
        <f t="shared" si="176"/>
        <v/>
      </c>
      <c r="BD992" s="121" t="str">
        <f>IF('Cable Info'!T697="","",CONCATENATE('Cable Info'!T697," - ",'Cable Info'!U697))</f>
        <v/>
      </c>
      <c r="BG992" s="121" t="str">
        <f t="shared" si="177"/>
        <v/>
      </c>
      <c r="BI992" s="121" t="str">
        <f>IF('Cable Info'!V697="","",CONCATENATE('Cable Info'!V697," - ",'Cable Info'!W697))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str">
        <f>IF('Cable Info'!L698="","",CONCATENATE('Cable Info'!L698," - ",'Cable Info'!M698))</f>
        <v>697 - AW</v>
      </c>
      <c r="AM993" s="121" t="str">
        <f t="shared" si="173"/>
        <v>697 - AW</v>
      </c>
      <c r="AO993" s="121" t="str">
        <f>IF('Cable Info'!N698="","",CONCATENATE('Cable Info'!N698," - ",'Cable Info'!O698))</f>
        <v>697 - AW</v>
      </c>
      <c r="AR993" s="121" t="str">
        <f t="shared" si="174"/>
        <v>697 - AW</v>
      </c>
      <c r="AT993" s="121" t="str">
        <f>IF('Cable Info'!P698="","",CONCATENATE('Cable Info'!P698," - ",'Cable Info'!Q698))</f>
        <v/>
      </c>
      <c r="AW993" s="121" t="str">
        <f t="shared" si="175"/>
        <v/>
      </c>
      <c r="AY993" s="121" t="str">
        <f>IF('Cable Info'!R698="","",CONCATENATE('Cable Info'!R698," - ",'Cable Info'!S698))</f>
        <v/>
      </c>
      <c r="BB993" s="121" t="str">
        <f t="shared" si="176"/>
        <v/>
      </c>
      <c r="BD993" s="121" t="str">
        <f>IF('Cable Info'!T698="","",CONCATENATE('Cable Info'!T698," - ",'Cable Info'!U698))</f>
        <v/>
      </c>
      <c r="BG993" s="121" t="str">
        <f t="shared" si="177"/>
        <v/>
      </c>
      <c r="BI993" s="121" t="str">
        <f>IF('Cable Info'!V698="","",CONCATENATE('Cable Info'!V698," - ",'Cable Info'!W698))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str">
        <f>IF('Cable Info'!L699="","",CONCATENATE('Cable Info'!L699," - ",'Cable Info'!M699))</f>
        <v>698 - AW</v>
      </c>
      <c r="AM994" s="121" t="str">
        <f t="shared" si="173"/>
        <v>698 - AW</v>
      </c>
      <c r="AO994" s="121" t="str">
        <f>IF('Cable Info'!N699="","",CONCATENATE('Cable Info'!N699," - ",'Cable Info'!O699))</f>
        <v>698 - AW</v>
      </c>
      <c r="AR994" s="121" t="str">
        <f t="shared" si="174"/>
        <v>698 - AW</v>
      </c>
      <c r="AT994" s="121" t="str">
        <f>IF('Cable Info'!P699="","",CONCATENATE('Cable Info'!P699," - ",'Cable Info'!Q699))</f>
        <v/>
      </c>
      <c r="AW994" s="121" t="str">
        <f t="shared" si="175"/>
        <v/>
      </c>
      <c r="AY994" s="121" t="str">
        <f>IF('Cable Info'!R699="","",CONCATENATE('Cable Info'!R699," - ",'Cable Info'!S699))</f>
        <v/>
      </c>
      <c r="BB994" s="121" t="str">
        <f t="shared" si="176"/>
        <v/>
      </c>
      <c r="BD994" s="121" t="str">
        <f>IF('Cable Info'!T699="","",CONCATENATE('Cable Info'!T699," - ",'Cable Info'!U699))</f>
        <v/>
      </c>
      <c r="BG994" s="121" t="str">
        <f t="shared" si="177"/>
        <v/>
      </c>
      <c r="BI994" s="121" t="str">
        <f>IF('Cable Info'!V699="","",CONCATENATE('Cable Info'!V699," - ",'Cable Info'!W699))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str">
        <f>IF('Cable Info'!L700="","",CONCATENATE('Cable Info'!L700," - ",'Cable Info'!M700))</f>
        <v>699 - AW</v>
      </c>
      <c r="AM995" s="121" t="str">
        <f t="shared" si="173"/>
        <v>699 - AW</v>
      </c>
      <c r="AO995" s="121" t="str">
        <f>IF('Cable Info'!N700="","",CONCATENATE('Cable Info'!N700," - ",'Cable Info'!O700))</f>
        <v>699 - AW</v>
      </c>
      <c r="AR995" s="121" t="str">
        <f t="shared" si="174"/>
        <v>699 - AW</v>
      </c>
      <c r="AT995" s="121" t="str">
        <f>IF('Cable Info'!P700="","",CONCATENATE('Cable Info'!P700," - ",'Cable Info'!Q700))</f>
        <v/>
      </c>
      <c r="AW995" s="121" t="str">
        <f t="shared" si="175"/>
        <v/>
      </c>
      <c r="AY995" s="121" t="str">
        <f>IF('Cable Info'!R700="","",CONCATENATE('Cable Info'!R700," - ",'Cable Info'!S700))</f>
        <v/>
      </c>
      <c r="BB995" s="121" t="str">
        <f t="shared" si="176"/>
        <v/>
      </c>
      <c r="BD995" s="121" t="str">
        <f>IF('Cable Info'!T700="","",CONCATENATE('Cable Info'!T700," - ",'Cable Info'!U700))</f>
        <v/>
      </c>
      <c r="BG995" s="121" t="str">
        <f t="shared" si="177"/>
        <v/>
      </c>
      <c r="BI995" s="121" t="str">
        <f>IF('Cable Info'!V700="","",CONCATENATE('Cable Info'!V700," - ",'Cable Info'!W700))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str">
        <f>IF('Cable Info'!L701="","",CONCATENATE('Cable Info'!L701," - ",'Cable Info'!M701))</f>
        <v>700 - AW</v>
      </c>
      <c r="AM996" s="121" t="str">
        <f t="shared" si="173"/>
        <v>700 - AW</v>
      </c>
      <c r="AO996" s="121" t="str">
        <f>IF('Cable Info'!N701="","",CONCATENATE('Cable Info'!N701," - ",'Cable Info'!O701))</f>
        <v>700 - AW</v>
      </c>
      <c r="AR996" s="121" t="str">
        <f t="shared" si="174"/>
        <v>700 - AW</v>
      </c>
      <c r="AT996" s="121" t="str">
        <f>IF('Cable Info'!P701="","",CONCATENATE('Cable Info'!P701," - ",'Cable Info'!Q701))</f>
        <v/>
      </c>
      <c r="AW996" s="121" t="str">
        <f t="shared" si="175"/>
        <v/>
      </c>
      <c r="AY996" s="121" t="str">
        <f>IF('Cable Info'!R701="","",CONCATENATE('Cable Info'!R701," - ",'Cable Info'!S701))</f>
        <v/>
      </c>
      <c r="BB996" s="121" t="str">
        <f t="shared" si="176"/>
        <v/>
      </c>
      <c r="BD996" s="121" t="str">
        <f>IF('Cable Info'!T701="","",CONCATENATE('Cable Info'!T701," - ",'Cable Info'!U701))</f>
        <v/>
      </c>
      <c r="BG996" s="121" t="str">
        <f t="shared" si="177"/>
        <v/>
      </c>
      <c r="BI996" s="121" t="str">
        <f>IF('Cable Info'!V701="","",CONCATENATE('Cable Info'!V701," - ",'Cable Info'!W701))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str">
        <f>IF('Cable Info'!L702="","",CONCATENATE('Cable Info'!L702," - ",'Cable Info'!M702))</f>
        <v>701 - AW</v>
      </c>
      <c r="AM997" s="121" t="str">
        <f t="shared" si="173"/>
        <v>701 - AW</v>
      </c>
      <c r="AO997" s="121" t="str">
        <f>IF('Cable Info'!N702="","",CONCATENATE('Cable Info'!N702," - ",'Cable Info'!O702))</f>
        <v>701 - AW</v>
      </c>
      <c r="AR997" s="121" t="str">
        <f t="shared" si="174"/>
        <v>701 - AW</v>
      </c>
      <c r="AT997" s="121" t="str">
        <f>IF('Cable Info'!P702="","",CONCATENATE('Cable Info'!P702," - ",'Cable Info'!Q702))</f>
        <v/>
      </c>
      <c r="AW997" s="121" t="str">
        <f t="shared" si="175"/>
        <v/>
      </c>
      <c r="AY997" s="121" t="str">
        <f>IF('Cable Info'!R702="","",CONCATENATE('Cable Info'!R702," - ",'Cable Info'!S702))</f>
        <v/>
      </c>
      <c r="BB997" s="121" t="str">
        <f t="shared" si="176"/>
        <v/>
      </c>
      <c r="BD997" s="121" t="str">
        <f>IF('Cable Info'!T702="","",CONCATENATE('Cable Info'!T702," - ",'Cable Info'!U702))</f>
        <v/>
      </c>
      <c r="BG997" s="121" t="str">
        <f t="shared" si="177"/>
        <v/>
      </c>
      <c r="BI997" s="121" t="str">
        <f>IF('Cable Info'!V702="","",CONCATENATE('Cable Info'!V702," - ",'Cable Info'!W702))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str">
        <f>IF('Cable Info'!L703="","",CONCATENATE('Cable Info'!L703," - ",'Cable Info'!M703))</f>
        <v>702 - AW</v>
      </c>
      <c r="AM998" s="121" t="str">
        <f t="shared" si="173"/>
        <v>702 - AW</v>
      </c>
      <c r="AO998" s="121" t="str">
        <f>IF('Cable Info'!N703="","",CONCATENATE('Cable Info'!N703," - ",'Cable Info'!O703))</f>
        <v>702 - AW</v>
      </c>
      <c r="AR998" s="121" t="str">
        <f t="shared" si="174"/>
        <v>702 - AW</v>
      </c>
      <c r="AT998" s="121" t="str">
        <f>IF('Cable Info'!P703="","",CONCATENATE('Cable Info'!P703," - ",'Cable Info'!Q703))</f>
        <v/>
      </c>
      <c r="AW998" s="121" t="str">
        <f t="shared" si="175"/>
        <v/>
      </c>
      <c r="AY998" s="121" t="str">
        <f>IF('Cable Info'!R703="","",CONCATENATE('Cable Info'!R703," - ",'Cable Info'!S703))</f>
        <v/>
      </c>
      <c r="BB998" s="121" t="str">
        <f t="shared" si="176"/>
        <v/>
      </c>
      <c r="BD998" s="121" t="str">
        <f>IF('Cable Info'!T703="","",CONCATENATE('Cable Info'!T703," - ",'Cable Info'!U703))</f>
        <v/>
      </c>
      <c r="BG998" s="121" t="str">
        <f t="shared" si="177"/>
        <v/>
      </c>
      <c r="BI998" s="121" t="str">
        <f>IF('Cable Info'!V703="","",CONCATENATE('Cable Info'!V703," - ",'Cable Info'!W703))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str">
        <f>IF('Cable Info'!L704="","",CONCATENATE('Cable Info'!L704," - ",'Cable Info'!M704))</f>
        <v>703 - AW</v>
      </c>
      <c r="AM999" s="121" t="str">
        <f t="shared" si="173"/>
        <v>703 - AW</v>
      </c>
      <c r="AO999" s="121" t="str">
        <f>IF('Cable Info'!N704="","",CONCATENATE('Cable Info'!N704," - ",'Cable Info'!O704))</f>
        <v>703 - AW</v>
      </c>
      <c r="AR999" s="121" t="str">
        <f t="shared" si="174"/>
        <v>703 - AW</v>
      </c>
      <c r="AT999" s="121" t="str">
        <f>IF('Cable Info'!P704="","",CONCATENATE('Cable Info'!P704," - ",'Cable Info'!Q704))</f>
        <v/>
      </c>
      <c r="AW999" s="121" t="str">
        <f t="shared" si="175"/>
        <v/>
      </c>
      <c r="AY999" s="121" t="str">
        <f>IF('Cable Info'!R704="","",CONCATENATE('Cable Info'!R704," - ",'Cable Info'!S704))</f>
        <v/>
      </c>
      <c r="BB999" s="121" t="str">
        <f t="shared" si="176"/>
        <v/>
      </c>
      <c r="BD999" s="121" t="str">
        <f>IF('Cable Info'!T704="","",CONCATENATE('Cable Info'!T704," - ",'Cable Info'!U704))</f>
        <v/>
      </c>
      <c r="BG999" s="121" t="str">
        <f t="shared" si="177"/>
        <v/>
      </c>
      <c r="BI999" s="121" t="str">
        <f>IF('Cable Info'!V704="","",CONCATENATE('Cable Info'!V704," - ",'Cable Info'!W704))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str">
        <f>IF('Cable Info'!L705="","",CONCATENATE('Cable Info'!L705," - ",'Cable Info'!M705))</f>
        <v>704 - AW</v>
      </c>
      <c r="AM1000" s="121" t="str">
        <f t="shared" si="173"/>
        <v>704 - AW</v>
      </c>
      <c r="AO1000" s="121" t="str">
        <f>IF('Cable Info'!N705="","",CONCATENATE('Cable Info'!N705," - ",'Cable Info'!O705))</f>
        <v>704 - AW</v>
      </c>
      <c r="AR1000" s="121" t="str">
        <f t="shared" si="174"/>
        <v>704 - AW</v>
      </c>
      <c r="AT1000" s="121" t="str">
        <f>IF('Cable Info'!P705="","",CONCATENATE('Cable Info'!P705," - ",'Cable Info'!Q705))</f>
        <v/>
      </c>
      <c r="AW1000" s="121" t="str">
        <f t="shared" si="175"/>
        <v/>
      </c>
      <c r="AY1000" s="121" t="str">
        <f>IF('Cable Info'!R705="","",CONCATENATE('Cable Info'!R705," - ",'Cable Info'!S705))</f>
        <v/>
      </c>
      <c r="BB1000" s="121" t="str">
        <f t="shared" si="176"/>
        <v/>
      </c>
      <c r="BD1000" s="121" t="str">
        <f>IF('Cable Info'!T705="","",CONCATENATE('Cable Info'!T705," - ",'Cable Info'!U705))</f>
        <v/>
      </c>
      <c r="BG1000" s="121" t="str">
        <f t="shared" si="177"/>
        <v/>
      </c>
      <c r="BI1000" s="121" t="str">
        <f>IF('Cable Info'!V705="","",CONCATENATE('Cable Info'!V705," - ",'Cable Info'!W705))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str">
        <f>IF('Cable Info'!L706="","",CONCATENATE('Cable Info'!L706," - ",'Cable Info'!M706))</f>
        <v>705 - AW</v>
      </c>
      <c r="AM1001" s="121" t="str">
        <f t="shared" si="173"/>
        <v>705 - AW</v>
      </c>
      <c r="AO1001" s="121" t="str">
        <f>IF('Cable Info'!N706="","",CONCATENATE('Cable Info'!N706," - ",'Cable Info'!O706))</f>
        <v>705 - AW</v>
      </c>
      <c r="AR1001" s="121" t="str">
        <f t="shared" si="174"/>
        <v>705 - AW</v>
      </c>
      <c r="AT1001" s="121" t="str">
        <f>IF('Cable Info'!P706="","",CONCATENATE('Cable Info'!P706," - ",'Cable Info'!Q706))</f>
        <v/>
      </c>
      <c r="AW1001" s="121" t="str">
        <f t="shared" si="175"/>
        <v/>
      </c>
      <c r="AY1001" s="121" t="str">
        <f>IF('Cable Info'!R706="","",CONCATENATE('Cable Info'!R706," - ",'Cable Info'!S706))</f>
        <v/>
      </c>
      <c r="BB1001" s="121" t="str">
        <f t="shared" si="176"/>
        <v/>
      </c>
      <c r="BD1001" s="121" t="str">
        <f>IF('Cable Info'!T706="","",CONCATENATE('Cable Info'!T706," - ",'Cable Info'!U706))</f>
        <v/>
      </c>
      <c r="BG1001" s="121" t="str">
        <f t="shared" si="177"/>
        <v/>
      </c>
      <c r="BI1001" s="121" t="str">
        <f>IF('Cable Info'!V706="","",CONCATENATE('Cable Info'!V706," - ",'Cable Info'!W706))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str">
        <f>IF('Cable Info'!L707="","",CONCATENATE('Cable Info'!L707," - ",'Cable Info'!M707))</f>
        <v>706 - AW</v>
      </c>
      <c r="AM1002" s="121" t="str">
        <f t="shared" ref="AM1002:AM1065" si="179">IF(AK1002="",AJ1002,CONCATENATE(AJ1002,"  &lt;=&gt; ",AK1002," ",AL1002))</f>
        <v>706 - AW</v>
      </c>
      <c r="AO1002" s="121" t="str">
        <f>IF('Cable Info'!N707="","",CONCATENATE('Cable Info'!N707," - ",'Cable Info'!O707))</f>
        <v>706 - AW</v>
      </c>
      <c r="AR1002" s="121" t="str">
        <f t="shared" ref="AR1002:AR1065" si="180">IF(AP1002="",AO1002,CONCATENATE(AO1002,"  &lt;=&gt; ",AP1002," ",AQ1002))</f>
        <v>706 - AW</v>
      </c>
      <c r="AT1002" s="121" t="str">
        <f>IF('Cable Info'!P707="","",CONCATENATE('Cable Info'!P707," - ",'Cable Info'!Q707))</f>
        <v/>
      </c>
      <c r="AW1002" s="121" t="str">
        <f t="shared" ref="AW1002:AW1065" si="181">IF(AU1002="",AT1002,CONCATENATE(AT1002,"  &lt;=&gt; ",AU1002," ",AV1002))</f>
        <v/>
      </c>
      <c r="AY1002" s="121" t="str">
        <f>IF('Cable Info'!R707="","",CONCATENATE('Cable Info'!R707," - ",'Cable Info'!S707))</f>
        <v/>
      </c>
      <c r="BB1002" s="121" t="str">
        <f t="shared" ref="BB1002:BB1065" si="182">IF(AZ1002="",AY1002,CONCATENATE(AY1002,"  &lt;=&gt; ",AZ1002," ",BA1002))</f>
        <v/>
      </c>
      <c r="BD1002" s="121" t="str">
        <f>IF('Cable Info'!T707="","",CONCATENATE('Cable Info'!T707," - ",'Cable Info'!U707))</f>
        <v/>
      </c>
      <c r="BG1002" s="121" t="str">
        <f t="shared" ref="BG1002:BG1065" si="183">IF(BE1002="",BD1002,CONCATENATE(BD1002,"  &lt;=&gt; ",BE1002," ",BF1002))</f>
        <v/>
      </c>
      <c r="BI1002" s="121" t="str">
        <f>IF('Cable Info'!V707="","",CONCATENATE('Cable Info'!V707," - ",'Cable Info'!W707))</f>
        <v/>
      </c>
      <c r="BL1002" s="121" t="str">
        <f t="shared" ref="BL1002:BL1065" si="184">IF(BJ1002="",BI1002,CONCATENATE(BI1002,"  &lt;=&gt; ",BJ1002," ",BK1002))</f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str">
        <f>IF('Cable Info'!L708="","",CONCATENATE('Cable Info'!L708," - ",'Cable Info'!M708))</f>
        <v>707 - AW</v>
      </c>
      <c r="AM1003" s="121" t="str">
        <f t="shared" si="179"/>
        <v>707 - AW</v>
      </c>
      <c r="AO1003" s="121" t="str">
        <f>IF('Cable Info'!N708="","",CONCATENATE('Cable Info'!N708," - ",'Cable Info'!O708))</f>
        <v>707 - AW</v>
      </c>
      <c r="AR1003" s="121" t="str">
        <f t="shared" si="180"/>
        <v>707 - AW</v>
      </c>
      <c r="AT1003" s="121" t="str">
        <f>IF('Cable Info'!P708="","",CONCATENATE('Cable Info'!P708," - ",'Cable Info'!Q708))</f>
        <v/>
      </c>
      <c r="AW1003" s="121" t="str">
        <f t="shared" si="181"/>
        <v/>
      </c>
      <c r="AY1003" s="121" t="str">
        <f>IF('Cable Info'!R708="","",CONCATENATE('Cable Info'!R708," - ",'Cable Info'!S708))</f>
        <v/>
      </c>
      <c r="BB1003" s="121" t="str">
        <f t="shared" si="182"/>
        <v/>
      </c>
      <c r="BD1003" s="121" t="str">
        <f>IF('Cable Info'!T708="","",CONCATENATE('Cable Info'!T708," - ",'Cable Info'!U708))</f>
        <v/>
      </c>
      <c r="BG1003" s="121" t="str">
        <f t="shared" si="183"/>
        <v/>
      </c>
      <c r="BI1003" s="121" t="str">
        <f>IF('Cable Info'!V708="","",CONCATENATE('Cable Info'!V708," - ",'Cable Info'!W708))</f>
        <v/>
      </c>
      <c r="BL1003" s="121" t="str">
        <f t="shared" si="184"/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str">
        <f>IF('Cable Info'!L709="","",CONCATENATE('Cable Info'!L709," - ",'Cable Info'!M709))</f>
        <v>708 - AW</v>
      </c>
      <c r="AM1004" s="121" t="str">
        <f t="shared" si="179"/>
        <v>708 - AW</v>
      </c>
      <c r="AO1004" s="121" t="str">
        <f>IF('Cable Info'!N709="","",CONCATENATE('Cable Info'!N709," - ",'Cable Info'!O709))</f>
        <v>708 - AW</v>
      </c>
      <c r="AR1004" s="121" t="str">
        <f t="shared" si="180"/>
        <v>708 - AW</v>
      </c>
      <c r="AT1004" s="121" t="str">
        <f>IF('Cable Info'!P709="","",CONCATENATE('Cable Info'!P709," - ",'Cable Info'!Q709))</f>
        <v/>
      </c>
      <c r="AW1004" s="121" t="str">
        <f t="shared" si="181"/>
        <v/>
      </c>
      <c r="AY1004" s="121" t="str">
        <f>IF('Cable Info'!R709="","",CONCATENATE('Cable Info'!R709," - ",'Cable Info'!S709))</f>
        <v/>
      </c>
      <c r="BB1004" s="121" t="str">
        <f t="shared" si="182"/>
        <v/>
      </c>
      <c r="BD1004" s="121" t="str">
        <f>IF('Cable Info'!T709="","",CONCATENATE('Cable Info'!T709," - ",'Cable Info'!U709))</f>
        <v/>
      </c>
      <c r="BG1004" s="121" t="str">
        <f t="shared" si="183"/>
        <v/>
      </c>
      <c r="BI1004" s="121" t="str">
        <f>IF('Cable Info'!V709="","",CONCATENATE('Cable Info'!V709," - ",'Cable Info'!W709))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str">
        <f>IF('Cable Info'!L710="","",CONCATENATE('Cable Info'!L710," - ",'Cable Info'!M710))</f>
        <v>709 - AW</v>
      </c>
      <c r="AM1005" s="121" t="str">
        <f t="shared" si="179"/>
        <v>709 - AW</v>
      </c>
      <c r="AO1005" s="121" t="str">
        <f>IF('Cable Info'!N710="","",CONCATENATE('Cable Info'!N710," - ",'Cable Info'!O710))</f>
        <v>709 - AW</v>
      </c>
      <c r="AR1005" s="121" t="str">
        <f t="shared" si="180"/>
        <v>709 - AW</v>
      </c>
      <c r="AT1005" s="121" t="str">
        <f>IF('Cable Info'!P710="","",CONCATENATE('Cable Info'!P710," - ",'Cable Info'!Q710))</f>
        <v/>
      </c>
      <c r="AW1005" s="121" t="str">
        <f t="shared" si="181"/>
        <v/>
      </c>
      <c r="AY1005" s="121" t="str">
        <f>IF('Cable Info'!R710="","",CONCATENATE('Cable Info'!R710," - ",'Cable Info'!S710))</f>
        <v/>
      </c>
      <c r="BB1005" s="121" t="str">
        <f t="shared" si="182"/>
        <v/>
      </c>
      <c r="BD1005" s="121" t="str">
        <f>IF('Cable Info'!T710="","",CONCATENATE('Cable Info'!T710," - ",'Cable Info'!U710))</f>
        <v/>
      </c>
      <c r="BG1005" s="121" t="str">
        <f t="shared" si="183"/>
        <v/>
      </c>
      <c r="BI1005" s="121" t="str">
        <f>IF('Cable Info'!V710="","",CONCATENATE('Cable Info'!V710," - ",'Cable Info'!W710))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str">
        <f>IF('Cable Info'!L711="","",CONCATENATE('Cable Info'!L711," - ",'Cable Info'!M711))</f>
        <v>710 - AW</v>
      </c>
      <c r="AM1006" s="121" t="str">
        <f t="shared" si="179"/>
        <v>710 - AW</v>
      </c>
      <c r="AO1006" s="121" t="str">
        <f>IF('Cable Info'!N711="","",CONCATENATE('Cable Info'!N711," - ",'Cable Info'!O711))</f>
        <v>710 - AW</v>
      </c>
      <c r="AR1006" s="121" t="str">
        <f t="shared" si="180"/>
        <v>710 - AW</v>
      </c>
      <c r="AT1006" s="121" t="str">
        <f>IF('Cable Info'!P711="","",CONCATENATE('Cable Info'!P711," - ",'Cable Info'!Q711))</f>
        <v/>
      </c>
      <c r="AW1006" s="121" t="str">
        <f t="shared" si="181"/>
        <v/>
      </c>
      <c r="AY1006" s="121" t="str">
        <f>IF('Cable Info'!R711="","",CONCATENATE('Cable Info'!R711," - ",'Cable Info'!S711))</f>
        <v/>
      </c>
      <c r="BB1006" s="121" t="str">
        <f t="shared" si="182"/>
        <v/>
      </c>
      <c r="BD1006" s="121" t="str">
        <f>IF('Cable Info'!T711="","",CONCATENATE('Cable Info'!T711," - ",'Cable Info'!U711))</f>
        <v/>
      </c>
      <c r="BG1006" s="121" t="str">
        <f t="shared" si="183"/>
        <v/>
      </c>
      <c r="BI1006" s="121" t="str">
        <f>IF('Cable Info'!V711="","",CONCATENATE('Cable Info'!V711," - ",'Cable Info'!W711))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str">
        <f>IF('Cable Info'!L712="","",CONCATENATE('Cable Info'!L712," - ",'Cable Info'!M712))</f>
        <v>711 - AW</v>
      </c>
      <c r="AM1007" s="121" t="str">
        <f t="shared" si="179"/>
        <v>711 - AW</v>
      </c>
      <c r="AO1007" s="121" t="str">
        <f>IF('Cable Info'!N712="","",CONCATENATE('Cable Info'!N712," - ",'Cable Info'!O712))</f>
        <v>711 - AW</v>
      </c>
      <c r="AR1007" s="121" t="str">
        <f t="shared" si="180"/>
        <v>711 - AW</v>
      </c>
      <c r="AT1007" s="121" t="str">
        <f>IF('Cable Info'!P712="","",CONCATENATE('Cable Info'!P712," - ",'Cable Info'!Q712))</f>
        <v/>
      </c>
      <c r="AW1007" s="121" t="str">
        <f t="shared" si="181"/>
        <v/>
      </c>
      <c r="AY1007" s="121" t="str">
        <f>IF('Cable Info'!R712="","",CONCATENATE('Cable Info'!R712," - ",'Cable Info'!S712))</f>
        <v/>
      </c>
      <c r="BB1007" s="121" t="str">
        <f t="shared" si="182"/>
        <v/>
      </c>
      <c r="BD1007" s="121" t="str">
        <f>IF('Cable Info'!T712="","",CONCATENATE('Cable Info'!T712," - ",'Cable Info'!U712))</f>
        <v/>
      </c>
      <c r="BG1007" s="121" t="str">
        <f t="shared" si="183"/>
        <v/>
      </c>
      <c r="BI1007" s="121" t="str">
        <f>IF('Cable Info'!V712="","",CONCATENATE('Cable Info'!V712," - ",'Cable Info'!W712))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str">
        <f>IF('Cable Info'!L713="","",CONCATENATE('Cable Info'!L713," - ",'Cable Info'!M713))</f>
        <v>712 - AW</v>
      </c>
      <c r="AM1008" s="121" t="str">
        <f t="shared" si="179"/>
        <v>712 - AW</v>
      </c>
      <c r="AO1008" s="121" t="str">
        <f>IF('Cable Info'!N713="","",CONCATENATE('Cable Info'!N713," - ",'Cable Info'!O713))</f>
        <v>712 - AW</v>
      </c>
      <c r="AR1008" s="121" t="str">
        <f t="shared" si="180"/>
        <v>712 - AW</v>
      </c>
      <c r="AT1008" s="121" t="str">
        <f>IF('Cable Info'!P713="","",CONCATENATE('Cable Info'!P713," - ",'Cable Info'!Q713))</f>
        <v/>
      </c>
      <c r="AW1008" s="121" t="str">
        <f t="shared" si="181"/>
        <v/>
      </c>
      <c r="AY1008" s="121" t="str">
        <f>IF('Cable Info'!R713="","",CONCATENATE('Cable Info'!R713," - ",'Cable Info'!S713))</f>
        <v/>
      </c>
      <c r="BB1008" s="121" t="str">
        <f t="shared" si="182"/>
        <v/>
      </c>
      <c r="BD1008" s="121" t="str">
        <f>IF('Cable Info'!T713="","",CONCATENATE('Cable Info'!T713," - ",'Cable Info'!U713))</f>
        <v/>
      </c>
      <c r="BG1008" s="121" t="str">
        <f t="shared" si="183"/>
        <v/>
      </c>
      <c r="BI1008" s="121" t="str">
        <f>IF('Cable Info'!V713="","",CONCATENATE('Cable Info'!V713," - ",'Cable Info'!W713))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str">
        <f>IF('Cable Info'!L714="","",CONCATENATE('Cable Info'!L714," - ",'Cable Info'!M714))</f>
        <v>713 - AW</v>
      </c>
      <c r="AM1009" s="121" t="str">
        <f t="shared" si="179"/>
        <v>713 - AW</v>
      </c>
      <c r="AO1009" s="121" t="str">
        <f>IF('Cable Info'!N714="","",CONCATENATE('Cable Info'!N714," - ",'Cable Info'!O714))</f>
        <v>713 - AW</v>
      </c>
      <c r="AR1009" s="121" t="str">
        <f t="shared" si="180"/>
        <v>713 - AW</v>
      </c>
      <c r="AT1009" s="121" t="str">
        <f>IF('Cable Info'!P714="","",CONCATENATE('Cable Info'!P714," - ",'Cable Info'!Q714))</f>
        <v/>
      </c>
      <c r="AW1009" s="121" t="str">
        <f t="shared" si="181"/>
        <v/>
      </c>
      <c r="AY1009" s="121" t="str">
        <f>IF('Cable Info'!R714="","",CONCATENATE('Cable Info'!R714," - ",'Cable Info'!S714))</f>
        <v/>
      </c>
      <c r="BB1009" s="121" t="str">
        <f t="shared" si="182"/>
        <v/>
      </c>
      <c r="BD1009" s="121" t="str">
        <f>IF('Cable Info'!T714="","",CONCATENATE('Cable Info'!T714," - ",'Cable Info'!U714))</f>
        <v/>
      </c>
      <c r="BG1009" s="121" t="str">
        <f t="shared" si="183"/>
        <v/>
      </c>
      <c r="BI1009" s="121" t="str">
        <f>IF('Cable Info'!V714="","",CONCATENATE('Cable Info'!V714," - ",'Cable Info'!W714))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str">
        <f>IF('Cable Info'!L715="","",CONCATENATE('Cable Info'!L715," - ",'Cable Info'!M715))</f>
        <v>714 - AW</v>
      </c>
      <c r="AM1010" s="121" t="str">
        <f t="shared" si="179"/>
        <v>714 - AW</v>
      </c>
      <c r="AO1010" s="121" t="str">
        <f>IF('Cable Info'!N715="","",CONCATENATE('Cable Info'!N715," - ",'Cable Info'!O715))</f>
        <v>714 - AW</v>
      </c>
      <c r="AR1010" s="121" t="str">
        <f t="shared" si="180"/>
        <v>714 - AW</v>
      </c>
      <c r="AT1010" s="121" t="str">
        <f>IF('Cable Info'!P715="","",CONCATENATE('Cable Info'!P715," - ",'Cable Info'!Q715))</f>
        <v/>
      </c>
      <c r="AW1010" s="121" t="str">
        <f t="shared" si="181"/>
        <v/>
      </c>
      <c r="AY1010" s="121" t="str">
        <f>IF('Cable Info'!R715="","",CONCATENATE('Cable Info'!R715," - ",'Cable Info'!S715))</f>
        <v/>
      </c>
      <c r="BB1010" s="121" t="str">
        <f t="shared" si="182"/>
        <v/>
      </c>
      <c r="BD1010" s="121" t="str">
        <f>IF('Cable Info'!T715="","",CONCATENATE('Cable Info'!T715," - ",'Cable Info'!U715))</f>
        <v/>
      </c>
      <c r="BG1010" s="121" t="str">
        <f t="shared" si="183"/>
        <v/>
      </c>
      <c r="BI1010" s="121" t="str">
        <f>IF('Cable Info'!V715="","",CONCATENATE('Cable Info'!V715," - ",'Cable Info'!W715))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str">
        <f>IF('Cable Info'!L716="","",CONCATENATE('Cable Info'!L716," - ",'Cable Info'!M716))</f>
        <v>715 - AW</v>
      </c>
      <c r="AM1011" s="121" t="str">
        <f t="shared" si="179"/>
        <v>715 - AW</v>
      </c>
      <c r="AO1011" s="121" t="str">
        <f>IF('Cable Info'!N716="","",CONCATENATE('Cable Info'!N716," - ",'Cable Info'!O716))</f>
        <v>715 - AW</v>
      </c>
      <c r="AR1011" s="121" t="str">
        <f t="shared" si="180"/>
        <v>715 - AW</v>
      </c>
      <c r="AT1011" s="121" t="str">
        <f>IF('Cable Info'!P716="","",CONCATENATE('Cable Info'!P716," - ",'Cable Info'!Q716))</f>
        <v/>
      </c>
      <c r="AW1011" s="121" t="str">
        <f t="shared" si="181"/>
        <v/>
      </c>
      <c r="AY1011" s="121" t="str">
        <f>IF('Cable Info'!R716="","",CONCATENATE('Cable Info'!R716," - ",'Cable Info'!S716))</f>
        <v/>
      </c>
      <c r="BB1011" s="121" t="str">
        <f t="shared" si="182"/>
        <v/>
      </c>
      <c r="BD1011" s="121" t="str">
        <f>IF('Cable Info'!T716="","",CONCATENATE('Cable Info'!T716," - ",'Cable Info'!U716))</f>
        <v/>
      </c>
      <c r="BG1011" s="121" t="str">
        <f t="shared" si="183"/>
        <v/>
      </c>
      <c r="BI1011" s="121" t="str">
        <f>IF('Cable Info'!V716="","",CONCATENATE('Cable Info'!V716," - ",'Cable Info'!W716))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str">
        <f>IF('Cable Info'!L717="","",CONCATENATE('Cable Info'!L717," - ",'Cable Info'!M717))</f>
        <v>716 - AW</v>
      </c>
      <c r="AM1012" s="121" t="str">
        <f t="shared" si="179"/>
        <v>716 - AW</v>
      </c>
      <c r="AO1012" s="121" t="str">
        <f>IF('Cable Info'!N717="","",CONCATENATE('Cable Info'!N717," - ",'Cable Info'!O717))</f>
        <v>716 - AW</v>
      </c>
      <c r="AR1012" s="121" t="str">
        <f t="shared" si="180"/>
        <v>716 - AW</v>
      </c>
      <c r="AT1012" s="121" t="str">
        <f>IF('Cable Info'!P717="","",CONCATENATE('Cable Info'!P717," - ",'Cable Info'!Q717))</f>
        <v/>
      </c>
      <c r="AW1012" s="121" t="str">
        <f t="shared" si="181"/>
        <v/>
      </c>
      <c r="AY1012" s="121" t="str">
        <f>IF('Cable Info'!R717="","",CONCATENATE('Cable Info'!R717," - ",'Cable Info'!S717))</f>
        <v/>
      </c>
      <c r="BB1012" s="121" t="str">
        <f t="shared" si="182"/>
        <v/>
      </c>
      <c r="BD1012" s="121" t="str">
        <f>IF('Cable Info'!T717="","",CONCATENATE('Cable Info'!T717," - ",'Cable Info'!U717))</f>
        <v/>
      </c>
      <c r="BG1012" s="121" t="str">
        <f t="shared" si="183"/>
        <v/>
      </c>
      <c r="BI1012" s="121" t="str">
        <f>IF('Cable Info'!V717="","",CONCATENATE('Cable Info'!V717," - ",'Cable Info'!W717))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str">
        <f>IF('Cable Info'!L718="","",CONCATENATE('Cable Info'!L718," - ",'Cable Info'!M718))</f>
        <v>717 - AW</v>
      </c>
      <c r="AM1013" s="121" t="str">
        <f t="shared" si="179"/>
        <v>717 - AW</v>
      </c>
      <c r="AO1013" s="121" t="str">
        <f>IF('Cable Info'!N718="","",CONCATENATE('Cable Info'!N718," - ",'Cable Info'!O718))</f>
        <v>717 - AW</v>
      </c>
      <c r="AR1013" s="121" t="str">
        <f t="shared" si="180"/>
        <v>717 - AW</v>
      </c>
      <c r="AT1013" s="121" t="str">
        <f>IF('Cable Info'!P718="","",CONCATENATE('Cable Info'!P718," - ",'Cable Info'!Q718))</f>
        <v/>
      </c>
      <c r="AW1013" s="121" t="str">
        <f t="shared" si="181"/>
        <v/>
      </c>
      <c r="AY1013" s="121" t="str">
        <f>IF('Cable Info'!R718="","",CONCATENATE('Cable Info'!R718," - ",'Cable Info'!S718))</f>
        <v/>
      </c>
      <c r="BB1013" s="121" t="str">
        <f t="shared" si="182"/>
        <v/>
      </c>
      <c r="BD1013" s="121" t="str">
        <f>IF('Cable Info'!T718="","",CONCATENATE('Cable Info'!T718," - ",'Cable Info'!U718))</f>
        <v/>
      </c>
      <c r="BG1013" s="121" t="str">
        <f t="shared" si="183"/>
        <v/>
      </c>
      <c r="BI1013" s="121" t="str">
        <f>IF('Cable Info'!V718="","",CONCATENATE('Cable Info'!V718," - ",'Cable Info'!W718))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str">
        <f>IF('Cable Info'!L719="","",CONCATENATE('Cable Info'!L719," - ",'Cable Info'!M719))</f>
        <v>718 - AW</v>
      </c>
      <c r="AM1014" s="121" t="str">
        <f t="shared" si="179"/>
        <v>718 - AW</v>
      </c>
      <c r="AO1014" s="121" t="str">
        <f>IF('Cable Info'!N719="","",CONCATENATE('Cable Info'!N719," - ",'Cable Info'!O719))</f>
        <v>718 - AW</v>
      </c>
      <c r="AR1014" s="121" t="str">
        <f t="shared" si="180"/>
        <v>718 - AW</v>
      </c>
      <c r="AT1014" s="121" t="str">
        <f>IF('Cable Info'!P719="","",CONCATENATE('Cable Info'!P719," - ",'Cable Info'!Q719))</f>
        <v/>
      </c>
      <c r="AW1014" s="121" t="str">
        <f t="shared" si="181"/>
        <v/>
      </c>
      <c r="AY1014" s="121" t="str">
        <f>IF('Cable Info'!R719="","",CONCATENATE('Cable Info'!R719," - ",'Cable Info'!S719))</f>
        <v/>
      </c>
      <c r="BB1014" s="121" t="str">
        <f t="shared" si="182"/>
        <v/>
      </c>
      <c r="BD1014" s="121" t="str">
        <f>IF('Cable Info'!T719="","",CONCATENATE('Cable Info'!T719," - ",'Cable Info'!U719))</f>
        <v/>
      </c>
      <c r="BG1014" s="121" t="str">
        <f t="shared" si="183"/>
        <v/>
      </c>
      <c r="BI1014" s="121" t="str">
        <f>IF('Cable Info'!V719="","",CONCATENATE('Cable Info'!V719," - ",'Cable Info'!W719))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str">
        <f>IF('Cable Info'!L720="","",CONCATENATE('Cable Info'!L720," - ",'Cable Info'!M720))</f>
        <v>719 - AW</v>
      </c>
      <c r="AM1015" s="121" t="str">
        <f t="shared" si="179"/>
        <v>719 - AW</v>
      </c>
      <c r="AO1015" s="121" t="str">
        <f>IF('Cable Info'!N720="","",CONCATENATE('Cable Info'!N720," - ",'Cable Info'!O720))</f>
        <v>719 - AW</v>
      </c>
      <c r="AR1015" s="121" t="str">
        <f t="shared" si="180"/>
        <v>719 - AW</v>
      </c>
      <c r="AT1015" s="121" t="str">
        <f>IF('Cable Info'!P720="","",CONCATENATE('Cable Info'!P720," - ",'Cable Info'!Q720))</f>
        <v/>
      </c>
      <c r="AW1015" s="121" t="str">
        <f t="shared" si="181"/>
        <v/>
      </c>
      <c r="AY1015" s="121" t="str">
        <f>IF('Cable Info'!R720="","",CONCATENATE('Cable Info'!R720," - ",'Cable Info'!S720))</f>
        <v/>
      </c>
      <c r="BB1015" s="121" t="str">
        <f t="shared" si="182"/>
        <v/>
      </c>
      <c r="BD1015" s="121" t="str">
        <f>IF('Cable Info'!T720="","",CONCATENATE('Cable Info'!T720," - ",'Cable Info'!U720))</f>
        <v/>
      </c>
      <c r="BG1015" s="121" t="str">
        <f t="shared" si="183"/>
        <v/>
      </c>
      <c r="BI1015" s="121" t="str">
        <f>IF('Cable Info'!V720="","",CONCATENATE('Cable Info'!V720," - ",'Cable Info'!W720))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str">
        <f>IF('Cable Info'!L721="","",CONCATENATE('Cable Info'!L721," - ",'Cable Info'!M721))</f>
        <v>720 - AW</v>
      </c>
      <c r="AM1016" s="121" t="str">
        <f t="shared" si="179"/>
        <v>720 - AW</v>
      </c>
      <c r="AO1016" s="121" t="str">
        <f>IF('Cable Info'!N721="","",CONCATENATE('Cable Info'!N721," - ",'Cable Info'!O721))</f>
        <v>720 - AW</v>
      </c>
      <c r="AR1016" s="121" t="str">
        <f t="shared" si="180"/>
        <v>720 - AW</v>
      </c>
      <c r="AT1016" s="121" t="str">
        <f>IF('Cable Info'!P721="","",CONCATENATE('Cable Info'!P721," - ",'Cable Info'!Q721))</f>
        <v/>
      </c>
      <c r="AW1016" s="121" t="str">
        <f t="shared" si="181"/>
        <v/>
      </c>
      <c r="AY1016" s="121" t="str">
        <f>IF('Cable Info'!R721="","",CONCATENATE('Cable Info'!R721," - ",'Cable Info'!S721))</f>
        <v/>
      </c>
      <c r="BB1016" s="121" t="str">
        <f t="shared" si="182"/>
        <v/>
      </c>
      <c r="BD1016" s="121" t="str">
        <f>IF('Cable Info'!T721="","",CONCATENATE('Cable Info'!T721," - ",'Cable Info'!U721))</f>
        <v/>
      </c>
      <c r="BG1016" s="121" t="str">
        <f t="shared" si="183"/>
        <v/>
      </c>
      <c r="BI1016" s="121" t="str">
        <f>IF('Cable Info'!V721="","",CONCATENATE('Cable Info'!V721," - ",'Cable Info'!W721))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str">
        <f>IF('Cable Info'!L722="","",CONCATENATE('Cable Info'!L722," - ",'Cable Info'!M722))</f>
        <v>721 - AW</v>
      </c>
      <c r="AM1017" s="121" t="str">
        <f t="shared" si="179"/>
        <v>721 - AW</v>
      </c>
      <c r="AO1017" s="121" t="str">
        <f>IF('Cable Info'!N722="","",CONCATENATE('Cable Info'!N722," - ",'Cable Info'!O722))</f>
        <v>721 - AW</v>
      </c>
      <c r="AR1017" s="121" t="str">
        <f t="shared" si="180"/>
        <v>721 - AW</v>
      </c>
      <c r="AT1017" s="121" t="str">
        <f>IF('Cable Info'!P722="","",CONCATENATE('Cable Info'!P722," - ",'Cable Info'!Q722))</f>
        <v/>
      </c>
      <c r="AW1017" s="121" t="str">
        <f t="shared" si="181"/>
        <v/>
      </c>
      <c r="AY1017" s="121" t="str">
        <f>IF('Cable Info'!R722="","",CONCATENATE('Cable Info'!R722," - ",'Cable Info'!S722))</f>
        <v/>
      </c>
      <c r="BB1017" s="121" t="str">
        <f t="shared" si="182"/>
        <v/>
      </c>
      <c r="BD1017" s="121" t="str">
        <f>IF('Cable Info'!T722="","",CONCATENATE('Cable Info'!T722," - ",'Cable Info'!U722))</f>
        <v/>
      </c>
      <c r="BG1017" s="121" t="str">
        <f t="shared" si="183"/>
        <v/>
      </c>
      <c r="BI1017" s="121" t="str">
        <f>IF('Cable Info'!V722="","",CONCATENATE('Cable Info'!V722," - ",'Cable Info'!W722))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str">
        <f>IF('Cable Info'!L723="","",CONCATENATE('Cable Info'!L723," - ",'Cable Info'!M723))</f>
        <v>722 - AW</v>
      </c>
      <c r="AM1018" s="121" t="str">
        <f t="shared" si="179"/>
        <v>722 - AW</v>
      </c>
      <c r="AO1018" s="121" t="str">
        <f>IF('Cable Info'!N723="","",CONCATENATE('Cable Info'!N723," - ",'Cable Info'!O723))</f>
        <v>722 - AW</v>
      </c>
      <c r="AR1018" s="121" t="str">
        <f t="shared" si="180"/>
        <v>722 - AW</v>
      </c>
      <c r="AT1018" s="121" t="str">
        <f>IF('Cable Info'!P723="","",CONCATENATE('Cable Info'!P723," - ",'Cable Info'!Q723))</f>
        <v/>
      </c>
      <c r="AW1018" s="121" t="str">
        <f t="shared" si="181"/>
        <v/>
      </c>
      <c r="AY1018" s="121" t="str">
        <f>IF('Cable Info'!R723="","",CONCATENATE('Cable Info'!R723," - ",'Cable Info'!S723))</f>
        <v/>
      </c>
      <c r="BB1018" s="121" t="str">
        <f t="shared" si="182"/>
        <v/>
      </c>
      <c r="BD1018" s="121" t="str">
        <f>IF('Cable Info'!T723="","",CONCATENATE('Cable Info'!T723," - ",'Cable Info'!U723))</f>
        <v/>
      </c>
      <c r="BG1018" s="121" t="str">
        <f t="shared" si="183"/>
        <v/>
      </c>
      <c r="BI1018" s="121" t="str">
        <f>IF('Cable Info'!V723="","",CONCATENATE('Cable Info'!V723," - ",'Cable Info'!W723))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str">
        <f>IF('Cable Info'!L724="","",CONCATENATE('Cable Info'!L724," - ",'Cable Info'!M724))</f>
        <v>723 - AW</v>
      </c>
      <c r="AM1019" s="121" t="str">
        <f t="shared" si="179"/>
        <v>723 - AW</v>
      </c>
      <c r="AO1019" s="121" t="str">
        <f>IF('Cable Info'!N724="","",CONCATENATE('Cable Info'!N724," - ",'Cable Info'!O724))</f>
        <v>723 - AW</v>
      </c>
      <c r="AR1019" s="121" t="str">
        <f t="shared" si="180"/>
        <v>723 - AW</v>
      </c>
      <c r="AT1019" s="121" t="str">
        <f>IF('Cable Info'!P724="","",CONCATENATE('Cable Info'!P724," - ",'Cable Info'!Q724))</f>
        <v/>
      </c>
      <c r="AW1019" s="121" t="str">
        <f t="shared" si="181"/>
        <v/>
      </c>
      <c r="AY1019" s="121" t="str">
        <f>IF('Cable Info'!R724="","",CONCATENATE('Cable Info'!R724," - ",'Cable Info'!S724))</f>
        <v/>
      </c>
      <c r="BB1019" s="121" t="str">
        <f t="shared" si="182"/>
        <v/>
      </c>
      <c r="BD1019" s="121" t="str">
        <f>IF('Cable Info'!T724="","",CONCATENATE('Cable Info'!T724," - ",'Cable Info'!U724))</f>
        <v/>
      </c>
      <c r="BG1019" s="121" t="str">
        <f t="shared" si="183"/>
        <v/>
      </c>
      <c r="BI1019" s="121" t="str">
        <f>IF('Cable Info'!V724="","",CONCATENATE('Cable Info'!V724," - ",'Cable Info'!W724))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str">
        <f>IF('Cable Info'!L725="","",CONCATENATE('Cable Info'!L725," - ",'Cable Info'!M725))</f>
        <v>724 - AW</v>
      </c>
      <c r="AM1020" s="121" t="str">
        <f t="shared" si="179"/>
        <v>724 - AW</v>
      </c>
      <c r="AO1020" s="121" t="str">
        <f>IF('Cable Info'!N725="","",CONCATENATE('Cable Info'!N725," - ",'Cable Info'!O725))</f>
        <v>724 - AW</v>
      </c>
      <c r="AR1020" s="121" t="str">
        <f t="shared" si="180"/>
        <v>724 - AW</v>
      </c>
      <c r="AT1020" s="121" t="str">
        <f>IF('Cable Info'!P725="","",CONCATENATE('Cable Info'!P725," - ",'Cable Info'!Q725))</f>
        <v/>
      </c>
      <c r="AW1020" s="121" t="str">
        <f t="shared" si="181"/>
        <v/>
      </c>
      <c r="AY1020" s="121" t="str">
        <f>IF('Cable Info'!R725="","",CONCATENATE('Cable Info'!R725," - ",'Cable Info'!S725))</f>
        <v/>
      </c>
      <c r="BB1020" s="121" t="str">
        <f t="shared" si="182"/>
        <v/>
      </c>
      <c r="BD1020" s="121" t="str">
        <f>IF('Cable Info'!T725="","",CONCATENATE('Cable Info'!T725," - ",'Cable Info'!U725))</f>
        <v/>
      </c>
      <c r="BG1020" s="121" t="str">
        <f t="shared" si="183"/>
        <v/>
      </c>
      <c r="BI1020" s="121" t="str">
        <f>IF('Cable Info'!V725="","",CONCATENATE('Cable Info'!V725," - ",'Cable Info'!W725))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str">
        <f>IF('Cable Info'!L726="","",CONCATENATE('Cable Info'!L726," - ",'Cable Info'!M726))</f>
        <v>725 - AW</v>
      </c>
      <c r="AM1021" s="121" t="str">
        <f t="shared" si="179"/>
        <v>725 - AW</v>
      </c>
      <c r="AO1021" s="121" t="str">
        <f>IF('Cable Info'!N726="","",CONCATENATE('Cable Info'!N726," - ",'Cable Info'!O726))</f>
        <v>725 - AW</v>
      </c>
      <c r="AR1021" s="121" t="str">
        <f t="shared" si="180"/>
        <v>725 - AW</v>
      </c>
      <c r="AT1021" s="121" t="str">
        <f>IF('Cable Info'!P726="","",CONCATENATE('Cable Info'!P726," - ",'Cable Info'!Q726))</f>
        <v/>
      </c>
      <c r="AW1021" s="121" t="str">
        <f t="shared" si="181"/>
        <v/>
      </c>
      <c r="AY1021" s="121" t="str">
        <f>IF('Cable Info'!R726="","",CONCATENATE('Cable Info'!R726," - ",'Cable Info'!S726))</f>
        <v/>
      </c>
      <c r="BB1021" s="121" t="str">
        <f t="shared" si="182"/>
        <v/>
      </c>
      <c r="BD1021" s="121" t="str">
        <f>IF('Cable Info'!T726="","",CONCATENATE('Cable Info'!T726," - ",'Cable Info'!U726))</f>
        <v/>
      </c>
      <c r="BG1021" s="121" t="str">
        <f t="shared" si="183"/>
        <v/>
      </c>
      <c r="BI1021" s="121" t="str">
        <f>IF('Cable Info'!V726="","",CONCATENATE('Cable Info'!V726," - ",'Cable Info'!W726))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str">
        <f>IF('Cable Info'!L727="","",CONCATENATE('Cable Info'!L727," - ",'Cable Info'!M727))</f>
        <v>726 - AW</v>
      </c>
      <c r="AM1022" s="121" t="str">
        <f t="shared" si="179"/>
        <v>726 - AW</v>
      </c>
      <c r="AO1022" s="121" t="str">
        <f>IF('Cable Info'!N727="","",CONCATENATE('Cable Info'!N727," - ",'Cable Info'!O727))</f>
        <v>726 - AW</v>
      </c>
      <c r="AR1022" s="121" t="str">
        <f t="shared" si="180"/>
        <v>726 - AW</v>
      </c>
      <c r="AT1022" s="121" t="str">
        <f>IF('Cable Info'!P727="","",CONCATENATE('Cable Info'!P727," - ",'Cable Info'!Q727))</f>
        <v/>
      </c>
      <c r="AW1022" s="121" t="str">
        <f t="shared" si="181"/>
        <v/>
      </c>
      <c r="AY1022" s="121" t="str">
        <f>IF('Cable Info'!R727="","",CONCATENATE('Cable Info'!R727," - ",'Cable Info'!S727))</f>
        <v/>
      </c>
      <c r="BB1022" s="121" t="str">
        <f t="shared" si="182"/>
        <v/>
      </c>
      <c r="BD1022" s="121" t="str">
        <f>IF('Cable Info'!T727="","",CONCATENATE('Cable Info'!T727," - ",'Cable Info'!U727))</f>
        <v/>
      </c>
      <c r="BG1022" s="121" t="str">
        <f t="shared" si="183"/>
        <v/>
      </c>
      <c r="BI1022" s="121" t="str">
        <f>IF('Cable Info'!V727="","",CONCATENATE('Cable Info'!V727," - ",'Cable Info'!W727))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str">
        <f>IF('Cable Info'!L728="","",CONCATENATE('Cable Info'!L728," - ",'Cable Info'!M728))</f>
        <v>727 - AW</v>
      </c>
      <c r="AM1023" s="121" t="str">
        <f t="shared" si="179"/>
        <v>727 - AW</v>
      </c>
      <c r="AO1023" s="121" t="str">
        <f>IF('Cable Info'!N728="","",CONCATENATE('Cable Info'!N728," - ",'Cable Info'!O728))</f>
        <v>727 - AW</v>
      </c>
      <c r="AR1023" s="121" t="str">
        <f t="shared" si="180"/>
        <v>727 - AW</v>
      </c>
      <c r="AT1023" s="121" t="str">
        <f>IF('Cable Info'!P728="","",CONCATENATE('Cable Info'!P728," - ",'Cable Info'!Q728))</f>
        <v/>
      </c>
      <c r="AW1023" s="121" t="str">
        <f t="shared" si="181"/>
        <v/>
      </c>
      <c r="AY1023" s="121" t="str">
        <f>IF('Cable Info'!R728="","",CONCATENATE('Cable Info'!R728," - ",'Cable Info'!S728))</f>
        <v/>
      </c>
      <c r="BB1023" s="121" t="str">
        <f t="shared" si="182"/>
        <v/>
      </c>
      <c r="BD1023" s="121" t="str">
        <f>IF('Cable Info'!T728="","",CONCATENATE('Cable Info'!T728," - ",'Cable Info'!U728))</f>
        <v/>
      </c>
      <c r="BG1023" s="121" t="str">
        <f t="shared" si="183"/>
        <v/>
      </c>
      <c r="BI1023" s="121" t="str">
        <f>IF('Cable Info'!V728="","",CONCATENATE('Cable Info'!V728," - ",'Cable Info'!W728))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str">
        <f>IF('Cable Info'!L729="","",CONCATENATE('Cable Info'!L729," - ",'Cable Info'!M729))</f>
        <v>728 - AW</v>
      </c>
      <c r="AM1024" s="121" t="str">
        <f t="shared" si="179"/>
        <v>728 - AW</v>
      </c>
      <c r="AO1024" s="121" t="str">
        <f>IF('Cable Info'!N729="","",CONCATENATE('Cable Info'!N729," - ",'Cable Info'!O729))</f>
        <v>728 - AW</v>
      </c>
      <c r="AR1024" s="121" t="str">
        <f t="shared" si="180"/>
        <v>728 - AW</v>
      </c>
      <c r="AT1024" s="121" t="str">
        <f>IF('Cable Info'!P729="","",CONCATENATE('Cable Info'!P729," - ",'Cable Info'!Q729))</f>
        <v/>
      </c>
      <c r="AW1024" s="121" t="str">
        <f t="shared" si="181"/>
        <v/>
      </c>
      <c r="AY1024" s="121" t="str">
        <f>IF('Cable Info'!R729="","",CONCATENATE('Cable Info'!R729," - ",'Cable Info'!S729))</f>
        <v/>
      </c>
      <c r="BB1024" s="121" t="str">
        <f t="shared" si="182"/>
        <v/>
      </c>
      <c r="BD1024" s="121" t="str">
        <f>IF('Cable Info'!T729="","",CONCATENATE('Cable Info'!T729," - ",'Cable Info'!U729))</f>
        <v/>
      </c>
      <c r="BG1024" s="121" t="str">
        <f t="shared" si="183"/>
        <v/>
      </c>
      <c r="BI1024" s="121" t="str">
        <f>IF('Cable Info'!V729="","",CONCATENATE('Cable Info'!V729," - ",'Cable Info'!W729))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str">
        <f>IF('Cable Info'!L730="","",CONCATENATE('Cable Info'!L730," - ",'Cable Info'!M730))</f>
        <v>729 - AW</v>
      </c>
      <c r="AM1025" s="121" t="str">
        <f t="shared" si="179"/>
        <v>729 - AW</v>
      </c>
      <c r="AO1025" s="121" t="str">
        <f>IF('Cable Info'!N730="","",CONCATENATE('Cable Info'!N730," - ",'Cable Info'!O730))</f>
        <v>729 - AW</v>
      </c>
      <c r="AR1025" s="121" t="str">
        <f t="shared" si="180"/>
        <v>729 - AW</v>
      </c>
      <c r="AT1025" s="121" t="str">
        <f>IF('Cable Info'!P730="","",CONCATENATE('Cable Info'!P730," - ",'Cable Info'!Q730))</f>
        <v/>
      </c>
      <c r="AW1025" s="121" t="str">
        <f t="shared" si="181"/>
        <v/>
      </c>
      <c r="AY1025" s="121" t="str">
        <f>IF('Cable Info'!R730="","",CONCATENATE('Cable Info'!R730," - ",'Cable Info'!S730))</f>
        <v/>
      </c>
      <c r="BB1025" s="121" t="str">
        <f t="shared" si="182"/>
        <v/>
      </c>
      <c r="BD1025" s="121" t="str">
        <f>IF('Cable Info'!T730="","",CONCATENATE('Cable Info'!T730," - ",'Cable Info'!U730))</f>
        <v/>
      </c>
      <c r="BG1025" s="121" t="str">
        <f t="shared" si="183"/>
        <v/>
      </c>
      <c r="BI1025" s="121" t="str">
        <f>IF('Cable Info'!V730="","",CONCATENATE('Cable Info'!V730," - ",'Cable Info'!W730))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str">
        <f>IF('Cable Info'!L731="","",CONCATENATE('Cable Info'!L731," - ",'Cable Info'!M731))</f>
        <v>730 - AW</v>
      </c>
      <c r="AM1026" s="121" t="str">
        <f t="shared" si="179"/>
        <v>730 - AW</v>
      </c>
      <c r="AO1026" s="121" t="str">
        <f>IF('Cable Info'!N731="","",CONCATENATE('Cable Info'!N731," - ",'Cable Info'!O731))</f>
        <v>730 - AW</v>
      </c>
      <c r="AR1026" s="121" t="str">
        <f t="shared" si="180"/>
        <v>730 - AW</v>
      </c>
      <c r="AT1026" s="121" t="str">
        <f>IF('Cable Info'!P731="","",CONCATENATE('Cable Info'!P731," - ",'Cable Info'!Q731))</f>
        <v/>
      </c>
      <c r="AW1026" s="121" t="str">
        <f t="shared" si="181"/>
        <v/>
      </c>
      <c r="AY1026" s="121" t="str">
        <f>IF('Cable Info'!R731="","",CONCATENATE('Cable Info'!R731," - ",'Cable Info'!S731))</f>
        <v/>
      </c>
      <c r="BB1026" s="121" t="str">
        <f t="shared" si="182"/>
        <v/>
      </c>
      <c r="BD1026" s="121" t="str">
        <f>IF('Cable Info'!T731="","",CONCATENATE('Cable Info'!T731," - ",'Cable Info'!U731))</f>
        <v/>
      </c>
      <c r="BG1026" s="121" t="str">
        <f t="shared" si="183"/>
        <v/>
      </c>
      <c r="BI1026" s="121" t="str">
        <f>IF('Cable Info'!V731="","",CONCATENATE('Cable Info'!V731," - ",'Cable Info'!W731))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str">
        <f>IF('Cable Info'!L732="","",CONCATENATE('Cable Info'!L732," - ",'Cable Info'!M732))</f>
        <v>731 - AW</v>
      </c>
      <c r="AM1027" s="121" t="str">
        <f t="shared" si="179"/>
        <v>731 - AW</v>
      </c>
      <c r="AO1027" s="121" t="str">
        <f>IF('Cable Info'!N732="","",CONCATENATE('Cable Info'!N732," - ",'Cable Info'!O732))</f>
        <v>731 - AW</v>
      </c>
      <c r="AR1027" s="121" t="str">
        <f t="shared" si="180"/>
        <v>731 - AW</v>
      </c>
      <c r="AT1027" s="121" t="str">
        <f>IF('Cable Info'!P732="","",CONCATENATE('Cable Info'!P732," - ",'Cable Info'!Q732))</f>
        <v/>
      </c>
      <c r="AW1027" s="121" t="str">
        <f t="shared" si="181"/>
        <v/>
      </c>
      <c r="AY1027" s="121" t="str">
        <f>IF('Cable Info'!R732="","",CONCATENATE('Cable Info'!R732," - ",'Cable Info'!S732))</f>
        <v/>
      </c>
      <c r="BB1027" s="121" t="str">
        <f t="shared" si="182"/>
        <v/>
      </c>
      <c r="BD1027" s="121" t="str">
        <f>IF('Cable Info'!T732="","",CONCATENATE('Cable Info'!T732," - ",'Cable Info'!U732))</f>
        <v/>
      </c>
      <c r="BG1027" s="121" t="str">
        <f t="shared" si="183"/>
        <v/>
      </c>
      <c r="BI1027" s="121" t="str">
        <f>IF('Cable Info'!V732="","",CONCATENATE('Cable Info'!V732," - ",'Cable Info'!W732))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str">
        <f>IF('Cable Info'!L733="","",CONCATENATE('Cable Info'!L733," - ",'Cable Info'!M733))</f>
        <v>732 - AW</v>
      </c>
      <c r="AM1028" s="121" t="str">
        <f t="shared" si="179"/>
        <v>732 - AW</v>
      </c>
      <c r="AO1028" s="121" t="str">
        <f>IF('Cable Info'!N733="","",CONCATENATE('Cable Info'!N733," - ",'Cable Info'!O733))</f>
        <v>732 - AW</v>
      </c>
      <c r="AR1028" s="121" t="str">
        <f t="shared" si="180"/>
        <v>732 - AW</v>
      </c>
      <c r="AT1028" s="121" t="str">
        <f>IF('Cable Info'!P733="","",CONCATENATE('Cable Info'!P733," - ",'Cable Info'!Q733))</f>
        <v/>
      </c>
      <c r="AW1028" s="121" t="str">
        <f t="shared" si="181"/>
        <v/>
      </c>
      <c r="AY1028" s="121" t="str">
        <f>IF('Cable Info'!R733="","",CONCATENATE('Cable Info'!R733," - ",'Cable Info'!S733))</f>
        <v/>
      </c>
      <c r="BB1028" s="121" t="str">
        <f t="shared" si="182"/>
        <v/>
      </c>
      <c r="BD1028" s="121" t="str">
        <f>IF('Cable Info'!T733="","",CONCATENATE('Cable Info'!T733," - ",'Cable Info'!U733))</f>
        <v/>
      </c>
      <c r="BG1028" s="121" t="str">
        <f t="shared" si="183"/>
        <v/>
      </c>
      <c r="BI1028" s="121" t="str">
        <f>IF('Cable Info'!V733="","",CONCATENATE('Cable Info'!V733," - ",'Cable Info'!W733))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str">
        <f>IF('Cable Info'!L734="","",CONCATENATE('Cable Info'!L734," - ",'Cable Info'!M734))</f>
        <v>733 - AW</v>
      </c>
      <c r="AM1029" s="121" t="str">
        <f t="shared" si="179"/>
        <v>733 - AW</v>
      </c>
      <c r="AO1029" s="121" t="str">
        <f>IF('Cable Info'!N734="","",CONCATENATE('Cable Info'!N734," - ",'Cable Info'!O734))</f>
        <v>733 - AW</v>
      </c>
      <c r="AR1029" s="121" t="str">
        <f t="shared" si="180"/>
        <v>733 - AW</v>
      </c>
      <c r="AT1029" s="121" t="str">
        <f>IF('Cable Info'!P734="","",CONCATENATE('Cable Info'!P734," - ",'Cable Info'!Q734))</f>
        <v/>
      </c>
      <c r="AW1029" s="121" t="str">
        <f t="shared" si="181"/>
        <v/>
      </c>
      <c r="AY1029" s="121" t="str">
        <f>IF('Cable Info'!R734="","",CONCATENATE('Cable Info'!R734," - ",'Cable Info'!S734))</f>
        <v/>
      </c>
      <c r="BB1029" s="121" t="str">
        <f t="shared" si="182"/>
        <v/>
      </c>
      <c r="BD1029" s="121" t="str">
        <f>IF('Cable Info'!T734="","",CONCATENATE('Cable Info'!T734," - ",'Cable Info'!U734))</f>
        <v/>
      </c>
      <c r="BG1029" s="121" t="str">
        <f t="shared" si="183"/>
        <v/>
      </c>
      <c r="BI1029" s="121" t="str">
        <f>IF('Cable Info'!V734="","",CONCATENATE('Cable Info'!V734," - ",'Cable Info'!W734))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str">
        <f>IF('Cable Info'!L735="","",CONCATENATE('Cable Info'!L735," - ",'Cable Info'!M735))</f>
        <v>734 - AW</v>
      </c>
      <c r="AM1030" s="121" t="str">
        <f t="shared" si="179"/>
        <v>734 - AW</v>
      </c>
      <c r="AO1030" s="121" t="str">
        <f>IF('Cable Info'!N735="","",CONCATENATE('Cable Info'!N735," - ",'Cable Info'!O735))</f>
        <v>734 - AW</v>
      </c>
      <c r="AR1030" s="121" t="str">
        <f t="shared" si="180"/>
        <v>734 - AW</v>
      </c>
      <c r="AT1030" s="121" t="str">
        <f>IF('Cable Info'!P735="","",CONCATENATE('Cable Info'!P735," - ",'Cable Info'!Q735))</f>
        <v/>
      </c>
      <c r="AW1030" s="121" t="str">
        <f t="shared" si="181"/>
        <v/>
      </c>
      <c r="AY1030" s="121" t="str">
        <f>IF('Cable Info'!R735="","",CONCATENATE('Cable Info'!R735," - ",'Cable Info'!S735))</f>
        <v/>
      </c>
      <c r="BB1030" s="121" t="str">
        <f t="shared" si="182"/>
        <v/>
      </c>
      <c r="BD1030" s="121" t="str">
        <f>IF('Cable Info'!T735="","",CONCATENATE('Cable Info'!T735," - ",'Cable Info'!U735))</f>
        <v/>
      </c>
      <c r="BG1030" s="121" t="str">
        <f t="shared" si="183"/>
        <v/>
      </c>
      <c r="BI1030" s="121" t="str">
        <f>IF('Cable Info'!V735="","",CONCATENATE('Cable Info'!V735," - ",'Cable Info'!W735))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str">
        <f>IF('Cable Info'!L736="","",CONCATENATE('Cable Info'!L736," - ",'Cable Info'!M736))</f>
        <v>735 - AW</v>
      </c>
      <c r="AM1031" s="121" t="str">
        <f t="shared" si="179"/>
        <v>735 - AW</v>
      </c>
      <c r="AO1031" s="121" t="str">
        <f>IF('Cable Info'!N736="","",CONCATENATE('Cable Info'!N736," - ",'Cable Info'!O736))</f>
        <v>735 - AW</v>
      </c>
      <c r="AR1031" s="121" t="str">
        <f t="shared" si="180"/>
        <v>735 - AW</v>
      </c>
      <c r="AT1031" s="121" t="str">
        <f>IF('Cable Info'!P736="","",CONCATENATE('Cable Info'!P736," - ",'Cable Info'!Q736))</f>
        <v/>
      </c>
      <c r="AW1031" s="121" t="str">
        <f t="shared" si="181"/>
        <v/>
      </c>
      <c r="AY1031" s="121" t="str">
        <f>IF('Cable Info'!R736="","",CONCATENATE('Cable Info'!R736," - ",'Cable Info'!S736))</f>
        <v/>
      </c>
      <c r="BB1031" s="121" t="str">
        <f t="shared" si="182"/>
        <v/>
      </c>
      <c r="BD1031" s="121" t="str">
        <f>IF('Cable Info'!T736="","",CONCATENATE('Cable Info'!T736," - ",'Cable Info'!U736))</f>
        <v/>
      </c>
      <c r="BG1031" s="121" t="str">
        <f t="shared" si="183"/>
        <v/>
      </c>
      <c r="BI1031" s="121" t="str">
        <f>IF('Cable Info'!V736="","",CONCATENATE('Cable Info'!V736," - ",'Cable Info'!W736))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str">
        <f>IF('Cable Info'!L737="","",CONCATENATE('Cable Info'!L737," - ",'Cable Info'!M737))</f>
        <v>736 - AW</v>
      </c>
      <c r="AM1032" s="121" t="str">
        <f t="shared" si="179"/>
        <v>736 - AW</v>
      </c>
      <c r="AO1032" s="121" t="str">
        <f>IF('Cable Info'!N737="","",CONCATENATE('Cable Info'!N737," - ",'Cable Info'!O737))</f>
        <v>736 - AW</v>
      </c>
      <c r="AR1032" s="121" t="str">
        <f t="shared" si="180"/>
        <v>736 - AW</v>
      </c>
      <c r="AT1032" s="121" t="str">
        <f>IF('Cable Info'!P737="","",CONCATENATE('Cable Info'!P737," - ",'Cable Info'!Q737))</f>
        <v/>
      </c>
      <c r="AW1032" s="121" t="str">
        <f t="shared" si="181"/>
        <v/>
      </c>
      <c r="AY1032" s="121" t="str">
        <f>IF('Cable Info'!R737="","",CONCATENATE('Cable Info'!R737," - ",'Cable Info'!S737))</f>
        <v/>
      </c>
      <c r="BB1032" s="121" t="str">
        <f t="shared" si="182"/>
        <v/>
      </c>
      <c r="BD1032" s="121" t="str">
        <f>IF('Cable Info'!T737="","",CONCATENATE('Cable Info'!T737," - ",'Cable Info'!U737))</f>
        <v/>
      </c>
      <c r="BG1032" s="121" t="str">
        <f t="shared" si="183"/>
        <v/>
      </c>
      <c r="BI1032" s="121" t="str">
        <f>IF('Cable Info'!V737="","",CONCATENATE('Cable Info'!V737," - ",'Cable Info'!W737))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str">
        <f>IF('Cable Info'!L738="","",CONCATENATE('Cable Info'!L738," - ",'Cable Info'!M738))</f>
        <v>737 - AW</v>
      </c>
      <c r="AM1033" s="121" t="str">
        <f t="shared" si="179"/>
        <v>737 - AW</v>
      </c>
      <c r="AO1033" s="121" t="str">
        <f>IF('Cable Info'!N738="","",CONCATENATE('Cable Info'!N738," - ",'Cable Info'!O738))</f>
        <v>737 - AW</v>
      </c>
      <c r="AR1033" s="121" t="str">
        <f t="shared" si="180"/>
        <v>737 - AW</v>
      </c>
      <c r="AT1033" s="121" t="str">
        <f>IF('Cable Info'!P738="","",CONCATENATE('Cable Info'!P738," - ",'Cable Info'!Q738))</f>
        <v/>
      </c>
      <c r="AW1033" s="121" t="str">
        <f t="shared" si="181"/>
        <v/>
      </c>
      <c r="AY1033" s="121" t="str">
        <f>IF('Cable Info'!R738="","",CONCATENATE('Cable Info'!R738," - ",'Cable Info'!S738))</f>
        <v/>
      </c>
      <c r="BB1033" s="121" t="str">
        <f t="shared" si="182"/>
        <v/>
      </c>
      <c r="BD1033" s="121" t="str">
        <f>IF('Cable Info'!T738="","",CONCATENATE('Cable Info'!T738," - ",'Cable Info'!U738))</f>
        <v/>
      </c>
      <c r="BG1033" s="121" t="str">
        <f t="shared" si="183"/>
        <v/>
      </c>
      <c r="BI1033" s="121" t="str">
        <f>IF('Cable Info'!V738="","",CONCATENATE('Cable Info'!V738," - ",'Cable Info'!W738))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str">
        <f>IF('Cable Info'!L739="","",CONCATENATE('Cable Info'!L739," - ",'Cable Info'!M739))</f>
        <v>738 - AW</v>
      </c>
      <c r="AM1034" s="121" t="str">
        <f t="shared" si="179"/>
        <v>738 - AW</v>
      </c>
      <c r="AO1034" s="121" t="str">
        <f>IF('Cable Info'!N739="","",CONCATENATE('Cable Info'!N739," - ",'Cable Info'!O739))</f>
        <v>738 - AW</v>
      </c>
      <c r="AR1034" s="121" t="str">
        <f t="shared" si="180"/>
        <v>738 - AW</v>
      </c>
      <c r="AT1034" s="121" t="str">
        <f>IF('Cable Info'!P739="","",CONCATENATE('Cable Info'!P739," - ",'Cable Info'!Q739))</f>
        <v/>
      </c>
      <c r="AW1034" s="121" t="str">
        <f t="shared" si="181"/>
        <v/>
      </c>
      <c r="AY1034" s="121" t="str">
        <f>IF('Cable Info'!R739="","",CONCATENATE('Cable Info'!R739," - ",'Cable Info'!S739))</f>
        <v/>
      </c>
      <c r="BB1034" s="121" t="str">
        <f t="shared" si="182"/>
        <v/>
      </c>
      <c r="BD1034" s="121" t="str">
        <f>IF('Cable Info'!T739="","",CONCATENATE('Cable Info'!T739," - ",'Cable Info'!U739))</f>
        <v/>
      </c>
      <c r="BG1034" s="121" t="str">
        <f t="shared" si="183"/>
        <v/>
      </c>
      <c r="BI1034" s="121" t="str">
        <f>IF('Cable Info'!V739="","",CONCATENATE('Cable Info'!V739," - ",'Cable Info'!W739))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str">
        <f>IF('Cable Info'!L740="","",CONCATENATE('Cable Info'!L740," - ",'Cable Info'!M740))</f>
        <v>739 - AW</v>
      </c>
      <c r="AM1035" s="121" t="str">
        <f t="shared" si="179"/>
        <v>739 - AW</v>
      </c>
      <c r="AO1035" s="121" t="str">
        <f>IF('Cable Info'!N740="","",CONCATENATE('Cable Info'!N740," - ",'Cable Info'!O740))</f>
        <v>739 - AW</v>
      </c>
      <c r="AR1035" s="121" t="str">
        <f t="shared" si="180"/>
        <v>739 - AW</v>
      </c>
      <c r="AT1035" s="121" t="str">
        <f>IF('Cable Info'!P740="","",CONCATENATE('Cable Info'!P740," - ",'Cable Info'!Q740))</f>
        <v/>
      </c>
      <c r="AW1035" s="121" t="str">
        <f t="shared" si="181"/>
        <v/>
      </c>
      <c r="AY1035" s="121" t="str">
        <f>IF('Cable Info'!R740="","",CONCATENATE('Cable Info'!R740," - ",'Cable Info'!S740))</f>
        <v/>
      </c>
      <c r="BB1035" s="121" t="str">
        <f t="shared" si="182"/>
        <v/>
      </c>
      <c r="BD1035" s="121" t="str">
        <f>IF('Cable Info'!T740="","",CONCATENATE('Cable Info'!T740," - ",'Cable Info'!U740))</f>
        <v/>
      </c>
      <c r="BG1035" s="121" t="str">
        <f t="shared" si="183"/>
        <v/>
      </c>
      <c r="BI1035" s="121" t="str">
        <f>IF('Cable Info'!V740="","",CONCATENATE('Cable Info'!V740," - ",'Cable Info'!W740))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str">
        <f>IF('Cable Info'!L741="","",CONCATENATE('Cable Info'!L741," - ",'Cable Info'!M741))</f>
        <v>740 - AW</v>
      </c>
      <c r="AM1036" s="121" t="str">
        <f t="shared" si="179"/>
        <v>740 - AW</v>
      </c>
      <c r="AO1036" s="121" t="str">
        <f>IF('Cable Info'!N741="","",CONCATENATE('Cable Info'!N741," - ",'Cable Info'!O741))</f>
        <v>740 - AW</v>
      </c>
      <c r="AR1036" s="121" t="str">
        <f t="shared" si="180"/>
        <v>740 - AW</v>
      </c>
      <c r="AT1036" s="121" t="str">
        <f>IF('Cable Info'!P741="","",CONCATENATE('Cable Info'!P741," - ",'Cable Info'!Q741))</f>
        <v/>
      </c>
      <c r="AW1036" s="121" t="str">
        <f t="shared" si="181"/>
        <v/>
      </c>
      <c r="AY1036" s="121" t="str">
        <f>IF('Cable Info'!R741="","",CONCATENATE('Cable Info'!R741," - ",'Cable Info'!S741))</f>
        <v/>
      </c>
      <c r="BB1036" s="121" t="str">
        <f t="shared" si="182"/>
        <v/>
      </c>
      <c r="BD1036" s="121" t="str">
        <f>IF('Cable Info'!T741="","",CONCATENATE('Cable Info'!T741," - ",'Cable Info'!U741))</f>
        <v/>
      </c>
      <c r="BG1036" s="121" t="str">
        <f t="shared" si="183"/>
        <v/>
      </c>
      <c r="BI1036" s="121" t="str">
        <f>IF('Cable Info'!V741="","",CONCATENATE('Cable Info'!V741," - ",'Cable Info'!W741))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str">
        <f>IF('Cable Info'!L742="","",CONCATENATE('Cable Info'!L742," - ",'Cable Info'!M742))</f>
        <v>741 - AW</v>
      </c>
      <c r="AM1037" s="121" t="str">
        <f t="shared" si="179"/>
        <v>741 - AW</v>
      </c>
      <c r="AO1037" s="121" t="str">
        <f>IF('Cable Info'!N742="","",CONCATENATE('Cable Info'!N742," - ",'Cable Info'!O742))</f>
        <v>741 - AW</v>
      </c>
      <c r="AR1037" s="121" t="str">
        <f t="shared" si="180"/>
        <v>741 - AW</v>
      </c>
      <c r="AT1037" s="121" t="str">
        <f>IF('Cable Info'!P742="","",CONCATENATE('Cable Info'!P742," - ",'Cable Info'!Q742))</f>
        <v/>
      </c>
      <c r="AW1037" s="121" t="str">
        <f t="shared" si="181"/>
        <v/>
      </c>
      <c r="AY1037" s="121" t="str">
        <f>IF('Cable Info'!R742="","",CONCATENATE('Cable Info'!R742," - ",'Cable Info'!S742))</f>
        <v/>
      </c>
      <c r="BB1037" s="121" t="str">
        <f t="shared" si="182"/>
        <v/>
      </c>
      <c r="BD1037" s="121" t="str">
        <f>IF('Cable Info'!T742="","",CONCATENATE('Cable Info'!T742," - ",'Cable Info'!U742))</f>
        <v/>
      </c>
      <c r="BG1037" s="121" t="str">
        <f t="shared" si="183"/>
        <v/>
      </c>
      <c r="BI1037" s="121" t="str">
        <f>IF('Cable Info'!V742="","",CONCATENATE('Cable Info'!V742," - ",'Cable Info'!W742))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str">
        <f>IF('Cable Info'!L743="","",CONCATENATE('Cable Info'!L743," - ",'Cable Info'!M743))</f>
        <v>742 - AW</v>
      </c>
      <c r="AM1038" s="121" t="str">
        <f t="shared" si="179"/>
        <v>742 - AW</v>
      </c>
      <c r="AO1038" s="121" t="str">
        <f>IF('Cable Info'!N743="","",CONCATENATE('Cable Info'!N743," - ",'Cable Info'!O743))</f>
        <v>742 - AW</v>
      </c>
      <c r="AR1038" s="121" t="str">
        <f t="shared" si="180"/>
        <v>742 - AW</v>
      </c>
      <c r="AT1038" s="121" t="str">
        <f>IF('Cable Info'!P743="","",CONCATENATE('Cable Info'!P743," - ",'Cable Info'!Q743))</f>
        <v/>
      </c>
      <c r="AW1038" s="121" t="str">
        <f t="shared" si="181"/>
        <v/>
      </c>
      <c r="AY1038" s="121" t="str">
        <f>IF('Cable Info'!R743="","",CONCATENATE('Cable Info'!R743," - ",'Cable Info'!S743))</f>
        <v/>
      </c>
      <c r="BB1038" s="121" t="str">
        <f t="shared" si="182"/>
        <v/>
      </c>
      <c r="BD1038" s="121" t="str">
        <f>IF('Cable Info'!T743="","",CONCATENATE('Cable Info'!T743," - ",'Cable Info'!U743))</f>
        <v/>
      </c>
      <c r="BG1038" s="121" t="str">
        <f t="shared" si="183"/>
        <v/>
      </c>
      <c r="BI1038" s="121" t="str">
        <f>IF('Cable Info'!V743="","",CONCATENATE('Cable Info'!V743," - ",'Cable Info'!W743))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str">
        <f>IF('Cable Info'!L744="","",CONCATENATE('Cable Info'!L744," - ",'Cable Info'!M744))</f>
        <v>743 - AW</v>
      </c>
      <c r="AM1039" s="121" t="str">
        <f t="shared" si="179"/>
        <v>743 - AW</v>
      </c>
      <c r="AO1039" s="121" t="str">
        <f>IF('Cable Info'!N744="","",CONCATENATE('Cable Info'!N744," - ",'Cable Info'!O744))</f>
        <v>743 - AW</v>
      </c>
      <c r="AR1039" s="121" t="str">
        <f t="shared" si="180"/>
        <v>743 - AW</v>
      </c>
      <c r="AT1039" s="121" t="str">
        <f>IF('Cable Info'!P744="","",CONCATENATE('Cable Info'!P744," - ",'Cable Info'!Q744))</f>
        <v/>
      </c>
      <c r="AW1039" s="121" t="str">
        <f t="shared" si="181"/>
        <v/>
      </c>
      <c r="AY1039" s="121" t="str">
        <f>IF('Cable Info'!R744="","",CONCATENATE('Cable Info'!R744," - ",'Cable Info'!S744))</f>
        <v/>
      </c>
      <c r="BB1039" s="121" t="str">
        <f t="shared" si="182"/>
        <v/>
      </c>
      <c r="BD1039" s="121" t="str">
        <f>IF('Cable Info'!T744="","",CONCATENATE('Cable Info'!T744," - ",'Cable Info'!U744))</f>
        <v/>
      </c>
      <c r="BG1039" s="121" t="str">
        <f t="shared" si="183"/>
        <v/>
      </c>
      <c r="BI1039" s="121" t="str">
        <f>IF('Cable Info'!V744="","",CONCATENATE('Cable Info'!V744," - ",'Cable Info'!W744))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str">
        <f>IF('Cable Info'!L745="","",CONCATENATE('Cable Info'!L745," - ",'Cable Info'!M745))</f>
        <v>744 - AW</v>
      </c>
      <c r="AM1040" s="121" t="str">
        <f t="shared" si="179"/>
        <v>744 - AW</v>
      </c>
      <c r="AO1040" s="121" t="str">
        <f>IF('Cable Info'!N745="","",CONCATENATE('Cable Info'!N745," - ",'Cable Info'!O745))</f>
        <v>744 - AW</v>
      </c>
      <c r="AR1040" s="121" t="str">
        <f t="shared" si="180"/>
        <v>744 - AW</v>
      </c>
      <c r="AT1040" s="121" t="str">
        <f>IF('Cable Info'!P745="","",CONCATENATE('Cable Info'!P745," - ",'Cable Info'!Q745))</f>
        <v/>
      </c>
      <c r="AW1040" s="121" t="str">
        <f t="shared" si="181"/>
        <v/>
      </c>
      <c r="AY1040" s="121" t="str">
        <f>IF('Cable Info'!R745="","",CONCATENATE('Cable Info'!R745," - ",'Cable Info'!S745))</f>
        <v/>
      </c>
      <c r="BB1040" s="121" t="str">
        <f t="shared" si="182"/>
        <v/>
      </c>
      <c r="BD1040" s="121" t="str">
        <f>IF('Cable Info'!T745="","",CONCATENATE('Cable Info'!T745," - ",'Cable Info'!U745))</f>
        <v/>
      </c>
      <c r="BG1040" s="121" t="str">
        <f t="shared" si="183"/>
        <v/>
      </c>
      <c r="BI1040" s="121" t="str">
        <f>IF('Cable Info'!V745="","",CONCATENATE('Cable Info'!V745," - ",'Cable Info'!W745))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str">
        <f>IF('Cable Info'!L746="","",CONCATENATE('Cable Info'!L746," - ",'Cable Info'!M746))</f>
        <v>745 - AW</v>
      </c>
      <c r="AM1041" s="121" t="str">
        <f t="shared" si="179"/>
        <v>745 - AW</v>
      </c>
      <c r="AO1041" s="121" t="str">
        <f>IF('Cable Info'!N746="","",CONCATENATE('Cable Info'!N746," - ",'Cable Info'!O746))</f>
        <v>745 - AW</v>
      </c>
      <c r="AR1041" s="121" t="str">
        <f t="shared" si="180"/>
        <v>745 - AW</v>
      </c>
      <c r="AT1041" s="121" t="str">
        <f>IF('Cable Info'!P746="","",CONCATENATE('Cable Info'!P746," - ",'Cable Info'!Q746))</f>
        <v/>
      </c>
      <c r="AW1041" s="121" t="str">
        <f t="shared" si="181"/>
        <v/>
      </c>
      <c r="AY1041" s="121" t="str">
        <f>IF('Cable Info'!R746="","",CONCATENATE('Cable Info'!R746," - ",'Cable Info'!S746))</f>
        <v/>
      </c>
      <c r="BB1041" s="121" t="str">
        <f t="shared" si="182"/>
        <v/>
      </c>
      <c r="BD1041" s="121" t="str">
        <f>IF('Cable Info'!T746="","",CONCATENATE('Cable Info'!T746," - ",'Cable Info'!U746))</f>
        <v/>
      </c>
      <c r="BG1041" s="121" t="str">
        <f t="shared" si="183"/>
        <v/>
      </c>
      <c r="BI1041" s="121" t="str">
        <f>IF('Cable Info'!V746="","",CONCATENATE('Cable Info'!V746," - ",'Cable Info'!W746))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str">
        <f>IF('Cable Info'!L747="","",CONCATENATE('Cable Info'!L747," - ",'Cable Info'!M747))</f>
        <v>746 - AW</v>
      </c>
      <c r="AM1042" s="121" t="str">
        <f t="shared" si="179"/>
        <v>746 - AW</v>
      </c>
      <c r="AO1042" s="121" t="str">
        <f>IF('Cable Info'!N747="","",CONCATENATE('Cable Info'!N747," - ",'Cable Info'!O747))</f>
        <v>746 - AW</v>
      </c>
      <c r="AR1042" s="121" t="str">
        <f t="shared" si="180"/>
        <v>746 - AW</v>
      </c>
      <c r="AT1042" s="121" t="str">
        <f>IF('Cable Info'!P747="","",CONCATENATE('Cable Info'!P747," - ",'Cable Info'!Q747))</f>
        <v/>
      </c>
      <c r="AW1042" s="121" t="str">
        <f t="shared" si="181"/>
        <v/>
      </c>
      <c r="AY1042" s="121" t="str">
        <f>IF('Cable Info'!R747="","",CONCATENATE('Cable Info'!R747," - ",'Cable Info'!S747))</f>
        <v/>
      </c>
      <c r="BB1042" s="121" t="str">
        <f t="shared" si="182"/>
        <v/>
      </c>
      <c r="BD1042" s="121" t="str">
        <f>IF('Cable Info'!T747="","",CONCATENATE('Cable Info'!T747," - ",'Cable Info'!U747))</f>
        <v/>
      </c>
      <c r="BG1042" s="121" t="str">
        <f t="shared" si="183"/>
        <v/>
      </c>
      <c r="BI1042" s="121" t="str">
        <f>IF('Cable Info'!V747="","",CONCATENATE('Cable Info'!V747," - ",'Cable Info'!W747))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str">
        <f>IF('Cable Info'!L748="","",CONCATENATE('Cable Info'!L748," - ",'Cable Info'!M748))</f>
        <v>747 - AW</v>
      </c>
      <c r="AM1043" s="121" t="str">
        <f t="shared" si="179"/>
        <v>747 - AW</v>
      </c>
      <c r="AO1043" s="121" t="str">
        <f>IF('Cable Info'!N748="","",CONCATENATE('Cable Info'!N748," - ",'Cable Info'!O748))</f>
        <v>747 - AW</v>
      </c>
      <c r="AR1043" s="121" t="str">
        <f t="shared" si="180"/>
        <v>747 - AW</v>
      </c>
      <c r="AT1043" s="121" t="str">
        <f>IF('Cable Info'!P748="","",CONCATENATE('Cable Info'!P748," - ",'Cable Info'!Q748))</f>
        <v/>
      </c>
      <c r="AW1043" s="121" t="str">
        <f t="shared" si="181"/>
        <v/>
      </c>
      <c r="AY1043" s="121" t="str">
        <f>IF('Cable Info'!R748="","",CONCATENATE('Cable Info'!R748," - ",'Cable Info'!S748))</f>
        <v/>
      </c>
      <c r="BB1043" s="121" t="str">
        <f t="shared" si="182"/>
        <v/>
      </c>
      <c r="BD1043" s="121" t="str">
        <f>IF('Cable Info'!T748="","",CONCATENATE('Cable Info'!T748," - ",'Cable Info'!U748))</f>
        <v/>
      </c>
      <c r="BG1043" s="121" t="str">
        <f t="shared" si="183"/>
        <v/>
      </c>
      <c r="BI1043" s="121" t="str">
        <f>IF('Cable Info'!V748="","",CONCATENATE('Cable Info'!V748," - ",'Cable Info'!W748))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str">
        <f>IF('Cable Info'!L749="","",CONCATENATE('Cable Info'!L749," - ",'Cable Info'!M749))</f>
        <v>748 - AW</v>
      </c>
      <c r="AM1044" s="121" t="str">
        <f t="shared" si="179"/>
        <v>748 - AW</v>
      </c>
      <c r="AO1044" s="121" t="str">
        <f>IF('Cable Info'!N749="","",CONCATENATE('Cable Info'!N749," - ",'Cable Info'!O749))</f>
        <v>748 - AW</v>
      </c>
      <c r="AR1044" s="121" t="str">
        <f t="shared" si="180"/>
        <v>748 - AW</v>
      </c>
      <c r="AT1044" s="121" t="str">
        <f>IF('Cable Info'!P749="","",CONCATENATE('Cable Info'!P749," - ",'Cable Info'!Q749))</f>
        <v/>
      </c>
      <c r="AW1044" s="121" t="str">
        <f t="shared" si="181"/>
        <v/>
      </c>
      <c r="AY1044" s="121" t="str">
        <f>IF('Cable Info'!R749="","",CONCATENATE('Cable Info'!R749," - ",'Cable Info'!S749))</f>
        <v/>
      </c>
      <c r="BB1044" s="121" t="str">
        <f t="shared" si="182"/>
        <v/>
      </c>
      <c r="BD1044" s="121" t="str">
        <f>IF('Cable Info'!T749="","",CONCATENATE('Cable Info'!T749," - ",'Cable Info'!U749))</f>
        <v/>
      </c>
      <c r="BG1044" s="121" t="str">
        <f t="shared" si="183"/>
        <v/>
      </c>
      <c r="BI1044" s="121" t="str">
        <f>IF('Cable Info'!V749="","",CONCATENATE('Cable Info'!V749," - ",'Cable Info'!W749))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str">
        <f>IF('Cable Info'!L750="","",CONCATENATE('Cable Info'!L750," - ",'Cable Info'!M750))</f>
        <v>749 - AW</v>
      </c>
      <c r="AM1045" s="121" t="str">
        <f t="shared" si="179"/>
        <v>749 - AW</v>
      </c>
      <c r="AO1045" s="121" t="str">
        <f>IF('Cable Info'!N750="","",CONCATENATE('Cable Info'!N750," - ",'Cable Info'!O750))</f>
        <v>749 - AW</v>
      </c>
      <c r="AR1045" s="121" t="str">
        <f t="shared" si="180"/>
        <v>749 - AW</v>
      </c>
      <c r="AT1045" s="121" t="str">
        <f>IF('Cable Info'!P750="","",CONCATENATE('Cable Info'!P750," - ",'Cable Info'!Q750))</f>
        <v/>
      </c>
      <c r="AW1045" s="121" t="str">
        <f t="shared" si="181"/>
        <v/>
      </c>
      <c r="AY1045" s="121" t="str">
        <f>IF('Cable Info'!R750="","",CONCATENATE('Cable Info'!R750," - ",'Cable Info'!S750))</f>
        <v/>
      </c>
      <c r="BB1045" s="121" t="str">
        <f t="shared" si="182"/>
        <v/>
      </c>
      <c r="BD1045" s="121" t="str">
        <f>IF('Cable Info'!T750="","",CONCATENATE('Cable Info'!T750," - ",'Cable Info'!U750))</f>
        <v/>
      </c>
      <c r="BG1045" s="121" t="str">
        <f t="shared" si="183"/>
        <v/>
      </c>
      <c r="BI1045" s="121" t="str">
        <f>IF('Cable Info'!V750="","",CONCATENATE('Cable Info'!V750," - ",'Cable Info'!W750))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str">
        <f>IF('Cable Info'!L751="","",CONCATENATE('Cable Info'!L751," - ",'Cable Info'!M751))</f>
        <v>750 - AW</v>
      </c>
      <c r="AM1046" s="121" t="str">
        <f t="shared" si="179"/>
        <v>750 - AW</v>
      </c>
      <c r="AO1046" s="121" t="str">
        <f>IF('Cable Info'!N751="","",CONCATENATE('Cable Info'!N751," - ",'Cable Info'!O751))</f>
        <v>750 - AW</v>
      </c>
      <c r="AR1046" s="121" t="str">
        <f t="shared" si="180"/>
        <v>750 - AW</v>
      </c>
      <c r="AT1046" s="121" t="str">
        <f>IF('Cable Info'!P751="","",CONCATENATE('Cable Info'!P751," - ",'Cable Info'!Q751))</f>
        <v/>
      </c>
      <c r="AW1046" s="121" t="str">
        <f t="shared" si="181"/>
        <v/>
      </c>
      <c r="AY1046" s="121" t="str">
        <f>IF('Cable Info'!R751="","",CONCATENATE('Cable Info'!R751," - ",'Cable Info'!S751))</f>
        <v/>
      </c>
      <c r="BB1046" s="121" t="str">
        <f t="shared" si="182"/>
        <v/>
      </c>
      <c r="BD1046" s="121" t="str">
        <f>IF('Cable Info'!T751="","",CONCATENATE('Cable Info'!T751," - ",'Cable Info'!U751))</f>
        <v/>
      </c>
      <c r="BG1046" s="121" t="str">
        <f t="shared" si="183"/>
        <v/>
      </c>
      <c r="BI1046" s="121" t="str">
        <f>IF('Cable Info'!V751="","",CONCATENATE('Cable Info'!V751," - ",'Cable Info'!W751))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str">
        <f>IF('Cable Info'!L752="","",CONCATENATE('Cable Info'!L752," - ",'Cable Info'!M752))</f>
        <v>751 - AW</v>
      </c>
      <c r="AM1047" s="121" t="str">
        <f t="shared" si="179"/>
        <v>751 - AW</v>
      </c>
      <c r="AO1047" s="121" t="str">
        <f>IF('Cable Info'!N752="","",CONCATENATE('Cable Info'!N752," - ",'Cable Info'!O752))</f>
        <v>751 - AW</v>
      </c>
      <c r="AR1047" s="121" t="str">
        <f t="shared" si="180"/>
        <v>751 - AW</v>
      </c>
      <c r="AT1047" s="121" t="str">
        <f>IF('Cable Info'!P752="","",CONCATENATE('Cable Info'!P752," - ",'Cable Info'!Q752))</f>
        <v/>
      </c>
      <c r="AW1047" s="121" t="str">
        <f t="shared" si="181"/>
        <v/>
      </c>
      <c r="AY1047" s="121" t="str">
        <f>IF('Cable Info'!R752="","",CONCATENATE('Cable Info'!R752," - ",'Cable Info'!S752))</f>
        <v/>
      </c>
      <c r="BB1047" s="121" t="str">
        <f t="shared" si="182"/>
        <v/>
      </c>
      <c r="BD1047" s="121" t="str">
        <f>IF('Cable Info'!T752="","",CONCATENATE('Cable Info'!T752," - ",'Cable Info'!U752))</f>
        <v/>
      </c>
      <c r="BG1047" s="121" t="str">
        <f t="shared" si="183"/>
        <v/>
      </c>
      <c r="BI1047" s="121" t="str">
        <f>IF('Cable Info'!V752="","",CONCATENATE('Cable Info'!V752," - ",'Cable Info'!W752))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str">
        <f>IF('Cable Info'!L753="","",CONCATENATE('Cable Info'!L753," - ",'Cable Info'!M753))</f>
        <v>752 - AW</v>
      </c>
      <c r="AM1048" s="121" t="str">
        <f t="shared" si="179"/>
        <v>752 - AW</v>
      </c>
      <c r="AO1048" s="121" t="str">
        <f>IF('Cable Info'!N753="","",CONCATENATE('Cable Info'!N753," - ",'Cable Info'!O753))</f>
        <v>752 - AW</v>
      </c>
      <c r="AR1048" s="121" t="str">
        <f t="shared" si="180"/>
        <v>752 - AW</v>
      </c>
      <c r="AT1048" s="121" t="str">
        <f>IF('Cable Info'!P753="","",CONCATENATE('Cable Info'!P753," - ",'Cable Info'!Q753))</f>
        <v/>
      </c>
      <c r="AW1048" s="121" t="str">
        <f t="shared" si="181"/>
        <v/>
      </c>
      <c r="AY1048" s="121" t="str">
        <f>IF('Cable Info'!R753="","",CONCATENATE('Cable Info'!R753," - ",'Cable Info'!S753))</f>
        <v/>
      </c>
      <c r="BB1048" s="121" t="str">
        <f t="shared" si="182"/>
        <v/>
      </c>
      <c r="BD1048" s="121" t="str">
        <f>IF('Cable Info'!T753="","",CONCATENATE('Cable Info'!T753," - ",'Cable Info'!U753))</f>
        <v/>
      </c>
      <c r="BG1048" s="121" t="str">
        <f t="shared" si="183"/>
        <v/>
      </c>
      <c r="BI1048" s="121" t="str">
        <f>IF('Cable Info'!V753="","",CONCATENATE('Cable Info'!V753," - ",'Cable Info'!W753))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str">
        <f>IF('Cable Info'!L754="","",CONCATENATE('Cable Info'!L754," - ",'Cable Info'!M754))</f>
        <v>753 - AW</v>
      </c>
      <c r="AM1049" s="121" t="str">
        <f t="shared" si="179"/>
        <v>753 - AW</v>
      </c>
      <c r="AO1049" s="121" t="str">
        <f>IF('Cable Info'!N754="","",CONCATENATE('Cable Info'!N754," - ",'Cable Info'!O754))</f>
        <v>753 - AW</v>
      </c>
      <c r="AR1049" s="121" t="str">
        <f t="shared" si="180"/>
        <v>753 - AW</v>
      </c>
      <c r="AT1049" s="121" t="str">
        <f>IF('Cable Info'!P754="","",CONCATENATE('Cable Info'!P754," - ",'Cable Info'!Q754))</f>
        <v/>
      </c>
      <c r="AW1049" s="121" t="str">
        <f t="shared" si="181"/>
        <v/>
      </c>
      <c r="AY1049" s="121" t="str">
        <f>IF('Cable Info'!R754="","",CONCATENATE('Cable Info'!R754," - ",'Cable Info'!S754))</f>
        <v/>
      </c>
      <c r="BB1049" s="121" t="str">
        <f t="shared" si="182"/>
        <v/>
      </c>
      <c r="BD1049" s="121" t="str">
        <f>IF('Cable Info'!T754="","",CONCATENATE('Cable Info'!T754," - ",'Cable Info'!U754))</f>
        <v/>
      </c>
      <c r="BG1049" s="121" t="str">
        <f t="shared" si="183"/>
        <v/>
      </c>
      <c r="BI1049" s="121" t="str">
        <f>IF('Cable Info'!V754="","",CONCATENATE('Cable Info'!V754," - ",'Cable Info'!W754))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str">
        <f>IF('Cable Info'!L755="","",CONCATENATE('Cable Info'!L755," - ",'Cable Info'!M755))</f>
        <v>754 - AW</v>
      </c>
      <c r="AM1050" s="121" t="str">
        <f t="shared" si="179"/>
        <v>754 - AW</v>
      </c>
      <c r="AO1050" s="121" t="str">
        <f>IF('Cable Info'!N755="","",CONCATENATE('Cable Info'!N755," - ",'Cable Info'!O755))</f>
        <v>754 - AW</v>
      </c>
      <c r="AR1050" s="121" t="str">
        <f t="shared" si="180"/>
        <v>754 - AW</v>
      </c>
      <c r="AT1050" s="121" t="str">
        <f>IF('Cable Info'!P755="","",CONCATENATE('Cable Info'!P755," - ",'Cable Info'!Q755))</f>
        <v/>
      </c>
      <c r="AW1050" s="121" t="str">
        <f t="shared" si="181"/>
        <v/>
      </c>
      <c r="AY1050" s="121" t="str">
        <f>IF('Cable Info'!R755="","",CONCATENATE('Cable Info'!R755," - ",'Cable Info'!S755))</f>
        <v/>
      </c>
      <c r="BB1050" s="121" t="str">
        <f t="shared" si="182"/>
        <v/>
      </c>
      <c r="BD1050" s="121" t="str">
        <f>IF('Cable Info'!T755="","",CONCATENATE('Cable Info'!T755," - ",'Cable Info'!U755))</f>
        <v/>
      </c>
      <c r="BG1050" s="121" t="str">
        <f t="shared" si="183"/>
        <v/>
      </c>
      <c r="BI1050" s="121" t="str">
        <f>IF('Cable Info'!V755="","",CONCATENATE('Cable Info'!V755," - ",'Cable Info'!W755))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str">
        <f>IF('Cable Info'!L756="","",CONCATENATE('Cable Info'!L756," - ",'Cable Info'!M756))</f>
        <v>755 - AW</v>
      </c>
      <c r="AM1051" s="121" t="str">
        <f t="shared" si="179"/>
        <v>755 - AW</v>
      </c>
      <c r="AO1051" s="121" t="str">
        <f>IF('Cable Info'!N756="","",CONCATENATE('Cable Info'!N756," - ",'Cable Info'!O756))</f>
        <v>755 - AW</v>
      </c>
      <c r="AR1051" s="121" t="str">
        <f t="shared" si="180"/>
        <v>755 - AW</v>
      </c>
      <c r="AT1051" s="121" t="str">
        <f>IF('Cable Info'!P756="","",CONCATENATE('Cable Info'!P756," - ",'Cable Info'!Q756))</f>
        <v/>
      </c>
      <c r="AW1051" s="121" t="str">
        <f t="shared" si="181"/>
        <v/>
      </c>
      <c r="AY1051" s="121" t="str">
        <f>IF('Cable Info'!R756="","",CONCATENATE('Cable Info'!R756," - ",'Cable Info'!S756))</f>
        <v/>
      </c>
      <c r="BB1051" s="121" t="str">
        <f t="shared" si="182"/>
        <v/>
      </c>
      <c r="BD1051" s="121" t="str">
        <f>IF('Cable Info'!T756="","",CONCATENATE('Cable Info'!T756," - ",'Cable Info'!U756))</f>
        <v/>
      </c>
      <c r="BG1051" s="121" t="str">
        <f t="shared" si="183"/>
        <v/>
      </c>
      <c r="BI1051" s="121" t="str">
        <f>IF('Cable Info'!V756="","",CONCATENATE('Cable Info'!V756," - ",'Cable Info'!W756))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str">
        <f>IF('Cable Info'!L757="","",CONCATENATE('Cable Info'!L757," - ",'Cable Info'!M757))</f>
        <v>756 - AW</v>
      </c>
      <c r="AM1052" s="121" t="str">
        <f t="shared" si="179"/>
        <v>756 - AW</v>
      </c>
      <c r="AO1052" s="121" t="str">
        <f>IF('Cable Info'!N757="","",CONCATENATE('Cable Info'!N757," - ",'Cable Info'!O757))</f>
        <v>756 - AW</v>
      </c>
      <c r="AR1052" s="121" t="str">
        <f t="shared" si="180"/>
        <v>756 - AW</v>
      </c>
      <c r="AT1052" s="121" t="str">
        <f>IF('Cable Info'!P757="","",CONCATENATE('Cable Info'!P757," - ",'Cable Info'!Q757))</f>
        <v/>
      </c>
      <c r="AW1052" s="121" t="str">
        <f t="shared" si="181"/>
        <v/>
      </c>
      <c r="AY1052" s="121" t="str">
        <f>IF('Cable Info'!R757="","",CONCATENATE('Cable Info'!R757," - ",'Cable Info'!S757))</f>
        <v/>
      </c>
      <c r="BB1052" s="121" t="str">
        <f t="shared" si="182"/>
        <v/>
      </c>
      <c r="BD1052" s="121" t="str">
        <f>IF('Cable Info'!T757="","",CONCATENATE('Cable Info'!T757," - ",'Cable Info'!U757))</f>
        <v/>
      </c>
      <c r="BG1052" s="121" t="str">
        <f t="shared" si="183"/>
        <v/>
      </c>
      <c r="BI1052" s="121" t="str">
        <f>IF('Cable Info'!V757="","",CONCATENATE('Cable Info'!V757," - ",'Cable Info'!W757))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str">
        <f>IF('Cable Info'!L758="","",CONCATENATE('Cable Info'!L758," - ",'Cable Info'!M758))</f>
        <v>757 - AW</v>
      </c>
      <c r="AM1053" s="121" t="str">
        <f t="shared" si="179"/>
        <v>757 - AW</v>
      </c>
      <c r="AO1053" s="121" t="str">
        <f>IF('Cable Info'!N758="","",CONCATENATE('Cable Info'!N758," - ",'Cable Info'!O758))</f>
        <v>757 - AW</v>
      </c>
      <c r="AR1053" s="121" t="str">
        <f t="shared" si="180"/>
        <v>757 - AW</v>
      </c>
      <c r="AT1053" s="121" t="str">
        <f>IF('Cable Info'!P758="","",CONCATENATE('Cable Info'!P758," - ",'Cable Info'!Q758))</f>
        <v/>
      </c>
      <c r="AW1053" s="121" t="str">
        <f t="shared" si="181"/>
        <v/>
      </c>
      <c r="AY1053" s="121" t="str">
        <f>IF('Cable Info'!R758="","",CONCATENATE('Cable Info'!R758," - ",'Cable Info'!S758))</f>
        <v/>
      </c>
      <c r="BB1053" s="121" t="str">
        <f t="shared" si="182"/>
        <v/>
      </c>
      <c r="BD1053" s="121" t="str">
        <f>IF('Cable Info'!T758="","",CONCATENATE('Cable Info'!T758," - ",'Cable Info'!U758))</f>
        <v/>
      </c>
      <c r="BG1053" s="121" t="str">
        <f t="shared" si="183"/>
        <v/>
      </c>
      <c r="BI1053" s="121" t="str">
        <f>IF('Cable Info'!V758="","",CONCATENATE('Cable Info'!V758," - ",'Cable Info'!W758))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str">
        <f>IF('Cable Info'!L759="","",CONCATENATE('Cable Info'!L759," - ",'Cable Info'!M759))</f>
        <v>758 - AW</v>
      </c>
      <c r="AM1054" s="121" t="str">
        <f t="shared" si="179"/>
        <v>758 - AW</v>
      </c>
      <c r="AO1054" s="121" t="str">
        <f>IF('Cable Info'!N759="","",CONCATENATE('Cable Info'!N759," - ",'Cable Info'!O759))</f>
        <v>758 - AW</v>
      </c>
      <c r="AR1054" s="121" t="str">
        <f t="shared" si="180"/>
        <v>758 - AW</v>
      </c>
      <c r="AT1054" s="121" t="str">
        <f>IF('Cable Info'!P759="","",CONCATENATE('Cable Info'!P759," - ",'Cable Info'!Q759))</f>
        <v/>
      </c>
      <c r="AW1054" s="121" t="str">
        <f t="shared" si="181"/>
        <v/>
      </c>
      <c r="AY1054" s="121" t="str">
        <f>IF('Cable Info'!R759="","",CONCATENATE('Cable Info'!R759," - ",'Cable Info'!S759))</f>
        <v/>
      </c>
      <c r="BB1054" s="121" t="str">
        <f t="shared" si="182"/>
        <v/>
      </c>
      <c r="BD1054" s="121" t="str">
        <f>IF('Cable Info'!T759="","",CONCATENATE('Cable Info'!T759," - ",'Cable Info'!U759))</f>
        <v/>
      </c>
      <c r="BG1054" s="121" t="str">
        <f t="shared" si="183"/>
        <v/>
      </c>
      <c r="BI1054" s="121" t="str">
        <f>IF('Cable Info'!V759="","",CONCATENATE('Cable Info'!V759," - ",'Cable Info'!W759))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str">
        <f>IF('Cable Info'!L760="","",CONCATENATE('Cable Info'!L760," - ",'Cable Info'!M760))</f>
        <v>759 - AW</v>
      </c>
      <c r="AM1055" s="121" t="str">
        <f t="shared" si="179"/>
        <v>759 - AW</v>
      </c>
      <c r="AO1055" s="121" t="str">
        <f>IF('Cable Info'!N760="","",CONCATENATE('Cable Info'!N760," - ",'Cable Info'!O760))</f>
        <v>759 - AW</v>
      </c>
      <c r="AR1055" s="121" t="str">
        <f t="shared" si="180"/>
        <v>759 - AW</v>
      </c>
      <c r="AT1055" s="121" t="str">
        <f>IF('Cable Info'!P760="","",CONCATENATE('Cable Info'!P760," - ",'Cable Info'!Q760))</f>
        <v/>
      </c>
      <c r="AW1055" s="121" t="str">
        <f t="shared" si="181"/>
        <v/>
      </c>
      <c r="AY1055" s="121" t="str">
        <f>IF('Cable Info'!R760="","",CONCATENATE('Cable Info'!R760," - ",'Cable Info'!S760))</f>
        <v/>
      </c>
      <c r="BB1055" s="121" t="str">
        <f t="shared" si="182"/>
        <v/>
      </c>
      <c r="BD1055" s="121" t="str">
        <f>IF('Cable Info'!T760="","",CONCATENATE('Cable Info'!T760," - ",'Cable Info'!U760))</f>
        <v/>
      </c>
      <c r="BG1055" s="121" t="str">
        <f t="shared" si="183"/>
        <v/>
      </c>
      <c r="BI1055" s="121" t="str">
        <f>IF('Cable Info'!V760="","",CONCATENATE('Cable Info'!V760," - ",'Cable Info'!W760))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str">
        <f>IF('Cable Info'!L761="","",CONCATENATE('Cable Info'!L761," - ",'Cable Info'!M761))</f>
        <v>760 - AW</v>
      </c>
      <c r="AM1056" s="121" t="str">
        <f t="shared" si="179"/>
        <v>760 - AW</v>
      </c>
      <c r="AO1056" s="121" t="str">
        <f>IF('Cable Info'!N761="","",CONCATENATE('Cable Info'!N761," - ",'Cable Info'!O761))</f>
        <v>760 - AW</v>
      </c>
      <c r="AR1056" s="121" t="str">
        <f t="shared" si="180"/>
        <v>760 - AW</v>
      </c>
      <c r="AT1056" s="121" t="str">
        <f>IF('Cable Info'!P761="","",CONCATENATE('Cable Info'!P761," - ",'Cable Info'!Q761))</f>
        <v/>
      </c>
      <c r="AW1056" s="121" t="str">
        <f t="shared" si="181"/>
        <v/>
      </c>
      <c r="AY1056" s="121" t="str">
        <f>IF('Cable Info'!R761="","",CONCATENATE('Cable Info'!R761," - ",'Cable Info'!S761))</f>
        <v/>
      </c>
      <c r="BB1056" s="121" t="str">
        <f t="shared" si="182"/>
        <v/>
      </c>
      <c r="BD1056" s="121" t="str">
        <f>IF('Cable Info'!T761="","",CONCATENATE('Cable Info'!T761," - ",'Cable Info'!U761))</f>
        <v/>
      </c>
      <c r="BG1056" s="121" t="str">
        <f t="shared" si="183"/>
        <v/>
      </c>
      <c r="BI1056" s="121" t="str">
        <f>IF('Cable Info'!V761="","",CONCATENATE('Cable Info'!V761," - ",'Cable Info'!W761))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str">
        <f>IF('Cable Info'!L762="","",CONCATENATE('Cable Info'!L762," - ",'Cable Info'!M762))</f>
        <v>761 - AW</v>
      </c>
      <c r="AM1057" s="121" t="str">
        <f t="shared" si="179"/>
        <v>761 - AW</v>
      </c>
      <c r="AO1057" s="121" t="str">
        <f>IF('Cable Info'!N762="","",CONCATENATE('Cable Info'!N762," - ",'Cable Info'!O762))</f>
        <v>761 - AW</v>
      </c>
      <c r="AR1057" s="121" t="str">
        <f t="shared" si="180"/>
        <v>761 - AW</v>
      </c>
      <c r="AT1057" s="121" t="str">
        <f>IF('Cable Info'!P762="","",CONCATENATE('Cable Info'!P762," - ",'Cable Info'!Q762))</f>
        <v/>
      </c>
      <c r="AW1057" s="121" t="str">
        <f t="shared" si="181"/>
        <v/>
      </c>
      <c r="AY1057" s="121" t="str">
        <f>IF('Cable Info'!R762="","",CONCATENATE('Cable Info'!R762," - ",'Cable Info'!S762))</f>
        <v/>
      </c>
      <c r="BB1057" s="121" t="str">
        <f t="shared" si="182"/>
        <v/>
      </c>
      <c r="BD1057" s="121" t="str">
        <f>IF('Cable Info'!T762="","",CONCATENATE('Cable Info'!T762," - ",'Cable Info'!U762))</f>
        <v/>
      </c>
      <c r="BG1057" s="121" t="str">
        <f t="shared" si="183"/>
        <v/>
      </c>
      <c r="BI1057" s="121" t="str">
        <f>IF('Cable Info'!V762="","",CONCATENATE('Cable Info'!V762," - ",'Cable Info'!W762))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str">
        <f>IF('Cable Info'!L763="","",CONCATENATE('Cable Info'!L763," - ",'Cable Info'!M763))</f>
        <v>762 - AW</v>
      </c>
      <c r="AM1058" s="121" t="str">
        <f t="shared" si="179"/>
        <v>762 - AW</v>
      </c>
      <c r="AO1058" s="121" t="str">
        <f>IF('Cable Info'!N763="","",CONCATENATE('Cable Info'!N763," - ",'Cable Info'!O763))</f>
        <v>762 - AW</v>
      </c>
      <c r="AR1058" s="121" t="str">
        <f t="shared" si="180"/>
        <v>762 - AW</v>
      </c>
      <c r="AT1058" s="121" t="str">
        <f>IF('Cable Info'!P763="","",CONCATENATE('Cable Info'!P763," - ",'Cable Info'!Q763))</f>
        <v/>
      </c>
      <c r="AW1058" s="121" t="str">
        <f t="shared" si="181"/>
        <v/>
      </c>
      <c r="AY1058" s="121" t="str">
        <f>IF('Cable Info'!R763="","",CONCATENATE('Cable Info'!R763," - ",'Cable Info'!S763))</f>
        <v/>
      </c>
      <c r="BB1058" s="121" t="str">
        <f t="shared" si="182"/>
        <v/>
      </c>
      <c r="BD1058" s="121" t="str">
        <f>IF('Cable Info'!T763="","",CONCATENATE('Cable Info'!T763," - ",'Cable Info'!U763))</f>
        <v/>
      </c>
      <c r="BG1058" s="121" t="str">
        <f t="shared" si="183"/>
        <v/>
      </c>
      <c r="BI1058" s="121" t="str">
        <f>IF('Cable Info'!V763="","",CONCATENATE('Cable Info'!V763," - ",'Cable Info'!W763))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str">
        <f>IF('Cable Info'!L764="","",CONCATENATE('Cable Info'!L764," - ",'Cable Info'!M764))</f>
        <v>763 - AW</v>
      </c>
      <c r="AM1059" s="121" t="str">
        <f t="shared" si="179"/>
        <v>763 - AW</v>
      </c>
      <c r="AO1059" s="121" t="str">
        <f>IF('Cable Info'!N764="","",CONCATENATE('Cable Info'!N764," - ",'Cable Info'!O764))</f>
        <v>763 - AW</v>
      </c>
      <c r="AR1059" s="121" t="str">
        <f t="shared" si="180"/>
        <v>763 - AW</v>
      </c>
      <c r="AT1059" s="121" t="str">
        <f>IF('Cable Info'!P764="","",CONCATENATE('Cable Info'!P764," - ",'Cable Info'!Q764))</f>
        <v/>
      </c>
      <c r="AW1059" s="121" t="str">
        <f t="shared" si="181"/>
        <v/>
      </c>
      <c r="AY1059" s="121" t="str">
        <f>IF('Cable Info'!R764="","",CONCATENATE('Cable Info'!R764," - ",'Cable Info'!S764))</f>
        <v/>
      </c>
      <c r="BB1059" s="121" t="str">
        <f t="shared" si="182"/>
        <v/>
      </c>
      <c r="BD1059" s="121" t="str">
        <f>IF('Cable Info'!T764="","",CONCATENATE('Cable Info'!T764," - ",'Cable Info'!U764))</f>
        <v/>
      </c>
      <c r="BG1059" s="121" t="str">
        <f t="shared" si="183"/>
        <v/>
      </c>
      <c r="BI1059" s="121" t="str">
        <f>IF('Cable Info'!V764="","",CONCATENATE('Cable Info'!V764," - ",'Cable Info'!W764))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str">
        <f>IF('Cable Info'!L765="","",CONCATENATE('Cable Info'!L765," - ",'Cable Info'!M765))</f>
        <v>764 - AW</v>
      </c>
      <c r="AM1060" s="121" t="str">
        <f t="shared" si="179"/>
        <v>764 - AW</v>
      </c>
      <c r="AO1060" s="121" t="str">
        <f>IF('Cable Info'!N765="","",CONCATENATE('Cable Info'!N765," - ",'Cable Info'!O765))</f>
        <v>764 - AW</v>
      </c>
      <c r="AR1060" s="121" t="str">
        <f t="shared" si="180"/>
        <v>764 - AW</v>
      </c>
      <c r="AT1060" s="121" t="str">
        <f>IF('Cable Info'!P765="","",CONCATENATE('Cable Info'!P765," - ",'Cable Info'!Q765))</f>
        <v/>
      </c>
      <c r="AW1060" s="121" t="str">
        <f t="shared" si="181"/>
        <v/>
      </c>
      <c r="AY1060" s="121" t="str">
        <f>IF('Cable Info'!R765="","",CONCATENATE('Cable Info'!R765," - ",'Cable Info'!S765))</f>
        <v/>
      </c>
      <c r="BB1060" s="121" t="str">
        <f t="shared" si="182"/>
        <v/>
      </c>
      <c r="BD1060" s="121" t="str">
        <f>IF('Cable Info'!T765="","",CONCATENATE('Cable Info'!T765," - ",'Cable Info'!U765))</f>
        <v/>
      </c>
      <c r="BG1060" s="121" t="str">
        <f t="shared" si="183"/>
        <v/>
      </c>
      <c r="BI1060" s="121" t="str">
        <f>IF('Cable Info'!V765="","",CONCATENATE('Cable Info'!V765," - ",'Cable Info'!W765))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str">
        <f>IF('Cable Info'!L766="","",CONCATENATE('Cable Info'!L766," - ",'Cable Info'!M766))</f>
        <v>765 - AW</v>
      </c>
      <c r="AM1061" s="121" t="str">
        <f t="shared" si="179"/>
        <v>765 - AW</v>
      </c>
      <c r="AO1061" s="121" t="str">
        <f>IF('Cable Info'!N766="","",CONCATENATE('Cable Info'!N766," - ",'Cable Info'!O766))</f>
        <v>765 - AW</v>
      </c>
      <c r="AR1061" s="121" t="str">
        <f t="shared" si="180"/>
        <v>765 - AW</v>
      </c>
      <c r="AT1061" s="121" t="str">
        <f>IF('Cable Info'!P766="","",CONCATENATE('Cable Info'!P766," - ",'Cable Info'!Q766))</f>
        <v/>
      </c>
      <c r="AW1061" s="121" t="str">
        <f t="shared" si="181"/>
        <v/>
      </c>
      <c r="AY1061" s="121" t="str">
        <f>IF('Cable Info'!R766="","",CONCATENATE('Cable Info'!R766," - ",'Cable Info'!S766))</f>
        <v/>
      </c>
      <c r="BB1061" s="121" t="str">
        <f t="shared" si="182"/>
        <v/>
      </c>
      <c r="BD1061" s="121" t="str">
        <f>IF('Cable Info'!T766="","",CONCATENATE('Cable Info'!T766," - ",'Cable Info'!U766))</f>
        <v/>
      </c>
      <c r="BG1061" s="121" t="str">
        <f t="shared" si="183"/>
        <v/>
      </c>
      <c r="BI1061" s="121" t="str">
        <f>IF('Cable Info'!V766="","",CONCATENATE('Cable Info'!V766," - ",'Cable Info'!W766))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str">
        <f>IF('Cable Info'!L767="","",CONCATENATE('Cable Info'!L767," - ",'Cable Info'!M767))</f>
        <v>766 - AW</v>
      </c>
      <c r="AM1062" s="121" t="str">
        <f t="shared" si="179"/>
        <v>766 - AW</v>
      </c>
      <c r="AO1062" s="121" t="str">
        <f>IF('Cable Info'!N767="","",CONCATENATE('Cable Info'!N767," - ",'Cable Info'!O767))</f>
        <v>766 - AW</v>
      </c>
      <c r="AR1062" s="121" t="str">
        <f t="shared" si="180"/>
        <v>766 - AW</v>
      </c>
      <c r="AT1062" s="121" t="str">
        <f>IF('Cable Info'!P767="","",CONCATENATE('Cable Info'!P767," - ",'Cable Info'!Q767))</f>
        <v/>
      </c>
      <c r="AW1062" s="121" t="str">
        <f t="shared" si="181"/>
        <v/>
      </c>
      <c r="AY1062" s="121" t="str">
        <f>IF('Cable Info'!R767="","",CONCATENATE('Cable Info'!R767," - ",'Cable Info'!S767))</f>
        <v/>
      </c>
      <c r="BB1062" s="121" t="str">
        <f t="shared" si="182"/>
        <v/>
      </c>
      <c r="BD1062" s="121" t="str">
        <f>IF('Cable Info'!T767="","",CONCATENATE('Cable Info'!T767," - ",'Cable Info'!U767))</f>
        <v/>
      </c>
      <c r="BG1062" s="121" t="str">
        <f t="shared" si="183"/>
        <v/>
      </c>
      <c r="BI1062" s="121" t="str">
        <f>IF('Cable Info'!V767="","",CONCATENATE('Cable Info'!V767," - ",'Cable Info'!W767))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str">
        <f>IF('Cable Info'!L768="","",CONCATENATE('Cable Info'!L768," - ",'Cable Info'!M768))</f>
        <v>767 - AW</v>
      </c>
      <c r="AM1063" s="121" t="str">
        <f t="shared" si="179"/>
        <v>767 - AW</v>
      </c>
      <c r="AO1063" s="121" t="str">
        <f>IF('Cable Info'!N768="","",CONCATENATE('Cable Info'!N768," - ",'Cable Info'!O768))</f>
        <v>767 - AW</v>
      </c>
      <c r="AR1063" s="121" t="str">
        <f t="shared" si="180"/>
        <v>767 - AW</v>
      </c>
      <c r="AT1063" s="121" t="str">
        <f>IF('Cable Info'!P768="","",CONCATENATE('Cable Info'!P768," - ",'Cable Info'!Q768))</f>
        <v/>
      </c>
      <c r="AW1063" s="121" t="str">
        <f t="shared" si="181"/>
        <v/>
      </c>
      <c r="AY1063" s="121" t="str">
        <f>IF('Cable Info'!R768="","",CONCATENATE('Cable Info'!R768," - ",'Cable Info'!S768))</f>
        <v/>
      </c>
      <c r="BB1063" s="121" t="str">
        <f t="shared" si="182"/>
        <v/>
      </c>
      <c r="BD1063" s="121" t="str">
        <f>IF('Cable Info'!T768="","",CONCATENATE('Cable Info'!T768," - ",'Cable Info'!U768))</f>
        <v/>
      </c>
      <c r="BG1063" s="121" t="str">
        <f t="shared" si="183"/>
        <v/>
      </c>
      <c r="BI1063" s="121" t="str">
        <f>IF('Cable Info'!V768="","",CONCATENATE('Cable Info'!V768," - ",'Cable Info'!W768))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str">
        <f>IF('Cable Info'!L769="","",CONCATENATE('Cable Info'!L769," - ",'Cable Info'!M769))</f>
        <v>768 - AW</v>
      </c>
      <c r="AM1064" s="121" t="str">
        <f t="shared" si="179"/>
        <v>768 - AW</v>
      </c>
      <c r="AO1064" s="121" t="str">
        <f>IF('Cable Info'!N769="","",CONCATENATE('Cable Info'!N769," - ",'Cable Info'!O769))</f>
        <v>768 - AW</v>
      </c>
      <c r="AR1064" s="121" t="str">
        <f t="shared" si="180"/>
        <v>768 - AW</v>
      </c>
      <c r="AT1064" s="121" t="str">
        <f>IF('Cable Info'!P769="","",CONCATENATE('Cable Info'!P769," - ",'Cable Info'!Q769))</f>
        <v/>
      </c>
      <c r="AW1064" s="121" t="str">
        <f t="shared" si="181"/>
        <v/>
      </c>
      <c r="AY1064" s="121" t="str">
        <f>IF('Cable Info'!R769="","",CONCATENATE('Cable Info'!R769," - ",'Cable Info'!S769))</f>
        <v/>
      </c>
      <c r="BB1064" s="121" t="str">
        <f t="shared" si="182"/>
        <v/>
      </c>
      <c r="BD1064" s="121" t="str">
        <f>IF('Cable Info'!T769="","",CONCATENATE('Cable Info'!T769," - ",'Cable Info'!U769))</f>
        <v/>
      </c>
      <c r="BG1064" s="121" t="str">
        <f t="shared" si="183"/>
        <v/>
      </c>
      <c r="BI1064" s="121" t="str">
        <f>IF('Cable Info'!V769="","",CONCATENATE('Cable Info'!V769," - ",'Cable Info'!W769))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str">
        <f>IF('Cable Info'!L770="","",CONCATENATE('Cable Info'!L770," - ",'Cable Info'!M770))</f>
        <v>769 - AW</v>
      </c>
      <c r="AM1065" s="121" t="str">
        <f t="shared" si="179"/>
        <v>769 - AW</v>
      </c>
      <c r="AO1065" s="121" t="str">
        <f>IF('Cable Info'!N770="","",CONCATENATE('Cable Info'!N770," - ",'Cable Info'!O770))</f>
        <v>769 - AW</v>
      </c>
      <c r="AR1065" s="121" t="str">
        <f t="shared" si="180"/>
        <v>769 - AW</v>
      </c>
      <c r="AT1065" s="121" t="str">
        <f>IF('Cable Info'!P770="","",CONCATENATE('Cable Info'!P770," - ",'Cable Info'!Q770))</f>
        <v/>
      </c>
      <c r="AW1065" s="121" t="str">
        <f t="shared" si="181"/>
        <v/>
      </c>
      <c r="AY1065" s="121" t="str">
        <f>IF('Cable Info'!R770="","",CONCATENATE('Cable Info'!R770," - ",'Cable Info'!S770))</f>
        <v/>
      </c>
      <c r="BB1065" s="121" t="str">
        <f t="shared" si="182"/>
        <v/>
      </c>
      <c r="BD1065" s="121" t="str">
        <f>IF('Cable Info'!T770="","",CONCATENATE('Cable Info'!T770," - ",'Cable Info'!U770))</f>
        <v/>
      </c>
      <c r="BG1065" s="121" t="str">
        <f t="shared" si="183"/>
        <v/>
      </c>
      <c r="BI1065" s="121" t="str">
        <f>IF('Cable Info'!V770="","",CONCATENATE('Cable Info'!V770," - ",'Cable Info'!W770))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str">
        <f>IF('Cable Info'!L771="","",CONCATENATE('Cable Info'!L771," - ",'Cable Info'!M771))</f>
        <v>770 - AW</v>
      </c>
      <c r="AM1066" s="121" t="str">
        <f t="shared" ref="AM1066:AM1129" si="185">IF(AK1066="",AJ1066,CONCATENATE(AJ1066,"  &lt;=&gt; ",AK1066," ",AL1066))</f>
        <v>770 - AW</v>
      </c>
      <c r="AO1066" s="121" t="str">
        <f>IF('Cable Info'!N771="","",CONCATENATE('Cable Info'!N771," - ",'Cable Info'!O771))</f>
        <v>770 - AW</v>
      </c>
      <c r="AR1066" s="121" t="str">
        <f t="shared" ref="AR1066:AR1129" si="186">IF(AP1066="",AO1066,CONCATENATE(AO1066,"  &lt;=&gt; ",AP1066," ",AQ1066))</f>
        <v>770 - AW</v>
      </c>
      <c r="AT1066" s="121" t="str">
        <f>IF('Cable Info'!P771="","",CONCATENATE('Cable Info'!P771," - ",'Cable Info'!Q771))</f>
        <v/>
      </c>
      <c r="AW1066" s="121" t="str">
        <f t="shared" ref="AW1066:AW1129" si="187">IF(AU1066="",AT1066,CONCATENATE(AT1066,"  &lt;=&gt; ",AU1066," ",AV1066))</f>
        <v/>
      </c>
      <c r="AY1066" s="121" t="str">
        <f>IF('Cable Info'!R771="","",CONCATENATE('Cable Info'!R771," - ",'Cable Info'!S771))</f>
        <v/>
      </c>
      <c r="BB1066" s="121" t="str">
        <f t="shared" ref="BB1066:BB1129" si="188">IF(AZ1066="",AY1066,CONCATENATE(AY1066,"  &lt;=&gt; ",AZ1066," ",BA1066))</f>
        <v/>
      </c>
      <c r="BD1066" s="121" t="str">
        <f>IF('Cable Info'!T771="","",CONCATENATE('Cable Info'!T771," - ",'Cable Info'!U771))</f>
        <v/>
      </c>
      <c r="BG1066" s="121" t="str">
        <f t="shared" ref="BG1066:BG1129" si="189">IF(BE1066="",BD1066,CONCATENATE(BD1066,"  &lt;=&gt; ",BE1066," ",BF1066))</f>
        <v/>
      </c>
      <c r="BI1066" s="121" t="str">
        <f>IF('Cable Info'!V771="","",CONCATENATE('Cable Info'!V771," - ",'Cable Info'!W771))</f>
        <v/>
      </c>
      <c r="BL1066" s="121" t="str">
        <f t="shared" ref="BL1066:BL1129" si="190">IF(BJ1066="",BI1066,CONCATENATE(BI1066,"  &lt;=&gt; ",BJ1066," ",BK1066))</f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str">
        <f>IF('Cable Info'!L772="","",CONCATENATE('Cable Info'!L772," - ",'Cable Info'!M772))</f>
        <v>771 - AW</v>
      </c>
      <c r="AM1067" s="121" t="str">
        <f t="shared" si="185"/>
        <v>771 - AW</v>
      </c>
      <c r="AO1067" s="121" t="str">
        <f>IF('Cable Info'!N772="","",CONCATENATE('Cable Info'!N772," - ",'Cable Info'!O772))</f>
        <v>771 - AW</v>
      </c>
      <c r="AR1067" s="121" t="str">
        <f t="shared" si="186"/>
        <v>771 - AW</v>
      </c>
      <c r="AT1067" s="121" t="str">
        <f>IF('Cable Info'!P772="","",CONCATENATE('Cable Info'!P772," - ",'Cable Info'!Q772))</f>
        <v/>
      </c>
      <c r="AW1067" s="121" t="str">
        <f t="shared" si="187"/>
        <v/>
      </c>
      <c r="AY1067" s="121" t="str">
        <f>IF('Cable Info'!R772="","",CONCATENATE('Cable Info'!R772," - ",'Cable Info'!S772))</f>
        <v/>
      </c>
      <c r="BB1067" s="121" t="str">
        <f t="shared" si="188"/>
        <v/>
      </c>
      <c r="BD1067" s="121" t="str">
        <f>IF('Cable Info'!T772="","",CONCATENATE('Cable Info'!T772," - ",'Cable Info'!U772))</f>
        <v/>
      </c>
      <c r="BG1067" s="121" t="str">
        <f t="shared" si="189"/>
        <v/>
      </c>
      <c r="BI1067" s="121" t="str">
        <f>IF('Cable Info'!V772="","",CONCATENATE('Cable Info'!V772," - ",'Cable Info'!W772))</f>
        <v/>
      </c>
      <c r="BL1067" s="121" t="str">
        <f t="shared" si="190"/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str">
        <f>IF('Cable Info'!L773="","",CONCATENATE('Cable Info'!L773," - ",'Cable Info'!M773))</f>
        <v>772 - AW</v>
      </c>
      <c r="AM1068" s="121" t="str">
        <f t="shared" si="185"/>
        <v>772 - AW</v>
      </c>
      <c r="AO1068" s="121" t="str">
        <f>IF('Cable Info'!N773="","",CONCATENATE('Cable Info'!N773," - ",'Cable Info'!O773))</f>
        <v>772 - AW</v>
      </c>
      <c r="AR1068" s="121" t="str">
        <f t="shared" si="186"/>
        <v>772 - AW</v>
      </c>
      <c r="AT1068" s="121" t="str">
        <f>IF('Cable Info'!P773="","",CONCATENATE('Cable Info'!P773," - ",'Cable Info'!Q773))</f>
        <v/>
      </c>
      <c r="AW1068" s="121" t="str">
        <f t="shared" si="187"/>
        <v/>
      </c>
      <c r="AY1068" s="121" t="str">
        <f>IF('Cable Info'!R773="","",CONCATENATE('Cable Info'!R773," - ",'Cable Info'!S773))</f>
        <v/>
      </c>
      <c r="BB1068" s="121" t="str">
        <f t="shared" si="188"/>
        <v/>
      </c>
      <c r="BD1068" s="121" t="str">
        <f>IF('Cable Info'!T773="","",CONCATENATE('Cable Info'!T773," - ",'Cable Info'!U773))</f>
        <v/>
      </c>
      <c r="BG1068" s="121" t="str">
        <f t="shared" si="189"/>
        <v/>
      </c>
      <c r="BI1068" s="121" t="str">
        <f>IF('Cable Info'!V773="","",CONCATENATE('Cable Info'!V773," - ",'Cable Info'!W773))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str">
        <f>IF('Cable Info'!L774="","",CONCATENATE('Cable Info'!L774," - ",'Cable Info'!M774))</f>
        <v>773 - AW</v>
      </c>
      <c r="AM1069" s="121" t="str">
        <f t="shared" si="185"/>
        <v>773 - AW</v>
      </c>
      <c r="AO1069" s="121" t="str">
        <f>IF('Cable Info'!N774="","",CONCATENATE('Cable Info'!N774," - ",'Cable Info'!O774))</f>
        <v>773 - AW</v>
      </c>
      <c r="AR1069" s="121" t="str">
        <f t="shared" si="186"/>
        <v>773 - AW</v>
      </c>
      <c r="AT1069" s="121" t="str">
        <f>IF('Cable Info'!P774="","",CONCATENATE('Cable Info'!P774," - ",'Cable Info'!Q774))</f>
        <v/>
      </c>
      <c r="AW1069" s="121" t="str">
        <f t="shared" si="187"/>
        <v/>
      </c>
      <c r="AY1069" s="121" t="str">
        <f>IF('Cable Info'!R774="","",CONCATENATE('Cable Info'!R774," - ",'Cable Info'!S774))</f>
        <v/>
      </c>
      <c r="BB1069" s="121" t="str">
        <f t="shared" si="188"/>
        <v/>
      </c>
      <c r="BD1069" s="121" t="str">
        <f>IF('Cable Info'!T774="","",CONCATENATE('Cable Info'!T774," - ",'Cable Info'!U774))</f>
        <v/>
      </c>
      <c r="BG1069" s="121" t="str">
        <f t="shared" si="189"/>
        <v/>
      </c>
      <c r="BI1069" s="121" t="str">
        <f>IF('Cable Info'!V774="","",CONCATENATE('Cable Info'!V774," - ",'Cable Info'!W774))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str">
        <f>IF('Cable Info'!L775="","",CONCATENATE('Cable Info'!L775," - ",'Cable Info'!M775))</f>
        <v>774 - AW</v>
      </c>
      <c r="AM1070" s="121" t="str">
        <f t="shared" si="185"/>
        <v>774 - AW</v>
      </c>
      <c r="AO1070" s="121" t="str">
        <f>IF('Cable Info'!N775="","",CONCATENATE('Cable Info'!N775," - ",'Cable Info'!O775))</f>
        <v>774 - AW</v>
      </c>
      <c r="AR1070" s="121" t="str">
        <f t="shared" si="186"/>
        <v>774 - AW</v>
      </c>
      <c r="AT1070" s="121" t="str">
        <f>IF('Cable Info'!P775="","",CONCATENATE('Cable Info'!P775," - ",'Cable Info'!Q775))</f>
        <v/>
      </c>
      <c r="AW1070" s="121" t="str">
        <f t="shared" si="187"/>
        <v/>
      </c>
      <c r="AY1070" s="121" t="str">
        <f>IF('Cable Info'!R775="","",CONCATENATE('Cable Info'!R775," - ",'Cable Info'!S775))</f>
        <v/>
      </c>
      <c r="BB1070" s="121" t="str">
        <f t="shared" si="188"/>
        <v/>
      </c>
      <c r="BD1070" s="121" t="str">
        <f>IF('Cable Info'!T775="","",CONCATENATE('Cable Info'!T775," - ",'Cable Info'!U775))</f>
        <v/>
      </c>
      <c r="BG1070" s="121" t="str">
        <f t="shared" si="189"/>
        <v/>
      </c>
      <c r="BI1070" s="121" t="str">
        <f>IF('Cable Info'!V775="","",CONCATENATE('Cable Info'!V775," - ",'Cable Info'!W775))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str">
        <f>IF('Cable Info'!L776="","",CONCATENATE('Cable Info'!L776," - ",'Cable Info'!M776))</f>
        <v>775 - AW</v>
      </c>
      <c r="AM1071" s="121" t="str">
        <f t="shared" si="185"/>
        <v>775 - AW</v>
      </c>
      <c r="AO1071" s="121" t="str">
        <f>IF('Cable Info'!N776="","",CONCATENATE('Cable Info'!N776," - ",'Cable Info'!O776))</f>
        <v>775 - AW</v>
      </c>
      <c r="AR1071" s="121" t="str">
        <f t="shared" si="186"/>
        <v>775 - AW</v>
      </c>
      <c r="AT1071" s="121" t="str">
        <f>IF('Cable Info'!P776="","",CONCATENATE('Cable Info'!P776," - ",'Cable Info'!Q776))</f>
        <v/>
      </c>
      <c r="AW1071" s="121" t="str">
        <f t="shared" si="187"/>
        <v/>
      </c>
      <c r="AY1071" s="121" t="str">
        <f>IF('Cable Info'!R776="","",CONCATENATE('Cable Info'!R776," - ",'Cable Info'!S776))</f>
        <v/>
      </c>
      <c r="BB1071" s="121" t="str">
        <f t="shared" si="188"/>
        <v/>
      </c>
      <c r="BD1071" s="121" t="str">
        <f>IF('Cable Info'!T776="","",CONCATENATE('Cable Info'!T776," - ",'Cable Info'!U776))</f>
        <v/>
      </c>
      <c r="BG1071" s="121" t="str">
        <f t="shared" si="189"/>
        <v/>
      </c>
      <c r="BI1071" s="121" t="str">
        <f>IF('Cable Info'!V776="","",CONCATENATE('Cable Info'!V776," - ",'Cable Info'!W776))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str">
        <f>IF('Cable Info'!L777="","",CONCATENATE('Cable Info'!L777," - ",'Cable Info'!M777))</f>
        <v>776 - AW</v>
      </c>
      <c r="AM1072" s="121" t="str">
        <f t="shared" si="185"/>
        <v>776 - AW</v>
      </c>
      <c r="AO1072" s="121" t="str">
        <f>IF('Cable Info'!N777="","",CONCATENATE('Cable Info'!N777," - ",'Cable Info'!O777))</f>
        <v>776 - AW</v>
      </c>
      <c r="AR1072" s="121" t="str">
        <f t="shared" si="186"/>
        <v>776 - AW</v>
      </c>
      <c r="AT1072" s="121" t="str">
        <f>IF('Cable Info'!P777="","",CONCATENATE('Cable Info'!P777," - ",'Cable Info'!Q777))</f>
        <v/>
      </c>
      <c r="AW1072" s="121" t="str">
        <f t="shared" si="187"/>
        <v/>
      </c>
      <c r="AY1072" s="121" t="str">
        <f>IF('Cable Info'!R777="","",CONCATENATE('Cable Info'!R777," - ",'Cable Info'!S777))</f>
        <v/>
      </c>
      <c r="BB1072" s="121" t="str">
        <f t="shared" si="188"/>
        <v/>
      </c>
      <c r="BD1072" s="121" t="str">
        <f>IF('Cable Info'!T777="","",CONCATENATE('Cable Info'!T777," - ",'Cable Info'!U777))</f>
        <v/>
      </c>
      <c r="BG1072" s="121" t="str">
        <f t="shared" si="189"/>
        <v/>
      </c>
      <c r="BI1072" s="121" t="str">
        <f>IF('Cable Info'!V777="","",CONCATENATE('Cable Info'!V777," - ",'Cable Info'!W777))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str">
        <f>IF('Cable Info'!L778="","",CONCATENATE('Cable Info'!L778," - ",'Cable Info'!M778))</f>
        <v>777 - AW</v>
      </c>
      <c r="AM1073" s="121" t="str">
        <f t="shared" si="185"/>
        <v>777 - AW</v>
      </c>
      <c r="AO1073" s="121" t="str">
        <f>IF('Cable Info'!N778="","",CONCATENATE('Cable Info'!N778," - ",'Cable Info'!O778))</f>
        <v>777 - AW</v>
      </c>
      <c r="AR1073" s="121" t="str">
        <f t="shared" si="186"/>
        <v>777 - AW</v>
      </c>
      <c r="AT1073" s="121" t="str">
        <f>IF('Cable Info'!P778="","",CONCATENATE('Cable Info'!P778," - ",'Cable Info'!Q778))</f>
        <v/>
      </c>
      <c r="AW1073" s="121" t="str">
        <f t="shared" si="187"/>
        <v/>
      </c>
      <c r="AY1073" s="121" t="str">
        <f>IF('Cable Info'!R778="","",CONCATENATE('Cable Info'!R778," - ",'Cable Info'!S778))</f>
        <v/>
      </c>
      <c r="BB1073" s="121" t="str">
        <f t="shared" si="188"/>
        <v/>
      </c>
      <c r="BD1073" s="121" t="str">
        <f>IF('Cable Info'!T778="","",CONCATENATE('Cable Info'!T778," - ",'Cable Info'!U778))</f>
        <v/>
      </c>
      <c r="BG1073" s="121" t="str">
        <f t="shared" si="189"/>
        <v/>
      </c>
      <c r="BI1073" s="121" t="str">
        <f>IF('Cable Info'!V778="","",CONCATENATE('Cable Info'!V778," - ",'Cable Info'!W778))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str">
        <f>IF('Cable Info'!L779="","",CONCATENATE('Cable Info'!L779," - ",'Cable Info'!M779))</f>
        <v>778 - AW</v>
      </c>
      <c r="AM1074" s="121" t="str">
        <f t="shared" si="185"/>
        <v>778 - AW</v>
      </c>
      <c r="AO1074" s="121" t="str">
        <f>IF('Cable Info'!N779="","",CONCATENATE('Cable Info'!N779," - ",'Cable Info'!O779))</f>
        <v>778 - AW</v>
      </c>
      <c r="AR1074" s="121" t="str">
        <f t="shared" si="186"/>
        <v>778 - AW</v>
      </c>
      <c r="AT1074" s="121" t="str">
        <f>IF('Cable Info'!P779="","",CONCATENATE('Cable Info'!P779," - ",'Cable Info'!Q779))</f>
        <v/>
      </c>
      <c r="AW1074" s="121" t="str">
        <f t="shared" si="187"/>
        <v/>
      </c>
      <c r="AY1074" s="121" t="str">
        <f>IF('Cable Info'!R779="","",CONCATENATE('Cable Info'!R779," - ",'Cable Info'!S779))</f>
        <v/>
      </c>
      <c r="BB1074" s="121" t="str">
        <f t="shared" si="188"/>
        <v/>
      </c>
      <c r="BD1074" s="121" t="str">
        <f>IF('Cable Info'!T779="","",CONCATENATE('Cable Info'!T779," - ",'Cable Info'!U779))</f>
        <v/>
      </c>
      <c r="BG1074" s="121" t="str">
        <f t="shared" si="189"/>
        <v/>
      </c>
      <c r="BI1074" s="121" t="str">
        <f>IF('Cable Info'!V779="","",CONCATENATE('Cable Info'!V779," - ",'Cable Info'!W779))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str">
        <f>IF('Cable Info'!L780="","",CONCATENATE('Cable Info'!L780," - ",'Cable Info'!M780))</f>
        <v>779 - AW</v>
      </c>
      <c r="AM1075" s="121" t="str">
        <f t="shared" si="185"/>
        <v>779 - AW</v>
      </c>
      <c r="AO1075" s="121" t="str">
        <f>IF('Cable Info'!N780="","",CONCATENATE('Cable Info'!N780," - ",'Cable Info'!O780))</f>
        <v>779 - AW</v>
      </c>
      <c r="AR1075" s="121" t="str">
        <f t="shared" si="186"/>
        <v>779 - AW</v>
      </c>
      <c r="AT1075" s="121" t="str">
        <f>IF('Cable Info'!P780="","",CONCATENATE('Cable Info'!P780," - ",'Cable Info'!Q780))</f>
        <v/>
      </c>
      <c r="AW1075" s="121" t="str">
        <f t="shared" si="187"/>
        <v/>
      </c>
      <c r="AY1075" s="121" t="str">
        <f>IF('Cable Info'!R780="","",CONCATENATE('Cable Info'!R780," - ",'Cable Info'!S780))</f>
        <v/>
      </c>
      <c r="BB1075" s="121" t="str">
        <f t="shared" si="188"/>
        <v/>
      </c>
      <c r="BD1075" s="121" t="str">
        <f>IF('Cable Info'!T780="","",CONCATENATE('Cable Info'!T780," - ",'Cable Info'!U780))</f>
        <v/>
      </c>
      <c r="BG1075" s="121" t="str">
        <f t="shared" si="189"/>
        <v/>
      </c>
      <c r="BI1075" s="121" t="str">
        <f>IF('Cable Info'!V780="","",CONCATENATE('Cable Info'!V780," - ",'Cable Info'!W780))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str">
        <f>IF('Cable Info'!L781="","",CONCATENATE('Cable Info'!L781," - ",'Cable Info'!M781))</f>
        <v>780 - AW</v>
      </c>
      <c r="AM1076" s="121" t="str">
        <f t="shared" si="185"/>
        <v>780 - AW</v>
      </c>
      <c r="AO1076" s="121" t="str">
        <f>IF('Cable Info'!N781="","",CONCATENATE('Cable Info'!N781," - ",'Cable Info'!O781))</f>
        <v>780 - AW</v>
      </c>
      <c r="AR1076" s="121" t="str">
        <f t="shared" si="186"/>
        <v>780 - AW</v>
      </c>
      <c r="AT1076" s="121" t="str">
        <f>IF('Cable Info'!P781="","",CONCATENATE('Cable Info'!P781," - ",'Cable Info'!Q781))</f>
        <v/>
      </c>
      <c r="AW1076" s="121" t="str">
        <f t="shared" si="187"/>
        <v/>
      </c>
      <c r="AY1076" s="121" t="str">
        <f>IF('Cable Info'!R781="","",CONCATENATE('Cable Info'!R781," - ",'Cable Info'!S781))</f>
        <v/>
      </c>
      <c r="BB1076" s="121" t="str">
        <f t="shared" si="188"/>
        <v/>
      </c>
      <c r="BD1076" s="121" t="str">
        <f>IF('Cable Info'!T781="","",CONCATENATE('Cable Info'!T781," - ",'Cable Info'!U781))</f>
        <v/>
      </c>
      <c r="BG1076" s="121" t="str">
        <f t="shared" si="189"/>
        <v/>
      </c>
      <c r="BI1076" s="121" t="str">
        <f>IF('Cable Info'!V781="","",CONCATENATE('Cable Info'!V781," - ",'Cable Info'!W781))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str">
        <f>IF('Cable Info'!L782="","",CONCATENATE('Cable Info'!L782," - ",'Cable Info'!M782))</f>
        <v>781 - AW</v>
      </c>
      <c r="AM1077" s="121" t="str">
        <f t="shared" si="185"/>
        <v>781 - AW</v>
      </c>
      <c r="AO1077" s="121" t="str">
        <f>IF('Cable Info'!N782="","",CONCATENATE('Cable Info'!N782," - ",'Cable Info'!O782))</f>
        <v>781 - AW</v>
      </c>
      <c r="AR1077" s="121" t="str">
        <f t="shared" si="186"/>
        <v>781 - AW</v>
      </c>
      <c r="AT1077" s="121" t="str">
        <f>IF('Cable Info'!P782="","",CONCATENATE('Cable Info'!P782," - ",'Cable Info'!Q782))</f>
        <v/>
      </c>
      <c r="AW1077" s="121" t="str">
        <f t="shared" si="187"/>
        <v/>
      </c>
      <c r="AY1077" s="121" t="str">
        <f>IF('Cable Info'!R782="","",CONCATENATE('Cable Info'!R782," - ",'Cable Info'!S782))</f>
        <v/>
      </c>
      <c r="BB1077" s="121" t="str">
        <f t="shared" si="188"/>
        <v/>
      </c>
      <c r="BD1077" s="121" t="str">
        <f>IF('Cable Info'!T782="","",CONCATENATE('Cable Info'!T782," - ",'Cable Info'!U782))</f>
        <v/>
      </c>
      <c r="BG1077" s="121" t="str">
        <f t="shared" si="189"/>
        <v/>
      </c>
      <c r="BI1077" s="121" t="str">
        <f>IF('Cable Info'!V782="","",CONCATENATE('Cable Info'!V782," - ",'Cable Info'!W782))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str">
        <f>IF('Cable Info'!L783="","",CONCATENATE('Cable Info'!L783," - ",'Cable Info'!M783))</f>
        <v>782 - AW</v>
      </c>
      <c r="AM1078" s="121" t="str">
        <f t="shared" si="185"/>
        <v>782 - AW</v>
      </c>
      <c r="AO1078" s="121" t="str">
        <f>IF('Cable Info'!N783="","",CONCATENATE('Cable Info'!N783," - ",'Cable Info'!O783))</f>
        <v>782 - AW</v>
      </c>
      <c r="AR1078" s="121" t="str">
        <f t="shared" si="186"/>
        <v>782 - AW</v>
      </c>
      <c r="AT1078" s="121" t="str">
        <f>IF('Cable Info'!P783="","",CONCATENATE('Cable Info'!P783," - ",'Cable Info'!Q783))</f>
        <v/>
      </c>
      <c r="AW1078" s="121" t="str">
        <f t="shared" si="187"/>
        <v/>
      </c>
      <c r="AY1078" s="121" t="str">
        <f>IF('Cable Info'!R783="","",CONCATENATE('Cable Info'!R783," - ",'Cable Info'!S783))</f>
        <v/>
      </c>
      <c r="BB1078" s="121" t="str">
        <f t="shared" si="188"/>
        <v/>
      </c>
      <c r="BD1078" s="121" t="str">
        <f>IF('Cable Info'!T783="","",CONCATENATE('Cable Info'!T783," - ",'Cable Info'!U783))</f>
        <v/>
      </c>
      <c r="BG1078" s="121" t="str">
        <f t="shared" si="189"/>
        <v/>
      </c>
      <c r="BI1078" s="121" t="str">
        <f>IF('Cable Info'!V783="","",CONCATENATE('Cable Info'!V783," - ",'Cable Info'!W783))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str">
        <f>IF('Cable Info'!L784="","",CONCATENATE('Cable Info'!L784," - ",'Cable Info'!M784))</f>
        <v>783 - AW</v>
      </c>
      <c r="AM1079" s="121" t="str">
        <f t="shared" si="185"/>
        <v>783 - AW</v>
      </c>
      <c r="AO1079" s="121" t="str">
        <f>IF('Cable Info'!N784="","",CONCATENATE('Cable Info'!N784," - ",'Cable Info'!O784))</f>
        <v>783 - AW</v>
      </c>
      <c r="AR1079" s="121" t="str">
        <f t="shared" si="186"/>
        <v>783 - AW</v>
      </c>
      <c r="AT1079" s="121" t="str">
        <f>IF('Cable Info'!P784="","",CONCATENATE('Cable Info'!P784," - ",'Cable Info'!Q784))</f>
        <v/>
      </c>
      <c r="AW1079" s="121" t="str">
        <f t="shared" si="187"/>
        <v/>
      </c>
      <c r="AY1079" s="121" t="str">
        <f>IF('Cable Info'!R784="","",CONCATENATE('Cable Info'!R784," - ",'Cable Info'!S784))</f>
        <v/>
      </c>
      <c r="BB1079" s="121" t="str">
        <f t="shared" si="188"/>
        <v/>
      </c>
      <c r="BD1079" s="121" t="str">
        <f>IF('Cable Info'!T784="","",CONCATENATE('Cable Info'!T784," - ",'Cable Info'!U784))</f>
        <v/>
      </c>
      <c r="BG1079" s="121" t="str">
        <f t="shared" si="189"/>
        <v/>
      </c>
      <c r="BI1079" s="121" t="str">
        <f>IF('Cable Info'!V784="","",CONCATENATE('Cable Info'!V784," - ",'Cable Info'!W784))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str">
        <f>IF('Cable Info'!L785="","",CONCATENATE('Cable Info'!L785," - ",'Cable Info'!M785))</f>
        <v>784 - AW</v>
      </c>
      <c r="AM1080" s="121" t="str">
        <f t="shared" si="185"/>
        <v>784 - AW</v>
      </c>
      <c r="AO1080" s="121" t="str">
        <f>IF('Cable Info'!N785="","",CONCATENATE('Cable Info'!N785," - ",'Cable Info'!O785))</f>
        <v>784 - AW</v>
      </c>
      <c r="AR1080" s="121" t="str">
        <f t="shared" si="186"/>
        <v>784 - AW</v>
      </c>
      <c r="AT1080" s="121" t="str">
        <f>IF('Cable Info'!P785="","",CONCATENATE('Cable Info'!P785," - ",'Cable Info'!Q785))</f>
        <v/>
      </c>
      <c r="AW1080" s="121" t="str">
        <f t="shared" si="187"/>
        <v/>
      </c>
      <c r="AY1080" s="121" t="str">
        <f>IF('Cable Info'!R785="","",CONCATENATE('Cable Info'!R785," - ",'Cable Info'!S785))</f>
        <v/>
      </c>
      <c r="BB1080" s="121" t="str">
        <f t="shared" si="188"/>
        <v/>
      </c>
      <c r="BD1080" s="121" t="str">
        <f>IF('Cable Info'!T785="","",CONCATENATE('Cable Info'!T785," - ",'Cable Info'!U785))</f>
        <v/>
      </c>
      <c r="BG1080" s="121" t="str">
        <f t="shared" si="189"/>
        <v/>
      </c>
      <c r="BI1080" s="121" t="str">
        <f>IF('Cable Info'!V785="","",CONCATENATE('Cable Info'!V785," - ",'Cable Info'!W785))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str">
        <f>IF('Cable Info'!L786="","",CONCATENATE('Cable Info'!L786," - ",'Cable Info'!M786))</f>
        <v>785 - AW</v>
      </c>
      <c r="AM1081" s="121" t="str">
        <f t="shared" si="185"/>
        <v>785 - AW</v>
      </c>
      <c r="AO1081" s="121" t="str">
        <f>IF('Cable Info'!N786="","",CONCATENATE('Cable Info'!N786," - ",'Cable Info'!O786))</f>
        <v>785 - AW</v>
      </c>
      <c r="AR1081" s="121" t="str">
        <f t="shared" si="186"/>
        <v>785 - AW</v>
      </c>
      <c r="AT1081" s="121" t="str">
        <f>IF('Cable Info'!P786="","",CONCATENATE('Cable Info'!P786," - ",'Cable Info'!Q786))</f>
        <v/>
      </c>
      <c r="AW1081" s="121" t="str">
        <f t="shared" si="187"/>
        <v/>
      </c>
      <c r="AY1081" s="121" t="str">
        <f>IF('Cable Info'!R786="","",CONCATENATE('Cable Info'!R786," - ",'Cable Info'!S786))</f>
        <v/>
      </c>
      <c r="BB1081" s="121" t="str">
        <f t="shared" si="188"/>
        <v/>
      </c>
      <c r="BD1081" s="121" t="str">
        <f>IF('Cable Info'!T786="","",CONCATENATE('Cable Info'!T786," - ",'Cable Info'!U786))</f>
        <v/>
      </c>
      <c r="BG1081" s="121" t="str">
        <f t="shared" si="189"/>
        <v/>
      </c>
      <c r="BI1081" s="121" t="str">
        <f>IF('Cable Info'!V786="","",CONCATENATE('Cable Info'!V786," - ",'Cable Info'!W786))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str">
        <f>IF('Cable Info'!L787="","",CONCATENATE('Cable Info'!L787," - ",'Cable Info'!M787))</f>
        <v>786 - AW</v>
      </c>
      <c r="AM1082" s="121" t="str">
        <f t="shared" si="185"/>
        <v>786 - AW</v>
      </c>
      <c r="AO1082" s="121" t="str">
        <f>IF('Cable Info'!N787="","",CONCATENATE('Cable Info'!N787," - ",'Cable Info'!O787))</f>
        <v>786 - AW</v>
      </c>
      <c r="AR1082" s="121" t="str">
        <f t="shared" si="186"/>
        <v>786 - AW</v>
      </c>
      <c r="AT1082" s="121" t="str">
        <f>IF('Cable Info'!P787="","",CONCATENATE('Cable Info'!P787," - ",'Cable Info'!Q787))</f>
        <v/>
      </c>
      <c r="AW1082" s="121" t="str">
        <f t="shared" si="187"/>
        <v/>
      </c>
      <c r="AY1082" s="121" t="str">
        <f>IF('Cable Info'!R787="","",CONCATENATE('Cable Info'!R787," - ",'Cable Info'!S787))</f>
        <v/>
      </c>
      <c r="BB1082" s="121" t="str">
        <f t="shared" si="188"/>
        <v/>
      </c>
      <c r="BD1082" s="121" t="str">
        <f>IF('Cable Info'!T787="","",CONCATENATE('Cable Info'!T787," - ",'Cable Info'!U787))</f>
        <v/>
      </c>
      <c r="BG1082" s="121" t="str">
        <f t="shared" si="189"/>
        <v/>
      </c>
      <c r="BI1082" s="121" t="str">
        <f>IF('Cable Info'!V787="","",CONCATENATE('Cable Info'!V787," - ",'Cable Info'!W787))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str">
        <f>IF('Cable Info'!L788="","",CONCATENATE('Cable Info'!L788," - ",'Cable Info'!M788))</f>
        <v>787 - AW</v>
      </c>
      <c r="AM1083" s="121" t="str">
        <f t="shared" si="185"/>
        <v>787 - AW</v>
      </c>
      <c r="AO1083" s="121" t="str">
        <f>IF('Cable Info'!N788="","",CONCATENATE('Cable Info'!N788," - ",'Cable Info'!O788))</f>
        <v>787 - AW</v>
      </c>
      <c r="AR1083" s="121" t="str">
        <f t="shared" si="186"/>
        <v>787 - AW</v>
      </c>
      <c r="AT1083" s="121" t="str">
        <f>IF('Cable Info'!P788="","",CONCATENATE('Cable Info'!P788," - ",'Cable Info'!Q788))</f>
        <v/>
      </c>
      <c r="AW1083" s="121" t="str">
        <f t="shared" si="187"/>
        <v/>
      </c>
      <c r="AY1083" s="121" t="str">
        <f>IF('Cable Info'!R788="","",CONCATENATE('Cable Info'!R788," - ",'Cable Info'!S788))</f>
        <v/>
      </c>
      <c r="BB1083" s="121" t="str">
        <f t="shared" si="188"/>
        <v/>
      </c>
      <c r="BD1083" s="121" t="str">
        <f>IF('Cable Info'!T788="","",CONCATENATE('Cable Info'!T788," - ",'Cable Info'!U788))</f>
        <v/>
      </c>
      <c r="BG1083" s="121" t="str">
        <f t="shared" si="189"/>
        <v/>
      </c>
      <c r="BI1083" s="121" t="str">
        <f>IF('Cable Info'!V788="","",CONCATENATE('Cable Info'!V788," - ",'Cable Info'!W788))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str">
        <f>IF('Cable Info'!L789="","",CONCATENATE('Cable Info'!L789," - ",'Cable Info'!M789))</f>
        <v>788 - AW</v>
      </c>
      <c r="AM1084" s="121" t="str">
        <f t="shared" si="185"/>
        <v>788 - AW</v>
      </c>
      <c r="AO1084" s="121" t="str">
        <f>IF('Cable Info'!N789="","",CONCATENATE('Cable Info'!N789," - ",'Cable Info'!O789))</f>
        <v>788 - AW</v>
      </c>
      <c r="AR1084" s="121" t="str">
        <f t="shared" si="186"/>
        <v>788 - AW</v>
      </c>
      <c r="AT1084" s="121" t="str">
        <f>IF('Cable Info'!P789="","",CONCATENATE('Cable Info'!P789," - ",'Cable Info'!Q789))</f>
        <v/>
      </c>
      <c r="AW1084" s="121" t="str">
        <f t="shared" si="187"/>
        <v/>
      </c>
      <c r="AY1084" s="121" t="str">
        <f>IF('Cable Info'!R789="","",CONCATENATE('Cable Info'!R789," - ",'Cable Info'!S789))</f>
        <v/>
      </c>
      <c r="BB1084" s="121" t="str">
        <f t="shared" si="188"/>
        <v/>
      </c>
      <c r="BD1084" s="121" t="str">
        <f>IF('Cable Info'!T789="","",CONCATENATE('Cable Info'!T789," - ",'Cable Info'!U789))</f>
        <v/>
      </c>
      <c r="BG1084" s="121" t="str">
        <f t="shared" si="189"/>
        <v/>
      </c>
      <c r="BI1084" s="121" t="str">
        <f>IF('Cable Info'!V789="","",CONCATENATE('Cable Info'!V789," - ",'Cable Info'!W789))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str">
        <f>IF('Cable Info'!L790="","",CONCATENATE('Cable Info'!L790," - ",'Cable Info'!M790))</f>
        <v>789 - AW</v>
      </c>
      <c r="AM1085" s="121" t="str">
        <f t="shared" si="185"/>
        <v>789 - AW</v>
      </c>
      <c r="AO1085" s="121" t="str">
        <f>IF('Cable Info'!N790="","",CONCATENATE('Cable Info'!N790," - ",'Cable Info'!O790))</f>
        <v>789 - AW</v>
      </c>
      <c r="AR1085" s="121" t="str">
        <f t="shared" si="186"/>
        <v>789 - AW</v>
      </c>
      <c r="AT1085" s="121" t="str">
        <f>IF('Cable Info'!P790="","",CONCATENATE('Cable Info'!P790," - ",'Cable Info'!Q790))</f>
        <v/>
      </c>
      <c r="AW1085" s="121" t="str">
        <f t="shared" si="187"/>
        <v/>
      </c>
      <c r="AY1085" s="121" t="str">
        <f>IF('Cable Info'!R790="","",CONCATENATE('Cable Info'!R790," - ",'Cable Info'!S790))</f>
        <v/>
      </c>
      <c r="BB1085" s="121" t="str">
        <f t="shared" si="188"/>
        <v/>
      </c>
      <c r="BD1085" s="121" t="str">
        <f>IF('Cable Info'!T790="","",CONCATENATE('Cable Info'!T790," - ",'Cable Info'!U790))</f>
        <v/>
      </c>
      <c r="BG1085" s="121" t="str">
        <f t="shared" si="189"/>
        <v/>
      </c>
      <c r="BI1085" s="121" t="str">
        <f>IF('Cable Info'!V790="","",CONCATENATE('Cable Info'!V790," - ",'Cable Info'!W790))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str">
        <f>IF('Cable Info'!L791="","",CONCATENATE('Cable Info'!L791," - ",'Cable Info'!M791))</f>
        <v>790 - AW</v>
      </c>
      <c r="AM1086" s="121" t="str">
        <f t="shared" si="185"/>
        <v>790 - AW</v>
      </c>
      <c r="AO1086" s="121" t="str">
        <f>IF('Cable Info'!N791="","",CONCATENATE('Cable Info'!N791," - ",'Cable Info'!O791))</f>
        <v>790 - AW</v>
      </c>
      <c r="AR1086" s="121" t="str">
        <f t="shared" si="186"/>
        <v>790 - AW</v>
      </c>
      <c r="AT1086" s="121" t="str">
        <f>IF('Cable Info'!P791="","",CONCATENATE('Cable Info'!P791," - ",'Cable Info'!Q791))</f>
        <v/>
      </c>
      <c r="AW1086" s="121" t="str">
        <f t="shared" si="187"/>
        <v/>
      </c>
      <c r="AY1086" s="121" t="str">
        <f>IF('Cable Info'!R791="","",CONCATENATE('Cable Info'!R791," - ",'Cable Info'!S791))</f>
        <v/>
      </c>
      <c r="BB1086" s="121" t="str">
        <f t="shared" si="188"/>
        <v/>
      </c>
      <c r="BD1086" s="121" t="str">
        <f>IF('Cable Info'!T791="","",CONCATENATE('Cable Info'!T791," - ",'Cable Info'!U791))</f>
        <v/>
      </c>
      <c r="BG1086" s="121" t="str">
        <f t="shared" si="189"/>
        <v/>
      </c>
      <c r="BI1086" s="121" t="str">
        <f>IF('Cable Info'!V791="","",CONCATENATE('Cable Info'!V791," - ",'Cable Info'!W791))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str">
        <f>IF('Cable Info'!L792="","",CONCATENATE('Cable Info'!L792," - ",'Cable Info'!M792))</f>
        <v>791 - AW</v>
      </c>
      <c r="AM1087" s="121" t="str">
        <f t="shared" si="185"/>
        <v>791 - AW</v>
      </c>
      <c r="AO1087" s="121" t="str">
        <f>IF('Cable Info'!N792="","",CONCATENATE('Cable Info'!N792," - ",'Cable Info'!O792))</f>
        <v>791 - AW</v>
      </c>
      <c r="AR1087" s="121" t="str">
        <f t="shared" si="186"/>
        <v>791 - AW</v>
      </c>
      <c r="AT1087" s="121" t="str">
        <f>IF('Cable Info'!P792="","",CONCATENATE('Cable Info'!P792," - ",'Cable Info'!Q792))</f>
        <v/>
      </c>
      <c r="AW1087" s="121" t="str">
        <f t="shared" si="187"/>
        <v/>
      </c>
      <c r="AY1087" s="121" t="str">
        <f>IF('Cable Info'!R792="","",CONCATENATE('Cable Info'!R792," - ",'Cable Info'!S792))</f>
        <v/>
      </c>
      <c r="BB1087" s="121" t="str">
        <f t="shared" si="188"/>
        <v/>
      </c>
      <c r="BD1087" s="121" t="str">
        <f>IF('Cable Info'!T792="","",CONCATENATE('Cable Info'!T792," - ",'Cable Info'!U792))</f>
        <v/>
      </c>
      <c r="BG1087" s="121" t="str">
        <f t="shared" si="189"/>
        <v/>
      </c>
      <c r="BI1087" s="121" t="str">
        <f>IF('Cable Info'!V792="","",CONCATENATE('Cable Info'!V792," - ",'Cable Info'!W792))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str">
        <f>IF('Cable Info'!L793="","",CONCATENATE('Cable Info'!L793," - ",'Cable Info'!M793))</f>
        <v>792 - AW</v>
      </c>
      <c r="AM1088" s="121" t="str">
        <f t="shared" si="185"/>
        <v>792 - AW</v>
      </c>
      <c r="AO1088" s="121" t="str">
        <f>IF('Cable Info'!N793="","",CONCATENATE('Cable Info'!N793," - ",'Cable Info'!O793))</f>
        <v>792 - AW</v>
      </c>
      <c r="AR1088" s="121" t="str">
        <f t="shared" si="186"/>
        <v>792 - AW</v>
      </c>
      <c r="AT1088" s="121" t="str">
        <f>IF('Cable Info'!P793="","",CONCATENATE('Cable Info'!P793," - ",'Cable Info'!Q793))</f>
        <v/>
      </c>
      <c r="AW1088" s="121" t="str">
        <f t="shared" si="187"/>
        <v/>
      </c>
      <c r="AY1088" s="121" t="str">
        <f>IF('Cable Info'!R793="","",CONCATENATE('Cable Info'!R793," - ",'Cable Info'!S793))</f>
        <v/>
      </c>
      <c r="BB1088" s="121" t="str">
        <f t="shared" si="188"/>
        <v/>
      </c>
      <c r="BD1088" s="121" t="str">
        <f>IF('Cable Info'!T793="","",CONCATENATE('Cable Info'!T793," - ",'Cable Info'!U793))</f>
        <v/>
      </c>
      <c r="BG1088" s="121" t="str">
        <f t="shared" si="189"/>
        <v/>
      </c>
      <c r="BI1088" s="121" t="str">
        <f>IF('Cable Info'!V793="","",CONCATENATE('Cable Info'!V793," - ",'Cable Info'!W793))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str">
        <f>IF('Cable Info'!L794="","",CONCATENATE('Cable Info'!L794," - ",'Cable Info'!M794))</f>
        <v>793 - AW</v>
      </c>
      <c r="AM1089" s="121" t="str">
        <f t="shared" si="185"/>
        <v>793 - AW</v>
      </c>
      <c r="AO1089" s="121" t="str">
        <f>IF('Cable Info'!N794="","",CONCATENATE('Cable Info'!N794," - ",'Cable Info'!O794))</f>
        <v>793 - AW</v>
      </c>
      <c r="AR1089" s="121" t="str">
        <f t="shared" si="186"/>
        <v>793 - AW</v>
      </c>
      <c r="AT1089" s="121" t="str">
        <f>IF('Cable Info'!P794="","",CONCATENATE('Cable Info'!P794," - ",'Cable Info'!Q794))</f>
        <v/>
      </c>
      <c r="AW1089" s="121" t="str">
        <f t="shared" si="187"/>
        <v/>
      </c>
      <c r="AY1089" s="121" t="str">
        <f>IF('Cable Info'!R794="","",CONCATENATE('Cable Info'!R794," - ",'Cable Info'!S794))</f>
        <v/>
      </c>
      <c r="BB1089" s="121" t="str">
        <f t="shared" si="188"/>
        <v/>
      </c>
      <c r="BD1089" s="121" t="str">
        <f>IF('Cable Info'!T794="","",CONCATENATE('Cable Info'!T794," - ",'Cable Info'!U794))</f>
        <v/>
      </c>
      <c r="BG1089" s="121" t="str">
        <f t="shared" si="189"/>
        <v/>
      </c>
      <c r="BI1089" s="121" t="str">
        <f>IF('Cable Info'!V794="","",CONCATENATE('Cable Info'!V794," - ",'Cable Info'!W794))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str">
        <f>IF('Cable Info'!L795="","",CONCATENATE('Cable Info'!L795," - ",'Cable Info'!M795))</f>
        <v>794 - AW</v>
      </c>
      <c r="AM1090" s="121" t="str">
        <f t="shared" si="185"/>
        <v>794 - AW</v>
      </c>
      <c r="AO1090" s="121" t="str">
        <f>IF('Cable Info'!N795="","",CONCATENATE('Cable Info'!N795," - ",'Cable Info'!O795))</f>
        <v>794 - AW</v>
      </c>
      <c r="AR1090" s="121" t="str">
        <f t="shared" si="186"/>
        <v>794 - AW</v>
      </c>
      <c r="AT1090" s="121" t="str">
        <f>IF('Cable Info'!P795="","",CONCATENATE('Cable Info'!P795," - ",'Cable Info'!Q795))</f>
        <v/>
      </c>
      <c r="AW1090" s="121" t="str">
        <f t="shared" si="187"/>
        <v/>
      </c>
      <c r="AY1090" s="121" t="str">
        <f>IF('Cable Info'!R795="","",CONCATENATE('Cable Info'!R795," - ",'Cable Info'!S795))</f>
        <v/>
      </c>
      <c r="BB1090" s="121" t="str">
        <f t="shared" si="188"/>
        <v/>
      </c>
      <c r="BD1090" s="121" t="str">
        <f>IF('Cable Info'!T795="","",CONCATENATE('Cable Info'!T795," - ",'Cable Info'!U795))</f>
        <v/>
      </c>
      <c r="BG1090" s="121" t="str">
        <f t="shared" si="189"/>
        <v/>
      </c>
      <c r="BI1090" s="121" t="str">
        <f>IF('Cable Info'!V795="","",CONCATENATE('Cable Info'!V795," - ",'Cable Info'!W795))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str">
        <f>IF('Cable Info'!L796="","",CONCATENATE('Cable Info'!L796," - ",'Cable Info'!M796))</f>
        <v>795 - AW</v>
      </c>
      <c r="AM1091" s="121" t="str">
        <f t="shared" si="185"/>
        <v>795 - AW</v>
      </c>
      <c r="AO1091" s="121" t="str">
        <f>IF('Cable Info'!N796="","",CONCATENATE('Cable Info'!N796," - ",'Cable Info'!O796))</f>
        <v>795 - AW</v>
      </c>
      <c r="AR1091" s="121" t="str">
        <f t="shared" si="186"/>
        <v>795 - AW</v>
      </c>
      <c r="AT1091" s="121" t="str">
        <f>IF('Cable Info'!P796="","",CONCATENATE('Cable Info'!P796," - ",'Cable Info'!Q796))</f>
        <v/>
      </c>
      <c r="AW1091" s="121" t="str">
        <f t="shared" si="187"/>
        <v/>
      </c>
      <c r="AY1091" s="121" t="str">
        <f>IF('Cable Info'!R796="","",CONCATENATE('Cable Info'!R796," - ",'Cable Info'!S796))</f>
        <v/>
      </c>
      <c r="BB1091" s="121" t="str">
        <f t="shared" si="188"/>
        <v/>
      </c>
      <c r="BD1091" s="121" t="str">
        <f>IF('Cable Info'!T796="","",CONCATENATE('Cable Info'!T796," - ",'Cable Info'!U796))</f>
        <v/>
      </c>
      <c r="BG1091" s="121" t="str">
        <f t="shared" si="189"/>
        <v/>
      </c>
      <c r="BI1091" s="121" t="str">
        <f>IF('Cable Info'!V796="","",CONCATENATE('Cable Info'!V796," - ",'Cable Info'!W796))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str">
        <f>IF('Cable Info'!L797="","",CONCATENATE('Cable Info'!L797," - ",'Cable Info'!M797))</f>
        <v>796 - AW</v>
      </c>
      <c r="AM1092" s="121" t="str">
        <f t="shared" si="185"/>
        <v>796 - AW</v>
      </c>
      <c r="AO1092" s="121" t="str">
        <f>IF('Cable Info'!N797="","",CONCATENATE('Cable Info'!N797," - ",'Cable Info'!O797))</f>
        <v>796 - AW</v>
      </c>
      <c r="AR1092" s="121" t="str">
        <f t="shared" si="186"/>
        <v>796 - AW</v>
      </c>
      <c r="AT1092" s="121" t="str">
        <f>IF('Cable Info'!P797="","",CONCATENATE('Cable Info'!P797," - ",'Cable Info'!Q797))</f>
        <v/>
      </c>
      <c r="AW1092" s="121" t="str">
        <f t="shared" si="187"/>
        <v/>
      </c>
      <c r="AY1092" s="121" t="str">
        <f>IF('Cable Info'!R797="","",CONCATENATE('Cable Info'!R797," - ",'Cable Info'!S797))</f>
        <v/>
      </c>
      <c r="BB1092" s="121" t="str">
        <f t="shared" si="188"/>
        <v/>
      </c>
      <c r="BD1092" s="121" t="str">
        <f>IF('Cable Info'!T797="","",CONCATENATE('Cable Info'!T797," - ",'Cable Info'!U797))</f>
        <v/>
      </c>
      <c r="BG1092" s="121" t="str">
        <f t="shared" si="189"/>
        <v/>
      </c>
      <c r="BI1092" s="121" t="str">
        <f>IF('Cable Info'!V797="","",CONCATENATE('Cable Info'!V797," - ",'Cable Info'!W797))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str">
        <f>IF('Cable Info'!L798="","",CONCATENATE('Cable Info'!L798," - ",'Cable Info'!M798))</f>
        <v>797 - AW</v>
      </c>
      <c r="AM1093" s="121" t="str">
        <f t="shared" si="185"/>
        <v>797 - AW</v>
      </c>
      <c r="AO1093" s="121" t="str">
        <f>IF('Cable Info'!N798="","",CONCATENATE('Cable Info'!N798," - ",'Cable Info'!O798))</f>
        <v>797 - AW</v>
      </c>
      <c r="AR1093" s="121" t="str">
        <f t="shared" si="186"/>
        <v>797 - AW</v>
      </c>
      <c r="AT1093" s="121" t="str">
        <f>IF('Cable Info'!P798="","",CONCATENATE('Cable Info'!P798," - ",'Cable Info'!Q798))</f>
        <v/>
      </c>
      <c r="AW1093" s="121" t="str">
        <f t="shared" si="187"/>
        <v/>
      </c>
      <c r="AY1093" s="121" t="str">
        <f>IF('Cable Info'!R798="","",CONCATENATE('Cable Info'!R798," - ",'Cable Info'!S798))</f>
        <v/>
      </c>
      <c r="BB1093" s="121" t="str">
        <f t="shared" si="188"/>
        <v/>
      </c>
      <c r="BD1093" s="121" t="str">
        <f>IF('Cable Info'!T798="","",CONCATENATE('Cable Info'!T798," - ",'Cable Info'!U798))</f>
        <v/>
      </c>
      <c r="BG1093" s="121" t="str">
        <f t="shared" si="189"/>
        <v/>
      </c>
      <c r="BI1093" s="121" t="str">
        <f>IF('Cable Info'!V798="","",CONCATENATE('Cable Info'!V798," - ",'Cable Info'!W798))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str">
        <f>IF('Cable Info'!L799="","",CONCATENATE('Cable Info'!L799," - ",'Cable Info'!M799))</f>
        <v>798 - AW</v>
      </c>
      <c r="AM1094" s="121" t="str">
        <f t="shared" si="185"/>
        <v>798 - AW</v>
      </c>
      <c r="AO1094" s="121" t="str">
        <f>IF('Cable Info'!N799="","",CONCATENATE('Cable Info'!N799," - ",'Cable Info'!O799))</f>
        <v>798 - AW</v>
      </c>
      <c r="AR1094" s="121" t="str">
        <f t="shared" si="186"/>
        <v>798 - AW</v>
      </c>
      <c r="AT1094" s="121" t="str">
        <f>IF('Cable Info'!P799="","",CONCATENATE('Cable Info'!P799," - ",'Cable Info'!Q799))</f>
        <v/>
      </c>
      <c r="AW1094" s="121" t="str">
        <f t="shared" si="187"/>
        <v/>
      </c>
      <c r="AY1094" s="121" t="str">
        <f>IF('Cable Info'!R799="","",CONCATENATE('Cable Info'!R799," - ",'Cable Info'!S799))</f>
        <v/>
      </c>
      <c r="BB1094" s="121" t="str">
        <f t="shared" si="188"/>
        <v/>
      </c>
      <c r="BD1094" s="121" t="str">
        <f>IF('Cable Info'!T799="","",CONCATENATE('Cable Info'!T799," - ",'Cable Info'!U799))</f>
        <v/>
      </c>
      <c r="BG1094" s="121" t="str">
        <f t="shared" si="189"/>
        <v/>
      </c>
      <c r="BI1094" s="121" t="str">
        <f>IF('Cable Info'!V799="","",CONCATENATE('Cable Info'!V799," - ",'Cable Info'!W799))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str">
        <f>IF('Cable Info'!L800="","",CONCATENATE('Cable Info'!L800," - ",'Cable Info'!M800))</f>
        <v>799 - AW</v>
      </c>
      <c r="AM1095" s="121" t="str">
        <f t="shared" si="185"/>
        <v>799 - AW</v>
      </c>
      <c r="AO1095" s="121" t="str">
        <f>IF('Cable Info'!N800="","",CONCATENATE('Cable Info'!N800," - ",'Cable Info'!O800))</f>
        <v>799 - AW</v>
      </c>
      <c r="AR1095" s="121" t="str">
        <f t="shared" si="186"/>
        <v>799 - AW</v>
      </c>
      <c r="AT1095" s="121" t="str">
        <f>IF('Cable Info'!P800="","",CONCATENATE('Cable Info'!P800," - ",'Cable Info'!Q800))</f>
        <v/>
      </c>
      <c r="AW1095" s="121" t="str">
        <f t="shared" si="187"/>
        <v/>
      </c>
      <c r="AY1095" s="121" t="str">
        <f>IF('Cable Info'!R800="","",CONCATENATE('Cable Info'!R800," - ",'Cable Info'!S800))</f>
        <v/>
      </c>
      <c r="BB1095" s="121" t="str">
        <f t="shared" si="188"/>
        <v/>
      </c>
      <c r="BD1095" s="121" t="str">
        <f>IF('Cable Info'!T800="","",CONCATENATE('Cable Info'!T800," - ",'Cable Info'!U800))</f>
        <v/>
      </c>
      <c r="BG1095" s="121" t="str">
        <f t="shared" si="189"/>
        <v/>
      </c>
      <c r="BI1095" s="121" t="str">
        <f>IF('Cable Info'!V800="","",CONCATENATE('Cable Info'!V800," - ",'Cable Info'!W800))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str">
        <f>IF('Cable Info'!L801="","",CONCATENATE('Cable Info'!L801," - ",'Cable Info'!M801))</f>
        <v>800 - AW</v>
      </c>
      <c r="AM1096" s="121" t="str">
        <f t="shared" si="185"/>
        <v>800 - AW</v>
      </c>
      <c r="AO1096" s="121" t="str">
        <f>IF('Cable Info'!N801="","",CONCATENATE('Cable Info'!N801," - ",'Cable Info'!O801))</f>
        <v>800 - AW</v>
      </c>
      <c r="AR1096" s="121" t="str">
        <f t="shared" si="186"/>
        <v>800 - AW</v>
      </c>
      <c r="AT1096" s="121" t="str">
        <f>IF('Cable Info'!P801="","",CONCATENATE('Cable Info'!P801," - ",'Cable Info'!Q801))</f>
        <v/>
      </c>
      <c r="AW1096" s="121" t="str">
        <f t="shared" si="187"/>
        <v/>
      </c>
      <c r="AY1096" s="121" t="str">
        <f>IF('Cable Info'!R801="","",CONCATENATE('Cable Info'!R801," - ",'Cable Info'!S801))</f>
        <v/>
      </c>
      <c r="BB1096" s="121" t="str">
        <f t="shared" si="188"/>
        <v/>
      </c>
      <c r="BD1096" s="121" t="str">
        <f>IF('Cable Info'!T801="","",CONCATENATE('Cable Info'!T801," - ",'Cable Info'!U801))</f>
        <v/>
      </c>
      <c r="BG1096" s="121" t="str">
        <f t="shared" si="189"/>
        <v/>
      </c>
      <c r="BI1096" s="121" t="str">
        <f>IF('Cable Info'!V801="","",CONCATENATE('Cable Info'!V801," - ",'Cable Info'!W801))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str">
        <f>IF('Cable Info'!L802="","",CONCATENATE('Cable Info'!L802," - ",'Cable Info'!M802))</f>
        <v>801 - AW</v>
      </c>
      <c r="AM1097" s="121" t="str">
        <f t="shared" si="185"/>
        <v>801 - AW</v>
      </c>
      <c r="AO1097" s="121" t="str">
        <f>IF('Cable Info'!N802="","",CONCATENATE('Cable Info'!N802," - ",'Cable Info'!O802))</f>
        <v>801 - AW</v>
      </c>
      <c r="AR1097" s="121" t="str">
        <f t="shared" si="186"/>
        <v>801 - AW</v>
      </c>
      <c r="AT1097" s="121" t="str">
        <f>IF('Cable Info'!P802="","",CONCATENATE('Cable Info'!P802," - ",'Cable Info'!Q802))</f>
        <v/>
      </c>
      <c r="AW1097" s="121" t="str">
        <f t="shared" si="187"/>
        <v/>
      </c>
      <c r="AY1097" s="121" t="str">
        <f>IF('Cable Info'!R802="","",CONCATENATE('Cable Info'!R802," - ",'Cable Info'!S802))</f>
        <v/>
      </c>
      <c r="BB1097" s="121" t="str">
        <f t="shared" si="188"/>
        <v/>
      </c>
      <c r="BD1097" s="121" t="str">
        <f>IF('Cable Info'!T802="","",CONCATENATE('Cable Info'!T802," - ",'Cable Info'!U802))</f>
        <v/>
      </c>
      <c r="BG1097" s="121" t="str">
        <f t="shared" si="189"/>
        <v/>
      </c>
      <c r="BI1097" s="121" t="str">
        <f>IF('Cable Info'!V802="","",CONCATENATE('Cable Info'!V802," - ",'Cable Info'!W802))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str">
        <f>IF('Cable Info'!L803="","",CONCATENATE('Cable Info'!L803," - ",'Cable Info'!M803))</f>
        <v>802 - AW</v>
      </c>
      <c r="AM1098" s="121" t="str">
        <f t="shared" si="185"/>
        <v>802 - AW</v>
      </c>
      <c r="AO1098" s="121" t="str">
        <f>IF('Cable Info'!N803="","",CONCATENATE('Cable Info'!N803," - ",'Cable Info'!O803))</f>
        <v>802 - AW</v>
      </c>
      <c r="AR1098" s="121" t="str">
        <f t="shared" si="186"/>
        <v>802 - AW</v>
      </c>
      <c r="AT1098" s="121" t="str">
        <f>IF('Cable Info'!P803="","",CONCATENATE('Cable Info'!P803," - ",'Cable Info'!Q803))</f>
        <v/>
      </c>
      <c r="AW1098" s="121" t="str">
        <f t="shared" si="187"/>
        <v/>
      </c>
      <c r="AY1098" s="121" t="str">
        <f>IF('Cable Info'!R803="","",CONCATENATE('Cable Info'!R803," - ",'Cable Info'!S803))</f>
        <v/>
      </c>
      <c r="BB1098" s="121" t="str">
        <f t="shared" si="188"/>
        <v/>
      </c>
      <c r="BD1098" s="121" t="str">
        <f>IF('Cable Info'!T803="","",CONCATENATE('Cable Info'!T803," - ",'Cable Info'!U803))</f>
        <v/>
      </c>
      <c r="BG1098" s="121" t="str">
        <f t="shared" si="189"/>
        <v/>
      </c>
      <c r="BI1098" s="121" t="str">
        <f>IF('Cable Info'!V803="","",CONCATENATE('Cable Info'!V803," - ",'Cable Info'!W803))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str">
        <f>IF('Cable Info'!L804="","",CONCATENATE('Cable Info'!L804," - ",'Cable Info'!M804))</f>
        <v>803 - AW</v>
      </c>
      <c r="AM1099" s="121" t="str">
        <f t="shared" si="185"/>
        <v>803 - AW</v>
      </c>
      <c r="AO1099" s="121" t="str">
        <f>IF('Cable Info'!N804="","",CONCATENATE('Cable Info'!N804," - ",'Cable Info'!O804))</f>
        <v>803 - AW</v>
      </c>
      <c r="AR1099" s="121" t="str">
        <f t="shared" si="186"/>
        <v>803 - AW</v>
      </c>
      <c r="AT1099" s="121" t="str">
        <f>IF('Cable Info'!P804="","",CONCATENATE('Cable Info'!P804," - ",'Cable Info'!Q804))</f>
        <v/>
      </c>
      <c r="AW1099" s="121" t="str">
        <f t="shared" si="187"/>
        <v/>
      </c>
      <c r="AY1099" s="121" t="str">
        <f>IF('Cable Info'!R804="","",CONCATENATE('Cable Info'!R804," - ",'Cable Info'!S804))</f>
        <v/>
      </c>
      <c r="BB1099" s="121" t="str">
        <f t="shared" si="188"/>
        <v/>
      </c>
      <c r="BD1099" s="121" t="str">
        <f>IF('Cable Info'!T804="","",CONCATENATE('Cable Info'!T804," - ",'Cable Info'!U804))</f>
        <v/>
      </c>
      <c r="BG1099" s="121" t="str">
        <f t="shared" si="189"/>
        <v/>
      </c>
      <c r="BI1099" s="121" t="str">
        <f>IF('Cable Info'!V804="","",CONCATENATE('Cable Info'!V804," - ",'Cable Info'!W804))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str">
        <f>IF('Cable Info'!L805="","",CONCATENATE('Cable Info'!L805," - ",'Cable Info'!M805))</f>
        <v>804 - AW</v>
      </c>
      <c r="AM1100" s="121" t="str">
        <f t="shared" si="185"/>
        <v>804 - AW</v>
      </c>
      <c r="AO1100" s="121" t="str">
        <f>IF('Cable Info'!N805="","",CONCATENATE('Cable Info'!N805," - ",'Cable Info'!O805))</f>
        <v>804 - AW</v>
      </c>
      <c r="AR1100" s="121" t="str">
        <f t="shared" si="186"/>
        <v>804 - AW</v>
      </c>
      <c r="AT1100" s="121" t="str">
        <f>IF('Cable Info'!P805="","",CONCATENATE('Cable Info'!P805," - ",'Cable Info'!Q805))</f>
        <v/>
      </c>
      <c r="AW1100" s="121" t="str">
        <f t="shared" si="187"/>
        <v/>
      </c>
      <c r="AY1100" s="121" t="str">
        <f>IF('Cable Info'!R805="","",CONCATENATE('Cable Info'!R805," - ",'Cable Info'!S805))</f>
        <v/>
      </c>
      <c r="BB1100" s="121" t="str">
        <f t="shared" si="188"/>
        <v/>
      </c>
      <c r="BD1100" s="121" t="str">
        <f>IF('Cable Info'!T805="","",CONCATENATE('Cable Info'!T805," - ",'Cable Info'!U805))</f>
        <v/>
      </c>
      <c r="BG1100" s="121" t="str">
        <f t="shared" si="189"/>
        <v/>
      </c>
      <c r="BI1100" s="121" t="str">
        <f>IF('Cable Info'!V805="","",CONCATENATE('Cable Info'!V805," - ",'Cable Info'!W805))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str">
        <f>IF('Cable Info'!L806="","",CONCATENATE('Cable Info'!L806," - ",'Cable Info'!M806))</f>
        <v>805 - AW</v>
      </c>
      <c r="AM1101" s="121" t="str">
        <f t="shared" si="185"/>
        <v>805 - AW</v>
      </c>
      <c r="AO1101" s="121" t="str">
        <f>IF('Cable Info'!N806="","",CONCATENATE('Cable Info'!N806," - ",'Cable Info'!O806))</f>
        <v>805 - AW</v>
      </c>
      <c r="AR1101" s="121" t="str">
        <f t="shared" si="186"/>
        <v>805 - AW</v>
      </c>
      <c r="AT1101" s="121" t="str">
        <f>IF('Cable Info'!P806="","",CONCATENATE('Cable Info'!P806," - ",'Cable Info'!Q806))</f>
        <v/>
      </c>
      <c r="AW1101" s="121" t="str">
        <f t="shared" si="187"/>
        <v/>
      </c>
      <c r="AY1101" s="121" t="str">
        <f>IF('Cable Info'!R806="","",CONCATENATE('Cable Info'!R806," - ",'Cable Info'!S806))</f>
        <v/>
      </c>
      <c r="BB1101" s="121" t="str">
        <f t="shared" si="188"/>
        <v/>
      </c>
      <c r="BD1101" s="121" t="str">
        <f>IF('Cable Info'!T806="","",CONCATENATE('Cable Info'!T806," - ",'Cable Info'!U806))</f>
        <v/>
      </c>
      <c r="BG1101" s="121" t="str">
        <f t="shared" si="189"/>
        <v/>
      </c>
      <c r="BI1101" s="121" t="str">
        <f>IF('Cable Info'!V806="","",CONCATENATE('Cable Info'!V806," - ",'Cable Info'!W806))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str">
        <f>IF('Cable Info'!L807="","",CONCATENATE('Cable Info'!L807," - ",'Cable Info'!M807))</f>
        <v>806 - AW</v>
      </c>
      <c r="AM1102" s="121" t="str">
        <f t="shared" si="185"/>
        <v>806 - AW</v>
      </c>
      <c r="AO1102" s="121" t="str">
        <f>IF('Cable Info'!N807="","",CONCATENATE('Cable Info'!N807," - ",'Cable Info'!O807))</f>
        <v>806 - AW</v>
      </c>
      <c r="AR1102" s="121" t="str">
        <f t="shared" si="186"/>
        <v>806 - AW</v>
      </c>
      <c r="AT1102" s="121" t="str">
        <f>IF('Cable Info'!P807="","",CONCATENATE('Cable Info'!P807," - ",'Cable Info'!Q807))</f>
        <v/>
      </c>
      <c r="AW1102" s="121" t="str">
        <f t="shared" si="187"/>
        <v/>
      </c>
      <c r="AY1102" s="121" t="str">
        <f>IF('Cable Info'!R807="","",CONCATENATE('Cable Info'!R807," - ",'Cable Info'!S807))</f>
        <v/>
      </c>
      <c r="BB1102" s="121" t="str">
        <f t="shared" si="188"/>
        <v/>
      </c>
      <c r="BD1102" s="121" t="str">
        <f>IF('Cable Info'!T807="","",CONCATENATE('Cable Info'!T807," - ",'Cable Info'!U807))</f>
        <v/>
      </c>
      <c r="BG1102" s="121" t="str">
        <f t="shared" si="189"/>
        <v/>
      </c>
      <c r="BI1102" s="121" t="str">
        <f>IF('Cable Info'!V807="","",CONCATENATE('Cable Info'!V807," - ",'Cable Info'!W807))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str">
        <f>IF('Cable Info'!L808="","",CONCATENATE('Cable Info'!L808," - ",'Cable Info'!M808))</f>
        <v>807 - AW</v>
      </c>
      <c r="AM1103" s="121" t="str">
        <f t="shared" si="185"/>
        <v>807 - AW</v>
      </c>
      <c r="AO1103" s="121" t="str">
        <f>IF('Cable Info'!N808="","",CONCATENATE('Cable Info'!N808," - ",'Cable Info'!O808))</f>
        <v>807 - AW</v>
      </c>
      <c r="AR1103" s="121" t="str">
        <f t="shared" si="186"/>
        <v>807 - AW</v>
      </c>
      <c r="AT1103" s="121" t="str">
        <f>IF('Cable Info'!P808="","",CONCATENATE('Cable Info'!P808," - ",'Cable Info'!Q808))</f>
        <v/>
      </c>
      <c r="AW1103" s="121" t="str">
        <f t="shared" si="187"/>
        <v/>
      </c>
      <c r="AY1103" s="121" t="str">
        <f>IF('Cable Info'!R808="","",CONCATENATE('Cable Info'!R808," - ",'Cable Info'!S808))</f>
        <v/>
      </c>
      <c r="BB1103" s="121" t="str">
        <f t="shared" si="188"/>
        <v/>
      </c>
      <c r="BD1103" s="121" t="str">
        <f>IF('Cable Info'!T808="","",CONCATENATE('Cable Info'!T808," - ",'Cable Info'!U808))</f>
        <v/>
      </c>
      <c r="BG1103" s="121" t="str">
        <f t="shared" si="189"/>
        <v/>
      </c>
      <c r="BI1103" s="121" t="str">
        <f>IF('Cable Info'!V808="","",CONCATENATE('Cable Info'!V808," - ",'Cable Info'!W808))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str">
        <f>IF('Cable Info'!L809="","",CONCATENATE('Cable Info'!L809," - ",'Cable Info'!M809))</f>
        <v>808 - AW</v>
      </c>
      <c r="AM1104" s="121" t="str">
        <f t="shared" si="185"/>
        <v>808 - AW</v>
      </c>
      <c r="AO1104" s="121" t="str">
        <f>IF('Cable Info'!N809="","",CONCATENATE('Cable Info'!N809," - ",'Cable Info'!O809))</f>
        <v>808 - AW</v>
      </c>
      <c r="AR1104" s="121" t="str">
        <f t="shared" si="186"/>
        <v>808 - AW</v>
      </c>
      <c r="AT1104" s="121" t="str">
        <f>IF('Cable Info'!P809="","",CONCATENATE('Cable Info'!P809," - ",'Cable Info'!Q809))</f>
        <v/>
      </c>
      <c r="AW1104" s="121" t="str">
        <f t="shared" si="187"/>
        <v/>
      </c>
      <c r="AY1104" s="121" t="str">
        <f>IF('Cable Info'!R809="","",CONCATENATE('Cable Info'!R809," - ",'Cable Info'!S809))</f>
        <v/>
      </c>
      <c r="BB1104" s="121" t="str">
        <f t="shared" si="188"/>
        <v/>
      </c>
      <c r="BD1104" s="121" t="str">
        <f>IF('Cable Info'!T809="","",CONCATENATE('Cable Info'!T809," - ",'Cable Info'!U809))</f>
        <v/>
      </c>
      <c r="BG1104" s="121" t="str">
        <f t="shared" si="189"/>
        <v/>
      </c>
      <c r="BI1104" s="121" t="str">
        <f>IF('Cable Info'!V809="","",CONCATENATE('Cable Info'!V809," - ",'Cable Info'!W809))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str">
        <f>IF('Cable Info'!L810="","",CONCATENATE('Cable Info'!L810," - ",'Cable Info'!M810))</f>
        <v>809 - AW</v>
      </c>
      <c r="AM1105" s="121" t="str">
        <f t="shared" si="185"/>
        <v>809 - AW</v>
      </c>
      <c r="AO1105" s="121" t="str">
        <f>IF('Cable Info'!N810="","",CONCATENATE('Cable Info'!N810," - ",'Cable Info'!O810))</f>
        <v>809 - AW</v>
      </c>
      <c r="AR1105" s="121" t="str">
        <f t="shared" si="186"/>
        <v>809 - AW</v>
      </c>
      <c r="AT1105" s="121" t="str">
        <f>IF('Cable Info'!P810="","",CONCATENATE('Cable Info'!P810," - ",'Cable Info'!Q810))</f>
        <v/>
      </c>
      <c r="AW1105" s="121" t="str">
        <f t="shared" si="187"/>
        <v/>
      </c>
      <c r="AY1105" s="121" t="str">
        <f>IF('Cable Info'!R810="","",CONCATENATE('Cable Info'!R810," - ",'Cable Info'!S810))</f>
        <v/>
      </c>
      <c r="BB1105" s="121" t="str">
        <f t="shared" si="188"/>
        <v/>
      </c>
      <c r="BD1105" s="121" t="str">
        <f>IF('Cable Info'!T810="","",CONCATENATE('Cable Info'!T810," - ",'Cable Info'!U810))</f>
        <v/>
      </c>
      <c r="BG1105" s="121" t="str">
        <f t="shared" si="189"/>
        <v/>
      </c>
      <c r="BI1105" s="121" t="str">
        <f>IF('Cable Info'!V810="","",CONCATENATE('Cable Info'!V810," - ",'Cable Info'!W810))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str">
        <f>IF('Cable Info'!L811="","",CONCATENATE('Cable Info'!L811," - ",'Cable Info'!M811))</f>
        <v>810 - AW</v>
      </c>
      <c r="AM1106" s="121" t="str">
        <f t="shared" si="185"/>
        <v>810 - AW</v>
      </c>
      <c r="AO1106" s="121" t="str">
        <f>IF('Cable Info'!N811="","",CONCATENATE('Cable Info'!N811," - ",'Cable Info'!O811))</f>
        <v>810 - AW</v>
      </c>
      <c r="AR1106" s="121" t="str">
        <f t="shared" si="186"/>
        <v>810 - AW</v>
      </c>
      <c r="AT1106" s="121" t="str">
        <f>IF('Cable Info'!P811="","",CONCATENATE('Cable Info'!P811," - ",'Cable Info'!Q811))</f>
        <v/>
      </c>
      <c r="AW1106" s="121" t="str">
        <f t="shared" si="187"/>
        <v/>
      </c>
      <c r="AY1106" s="121" t="str">
        <f>IF('Cable Info'!R811="","",CONCATENATE('Cable Info'!R811," - ",'Cable Info'!S811))</f>
        <v/>
      </c>
      <c r="BB1106" s="121" t="str">
        <f t="shared" si="188"/>
        <v/>
      </c>
      <c r="BD1106" s="121" t="str">
        <f>IF('Cable Info'!T811="","",CONCATENATE('Cable Info'!T811," - ",'Cable Info'!U811))</f>
        <v/>
      </c>
      <c r="BG1106" s="121" t="str">
        <f t="shared" si="189"/>
        <v/>
      </c>
      <c r="BI1106" s="121" t="str">
        <f>IF('Cable Info'!V811="","",CONCATENATE('Cable Info'!V811," - ",'Cable Info'!W811))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str">
        <f>IF('Cable Info'!L812="","",CONCATENATE('Cable Info'!L812," - ",'Cable Info'!M812))</f>
        <v>811 - AW</v>
      </c>
      <c r="AM1107" s="121" t="str">
        <f t="shared" si="185"/>
        <v>811 - AW</v>
      </c>
      <c r="AO1107" s="121" t="str">
        <f>IF('Cable Info'!N812="","",CONCATENATE('Cable Info'!N812," - ",'Cable Info'!O812))</f>
        <v>811 - AW</v>
      </c>
      <c r="AR1107" s="121" t="str">
        <f t="shared" si="186"/>
        <v>811 - AW</v>
      </c>
      <c r="AT1107" s="121" t="str">
        <f>IF('Cable Info'!P812="","",CONCATENATE('Cable Info'!P812," - ",'Cable Info'!Q812))</f>
        <v/>
      </c>
      <c r="AW1107" s="121" t="str">
        <f t="shared" si="187"/>
        <v/>
      </c>
      <c r="AY1107" s="121" t="str">
        <f>IF('Cable Info'!R812="","",CONCATENATE('Cable Info'!R812," - ",'Cable Info'!S812))</f>
        <v/>
      </c>
      <c r="BB1107" s="121" t="str">
        <f t="shared" si="188"/>
        <v/>
      </c>
      <c r="BD1107" s="121" t="str">
        <f>IF('Cable Info'!T812="","",CONCATENATE('Cable Info'!T812," - ",'Cable Info'!U812))</f>
        <v/>
      </c>
      <c r="BG1107" s="121" t="str">
        <f t="shared" si="189"/>
        <v/>
      </c>
      <c r="BI1107" s="121" t="str">
        <f>IF('Cable Info'!V812="","",CONCATENATE('Cable Info'!V812," - ",'Cable Info'!W812))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str">
        <f>IF('Cable Info'!L813="","",CONCATENATE('Cable Info'!L813," - ",'Cable Info'!M813))</f>
        <v>812 - AW</v>
      </c>
      <c r="AM1108" s="121" t="str">
        <f t="shared" si="185"/>
        <v>812 - AW</v>
      </c>
      <c r="AO1108" s="121" t="str">
        <f>IF('Cable Info'!N813="","",CONCATENATE('Cable Info'!N813," - ",'Cable Info'!O813))</f>
        <v>812 - AW</v>
      </c>
      <c r="AR1108" s="121" t="str">
        <f t="shared" si="186"/>
        <v>812 - AW</v>
      </c>
      <c r="AT1108" s="121" t="str">
        <f>IF('Cable Info'!P813="","",CONCATENATE('Cable Info'!P813," - ",'Cable Info'!Q813))</f>
        <v/>
      </c>
      <c r="AW1108" s="121" t="str">
        <f t="shared" si="187"/>
        <v/>
      </c>
      <c r="AY1108" s="121" t="str">
        <f>IF('Cable Info'!R813="","",CONCATENATE('Cable Info'!R813," - ",'Cable Info'!S813))</f>
        <v/>
      </c>
      <c r="BB1108" s="121" t="str">
        <f t="shared" si="188"/>
        <v/>
      </c>
      <c r="BD1108" s="121" t="str">
        <f>IF('Cable Info'!T813="","",CONCATENATE('Cable Info'!T813," - ",'Cable Info'!U813))</f>
        <v/>
      </c>
      <c r="BG1108" s="121" t="str">
        <f t="shared" si="189"/>
        <v/>
      </c>
      <c r="BI1108" s="121" t="str">
        <f>IF('Cable Info'!V813="","",CONCATENATE('Cable Info'!V813," - ",'Cable Info'!W813))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str">
        <f>IF('Cable Info'!L814="","",CONCATENATE('Cable Info'!L814," - ",'Cable Info'!M814))</f>
        <v>813 - AW</v>
      </c>
      <c r="AM1109" s="121" t="str">
        <f t="shared" si="185"/>
        <v>813 - AW</v>
      </c>
      <c r="AO1109" s="121" t="str">
        <f>IF('Cable Info'!N814="","",CONCATENATE('Cable Info'!N814," - ",'Cable Info'!O814))</f>
        <v>813 - AW</v>
      </c>
      <c r="AR1109" s="121" t="str">
        <f t="shared" si="186"/>
        <v>813 - AW</v>
      </c>
      <c r="AT1109" s="121" t="str">
        <f>IF('Cable Info'!P814="","",CONCATENATE('Cable Info'!P814," - ",'Cable Info'!Q814))</f>
        <v/>
      </c>
      <c r="AW1109" s="121" t="str">
        <f t="shared" si="187"/>
        <v/>
      </c>
      <c r="AY1109" s="121" t="str">
        <f>IF('Cable Info'!R814="","",CONCATENATE('Cable Info'!R814," - ",'Cable Info'!S814))</f>
        <v/>
      </c>
      <c r="BB1109" s="121" t="str">
        <f t="shared" si="188"/>
        <v/>
      </c>
      <c r="BD1109" s="121" t="str">
        <f>IF('Cable Info'!T814="","",CONCATENATE('Cable Info'!T814," - ",'Cable Info'!U814))</f>
        <v/>
      </c>
      <c r="BG1109" s="121" t="str">
        <f t="shared" si="189"/>
        <v/>
      </c>
      <c r="BI1109" s="121" t="str">
        <f>IF('Cable Info'!V814="","",CONCATENATE('Cable Info'!V814," - ",'Cable Info'!W814))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str">
        <f>IF('Cable Info'!L815="","",CONCATENATE('Cable Info'!L815," - ",'Cable Info'!M815))</f>
        <v>814 - AW</v>
      </c>
      <c r="AM1110" s="121" t="str">
        <f t="shared" si="185"/>
        <v>814 - AW</v>
      </c>
      <c r="AO1110" s="121" t="str">
        <f>IF('Cable Info'!N815="","",CONCATENATE('Cable Info'!N815," - ",'Cable Info'!O815))</f>
        <v>814 - AW</v>
      </c>
      <c r="AR1110" s="121" t="str">
        <f t="shared" si="186"/>
        <v>814 - AW</v>
      </c>
      <c r="AT1110" s="121" t="str">
        <f>IF('Cable Info'!P815="","",CONCATENATE('Cable Info'!P815," - ",'Cable Info'!Q815))</f>
        <v/>
      </c>
      <c r="AW1110" s="121" t="str">
        <f t="shared" si="187"/>
        <v/>
      </c>
      <c r="AY1110" s="121" t="str">
        <f>IF('Cable Info'!R815="","",CONCATENATE('Cable Info'!R815," - ",'Cable Info'!S815))</f>
        <v/>
      </c>
      <c r="BB1110" s="121" t="str">
        <f t="shared" si="188"/>
        <v/>
      </c>
      <c r="BD1110" s="121" t="str">
        <f>IF('Cable Info'!T815="","",CONCATENATE('Cable Info'!T815," - ",'Cable Info'!U815))</f>
        <v/>
      </c>
      <c r="BG1110" s="121" t="str">
        <f t="shared" si="189"/>
        <v/>
      </c>
      <c r="BI1110" s="121" t="str">
        <f>IF('Cable Info'!V815="","",CONCATENATE('Cable Info'!V815," - ",'Cable Info'!W815))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str">
        <f>IF('Cable Info'!L816="","",CONCATENATE('Cable Info'!L816," - ",'Cable Info'!M816))</f>
        <v>815 - AW</v>
      </c>
      <c r="AM1111" s="121" t="str">
        <f t="shared" si="185"/>
        <v>815 - AW</v>
      </c>
      <c r="AO1111" s="121" t="str">
        <f>IF('Cable Info'!N816="","",CONCATENATE('Cable Info'!N816," - ",'Cable Info'!O816))</f>
        <v>815 - AW</v>
      </c>
      <c r="AR1111" s="121" t="str">
        <f t="shared" si="186"/>
        <v>815 - AW</v>
      </c>
      <c r="AT1111" s="121" t="str">
        <f>IF('Cable Info'!P816="","",CONCATENATE('Cable Info'!P816," - ",'Cable Info'!Q816))</f>
        <v/>
      </c>
      <c r="AW1111" s="121" t="str">
        <f t="shared" si="187"/>
        <v/>
      </c>
      <c r="AY1111" s="121" t="str">
        <f>IF('Cable Info'!R816="","",CONCATENATE('Cable Info'!R816," - ",'Cable Info'!S816))</f>
        <v/>
      </c>
      <c r="BB1111" s="121" t="str">
        <f t="shared" si="188"/>
        <v/>
      </c>
      <c r="BD1111" s="121" t="str">
        <f>IF('Cable Info'!T816="","",CONCATENATE('Cable Info'!T816," - ",'Cable Info'!U816))</f>
        <v/>
      </c>
      <c r="BG1111" s="121" t="str">
        <f t="shared" si="189"/>
        <v/>
      </c>
      <c r="BI1111" s="121" t="str">
        <f>IF('Cable Info'!V816="","",CONCATENATE('Cable Info'!V816," - ",'Cable Info'!W816))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str">
        <f>IF('Cable Info'!L817="","",CONCATENATE('Cable Info'!L817," - ",'Cable Info'!M817))</f>
        <v>816 - AW</v>
      </c>
      <c r="AM1112" s="121" t="str">
        <f t="shared" si="185"/>
        <v>816 - AW</v>
      </c>
      <c r="AO1112" s="121" t="str">
        <f>IF('Cable Info'!N817="","",CONCATENATE('Cable Info'!N817," - ",'Cable Info'!O817))</f>
        <v>816 - AW</v>
      </c>
      <c r="AR1112" s="121" t="str">
        <f t="shared" si="186"/>
        <v>816 - AW</v>
      </c>
      <c r="AT1112" s="121" t="str">
        <f>IF('Cable Info'!P817="","",CONCATENATE('Cable Info'!P817," - ",'Cable Info'!Q817))</f>
        <v/>
      </c>
      <c r="AW1112" s="121" t="str">
        <f t="shared" si="187"/>
        <v/>
      </c>
      <c r="AY1112" s="121" t="str">
        <f>IF('Cable Info'!R817="","",CONCATENATE('Cable Info'!R817," - ",'Cable Info'!S817))</f>
        <v/>
      </c>
      <c r="BB1112" s="121" t="str">
        <f t="shared" si="188"/>
        <v/>
      </c>
      <c r="BD1112" s="121" t="str">
        <f>IF('Cable Info'!T817="","",CONCATENATE('Cable Info'!T817," - ",'Cable Info'!U817))</f>
        <v/>
      </c>
      <c r="BG1112" s="121" t="str">
        <f t="shared" si="189"/>
        <v/>
      </c>
      <c r="BI1112" s="121" t="str">
        <f>IF('Cable Info'!V817="","",CONCATENATE('Cable Info'!V817," - ",'Cable Info'!W817))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str">
        <f>IF('Cable Info'!L818="","",CONCATENATE('Cable Info'!L818," - ",'Cable Info'!M818))</f>
        <v>817 - AW</v>
      </c>
      <c r="AM1113" s="121" t="str">
        <f t="shared" si="185"/>
        <v>817 - AW</v>
      </c>
      <c r="AO1113" s="121" t="str">
        <f>IF('Cable Info'!N818="","",CONCATENATE('Cable Info'!N818," - ",'Cable Info'!O818))</f>
        <v>817 - AW</v>
      </c>
      <c r="AR1113" s="121" t="str">
        <f t="shared" si="186"/>
        <v>817 - AW</v>
      </c>
      <c r="AT1113" s="121" t="str">
        <f>IF('Cable Info'!P818="","",CONCATENATE('Cable Info'!P818," - ",'Cable Info'!Q818))</f>
        <v/>
      </c>
      <c r="AW1113" s="121" t="str">
        <f t="shared" si="187"/>
        <v/>
      </c>
      <c r="AY1113" s="121" t="str">
        <f>IF('Cable Info'!R818="","",CONCATENATE('Cable Info'!R818," - ",'Cable Info'!S818))</f>
        <v/>
      </c>
      <c r="BB1113" s="121" t="str">
        <f t="shared" si="188"/>
        <v/>
      </c>
      <c r="BD1113" s="121" t="str">
        <f>IF('Cable Info'!T818="","",CONCATENATE('Cable Info'!T818," - ",'Cable Info'!U818))</f>
        <v/>
      </c>
      <c r="BG1113" s="121" t="str">
        <f t="shared" si="189"/>
        <v/>
      </c>
      <c r="BI1113" s="121" t="str">
        <f>IF('Cable Info'!V818="","",CONCATENATE('Cable Info'!V818," - ",'Cable Info'!W818))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str">
        <f>IF('Cable Info'!L819="","",CONCATENATE('Cable Info'!L819," - ",'Cable Info'!M819))</f>
        <v>818 - AW</v>
      </c>
      <c r="AM1114" s="121" t="str">
        <f t="shared" si="185"/>
        <v>818 - AW</v>
      </c>
      <c r="AO1114" s="121" t="str">
        <f>IF('Cable Info'!N819="","",CONCATENATE('Cable Info'!N819," - ",'Cable Info'!O819))</f>
        <v>818 - AW</v>
      </c>
      <c r="AR1114" s="121" t="str">
        <f t="shared" si="186"/>
        <v>818 - AW</v>
      </c>
      <c r="AT1114" s="121" t="str">
        <f>IF('Cable Info'!P819="","",CONCATENATE('Cable Info'!P819," - ",'Cable Info'!Q819))</f>
        <v/>
      </c>
      <c r="AW1114" s="121" t="str">
        <f t="shared" si="187"/>
        <v/>
      </c>
      <c r="AY1114" s="121" t="str">
        <f>IF('Cable Info'!R819="","",CONCATENATE('Cable Info'!R819," - ",'Cable Info'!S819))</f>
        <v/>
      </c>
      <c r="BB1114" s="121" t="str">
        <f t="shared" si="188"/>
        <v/>
      </c>
      <c r="BD1114" s="121" t="str">
        <f>IF('Cable Info'!T819="","",CONCATENATE('Cable Info'!T819," - ",'Cable Info'!U819))</f>
        <v/>
      </c>
      <c r="BG1114" s="121" t="str">
        <f t="shared" si="189"/>
        <v/>
      </c>
      <c r="BI1114" s="121" t="str">
        <f>IF('Cable Info'!V819="","",CONCATENATE('Cable Info'!V819," - ",'Cable Info'!W819))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str">
        <f>IF('Cable Info'!L820="","",CONCATENATE('Cable Info'!L820," - ",'Cable Info'!M820))</f>
        <v>819 - AW</v>
      </c>
      <c r="AM1115" s="121" t="str">
        <f t="shared" si="185"/>
        <v>819 - AW</v>
      </c>
      <c r="AO1115" s="121" t="str">
        <f>IF('Cable Info'!N820="","",CONCATENATE('Cable Info'!N820," - ",'Cable Info'!O820))</f>
        <v>819 - AW</v>
      </c>
      <c r="AR1115" s="121" t="str">
        <f t="shared" si="186"/>
        <v>819 - AW</v>
      </c>
      <c r="AT1115" s="121" t="str">
        <f>IF('Cable Info'!P820="","",CONCATENATE('Cable Info'!P820," - ",'Cable Info'!Q820))</f>
        <v/>
      </c>
      <c r="AW1115" s="121" t="str">
        <f t="shared" si="187"/>
        <v/>
      </c>
      <c r="AY1115" s="121" t="str">
        <f>IF('Cable Info'!R820="","",CONCATENATE('Cable Info'!R820," - ",'Cable Info'!S820))</f>
        <v/>
      </c>
      <c r="BB1115" s="121" t="str">
        <f t="shared" si="188"/>
        <v/>
      </c>
      <c r="BD1115" s="121" t="str">
        <f>IF('Cable Info'!T820="","",CONCATENATE('Cable Info'!T820," - ",'Cable Info'!U820))</f>
        <v/>
      </c>
      <c r="BG1115" s="121" t="str">
        <f t="shared" si="189"/>
        <v/>
      </c>
      <c r="BI1115" s="121" t="str">
        <f>IF('Cable Info'!V820="","",CONCATENATE('Cable Info'!V820," - ",'Cable Info'!W820))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str">
        <f>IF('Cable Info'!L821="","",CONCATENATE('Cable Info'!L821," - ",'Cable Info'!M821))</f>
        <v>820 - AW</v>
      </c>
      <c r="AM1116" s="121" t="str">
        <f t="shared" si="185"/>
        <v>820 - AW</v>
      </c>
      <c r="AO1116" s="121" t="str">
        <f>IF('Cable Info'!N821="","",CONCATENATE('Cable Info'!N821," - ",'Cable Info'!O821))</f>
        <v>820 - AW</v>
      </c>
      <c r="AR1116" s="121" t="str">
        <f t="shared" si="186"/>
        <v>820 - AW</v>
      </c>
      <c r="AT1116" s="121" t="str">
        <f>IF('Cable Info'!P821="","",CONCATENATE('Cable Info'!P821," - ",'Cable Info'!Q821))</f>
        <v/>
      </c>
      <c r="AW1116" s="121" t="str">
        <f t="shared" si="187"/>
        <v/>
      </c>
      <c r="AY1116" s="121" t="str">
        <f>IF('Cable Info'!R821="","",CONCATENATE('Cable Info'!R821," - ",'Cable Info'!S821))</f>
        <v/>
      </c>
      <c r="BB1116" s="121" t="str">
        <f t="shared" si="188"/>
        <v/>
      </c>
      <c r="BD1116" s="121" t="str">
        <f>IF('Cable Info'!T821="","",CONCATENATE('Cable Info'!T821," - ",'Cable Info'!U821))</f>
        <v/>
      </c>
      <c r="BG1116" s="121" t="str">
        <f t="shared" si="189"/>
        <v/>
      </c>
      <c r="BI1116" s="121" t="str">
        <f>IF('Cable Info'!V821="","",CONCATENATE('Cable Info'!V821," - ",'Cable Info'!W821))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str">
        <f>IF('Cable Info'!L822="","",CONCATENATE('Cable Info'!L822," - ",'Cable Info'!M822))</f>
        <v>821 - AW</v>
      </c>
      <c r="AM1117" s="121" t="str">
        <f t="shared" si="185"/>
        <v>821 - AW</v>
      </c>
      <c r="AO1117" s="121" t="str">
        <f>IF('Cable Info'!N822="","",CONCATENATE('Cable Info'!N822," - ",'Cable Info'!O822))</f>
        <v>821 - AW</v>
      </c>
      <c r="AR1117" s="121" t="str">
        <f t="shared" si="186"/>
        <v>821 - AW</v>
      </c>
      <c r="AT1117" s="121" t="str">
        <f>IF('Cable Info'!P822="","",CONCATENATE('Cable Info'!P822," - ",'Cable Info'!Q822))</f>
        <v/>
      </c>
      <c r="AW1117" s="121" t="str">
        <f t="shared" si="187"/>
        <v/>
      </c>
      <c r="AY1117" s="121" t="str">
        <f>IF('Cable Info'!R822="","",CONCATENATE('Cable Info'!R822," - ",'Cable Info'!S822))</f>
        <v/>
      </c>
      <c r="BB1117" s="121" t="str">
        <f t="shared" si="188"/>
        <v/>
      </c>
      <c r="BD1117" s="121" t="str">
        <f>IF('Cable Info'!T822="","",CONCATENATE('Cable Info'!T822," - ",'Cable Info'!U822))</f>
        <v/>
      </c>
      <c r="BG1117" s="121" t="str">
        <f t="shared" si="189"/>
        <v/>
      </c>
      <c r="BI1117" s="121" t="str">
        <f>IF('Cable Info'!V822="","",CONCATENATE('Cable Info'!V822," - ",'Cable Info'!W822))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str">
        <f>IF('Cable Info'!L823="","",CONCATENATE('Cable Info'!L823," - ",'Cable Info'!M823))</f>
        <v>822 - AW</v>
      </c>
      <c r="AM1118" s="121" t="str">
        <f t="shared" si="185"/>
        <v>822 - AW</v>
      </c>
      <c r="AO1118" s="121" t="str">
        <f>IF('Cable Info'!N823="","",CONCATENATE('Cable Info'!N823," - ",'Cable Info'!O823))</f>
        <v>822 - AW</v>
      </c>
      <c r="AR1118" s="121" t="str">
        <f t="shared" si="186"/>
        <v>822 - AW</v>
      </c>
      <c r="AT1118" s="121" t="str">
        <f>IF('Cable Info'!P823="","",CONCATENATE('Cable Info'!P823," - ",'Cable Info'!Q823))</f>
        <v/>
      </c>
      <c r="AW1118" s="121" t="str">
        <f t="shared" si="187"/>
        <v/>
      </c>
      <c r="AY1118" s="121" t="str">
        <f>IF('Cable Info'!R823="","",CONCATENATE('Cable Info'!R823," - ",'Cable Info'!S823))</f>
        <v/>
      </c>
      <c r="BB1118" s="121" t="str">
        <f t="shared" si="188"/>
        <v/>
      </c>
      <c r="BD1118" s="121" t="str">
        <f>IF('Cable Info'!T823="","",CONCATENATE('Cable Info'!T823," - ",'Cable Info'!U823))</f>
        <v/>
      </c>
      <c r="BG1118" s="121" t="str">
        <f t="shared" si="189"/>
        <v/>
      </c>
      <c r="BI1118" s="121" t="str">
        <f>IF('Cable Info'!V823="","",CONCATENATE('Cable Info'!V823," - ",'Cable Info'!W823))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str">
        <f>IF('Cable Info'!L824="","",CONCATENATE('Cable Info'!L824," - ",'Cable Info'!M824))</f>
        <v>823 - AW</v>
      </c>
      <c r="AM1119" s="121" t="str">
        <f t="shared" si="185"/>
        <v>823 - AW</v>
      </c>
      <c r="AO1119" s="121" t="str">
        <f>IF('Cable Info'!N824="","",CONCATENATE('Cable Info'!N824," - ",'Cable Info'!O824))</f>
        <v>823 - AW</v>
      </c>
      <c r="AR1119" s="121" t="str">
        <f t="shared" si="186"/>
        <v>823 - AW</v>
      </c>
      <c r="AT1119" s="121" t="str">
        <f>IF('Cable Info'!P824="","",CONCATENATE('Cable Info'!P824," - ",'Cable Info'!Q824))</f>
        <v/>
      </c>
      <c r="AW1119" s="121" t="str">
        <f t="shared" si="187"/>
        <v/>
      </c>
      <c r="AY1119" s="121" t="str">
        <f>IF('Cable Info'!R824="","",CONCATENATE('Cable Info'!R824," - ",'Cable Info'!S824))</f>
        <v/>
      </c>
      <c r="BB1119" s="121" t="str">
        <f t="shared" si="188"/>
        <v/>
      </c>
      <c r="BD1119" s="121" t="str">
        <f>IF('Cable Info'!T824="","",CONCATENATE('Cable Info'!T824," - ",'Cable Info'!U824))</f>
        <v/>
      </c>
      <c r="BG1119" s="121" t="str">
        <f t="shared" si="189"/>
        <v/>
      </c>
      <c r="BI1119" s="121" t="str">
        <f>IF('Cable Info'!V824="","",CONCATENATE('Cable Info'!V824," - ",'Cable Info'!W824))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str">
        <f>IF('Cable Info'!L825="","",CONCATENATE('Cable Info'!L825," - ",'Cable Info'!M825))</f>
        <v>824 - AW</v>
      </c>
      <c r="AM1120" s="121" t="str">
        <f t="shared" si="185"/>
        <v>824 - AW</v>
      </c>
      <c r="AO1120" s="121" t="str">
        <f>IF('Cable Info'!N825="","",CONCATENATE('Cable Info'!N825," - ",'Cable Info'!O825))</f>
        <v>824 - AW</v>
      </c>
      <c r="AR1120" s="121" t="str">
        <f t="shared" si="186"/>
        <v>824 - AW</v>
      </c>
      <c r="AT1120" s="121" t="str">
        <f>IF('Cable Info'!P825="","",CONCATENATE('Cable Info'!P825," - ",'Cable Info'!Q825))</f>
        <v/>
      </c>
      <c r="AW1120" s="121" t="str">
        <f t="shared" si="187"/>
        <v/>
      </c>
      <c r="AY1120" s="121" t="str">
        <f>IF('Cable Info'!R825="","",CONCATENATE('Cable Info'!R825," - ",'Cable Info'!S825))</f>
        <v/>
      </c>
      <c r="BB1120" s="121" t="str">
        <f t="shared" si="188"/>
        <v/>
      </c>
      <c r="BD1120" s="121" t="str">
        <f>IF('Cable Info'!T825="","",CONCATENATE('Cable Info'!T825," - ",'Cable Info'!U825))</f>
        <v/>
      </c>
      <c r="BG1120" s="121" t="str">
        <f t="shared" si="189"/>
        <v/>
      </c>
      <c r="BI1120" s="121" t="str">
        <f>IF('Cable Info'!V825="","",CONCATENATE('Cable Info'!V825," - ",'Cable Info'!W825))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str">
        <f>IF('Cable Info'!L826="","",CONCATENATE('Cable Info'!L826," - ",'Cable Info'!M826))</f>
        <v>825 - AW</v>
      </c>
      <c r="AM1121" s="121" t="str">
        <f t="shared" si="185"/>
        <v>825 - AW</v>
      </c>
      <c r="AO1121" s="121" t="str">
        <f>IF('Cable Info'!N826="","",CONCATENATE('Cable Info'!N826," - ",'Cable Info'!O826))</f>
        <v>825 - AW</v>
      </c>
      <c r="AR1121" s="121" t="str">
        <f t="shared" si="186"/>
        <v>825 - AW</v>
      </c>
      <c r="AT1121" s="121" t="str">
        <f>IF('Cable Info'!P826="","",CONCATENATE('Cable Info'!P826," - ",'Cable Info'!Q826))</f>
        <v/>
      </c>
      <c r="AW1121" s="121" t="str">
        <f t="shared" si="187"/>
        <v/>
      </c>
      <c r="AY1121" s="121" t="str">
        <f>IF('Cable Info'!R826="","",CONCATENATE('Cable Info'!R826," - ",'Cable Info'!S826))</f>
        <v/>
      </c>
      <c r="BB1121" s="121" t="str">
        <f t="shared" si="188"/>
        <v/>
      </c>
      <c r="BD1121" s="121" t="str">
        <f>IF('Cable Info'!T826="","",CONCATENATE('Cable Info'!T826," - ",'Cable Info'!U826))</f>
        <v/>
      </c>
      <c r="BG1121" s="121" t="str">
        <f t="shared" si="189"/>
        <v/>
      </c>
      <c r="BI1121" s="121" t="str">
        <f>IF('Cable Info'!V826="","",CONCATENATE('Cable Info'!V826," - ",'Cable Info'!W826))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str">
        <f>IF('Cable Info'!L827="","",CONCATENATE('Cable Info'!L827," - ",'Cable Info'!M827))</f>
        <v>826 - AW</v>
      </c>
      <c r="AM1122" s="121" t="str">
        <f t="shared" si="185"/>
        <v>826 - AW</v>
      </c>
      <c r="AO1122" s="121" t="str">
        <f>IF('Cable Info'!N827="","",CONCATENATE('Cable Info'!N827," - ",'Cable Info'!O827))</f>
        <v>826 - AW</v>
      </c>
      <c r="AR1122" s="121" t="str">
        <f t="shared" si="186"/>
        <v>826 - AW</v>
      </c>
      <c r="AT1122" s="121" t="str">
        <f>IF('Cable Info'!P827="","",CONCATENATE('Cable Info'!P827," - ",'Cable Info'!Q827))</f>
        <v/>
      </c>
      <c r="AW1122" s="121" t="str">
        <f t="shared" si="187"/>
        <v/>
      </c>
      <c r="AY1122" s="121" t="str">
        <f>IF('Cable Info'!R827="","",CONCATENATE('Cable Info'!R827," - ",'Cable Info'!S827))</f>
        <v/>
      </c>
      <c r="BB1122" s="121" t="str">
        <f t="shared" si="188"/>
        <v/>
      </c>
      <c r="BD1122" s="121" t="str">
        <f>IF('Cable Info'!T827="","",CONCATENATE('Cable Info'!T827," - ",'Cable Info'!U827))</f>
        <v/>
      </c>
      <c r="BG1122" s="121" t="str">
        <f t="shared" si="189"/>
        <v/>
      </c>
      <c r="BI1122" s="121" t="str">
        <f>IF('Cable Info'!V827="","",CONCATENATE('Cable Info'!V827," - ",'Cable Info'!W827))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str">
        <f>IF('Cable Info'!L828="","",CONCATENATE('Cable Info'!L828," - ",'Cable Info'!M828))</f>
        <v>827 - AW</v>
      </c>
      <c r="AM1123" s="121" t="str">
        <f t="shared" si="185"/>
        <v>827 - AW</v>
      </c>
      <c r="AO1123" s="121" t="str">
        <f>IF('Cable Info'!N828="","",CONCATENATE('Cable Info'!N828," - ",'Cable Info'!O828))</f>
        <v>827 - AW</v>
      </c>
      <c r="AR1123" s="121" t="str">
        <f t="shared" si="186"/>
        <v>827 - AW</v>
      </c>
      <c r="AT1123" s="121" t="str">
        <f>IF('Cable Info'!P828="","",CONCATENATE('Cable Info'!P828," - ",'Cable Info'!Q828))</f>
        <v/>
      </c>
      <c r="AW1123" s="121" t="str">
        <f t="shared" si="187"/>
        <v/>
      </c>
      <c r="AY1123" s="121" t="str">
        <f>IF('Cable Info'!R828="","",CONCATENATE('Cable Info'!R828," - ",'Cable Info'!S828))</f>
        <v/>
      </c>
      <c r="BB1123" s="121" t="str">
        <f t="shared" si="188"/>
        <v/>
      </c>
      <c r="BD1123" s="121" t="str">
        <f>IF('Cable Info'!T828="","",CONCATENATE('Cable Info'!T828," - ",'Cable Info'!U828))</f>
        <v/>
      </c>
      <c r="BG1123" s="121" t="str">
        <f t="shared" si="189"/>
        <v/>
      </c>
      <c r="BI1123" s="121" t="str">
        <f>IF('Cable Info'!V828="","",CONCATENATE('Cable Info'!V828," - ",'Cable Info'!W828))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str">
        <f>IF('Cable Info'!L829="","",CONCATENATE('Cable Info'!L829," - ",'Cable Info'!M829))</f>
        <v>828 - AW</v>
      </c>
      <c r="AM1124" s="121" t="str">
        <f t="shared" si="185"/>
        <v>828 - AW</v>
      </c>
      <c r="AO1124" s="121" t="str">
        <f>IF('Cable Info'!N829="","",CONCATENATE('Cable Info'!N829," - ",'Cable Info'!O829))</f>
        <v>828 - AW</v>
      </c>
      <c r="AR1124" s="121" t="str">
        <f t="shared" si="186"/>
        <v>828 - AW</v>
      </c>
      <c r="AT1124" s="121" t="str">
        <f>IF('Cable Info'!P829="","",CONCATENATE('Cable Info'!P829," - ",'Cable Info'!Q829))</f>
        <v/>
      </c>
      <c r="AW1124" s="121" t="str">
        <f t="shared" si="187"/>
        <v/>
      </c>
      <c r="AY1124" s="121" t="str">
        <f>IF('Cable Info'!R829="","",CONCATENATE('Cable Info'!R829," - ",'Cable Info'!S829))</f>
        <v/>
      </c>
      <c r="BB1124" s="121" t="str">
        <f t="shared" si="188"/>
        <v/>
      </c>
      <c r="BD1124" s="121" t="str">
        <f>IF('Cable Info'!T829="","",CONCATENATE('Cable Info'!T829," - ",'Cable Info'!U829))</f>
        <v/>
      </c>
      <c r="BG1124" s="121" t="str">
        <f t="shared" si="189"/>
        <v/>
      </c>
      <c r="BI1124" s="121" t="str">
        <f>IF('Cable Info'!V829="","",CONCATENATE('Cable Info'!V829," - ",'Cable Info'!W829))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str">
        <f>IF('Cable Info'!L830="","",CONCATENATE('Cable Info'!L830," - ",'Cable Info'!M830))</f>
        <v>829 - AW</v>
      </c>
      <c r="AM1125" s="121" t="str">
        <f t="shared" si="185"/>
        <v>829 - AW</v>
      </c>
      <c r="AO1125" s="121" t="str">
        <f>IF('Cable Info'!N830="","",CONCATENATE('Cable Info'!N830," - ",'Cable Info'!O830))</f>
        <v>829 - AW</v>
      </c>
      <c r="AR1125" s="121" t="str">
        <f t="shared" si="186"/>
        <v>829 - AW</v>
      </c>
      <c r="AT1125" s="121" t="str">
        <f>IF('Cable Info'!P830="","",CONCATENATE('Cable Info'!P830," - ",'Cable Info'!Q830))</f>
        <v/>
      </c>
      <c r="AW1125" s="121" t="str">
        <f t="shared" si="187"/>
        <v/>
      </c>
      <c r="AY1125" s="121" t="str">
        <f>IF('Cable Info'!R830="","",CONCATENATE('Cable Info'!R830," - ",'Cable Info'!S830))</f>
        <v/>
      </c>
      <c r="BB1125" s="121" t="str">
        <f t="shared" si="188"/>
        <v/>
      </c>
      <c r="BD1125" s="121" t="str">
        <f>IF('Cable Info'!T830="","",CONCATENATE('Cable Info'!T830," - ",'Cable Info'!U830))</f>
        <v/>
      </c>
      <c r="BG1125" s="121" t="str">
        <f t="shared" si="189"/>
        <v/>
      </c>
      <c r="BI1125" s="121" t="str">
        <f>IF('Cable Info'!V830="","",CONCATENATE('Cable Info'!V830," - ",'Cable Info'!W830))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str">
        <f>IF('Cable Info'!L831="","",CONCATENATE('Cable Info'!L831," - ",'Cable Info'!M831))</f>
        <v>830 - AW</v>
      </c>
      <c r="AM1126" s="121" t="str">
        <f t="shared" si="185"/>
        <v>830 - AW</v>
      </c>
      <c r="AO1126" s="121" t="str">
        <f>IF('Cable Info'!N831="","",CONCATENATE('Cable Info'!N831," - ",'Cable Info'!O831))</f>
        <v>830 - AW</v>
      </c>
      <c r="AR1126" s="121" t="str">
        <f t="shared" si="186"/>
        <v>830 - AW</v>
      </c>
      <c r="AT1126" s="121" t="str">
        <f>IF('Cable Info'!P831="","",CONCATENATE('Cable Info'!P831," - ",'Cable Info'!Q831))</f>
        <v/>
      </c>
      <c r="AW1126" s="121" t="str">
        <f t="shared" si="187"/>
        <v/>
      </c>
      <c r="AY1126" s="121" t="str">
        <f>IF('Cable Info'!R831="","",CONCATENATE('Cable Info'!R831," - ",'Cable Info'!S831))</f>
        <v/>
      </c>
      <c r="BB1126" s="121" t="str">
        <f t="shared" si="188"/>
        <v/>
      </c>
      <c r="BD1126" s="121" t="str">
        <f>IF('Cable Info'!T831="","",CONCATENATE('Cable Info'!T831," - ",'Cable Info'!U831))</f>
        <v/>
      </c>
      <c r="BG1126" s="121" t="str">
        <f t="shared" si="189"/>
        <v/>
      </c>
      <c r="BI1126" s="121" t="str">
        <f>IF('Cable Info'!V831="","",CONCATENATE('Cable Info'!V831," - ",'Cable Info'!W831))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str">
        <f>IF('Cable Info'!L832="","",CONCATENATE('Cable Info'!L832," - ",'Cable Info'!M832))</f>
        <v>831 - AW</v>
      </c>
      <c r="AM1127" s="121" t="str">
        <f t="shared" si="185"/>
        <v>831 - AW</v>
      </c>
      <c r="AO1127" s="121" t="str">
        <f>IF('Cable Info'!N832="","",CONCATENATE('Cable Info'!N832," - ",'Cable Info'!O832))</f>
        <v>831 - AW</v>
      </c>
      <c r="AR1127" s="121" t="str">
        <f t="shared" si="186"/>
        <v>831 - AW</v>
      </c>
      <c r="AT1127" s="121" t="str">
        <f>IF('Cable Info'!P832="","",CONCATENATE('Cable Info'!P832," - ",'Cable Info'!Q832))</f>
        <v/>
      </c>
      <c r="AW1127" s="121" t="str">
        <f t="shared" si="187"/>
        <v/>
      </c>
      <c r="AY1127" s="121" t="str">
        <f>IF('Cable Info'!R832="","",CONCATENATE('Cable Info'!R832," - ",'Cable Info'!S832))</f>
        <v/>
      </c>
      <c r="BB1127" s="121" t="str">
        <f t="shared" si="188"/>
        <v/>
      </c>
      <c r="BD1127" s="121" t="str">
        <f>IF('Cable Info'!T832="","",CONCATENATE('Cable Info'!T832," - ",'Cable Info'!U832))</f>
        <v/>
      </c>
      <c r="BG1127" s="121" t="str">
        <f t="shared" si="189"/>
        <v/>
      </c>
      <c r="BI1127" s="121" t="str">
        <f>IF('Cable Info'!V832="","",CONCATENATE('Cable Info'!V832," - ",'Cable Info'!W832))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str">
        <f>IF('Cable Info'!L833="","",CONCATENATE('Cable Info'!L833," - ",'Cable Info'!M833))</f>
        <v>832 - AW</v>
      </c>
      <c r="AM1128" s="121" t="str">
        <f t="shared" si="185"/>
        <v>832 - AW</v>
      </c>
      <c r="AO1128" s="121" t="str">
        <f>IF('Cable Info'!N833="","",CONCATENATE('Cable Info'!N833," - ",'Cable Info'!O833))</f>
        <v>832 - AW</v>
      </c>
      <c r="AR1128" s="121" t="str">
        <f t="shared" si="186"/>
        <v>832 - AW</v>
      </c>
      <c r="AT1128" s="121" t="str">
        <f>IF('Cable Info'!P833="","",CONCATENATE('Cable Info'!P833," - ",'Cable Info'!Q833))</f>
        <v/>
      </c>
      <c r="AW1128" s="121" t="str">
        <f t="shared" si="187"/>
        <v/>
      </c>
      <c r="AY1128" s="121" t="str">
        <f>IF('Cable Info'!R833="","",CONCATENATE('Cable Info'!R833," - ",'Cable Info'!S833))</f>
        <v/>
      </c>
      <c r="BB1128" s="121" t="str">
        <f t="shared" si="188"/>
        <v/>
      </c>
      <c r="BD1128" s="121" t="str">
        <f>IF('Cable Info'!T833="","",CONCATENATE('Cable Info'!T833," - ",'Cable Info'!U833))</f>
        <v/>
      </c>
      <c r="BG1128" s="121" t="str">
        <f t="shared" si="189"/>
        <v/>
      </c>
      <c r="BI1128" s="121" t="str">
        <f>IF('Cable Info'!V833="","",CONCATENATE('Cable Info'!V833," - ",'Cable Info'!W833))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str">
        <f>IF('Cable Info'!L834="","",CONCATENATE('Cable Info'!L834," - ",'Cable Info'!M834))</f>
        <v>833 - AW</v>
      </c>
      <c r="AM1129" s="121" t="str">
        <f t="shared" si="185"/>
        <v>833 - AW</v>
      </c>
      <c r="AO1129" s="121" t="str">
        <f>IF('Cable Info'!N834="","",CONCATENATE('Cable Info'!N834," - ",'Cable Info'!O834))</f>
        <v>833 - AW</v>
      </c>
      <c r="AR1129" s="121" t="str">
        <f t="shared" si="186"/>
        <v>833 - AW</v>
      </c>
      <c r="AT1129" s="121" t="str">
        <f>IF('Cable Info'!P834="","",CONCATENATE('Cable Info'!P834," - ",'Cable Info'!Q834))</f>
        <v/>
      </c>
      <c r="AW1129" s="121" t="str">
        <f t="shared" si="187"/>
        <v/>
      </c>
      <c r="AY1129" s="121" t="str">
        <f>IF('Cable Info'!R834="","",CONCATENATE('Cable Info'!R834," - ",'Cable Info'!S834))</f>
        <v/>
      </c>
      <c r="BB1129" s="121" t="str">
        <f t="shared" si="188"/>
        <v/>
      </c>
      <c r="BD1129" s="121" t="str">
        <f>IF('Cable Info'!T834="","",CONCATENATE('Cable Info'!T834," - ",'Cable Info'!U834))</f>
        <v/>
      </c>
      <c r="BG1129" s="121" t="str">
        <f t="shared" si="189"/>
        <v/>
      </c>
      <c r="BI1129" s="121" t="str">
        <f>IF('Cable Info'!V834="","",CONCATENATE('Cable Info'!V834," - ",'Cable Info'!W834))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str">
        <f>IF('Cable Info'!L835="","",CONCATENATE('Cable Info'!L835," - ",'Cable Info'!M835))</f>
        <v>834 - AW</v>
      </c>
      <c r="AM1130" s="121" t="str">
        <f t="shared" ref="AM1130:AM1160" si="191">IF(AK1130="",AJ1130,CONCATENATE(AJ1130,"  &lt;=&gt; ",AK1130," ",AL1130))</f>
        <v>834 - AW</v>
      </c>
      <c r="AO1130" s="121" t="str">
        <f>IF('Cable Info'!N835="","",CONCATENATE('Cable Info'!N835," - ",'Cable Info'!O835))</f>
        <v>834 - AW</v>
      </c>
      <c r="AR1130" s="121" t="str">
        <f t="shared" ref="AR1130:AR1160" si="192">IF(AP1130="",AO1130,CONCATENATE(AO1130,"  &lt;=&gt; ",AP1130," ",AQ1130))</f>
        <v>834 - AW</v>
      </c>
      <c r="AT1130" s="121" t="str">
        <f>IF('Cable Info'!P835="","",CONCATENATE('Cable Info'!P835," - ",'Cable Info'!Q835))</f>
        <v/>
      </c>
      <c r="AW1130" s="121" t="str">
        <f t="shared" ref="AW1130:AW1160" si="193">IF(AU1130="",AT1130,CONCATENATE(AT1130,"  &lt;=&gt; ",AU1130," ",AV1130))</f>
        <v/>
      </c>
      <c r="AY1130" s="121" t="str">
        <f>IF('Cable Info'!R835="","",CONCATENATE('Cable Info'!R835," - ",'Cable Info'!S835))</f>
        <v/>
      </c>
      <c r="BB1130" s="121" t="str">
        <f t="shared" ref="BB1130:BB1160" si="194">IF(AZ1130="",AY1130,CONCATENATE(AY1130,"  &lt;=&gt; ",AZ1130," ",BA1130))</f>
        <v/>
      </c>
      <c r="BD1130" s="121" t="str">
        <f>IF('Cable Info'!T835="","",CONCATENATE('Cable Info'!T835," - ",'Cable Info'!U835))</f>
        <v/>
      </c>
      <c r="BG1130" s="121" t="str">
        <f t="shared" ref="BG1130:BG1160" si="195">IF(BE1130="",BD1130,CONCATENATE(BD1130,"  &lt;=&gt; ",BE1130," ",BF1130))</f>
        <v/>
      </c>
      <c r="BI1130" s="121" t="str">
        <f>IF('Cable Info'!V835="","",CONCATENATE('Cable Info'!V835," - ",'Cable Info'!W835))</f>
        <v/>
      </c>
      <c r="BL1130" s="121" t="str">
        <f t="shared" ref="BL1130:BL1160" si="196">IF(BJ1130="",BI1130,CONCATENATE(BI1130,"  &lt;=&gt; ",BJ1130," ",BK1130))</f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str">
        <f>IF('Cable Info'!L836="","",CONCATENATE('Cable Info'!L836," - ",'Cable Info'!M836))</f>
        <v>835 - AW</v>
      </c>
      <c r="AM1131" s="121" t="str">
        <f t="shared" si="191"/>
        <v>835 - AW</v>
      </c>
      <c r="AO1131" s="121" t="str">
        <f>IF('Cable Info'!N836="","",CONCATENATE('Cable Info'!N836," - ",'Cable Info'!O836))</f>
        <v>835 - AW</v>
      </c>
      <c r="AR1131" s="121" t="str">
        <f t="shared" si="192"/>
        <v>835 - AW</v>
      </c>
      <c r="AT1131" s="121" t="str">
        <f>IF('Cable Info'!P836="","",CONCATENATE('Cable Info'!P836," - ",'Cable Info'!Q836))</f>
        <v/>
      </c>
      <c r="AW1131" s="121" t="str">
        <f t="shared" si="193"/>
        <v/>
      </c>
      <c r="AY1131" s="121" t="str">
        <f>IF('Cable Info'!R836="","",CONCATENATE('Cable Info'!R836," - ",'Cable Info'!S836))</f>
        <v/>
      </c>
      <c r="BB1131" s="121" t="str">
        <f t="shared" si="194"/>
        <v/>
      </c>
      <c r="BD1131" s="121" t="str">
        <f>IF('Cable Info'!T836="","",CONCATENATE('Cable Info'!T836," - ",'Cable Info'!U836))</f>
        <v/>
      </c>
      <c r="BG1131" s="121" t="str">
        <f t="shared" si="195"/>
        <v/>
      </c>
      <c r="BI1131" s="121" t="str">
        <f>IF('Cable Info'!V836="","",CONCATENATE('Cable Info'!V836," - ",'Cable Info'!W836))</f>
        <v/>
      </c>
      <c r="BL1131" s="121" t="str">
        <f t="shared" si="196"/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str">
        <f>IF('Cable Info'!L837="","",CONCATENATE('Cable Info'!L837," - ",'Cable Info'!M837))</f>
        <v>836 - AW</v>
      </c>
      <c r="AM1132" s="121" t="str">
        <f t="shared" si="191"/>
        <v>836 - AW</v>
      </c>
      <c r="AO1132" s="121" t="str">
        <f>IF('Cable Info'!N837="","",CONCATENATE('Cable Info'!N837," - ",'Cable Info'!O837))</f>
        <v>836 - AW</v>
      </c>
      <c r="AR1132" s="121" t="str">
        <f t="shared" si="192"/>
        <v>836 - AW</v>
      </c>
      <c r="AT1132" s="121" t="str">
        <f>IF('Cable Info'!P837="","",CONCATENATE('Cable Info'!P837," - ",'Cable Info'!Q837))</f>
        <v/>
      </c>
      <c r="AW1132" s="121" t="str">
        <f t="shared" si="193"/>
        <v/>
      </c>
      <c r="AY1132" s="121" t="str">
        <f>IF('Cable Info'!R837="","",CONCATENATE('Cable Info'!R837," - ",'Cable Info'!S837))</f>
        <v/>
      </c>
      <c r="BB1132" s="121" t="str">
        <f t="shared" si="194"/>
        <v/>
      </c>
      <c r="BD1132" s="121" t="str">
        <f>IF('Cable Info'!T837="","",CONCATENATE('Cable Info'!T837," - ",'Cable Info'!U837))</f>
        <v/>
      </c>
      <c r="BG1132" s="121" t="str">
        <f t="shared" si="195"/>
        <v/>
      </c>
      <c r="BI1132" s="121" t="str">
        <f>IF('Cable Info'!V837="","",CONCATENATE('Cable Info'!V837," - ",'Cable Info'!W837))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str">
        <f>IF('Cable Info'!L838="","",CONCATENATE('Cable Info'!L838," - ",'Cable Info'!M838))</f>
        <v>837 - AW</v>
      </c>
      <c r="AM1133" s="121" t="str">
        <f t="shared" si="191"/>
        <v>837 - AW</v>
      </c>
      <c r="AO1133" s="121" t="str">
        <f>IF('Cable Info'!N838="","",CONCATENATE('Cable Info'!N838," - ",'Cable Info'!O838))</f>
        <v>837 - AW</v>
      </c>
      <c r="AR1133" s="121" t="str">
        <f t="shared" si="192"/>
        <v>837 - AW</v>
      </c>
      <c r="AT1133" s="121" t="str">
        <f>IF('Cable Info'!P838="","",CONCATENATE('Cable Info'!P838," - ",'Cable Info'!Q838))</f>
        <v/>
      </c>
      <c r="AW1133" s="121" t="str">
        <f t="shared" si="193"/>
        <v/>
      </c>
      <c r="AY1133" s="121" t="str">
        <f>IF('Cable Info'!R838="","",CONCATENATE('Cable Info'!R838," - ",'Cable Info'!S838))</f>
        <v/>
      </c>
      <c r="BB1133" s="121" t="str">
        <f t="shared" si="194"/>
        <v/>
      </c>
      <c r="BD1133" s="121" t="str">
        <f>IF('Cable Info'!T838="","",CONCATENATE('Cable Info'!T838," - ",'Cable Info'!U838))</f>
        <v/>
      </c>
      <c r="BG1133" s="121" t="str">
        <f t="shared" si="195"/>
        <v/>
      </c>
      <c r="BI1133" s="121" t="str">
        <f>IF('Cable Info'!V838="","",CONCATENATE('Cable Info'!V838," - ",'Cable Info'!W838))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str">
        <f>IF('Cable Info'!L839="","",CONCATENATE('Cable Info'!L839," - ",'Cable Info'!M839))</f>
        <v>838 - AW</v>
      </c>
      <c r="AM1134" s="121" t="str">
        <f t="shared" si="191"/>
        <v>838 - AW</v>
      </c>
      <c r="AO1134" s="121" t="str">
        <f>IF('Cable Info'!N839="","",CONCATENATE('Cable Info'!N839," - ",'Cable Info'!O839))</f>
        <v>838 - AW</v>
      </c>
      <c r="AR1134" s="121" t="str">
        <f t="shared" si="192"/>
        <v>838 - AW</v>
      </c>
      <c r="AT1134" s="121" t="str">
        <f>IF('Cable Info'!P839="","",CONCATENATE('Cable Info'!P839," - ",'Cable Info'!Q839))</f>
        <v/>
      </c>
      <c r="AW1134" s="121" t="str">
        <f t="shared" si="193"/>
        <v/>
      </c>
      <c r="AY1134" s="121" t="str">
        <f>IF('Cable Info'!R839="","",CONCATENATE('Cable Info'!R839," - ",'Cable Info'!S839))</f>
        <v/>
      </c>
      <c r="BB1134" s="121" t="str">
        <f t="shared" si="194"/>
        <v/>
      </c>
      <c r="BD1134" s="121" t="str">
        <f>IF('Cable Info'!T839="","",CONCATENATE('Cable Info'!T839," - ",'Cable Info'!U839))</f>
        <v/>
      </c>
      <c r="BG1134" s="121" t="str">
        <f t="shared" si="195"/>
        <v/>
      </c>
      <c r="BI1134" s="121" t="str">
        <f>IF('Cable Info'!V839="","",CONCATENATE('Cable Info'!V839," - ",'Cable Info'!W839))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str">
        <f>IF('Cable Info'!L840="","",CONCATENATE('Cable Info'!L840," - ",'Cable Info'!M840))</f>
        <v>839 - AW</v>
      </c>
      <c r="AM1135" s="121" t="str">
        <f t="shared" si="191"/>
        <v>839 - AW</v>
      </c>
      <c r="AO1135" s="121" t="str">
        <f>IF('Cable Info'!N840="","",CONCATENATE('Cable Info'!N840," - ",'Cable Info'!O840))</f>
        <v>839 - AW</v>
      </c>
      <c r="AR1135" s="121" t="str">
        <f t="shared" si="192"/>
        <v>839 - AW</v>
      </c>
      <c r="AT1135" s="121" t="str">
        <f>IF('Cable Info'!P840="","",CONCATENATE('Cable Info'!P840," - ",'Cable Info'!Q840))</f>
        <v/>
      </c>
      <c r="AW1135" s="121" t="str">
        <f t="shared" si="193"/>
        <v/>
      </c>
      <c r="AY1135" s="121" t="str">
        <f>IF('Cable Info'!R840="","",CONCATENATE('Cable Info'!R840," - ",'Cable Info'!S840))</f>
        <v/>
      </c>
      <c r="BB1135" s="121" t="str">
        <f t="shared" si="194"/>
        <v/>
      </c>
      <c r="BD1135" s="121" t="str">
        <f>IF('Cable Info'!T840="","",CONCATENATE('Cable Info'!T840," - ",'Cable Info'!U840))</f>
        <v/>
      </c>
      <c r="BG1135" s="121" t="str">
        <f t="shared" si="195"/>
        <v/>
      </c>
      <c r="BI1135" s="121" t="str">
        <f>IF('Cable Info'!V840="","",CONCATENATE('Cable Info'!V840," - ",'Cable Info'!W840))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str">
        <f>IF('Cable Info'!L841="","",CONCATENATE('Cable Info'!L841," - ",'Cable Info'!M841))</f>
        <v>840 - AW</v>
      </c>
      <c r="AM1136" s="121" t="str">
        <f t="shared" si="191"/>
        <v>840 - AW</v>
      </c>
      <c r="AO1136" s="121" t="str">
        <f>IF('Cable Info'!N841="","",CONCATENATE('Cable Info'!N841," - ",'Cable Info'!O841))</f>
        <v>840 - AW</v>
      </c>
      <c r="AR1136" s="121" t="str">
        <f t="shared" si="192"/>
        <v>840 - AW</v>
      </c>
      <c r="AT1136" s="121" t="str">
        <f>IF('Cable Info'!P841="","",CONCATENATE('Cable Info'!P841," - ",'Cable Info'!Q841))</f>
        <v/>
      </c>
      <c r="AW1136" s="121" t="str">
        <f t="shared" si="193"/>
        <v/>
      </c>
      <c r="AY1136" s="121" t="str">
        <f>IF('Cable Info'!R841="","",CONCATENATE('Cable Info'!R841," - ",'Cable Info'!S841))</f>
        <v/>
      </c>
      <c r="BB1136" s="121" t="str">
        <f t="shared" si="194"/>
        <v/>
      </c>
      <c r="BD1136" s="121" t="str">
        <f>IF('Cable Info'!T841="","",CONCATENATE('Cable Info'!T841," - ",'Cable Info'!U841))</f>
        <v/>
      </c>
      <c r="BG1136" s="121" t="str">
        <f t="shared" si="195"/>
        <v/>
      </c>
      <c r="BI1136" s="121" t="str">
        <f>IF('Cable Info'!V841="","",CONCATENATE('Cable Info'!V841," - ",'Cable Info'!W841))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str">
        <f>IF('Cable Info'!L842="","",CONCATENATE('Cable Info'!L842," - ",'Cable Info'!M842))</f>
        <v>841 - AW</v>
      </c>
      <c r="AM1137" s="121" t="str">
        <f t="shared" si="191"/>
        <v>841 - AW</v>
      </c>
      <c r="AO1137" s="121" t="str">
        <f>IF('Cable Info'!N842="","",CONCATENATE('Cable Info'!N842," - ",'Cable Info'!O842))</f>
        <v>841 - AW</v>
      </c>
      <c r="AR1137" s="121" t="str">
        <f t="shared" si="192"/>
        <v>841 - AW</v>
      </c>
      <c r="AT1137" s="121" t="str">
        <f>IF('Cable Info'!P842="","",CONCATENATE('Cable Info'!P842," - ",'Cable Info'!Q842))</f>
        <v/>
      </c>
      <c r="AW1137" s="121" t="str">
        <f t="shared" si="193"/>
        <v/>
      </c>
      <c r="AY1137" s="121" t="str">
        <f>IF('Cable Info'!R842="","",CONCATENATE('Cable Info'!R842," - ",'Cable Info'!S842))</f>
        <v/>
      </c>
      <c r="BB1137" s="121" t="str">
        <f t="shared" si="194"/>
        <v/>
      </c>
      <c r="BD1137" s="121" t="str">
        <f>IF('Cable Info'!T842="","",CONCATENATE('Cable Info'!T842," - ",'Cable Info'!U842))</f>
        <v/>
      </c>
      <c r="BG1137" s="121" t="str">
        <f t="shared" si="195"/>
        <v/>
      </c>
      <c r="BI1137" s="121" t="str">
        <f>IF('Cable Info'!V842="","",CONCATENATE('Cable Info'!V842," - ",'Cable Info'!W842))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str">
        <f>IF('Cable Info'!L843="","",CONCATENATE('Cable Info'!L843," - ",'Cable Info'!M843))</f>
        <v>842 - AW</v>
      </c>
      <c r="AM1138" s="121" t="str">
        <f t="shared" si="191"/>
        <v>842 - AW</v>
      </c>
      <c r="AO1138" s="121" t="str">
        <f>IF('Cable Info'!N843="","",CONCATENATE('Cable Info'!N843," - ",'Cable Info'!O843))</f>
        <v>842 - AW</v>
      </c>
      <c r="AR1138" s="121" t="str">
        <f t="shared" si="192"/>
        <v>842 - AW</v>
      </c>
      <c r="AT1138" s="121" t="str">
        <f>IF('Cable Info'!P843="","",CONCATENATE('Cable Info'!P843," - ",'Cable Info'!Q843))</f>
        <v/>
      </c>
      <c r="AW1138" s="121" t="str">
        <f t="shared" si="193"/>
        <v/>
      </c>
      <c r="AY1138" s="121" t="str">
        <f>IF('Cable Info'!R843="","",CONCATENATE('Cable Info'!R843," - ",'Cable Info'!S843))</f>
        <v/>
      </c>
      <c r="BB1138" s="121" t="str">
        <f t="shared" si="194"/>
        <v/>
      </c>
      <c r="BD1138" s="121" t="str">
        <f>IF('Cable Info'!T843="","",CONCATENATE('Cable Info'!T843," - ",'Cable Info'!U843))</f>
        <v/>
      </c>
      <c r="BG1138" s="121" t="str">
        <f t="shared" si="195"/>
        <v/>
      </c>
      <c r="BI1138" s="121" t="str">
        <f>IF('Cable Info'!V843="","",CONCATENATE('Cable Info'!V843," - ",'Cable Info'!W843))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str">
        <f>IF('Cable Info'!L844="","",CONCATENATE('Cable Info'!L844," - ",'Cable Info'!M844))</f>
        <v>843 - AW</v>
      </c>
      <c r="AM1139" s="121" t="str">
        <f t="shared" si="191"/>
        <v>843 - AW</v>
      </c>
      <c r="AO1139" s="121" t="str">
        <f>IF('Cable Info'!N844="","",CONCATENATE('Cable Info'!N844," - ",'Cable Info'!O844))</f>
        <v>843 - AW</v>
      </c>
      <c r="AR1139" s="121" t="str">
        <f t="shared" si="192"/>
        <v>843 - AW</v>
      </c>
      <c r="AT1139" s="121" t="str">
        <f>IF('Cable Info'!P844="","",CONCATENATE('Cable Info'!P844," - ",'Cable Info'!Q844))</f>
        <v/>
      </c>
      <c r="AW1139" s="121" t="str">
        <f t="shared" si="193"/>
        <v/>
      </c>
      <c r="AY1139" s="121" t="str">
        <f>IF('Cable Info'!R844="","",CONCATENATE('Cable Info'!R844," - ",'Cable Info'!S844))</f>
        <v/>
      </c>
      <c r="BB1139" s="121" t="str">
        <f t="shared" si="194"/>
        <v/>
      </c>
      <c r="BD1139" s="121" t="str">
        <f>IF('Cable Info'!T844="","",CONCATENATE('Cable Info'!T844," - ",'Cable Info'!U844))</f>
        <v/>
      </c>
      <c r="BG1139" s="121" t="str">
        <f t="shared" si="195"/>
        <v/>
      </c>
      <c r="BI1139" s="121" t="str">
        <f>IF('Cable Info'!V844="","",CONCATENATE('Cable Info'!V844," - ",'Cable Info'!W844))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str">
        <f>IF('Cable Info'!L845="","",CONCATENATE('Cable Info'!L845," - ",'Cable Info'!M845))</f>
        <v>844 - AW</v>
      </c>
      <c r="AM1140" s="121" t="str">
        <f t="shared" si="191"/>
        <v>844 - AW</v>
      </c>
      <c r="AO1140" s="121" t="str">
        <f>IF('Cable Info'!N845="","",CONCATENATE('Cable Info'!N845," - ",'Cable Info'!O845))</f>
        <v>844 - AW</v>
      </c>
      <c r="AR1140" s="121" t="str">
        <f t="shared" si="192"/>
        <v>844 - AW</v>
      </c>
      <c r="AT1140" s="121" t="str">
        <f>IF('Cable Info'!P845="","",CONCATENATE('Cable Info'!P845," - ",'Cable Info'!Q845))</f>
        <v/>
      </c>
      <c r="AW1140" s="121" t="str">
        <f t="shared" si="193"/>
        <v/>
      </c>
      <c r="AY1140" s="121" t="str">
        <f>IF('Cable Info'!R845="","",CONCATENATE('Cable Info'!R845," - ",'Cable Info'!S845))</f>
        <v/>
      </c>
      <c r="BB1140" s="121" t="str">
        <f t="shared" si="194"/>
        <v/>
      </c>
      <c r="BD1140" s="121" t="str">
        <f>IF('Cable Info'!T845="","",CONCATENATE('Cable Info'!T845," - ",'Cable Info'!U845))</f>
        <v/>
      </c>
      <c r="BG1140" s="121" t="str">
        <f t="shared" si="195"/>
        <v/>
      </c>
      <c r="BI1140" s="121" t="str">
        <f>IF('Cable Info'!V845="","",CONCATENATE('Cable Info'!V845," - ",'Cable Info'!W845))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str">
        <f>IF('Cable Info'!L846="","",CONCATENATE('Cable Info'!L846," - ",'Cable Info'!M846))</f>
        <v>845 - AW</v>
      </c>
      <c r="AM1141" s="121" t="str">
        <f t="shared" si="191"/>
        <v>845 - AW</v>
      </c>
      <c r="AO1141" s="121" t="str">
        <f>IF('Cable Info'!N846="","",CONCATENATE('Cable Info'!N846," - ",'Cable Info'!O846))</f>
        <v>845 - AW</v>
      </c>
      <c r="AR1141" s="121" t="str">
        <f t="shared" si="192"/>
        <v>845 - AW</v>
      </c>
      <c r="AT1141" s="121" t="str">
        <f>IF('Cable Info'!P846="","",CONCATENATE('Cable Info'!P846," - ",'Cable Info'!Q846))</f>
        <v/>
      </c>
      <c r="AW1141" s="121" t="str">
        <f t="shared" si="193"/>
        <v/>
      </c>
      <c r="AY1141" s="121" t="str">
        <f>IF('Cable Info'!R846="","",CONCATENATE('Cable Info'!R846," - ",'Cable Info'!S846))</f>
        <v/>
      </c>
      <c r="BB1141" s="121" t="str">
        <f t="shared" si="194"/>
        <v/>
      </c>
      <c r="BD1141" s="121" t="str">
        <f>IF('Cable Info'!T846="","",CONCATENATE('Cable Info'!T846," - ",'Cable Info'!U846))</f>
        <v/>
      </c>
      <c r="BG1141" s="121" t="str">
        <f t="shared" si="195"/>
        <v/>
      </c>
      <c r="BI1141" s="121" t="str">
        <f>IF('Cable Info'!V846="","",CONCATENATE('Cable Info'!V846," - ",'Cable Info'!W846))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str">
        <f>IF('Cable Info'!L847="","",CONCATENATE('Cable Info'!L847," - ",'Cable Info'!M847))</f>
        <v>846 - AW</v>
      </c>
      <c r="AM1142" s="121" t="str">
        <f t="shared" si="191"/>
        <v>846 - AW</v>
      </c>
      <c r="AO1142" s="121" t="str">
        <f>IF('Cable Info'!N847="","",CONCATENATE('Cable Info'!N847," - ",'Cable Info'!O847))</f>
        <v>846 - AW</v>
      </c>
      <c r="AR1142" s="121" t="str">
        <f t="shared" si="192"/>
        <v>846 - AW</v>
      </c>
      <c r="AT1142" s="121" t="str">
        <f>IF('Cable Info'!P847="","",CONCATENATE('Cable Info'!P847," - ",'Cable Info'!Q847))</f>
        <v/>
      </c>
      <c r="AW1142" s="121" t="str">
        <f t="shared" si="193"/>
        <v/>
      </c>
      <c r="AY1142" s="121" t="str">
        <f>IF('Cable Info'!R847="","",CONCATENATE('Cable Info'!R847," - ",'Cable Info'!S847))</f>
        <v/>
      </c>
      <c r="BB1142" s="121" t="str">
        <f t="shared" si="194"/>
        <v/>
      </c>
      <c r="BD1142" s="121" t="str">
        <f>IF('Cable Info'!T847="","",CONCATENATE('Cable Info'!T847," - ",'Cable Info'!U847))</f>
        <v/>
      </c>
      <c r="BG1142" s="121" t="str">
        <f t="shared" si="195"/>
        <v/>
      </c>
      <c r="BI1142" s="121" t="str">
        <f>IF('Cable Info'!V847="","",CONCATENATE('Cable Info'!V847," - ",'Cable Info'!W847))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str">
        <f>IF('Cable Info'!L848="","",CONCATENATE('Cable Info'!L848," - ",'Cable Info'!M848))</f>
        <v>847 - AW</v>
      </c>
      <c r="AM1143" s="121" t="str">
        <f t="shared" si="191"/>
        <v>847 - AW</v>
      </c>
      <c r="AO1143" s="121" t="str">
        <f>IF('Cable Info'!N848="","",CONCATENATE('Cable Info'!N848," - ",'Cable Info'!O848))</f>
        <v>847 - AW</v>
      </c>
      <c r="AR1143" s="121" t="str">
        <f t="shared" si="192"/>
        <v>847 - AW</v>
      </c>
      <c r="AT1143" s="121" t="str">
        <f>IF('Cable Info'!P848="","",CONCATENATE('Cable Info'!P848," - ",'Cable Info'!Q848))</f>
        <v/>
      </c>
      <c r="AW1143" s="121" t="str">
        <f t="shared" si="193"/>
        <v/>
      </c>
      <c r="AY1143" s="121" t="str">
        <f>IF('Cable Info'!R848="","",CONCATENATE('Cable Info'!R848," - ",'Cable Info'!S848))</f>
        <v/>
      </c>
      <c r="BB1143" s="121" t="str">
        <f t="shared" si="194"/>
        <v/>
      </c>
      <c r="BD1143" s="121" t="str">
        <f>IF('Cable Info'!T848="","",CONCATENATE('Cable Info'!T848," - ",'Cable Info'!U848))</f>
        <v/>
      </c>
      <c r="BG1143" s="121" t="str">
        <f t="shared" si="195"/>
        <v/>
      </c>
      <c r="BI1143" s="121" t="str">
        <f>IF('Cable Info'!V848="","",CONCATENATE('Cable Info'!V848," - ",'Cable Info'!W848))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str">
        <f>IF('Cable Info'!L849="","",CONCATENATE('Cable Info'!L849," - ",'Cable Info'!M849))</f>
        <v>848 - AW</v>
      </c>
      <c r="AM1144" s="121" t="str">
        <f t="shared" si="191"/>
        <v>848 - AW</v>
      </c>
      <c r="AO1144" s="121" t="str">
        <f>IF('Cable Info'!N849="","",CONCATENATE('Cable Info'!N849," - ",'Cable Info'!O849))</f>
        <v>848 - AW</v>
      </c>
      <c r="AR1144" s="121" t="str">
        <f t="shared" si="192"/>
        <v>848 - AW</v>
      </c>
      <c r="AT1144" s="121" t="str">
        <f>IF('Cable Info'!P849="","",CONCATENATE('Cable Info'!P849," - ",'Cable Info'!Q849))</f>
        <v/>
      </c>
      <c r="AW1144" s="121" t="str">
        <f t="shared" si="193"/>
        <v/>
      </c>
      <c r="AY1144" s="121" t="str">
        <f>IF('Cable Info'!R849="","",CONCATENATE('Cable Info'!R849," - ",'Cable Info'!S849))</f>
        <v/>
      </c>
      <c r="BB1144" s="121" t="str">
        <f t="shared" si="194"/>
        <v/>
      </c>
      <c r="BD1144" s="121" t="str">
        <f>IF('Cable Info'!T849="","",CONCATENATE('Cable Info'!T849," - ",'Cable Info'!U849))</f>
        <v/>
      </c>
      <c r="BG1144" s="121" t="str">
        <f t="shared" si="195"/>
        <v/>
      </c>
      <c r="BI1144" s="121" t="str">
        <f>IF('Cable Info'!V849="","",CONCATENATE('Cable Info'!V849," - ",'Cable Info'!W849))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str">
        <f>IF('Cable Info'!L850="","",CONCATENATE('Cable Info'!L850," - ",'Cable Info'!M850))</f>
        <v>849 - AW</v>
      </c>
      <c r="AM1145" s="121" t="str">
        <f t="shared" si="191"/>
        <v>849 - AW</v>
      </c>
      <c r="AO1145" s="121" t="str">
        <f>IF('Cable Info'!N850="","",CONCATENATE('Cable Info'!N850," - ",'Cable Info'!O850))</f>
        <v>849 - AW</v>
      </c>
      <c r="AR1145" s="121" t="str">
        <f t="shared" si="192"/>
        <v>849 - AW</v>
      </c>
      <c r="AT1145" s="121" t="str">
        <f>IF('Cable Info'!P850="","",CONCATENATE('Cable Info'!P850," - ",'Cable Info'!Q850))</f>
        <v/>
      </c>
      <c r="AW1145" s="121" t="str">
        <f t="shared" si="193"/>
        <v/>
      </c>
      <c r="AY1145" s="121" t="str">
        <f>IF('Cable Info'!R850="","",CONCATENATE('Cable Info'!R850," - ",'Cable Info'!S850))</f>
        <v/>
      </c>
      <c r="BB1145" s="121" t="str">
        <f t="shared" si="194"/>
        <v/>
      </c>
      <c r="BD1145" s="121" t="str">
        <f>IF('Cable Info'!T850="","",CONCATENATE('Cable Info'!T850," - ",'Cable Info'!U850))</f>
        <v/>
      </c>
      <c r="BG1145" s="121" t="str">
        <f t="shared" si="195"/>
        <v/>
      </c>
      <c r="BI1145" s="121" t="str">
        <f>IF('Cable Info'!V850="","",CONCATENATE('Cable Info'!V850," - ",'Cable Info'!W850))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str">
        <f>IF('Cable Info'!L851="","",CONCATENATE('Cable Info'!L851," - ",'Cable Info'!M851))</f>
        <v>850 - AW</v>
      </c>
      <c r="AM1146" s="121" t="str">
        <f t="shared" si="191"/>
        <v>850 - AW</v>
      </c>
      <c r="AO1146" s="121" t="str">
        <f>IF('Cable Info'!N851="","",CONCATENATE('Cable Info'!N851," - ",'Cable Info'!O851))</f>
        <v>850 - AW</v>
      </c>
      <c r="AR1146" s="121" t="str">
        <f t="shared" si="192"/>
        <v>850 - AW</v>
      </c>
      <c r="AT1146" s="121" t="str">
        <f>IF('Cable Info'!P851="","",CONCATENATE('Cable Info'!P851," - ",'Cable Info'!Q851))</f>
        <v/>
      </c>
      <c r="AW1146" s="121" t="str">
        <f t="shared" si="193"/>
        <v/>
      </c>
      <c r="AY1146" s="121" t="str">
        <f>IF('Cable Info'!R851="","",CONCATENATE('Cable Info'!R851," - ",'Cable Info'!S851))</f>
        <v/>
      </c>
      <c r="BB1146" s="121" t="str">
        <f t="shared" si="194"/>
        <v/>
      </c>
      <c r="BD1146" s="121" t="str">
        <f>IF('Cable Info'!T851="","",CONCATENATE('Cable Info'!T851," - ",'Cable Info'!U851))</f>
        <v/>
      </c>
      <c r="BG1146" s="121" t="str">
        <f t="shared" si="195"/>
        <v/>
      </c>
      <c r="BI1146" s="121" t="str">
        <f>IF('Cable Info'!V851="","",CONCATENATE('Cable Info'!V851," - ",'Cable Info'!W851))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str">
        <f>IF('Cable Info'!L852="","",CONCATENATE('Cable Info'!L852," - ",'Cable Info'!M852))</f>
        <v>851 - AW</v>
      </c>
      <c r="AM1147" s="121" t="str">
        <f t="shared" si="191"/>
        <v>851 - AW</v>
      </c>
      <c r="AO1147" s="121" t="str">
        <f>IF('Cable Info'!N852="","",CONCATENATE('Cable Info'!N852," - ",'Cable Info'!O852))</f>
        <v>851 - AW</v>
      </c>
      <c r="AR1147" s="121" t="str">
        <f t="shared" si="192"/>
        <v>851 - AW</v>
      </c>
      <c r="AT1147" s="121" t="str">
        <f>IF('Cable Info'!P852="","",CONCATENATE('Cable Info'!P852," - ",'Cable Info'!Q852))</f>
        <v/>
      </c>
      <c r="AW1147" s="121" t="str">
        <f t="shared" si="193"/>
        <v/>
      </c>
      <c r="AY1147" s="121" t="str">
        <f>IF('Cable Info'!R852="","",CONCATENATE('Cable Info'!R852," - ",'Cable Info'!S852))</f>
        <v/>
      </c>
      <c r="BB1147" s="121" t="str">
        <f t="shared" si="194"/>
        <v/>
      </c>
      <c r="BD1147" s="121" t="str">
        <f>IF('Cable Info'!T852="","",CONCATENATE('Cable Info'!T852," - ",'Cable Info'!U852))</f>
        <v/>
      </c>
      <c r="BG1147" s="121" t="str">
        <f t="shared" si="195"/>
        <v/>
      </c>
      <c r="BI1147" s="121" t="str">
        <f>IF('Cable Info'!V852="","",CONCATENATE('Cable Info'!V852," - ",'Cable Info'!W852))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str">
        <f>IF('Cable Info'!L853="","",CONCATENATE('Cable Info'!L853," - ",'Cable Info'!M853))</f>
        <v>852 - AW</v>
      </c>
      <c r="AM1148" s="121" t="str">
        <f t="shared" si="191"/>
        <v>852 - AW</v>
      </c>
      <c r="AO1148" s="121" t="str">
        <f>IF('Cable Info'!N853="","",CONCATENATE('Cable Info'!N853," - ",'Cable Info'!O853))</f>
        <v>852 - AW</v>
      </c>
      <c r="AR1148" s="121" t="str">
        <f t="shared" si="192"/>
        <v>852 - AW</v>
      </c>
      <c r="AT1148" s="121" t="str">
        <f>IF('Cable Info'!P853="","",CONCATENATE('Cable Info'!P853," - ",'Cable Info'!Q853))</f>
        <v/>
      </c>
      <c r="AW1148" s="121" t="str">
        <f t="shared" si="193"/>
        <v/>
      </c>
      <c r="AY1148" s="121" t="str">
        <f>IF('Cable Info'!R853="","",CONCATENATE('Cable Info'!R853," - ",'Cable Info'!S853))</f>
        <v/>
      </c>
      <c r="BB1148" s="121" t="str">
        <f t="shared" si="194"/>
        <v/>
      </c>
      <c r="BD1148" s="121" t="str">
        <f>IF('Cable Info'!T853="","",CONCATENATE('Cable Info'!T853," - ",'Cable Info'!U853))</f>
        <v/>
      </c>
      <c r="BG1148" s="121" t="str">
        <f t="shared" si="195"/>
        <v/>
      </c>
      <c r="BI1148" s="121" t="str">
        <f>IF('Cable Info'!V853="","",CONCATENATE('Cable Info'!V853," - ",'Cable Info'!W853))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str">
        <f>IF('Cable Info'!L854="","",CONCATENATE('Cable Info'!L854," - ",'Cable Info'!M854))</f>
        <v>853 - AW</v>
      </c>
      <c r="AM1149" s="121" t="str">
        <f t="shared" si="191"/>
        <v>853 - AW</v>
      </c>
      <c r="AO1149" s="121" t="str">
        <f>IF('Cable Info'!N854="","",CONCATENATE('Cable Info'!N854," - ",'Cable Info'!O854))</f>
        <v>853 - AW</v>
      </c>
      <c r="AR1149" s="121" t="str">
        <f t="shared" si="192"/>
        <v>853 - AW</v>
      </c>
      <c r="AT1149" s="121" t="str">
        <f>IF('Cable Info'!P854="","",CONCATENATE('Cable Info'!P854," - ",'Cable Info'!Q854))</f>
        <v/>
      </c>
      <c r="AW1149" s="121" t="str">
        <f t="shared" si="193"/>
        <v/>
      </c>
      <c r="AY1149" s="121" t="str">
        <f>IF('Cable Info'!R854="","",CONCATENATE('Cable Info'!R854," - ",'Cable Info'!S854))</f>
        <v/>
      </c>
      <c r="BB1149" s="121" t="str">
        <f t="shared" si="194"/>
        <v/>
      </c>
      <c r="BD1149" s="121" t="str">
        <f>IF('Cable Info'!T854="","",CONCATENATE('Cable Info'!T854," - ",'Cable Info'!U854))</f>
        <v/>
      </c>
      <c r="BG1149" s="121" t="str">
        <f t="shared" si="195"/>
        <v/>
      </c>
      <c r="BI1149" s="121" t="str">
        <f>IF('Cable Info'!V854="","",CONCATENATE('Cable Info'!V854," - ",'Cable Info'!W854))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str">
        <f>IF('Cable Info'!L855="","",CONCATENATE('Cable Info'!L855," - ",'Cable Info'!M855))</f>
        <v>854 - AW</v>
      </c>
      <c r="AM1150" s="121" t="str">
        <f t="shared" si="191"/>
        <v>854 - AW</v>
      </c>
      <c r="AO1150" s="121" t="str">
        <f>IF('Cable Info'!N855="","",CONCATENATE('Cable Info'!N855," - ",'Cable Info'!O855))</f>
        <v>854 - AW</v>
      </c>
      <c r="AR1150" s="121" t="str">
        <f t="shared" si="192"/>
        <v>854 - AW</v>
      </c>
      <c r="AT1150" s="121" t="str">
        <f>IF('Cable Info'!P855="","",CONCATENATE('Cable Info'!P855," - ",'Cable Info'!Q855))</f>
        <v/>
      </c>
      <c r="AW1150" s="121" t="str">
        <f t="shared" si="193"/>
        <v/>
      </c>
      <c r="AY1150" s="121" t="str">
        <f>IF('Cable Info'!R855="","",CONCATENATE('Cable Info'!R855," - ",'Cable Info'!S855))</f>
        <v/>
      </c>
      <c r="BB1150" s="121" t="str">
        <f t="shared" si="194"/>
        <v/>
      </c>
      <c r="BD1150" s="121" t="str">
        <f>IF('Cable Info'!T855="","",CONCATENATE('Cable Info'!T855," - ",'Cable Info'!U855))</f>
        <v/>
      </c>
      <c r="BG1150" s="121" t="str">
        <f t="shared" si="195"/>
        <v/>
      </c>
      <c r="BI1150" s="121" t="str">
        <f>IF('Cable Info'!V855="","",CONCATENATE('Cable Info'!V855," - ",'Cable Info'!W855))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str">
        <f>IF('Cable Info'!L856="","",CONCATENATE('Cable Info'!L856," - ",'Cable Info'!M856))</f>
        <v>855 - AW</v>
      </c>
      <c r="AM1151" s="121" t="str">
        <f t="shared" si="191"/>
        <v>855 - AW</v>
      </c>
      <c r="AO1151" s="121" t="str">
        <f>IF('Cable Info'!N856="","",CONCATENATE('Cable Info'!N856," - ",'Cable Info'!O856))</f>
        <v>855 - AW</v>
      </c>
      <c r="AR1151" s="121" t="str">
        <f t="shared" si="192"/>
        <v>855 - AW</v>
      </c>
      <c r="AT1151" s="121" t="str">
        <f>IF('Cable Info'!P856="","",CONCATENATE('Cable Info'!P856," - ",'Cable Info'!Q856))</f>
        <v/>
      </c>
      <c r="AW1151" s="121" t="str">
        <f t="shared" si="193"/>
        <v/>
      </c>
      <c r="AY1151" s="121" t="str">
        <f>IF('Cable Info'!R856="","",CONCATENATE('Cable Info'!R856," - ",'Cable Info'!S856))</f>
        <v/>
      </c>
      <c r="BB1151" s="121" t="str">
        <f t="shared" si="194"/>
        <v/>
      </c>
      <c r="BD1151" s="121" t="str">
        <f>IF('Cable Info'!T856="","",CONCATENATE('Cable Info'!T856," - ",'Cable Info'!U856))</f>
        <v/>
      </c>
      <c r="BG1151" s="121" t="str">
        <f t="shared" si="195"/>
        <v/>
      </c>
      <c r="BI1151" s="121" t="str">
        <f>IF('Cable Info'!V856="","",CONCATENATE('Cable Info'!V856," - ",'Cable Info'!W856))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str">
        <f>IF('Cable Info'!L857="","",CONCATENATE('Cable Info'!L857," - ",'Cable Info'!M857))</f>
        <v>856 - AW</v>
      </c>
      <c r="AM1152" s="121" t="str">
        <f t="shared" si="191"/>
        <v>856 - AW</v>
      </c>
      <c r="AO1152" s="121" t="str">
        <f>IF('Cable Info'!N857="","",CONCATENATE('Cable Info'!N857," - ",'Cable Info'!O857))</f>
        <v>856 - AW</v>
      </c>
      <c r="AR1152" s="121" t="str">
        <f t="shared" si="192"/>
        <v>856 - AW</v>
      </c>
      <c r="AT1152" s="121" t="str">
        <f>IF('Cable Info'!P857="","",CONCATENATE('Cable Info'!P857," - ",'Cable Info'!Q857))</f>
        <v/>
      </c>
      <c r="AW1152" s="121" t="str">
        <f t="shared" si="193"/>
        <v/>
      </c>
      <c r="AY1152" s="121" t="str">
        <f>IF('Cable Info'!R857="","",CONCATENATE('Cable Info'!R857," - ",'Cable Info'!S857))</f>
        <v/>
      </c>
      <c r="BB1152" s="121" t="str">
        <f t="shared" si="194"/>
        <v/>
      </c>
      <c r="BD1152" s="121" t="str">
        <f>IF('Cable Info'!T857="","",CONCATENATE('Cable Info'!T857," - ",'Cable Info'!U857))</f>
        <v/>
      </c>
      <c r="BG1152" s="121" t="str">
        <f t="shared" si="195"/>
        <v/>
      </c>
      <c r="BI1152" s="121" t="str">
        <f>IF('Cable Info'!V857="","",CONCATENATE('Cable Info'!V857," - ",'Cable Info'!W857))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str">
        <f>IF('Cable Info'!L858="","",CONCATENATE('Cable Info'!L858," - ",'Cable Info'!M858))</f>
        <v>857 - AW</v>
      </c>
      <c r="AM1153" s="121" t="str">
        <f t="shared" si="191"/>
        <v>857 - AW</v>
      </c>
      <c r="AO1153" s="121" t="str">
        <f>IF('Cable Info'!N858="","",CONCATENATE('Cable Info'!N858," - ",'Cable Info'!O858))</f>
        <v>857 - AW</v>
      </c>
      <c r="AR1153" s="121" t="str">
        <f t="shared" si="192"/>
        <v>857 - AW</v>
      </c>
      <c r="AT1153" s="121" t="str">
        <f>IF('Cable Info'!P858="","",CONCATENATE('Cable Info'!P858," - ",'Cable Info'!Q858))</f>
        <v/>
      </c>
      <c r="AW1153" s="121" t="str">
        <f t="shared" si="193"/>
        <v/>
      </c>
      <c r="AY1153" s="121" t="str">
        <f>IF('Cable Info'!R858="","",CONCATENATE('Cable Info'!R858," - ",'Cable Info'!S858))</f>
        <v/>
      </c>
      <c r="BB1153" s="121" t="str">
        <f t="shared" si="194"/>
        <v/>
      </c>
      <c r="BD1153" s="121" t="str">
        <f>IF('Cable Info'!T858="","",CONCATENATE('Cable Info'!T858," - ",'Cable Info'!U858))</f>
        <v/>
      </c>
      <c r="BG1153" s="121" t="str">
        <f t="shared" si="195"/>
        <v/>
      </c>
      <c r="BI1153" s="121" t="str">
        <f>IF('Cable Info'!V858="","",CONCATENATE('Cable Info'!V858," - ",'Cable Info'!W858))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str">
        <f>IF('Cable Info'!L859="","",CONCATENATE('Cable Info'!L859," - ",'Cable Info'!M859))</f>
        <v>858 - AW</v>
      </c>
      <c r="AM1154" s="121" t="str">
        <f t="shared" si="191"/>
        <v>858 - AW</v>
      </c>
      <c r="AO1154" s="121" t="str">
        <f>IF('Cable Info'!N859="","",CONCATENATE('Cable Info'!N859," - ",'Cable Info'!O859))</f>
        <v>858 - AW</v>
      </c>
      <c r="AR1154" s="121" t="str">
        <f t="shared" si="192"/>
        <v>858 - AW</v>
      </c>
      <c r="AT1154" s="121" t="str">
        <f>IF('Cable Info'!P859="","",CONCATENATE('Cable Info'!P859," - ",'Cable Info'!Q859))</f>
        <v/>
      </c>
      <c r="AW1154" s="121" t="str">
        <f t="shared" si="193"/>
        <v/>
      </c>
      <c r="AY1154" s="121" t="str">
        <f>IF('Cable Info'!R859="","",CONCATENATE('Cable Info'!R859," - ",'Cable Info'!S859))</f>
        <v/>
      </c>
      <c r="BB1154" s="121" t="str">
        <f t="shared" si="194"/>
        <v/>
      </c>
      <c r="BD1154" s="121" t="str">
        <f>IF('Cable Info'!T859="","",CONCATENATE('Cable Info'!T859," - ",'Cable Info'!U859))</f>
        <v/>
      </c>
      <c r="BG1154" s="121" t="str">
        <f t="shared" si="195"/>
        <v/>
      </c>
      <c r="BI1154" s="121" t="str">
        <f>IF('Cable Info'!V859="","",CONCATENATE('Cable Info'!V859," - ",'Cable Info'!W859))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str">
        <f>IF('Cable Info'!L860="","",CONCATENATE('Cable Info'!L860," - ",'Cable Info'!M860))</f>
        <v>859 - AW</v>
      </c>
      <c r="AM1155" s="121" t="str">
        <f t="shared" si="191"/>
        <v>859 - AW</v>
      </c>
      <c r="AO1155" s="121" t="str">
        <f>IF('Cable Info'!N860="","",CONCATENATE('Cable Info'!N860," - ",'Cable Info'!O860))</f>
        <v>859 - AW</v>
      </c>
      <c r="AR1155" s="121" t="str">
        <f t="shared" si="192"/>
        <v>859 - AW</v>
      </c>
      <c r="AT1155" s="121" t="str">
        <f>IF('Cable Info'!P860="","",CONCATENATE('Cable Info'!P860," - ",'Cable Info'!Q860))</f>
        <v/>
      </c>
      <c r="AW1155" s="121" t="str">
        <f t="shared" si="193"/>
        <v/>
      </c>
      <c r="AY1155" s="121" t="str">
        <f>IF('Cable Info'!R860="","",CONCATENATE('Cable Info'!R860," - ",'Cable Info'!S860))</f>
        <v/>
      </c>
      <c r="BB1155" s="121" t="str">
        <f t="shared" si="194"/>
        <v/>
      </c>
      <c r="BD1155" s="121" t="str">
        <f>IF('Cable Info'!T860="","",CONCATENATE('Cable Info'!T860," - ",'Cable Info'!U860))</f>
        <v/>
      </c>
      <c r="BG1155" s="121" t="str">
        <f t="shared" si="195"/>
        <v/>
      </c>
      <c r="BI1155" s="121" t="str">
        <f>IF('Cable Info'!V860="","",CONCATENATE('Cable Info'!V860," - ",'Cable Info'!W860))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str">
        <f>IF('Cable Info'!L861="","",CONCATENATE('Cable Info'!L861," - ",'Cable Info'!M861))</f>
        <v>860 - AW</v>
      </c>
      <c r="AM1156" s="121" t="str">
        <f t="shared" si="191"/>
        <v>860 - AW</v>
      </c>
      <c r="AO1156" s="121" t="str">
        <f>IF('Cable Info'!N861="","",CONCATENATE('Cable Info'!N861," - ",'Cable Info'!O861))</f>
        <v>860 - AW</v>
      </c>
      <c r="AR1156" s="121" t="str">
        <f t="shared" si="192"/>
        <v>860 - AW</v>
      </c>
      <c r="AT1156" s="121" t="str">
        <f>IF('Cable Info'!P861="","",CONCATENATE('Cable Info'!P861," - ",'Cable Info'!Q861))</f>
        <v/>
      </c>
      <c r="AW1156" s="121" t="str">
        <f t="shared" si="193"/>
        <v/>
      </c>
      <c r="AY1156" s="121" t="str">
        <f>IF('Cable Info'!R861="","",CONCATENATE('Cable Info'!R861," - ",'Cable Info'!S861))</f>
        <v/>
      </c>
      <c r="BB1156" s="121" t="str">
        <f t="shared" si="194"/>
        <v/>
      </c>
      <c r="BD1156" s="121" t="str">
        <f>IF('Cable Info'!T861="","",CONCATENATE('Cable Info'!T861," - ",'Cable Info'!U861))</f>
        <v/>
      </c>
      <c r="BG1156" s="121" t="str">
        <f t="shared" si="195"/>
        <v/>
      </c>
      <c r="BI1156" s="121" t="str">
        <f>IF('Cable Info'!V861="","",CONCATENATE('Cable Info'!V861," - ",'Cable Info'!W861))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str">
        <f>IF('Cable Info'!L862="","",CONCATENATE('Cable Info'!L862," - ",'Cable Info'!M862))</f>
        <v>861 - AW</v>
      </c>
      <c r="AM1157" s="121" t="str">
        <f t="shared" si="191"/>
        <v>861 - AW</v>
      </c>
      <c r="AO1157" s="121" t="str">
        <f>IF('Cable Info'!N862="","",CONCATENATE('Cable Info'!N862," - ",'Cable Info'!O862))</f>
        <v>861 - AW</v>
      </c>
      <c r="AR1157" s="121" t="str">
        <f t="shared" si="192"/>
        <v>861 - AW</v>
      </c>
      <c r="AT1157" s="121" t="str">
        <f>IF('Cable Info'!P862="","",CONCATENATE('Cable Info'!P862," - ",'Cable Info'!Q862))</f>
        <v/>
      </c>
      <c r="AW1157" s="121" t="str">
        <f t="shared" si="193"/>
        <v/>
      </c>
      <c r="AY1157" s="121" t="str">
        <f>IF('Cable Info'!R862="","",CONCATENATE('Cable Info'!R862," - ",'Cable Info'!S862))</f>
        <v/>
      </c>
      <c r="BB1157" s="121" t="str">
        <f t="shared" si="194"/>
        <v/>
      </c>
      <c r="BD1157" s="121" t="str">
        <f>IF('Cable Info'!T862="","",CONCATENATE('Cable Info'!T862," - ",'Cable Info'!U862))</f>
        <v/>
      </c>
      <c r="BG1157" s="121" t="str">
        <f t="shared" si="195"/>
        <v/>
      </c>
      <c r="BI1157" s="121" t="str">
        <f>IF('Cable Info'!V862="","",CONCATENATE('Cable Info'!V862," - ",'Cable Info'!W862))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str">
        <f>IF('Cable Info'!L863="","",CONCATENATE('Cable Info'!L863," - ",'Cable Info'!M863))</f>
        <v>862 - AW</v>
      </c>
      <c r="AM1158" s="121" t="str">
        <f t="shared" si="191"/>
        <v>862 - AW</v>
      </c>
      <c r="AO1158" s="121" t="str">
        <f>IF('Cable Info'!N863="","",CONCATENATE('Cable Info'!N863," - ",'Cable Info'!O863))</f>
        <v>862 - AW</v>
      </c>
      <c r="AR1158" s="121" t="str">
        <f t="shared" si="192"/>
        <v>862 - AW</v>
      </c>
      <c r="AT1158" s="121" t="str">
        <f>IF('Cable Info'!P863="","",CONCATENATE('Cable Info'!P863," - ",'Cable Info'!Q863))</f>
        <v/>
      </c>
      <c r="AW1158" s="121" t="str">
        <f t="shared" si="193"/>
        <v/>
      </c>
      <c r="AY1158" s="121" t="str">
        <f>IF('Cable Info'!R863="","",CONCATENATE('Cable Info'!R863," - ",'Cable Info'!S863))</f>
        <v/>
      </c>
      <c r="BB1158" s="121" t="str">
        <f t="shared" si="194"/>
        <v/>
      </c>
      <c r="BD1158" s="121" t="str">
        <f>IF('Cable Info'!T863="","",CONCATENATE('Cable Info'!T863," - ",'Cable Info'!U863))</f>
        <v/>
      </c>
      <c r="BG1158" s="121" t="str">
        <f t="shared" si="195"/>
        <v/>
      </c>
      <c r="BI1158" s="121" t="str">
        <f>IF('Cable Info'!V863="","",CONCATENATE('Cable Info'!V863," - ",'Cable Info'!W863))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str">
        <f>IF('Cable Info'!L864="","",CONCATENATE('Cable Info'!L864," - ",'Cable Info'!M864))</f>
        <v>863 - AW</v>
      </c>
      <c r="AM1159" s="121" t="str">
        <f t="shared" si="191"/>
        <v>863 - AW</v>
      </c>
      <c r="AO1159" s="121" t="str">
        <f>IF('Cable Info'!N864="","",CONCATENATE('Cable Info'!N864," - ",'Cable Info'!O864))</f>
        <v>863 - AW</v>
      </c>
      <c r="AR1159" s="121" t="str">
        <f t="shared" si="192"/>
        <v>863 - AW</v>
      </c>
      <c r="AT1159" s="121" t="str">
        <f>IF('Cable Info'!P864="","",CONCATENATE('Cable Info'!P864," - ",'Cable Info'!Q864))</f>
        <v/>
      </c>
      <c r="AW1159" s="121" t="str">
        <f t="shared" si="193"/>
        <v/>
      </c>
      <c r="AY1159" s="121" t="str">
        <f>IF('Cable Info'!R864="","",CONCATENATE('Cable Info'!R864," - ",'Cable Info'!S864))</f>
        <v/>
      </c>
      <c r="BB1159" s="121" t="str">
        <f t="shared" si="194"/>
        <v/>
      </c>
      <c r="BD1159" s="121" t="str">
        <f>IF('Cable Info'!T864="","",CONCATENATE('Cable Info'!T864," - ",'Cable Info'!U864))</f>
        <v/>
      </c>
      <c r="BG1159" s="121" t="str">
        <f t="shared" si="195"/>
        <v/>
      </c>
      <c r="BI1159" s="121" t="str">
        <f>IF('Cable Info'!V864="","",CONCATENATE('Cable Info'!V864," - ",'Cable Info'!W864))</f>
        <v/>
      </c>
      <c r="BL1159" s="121" t="str">
        <f t="shared" si="196"/>
        <v/>
      </c>
    </row>
    <row r="1160" spans="1:64" x14ac:dyDescent="0.25">
      <c r="AF1160" s="256"/>
      <c r="AJ1160" s="121" t="str">
        <f>IF('Cable Info'!L865="","",CONCATENATE('Cable Info'!L865," - ",'Cable Info'!M865))</f>
        <v>864 - AW</v>
      </c>
      <c r="AM1160" s="121" t="str">
        <f t="shared" si="191"/>
        <v>864 - AW</v>
      </c>
      <c r="AO1160" s="121" t="str">
        <f>IF('Cable Info'!N865="","",CONCATENATE('Cable Info'!N865," - ",'Cable Info'!O865))</f>
        <v>864 - AW</v>
      </c>
      <c r="AR1160" s="121" t="str">
        <f t="shared" si="192"/>
        <v>864 - AW</v>
      </c>
      <c r="AT1160" s="121" t="str">
        <f>IF('Cable Info'!P865="","",CONCATENATE('Cable Info'!P865," - ",'Cable Info'!Q865))</f>
        <v/>
      </c>
      <c r="AW1160" s="121" t="str">
        <f t="shared" si="193"/>
        <v/>
      </c>
      <c r="AY1160" s="121" t="str">
        <f>IF('Cable Info'!R865="","",CONCATENATE('Cable Info'!R865," - ",'Cable Info'!S865))</f>
        <v/>
      </c>
      <c r="BB1160" s="121" t="str">
        <f t="shared" si="194"/>
        <v/>
      </c>
      <c r="BD1160" s="121" t="str">
        <f>IF('Cable Info'!T865="","",CONCATENATE('Cable Info'!T865," - ",'Cable Info'!U865))</f>
        <v/>
      </c>
      <c r="BG1160" s="121" t="str">
        <f t="shared" si="195"/>
        <v/>
      </c>
      <c r="BI1160" s="121" t="str">
        <f>IF('Cable Info'!V865="","",CONCATENATE('Cable Info'!V865," - ",'Cable Info'!W865))</f>
        <v/>
      </c>
      <c r="BL1160" s="121" t="str">
        <f t="shared" si="196"/>
        <v/>
      </c>
    </row>
  </sheetData>
  <sheetProtection algorithmName="SHA-512" hashValue="WwmDFp107hzUu/oXkSSVMNjtP8qgtzZNkm9MN5xlCDifEJBRPq9UsOL0+oc96KBu1lLFRUx1+PBGzDyD0e7hoQ==" saltValue="qHPXLK6dv3AQhwQUcp45DQ==" spinCount="100000" sheet="1" objects="1" scenarios="1" selectLockedCells="1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21" priority="15">
      <formula>$Z$9&gt;0</formula>
    </cfRule>
  </conditionalFormatting>
  <conditionalFormatting sqref="E10:G379">
    <cfRule type="expression" dxfId="20" priority="12">
      <formula>$Y10=1</formula>
    </cfRule>
  </conditionalFormatting>
  <conditionalFormatting sqref="I10:K379">
    <cfRule type="expression" dxfId="19" priority="11">
      <formula>$Z10=1</formula>
    </cfRule>
  </conditionalFormatting>
  <conditionalFormatting sqref="E10:K379">
    <cfRule type="expression" dxfId="18" priority="10">
      <formula>$AB10=1</formula>
    </cfRule>
  </conditionalFormatting>
  <conditionalFormatting sqref="B10:P379 R10:W379">
    <cfRule type="expression" dxfId="9" priority="9">
      <formula>$X10=12</formula>
    </cfRule>
  </conditionalFormatting>
  <conditionalFormatting sqref="B10:P379 R10:W379">
    <cfRule type="expression" dxfId="8" priority="6">
      <formula>$X10=1</formula>
    </cfRule>
    <cfRule type="expression" dxfId="7" priority="7">
      <formula>$X10=2</formula>
    </cfRule>
    <cfRule type="expression" dxfId="6" priority="8">
      <formula>$X10=11</formula>
    </cfRule>
  </conditionalFormatting>
  <conditionalFormatting sqref="B10:P379 R10:X379">
    <cfRule type="expression" dxfId="5" priority="5">
      <formula>$X10=9</formula>
    </cfRule>
  </conditionalFormatting>
  <conditionalFormatting sqref="G5:I5">
    <cfRule type="expression" dxfId="17" priority="3">
      <formula>$AB$9&gt;0</formula>
    </cfRule>
  </conditionalFormatting>
  <conditionalFormatting sqref="D6:G6">
    <cfRule type="expression" dxfId="16" priority="2">
      <formula>$Y$9&gt;0</formula>
    </cfRule>
  </conditionalFormatting>
  <conditionalFormatting sqref="I16:I21">
    <cfRule type="expression" dxfId="15" priority="1">
      <formula>$Y16=1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79">
      <formula1>T10</formula1>
    </dataValidation>
    <dataValidation type="list" allowBlank="1" showInputMessage="1" showErrorMessage="1" sqref="R10:R379">
      <formula1>$Y$1:$Y$2</formula1>
    </dataValidation>
    <dataValidation type="list" allowBlank="1" showInputMessage="1" showErrorMessage="1" sqref="S10:S379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69850</xdr:colOff>
                <xdr:row>4</xdr:row>
                <xdr:rowOff>165100</xdr:rowOff>
              </from>
              <to>
                <xdr:col>5</xdr:col>
                <xdr:colOff>19050</xdr:colOff>
                <xdr:row>5</xdr:row>
                <xdr:rowOff>241300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25400</xdr:colOff>
                <xdr:row>2</xdr:row>
                <xdr:rowOff>127000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146050</xdr:rowOff>
              </from>
              <to>
                <xdr:col>5</xdr:col>
                <xdr:colOff>25400</xdr:colOff>
                <xdr:row>4</xdr:row>
                <xdr:rowOff>139700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796875" defaultRowHeight="12.5" x14ac:dyDescent="0.25"/>
  <cols>
    <col min="1" max="1" width="10.453125" style="238" customWidth="1"/>
    <col min="2" max="2" width="2.1796875" style="238" customWidth="1"/>
    <col min="3" max="3" width="102.81640625" style="238" customWidth="1"/>
    <col min="4" max="4" width="2.1796875" style="238" customWidth="1"/>
    <col min="5" max="5" width="9.1796875" style="238" customWidth="1"/>
    <col min="6" max="16384" width="9.1796875" style="238"/>
  </cols>
  <sheetData>
    <row r="1" spans="2:4" ht="51" customHeight="1" x14ac:dyDescent="0.6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4">
      <c r="B5" s="402" t="s">
        <v>84</v>
      </c>
      <c r="C5" s="402"/>
      <c r="D5" s="402"/>
    </row>
    <row r="8" spans="2:4" ht="18" x14ac:dyDescent="0.4">
      <c r="B8" s="402"/>
      <c r="C8" s="402"/>
      <c r="D8" s="402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David Hanes</cp:lastModifiedBy>
  <cp:lastPrinted>2013-11-22T22:56:05Z</cp:lastPrinted>
  <dcterms:created xsi:type="dcterms:W3CDTF">1998-05-29T15:48:38Z</dcterms:created>
  <dcterms:modified xsi:type="dcterms:W3CDTF">2016-11-03T18:14:54Z</dcterms:modified>
</cp:coreProperties>
</file>