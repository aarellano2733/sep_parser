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0" yWindow="0" windowWidth="28800" windowHeight="13020" tabRatio="599" activeTab="4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AB10" i="3" s="1"/>
  <c r="H380" i="3"/>
  <c r="Y9" i="3" l="1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O314" i="2" s="1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379" i="2"/>
  <c r="O617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AT137" i="3" l="1"/>
  <c r="AW137" i="3" s="1"/>
  <c r="AT105" i="3"/>
  <c r="AW105" i="3" s="1"/>
  <c r="AT13" i="3"/>
  <c r="AW13" i="3" s="1"/>
  <c r="AT356" i="3"/>
  <c r="AW356" i="3" s="1"/>
  <c r="AT340" i="3"/>
  <c r="AW340" i="3" s="1"/>
  <c r="AT324" i="3"/>
  <c r="AW324" i="3" s="1"/>
  <c r="AT308" i="3"/>
  <c r="AW308" i="3" s="1"/>
  <c r="AT292" i="3"/>
  <c r="AW292" i="3" s="1"/>
  <c r="AT276" i="3"/>
  <c r="AW276" i="3" s="1"/>
  <c r="AT260" i="3"/>
  <c r="AW260" i="3" s="1"/>
  <c r="AT244" i="3"/>
  <c r="AW244" i="3" s="1"/>
  <c r="AT228" i="3"/>
  <c r="AW228" i="3" s="1"/>
  <c r="AT212" i="3"/>
  <c r="AW212" i="3" s="1"/>
  <c r="AT184" i="3"/>
  <c r="AW184" i="3" s="1"/>
  <c r="AT168" i="3"/>
  <c r="AW168" i="3" s="1"/>
  <c r="AT152" i="3"/>
  <c r="AW152" i="3" s="1"/>
  <c r="AT136" i="3"/>
  <c r="AW136" i="3" s="1"/>
  <c r="AT120" i="3"/>
  <c r="AW120" i="3" s="1"/>
  <c r="AT104" i="3"/>
  <c r="AW104" i="3" s="1"/>
  <c r="AT88" i="3"/>
  <c r="AW88" i="3" s="1"/>
  <c r="AT355" i="3"/>
  <c r="AW355" i="3" s="1"/>
  <c r="AT323" i="3"/>
  <c r="AW323" i="3" s="1"/>
  <c r="AT291" i="3"/>
  <c r="AW291" i="3" s="1"/>
  <c r="AT259" i="3"/>
  <c r="AW259" i="3" s="1"/>
  <c r="AT227" i="3"/>
  <c r="AW227" i="3" s="1"/>
  <c r="AT183" i="3"/>
  <c r="AW183" i="3" s="1"/>
  <c r="AT151" i="3"/>
  <c r="AW151" i="3" s="1"/>
  <c r="AO315" i="3"/>
  <c r="AR315" i="3" s="1"/>
  <c r="AO913" i="3"/>
  <c r="AR913" i="3" s="1"/>
  <c r="O237" i="2"/>
  <c r="AO238" i="3" s="1"/>
  <c r="AR238" i="3" s="1"/>
  <c r="O364" i="2"/>
  <c r="AO660" i="3" s="1"/>
  <c r="AR660" i="3" s="1"/>
  <c r="O356" i="2"/>
  <c r="AO357" i="3" s="1"/>
  <c r="AR357" i="3" s="1"/>
  <c r="O348" i="2"/>
  <c r="AO644" i="3" s="1"/>
  <c r="AR644" i="3" s="1"/>
  <c r="O344" i="2"/>
  <c r="AO345" i="3" s="1"/>
  <c r="AR345" i="3" s="1"/>
  <c r="O340" i="2"/>
  <c r="AO341" i="3" s="1"/>
  <c r="AR341" i="3" s="1"/>
  <c r="O336" i="2"/>
  <c r="AO337" i="3" s="1"/>
  <c r="AR337" i="3" s="1"/>
  <c r="O332" i="2"/>
  <c r="AO628" i="3" s="1"/>
  <c r="AR628" i="3" s="1"/>
  <c r="O328" i="2"/>
  <c r="AO329" i="3" s="1"/>
  <c r="AR329" i="3" s="1"/>
  <c r="O324" i="2"/>
  <c r="AO325" i="3" s="1"/>
  <c r="AR325" i="3" s="1"/>
  <c r="O320" i="2"/>
  <c r="AO321" i="3" s="1"/>
  <c r="AR321" i="3" s="1"/>
  <c r="O316" i="2"/>
  <c r="AO317" i="3" s="1"/>
  <c r="AR317" i="3" s="1"/>
  <c r="O312" i="2"/>
  <c r="AO313" i="3" s="1"/>
  <c r="AR313" i="3" s="1"/>
  <c r="O308" i="2"/>
  <c r="AO309" i="3" s="1"/>
  <c r="AR309" i="3" s="1"/>
  <c r="O304" i="2"/>
  <c r="AO305" i="3" s="1"/>
  <c r="AR305" i="3" s="1"/>
  <c r="O300" i="2"/>
  <c r="AO301" i="3"/>
  <c r="AR301" i="3" s="1"/>
  <c r="O296" i="2"/>
  <c r="AO297" i="3" s="1"/>
  <c r="AR297" i="3" s="1"/>
  <c r="O292" i="2"/>
  <c r="AO588" i="3" s="1"/>
  <c r="AR588" i="3" s="1"/>
  <c r="O288" i="2"/>
  <c r="AO289" i="3" s="1"/>
  <c r="AR289" i="3" s="1"/>
  <c r="O284" i="2"/>
  <c r="AO285" i="3" s="1"/>
  <c r="AR285" i="3" s="1"/>
  <c r="O276" i="2"/>
  <c r="AO277" i="3" s="1"/>
  <c r="AR277" i="3" s="1"/>
  <c r="O272" i="2"/>
  <c r="AO273" i="3" s="1"/>
  <c r="AR273" i="3" s="1"/>
  <c r="O268" i="2"/>
  <c r="AO269" i="3" s="1"/>
  <c r="AR269" i="3" s="1"/>
  <c r="O264" i="2"/>
  <c r="AO265" i="3" s="1"/>
  <c r="AR265" i="3" s="1"/>
  <c r="O260" i="2"/>
  <c r="AO261" i="3" s="1"/>
  <c r="AR261" i="3" s="1"/>
  <c r="O252" i="2"/>
  <c r="AO253" i="3" s="1"/>
  <c r="AR253" i="3" s="1"/>
  <c r="O248" i="2"/>
  <c r="AO249" i="3" s="1"/>
  <c r="AR249" i="3" s="1"/>
  <c r="O244" i="2"/>
  <c r="AO245" i="3" s="1"/>
  <c r="AR245" i="3" s="1"/>
  <c r="O240" i="2"/>
  <c r="AO241" i="3" s="1"/>
  <c r="AR241" i="3" s="1"/>
  <c r="O236" i="2"/>
  <c r="AO237" i="3" s="1"/>
  <c r="AR237" i="3" s="1"/>
  <c r="O232" i="2"/>
  <c r="AO233" i="3" s="1"/>
  <c r="AR233" i="3" s="1"/>
  <c r="O228" i="2"/>
  <c r="AO229" i="3"/>
  <c r="AR229" i="3" s="1"/>
  <c r="O224" i="2"/>
  <c r="AO225" i="3" s="1"/>
  <c r="AR225" i="3" s="1"/>
  <c r="O220" i="2"/>
  <c r="AO516" i="3" s="1"/>
  <c r="AR516" i="3" s="1"/>
  <c r="O216" i="2"/>
  <c r="AO217" i="3" s="1"/>
  <c r="AR217" i="3" s="1"/>
  <c r="O212" i="2"/>
  <c r="AO508" i="3" s="1"/>
  <c r="AR508" i="3" s="1"/>
  <c r="O208" i="2"/>
  <c r="AO209" i="3" s="1"/>
  <c r="AR209" i="3" s="1"/>
  <c r="O204" i="2"/>
  <c r="AO205" i="3" s="1"/>
  <c r="AR205" i="3" s="1"/>
  <c r="O200" i="2"/>
  <c r="AO201" i="3" s="1"/>
  <c r="AR201" i="3" s="1"/>
  <c r="O196" i="2"/>
  <c r="AO379" i="3" s="1"/>
  <c r="AR379" i="3" s="1"/>
  <c r="O192" i="2"/>
  <c r="AO193" i="3" s="1"/>
  <c r="AR193" i="3" s="1"/>
  <c r="O188" i="2"/>
  <c r="AO484" i="3" s="1"/>
  <c r="AR484" i="3" s="1"/>
  <c r="O184" i="2"/>
  <c r="AO185" i="3" s="1"/>
  <c r="AR185" i="3" s="1"/>
  <c r="O180" i="2"/>
  <c r="AO181" i="3" s="1"/>
  <c r="AR181" i="3" s="1"/>
  <c r="O176" i="2"/>
  <c r="AO177" i="3" s="1"/>
  <c r="AR177" i="3" s="1"/>
  <c r="O172" i="2"/>
  <c r="AO173" i="3" s="1"/>
  <c r="AR173" i="3" s="1"/>
  <c r="O168" i="2"/>
  <c r="AO169" i="3" s="1"/>
  <c r="AR169" i="3" s="1"/>
  <c r="O164" i="2"/>
  <c r="AO165" i="3" s="1"/>
  <c r="AR165" i="3" s="1"/>
  <c r="O160" i="2"/>
  <c r="AO161" i="3" s="1"/>
  <c r="AR161" i="3" s="1"/>
  <c r="O156" i="2"/>
  <c r="AO157" i="3" s="1"/>
  <c r="AR157" i="3" s="1"/>
  <c r="O152" i="2"/>
  <c r="AO153" i="3" s="1"/>
  <c r="AR153" i="3" s="1"/>
  <c r="O148" i="2"/>
  <c r="AO149" i="3"/>
  <c r="AR149" i="3" s="1"/>
  <c r="O144" i="2"/>
  <c r="AO145" i="3" s="1"/>
  <c r="AR145" i="3" s="1"/>
  <c r="O140" i="2"/>
  <c r="AO141" i="3" s="1"/>
  <c r="AR141" i="3" s="1"/>
  <c r="O136" i="2"/>
  <c r="AO137" i="3" s="1"/>
  <c r="AR137" i="3" s="1"/>
  <c r="O132" i="2"/>
  <c r="AO133" i="3" s="1"/>
  <c r="AR133" i="3" s="1"/>
  <c r="O128" i="2"/>
  <c r="AO129" i="3" s="1"/>
  <c r="AR129" i="3" s="1"/>
  <c r="O124" i="2"/>
  <c r="AO125" i="3" s="1"/>
  <c r="AR125" i="3" s="1"/>
  <c r="O120" i="2"/>
  <c r="AO121" i="3" s="1"/>
  <c r="AR121" i="3" s="1"/>
  <c r="O116" i="2"/>
  <c r="AO117" i="3" s="1"/>
  <c r="AR117" i="3" s="1"/>
  <c r="O112" i="2"/>
  <c r="AO113" i="3" s="1"/>
  <c r="AR113" i="3" s="1"/>
  <c r="O108" i="2"/>
  <c r="AO109" i="3" s="1"/>
  <c r="AR109" i="3" s="1"/>
  <c r="O104" i="2"/>
  <c r="AO105" i="3" s="1"/>
  <c r="AR105" i="3" s="1"/>
  <c r="O100" i="2"/>
  <c r="AO101" i="3" s="1"/>
  <c r="AR101" i="3" s="1"/>
  <c r="O96" i="2"/>
  <c r="AO97" i="3" s="1"/>
  <c r="AR97" i="3" s="1"/>
  <c r="O92" i="2"/>
  <c r="AO93" i="3" s="1"/>
  <c r="AR93" i="3" s="1"/>
  <c r="O84" i="2"/>
  <c r="AO85" i="3" s="1"/>
  <c r="AR85" i="3" s="1"/>
  <c r="O80" i="2"/>
  <c r="AO81" i="3"/>
  <c r="AR81" i="3" s="1"/>
  <c r="O76" i="2"/>
  <c r="AO77" i="3" s="1"/>
  <c r="AR77" i="3" s="1"/>
  <c r="O72" i="2"/>
  <c r="AO73" i="3" s="1"/>
  <c r="AR73" i="3" s="1"/>
  <c r="O68" i="2"/>
  <c r="AO69" i="3" s="1"/>
  <c r="AR69" i="3" s="1"/>
  <c r="O64" i="2"/>
  <c r="AO65" i="3" s="1"/>
  <c r="AR65" i="3" s="1"/>
  <c r="O60" i="2"/>
  <c r="AO61" i="3" s="1"/>
  <c r="AR61" i="3" s="1"/>
  <c r="O56" i="2"/>
  <c r="AO57" i="3" s="1"/>
  <c r="AR57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AT192" i="3"/>
  <c r="AW192" i="3" s="1"/>
  <c r="Q71" i="2"/>
  <c r="AT72" i="3" s="1"/>
  <c r="AW72" i="3" s="1"/>
  <c r="Q39" i="2"/>
  <c r="AT40" i="3" s="1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AO368" i="3"/>
  <c r="AR368" i="3" s="1"/>
  <c r="O363" i="2"/>
  <c r="AO364" i="3" s="1"/>
  <c r="AR364" i="3" s="1"/>
  <c r="O359" i="2"/>
  <c r="AO360" i="3" s="1"/>
  <c r="AR360" i="3" s="1"/>
  <c r="O355" i="2"/>
  <c r="AO356" i="3" s="1"/>
  <c r="AR356" i="3" s="1"/>
  <c r="O351" i="2"/>
  <c r="AO352" i="3" s="1"/>
  <c r="AR352" i="3" s="1"/>
  <c r="O347" i="2"/>
  <c r="AO348" i="3" s="1"/>
  <c r="AR348" i="3" s="1"/>
  <c r="O343" i="2"/>
  <c r="AO344" i="3" s="1"/>
  <c r="AR344" i="3" s="1"/>
  <c r="O339" i="2"/>
  <c r="AO340" i="3" s="1"/>
  <c r="AR340" i="3" s="1"/>
  <c r="O335" i="2"/>
  <c r="AO336" i="3" s="1"/>
  <c r="AR336" i="3" s="1"/>
  <c r="O331" i="2"/>
  <c r="AO332" i="3" s="1"/>
  <c r="AR332" i="3" s="1"/>
  <c r="O327" i="2"/>
  <c r="AO328" i="3" s="1"/>
  <c r="AR328" i="3" s="1"/>
  <c r="O323" i="2"/>
  <c r="AO324" i="3" s="1"/>
  <c r="AR324" i="3" s="1"/>
  <c r="O319" i="2"/>
  <c r="AO320" i="3" s="1"/>
  <c r="AR320" i="3" s="1"/>
  <c r="O315" i="2"/>
  <c r="AO316" i="3" s="1"/>
  <c r="AR316" i="3" s="1"/>
  <c r="O311" i="2"/>
  <c r="AO312" i="3" s="1"/>
  <c r="AR312" i="3" s="1"/>
  <c r="O307" i="2"/>
  <c r="AO308" i="3" s="1"/>
  <c r="AR308" i="3" s="1"/>
  <c r="O303" i="2"/>
  <c r="AO304" i="3"/>
  <c r="AR304" i="3" s="1"/>
  <c r="O299" i="2"/>
  <c r="AO300" i="3" s="1"/>
  <c r="AR300" i="3" s="1"/>
  <c r="O295" i="2"/>
  <c r="AO296" i="3" s="1"/>
  <c r="AR296" i="3" s="1"/>
  <c r="O291" i="2"/>
  <c r="AO292" i="3" s="1"/>
  <c r="AR292" i="3" s="1"/>
  <c r="O287" i="2"/>
  <c r="AO288" i="3" s="1"/>
  <c r="AR288" i="3" s="1"/>
  <c r="O283" i="2"/>
  <c r="AO284" i="3" s="1"/>
  <c r="AR284" i="3" s="1"/>
  <c r="O279" i="2"/>
  <c r="AO280" i="3" s="1"/>
  <c r="AR280" i="3" s="1"/>
  <c r="O275" i="2"/>
  <c r="AO276" i="3" s="1"/>
  <c r="AR276" i="3" s="1"/>
  <c r="O271" i="2"/>
  <c r="AO567" i="3" s="1"/>
  <c r="AR567" i="3" s="1"/>
  <c r="O267" i="2"/>
  <c r="AO268" i="3" s="1"/>
  <c r="AR268" i="3" s="1"/>
  <c r="O263" i="2"/>
  <c r="AO264" i="3" s="1"/>
  <c r="AR264" i="3" s="1"/>
  <c r="O259" i="2"/>
  <c r="AO260" i="3" s="1"/>
  <c r="AR260" i="3" s="1"/>
  <c r="O255" i="2"/>
  <c r="AO256" i="3" s="1"/>
  <c r="AR256" i="3" s="1"/>
  <c r="O251" i="2"/>
  <c r="AO252" i="3" s="1"/>
  <c r="AR252" i="3" s="1"/>
  <c r="O247" i="2"/>
  <c r="AO248" i="3" s="1"/>
  <c r="AR248" i="3" s="1"/>
  <c r="O243" i="2"/>
  <c r="AO244" i="3" s="1"/>
  <c r="AR244" i="3" s="1"/>
  <c r="O239" i="2"/>
  <c r="AO240" i="3"/>
  <c r="AR240" i="3" s="1"/>
  <c r="O235" i="2"/>
  <c r="AO236" i="3" s="1"/>
  <c r="AR236" i="3" s="1"/>
  <c r="O231" i="2"/>
  <c r="AO232" i="3" s="1"/>
  <c r="AR232" i="3" s="1"/>
  <c r="O227" i="2"/>
  <c r="AO228" i="3" s="1"/>
  <c r="AR228" i="3" s="1"/>
  <c r="O223" i="2"/>
  <c r="AO224" i="3" s="1"/>
  <c r="AR224" i="3" s="1"/>
  <c r="O219" i="2"/>
  <c r="AO220" i="3" s="1"/>
  <c r="AR220" i="3" s="1"/>
  <c r="O215" i="2"/>
  <c r="AO216" i="3" s="1"/>
  <c r="AR216" i="3" s="1"/>
  <c r="O211" i="2"/>
  <c r="AO212" i="3" s="1"/>
  <c r="AR212" i="3" s="1"/>
  <c r="O207" i="2"/>
  <c r="AO208" i="3" s="1"/>
  <c r="AR208" i="3" s="1"/>
  <c r="O203" i="2"/>
  <c r="AO204" i="3" s="1"/>
  <c r="AR204" i="3" s="1"/>
  <c r="O199" i="2"/>
  <c r="AO200" i="3" s="1"/>
  <c r="AR200" i="3" s="1"/>
  <c r="O195" i="2"/>
  <c r="AO491" i="3" s="1"/>
  <c r="AR491" i="3" s="1"/>
  <c r="O191" i="2"/>
  <c r="AO374" i="3" s="1"/>
  <c r="AR374" i="3" s="1"/>
  <c r="O187" i="2"/>
  <c r="AO188" i="3" s="1"/>
  <c r="AR188" i="3" s="1"/>
  <c r="O183" i="2"/>
  <c r="AO184" i="3" s="1"/>
  <c r="AR184" i="3" s="1"/>
  <c r="O179" i="2"/>
  <c r="AO180" i="3" s="1"/>
  <c r="AR180" i="3" s="1"/>
  <c r="O175" i="2"/>
  <c r="AO471" i="3" s="1"/>
  <c r="AR471" i="3" s="1"/>
  <c r="O171" i="2"/>
  <c r="AO172" i="3" s="1"/>
  <c r="AR172" i="3" s="1"/>
  <c r="O167" i="2"/>
  <c r="AO168" i="3" s="1"/>
  <c r="AR168" i="3" s="1"/>
  <c r="O163" i="2"/>
  <c r="AO164" i="3" s="1"/>
  <c r="AR164" i="3" s="1"/>
  <c r="O159" i="2"/>
  <c r="AO160" i="3" s="1"/>
  <c r="AR160" i="3" s="1"/>
  <c r="O155" i="2"/>
  <c r="AO156" i="3" s="1"/>
  <c r="AR156" i="3" s="1"/>
  <c r="O151" i="2"/>
  <c r="AO152" i="3" s="1"/>
  <c r="AR152" i="3" s="1"/>
  <c r="O147" i="2"/>
  <c r="AO148" i="3" s="1"/>
  <c r="AR148" i="3" s="1"/>
  <c r="O143" i="2"/>
  <c r="AO144" i="3"/>
  <c r="AR144" i="3" s="1"/>
  <c r="O139" i="2"/>
  <c r="AO140" i="3" s="1"/>
  <c r="AR140" i="3" s="1"/>
  <c r="O135" i="2"/>
  <c r="AO136" i="3" s="1"/>
  <c r="AR136" i="3" s="1"/>
  <c r="O131" i="2"/>
  <c r="AO132" i="3" s="1"/>
  <c r="AR132" i="3" s="1"/>
  <c r="O127" i="2"/>
  <c r="AO128" i="3" s="1"/>
  <c r="AR128" i="3" s="1"/>
  <c r="O123" i="2"/>
  <c r="AO124" i="3" s="1"/>
  <c r="AR124" i="3" s="1"/>
  <c r="O119" i="2"/>
  <c r="AO120" i="3" s="1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104" i="3" s="1"/>
  <c r="AR104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/>
  <c r="AR16" i="3" s="1"/>
  <c r="O11" i="2"/>
  <c r="AO12" i="3" s="1"/>
  <c r="AR12" i="3" s="1"/>
  <c r="AT373" i="3"/>
  <c r="AW373" i="3" s="1"/>
  <c r="Q70" i="2"/>
  <c r="AT71" i="3"/>
  <c r="AW71" i="3" s="1"/>
  <c r="Q66" i="2"/>
  <c r="AT67" i="3"/>
  <c r="AW67" i="3" s="1"/>
  <c r="Q62" i="2"/>
  <c r="AT63" i="3"/>
  <c r="AW63" i="3" s="1"/>
  <c r="Q58" i="2"/>
  <c r="AT59" i="3"/>
  <c r="AW59" i="3" s="1"/>
  <c r="Q54" i="2"/>
  <c r="AT55" i="3"/>
  <c r="AW55" i="3" s="1"/>
  <c r="Q50" i="2"/>
  <c r="AT51" i="3"/>
  <c r="AW51" i="3" s="1"/>
  <c r="Q46" i="2"/>
  <c r="AT47" i="3"/>
  <c r="AW47" i="3" s="1"/>
  <c r="Q42" i="2"/>
  <c r="AT43" i="3"/>
  <c r="AW43" i="3" s="1"/>
  <c r="Q38" i="2"/>
  <c r="AT39" i="3"/>
  <c r="AW39" i="3" s="1"/>
  <c r="Q34" i="2"/>
  <c r="AT35" i="3"/>
  <c r="AW35" i="3" s="1"/>
  <c r="Q30" i="2"/>
  <c r="AT31" i="3"/>
  <c r="AW31" i="3" s="1"/>
  <c r="Q26" i="2"/>
  <c r="AT27" i="3"/>
  <c r="AW27" i="3" s="1"/>
  <c r="Q22" i="2"/>
  <c r="AT23" i="3"/>
  <c r="AW23" i="3" s="1"/>
  <c r="Q14" i="2"/>
  <c r="AT15" i="3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AO367" i="3"/>
  <c r="AR367" i="3" s="1"/>
  <c r="O362" i="2"/>
  <c r="AO363" i="3" s="1"/>
  <c r="AR363" i="3" s="1"/>
  <c r="O358" i="2"/>
  <c r="AO359" i="3" s="1"/>
  <c r="AR359" i="3" s="1"/>
  <c r="O354" i="2"/>
  <c r="AO355" i="3" s="1"/>
  <c r="AR355" i="3" s="1"/>
  <c r="O350" i="2"/>
  <c r="AO646" i="3" s="1"/>
  <c r="AR646" i="3" s="1"/>
  <c r="O346" i="2"/>
  <c r="AO347" i="3" s="1"/>
  <c r="AR347" i="3" s="1"/>
  <c r="O342" i="2"/>
  <c r="AO343" i="3" s="1"/>
  <c r="AR343" i="3" s="1"/>
  <c r="O338" i="2"/>
  <c r="AO339" i="3" s="1"/>
  <c r="AR339" i="3" s="1"/>
  <c r="O334" i="2"/>
  <c r="AO335" i="3" s="1"/>
  <c r="AR335" i="3" s="1"/>
  <c r="O330" i="2"/>
  <c r="AO331" i="3" s="1"/>
  <c r="AR331" i="3" s="1"/>
  <c r="O326" i="2"/>
  <c r="AO622" i="3" s="1"/>
  <c r="AR622" i="3" s="1"/>
  <c r="O322" i="2"/>
  <c r="AO323" i="3" s="1"/>
  <c r="AR323" i="3" s="1"/>
  <c r="O318" i="2"/>
  <c r="AO319" i="3" s="1"/>
  <c r="AR319" i="3" s="1"/>
  <c r="O306" i="2"/>
  <c r="AO307" i="3" s="1"/>
  <c r="AR307" i="3" s="1"/>
  <c r="O302" i="2"/>
  <c r="AO303" i="3" s="1"/>
  <c r="AR303" i="3" s="1"/>
  <c r="O298" i="2"/>
  <c r="AO299" i="3" s="1"/>
  <c r="AR299" i="3" s="1"/>
  <c r="O294" i="2"/>
  <c r="AO295" i="3" s="1"/>
  <c r="AR295" i="3" s="1"/>
  <c r="O290" i="2"/>
  <c r="AO291" i="3" s="1"/>
  <c r="AR291" i="3" s="1"/>
  <c r="O286" i="2"/>
  <c r="AO582" i="3" s="1"/>
  <c r="AR582" i="3" s="1"/>
  <c r="O282" i="2"/>
  <c r="AO283" i="3" s="1"/>
  <c r="AR283" i="3" s="1"/>
  <c r="O278" i="2"/>
  <c r="AO279" i="3" s="1"/>
  <c r="AR279" i="3" s="1"/>
  <c r="O274" i="2"/>
  <c r="AO275" i="3" s="1"/>
  <c r="AR275" i="3" s="1"/>
  <c r="O270" i="2"/>
  <c r="AO271" i="3" s="1"/>
  <c r="AR271" i="3" s="1"/>
  <c r="O266" i="2"/>
  <c r="AO267" i="3" s="1"/>
  <c r="AR267" i="3" s="1"/>
  <c r="O262" i="2"/>
  <c r="AO263" i="3" s="1"/>
  <c r="AR263" i="3" s="1"/>
  <c r="O258" i="2"/>
  <c r="AO259" i="3" s="1"/>
  <c r="AR259" i="3" s="1"/>
  <c r="O254" i="2"/>
  <c r="AO255" i="3" s="1"/>
  <c r="AR255" i="3" s="1"/>
  <c r="O250" i="2"/>
  <c r="AO251" i="3" s="1"/>
  <c r="AR251" i="3" s="1"/>
  <c r="O246" i="2"/>
  <c r="AO542" i="3" s="1"/>
  <c r="AR542" i="3" s="1"/>
  <c r="O242" i="2"/>
  <c r="AO243" i="3" s="1"/>
  <c r="AR243" i="3" s="1"/>
  <c r="O238" i="2"/>
  <c r="AO239" i="3" s="1"/>
  <c r="AR239" i="3" s="1"/>
  <c r="O234" i="2"/>
  <c r="AO235" i="3" s="1"/>
  <c r="AR235" i="3" s="1"/>
  <c r="O230" i="2"/>
  <c r="AO231" i="3" s="1"/>
  <c r="AR231" i="3" s="1"/>
  <c r="O226" i="2"/>
  <c r="AO227" i="3" s="1"/>
  <c r="AR227" i="3" s="1"/>
  <c r="O222" i="2"/>
  <c r="AO518" i="3" s="1"/>
  <c r="AR518" i="3" s="1"/>
  <c r="O218" i="2"/>
  <c r="AO219" i="3" s="1"/>
  <c r="AR219" i="3" s="1"/>
  <c r="O214" i="2"/>
  <c r="AO215" i="3" s="1"/>
  <c r="AR215" i="3" s="1"/>
  <c r="O210" i="2"/>
  <c r="AO211" i="3" s="1"/>
  <c r="AR211" i="3" s="1"/>
  <c r="O206" i="2"/>
  <c r="AO207" i="3" s="1"/>
  <c r="AR207" i="3" s="1"/>
  <c r="O202" i="2"/>
  <c r="AO203" i="3" s="1"/>
  <c r="AR203" i="3" s="1"/>
  <c r="O198" i="2"/>
  <c r="AO199" i="3" s="1"/>
  <c r="AR199" i="3" s="1"/>
  <c r="O194" i="2"/>
  <c r="AO195" i="3" s="1"/>
  <c r="AR195" i="3" s="1"/>
  <c r="O190" i="2"/>
  <c r="AO191" i="3" s="1"/>
  <c r="AR191" i="3" s="1"/>
  <c r="O186" i="2"/>
  <c r="AO369" i="3" s="1"/>
  <c r="AR369" i="3" s="1"/>
  <c r="O182" i="2"/>
  <c r="AO183" i="3" s="1"/>
  <c r="AR183" i="3" s="1"/>
  <c r="O178" i="2"/>
  <c r="AO179" i="3" s="1"/>
  <c r="AR179" i="3" s="1"/>
  <c r="O174" i="2"/>
  <c r="AO175" i="3" s="1"/>
  <c r="AR175" i="3" s="1"/>
  <c r="O170" i="2"/>
  <c r="AO171" i="3" s="1"/>
  <c r="AR171" i="3" s="1"/>
  <c r="O166" i="2"/>
  <c r="AO167" i="3" s="1"/>
  <c r="AR167" i="3" s="1"/>
  <c r="O162" i="2"/>
  <c r="O118" i="2"/>
  <c r="AO119" i="3" s="1"/>
  <c r="AR119" i="3" s="1"/>
  <c r="Q365" i="2"/>
  <c r="AT366" i="3" s="1"/>
  <c r="AW366" i="3" s="1"/>
  <c r="Q361" i="2"/>
  <c r="Q357" i="2"/>
  <c r="AT358" i="3" s="1"/>
  <c r="AW358" i="3" s="1"/>
  <c r="Q353" i="2"/>
  <c r="AT354" i="3" s="1"/>
  <c r="AW354" i="3" s="1"/>
  <c r="Q349" i="2"/>
  <c r="AT350" i="3" s="1"/>
  <c r="AW350" i="3" s="1"/>
  <c r="Q345" i="2"/>
  <c r="AT346" i="3" s="1"/>
  <c r="AW346" i="3" s="1"/>
  <c r="Q341" i="2"/>
  <c r="AT342" i="3" s="1"/>
  <c r="AW342" i="3" s="1"/>
  <c r="Q337" i="2"/>
  <c r="AT338" i="3" s="1"/>
  <c r="AW338" i="3" s="1"/>
  <c r="Q333" i="2"/>
  <c r="AT334" i="3" s="1"/>
  <c r="AW334" i="3" s="1"/>
  <c r="Q329" i="2"/>
  <c r="AT330" i="3" s="1"/>
  <c r="AW330" i="3" s="1"/>
  <c r="Q325" i="2"/>
  <c r="AT326" i="3" s="1"/>
  <c r="AW326" i="3" s="1"/>
  <c r="Q321" i="2"/>
  <c r="Q317" i="2"/>
  <c r="AT318" i="3" s="1"/>
  <c r="AW318" i="3" s="1"/>
  <c r="Q313" i="2"/>
  <c r="Q309" i="2"/>
  <c r="AT310" i="3" s="1"/>
  <c r="AW310" i="3" s="1"/>
  <c r="Q305" i="2"/>
  <c r="Q301" i="2"/>
  <c r="AT302" i="3" s="1"/>
  <c r="AW302" i="3" s="1"/>
  <c r="Q297" i="2"/>
  <c r="Q293" i="2"/>
  <c r="AT294" i="3" s="1"/>
  <c r="AW294" i="3" s="1"/>
  <c r="Q289" i="2"/>
  <c r="Q285" i="2"/>
  <c r="AT286" i="3" s="1"/>
  <c r="AW286" i="3" s="1"/>
  <c r="Q281" i="2"/>
  <c r="AT282" i="3" s="1"/>
  <c r="AW282" i="3" s="1"/>
  <c r="Q277" i="2"/>
  <c r="AT278" i="3" s="1"/>
  <c r="AW278" i="3" s="1"/>
  <c r="Q273" i="2"/>
  <c r="AT274" i="3" s="1"/>
  <c r="AW274" i="3" s="1"/>
  <c r="Q269" i="2"/>
  <c r="AT270" i="3" s="1"/>
  <c r="AW270" i="3" s="1"/>
  <c r="Q265" i="2"/>
  <c r="AT266" i="3" s="1"/>
  <c r="AW266" i="3" s="1"/>
  <c r="Q261" i="2"/>
  <c r="AT262" i="3" s="1"/>
  <c r="AW262" i="3" s="1"/>
  <c r="Q257" i="2"/>
  <c r="AT258" i="3" s="1"/>
  <c r="AW258" i="3" s="1"/>
  <c r="Q253" i="2"/>
  <c r="AT254" i="3" s="1"/>
  <c r="AW254" i="3" s="1"/>
  <c r="Q249" i="2"/>
  <c r="Q245" i="2"/>
  <c r="AT246" i="3" s="1"/>
  <c r="AW246" i="3" s="1"/>
  <c r="Q241" i="2"/>
  <c r="Q237" i="2"/>
  <c r="AT238" i="3" s="1"/>
  <c r="AW238" i="3" s="1"/>
  <c r="Q233" i="2"/>
  <c r="Q229" i="2"/>
  <c r="AT230" i="3" s="1"/>
  <c r="AW230" i="3" s="1"/>
  <c r="Q225" i="2"/>
  <c r="Q221" i="2"/>
  <c r="AT222" i="3" s="1"/>
  <c r="AW222" i="3" s="1"/>
  <c r="Q217" i="2"/>
  <c r="AT218" i="3" s="1"/>
  <c r="AW218" i="3" s="1"/>
  <c r="Q213" i="2"/>
  <c r="AT214" i="3" s="1"/>
  <c r="AW214" i="3" s="1"/>
  <c r="Q209" i="2"/>
  <c r="AT210" i="3" s="1"/>
  <c r="AW210" i="3" s="1"/>
  <c r="Q205" i="2"/>
  <c r="AT206" i="3" s="1"/>
  <c r="AW206" i="3" s="1"/>
  <c r="Q201" i="2"/>
  <c r="AT202" i="3" s="1"/>
  <c r="AW202" i="3" s="1"/>
  <c r="Q197" i="2"/>
  <c r="AT198" i="3" s="1"/>
  <c r="AW198" i="3" s="1"/>
  <c r="Q193" i="2"/>
  <c r="Q189" i="2"/>
  <c r="AT372" i="3" s="1"/>
  <c r="AW372" i="3" s="1"/>
  <c r="AT190" i="3"/>
  <c r="AW190" i="3" s="1"/>
  <c r="Q185" i="2"/>
  <c r="Q181" i="2"/>
  <c r="AT182" i="3" s="1"/>
  <c r="AW182" i="3" s="1"/>
  <c r="Q177" i="2"/>
  <c r="Q173" i="2"/>
  <c r="AT174" i="3" s="1"/>
  <c r="AW174" i="3" s="1"/>
  <c r="Q169" i="2"/>
  <c r="Q165" i="2"/>
  <c r="Q161" i="2"/>
  <c r="AT162" i="3"/>
  <c r="AW162" i="3" s="1"/>
  <c r="Q157" i="2"/>
  <c r="AT158" i="3" s="1"/>
  <c r="AW158" i="3" s="1"/>
  <c r="Q153" i="2"/>
  <c r="AT154" i="3" s="1"/>
  <c r="AW154" i="3" s="1"/>
  <c r="Q149" i="2"/>
  <c r="AT150" i="3" s="1"/>
  <c r="AW150" i="3" s="1"/>
  <c r="Q145" i="2"/>
  <c r="AT146" i="3"/>
  <c r="AW146" i="3" s="1"/>
  <c r="Q141" i="2"/>
  <c r="AT142" i="3" s="1"/>
  <c r="AW142" i="3" s="1"/>
  <c r="Q137" i="2"/>
  <c r="AT138" i="3" s="1"/>
  <c r="AW138" i="3" s="1"/>
  <c r="Q133" i="2"/>
  <c r="Q129" i="2"/>
  <c r="AT130" i="3"/>
  <c r="AW130" i="3" s="1"/>
  <c r="Q125" i="2"/>
  <c r="AT126" i="3"/>
  <c r="AW126" i="3" s="1"/>
  <c r="Q121" i="2"/>
  <c r="AT122" i="3"/>
  <c r="AW122" i="3" s="1"/>
  <c r="Q117" i="2"/>
  <c r="AT118" i="3"/>
  <c r="AW118" i="3" s="1"/>
  <c r="Q113" i="2"/>
  <c r="AT114" i="3"/>
  <c r="AW114" i="3" s="1"/>
  <c r="Q109" i="2"/>
  <c r="AT110" i="3"/>
  <c r="AW110" i="3" s="1"/>
  <c r="Q105" i="2"/>
  <c r="AT106" i="3"/>
  <c r="AW106" i="3" s="1"/>
  <c r="Q101" i="2"/>
  <c r="AT102" i="3"/>
  <c r="AW102" i="3" s="1"/>
  <c r="Q97" i="2"/>
  <c r="AT98" i="3"/>
  <c r="AW98" i="3" s="1"/>
  <c r="Q93" i="2"/>
  <c r="AT94" i="3"/>
  <c r="AW94" i="3" s="1"/>
  <c r="Q89" i="2"/>
  <c r="AT90" i="3"/>
  <c r="AW90" i="3" s="1"/>
  <c r="Q85" i="2"/>
  <c r="AT86" i="3"/>
  <c r="AW86" i="3" s="1"/>
  <c r="Q81" i="2"/>
  <c r="AT82" i="3"/>
  <c r="AW82" i="3" s="1"/>
  <c r="Q77" i="2"/>
  <c r="AT78" i="3"/>
  <c r="AW78" i="3" s="1"/>
  <c r="Q73" i="2"/>
  <c r="AT74" i="3"/>
  <c r="AW74" i="3" s="1"/>
  <c r="Q69" i="2"/>
  <c r="AT70" i="3"/>
  <c r="AW70" i="3" s="1"/>
  <c r="Q65" i="2"/>
  <c r="AT66" i="3"/>
  <c r="AW66" i="3" s="1"/>
  <c r="Q61" i="2"/>
  <c r="AT62" i="3"/>
  <c r="AW62" i="3" s="1"/>
  <c r="Q57" i="2"/>
  <c r="AT58" i="3"/>
  <c r="AW58" i="3" s="1"/>
  <c r="Q53" i="2"/>
  <c r="AT54" i="3"/>
  <c r="AW54" i="3" s="1"/>
  <c r="Q49" i="2"/>
  <c r="AT50" i="3"/>
  <c r="AW50" i="3" s="1"/>
  <c r="Q45" i="2"/>
  <c r="AT46" i="3"/>
  <c r="AW46" i="3" s="1"/>
  <c r="Q41" i="2"/>
  <c r="AT42" i="3"/>
  <c r="AW42" i="3" s="1"/>
  <c r="Q37" i="2"/>
  <c r="AT38" i="3"/>
  <c r="AW38" i="3" s="1"/>
  <c r="Q33" i="2"/>
  <c r="AT34" i="3"/>
  <c r="AW34" i="3" s="1"/>
  <c r="Q29" i="2"/>
  <c r="AT30" i="3"/>
  <c r="AW30" i="3" s="1"/>
  <c r="Q25" i="2"/>
  <c r="AT26" i="3"/>
  <c r="AW26" i="3" s="1"/>
  <c r="Q21" i="2"/>
  <c r="AT22" i="3"/>
  <c r="AW22" i="3" s="1"/>
  <c r="Q17" i="2"/>
  <c r="AT18" i="3"/>
  <c r="AW18" i="3" s="1"/>
  <c r="Q13" i="2"/>
  <c r="AT14" i="3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366" i="3" s="1"/>
  <c r="AR366" i="3" s="1"/>
  <c r="O357" i="2"/>
  <c r="AO358" i="3" s="1"/>
  <c r="AR358" i="3" s="1"/>
  <c r="O353" i="2"/>
  <c r="AO354" i="3" s="1"/>
  <c r="AR354" i="3" s="1"/>
  <c r="O341" i="2"/>
  <c r="AO637" i="3" s="1"/>
  <c r="AR637" i="3" s="1"/>
  <c r="O337" i="2"/>
  <c r="AO338" i="3" s="1"/>
  <c r="AR338" i="3" s="1"/>
  <c r="O325" i="2"/>
  <c r="AO326" i="3" s="1"/>
  <c r="AR326" i="3" s="1"/>
  <c r="O317" i="2"/>
  <c r="AO318" i="3" s="1"/>
  <c r="AR318" i="3" s="1"/>
  <c r="O313" i="2"/>
  <c r="AO314" i="3" s="1"/>
  <c r="AR314" i="3" s="1"/>
  <c r="O309" i="2"/>
  <c r="AO310" i="3" s="1"/>
  <c r="AR310" i="3" s="1"/>
  <c r="O293" i="2"/>
  <c r="AO294" i="3" s="1"/>
  <c r="AR294" i="3" s="1"/>
  <c r="O289" i="2"/>
  <c r="AO290" i="3" s="1"/>
  <c r="AR290" i="3" s="1"/>
  <c r="O277" i="2"/>
  <c r="AO278" i="3" s="1"/>
  <c r="AR278" i="3" s="1"/>
  <c r="O273" i="2"/>
  <c r="AO274" i="3" s="1"/>
  <c r="AR274" i="3" s="1"/>
  <c r="O261" i="2"/>
  <c r="AO262" i="3" s="1"/>
  <c r="AR262" i="3" s="1"/>
  <c r="O257" i="2"/>
  <c r="AO258" i="3" s="1"/>
  <c r="AR258" i="3" s="1"/>
  <c r="O245" i="2"/>
  <c r="AO541" i="3" s="1"/>
  <c r="AR541" i="3" s="1"/>
  <c r="O233" i="2"/>
  <c r="AO234" i="3" s="1"/>
  <c r="AR234" i="3" s="1"/>
  <c r="O221" i="2"/>
  <c r="AO222" i="3" s="1"/>
  <c r="AR222" i="3" s="1"/>
  <c r="O217" i="2"/>
  <c r="AO218" i="3" s="1"/>
  <c r="AR218" i="3" s="1"/>
  <c r="O213" i="2"/>
  <c r="AO214" i="3" s="1"/>
  <c r="AR214" i="3" s="1"/>
  <c r="O201" i="2"/>
  <c r="AO202" i="3" s="1"/>
  <c r="AR202" i="3" s="1"/>
  <c r="O189" i="2"/>
  <c r="AO190" i="3" s="1"/>
  <c r="AR190" i="3" s="1"/>
  <c r="O185" i="2"/>
  <c r="AO186" i="3" s="1"/>
  <c r="AR186" i="3" s="1"/>
  <c r="O181" i="2"/>
  <c r="AO182" i="3" s="1"/>
  <c r="AR182" i="3" s="1"/>
  <c r="O169" i="2"/>
  <c r="AO170" i="3" s="1"/>
  <c r="AR170" i="3" s="1"/>
  <c r="O165" i="2"/>
  <c r="AO166" i="3" s="1"/>
  <c r="AR166" i="3" s="1"/>
  <c r="O153" i="2"/>
  <c r="AO154" i="3" s="1"/>
  <c r="AR154" i="3" s="1"/>
  <c r="O149" i="2"/>
  <c r="AO150" i="3" s="1"/>
  <c r="AR150" i="3" s="1"/>
  <c r="O141" i="2"/>
  <c r="O137" i="2"/>
  <c r="AO138" i="3" s="1"/>
  <c r="AR138" i="3" s="1"/>
  <c r="O133" i="2"/>
  <c r="AO134" i="3" s="1"/>
  <c r="AR134" i="3" s="1"/>
  <c r="O121" i="2"/>
  <c r="AO122" i="3" s="1"/>
  <c r="AR122" i="3" s="1"/>
  <c r="O117" i="2"/>
  <c r="AO118" i="3" s="1"/>
  <c r="AR118" i="3" s="1"/>
  <c r="O113" i="2"/>
  <c r="AO114" i="3" s="1"/>
  <c r="AR114" i="3" s="1"/>
  <c r="O109" i="2"/>
  <c r="O105" i="2"/>
  <c r="AO106" i="3" s="1"/>
  <c r="AR106" i="3" s="1"/>
  <c r="O101" i="2"/>
  <c r="AO102" i="3" s="1"/>
  <c r="AR102" i="3" s="1"/>
  <c r="O93" i="2"/>
  <c r="O89" i="2"/>
  <c r="AO90" i="3" s="1"/>
  <c r="AR90" i="3" s="1"/>
  <c r="O85" i="2"/>
  <c r="AO86" i="3" s="1"/>
  <c r="AR86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 s="1"/>
  <c r="AR46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 s="1"/>
  <c r="AR14" i="3" s="1"/>
  <c r="Q72" i="2"/>
  <c r="AT73" i="3" s="1"/>
  <c r="AW73" i="3" s="1"/>
  <c r="Q68" i="2"/>
  <c r="AT69" i="3" s="1"/>
  <c r="AW69" i="3" s="1"/>
  <c r="Q64" i="2"/>
  <c r="AT65" i="3" s="1"/>
  <c r="AW65" i="3" s="1"/>
  <c r="Q60" i="2"/>
  <c r="AT61" i="3" s="1"/>
  <c r="AW61" i="3" s="1"/>
  <c r="Q56" i="2"/>
  <c r="AT57" i="3" s="1"/>
  <c r="AW57" i="3" s="1"/>
  <c r="Q52" i="2"/>
  <c r="AT53" i="3" s="1"/>
  <c r="AW53" i="3" s="1"/>
  <c r="Q48" i="2"/>
  <c r="AT49" i="3" s="1"/>
  <c r="AW49" i="3" s="1"/>
  <c r="Q44" i="2"/>
  <c r="AT45" i="3" s="1"/>
  <c r="AW45" i="3" s="1"/>
  <c r="Q40" i="2"/>
  <c r="AT41" i="3" s="1"/>
  <c r="AW41" i="3" s="1"/>
  <c r="Q36" i="2"/>
  <c r="AT37" i="3" s="1"/>
  <c r="AW37" i="3" s="1"/>
  <c r="Q32" i="2"/>
  <c r="AT33" i="3" s="1"/>
  <c r="AW33" i="3" s="1"/>
  <c r="Q28" i="2"/>
  <c r="AT29" i="3" s="1"/>
  <c r="AW29" i="3" s="1"/>
  <c r="Q24" i="2"/>
  <c r="AT25" i="3" s="1"/>
  <c r="AW25" i="3" s="1"/>
  <c r="Q20" i="2"/>
  <c r="AT21" i="3" s="1"/>
  <c r="AW21" i="3" s="1"/>
  <c r="Q16" i="2"/>
  <c r="AT17" i="3" s="1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653" i="3"/>
  <c r="AR653" i="3" s="1"/>
  <c r="AO517" i="3"/>
  <c r="AR517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O193" i="2"/>
  <c r="AO489" i="3" s="1"/>
  <c r="AR489" i="3" s="1"/>
  <c r="AO610" i="3"/>
  <c r="AR610" i="3" s="1"/>
  <c r="AO721" i="3"/>
  <c r="AR72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O297" i="2"/>
  <c r="O256" i="2"/>
  <c r="AO552" i="3" s="1"/>
  <c r="AR552" i="3" s="1"/>
  <c r="O209" i="2"/>
  <c r="O161" i="2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AO506" i="3"/>
  <c r="AR506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649" i="3"/>
  <c r="AW649" i="3" s="1"/>
  <c r="AT553" i="3"/>
  <c r="AW553" i="3" s="1"/>
  <c r="AT489" i="3"/>
  <c r="AW489" i="3" s="1"/>
  <c r="AT457" i="3"/>
  <c r="AW457" i="3" s="1"/>
  <c r="AT425" i="3"/>
  <c r="AW425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641" i="3"/>
  <c r="AW641" i="3" s="1"/>
  <c r="AT577" i="3"/>
  <c r="AW577" i="3" s="1"/>
  <c r="AT513" i="3"/>
  <c r="AW513" i="3" s="1"/>
  <c r="AT449" i="3"/>
  <c r="AW449" i="3" s="1"/>
  <c r="AT417" i="3"/>
  <c r="AW417" i="3" s="1"/>
  <c r="AT385" i="3"/>
  <c r="AW385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25" i="3"/>
  <c r="AW625" i="3" s="1"/>
  <c r="AT561" i="3"/>
  <c r="AW561" i="3" s="1"/>
  <c r="AT497" i="3"/>
  <c r="AW497" i="3" s="1"/>
  <c r="AT401" i="3"/>
  <c r="AW401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33" i="3"/>
  <c r="AW633" i="3" s="1"/>
  <c r="AT569" i="3"/>
  <c r="AW569" i="3" s="1"/>
  <c r="AT505" i="3"/>
  <c r="AW505" i="3" s="1"/>
  <c r="AT441" i="3"/>
  <c r="AW441" i="3" s="1"/>
  <c r="AT409" i="3"/>
  <c r="AW409" i="3" s="1"/>
  <c r="O16" i="2"/>
  <c r="AO17" i="3" s="1"/>
  <c r="AR17" i="3" s="1"/>
  <c r="O280" i="2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625" i="3" s="1"/>
  <c r="AR625" i="3" s="1"/>
  <c r="O305" i="2"/>
  <c r="AO601" i="3" s="1"/>
  <c r="AR601" i="3" s="1"/>
  <c r="O285" i="2"/>
  <c r="O269" i="2"/>
  <c r="AO565" i="3" s="1"/>
  <c r="AR565" i="3" s="1"/>
  <c r="O253" i="2"/>
  <c r="O229" i="2"/>
  <c r="O205" i="2"/>
  <c r="AO501" i="3" s="1"/>
  <c r="AR501" i="3" s="1"/>
  <c r="O177" i="2"/>
  <c r="O157" i="2"/>
  <c r="O129" i="2"/>
  <c r="AO425" i="3" s="1"/>
  <c r="AR425" i="3" s="1"/>
  <c r="O88" i="2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AO490" i="3"/>
  <c r="AR490" i="3" s="1"/>
  <c r="O32" i="2"/>
  <c r="AO33" i="3" s="1"/>
  <c r="AR33" i="3" s="1"/>
  <c r="O360" i="2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O349" i="2"/>
  <c r="O321" i="2"/>
  <c r="AO617" i="3" s="1"/>
  <c r="AR617" i="3" s="1"/>
  <c r="O301" i="2"/>
  <c r="O281" i="2"/>
  <c r="O265" i="2"/>
  <c r="O249" i="2"/>
  <c r="AO545" i="3" s="1"/>
  <c r="AR545" i="3" s="1"/>
  <c r="O225" i="2"/>
  <c r="O197" i="2"/>
  <c r="AO493" i="3" s="1"/>
  <c r="AR493" i="3" s="1"/>
  <c r="O173" i="2"/>
  <c r="O145" i="2"/>
  <c r="O125" i="2"/>
  <c r="AO421" i="3" s="1"/>
  <c r="AR421" i="3" s="1"/>
  <c r="O97" i="2"/>
  <c r="AO393" i="3" s="1"/>
  <c r="AR393" i="3" s="1"/>
  <c r="O81" i="2"/>
  <c r="AO82" i="3" s="1"/>
  <c r="AR82" i="3" s="1"/>
  <c r="O57" i="2"/>
  <c r="AO58" i="3" s="1"/>
  <c r="AR58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474" i="3"/>
  <c r="AR474" i="3" s="1"/>
  <c r="Q859" i="2"/>
  <c r="AT1155" i="3"/>
  <c r="AW1155" i="3" s="1"/>
  <c r="Q851" i="2"/>
  <c r="AT1147" i="3"/>
  <c r="AW1147" i="3" s="1"/>
  <c r="Q839" i="2"/>
  <c r="AT1135" i="3"/>
  <c r="AW1135" i="3" s="1"/>
  <c r="Q831" i="2"/>
  <c r="AT1127" i="3"/>
  <c r="AW1127" i="3" s="1"/>
  <c r="Q823" i="2"/>
  <c r="AT1119" i="3"/>
  <c r="AW1119" i="3" s="1"/>
  <c r="Q815" i="2"/>
  <c r="AT1111" i="3"/>
  <c r="AW1111" i="3" s="1"/>
  <c r="Q803" i="2"/>
  <c r="AT1099" i="3"/>
  <c r="AW1099" i="3" s="1"/>
  <c r="Q795" i="2"/>
  <c r="AT1091" i="3"/>
  <c r="AW1091" i="3" s="1"/>
  <c r="Q787" i="2"/>
  <c r="AT1083" i="3"/>
  <c r="AW1083" i="3" s="1"/>
  <c r="Q779" i="2"/>
  <c r="AT1075" i="3"/>
  <c r="AW1075" i="3" s="1"/>
  <c r="Q771" i="2"/>
  <c r="AT1067" i="3"/>
  <c r="AW1067" i="3" s="1"/>
  <c r="Q763" i="2"/>
  <c r="AT1059" i="3"/>
  <c r="AW1059" i="3" s="1"/>
  <c r="Q755" i="2"/>
  <c r="AT1051" i="3"/>
  <c r="AW1051" i="3" s="1"/>
  <c r="Q747" i="2"/>
  <c r="AT1043" i="3"/>
  <c r="AW1043" i="3" s="1"/>
  <c r="Q739" i="2"/>
  <c r="AT1035" i="3"/>
  <c r="AW1035" i="3" s="1"/>
  <c r="Q731" i="2"/>
  <c r="AT1027" i="3"/>
  <c r="AW1027" i="3" s="1"/>
  <c r="Q723" i="2"/>
  <c r="AT1019" i="3"/>
  <c r="AW1019" i="3" s="1"/>
  <c r="Q715" i="2"/>
  <c r="AT1011" i="3"/>
  <c r="AW1011" i="3" s="1"/>
  <c r="Q707" i="2"/>
  <c r="AT1003" i="3"/>
  <c r="AW1003" i="3" s="1"/>
  <c r="Q695" i="2"/>
  <c r="AT991" i="3"/>
  <c r="AW991" i="3" s="1"/>
  <c r="Q687" i="2"/>
  <c r="AT983" i="3"/>
  <c r="AW983" i="3" s="1"/>
  <c r="Q679" i="2"/>
  <c r="AT975" i="3"/>
  <c r="AW975" i="3" s="1"/>
  <c r="Q671" i="2"/>
  <c r="AT967" i="3"/>
  <c r="AW967" i="3" s="1"/>
  <c r="Q663" i="2"/>
  <c r="AT959" i="3"/>
  <c r="AW959" i="3" s="1"/>
  <c r="Q655" i="2"/>
  <c r="AT951" i="3"/>
  <c r="AW951" i="3" s="1"/>
  <c r="Q647" i="2"/>
  <c r="AT943" i="3"/>
  <c r="AW943" i="3" s="1"/>
  <c r="Q639" i="2"/>
  <c r="AT935" i="3"/>
  <c r="AW935" i="3" s="1"/>
  <c r="Q631" i="2"/>
  <c r="AT927" i="3"/>
  <c r="AW927" i="3" s="1"/>
  <c r="Q627" i="2"/>
  <c r="AT923" i="3"/>
  <c r="AW923" i="3" s="1"/>
  <c r="Q623" i="2"/>
  <c r="AT919" i="3"/>
  <c r="AW919" i="3" s="1"/>
  <c r="Q619" i="2"/>
  <c r="AT915" i="3"/>
  <c r="AW915" i="3" s="1"/>
  <c r="Q615" i="2"/>
  <c r="AT911" i="3"/>
  <c r="AW911" i="3" s="1"/>
  <c r="Q611" i="2"/>
  <c r="AT907" i="3"/>
  <c r="AW907" i="3" s="1"/>
  <c r="Q607" i="2"/>
  <c r="AT903" i="3"/>
  <c r="AW903" i="3" s="1"/>
  <c r="Q603" i="2"/>
  <c r="AT899" i="3"/>
  <c r="AW899" i="3" s="1"/>
  <c r="Q599" i="2"/>
  <c r="AT895" i="3"/>
  <c r="AW895" i="3" s="1"/>
  <c r="Q595" i="2"/>
  <c r="AT891" i="3"/>
  <c r="AW891" i="3" s="1"/>
  <c r="Q591" i="2"/>
  <c r="AT887" i="3"/>
  <c r="AW887" i="3" s="1"/>
  <c r="Q587" i="2"/>
  <c r="AT883" i="3"/>
  <c r="AW883" i="3" s="1"/>
  <c r="Q583" i="2"/>
  <c r="AT879" i="3"/>
  <c r="AW879" i="3" s="1"/>
  <c r="Q579" i="2"/>
  <c r="AT875" i="3"/>
  <c r="AW875" i="3" s="1"/>
  <c r="Q575" i="2"/>
  <c r="AT871" i="3"/>
  <c r="AW871" i="3" s="1"/>
  <c r="Q567" i="2"/>
  <c r="AT863" i="3"/>
  <c r="AW863" i="3" s="1"/>
  <c r="Q563" i="2"/>
  <c r="AT859" i="3"/>
  <c r="AW859" i="3" s="1"/>
  <c r="Q559" i="2"/>
  <c r="AT855" i="3"/>
  <c r="AW855" i="3" s="1"/>
  <c r="Q555" i="2"/>
  <c r="AT851" i="3"/>
  <c r="AW851" i="3" s="1"/>
  <c r="Q551" i="2"/>
  <c r="AT847" i="3"/>
  <c r="AW847" i="3" s="1"/>
  <c r="Q547" i="2"/>
  <c r="AT843" i="3"/>
  <c r="AW843" i="3" s="1"/>
  <c r="Q543" i="2"/>
  <c r="AT839" i="3"/>
  <c r="AW839" i="3" s="1"/>
  <c r="Q539" i="2"/>
  <c r="AT835" i="3"/>
  <c r="AW835" i="3" s="1"/>
  <c r="Q535" i="2"/>
  <c r="AT831" i="3"/>
  <c r="AW831" i="3" s="1"/>
  <c r="Q531" i="2"/>
  <c r="AT827" i="3"/>
  <c r="AW827" i="3" s="1"/>
  <c r="Q527" i="2"/>
  <c r="AT823" i="3"/>
  <c r="AW823" i="3" s="1"/>
  <c r="Q523" i="2"/>
  <c r="AT819" i="3"/>
  <c r="AW819" i="3" s="1"/>
  <c r="Q519" i="2"/>
  <c r="AT815" i="3"/>
  <c r="AW815" i="3" s="1"/>
  <c r="Q515" i="2"/>
  <c r="AT811" i="3"/>
  <c r="AW811" i="3" s="1"/>
  <c r="Q511" i="2"/>
  <c r="AT807" i="3"/>
  <c r="AW807" i="3" s="1"/>
  <c r="Q507" i="2"/>
  <c r="AT803" i="3"/>
  <c r="AW803" i="3" s="1"/>
  <c r="Q503" i="2"/>
  <c r="AT799" i="3"/>
  <c r="AW799" i="3" s="1"/>
  <c r="Q499" i="2"/>
  <c r="AT795" i="3"/>
  <c r="AW795" i="3" s="1"/>
  <c r="Q495" i="2"/>
  <c r="AT791" i="3"/>
  <c r="AW791" i="3" s="1"/>
  <c r="Q491" i="2"/>
  <c r="AT787" i="3"/>
  <c r="AW787" i="3" s="1"/>
  <c r="Q487" i="2"/>
  <c r="AT783" i="3"/>
  <c r="AW783" i="3" s="1"/>
  <c r="Q483" i="2"/>
  <c r="AT779" i="3"/>
  <c r="AW779" i="3" s="1"/>
  <c r="Q479" i="2"/>
  <c r="AT775" i="3"/>
  <c r="AW775" i="3" s="1"/>
  <c r="Q475" i="2"/>
  <c r="AT771" i="3"/>
  <c r="AW771" i="3" s="1"/>
  <c r="Q471" i="2"/>
  <c r="AT767" i="3"/>
  <c r="AW767" i="3" s="1"/>
  <c r="Q467" i="2"/>
  <c r="AT763" i="3"/>
  <c r="AW763" i="3" s="1"/>
  <c r="Q463" i="2"/>
  <c r="AT759" i="3"/>
  <c r="AW759" i="3" s="1"/>
  <c r="Q459" i="2"/>
  <c r="AT755" i="3"/>
  <c r="AW755" i="3" s="1"/>
  <c r="Q455" i="2"/>
  <c r="AT751" i="3"/>
  <c r="AW751" i="3" s="1"/>
  <c r="Q451" i="2"/>
  <c r="AT747" i="3"/>
  <c r="AW747" i="3" s="1"/>
  <c r="Q447" i="2"/>
  <c r="AT743" i="3"/>
  <c r="AW743" i="3" s="1"/>
  <c r="Q443" i="2"/>
  <c r="AT739" i="3"/>
  <c r="AW739" i="3" s="1"/>
  <c r="Q439" i="2"/>
  <c r="AT735" i="3"/>
  <c r="AW735" i="3" s="1"/>
  <c r="Q435" i="2"/>
  <c r="AT731" i="3"/>
  <c r="AW731" i="3" s="1"/>
  <c r="Q431" i="2"/>
  <c r="AT727" i="3"/>
  <c r="AW727" i="3" s="1"/>
  <c r="Q427" i="2"/>
  <c r="AT723" i="3"/>
  <c r="AW723" i="3" s="1"/>
  <c r="Q423" i="2"/>
  <c r="AT719" i="3"/>
  <c r="AW719" i="3" s="1"/>
  <c r="Q419" i="2"/>
  <c r="AT715" i="3"/>
  <c r="AW715" i="3" s="1"/>
  <c r="Q415" i="2"/>
  <c r="AT711" i="3"/>
  <c r="AW711" i="3" s="1"/>
  <c r="Q411" i="2"/>
  <c r="AT707" i="3"/>
  <c r="AW707" i="3" s="1"/>
  <c r="Q407" i="2"/>
  <c r="AT703" i="3"/>
  <c r="AW703" i="3" s="1"/>
  <c r="Q403" i="2"/>
  <c r="AT699" i="3"/>
  <c r="AW699" i="3" s="1"/>
  <c r="Q399" i="2"/>
  <c r="AT695" i="3"/>
  <c r="AW695" i="3" s="1"/>
  <c r="Q395" i="2"/>
  <c r="AT691" i="3"/>
  <c r="AW691" i="3" s="1"/>
  <c r="Q391" i="2"/>
  <c r="AT687" i="3"/>
  <c r="AW687" i="3" s="1"/>
  <c r="Q387" i="2"/>
  <c r="AT683" i="3"/>
  <c r="AW683" i="3" s="1"/>
  <c r="Q383" i="2"/>
  <c r="AT679" i="3"/>
  <c r="AW679" i="3" s="1"/>
  <c r="Q379" i="2"/>
  <c r="AT675" i="3"/>
  <c r="AW675" i="3" s="1"/>
  <c r="Q375" i="2"/>
  <c r="AT671" i="3"/>
  <c r="AW671" i="3" s="1"/>
  <c r="Q371" i="2"/>
  <c r="AT667" i="3"/>
  <c r="AW667" i="3" s="1"/>
  <c r="Q367" i="2"/>
  <c r="AT368" i="3" s="1"/>
  <c r="AW368" i="3" s="1"/>
  <c r="AT663" i="3"/>
  <c r="AW663" i="3" s="1"/>
  <c r="Q363" i="2"/>
  <c r="AT364" i="3" s="1"/>
  <c r="AW364" i="3" s="1"/>
  <c r="AT659" i="3"/>
  <c r="AW659" i="3" s="1"/>
  <c r="Q359" i="2"/>
  <c r="AT360" i="3" s="1"/>
  <c r="AW360" i="3" s="1"/>
  <c r="AT655" i="3"/>
  <c r="AW655" i="3" s="1"/>
  <c r="Q355" i="2"/>
  <c r="AT651" i="3"/>
  <c r="AW651" i="3" s="1"/>
  <c r="Q351" i="2"/>
  <c r="AT352" i="3" s="1"/>
  <c r="AW352" i="3" s="1"/>
  <c r="AT647" i="3"/>
  <c r="AW647" i="3" s="1"/>
  <c r="Q347" i="2"/>
  <c r="AT348" i="3" s="1"/>
  <c r="AW348" i="3" s="1"/>
  <c r="AT643" i="3"/>
  <c r="AW643" i="3" s="1"/>
  <c r="Q343" i="2"/>
  <c r="AT344" i="3" s="1"/>
  <c r="AW344" i="3" s="1"/>
  <c r="AT639" i="3"/>
  <c r="AW639" i="3" s="1"/>
  <c r="Q339" i="2"/>
  <c r="AT635" i="3"/>
  <c r="AW635" i="3" s="1"/>
  <c r="Q335" i="2"/>
  <c r="AT336" i="3" s="1"/>
  <c r="AW336" i="3" s="1"/>
  <c r="AT631" i="3"/>
  <c r="AW631" i="3" s="1"/>
  <c r="Q331" i="2"/>
  <c r="AT332" i="3" s="1"/>
  <c r="AW332" i="3" s="1"/>
  <c r="AT627" i="3"/>
  <c r="AW627" i="3" s="1"/>
  <c r="Q327" i="2"/>
  <c r="AT328" i="3" s="1"/>
  <c r="AW328" i="3" s="1"/>
  <c r="AT623" i="3"/>
  <c r="AW623" i="3" s="1"/>
  <c r="Q323" i="2"/>
  <c r="AT619" i="3"/>
  <c r="AW619" i="3" s="1"/>
  <c r="Q319" i="2"/>
  <c r="AT320" i="3" s="1"/>
  <c r="AW320" i="3" s="1"/>
  <c r="AT615" i="3"/>
  <c r="AW615" i="3" s="1"/>
  <c r="Q315" i="2"/>
  <c r="AT316" i="3" s="1"/>
  <c r="AW316" i="3" s="1"/>
  <c r="AT611" i="3"/>
  <c r="AW611" i="3" s="1"/>
  <c r="Q311" i="2"/>
  <c r="AT312" i="3" s="1"/>
  <c r="AW312" i="3" s="1"/>
  <c r="AT607" i="3"/>
  <c r="AW607" i="3" s="1"/>
  <c r="Q307" i="2"/>
  <c r="AT603" i="3"/>
  <c r="AW603" i="3" s="1"/>
  <c r="Q303" i="2"/>
  <c r="AT304" i="3" s="1"/>
  <c r="AW304" i="3" s="1"/>
  <c r="AT599" i="3"/>
  <c r="AW599" i="3" s="1"/>
  <c r="Q299" i="2"/>
  <c r="AT300" i="3" s="1"/>
  <c r="AW300" i="3" s="1"/>
  <c r="AT595" i="3"/>
  <c r="AW595" i="3" s="1"/>
  <c r="Q295" i="2"/>
  <c r="AT296" i="3" s="1"/>
  <c r="AW296" i="3" s="1"/>
  <c r="AT591" i="3"/>
  <c r="AW591" i="3" s="1"/>
  <c r="Q291" i="2"/>
  <c r="AT587" i="3"/>
  <c r="AW587" i="3" s="1"/>
  <c r="Q287" i="2"/>
  <c r="AT288" i="3" s="1"/>
  <c r="AW288" i="3" s="1"/>
  <c r="AT583" i="3"/>
  <c r="AW583" i="3" s="1"/>
  <c r="Q283" i="2"/>
  <c r="AT284" i="3" s="1"/>
  <c r="AW284" i="3" s="1"/>
  <c r="AT579" i="3"/>
  <c r="AW579" i="3" s="1"/>
  <c r="Q279" i="2"/>
  <c r="AT280" i="3" s="1"/>
  <c r="AW280" i="3" s="1"/>
  <c r="AT575" i="3"/>
  <c r="AW575" i="3" s="1"/>
  <c r="Q275" i="2"/>
  <c r="AT571" i="3"/>
  <c r="AW571" i="3" s="1"/>
  <c r="Q271" i="2"/>
  <c r="AT272" i="3" s="1"/>
  <c r="AW272" i="3" s="1"/>
  <c r="AT567" i="3"/>
  <c r="AW567" i="3" s="1"/>
  <c r="Q267" i="2"/>
  <c r="AT268" i="3" s="1"/>
  <c r="AW268" i="3" s="1"/>
  <c r="AT563" i="3"/>
  <c r="AW563" i="3" s="1"/>
  <c r="Q263" i="2"/>
  <c r="AT264" i="3" s="1"/>
  <c r="AW264" i="3" s="1"/>
  <c r="AT559" i="3"/>
  <c r="AW559" i="3" s="1"/>
  <c r="Q259" i="2"/>
  <c r="AT555" i="3"/>
  <c r="AW555" i="3" s="1"/>
  <c r="Q255" i="2"/>
  <c r="AT256" i="3" s="1"/>
  <c r="AW256" i="3" s="1"/>
  <c r="AT551" i="3"/>
  <c r="AW551" i="3" s="1"/>
  <c r="Q251" i="2"/>
  <c r="AT252" i="3" s="1"/>
  <c r="AW252" i="3" s="1"/>
  <c r="AT547" i="3"/>
  <c r="AW547" i="3" s="1"/>
  <c r="Q247" i="2"/>
  <c r="AT248" i="3" s="1"/>
  <c r="AW248" i="3" s="1"/>
  <c r="AT543" i="3"/>
  <c r="AW543" i="3" s="1"/>
  <c r="Q243" i="2"/>
  <c r="AT539" i="3"/>
  <c r="AW539" i="3" s="1"/>
  <c r="Q239" i="2"/>
  <c r="AT240" i="3" s="1"/>
  <c r="AW240" i="3" s="1"/>
  <c r="AT535" i="3"/>
  <c r="AW535" i="3" s="1"/>
  <c r="Q235" i="2"/>
  <c r="AT236" i="3" s="1"/>
  <c r="AW236" i="3" s="1"/>
  <c r="AT531" i="3"/>
  <c r="AW531" i="3" s="1"/>
  <c r="Q231" i="2"/>
  <c r="AT232" i="3" s="1"/>
  <c r="AW232" i="3" s="1"/>
  <c r="AT527" i="3"/>
  <c r="AW527" i="3" s="1"/>
  <c r="Q227" i="2"/>
  <c r="AT523" i="3"/>
  <c r="AW523" i="3" s="1"/>
  <c r="Q223" i="2"/>
  <c r="AT224" i="3" s="1"/>
  <c r="AW224" i="3" s="1"/>
  <c r="AT519" i="3"/>
  <c r="AW519" i="3" s="1"/>
  <c r="Q219" i="2"/>
  <c r="AT220" i="3" s="1"/>
  <c r="AW220" i="3" s="1"/>
  <c r="AT515" i="3"/>
  <c r="AW515" i="3" s="1"/>
  <c r="Q215" i="2"/>
  <c r="AT216" i="3" s="1"/>
  <c r="AW216" i="3" s="1"/>
  <c r="AT511" i="3"/>
  <c r="AW511" i="3" s="1"/>
  <c r="Q211" i="2"/>
  <c r="AT507" i="3"/>
  <c r="AW507" i="3" s="1"/>
  <c r="Q207" i="2"/>
  <c r="AT208" i="3" s="1"/>
  <c r="AW208" i="3" s="1"/>
  <c r="AT503" i="3"/>
  <c r="AW503" i="3" s="1"/>
  <c r="Q203" i="2"/>
  <c r="AT204" i="3" s="1"/>
  <c r="AW204" i="3" s="1"/>
  <c r="AT499" i="3"/>
  <c r="AW499" i="3" s="1"/>
  <c r="Q199" i="2"/>
  <c r="AT200" i="3" s="1"/>
  <c r="AW200" i="3" s="1"/>
  <c r="AT495" i="3"/>
  <c r="AW495" i="3" s="1"/>
  <c r="Q195" i="2"/>
  <c r="AT378" i="3" s="1"/>
  <c r="AW378" i="3" s="1"/>
  <c r="AT491" i="3"/>
  <c r="AW491" i="3" s="1"/>
  <c r="Q191" i="2"/>
  <c r="AT374" i="3" s="1"/>
  <c r="AW374" i="3" s="1"/>
  <c r="AT487" i="3"/>
  <c r="AW487" i="3" s="1"/>
  <c r="Q187" i="2"/>
  <c r="AT370" i="3" s="1"/>
  <c r="AW370" i="3" s="1"/>
  <c r="AT483" i="3"/>
  <c r="AW483" i="3" s="1"/>
  <c r="Q183" i="2"/>
  <c r="AT479" i="3"/>
  <c r="AW479" i="3" s="1"/>
  <c r="Q179" i="2"/>
  <c r="AT180" i="3" s="1"/>
  <c r="AW180" i="3" s="1"/>
  <c r="AT475" i="3"/>
  <c r="AW475" i="3" s="1"/>
  <c r="Q175" i="2"/>
  <c r="AT176" i="3" s="1"/>
  <c r="AW176" i="3" s="1"/>
  <c r="AT471" i="3"/>
  <c r="AW471" i="3" s="1"/>
  <c r="Q171" i="2"/>
  <c r="AT172" i="3" s="1"/>
  <c r="AW172" i="3" s="1"/>
  <c r="AT467" i="3"/>
  <c r="AW467" i="3" s="1"/>
  <c r="Q167" i="2"/>
  <c r="AT463" i="3"/>
  <c r="AW463" i="3" s="1"/>
  <c r="Q163" i="2"/>
  <c r="AT164" i="3" s="1"/>
  <c r="AW164" i="3" s="1"/>
  <c r="AT459" i="3"/>
  <c r="AW459" i="3" s="1"/>
  <c r="Q159" i="2"/>
  <c r="AT160" i="3" s="1"/>
  <c r="AW160" i="3" s="1"/>
  <c r="AT455" i="3"/>
  <c r="AW455" i="3" s="1"/>
  <c r="Q155" i="2"/>
  <c r="AT156" i="3" s="1"/>
  <c r="AW156" i="3" s="1"/>
  <c r="AT451" i="3"/>
  <c r="AW451" i="3" s="1"/>
  <c r="Q151" i="2"/>
  <c r="AT447" i="3"/>
  <c r="AW447" i="3" s="1"/>
  <c r="Q147" i="2"/>
  <c r="AT148" i="3" s="1"/>
  <c r="AW148" i="3" s="1"/>
  <c r="AT443" i="3"/>
  <c r="AW443" i="3" s="1"/>
  <c r="Q143" i="2"/>
  <c r="AT439" i="3" s="1"/>
  <c r="AW439" i="3" s="1"/>
  <c r="Q139" i="2"/>
  <c r="Q135" i="2"/>
  <c r="AT431" i="3" s="1"/>
  <c r="AW431" i="3" s="1"/>
  <c r="Q131" i="2"/>
  <c r="Q127" i="2"/>
  <c r="AT423" i="3" s="1"/>
  <c r="AW423" i="3" s="1"/>
  <c r="Q123" i="2"/>
  <c r="Q119" i="2"/>
  <c r="AT415" i="3" s="1"/>
  <c r="AW415" i="3" s="1"/>
  <c r="Q115" i="2"/>
  <c r="Q111" i="2"/>
  <c r="AT407" i="3" s="1"/>
  <c r="AW407" i="3" s="1"/>
  <c r="Q107" i="2"/>
  <c r="Q103" i="2"/>
  <c r="AT399" i="3" s="1"/>
  <c r="AW399" i="3" s="1"/>
  <c r="Q99" i="2"/>
  <c r="Q95" i="2"/>
  <c r="AT391" i="3" s="1"/>
  <c r="AW391" i="3" s="1"/>
  <c r="Q91" i="2"/>
  <c r="Q87" i="2"/>
  <c r="AT383" i="3" s="1"/>
  <c r="AW383" i="3" s="1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 s="1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 s="1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 s="1"/>
  <c r="AW1087" i="3" s="1"/>
  <c r="Q783" i="2"/>
  <c r="AT1079" i="3" s="1"/>
  <c r="AW1079" i="3" s="1"/>
  <c r="Q775" i="2"/>
  <c r="AT1071" i="3" s="1"/>
  <c r="AW1071" i="3" s="1"/>
  <c r="Q767" i="2"/>
  <c r="AT1063" i="3" s="1"/>
  <c r="AW1063" i="3" s="1"/>
  <c r="Q759" i="2"/>
  <c r="AT1055" i="3" s="1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 s="1"/>
  <c r="AW1023" i="3" s="1"/>
  <c r="Q719" i="2"/>
  <c r="AT1015" i="3" s="1"/>
  <c r="AW1015" i="3" s="1"/>
  <c r="Q711" i="2"/>
  <c r="AT1007" i="3" s="1"/>
  <c r="AW1007" i="3" s="1"/>
  <c r="Q703" i="2"/>
  <c r="AT999" i="3" s="1"/>
  <c r="AW999" i="3" s="1"/>
  <c r="Q699" i="2"/>
  <c r="AT995" i="3" s="1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 s="1"/>
  <c r="AW963" i="3" s="1"/>
  <c r="Q659" i="2"/>
  <c r="AT955" i="3" s="1"/>
  <c r="AW955" i="3" s="1"/>
  <c r="Q651" i="2"/>
  <c r="AT947" i="3" s="1"/>
  <c r="AW947" i="3" s="1"/>
  <c r="Q643" i="2"/>
  <c r="AT939" i="3" s="1"/>
  <c r="AW939" i="3" s="1"/>
  <c r="Q635" i="2"/>
  <c r="AT931" i="3" s="1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 s="1"/>
  <c r="AW1152" i="3" s="1"/>
  <c r="Q852" i="2"/>
  <c r="AT1148" i="3" s="1"/>
  <c r="AW1148" i="3" s="1"/>
  <c r="Q848" i="2"/>
  <c r="AT1144" i="3" s="1"/>
  <c r="AW1144" i="3" s="1"/>
  <c r="Q844" i="2"/>
  <c r="AT1140" i="3" s="1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 s="1"/>
  <c r="AW1116" i="3" s="1"/>
  <c r="Q816" i="2"/>
  <c r="AT1112" i="3" s="1"/>
  <c r="AW1112" i="3" s="1"/>
  <c r="Q812" i="2"/>
  <c r="AT1108" i="3" s="1"/>
  <c r="AW1108" i="3" s="1"/>
  <c r="Q808" i="2"/>
  <c r="AT1104" i="3" s="1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 s="1"/>
  <c r="AW1088" i="3" s="1"/>
  <c r="Q788" i="2"/>
  <c r="AT1084" i="3" s="1"/>
  <c r="AW1084" i="3" s="1"/>
  <c r="Q784" i="2"/>
  <c r="AT1080" i="3" s="1"/>
  <c r="AW1080" i="3" s="1"/>
  <c r="Q780" i="2"/>
  <c r="AT1076" i="3" s="1"/>
  <c r="AW1076" i="3" s="1"/>
  <c r="Q776" i="2"/>
  <c r="AT1072" i="3" s="1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 s="1"/>
  <c r="AW1056" i="3" s="1"/>
  <c r="Q756" i="2"/>
  <c r="AT1052" i="3" s="1"/>
  <c r="AW1052" i="3" s="1"/>
  <c r="Q752" i="2"/>
  <c r="AT1048" i="3" s="1"/>
  <c r="AW1048" i="3" s="1"/>
  <c r="Q748" i="2"/>
  <c r="AT1044" i="3" s="1"/>
  <c r="AW1044" i="3" s="1"/>
  <c r="Q744" i="2"/>
  <c r="AT1040" i="3" s="1"/>
  <c r="AW1040" i="3" s="1"/>
  <c r="Q740" i="2"/>
  <c r="AT1036" i="3" s="1"/>
  <c r="AW1036" i="3" s="1"/>
  <c r="Q736" i="2"/>
  <c r="AT1032" i="3" s="1"/>
  <c r="AW1032" i="3" s="1"/>
  <c r="Q732" i="2"/>
  <c r="AT1028" i="3" s="1"/>
  <c r="AW1028" i="3" s="1"/>
  <c r="Q728" i="2"/>
  <c r="AT1024" i="3" s="1"/>
  <c r="AW1024" i="3" s="1"/>
  <c r="Q724" i="2"/>
  <c r="AT1020" i="3" s="1"/>
  <c r="AW1020" i="3" s="1"/>
  <c r="Q720" i="2"/>
  <c r="AT1016" i="3" s="1"/>
  <c r="AW1016" i="3" s="1"/>
  <c r="Q716" i="2"/>
  <c r="AT1012" i="3" s="1"/>
  <c r="AW1012" i="3" s="1"/>
  <c r="Q712" i="2"/>
  <c r="AT1008" i="3" s="1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 s="1"/>
  <c r="AW992" i="3" s="1"/>
  <c r="Q692" i="2"/>
  <c r="AT988" i="3" s="1"/>
  <c r="AW988" i="3" s="1"/>
  <c r="Q688" i="2"/>
  <c r="AT984" i="3" s="1"/>
  <c r="AW984" i="3" s="1"/>
  <c r="Q684" i="2"/>
  <c r="AT980" i="3" s="1"/>
  <c r="AW980" i="3" s="1"/>
  <c r="Q680" i="2"/>
  <c r="AT976" i="3" s="1"/>
  <c r="AW976" i="3" s="1"/>
  <c r="Q676" i="2"/>
  <c r="AT972" i="3" s="1"/>
  <c r="AW972" i="3" s="1"/>
  <c r="Q672" i="2"/>
  <c r="AT968" i="3" s="1"/>
  <c r="AW968" i="3" s="1"/>
  <c r="Q668" i="2"/>
  <c r="AT964" i="3" s="1"/>
  <c r="AW964" i="3" s="1"/>
  <c r="Q664" i="2"/>
  <c r="AT960" i="3" s="1"/>
  <c r="AW960" i="3" s="1"/>
  <c r="Q660" i="2"/>
  <c r="AT956" i="3" s="1"/>
  <c r="AW956" i="3" s="1"/>
  <c r="Q656" i="2"/>
  <c r="AT952" i="3" s="1"/>
  <c r="AW952" i="3" s="1"/>
  <c r="Q652" i="2"/>
  <c r="AT948" i="3" s="1"/>
  <c r="AW948" i="3" s="1"/>
  <c r="Q648" i="2"/>
  <c r="AT944" i="3" s="1"/>
  <c r="AW944" i="3" s="1"/>
  <c r="Q644" i="2"/>
  <c r="AT940" i="3" s="1"/>
  <c r="AW940" i="3" s="1"/>
  <c r="Q640" i="2"/>
  <c r="AT936" i="3" s="1"/>
  <c r="AW936" i="3" s="1"/>
  <c r="Q636" i="2"/>
  <c r="AT932" i="3" s="1"/>
  <c r="AW932" i="3" s="1"/>
  <c r="Q632" i="2"/>
  <c r="AT928" i="3" s="1"/>
  <c r="AW928" i="3" s="1"/>
  <c r="Q628" i="2"/>
  <c r="AT924" i="3" s="1"/>
  <c r="AW924" i="3" s="1"/>
  <c r="Q624" i="2"/>
  <c r="AT920" i="3" s="1"/>
  <c r="AW920" i="3" s="1"/>
  <c r="Q620" i="2"/>
  <c r="AT916" i="3" s="1"/>
  <c r="AW916" i="3" s="1"/>
  <c r="Q616" i="2"/>
  <c r="AT912" i="3" s="1"/>
  <c r="AW912" i="3" s="1"/>
  <c r="Q612" i="2"/>
  <c r="AT908" i="3" s="1"/>
  <c r="AW908" i="3" s="1"/>
  <c r="Q608" i="2"/>
  <c r="AT904" i="3" s="1"/>
  <c r="AW904" i="3" s="1"/>
  <c r="Q604" i="2"/>
  <c r="AT900" i="3" s="1"/>
  <c r="AW900" i="3" s="1"/>
  <c r="Q600" i="2"/>
  <c r="AT896" i="3" s="1"/>
  <c r="AW896" i="3" s="1"/>
  <c r="Q596" i="2"/>
  <c r="AT892" i="3" s="1"/>
  <c r="AW892" i="3" s="1"/>
  <c r="Q592" i="2"/>
  <c r="AT888" i="3" s="1"/>
  <c r="AW888" i="3" s="1"/>
  <c r="Q588" i="2"/>
  <c r="AT884" i="3" s="1"/>
  <c r="AW884" i="3" s="1"/>
  <c r="Q584" i="2"/>
  <c r="AT880" i="3" s="1"/>
  <c r="AW880" i="3" s="1"/>
  <c r="Q580" i="2"/>
  <c r="AT876" i="3" s="1"/>
  <c r="AW876" i="3" s="1"/>
  <c r="Q576" i="2"/>
  <c r="AT872" i="3" s="1"/>
  <c r="AW872" i="3" s="1"/>
  <c r="Q572" i="2"/>
  <c r="AT868" i="3" s="1"/>
  <c r="AW868" i="3" s="1"/>
  <c r="Q568" i="2"/>
  <c r="AT864" i="3" s="1"/>
  <c r="AW864" i="3" s="1"/>
  <c r="Q564" i="2"/>
  <c r="AT860" i="3" s="1"/>
  <c r="AW860" i="3" s="1"/>
  <c r="Q560" i="2"/>
  <c r="AT856" i="3" s="1"/>
  <c r="AW856" i="3" s="1"/>
  <c r="Q556" i="2"/>
  <c r="AT852" i="3" s="1"/>
  <c r="AW852" i="3" s="1"/>
  <c r="Q552" i="2"/>
  <c r="AT848" i="3" s="1"/>
  <c r="AW848" i="3" s="1"/>
  <c r="Q548" i="2"/>
  <c r="AT844" i="3" s="1"/>
  <c r="AW844" i="3" s="1"/>
  <c r="Q540" i="2"/>
  <c r="AT836" i="3" s="1"/>
  <c r="AW836" i="3" s="1"/>
  <c r="Q532" i="2"/>
  <c r="AT828" i="3" s="1"/>
  <c r="AW828" i="3" s="1"/>
  <c r="Q524" i="2"/>
  <c r="AT820" i="3" s="1"/>
  <c r="AW820" i="3" s="1"/>
  <c r="Q516" i="2"/>
  <c r="AT812" i="3" s="1"/>
  <c r="AW812" i="3" s="1"/>
  <c r="Q508" i="2"/>
  <c r="AT804" i="3" s="1"/>
  <c r="AW804" i="3" s="1"/>
  <c r="Q500" i="2"/>
  <c r="AT796" i="3" s="1"/>
  <c r="AW796" i="3" s="1"/>
  <c r="Q492" i="2"/>
  <c r="AT788" i="3" s="1"/>
  <c r="AW788" i="3" s="1"/>
  <c r="Q484" i="2"/>
  <c r="AT780" i="3" s="1"/>
  <c r="AW780" i="3" s="1"/>
  <c r="Q476" i="2"/>
  <c r="AT772" i="3" s="1"/>
  <c r="AW772" i="3" s="1"/>
  <c r="Q468" i="2"/>
  <c r="AT764" i="3" s="1"/>
  <c r="AW764" i="3" s="1"/>
  <c r="Q460" i="2"/>
  <c r="AT756" i="3" s="1"/>
  <c r="AW756" i="3" s="1"/>
  <c r="Q452" i="2"/>
  <c r="AT748" i="3"/>
  <c r="AW748" i="3" s="1"/>
  <c r="Q444" i="2"/>
  <c r="AT740" i="3" s="1"/>
  <c r="AW740" i="3" s="1"/>
  <c r="Q436" i="2"/>
  <c r="AT732" i="3" s="1"/>
  <c r="AW732" i="3" s="1"/>
  <c r="Q428" i="2"/>
  <c r="AT724" i="3" s="1"/>
  <c r="AW724" i="3" s="1"/>
  <c r="Q420" i="2"/>
  <c r="AT716" i="3"/>
  <c r="AW716" i="3" s="1"/>
  <c r="Q412" i="2"/>
  <c r="AT708" i="3" s="1"/>
  <c r="AW708" i="3" s="1"/>
  <c r="Q404" i="2"/>
  <c r="AT700" i="3" s="1"/>
  <c r="AW700" i="3" s="1"/>
  <c r="Q396" i="2"/>
  <c r="AT692" i="3" s="1"/>
  <c r="AW692" i="3" s="1"/>
  <c r="Q388" i="2"/>
  <c r="AT684" i="3"/>
  <c r="AW684" i="3" s="1"/>
  <c r="Q380" i="2"/>
  <c r="AT676" i="3" s="1"/>
  <c r="AW676" i="3" s="1"/>
  <c r="Q372" i="2"/>
  <c r="AT668" i="3" s="1"/>
  <c r="AW668" i="3" s="1"/>
  <c r="Q364" i="2"/>
  <c r="Q356" i="2"/>
  <c r="AT357" i="3" s="1"/>
  <c r="AW357" i="3" s="1"/>
  <c r="AT652" i="3"/>
  <c r="AW652" i="3" s="1"/>
  <c r="Q348" i="2"/>
  <c r="Q340" i="2"/>
  <c r="AT341" i="3" s="1"/>
  <c r="AW341" i="3" s="1"/>
  <c r="Q332" i="2"/>
  <c r="Q324" i="2"/>
  <c r="AT325" i="3" s="1"/>
  <c r="AW325" i="3" s="1"/>
  <c r="AT620" i="3"/>
  <c r="AW620" i="3" s="1"/>
  <c r="Q316" i="2"/>
  <c r="Q308" i="2"/>
  <c r="AT604" i="3" s="1"/>
  <c r="AW604" i="3" s="1"/>
  <c r="Q300" i="2"/>
  <c r="Q292" i="2"/>
  <c r="AT293" i="3" s="1"/>
  <c r="AW293" i="3" s="1"/>
  <c r="AT588" i="3"/>
  <c r="AW588" i="3" s="1"/>
  <c r="Q284" i="2"/>
  <c r="Q276" i="2"/>
  <c r="AT277" i="3" s="1"/>
  <c r="AW277" i="3" s="1"/>
  <c r="Q268" i="2"/>
  <c r="Q260" i="2"/>
  <c r="AT261" i="3" s="1"/>
  <c r="AW261" i="3" s="1"/>
  <c r="AT556" i="3"/>
  <c r="AW556" i="3" s="1"/>
  <c r="Q252" i="2"/>
  <c r="Q244" i="2"/>
  <c r="AT540" i="3" s="1"/>
  <c r="AW540" i="3" s="1"/>
  <c r="Q236" i="2"/>
  <c r="Q228" i="2"/>
  <c r="AT229" i="3" s="1"/>
  <c r="AW229" i="3" s="1"/>
  <c r="AT524" i="3"/>
  <c r="AW524" i="3" s="1"/>
  <c r="Q220" i="2"/>
  <c r="Q212" i="2"/>
  <c r="AT213" i="3" s="1"/>
  <c r="AW213" i="3" s="1"/>
  <c r="Q204" i="2"/>
  <c r="Q196" i="2"/>
  <c r="AT379" i="3" s="1"/>
  <c r="AW379" i="3" s="1"/>
  <c r="AT492" i="3"/>
  <c r="AW492" i="3" s="1"/>
  <c r="Q188" i="2"/>
  <c r="Q180" i="2"/>
  <c r="AT181" i="3" s="1"/>
  <c r="AW181" i="3" s="1"/>
  <c r="Q172" i="2"/>
  <c r="Q164" i="2"/>
  <c r="AT165" i="3" s="1"/>
  <c r="AW165" i="3" s="1"/>
  <c r="AT460" i="3"/>
  <c r="AW460" i="3" s="1"/>
  <c r="Q156" i="2"/>
  <c r="Q148" i="2"/>
  <c r="AT149" i="3" s="1"/>
  <c r="AW149" i="3" s="1"/>
  <c r="Q140" i="2"/>
  <c r="Q136" i="2"/>
  <c r="AT432" i="3" s="1"/>
  <c r="AW432" i="3" s="1"/>
  <c r="Q128" i="2"/>
  <c r="Q120" i="2"/>
  <c r="AT416" i="3" s="1"/>
  <c r="AW416" i="3" s="1"/>
  <c r="Q112" i="2"/>
  <c r="Q104" i="2"/>
  <c r="AT400" i="3" s="1"/>
  <c r="AW400" i="3" s="1"/>
  <c r="Q96" i="2"/>
  <c r="Q88" i="2"/>
  <c r="AT384" i="3" s="1"/>
  <c r="AW384" i="3" s="1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53" i="3"/>
  <c r="AW653" i="3" s="1"/>
  <c r="AT645" i="3"/>
  <c r="AW645" i="3" s="1"/>
  <c r="AT637" i="3"/>
  <c r="AW637" i="3" s="1"/>
  <c r="AT629" i="3"/>
  <c r="AW629" i="3" s="1"/>
  <c r="AT621" i="3"/>
  <c r="AW621" i="3" s="1"/>
  <c r="AT613" i="3"/>
  <c r="AW613" i="3" s="1"/>
  <c r="AT605" i="3"/>
  <c r="AW605" i="3" s="1"/>
  <c r="AT597" i="3"/>
  <c r="AW597" i="3" s="1"/>
  <c r="AT589" i="3"/>
  <c r="AW589" i="3" s="1"/>
  <c r="AT581" i="3"/>
  <c r="AW581" i="3" s="1"/>
  <c r="AT573" i="3"/>
  <c r="AW573" i="3" s="1"/>
  <c r="AT565" i="3"/>
  <c r="AW565" i="3" s="1"/>
  <c r="AT557" i="3"/>
  <c r="AW557" i="3" s="1"/>
  <c r="AT549" i="3"/>
  <c r="AW549" i="3" s="1"/>
  <c r="AT541" i="3"/>
  <c r="AW541" i="3" s="1"/>
  <c r="AT533" i="3"/>
  <c r="AW533" i="3" s="1"/>
  <c r="AT525" i="3"/>
  <c r="AW525" i="3" s="1"/>
  <c r="AT517" i="3"/>
  <c r="AW517" i="3" s="1"/>
  <c r="AT509" i="3"/>
  <c r="AW509" i="3" s="1"/>
  <c r="AT501" i="3"/>
  <c r="AW501" i="3" s="1"/>
  <c r="AT493" i="3"/>
  <c r="AW493" i="3" s="1"/>
  <c r="AT485" i="3"/>
  <c r="AW485" i="3" s="1"/>
  <c r="AT477" i="3"/>
  <c r="AW477" i="3" s="1"/>
  <c r="AT469" i="3"/>
  <c r="AW469" i="3" s="1"/>
  <c r="AT453" i="3"/>
  <c r="AW453" i="3" s="1"/>
  <c r="AT445" i="3"/>
  <c r="AW445" i="3" s="1"/>
  <c r="AT437" i="3"/>
  <c r="AW437" i="3" s="1"/>
  <c r="AT421" i="3"/>
  <c r="AW421" i="3" s="1"/>
  <c r="AT413" i="3"/>
  <c r="AW413" i="3" s="1"/>
  <c r="AT405" i="3"/>
  <c r="AW405" i="3" s="1"/>
  <c r="AT397" i="3"/>
  <c r="AW397" i="3" s="1"/>
  <c r="AT389" i="3"/>
  <c r="AW389" i="3" s="1"/>
  <c r="AT381" i="3"/>
  <c r="AW381" i="3" s="1"/>
  <c r="Q544" i="2"/>
  <c r="AT840" i="3" s="1"/>
  <c r="AW840" i="3" s="1"/>
  <c r="Q536" i="2"/>
  <c r="AT832" i="3"/>
  <c r="AW832" i="3" s="1"/>
  <c r="Q528" i="2"/>
  <c r="AT824" i="3" s="1"/>
  <c r="AW824" i="3" s="1"/>
  <c r="Q520" i="2"/>
  <c r="AT816" i="3" s="1"/>
  <c r="AW816" i="3" s="1"/>
  <c r="Q512" i="2"/>
  <c r="AT808" i="3" s="1"/>
  <c r="AW808" i="3" s="1"/>
  <c r="Q504" i="2"/>
  <c r="AT800" i="3"/>
  <c r="AW800" i="3" s="1"/>
  <c r="Q496" i="2"/>
  <c r="AT792" i="3" s="1"/>
  <c r="AW792" i="3" s="1"/>
  <c r="Q488" i="2"/>
  <c r="AT784" i="3" s="1"/>
  <c r="AW784" i="3" s="1"/>
  <c r="Q480" i="2"/>
  <c r="AT776" i="3" s="1"/>
  <c r="AW776" i="3" s="1"/>
  <c r="Q472" i="2"/>
  <c r="AT768" i="3"/>
  <c r="AW768" i="3" s="1"/>
  <c r="Q464" i="2"/>
  <c r="AT760" i="3" s="1"/>
  <c r="AW760" i="3" s="1"/>
  <c r="Q456" i="2"/>
  <c r="AT752" i="3" s="1"/>
  <c r="AW752" i="3" s="1"/>
  <c r="Q448" i="2"/>
  <c r="AT744" i="3" s="1"/>
  <c r="AW744" i="3" s="1"/>
  <c r="Q440" i="2"/>
  <c r="AT736" i="3"/>
  <c r="AW736" i="3" s="1"/>
  <c r="Q432" i="2"/>
  <c r="AT728" i="3" s="1"/>
  <c r="AW728" i="3" s="1"/>
  <c r="Q424" i="2"/>
  <c r="AT720" i="3" s="1"/>
  <c r="AW720" i="3" s="1"/>
  <c r="Q416" i="2"/>
  <c r="AT712" i="3" s="1"/>
  <c r="AW712" i="3" s="1"/>
  <c r="Q408" i="2"/>
  <c r="AT704" i="3"/>
  <c r="AW704" i="3" s="1"/>
  <c r="Q400" i="2"/>
  <c r="AT696" i="3" s="1"/>
  <c r="AW696" i="3" s="1"/>
  <c r="Q392" i="2"/>
  <c r="AT688" i="3" s="1"/>
  <c r="AW688" i="3" s="1"/>
  <c r="Q384" i="2"/>
  <c r="AT680" i="3" s="1"/>
  <c r="AW680" i="3" s="1"/>
  <c r="Q376" i="2"/>
  <c r="AT672" i="3"/>
  <c r="AW672" i="3" s="1"/>
  <c r="Q368" i="2"/>
  <c r="AT664" i="3" s="1"/>
  <c r="AW664" i="3" s="1"/>
  <c r="Q360" i="2"/>
  <c r="AT361" i="3" s="1"/>
  <c r="AW361" i="3" s="1"/>
  <c r="Q352" i="2"/>
  <c r="Q344" i="2"/>
  <c r="AT345" i="3" s="1"/>
  <c r="AW345" i="3" s="1"/>
  <c r="AT640" i="3"/>
  <c r="AW640" i="3" s="1"/>
  <c r="Q336" i="2"/>
  <c r="Q328" i="2"/>
  <c r="AT329" i="3" s="1"/>
  <c r="AW329" i="3" s="1"/>
  <c r="Q320" i="2"/>
  <c r="Q312" i="2"/>
  <c r="AT313" i="3" s="1"/>
  <c r="AW313" i="3" s="1"/>
  <c r="AT608" i="3"/>
  <c r="AW608" i="3" s="1"/>
  <c r="Q304" i="2"/>
  <c r="Q296" i="2"/>
  <c r="AT297" i="3" s="1"/>
  <c r="AW297" i="3" s="1"/>
  <c r="Q288" i="2"/>
  <c r="Q280" i="2"/>
  <c r="AT281" i="3" s="1"/>
  <c r="AW281" i="3" s="1"/>
  <c r="AT576" i="3"/>
  <c r="AW576" i="3" s="1"/>
  <c r="Q272" i="2"/>
  <c r="Q264" i="2"/>
  <c r="AT265" i="3" s="1"/>
  <c r="AW265" i="3" s="1"/>
  <c r="Q256" i="2"/>
  <c r="Q248" i="2"/>
  <c r="AT249" i="3" s="1"/>
  <c r="AW249" i="3" s="1"/>
  <c r="AT544" i="3"/>
  <c r="AW544" i="3" s="1"/>
  <c r="Q240" i="2"/>
  <c r="Q232" i="2"/>
  <c r="AT233" i="3" s="1"/>
  <c r="AW233" i="3" s="1"/>
  <c r="Q224" i="2"/>
  <c r="Q216" i="2"/>
  <c r="AT217" i="3" s="1"/>
  <c r="AW217" i="3" s="1"/>
  <c r="AT512" i="3"/>
  <c r="AW512" i="3" s="1"/>
  <c r="Q208" i="2"/>
  <c r="Q200" i="2"/>
  <c r="AT201" i="3" s="1"/>
  <c r="AW201" i="3" s="1"/>
  <c r="Q192" i="2"/>
  <c r="Q184" i="2"/>
  <c r="AT185" i="3" s="1"/>
  <c r="AW185" i="3" s="1"/>
  <c r="AT480" i="3"/>
  <c r="AW480" i="3" s="1"/>
  <c r="Q176" i="2"/>
  <c r="Q168" i="2"/>
  <c r="AT464" i="3" s="1"/>
  <c r="AW464" i="3" s="1"/>
  <c r="Q160" i="2"/>
  <c r="Q152" i="2"/>
  <c r="AT153" i="3" s="1"/>
  <c r="AW153" i="3" s="1"/>
  <c r="AT448" i="3"/>
  <c r="AW448" i="3" s="1"/>
  <c r="Q144" i="2"/>
  <c r="Q132" i="2"/>
  <c r="AT133" i="3" s="1"/>
  <c r="AW133" i="3" s="1"/>
  <c r="AT428" i="3"/>
  <c r="AW428" i="3" s="1"/>
  <c r="Q124" i="2"/>
  <c r="Q116" i="2"/>
  <c r="Q108" i="2"/>
  <c r="Q100" i="2"/>
  <c r="Q92" i="2"/>
  <c r="Q84" i="2"/>
  <c r="Q862" i="2"/>
  <c r="AT1158" i="3" s="1"/>
  <c r="AW1158" i="3" s="1"/>
  <c r="Q858" i="2"/>
  <c r="AT1154" i="3" s="1"/>
  <c r="AW1154" i="3" s="1"/>
  <c r="Q854" i="2"/>
  <c r="AT1150" i="3"/>
  <c r="AW1150" i="3" s="1"/>
  <c r="Q850" i="2"/>
  <c r="AT1146" i="3" s="1"/>
  <c r="AW1146" i="3" s="1"/>
  <c r="Q846" i="2"/>
  <c r="AT1142" i="3" s="1"/>
  <c r="AW1142" i="3" s="1"/>
  <c r="Q842" i="2"/>
  <c r="AT1138" i="3" s="1"/>
  <c r="AW1138" i="3" s="1"/>
  <c r="Q838" i="2"/>
  <c r="AT1134" i="3"/>
  <c r="AW1134" i="3" s="1"/>
  <c r="Q834" i="2"/>
  <c r="AT1130" i="3" s="1"/>
  <c r="AW1130" i="3" s="1"/>
  <c r="Q830" i="2"/>
  <c r="AT1126" i="3" s="1"/>
  <c r="AW1126" i="3" s="1"/>
  <c r="Q826" i="2"/>
  <c r="AT1122" i="3" s="1"/>
  <c r="AW1122" i="3" s="1"/>
  <c r="Q822" i="2"/>
  <c r="AT1118" i="3"/>
  <c r="AW1118" i="3" s="1"/>
  <c r="Q818" i="2"/>
  <c r="AT1114" i="3" s="1"/>
  <c r="AW1114" i="3" s="1"/>
  <c r="Q814" i="2"/>
  <c r="AT1110" i="3" s="1"/>
  <c r="AW1110" i="3" s="1"/>
  <c r="Q810" i="2"/>
  <c r="AT1106" i="3" s="1"/>
  <c r="AW1106" i="3" s="1"/>
  <c r="Q806" i="2"/>
  <c r="AT1102" i="3"/>
  <c r="AW1102" i="3" s="1"/>
  <c r="Q802" i="2"/>
  <c r="AT1098" i="3" s="1"/>
  <c r="AW1098" i="3" s="1"/>
  <c r="Q798" i="2"/>
  <c r="AT1094" i="3" s="1"/>
  <c r="AW1094" i="3" s="1"/>
  <c r="Q794" i="2"/>
  <c r="AT1090" i="3" s="1"/>
  <c r="AW1090" i="3" s="1"/>
  <c r="Q790" i="2"/>
  <c r="AT1086" i="3"/>
  <c r="AW1086" i="3" s="1"/>
  <c r="Q786" i="2"/>
  <c r="AT1082" i="3" s="1"/>
  <c r="AW1082" i="3" s="1"/>
  <c r="Q782" i="2"/>
  <c r="AT1078" i="3" s="1"/>
  <c r="AW1078" i="3" s="1"/>
  <c r="Q778" i="2"/>
  <c r="AT1074" i="3" s="1"/>
  <c r="AW1074" i="3" s="1"/>
  <c r="Q774" i="2"/>
  <c r="AT1070" i="3"/>
  <c r="AW1070" i="3" s="1"/>
  <c r="Q770" i="2"/>
  <c r="AT1066" i="3" s="1"/>
  <c r="AW1066" i="3" s="1"/>
  <c r="Q766" i="2"/>
  <c r="AT1062" i="3" s="1"/>
  <c r="AW1062" i="3" s="1"/>
  <c r="Q762" i="2"/>
  <c r="AT1058" i="3" s="1"/>
  <c r="AW1058" i="3" s="1"/>
  <c r="Q758" i="2"/>
  <c r="AT1054" i="3"/>
  <c r="AW1054" i="3" s="1"/>
  <c r="Q754" i="2"/>
  <c r="AT1050" i="3"/>
  <c r="AW1050" i="3" s="1"/>
  <c r="Q750" i="2"/>
  <c r="AT1046" i="3"/>
  <c r="AW1046" i="3" s="1"/>
  <c r="Q746" i="2"/>
  <c r="AT1042" i="3"/>
  <c r="AW1042" i="3" s="1"/>
  <c r="Q742" i="2"/>
  <c r="AT1038" i="3"/>
  <c r="AW1038" i="3" s="1"/>
  <c r="Q738" i="2"/>
  <c r="AT1034" i="3"/>
  <c r="AW1034" i="3" s="1"/>
  <c r="Q734" i="2"/>
  <c r="AT1030" i="3"/>
  <c r="AW1030" i="3" s="1"/>
  <c r="Q730" i="2"/>
  <c r="AT1026" i="3"/>
  <c r="AW1026" i="3" s="1"/>
  <c r="Q726" i="2"/>
  <c r="AT1022" i="3"/>
  <c r="AW1022" i="3" s="1"/>
  <c r="Q722" i="2"/>
  <c r="AT1018" i="3"/>
  <c r="AW1018" i="3" s="1"/>
  <c r="Q718" i="2"/>
  <c r="AT1014" i="3"/>
  <c r="AW1014" i="3" s="1"/>
  <c r="Q714" i="2"/>
  <c r="AT1010" i="3"/>
  <c r="AW1010" i="3" s="1"/>
  <c r="Q710" i="2"/>
  <c r="AT1006" i="3"/>
  <c r="AW1006" i="3" s="1"/>
  <c r="Q706" i="2"/>
  <c r="AT1002" i="3"/>
  <c r="AW1002" i="3" s="1"/>
  <c r="Q702" i="2"/>
  <c r="AT998" i="3"/>
  <c r="AW998" i="3" s="1"/>
  <c r="Q698" i="2"/>
  <c r="AT994" i="3"/>
  <c r="AW994" i="3" s="1"/>
  <c r="Q694" i="2"/>
  <c r="AT990" i="3"/>
  <c r="AW990" i="3" s="1"/>
  <c r="Q690" i="2"/>
  <c r="AT986" i="3"/>
  <c r="AW986" i="3" s="1"/>
  <c r="Q686" i="2"/>
  <c r="AT982" i="3"/>
  <c r="AW982" i="3" s="1"/>
  <c r="Q682" i="2"/>
  <c r="AT978" i="3"/>
  <c r="AW978" i="3" s="1"/>
  <c r="Q678" i="2"/>
  <c r="AT974" i="3"/>
  <c r="AW974" i="3" s="1"/>
  <c r="Q674" i="2"/>
  <c r="AT970" i="3"/>
  <c r="AW970" i="3" s="1"/>
  <c r="Q670" i="2"/>
  <c r="AT966" i="3"/>
  <c r="AW966" i="3" s="1"/>
  <c r="Q666" i="2"/>
  <c r="AT962" i="3"/>
  <c r="AW962" i="3" s="1"/>
  <c r="Q662" i="2"/>
  <c r="AT958" i="3"/>
  <c r="AW958" i="3" s="1"/>
  <c r="Q658" i="2"/>
  <c r="AT954" i="3"/>
  <c r="AW954" i="3" s="1"/>
  <c r="Q654" i="2"/>
  <c r="AT950" i="3"/>
  <c r="AW950" i="3" s="1"/>
  <c r="Q650" i="2"/>
  <c r="AT946" i="3"/>
  <c r="AW946" i="3" s="1"/>
  <c r="Q646" i="2"/>
  <c r="AT942" i="3"/>
  <c r="AW942" i="3" s="1"/>
  <c r="Q642" i="2"/>
  <c r="AT938" i="3"/>
  <c r="AW938" i="3" s="1"/>
  <c r="Q638" i="2"/>
  <c r="AT934" i="3"/>
  <c r="AW934" i="3" s="1"/>
  <c r="Q634" i="2"/>
  <c r="AT930" i="3"/>
  <c r="AW930" i="3" s="1"/>
  <c r="Q630" i="2"/>
  <c r="AT926" i="3"/>
  <c r="AW926" i="3" s="1"/>
  <c r="Q626" i="2"/>
  <c r="AT922" i="3"/>
  <c r="AW922" i="3" s="1"/>
  <c r="Q622" i="2"/>
  <c r="AT918" i="3"/>
  <c r="AW918" i="3" s="1"/>
  <c r="Q618" i="2"/>
  <c r="AT914" i="3"/>
  <c r="AW914" i="3" s="1"/>
  <c r="Q614" i="2"/>
  <c r="AT910" i="3"/>
  <c r="AW910" i="3" s="1"/>
  <c r="Q610" i="2"/>
  <c r="AT906" i="3"/>
  <c r="AW906" i="3" s="1"/>
  <c r="Q606" i="2"/>
  <c r="AT902" i="3"/>
  <c r="AW902" i="3" s="1"/>
  <c r="Q602" i="2"/>
  <c r="AT898" i="3"/>
  <c r="AW898" i="3" s="1"/>
  <c r="Q598" i="2"/>
  <c r="AT894" i="3"/>
  <c r="AW894" i="3" s="1"/>
  <c r="Q594" i="2"/>
  <c r="AT890" i="3"/>
  <c r="AW890" i="3" s="1"/>
  <c r="Q590" i="2"/>
  <c r="AT886" i="3"/>
  <c r="AW886" i="3" s="1"/>
  <c r="Q586" i="2"/>
  <c r="AT882" i="3"/>
  <c r="AW882" i="3" s="1"/>
  <c r="Q582" i="2"/>
  <c r="AT878" i="3"/>
  <c r="AW878" i="3" s="1"/>
  <c r="Q578" i="2"/>
  <c r="AT874" i="3"/>
  <c r="AW874" i="3" s="1"/>
  <c r="Q574" i="2"/>
  <c r="AT870" i="3"/>
  <c r="AW870" i="3" s="1"/>
  <c r="Q570" i="2"/>
  <c r="AT866" i="3"/>
  <c r="AW866" i="3" s="1"/>
  <c r="Q566" i="2"/>
  <c r="AT862" i="3"/>
  <c r="AW862" i="3" s="1"/>
  <c r="Q562" i="2"/>
  <c r="AT858" i="3"/>
  <c r="AW858" i="3" s="1"/>
  <c r="Q558" i="2"/>
  <c r="AT854" i="3"/>
  <c r="AW854" i="3" s="1"/>
  <c r="Q554" i="2"/>
  <c r="AT850" i="3"/>
  <c r="AW850" i="3" s="1"/>
  <c r="Q550" i="2"/>
  <c r="AT846" i="3"/>
  <c r="AW846" i="3" s="1"/>
  <c r="Q546" i="2"/>
  <c r="AT842" i="3"/>
  <c r="AW842" i="3" s="1"/>
  <c r="Q542" i="2"/>
  <c r="AT838" i="3"/>
  <c r="AW838" i="3" s="1"/>
  <c r="Q538" i="2"/>
  <c r="AT834" i="3"/>
  <c r="AW834" i="3" s="1"/>
  <c r="Q534" i="2"/>
  <c r="AT830" i="3"/>
  <c r="AW830" i="3" s="1"/>
  <c r="Q530" i="2"/>
  <c r="AT826" i="3"/>
  <c r="AW826" i="3" s="1"/>
  <c r="Q526" i="2"/>
  <c r="AT822" i="3"/>
  <c r="AW822" i="3" s="1"/>
  <c r="Q522" i="2"/>
  <c r="AT818" i="3"/>
  <c r="AW818" i="3" s="1"/>
  <c r="Q518" i="2"/>
  <c r="AT814" i="3"/>
  <c r="AW814" i="3" s="1"/>
  <c r="Q514" i="2"/>
  <c r="AT810" i="3"/>
  <c r="AW810" i="3" s="1"/>
  <c r="Q510" i="2"/>
  <c r="AT806" i="3"/>
  <c r="AW806" i="3" s="1"/>
  <c r="Q506" i="2"/>
  <c r="AT802" i="3"/>
  <c r="AW802" i="3" s="1"/>
  <c r="Q502" i="2"/>
  <c r="AT798" i="3"/>
  <c r="AW798" i="3" s="1"/>
  <c r="Q498" i="2"/>
  <c r="AT794" i="3"/>
  <c r="AW794" i="3" s="1"/>
  <c r="Q494" i="2"/>
  <c r="AT790" i="3"/>
  <c r="AW790" i="3" s="1"/>
  <c r="Q490" i="2"/>
  <c r="AT786" i="3"/>
  <c r="AW786" i="3" s="1"/>
  <c r="Q486" i="2"/>
  <c r="AT782" i="3"/>
  <c r="AW782" i="3" s="1"/>
  <c r="Q482" i="2"/>
  <c r="AT778" i="3"/>
  <c r="AW778" i="3" s="1"/>
  <c r="Q478" i="2"/>
  <c r="AT774" i="3"/>
  <c r="AW774" i="3" s="1"/>
  <c r="Q474" i="2"/>
  <c r="AT770" i="3"/>
  <c r="AW770" i="3" s="1"/>
  <c r="Q470" i="2"/>
  <c r="AT766" i="3"/>
  <c r="AW766" i="3" s="1"/>
  <c r="Q466" i="2"/>
  <c r="AT762" i="3"/>
  <c r="AW762" i="3" s="1"/>
  <c r="Q462" i="2"/>
  <c r="AT758" i="3"/>
  <c r="AW758" i="3" s="1"/>
  <c r="Q458" i="2"/>
  <c r="AT754" i="3"/>
  <c r="AW754" i="3" s="1"/>
  <c r="Q454" i="2"/>
  <c r="AT750" i="3"/>
  <c r="AW750" i="3" s="1"/>
  <c r="Q450" i="2"/>
  <c r="AT746" i="3"/>
  <c r="AW746" i="3" s="1"/>
  <c r="Q446" i="2"/>
  <c r="AT742" i="3"/>
  <c r="AW742" i="3" s="1"/>
  <c r="Q442" i="2"/>
  <c r="AT738" i="3"/>
  <c r="AW738" i="3" s="1"/>
  <c r="Q438" i="2"/>
  <c r="AT734" i="3"/>
  <c r="AW734" i="3" s="1"/>
  <c r="Q434" i="2"/>
  <c r="AT730" i="3"/>
  <c r="AW730" i="3" s="1"/>
  <c r="Q430" i="2"/>
  <c r="AT726" i="3"/>
  <c r="AW726" i="3" s="1"/>
  <c r="Q426" i="2"/>
  <c r="AT722" i="3"/>
  <c r="AW722" i="3" s="1"/>
  <c r="Q422" i="2"/>
  <c r="AT718" i="3"/>
  <c r="AW718" i="3" s="1"/>
  <c r="Q418" i="2"/>
  <c r="AT714" i="3"/>
  <c r="AW714" i="3" s="1"/>
  <c r="Q414" i="2"/>
  <c r="AT710" i="3"/>
  <c r="AW710" i="3" s="1"/>
  <c r="Q410" i="2"/>
  <c r="AT706" i="3"/>
  <c r="AW706" i="3" s="1"/>
  <c r="Q406" i="2"/>
  <c r="AT702" i="3"/>
  <c r="AW702" i="3" s="1"/>
  <c r="Q402" i="2"/>
  <c r="AT698" i="3"/>
  <c r="AW698" i="3" s="1"/>
  <c r="Q398" i="2"/>
  <c r="AT694" i="3"/>
  <c r="AW694" i="3" s="1"/>
  <c r="Q394" i="2"/>
  <c r="AT690" i="3"/>
  <c r="AW690" i="3" s="1"/>
  <c r="Q390" i="2"/>
  <c r="AT686" i="3"/>
  <c r="AW686" i="3" s="1"/>
  <c r="Q386" i="2"/>
  <c r="AT682" i="3"/>
  <c r="AW682" i="3" s="1"/>
  <c r="Q382" i="2"/>
  <c r="AT678" i="3"/>
  <c r="AW678" i="3" s="1"/>
  <c r="Q378" i="2"/>
  <c r="AT674" i="3"/>
  <c r="AW674" i="3" s="1"/>
  <c r="Q374" i="2"/>
  <c r="AT670" i="3"/>
  <c r="AW670" i="3" s="1"/>
  <c r="Q370" i="2"/>
  <c r="AT666" i="3"/>
  <c r="AW666" i="3" s="1"/>
  <c r="Q366" i="2"/>
  <c r="AT367" i="3" s="1"/>
  <c r="AW367" i="3" s="1"/>
  <c r="AT662" i="3"/>
  <c r="AW662" i="3" s="1"/>
  <c r="Q362" i="2"/>
  <c r="AT363" i="3" s="1"/>
  <c r="AW363" i="3" s="1"/>
  <c r="AT658" i="3"/>
  <c r="AW658" i="3" s="1"/>
  <c r="Q358" i="2"/>
  <c r="AT359" i="3" s="1"/>
  <c r="AW359" i="3" s="1"/>
  <c r="AT654" i="3"/>
  <c r="AW654" i="3" s="1"/>
  <c r="Q354" i="2"/>
  <c r="AT650" i="3"/>
  <c r="AW650" i="3" s="1"/>
  <c r="Q350" i="2"/>
  <c r="AT351" i="3" s="1"/>
  <c r="AW351" i="3" s="1"/>
  <c r="AT646" i="3"/>
  <c r="AW646" i="3" s="1"/>
  <c r="Q346" i="2"/>
  <c r="AT347" i="3" s="1"/>
  <c r="AW347" i="3" s="1"/>
  <c r="AT642" i="3"/>
  <c r="AW642" i="3" s="1"/>
  <c r="Q342" i="2"/>
  <c r="AT343" i="3" s="1"/>
  <c r="AW343" i="3" s="1"/>
  <c r="AT638" i="3"/>
  <c r="AW638" i="3" s="1"/>
  <c r="Q338" i="2"/>
  <c r="AT339" i="3" s="1"/>
  <c r="AW339" i="3" s="1"/>
  <c r="AT634" i="3"/>
  <c r="AW634" i="3" s="1"/>
  <c r="Q334" i="2"/>
  <c r="AT335" i="3" s="1"/>
  <c r="AW335" i="3" s="1"/>
  <c r="AT630" i="3"/>
  <c r="AW630" i="3" s="1"/>
  <c r="Q330" i="2"/>
  <c r="AT331" i="3" s="1"/>
  <c r="AW331" i="3" s="1"/>
  <c r="AT626" i="3"/>
  <c r="AW626" i="3" s="1"/>
  <c r="Q326" i="2"/>
  <c r="AT327" i="3" s="1"/>
  <c r="AW327" i="3" s="1"/>
  <c r="AT622" i="3"/>
  <c r="AW622" i="3" s="1"/>
  <c r="Q322" i="2"/>
  <c r="AT618" i="3"/>
  <c r="AW618" i="3" s="1"/>
  <c r="Q318" i="2"/>
  <c r="AT319" i="3" s="1"/>
  <c r="AW319" i="3" s="1"/>
  <c r="AT614" i="3"/>
  <c r="AW614" i="3" s="1"/>
  <c r="Q314" i="2"/>
  <c r="AT315" i="3" s="1"/>
  <c r="AW315" i="3" s="1"/>
  <c r="AT610" i="3"/>
  <c r="AW610" i="3" s="1"/>
  <c r="Q310" i="2"/>
  <c r="AT311" i="3" s="1"/>
  <c r="AW311" i="3" s="1"/>
  <c r="AT606" i="3"/>
  <c r="AW606" i="3" s="1"/>
  <c r="Q306" i="2"/>
  <c r="AT307" i="3" s="1"/>
  <c r="AW307" i="3" s="1"/>
  <c r="AT602" i="3"/>
  <c r="AW602" i="3" s="1"/>
  <c r="Q302" i="2"/>
  <c r="AT303" i="3" s="1"/>
  <c r="AW303" i="3" s="1"/>
  <c r="AT598" i="3"/>
  <c r="AW598" i="3" s="1"/>
  <c r="Q298" i="2"/>
  <c r="AT299" i="3" s="1"/>
  <c r="AW299" i="3" s="1"/>
  <c r="AT594" i="3"/>
  <c r="AW594" i="3" s="1"/>
  <c r="Q294" i="2"/>
  <c r="AT295" i="3" s="1"/>
  <c r="AW295" i="3" s="1"/>
  <c r="AT590" i="3"/>
  <c r="AW590" i="3" s="1"/>
  <c r="Q290" i="2"/>
  <c r="AT586" i="3"/>
  <c r="AW586" i="3" s="1"/>
  <c r="Q286" i="2"/>
  <c r="AT287" i="3" s="1"/>
  <c r="AW287" i="3" s="1"/>
  <c r="AT582" i="3"/>
  <c r="AW582" i="3" s="1"/>
  <c r="Q282" i="2"/>
  <c r="AT283" i="3" s="1"/>
  <c r="AW283" i="3" s="1"/>
  <c r="AT578" i="3"/>
  <c r="AW578" i="3" s="1"/>
  <c r="Q278" i="2"/>
  <c r="AT279" i="3" s="1"/>
  <c r="AW279" i="3" s="1"/>
  <c r="AT574" i="3"/>
  <c r="AW574" i="3" s="1"/>
  <c r="Q274" i="2"/>
  <c r="AT275" i="3" s="1"/>
  <c r="AW275" i="3" s="1"/>
  <c r="AT570" i="3"/>
  <c r="AW570" i="3" s="1"/>
  <c r="Q270" i="2"/>
  <c r="AT271" i="3" s="1"/>
  <c r="AW271" i="3" s="1"/>
  <c r="AT566" i="3"/>
  <c r="AW566" i="3" s="1"/>
  <c r="Q266" i="2"/>
  <c r="AT267" i="3" s="1"/>
  <c r="AW267" i="3" s="1"/>
  <c r="AT562" i="3"/>
  <c r="AW562" i="3" s="1"/>
  <c r="Q262" i="2"/>
  <c r="AT263" i="3" s="1"/>
  <c r="AW263" i="3" s="1"/>
  <c r="AT558" i="3"/>
  <c r="AW558" i="3" s="1"/>
  <c r="Q258" i="2"/>
  <c r="AT554" i="3"/>
  <c r="AW554" i="3" s="1"/>
  <c r="Q254" i="2"/>
  <c r="AT255" i="3" s="1"/>
  <c r="AW255" i="3" s="1"/>
  <c r="AT550" i="3"/>
  <c r="AW550" i="3" s="1"/>
  <c r="Q250" i="2"/>
  <c r="AT251" i="3" s="1"/>
  <c r="AW251" i="3" s="1"/>
  <c r="AT546" i="3"/>
  <c r="AW546" i="3" s="1"/>
  <c r="Q246" i="2"/>
  <c r="AT247" i="3" s="1"/>
  <c r="AW247" i="3" s="1"/>
  <c r="AT542" i="3"/>
  <c r="AW542" i="3" s="1"/>
  <c r="Q242" i="2"/>
  <c r="AT243" i="3" s="1"/>
  <c r="AW243" i="3" s="1"/>
  <c r="AT538" i="3"/>
  <c r="AW538" i="3" s="1"/>
  <c r="Q238" i="2"/>
  <c r="AT239" i="3" s="1"/>
  <c r="AW239" i="3" s="1"/>
  <c r="AT534" i="3"/>
  <c r="AW534" i="3" s="1"/>
  <c r="Q234" i="2"/>
  <c r="AT235" i="3" s="1"/>
  <c r="AW235" i="3" s="1"/>
  <c r="AT530" i="3"/>
  <c r="AW530" i="3" s="1"/>
  <c r="Q230" i="2"/>
  <c r="AT231" i="3" s="1"/>
  <c r="AW231" i="3" s="1"/>
  <c r="AT526" i="3"/>
  <c r="AW526" i="3" s="1"/>
  <c r="Q226" i="2"/>
  <c r="AT522" i="3"/>
  <c r="AW522" i="3" s="1"/>
  <c r="Q222" i="2"/>
  <c r="AT223" i="3" s="1"/>
  <c r="AW223" i="3" s="1"/>
  <c r="AT518" i="3"/>
  <c r="AW518" i="3" s="1"/>
  <c r="Q218" i="2"/>
  <c r="AT219" i="3" s="1"/>
  <c r="AW219" i="3" s="1"/>
  <c r="AT514" i="3"/>
  <c r="AW514" i="3" s="1"/>
  <c r="Q214" i="2"/>
  <c r="AT215" i="3" s="1"/>
  <c r="AW215" i="3" s="1"/>
  <c r="AT510" i="3"/>
  <c r="AW510" i="3" s="1"/>
  <c r="Q210" i="2"/>
  <c r="AT211" i="3" s="1"/>
  <c r="AW211" i="3" s="1"/>
  <c r="AT506" i="3"/>
  <c r="AW506" i="3" s="1"/>
  <c r="Q206" i="2"/>
  <c r="AT207" i="3" s="1"/>
  <c r="AW207" i="3" s="1"/>
  <c r="AT502" i="3"/>
  <c r="AW502" i="3" s="1"/>
  <c r="Q202" i="2"/>
  <c r="AT203" i="3" s="1"/>
  <c r="AW203" i="3" s="1"/>
  <c r="AT498" i="3"/>
  <c r="AW498" i="3" s="1"/>
  <c r="Q198" i="2"/>
  <c r="AT199" i="3" s="1"/>
  <c r="AW199" i="3" s="1"/>
  <c r="AT494" i="3"/>
  <c r="AW494" i="3" s="1"/>
  <c r="Q194" i="2"/>
  <c r="AT490" i="3"/>
  <c r="AW490" i="3" s="1"/>
  <c r="Q190" i="2"/>
  <c r="AT191" i="3" s="1"/>
  <c r="AW191" i="3" s="1"/>
  <c r="AT486" i="3"/>
  <c r="AW486" i="3" s="1"/>
  <c r="Q186" i="2"/>
  <c r="AT482" i="3"/>
  <c r="AW482" i="3" s="1"/>
  <c r="Q182" i="2"/>
  <c r="AT478" i="3"/>
  <c r="AW478" i="3" s="1"/>
  <c r="Q178" i="2"/>
  <c r="AT179" i="3" s="1"/>
  <c r="AW179" i="3" s="1"/>
  <c r="AT474" i="3"/>
  <c r="AW474" i="3" s="1"/>
  <c r="Q174" i="2"/>
  <c r="AT175" i="3" s="1"/>
  <c r="AW175" i="3" s="1"/>
  <c r="AT470" i="3"/>
  <c r="AW470" i="3" s="1"/>
  <c r="Q170" i="2"/>
  <c r="AT171" i="3" s="1"/>
  <c r="AW171" i="3" s="1"/>
  <c r="AT466" i="3"/>
  <c r="AW466" i="3" s="1"/>
  <c r="Q166" i="2"/>
  <c r="AT167" i="3" s="1"/>
  <c r="AW167" i="3" s="1"/>
  <c r="AT462" i="3"/>
  <c r="AW462" i="3" s="1"/>
  <c r="Q162" i="2"/>
  <c r="AT163" i="3" s="1"/>
  <c r="AW163" i="3" s="1"/>
  <c r="AT458" i="3"/>
  <c r="AW458" i="3" s="1"/>
  <c r="Q158" i="2"/>
  <c r="AT159" i="3" s="1"/>
  <c r="AW159" i="3" s="1"/>
  <c r="AT454" i="3"/>
  <c r="AW454" i="3" s="1"/>
  <c r="Q154" i="2"/>
  <c r="AT155" i="3" s="1"/>
  <c r="AW155" i="3" s="1"/>
  <c r="AT450" i="3"/>
  <c r="AW450" i="3" s="1"/>
  <c r="Q150" i="2"/>
  <c r="AT446" i="3"/>
  <c r="AW446" i="3" s="1"/>
  <c r="Q146" i="2"/>
  <c r="AT147" i="3" s="1"/>
  <c r="AW147" i="3" s="1"/>
  <c r="AT442" i="3"/>
  <c r="AW442" i="3" s="1"/>
  <c r="Q142" i="2"/>
  <c r="Q138" i="2"/>
  <c r="AT139" i="3" s="1"/>
  <c r="AW139" i="3" s="1"/>
  <c r="Q134" i="2"/>
  <c r="AT430" i="3" s="1"/>
  <c r="AW430" i="3" s="1"/>
  <c r="Q130" i="2"/>
  <c r="Q126" i="2"/>
  <c r="Q122" i="2"/>
  <c r="Q118" i="2"/>
  <c r="AT414" i="3" s="1"/>
  <c r="AW414" i="3" s="1"/>
  <c r="Q114" i="2"/>
  <c r="AT115" i="3" s="1"/>
  <c r="AW115" i="3" s="1"/>
  <c r="AT410" i="3"/>
  <c r="AW410" i="3" s="1"/>
  <c r="Q110" i="2"/>
  <c r="Q106" i="2"/>
  <c r="AT107" i="3" s="1"/>
  <c r="AW107" i="3" s="1"/>
  <c r="Q102" i="2"/>
  <c r="AT398" i="3" s="1"/>
  <c r="AW398" i="3" s="1"/>
  <c r="Q98" i="2"/>
  <c r="Q94" i="2"/>
  <c r="Q90" i="2"/>
  <c r="Q86" i="2"/>
  <c r="AT382" i="3" s="1"/>
  <c r="AW382" i="3" s="1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O146" i="2"/>
  <c r="AO442" i="3" s="1"/>
  <c r="AR442" i="3" s="1"/>
  <c r="O106" i="2"/>
  <c r="O94" i="2"/>
  <c r="AO390" i="3" s="1"/>
  <c r="AR390" i="3" s="1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658" i="3"/>
  <c r="AR658" i="3" s="1"/>
  <c r="AO594" i="3"/>
  <c r="AR594" i="3" s="1"/>
  <c r="AO530" i="3"/>
  <c r="AR530" i="3" s="1"/>
  <c r="AO466" i="3"/>
  <c r="AR466" i="3" s="1"/>
  <c r="O154" i="2"/>
  <c r="O150" i="2"/>
  <c r="O142" i="2"/>
  <c r="O138" i="2"/>
  <c r="O134" i="2"/>
  <c r="O130" i="2"/>
  <c r="AO426" i="3" s="1"/>
  <c r="AR426" i="3" s="1"/>
  <c r="O126" i="2"/>
  <c r="O122" i="2"/>
  <c r="O114" i="2"/>
  <c r="O110" i="2"/>
  <c r="AO406" i="3" s="1"/>
  <c r="AR406" i="3" s="1"/>
  <c r="O102" i="2"/>
  <c r="O98" i="2"/>
  <c r="O90" i="2"/>
  <c r="O86" i="2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62" i="3"/>
  <c r="AR662" i="3" s="1"/>
  <c r="AO630" i="3"/>
  <c r="AR630" i="3" s="1"/>
  <c r="AO566" i="3"/>
  <c r="AR566" i="3" s="1"/>
  <c r="AO502" i="3"/>
  <c r="AR502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590" i="3"/>
  <c r="AR590" i="3" s="1"/>
  <c r="AO526" i="3"/>
  <c r="AR526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63" i="3"/>
  <c r="AR663" i="3" s="1"/>
  <c r="AO659" i="3"/>
  <c r="AR659" i="3" s="1"/>
  <c r="AO639" i="3"/>
  <c r="AR639" i="3" s="1"/>
  <c r="AO627" i="3"/>
  <c r="AR627" i="3" s="1"/>
  <c r="AO615" i="3"/>
  <c r="AR615" i="3" s="1"/>
  <c r="AO607" i="3"/>
  <c r="AR607" i="3" s="1"/>
  <c r="AO599" i="3"/>
  <c r="AR599" i="3" s="1"/>
  <c r="AO595" i="3"/>
  <c r="AR595" i="3" s="1"/>
  <c r="AO575" i="3"/>
  <c r="AR575" i="3" s="1"/>
  <c r="AO563" i="3"/>
  <c r="AR563" i="3" s="1"/>
  <c r="AO551" i="3"/>
  <c r="AR551" i="3" s="1"/>
  <c r="AO543" i="3"/>
  <c r="AR543" i="3" s="1"/>
  <c r="AO535" i="3"/>
  <c r="AR535" i="3" s="1"/>
  <c r="AO531" i="3"/>
  <c r="AR531" i="3" s="1"/>
  <c r="AO511" i="3"/>
  <c r="AR511" i="3" s="1"/>
  <c r="AO499" i="3"/>
  <c r="AR499" i="3" s="1"/>
  <c r="AO487" i="3"/>
  <c r="AR487" i="3" s="1"/>
  <c r="AO479" i="3"/>
  <c r="AR479" i="3" s="1"/>
  <c r="AO467" i="3"/>
  <c r="AR467" i="3" s="1"/>
  <c r="AO455" i="3"/>
  <c r="AR455" i="3" s="1"/>
  <c r="AO447" i="3"/>
  <c r="AR447" i="3" s="1"/>
  <c r="AO439" i="3"/>
  <c r="AR439" i="3" s="1"/>
  <c r="AO435" i="3"/>
  <c r="AR435" i="3" s="1"/>
  <c r="AO415" i="3"/>
  <c r="AR415" i="3" s="1"/>
  <c r="AO403" i="3"/>
  <c r="AR403" i="3" s="1"/>
  <c r="AO391" i="3"/>
  <c r="AR391" i="3" s="1"/>
  <c r="AO383" i="3"/>
  <c r="AR383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40" i="3"/>
  <c r="AR640" i="3" s="1"/>
  <c r="AO636" i="3"/>
  <c r="AR636" i="3" s="1"/>
  <c r="AO624" i="3"/>
  <c r="AR624" i="3" s="1"/>
  <c r="AO612" i="3"/>
  <c r="AR612" i="3" s="1"/>
  <c r="AO604" i="3"/>
  <c r="AR604" i="3" s="1"/>
  <c r="AO596" i="3"/>
  <c r="AR596" i="3" s="1"/>
  <c r="AO592" i="3"/>
  <c r="AR592" i="3" s="1"/>
  <c r="AO572" i="3"/>
  <c r="AR572" i="3" s="1"/>
  <c r="AO568" i="3"/>
  <c r="AR568" i="3" s="1"/>
  <c r="AO556" i="3"/>
  <c r="AR556" i="3" s="1"/>
  <c r="AO540" i="3"/>
  <c r="AR540" i="3" s="1"/>
  <c r="AO532" i="3"/>
  <c r="AR532" i="3" s="1"/>
  <c r="AO524" i="3"/>
  <c r="AR524" i="3" s="1"/>
  <c r="AO520" i="3"/>
  <c r="AR520" i="3" s="1"/>
  <c r="AO504" i="3"/>
  <c r="AR504" i="3" s="1"/>
  <c r="AO500" i="3"/>
  <c r="AR500" i="3" s="1"/>
  <c r="AO488" i="3"/>
  <c r="AR488" i="3" s="1"/>
  <c r="AO476" i="3"/>
  <c r="AR476" i="3" s="1"/>
  <c r="AO460" i="3"/>
  <c r="AR460" i="3" s="1"/>
  <c r="AO444" i="3"/>
  <c r="AR444" i="3" s="1"/>
  <c r="AO440" i="3"/>
  <c r="AR440" i="3" s="1"/>
  <c r="AO424" i="3"/>
  <c r="AR424" i="3" s="1"/>
  <c r="AO408" i="3"/>
  <c r="AR408" i="3" s="1"/>
  <c r="AO396" i="3"/>
  <c r="AR396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09" i="3"/>
  <c r="AR609" i="3" s="1"/>
  <c r="AO589" i="3"/>
  <c r="AR589" i="3" s="1"/>
  <c r="AO557" i="3"/>
  <c r="AR557" i="3" s="1"/>
  <c r="AO509" i="3"/>
  <c r="AR509" i="3" s="1"/>
  <c r="AO485" i="3"/>
  <c r="AR485" i="3" s="1"/>
  <c r="AO433" i="3"/>
  <c r="AR433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T390" i="3" l="1"/>
  <c r="AW390" i="3" s="1"/>
  <c r="AT95" i="3"/>
  <c r="AW95" i="3" s="1"/>
  <c r="AT388" i="3"/>
  <c r="AW388" i="3" s="1"/>
  <c r="AT93" i="3"/>
  <c r="AW93" i="3" s="1"/>
  <c r="AT420" i="3"/>
  <c r="AW420" i="3" s="1"/>
  <c r="AT125" i="3"/>
  <c r="AW125" i="3" s="1"/>
  <c r="AT375" i="3"/>
  <c r="AW375" i="3" s="1"/>
  <c r="AT488" i="3"/>
  <c r="AW488" i="3" s="1"/>
  <c r="AT257" i="3"/>
  <c r="AW257" i="3" s="1"/>
  <c r="AT552" i="3"/>
  <c r="AW552" i="3" s="1"/>
  <c r="AT321" i="3"/>
  <c r="AW321" i="3" s="1"/>
  <c r="AT616" i="3"/>
  <c r="AW616" i="3" s="1"/>
  <c r="AT408" i="3"/>
  <c r="AW408" i="3" s="1"/>
  <c r="AT113" i="3"/>
  <c r="AW113" i="3" s="1"/>
  <c r="AT436" i="3"/>
  <c r="AW436" i="3" s="1"/>
  <c r="AT141" i="3"/>
  <c r="AW141" i="3" s="1"/>
  <c r="AT205" i="3"/>
  <c r="AW205" i="3" s="1"/>
  <c r="AT500" i="3"/>
  <c r="AW500" i="3" s="1"/>
  <c r="AT269" i="3"/>
  <c r="AW269" i="3" s="1"/>
  <c r="AT564" i="3"/>
  <c r="AW564" i="3" s="1"/>
  <c r="AT333" i="3"/>
  <c r="AW333" i="3" s="1"/>
  <c r="AT628" i="3"/>
  <c r="AW628" i="3" s="1"/>
  <c r="AT395" i="3"/>
  <c r="AW395" i="3" s="1"/>
  <c r="AT100" i="3"/>
  <c r="AW100" i="3" s="1"/>
  <c r="AT411" i="3"/>
  <c r="AW411" i="3" s="1"/>
  <c r="AT116" i="3"/>
  <c r="AW116" i="3" s="1"/>
  <c r="AT427" i="3"/>
  <c r="AW427" i="3" s="1"/>
  <c r="AT132" i="3"/>
  <c r="AW132" i="3" s="1"/>
  <c r="AT193" i="3"/>
  <c r="AW193" i="3" s="1"/>
  <c r="AT170" i="3"/>
  <c r="AW170" i="3" s="1"/>
  <c r="AT465" i="3"/>
  <c r="AW465" i="3" s="1"/>
  <c r="AT186" i="3"/>
  <c r="AW186" i="3" s="1"/>
  <c r="AT481" i="3"/>
  <c r="AW481" i="3" s="1"/>
  <c r="AT87" i="3"/>
  <c r="AW87" i="3" s="1"/>
  <c r="AT169" i="3"/>
  <c r="AW169" i="3" s="1"/>
  <c r="AT245" i="3"/>
  <c r="AW245" i="3" s="1"/>
  <c r="AT309" i="3"/>
  <c r="AW309" i="3" s="1"/>
  <c r="AT394" i="3"/>
  <c r="AW394" i="3" s="1"/>
  <c r="AT99" i="3"/>
  <c r="AW99" i="3" s="1"/>
  <c r="AT406" i="3"/>
  <c r="AW406" i="3" s="1"/>
  <c r="AT111" i="3"/>
  <c r="AW111" i="3" s="1"/>
  <c r="AT418" i="3"/>
  <c r="AW418" i="3" s="1"/>
  <c r="AT123" i="3"/>
  <c r="AW123" i="3" s="1"/>
  <c r="AT434" i="3"/>
  <c r="AW434" i="3" s="1"/>
  <c r="AT187" i="3"/>
  <c r="AW187" i="3" s="1"/>
  <c r="AT369" i="3"/>
  <c r="AW369" i="3" s="1"/>
  <c r="AT195" i="3"/>
  <c r="AW195" i="3" s="1"/>
  <c r="AT377" i="3"/>
  <c r="AW377" i="3" s="1"/>
  <c r="AT396" i="3"/>
  <c r="AW396" i="3" s="1"/>
  <c r="AT101" i="3"/>
  <c r="AW101" i="3" s="1"/>
  <c r="AT177" i="3"/>
  <c r="AW177" i="3" s="1"/>
  <c r="AT472" i="3"/>
  <c r="AW472" i="3" s="1"/>
  <c r="AT496" i="3"/>
  <c r="AW496" i="3" s="1"/>
  <c r="AT241" i="3"/>
  <c r="AW241" i="3" s="1"/>
  <c r="AT536" i="3"/>
  <c r="AW536" i="3" s="1"/>
  <c r="AT560" i="3"/>
  <c r="AW560" i="3" s="1"/>
  <c r="AT305" i="3"/>
  <c r="AW305" i="3" s="1"/>
  <c r="AT600" i="3"/>
  <c r="AW600" i="3" s="1"/>
  <c r="AT624" i="3"/>
  <c r="AW624" i="3" s="1"/>
  <c r="AT444" i="3"/>
  <c r="AW444" i="3" s="1"/>
  <c r="AT371" i="3"/>
  <c r="AW371" i="3" s="1"/>
  <c r="AT484" i="3"/>
  <c r="AW484" i="3" s="1"/>
  <c r="AT508" i="3"/>
  <c r="AW508" i="3" s="1"/>
  <c r="AT253" i="3"/>
  <c r="AW253" i="3" s="1"/>
  <c r="AT548" i="3"/>
  <c r="AW548" i="3" s="1"/>
  <c r="AT572" i="3"/>
  <c r="AW572" i="3" s="1"/>
  <c r="AT317" i="3"/>
  <c r="AW317" i="3" s="1"/>
  <c r="AT612" i="3"/>
  <c r="AW612" i="3" s="1"/>
  <c r="AT636" i="3"/>
  <c r="AW636" i="3" s="1"/>
  <c r="AT433" i="3"/>
  <c r="AW433" i="3" s="1"/>
  <c r="AT197" i="3"/>
  <c r="AW197" i="3" s="1"/>
  <c r="AT134" i="3"/>
  <c r="AW134" i="3" s="1"/>
  <c r="AT429" i="3"/>
  <c r="AW429" i="3" s="1"/>
  <c r="AT234" i="3"/>
  <c r="AW234" i="3" s="1"/>
  <c r="AT529" i="3"/>
  <c r="AW529" i="3" s="1"/>
  <c r="AT250" i="3"/>
  <c r="AW250" i="3" s="1"/>
  <c r="AT545" i="3"/>
  <c r="AW545" i="3" s="1"/>
  <c r="AT298" i="3"/>
  <c r="AW298" i="3" s="1"/>
  <c r="AT593" i="3"/>
  <c r="AW593" i="3" s="1"/>
  <c r="AT314" i="3"/>
  <c r="AW314" i="3" s="1"/>
  <c r="AT609" i="3"/>
  <c r="AW609" i="3" s="1"/>
  <c r="AT362" i="3"/>
  <c r="AW362" i="3" s="1"/>
  <c r="AT657" i="3"/>
  <c r="AW657" i="3" s="1"/>
  <c r="AT103" i="3"/>
  <c r="AW103" i="3" s="1"/>
  <c r="AT121" i="3"/>
  <c r="AW121" i="3" s="1"/>
  <c r="AT422" i="3"/>
  <c r="AW422" i="3" s="1"/>
  <c r="AT127" i="3"/>
  <c r="AW127" i="3" s="1"/>
  <c r="AT161" i="3"/>
  <c r="AW161" i="3" s="1"/>
  <c r="AT456" i="3"/>
  <c r="AW456" i="3" s="1"/>
  <c r="AT225" i="3"/>
  <c r="AW225" i="3" s="1"/>
  <c r="AT520" i="3"/>
  <c r="AW520" i="3" s="1"/>
  <c r="AT289" i="3"/>
  <c r="AW289" i="3" s="1"/>
  <c r="AT584" i="3"/>
  <c r="AW584" i="3" s="1"/>
  <c r="AT353" i="3"/>
  <c r="AW353" i="3" s="1"/>
  <c r="AT648" i="3"/>
  <c r="AW648" i="3" s="1"/>
  <c r="AT392" i="3"/>
  <c r="AW392" i="3" s="1"/>
  <c r="AT97" i="3"/>
  <c r="AW97" i="3" s="1"/>
  <c r="AT424" i="3"/>
  <c r="AW424" i="3" s="1"/>
  <c r="AT129" i="3"/>
  <c r="AW129" i="3" s="1"/>
  <c r="AT173" i="3"/>
  <c r="AW173" i="3" s="1"/>
  <c r="AT468" i="3"/>
  <c r="AW468" i="3" s="1"/>
  <c r="AT237" i="3"/>
  <c r="AW237" i="3" s="1"/>
  <c r="AT532" i="3"/>
  <c r="AW532" i="3" s="1"/>
  <c r="AT301" i="3"/>
  <c r="AW301" i="3" s="1"/>
  <c r="AT596" i="3"/>
  <c r="AW596" i="3" s="1"/>
  <c r="AT365" i="3"/>
  <c r="AW365" i="3" s="1"/>
  <c r="AT660" i="3"/>
  <c r="AW660" i="3" s="1"/>
  <c r="AT387" i="3"/>
  <c r="AW387" i="3" s="1"/>
  <c r="AT92" i="3"/>
  <c r="AW92" i="3" s="1"/>
  <c r="AT403" i="3"/>
  <c r="AW403" i="3" s="1"/>
  <c r="AT108" i="3"/>
  <c r="AW108" i="3" s="1"/>
  <c r="AT419" i="3"/>
  <c r="AW419" i="3" s="1"/>
  <c r="AT124" i="3"/>
  <c r="AW124" i="3" s="1"/>
  <c r="AT435" i="3"/>
  <c r="AW435" i="3" s="1"/>
  <c r="AT140" i="3"/>
  <c r="AW140" i="3" s="1"/>
  <c r="AT178" i="3"/>
  <c r="AW178" i="3" s="1"/>
  <c r="AT473" i="3"/>
  <c r="AW473" i="3" s="1"/>
  <c r="AT119" i="3"/>
  <c r="AW119" i="3" s="1"/>
  <c r="AT386" i="3"/>
  <c r="AW386" i="3" s="1"/>
  <c r="AT91" i="3"/>
  <c r="AW91" i="3" s="1"/>
  <c r="AT402" i="3"/>
  <c r="AW402" i="3" s="1"/>
  <c r="AT426" i="3"/>
  <c r="AW426" i="3" s="1"/>
  <c r="AT131" i="3"/>
  <c r="AW131" i="3" s="1"/>
  <c r="AT438" i="3"/>
  <c r="AW438" i="3" s="1"/>
  <c r="AT143" i="3"/>
  <c r="AW143" i="3" s="1"/>
  <c r="AT85" i="3"/>
  <c r="AW85" i="3" s="1"/>
  <c r="AT380" i="3"/>
  <c r="AW380" i="3" s="1"/>
  <c r="AT412" i="3"/>
  <c r="AW412" i="3" s="1"/>
  <c r="AT117" i="3"/>
  <c r="AW117" i="3" s="1"/>
  <c r="AT440" i="3"/>
  <c r="AW440" i="3" s="1"/>
  <c r="AT145" i="3"/>
  <c r="AW145" i="3" s="1"/>
  <c r="AT209" i="3"/>
  <c r="AW209" i="3" s="1"/>
  <c r="AT504" i="3"/>
  <c r="AW504" i="3" s="1"/>
  <c r="AT528" i="3"/>
  <c r="AW528" i="3" s="1"/>
  <c r="AT273" i="3"/>
  <c r="AW273" i="3" s="1"/>
  <c r="AT568" i="3"/>
  <c r="AW568" i="3" s="1"/>
  <c r="AT592" i="3"/>
  <c r="AW592" i="3" s="1"/>
  <c r="AT337" i="3"/>
  <c r="AW337" i="3" s="1"/>
  <c r="AT632" i="3"/>
  <c r="AW632" i="3" s="1"/>
  <c r="AT656" i="3"/>
  <c r="AW656" i="3" s="1"/>
  <c r="AT157" i="3"/>
  <c r="AW157" i="3" s="1"/>
  <c r="AT452" i="3"/>
  <c r="AW452" i="3" s="1"/>
  <c r="AT476" i="3"/>
  <c r="AW476" i="3" s="1"/>
  <c r="AT221" i="3"/>
  <c r="AW221" i="3" s="1"/>
  <c r="AT516" i="3"/>
  <c r="AW516" i="3" s="1"/>
  <c r="AT285" i="3"/>
  <c r="AW285" i="3" s="1"/>
  <c r="AT580" i="3"/>
  <c r="AW580" i="3" s="1"/>
  <c r="AT349" i="3"/>
  <c r="AW349" i="3" s="1"/>
  <c r="AT644" i="3"/>
  <c r="AW644" i="3" s="1"/>
  <c r="AT189" i="3"/>
  <c r="AW189" i="3" s="1"/>
  <c r="AT166" i="3"/>
  <c r="AW166" i="3" s="1"/>
  <c r="AT461" i="3"/>
  <c r="AW461" i="3" s="1"/>
  <c r="AT194" i="3"/>
  <c r="AW194" i="3" s="1"/>
  <c r="AT376" i="3"/>
  <c r="AW376" i="3" s="1"/>
  <c r="AT226" i="3"/>
  <c r="AW226" i="3" s="1"/>
  <c r="AT521" i="3"/>
  <c r="AW521" i="3" s="1"/>
  <c r="AT242" i="3"/>
  <c r="AW242" i="3" s="1"/>
  <c r="AT537" i="3"/>
  <c r="AW537" i="3" s="1"/>
  <c r="AT290" i="3"/>
  <c r="AW290" i="3" s="1"/>
  <c r="AT585" i="3"/>
  <c r="AW585" i="3" s="1"/>
  <c r="AT306" i="3"/>
  <c r="AW306" i="3" s="1"/>
  <c r="AT601" i="3"/>
  <c r="AW601" i="3" s="1"/>
  <c r="AT322" i="3"/>
  <c r="AW322" i="3" s="1"/>
  <c r="AT617" i="3"/>
  <c r="AW617" i="3" s="1"/>
  <c r="AT135" i="3"/>
  <c r="AW135" i="3" s="1"/>
  <c r="AT89" i="3"/>
  <c r="AW89" i="3" s="1"/>
  <c r="AT404" i="3"/>
  <c r="AW404" i="3" s="1"/>
  <c r="AT109" i="3"/>
  <c r="AW109" i="3" s="1"/>
  <c r="AT10" i="3"/>
  <c r="AW10" i="3" s="1"/>
  <c r="AT11" i="3"/>
  <c r="AW11" i="3" s="1"/>
  <c r="AT196" i="3"/>
  <c r="AW196" i="3" s="1"/>
  <c r="AT112" i="3"/>
  <c r="AW112" i="3" s="1"/>
  <c r="AT144" i="3"/>
  <c r="AW144" i="3" s="1"/>
  <c r="AT188" i="3"/>
  <c r="AW188" i="3" s="1"/>
  <c r="AT96" i="3"/>
  <c r="AW96" i="3" s="1"/>
  <c r="AT128" i="3"/>
  <c r="AW128" i="3" s="1"/>
  <c r="AO649" i="3"/>
  <c r="AR649" i="3" s="1"/>
  <c r="AO412" i="3"/>
  <c r="AR412" i="3" s="1"/>
  <c r="AO423" i="3"/>
  <c r="AR423" i="3" s="1"/>
  <c r="AO519" i="3"/>
  <c r="AR519" i="3" s="1"/>
  <c r="AO583" i="3"/>
  <c r="AR583" i="3" s="1"/>
  <c r="AO647" i="3"/>
  <c r="AR647" i="3" s="1"/>
  <c r="AO558" i="3"/>
  <c r="AR558" i="3" s="1"/>
  <c r="AO534" i="3"/>
  <c r="AR534" i="3" s="1"/>
  <c r="AO176" i="3"/>
  <c r="AR176" i="3" s="1"/>
  <c r="AO370" i="3"/>
  <c r="AR370" i="3" s="1"/>
  <c r="AO272" i="3"/>
  <c r="AR272" i="3" s="1"/>
  <c r="AO197" i="3"/>
  <c r="AR197" i="3" s="1"/>
  <c r="AO333" i="3"/>
  <c r="AR333" i="3" s="1"/>
  <c r="AO436" i="3"/>
  <c r="AR436" i="3" s="1"/>
  <c r="AO472" i="3"/>
  <c r="AR472" i="3" s="1"/>
  <c r="AO492" i="3"/>
  <c r="AR492" i="3" s="1"/>
  <c r="AO560" i="3"/>
  <c r="AR560" i="3" s="1"/>
  <c r="AO407" i="3"/>
  <c r="AR407" i="3" s="1"/>
  <c r="AO503" i="3"/>
  <c r="AR503" i="3" s="1"/>
  <c r="AO631" i="3"/>
  <c r="AR631" i="3" s="1"/>
  <c r="AO494" i="3"/>
  <c r="AR494" i="3" s="1"/>
  <c r="AO638" i="3"/>
  <c r="AR638" i="3" s="1"/>
  <c r="AO598" i="3"/>
  <c r="AR598" i="3" s="1"/>
  <c r="AO553" i="3"/>
  <c r="AR553" i="3" s="1"/>
  <c r="AO375" i="3"/>
  <c r="AR375" i="3" s="1"/>
  <c r="AO465" i="3"/>
  <c r="AR465" i="3" s="1"/>
  <c r="AO513" i="3"/>
  <c r="AR513" i="3" s="1"/>
  <c r="AO573" i="3"/>
  <c r="AR573" i="3" s="1"/>
  <c r="AO621" i="3"/>
  <c r="AR621" i="3" s="1"/>
  <c r="AO661" i="3"/>
  <c r="AR661" i="3" s="1"/>
  <c r="AO404" i="3"/>
  <c r="AR404" i="3" s="1"/>
  <c r="AO428" i="3"/>
  <c r="AR428" i="3" s="1"/>
  <c r="AO456" i="3"/>
  <c r="AR456" i="3" s="1"/>
  <c r="AO580" i="3"/>
  <c r="AR580" i="3" s="1"/>
  <c r="AO608" i="3"/>
  <c r="AR608" i="3" s="1"/>
  <c r="AO399" i="3"/>
  <c r="AR399" i="3" s="1"/>
  <c r="AO419" i="3"/>
  <c r="AR419" i="3" s="1"/>
  <c r="AO463" i="3"/>
  <c r="AR463" i="3" s="1"/>
  <c r="AO483" i="3"/>
  <c r="AR483" i="3" s="1"/>
  <c r="AO527" i="3"/>
  <c r="AR527" i="3" s="1"/>
  <c r="AO547" i="3"/>
  <c r="AR547" i="3" s="1"/>
  <c r="AO591" i="3"/>
  <c r="AR591" i="3" s="1"/>
  <c r="AO611" i="3"/>
  <c r="AR611" i="3" s="1"/>
  <c r="AO655" i="3"/>
  <c r="AR655" i="3" s="1"/>
  <c r="AO510" i="3"/>
  <c r="AR510" i="3" s="1"/>
  <c r="AO574" i="3"/>
  <c r="AR574" i="3" s="1"/>
  <c r="AO654" i="3"/>
  <c r="AR654" i="3" s="1"/>
  <c r="AO550" i="3"/>
  <c r="AR550" i="3" s="1"/>
  <c r="AO614" i="3"/>
  <c r="AR614" i="3" s="1"/>
  <c r="AO482" i="3"/>
  <c r="AR482" i="3" s="1"/>
  <c r="AO546" i="3"/>
  <c r="AR546" i="3" s="1"/>
  <c r="AO626" i="3"/>
  <c r="AR626" i="3" s="1"/>
  <c r="AO538" i="3"/>
  <c r="AR538" i="3" s="1"/>
  <c r="AO429" i="3"/>
  <c r="AR429" i="3" s="1"/>
  <c r="AO554" i="3"/>
  <c r="AR554" i="3" s="1"/>
  <c r="AO634" i="3"/>
  <c r="AR634" i="3" s="1"/>
  <c r="AO586" i="3"/>
  <c r="AR586" i="3" s="1"/>
  <c r="AO585" i="3"/>
  <c r="AR585" i="3" s="1"/>
  <c r="AO372" i="3"/>
  <c r="AR372" i="3" s="1"/>
  <c r="AO246" i="3"/>
  <c r="AR246" i="3" s="1"/>
  <c r="AO342" i="3"/>
  <c r="AR342" i="3" s="1"/>
  <c r="AO223" i="3"/>
  <c r="AR223" i="3" s="1"/>
  <c r="AO247" i="3"/>
  <c r="AR247" i="3" s="1"/>
  <c r="AO287" i="3"/>
  <c r="AR287" i="3" s="1"/>
  <c r="AO327" i="3"/>
  <c r="AR327" i="3" s="1"/>
  <c r="AO351" i="3"/>
  <c r="AR351" i="3" s="1"/>
  <c r="AO213" i="3"/>
  <c r="AR213" i="3" s="1"/>
  <c r="AO349" i="3"/>
  <c r="AR349" i="3" s="1"/>
  <c r="AO529" i="3"/>
  <c r="AR529" i="3" s="1"/>
  <c r="AO633" i="3"/>
  <c r="AR633" i="3" s="1"/>
  <c r="AO498" i="3"/>
  <c r="AR498" i="3" s="1"/>
  <c r="AO562" i="3"/>
  <c r="AR562" i="3" s="1"/>
  <c r="AO642" i="3"/>
  <c r="AR642" i="3" s="1"/>
  <c r="AO602" i="3"/>
  <c r="AR602" i="3" s="1"/>
  <c r="AO618" i="3"/>
  <c r="AR618" i="3" s="1"/>
  <c r="AO522" i="3"/>
  <c r="AR522" i="3" s="1"/>
  <c r="AO570" i="3"/>
  <c r="AR570" i="3" s="1"/>
  <c r="AO613" i="3"/>
  <c r="AR613" i="3" s="1"/>
  <c r="AO377" i="3"/>
  <c r="AR377" i="3" s="1"/>
  <c r="AO206" i="3"/>
  <c r="AR206" i="3" s="1"/>
  <c r="AO397" i="3"/>
  <c r="AR397" i="3" s="1"/>
  <c r="AO497" i="3"/>
  <c r="AR497" i="3" s="1"/>
  <c r="AO605" i="3"/>
  <c r="AR605" i="3" s="1"/>
  <c r="AO392" i="3"/>
  <c r="AR392" i="3" s="1"/>
  <c r="AO468" i="3"/>
  <c r="AR468" i="3" s="1"/>
  <c r="AO536" i="3"/>
  <c r="AR536" i="3" s="1"/>
  <c r="AO387" i="3"/>
  <c r="AR387" i="3" s="1"/>
  <c r="AO431" i="3"/>
  <c r="AR431" i="3" s="1"/>
  <c r="AO451" i="3"/>
  <c r="AR451" i="3" s="1"/>
  <c r="AO495" i="3"/>
  <c r="AR495" i="3" s="1"/>
  <c r="AO515" i="3"/>
  <c r="AR515" i="3" s="1"/>
  <c r="AO559" i="3"/>
  <c r="AR559" i="3" s="1"/>
  <c r="AO579" i="3"/>
  <c r="AR579" i="3" s="1"/>
  <c r="AO623" i="3"/>
  <c r="AR623" i="3" s="1"/>
  <c r="AO643" i="3"/>
  <c r="AR643" i="3" s="1"/>
  <c r="AO478" i="3"/>
  <c r="AR478" i="3" s="1"/>
  <c r="AO514" i="3"/>
  <c r="AR514" i="3" s="1"/>
  <c r="AO578" i="3"/>
  <c r="AR578" i="3" s="1"/>
  <c r="AO461" i="3"/>
  <c r="AR461" i="3" s="1"/>
  <c r="AO569" i="3"/>
  <c r="AR569" i="3" s="1"/>
  <c r="AO187" i="3"/>
  <c r="AR187" i="3" s="1"/>
  <c r="AO192" i="3"/>
  <c r="AR192" i="3" s="1"/>
  <c r="AO330" i="3"/>
  <c r="AR330" i="3" s="1"/>
  <c r="AO417" i="3"/>
  <c r="AR417" i="3" s="1"/>
  <c r="AO477" i="3"/>
  <c r="AR477" i="3" s="1"/>
  <c r="AO420" i="3"/>
  <c r="AR420" i="3" s="1"/>
  <c r="AO548" i="3"/>
  <c r="AR548" i="3" s="1"/>
  <c r="AO620" i="3"/>
  <c r="AR620" i="3" s="1"/>
  <c r="AO395" i="3"/>
  <c r="AR395" i="3" s="1"/>
  <c r="AO411" i="3"/>
  <c r="AR411" i="3" s="1"/>
  <c r="AO427" i="3"/>
  <c r="AR427" i="3" s="1"/>
  <c r="AO443" i="3"/>
  <c r="AR443" i="3" s="1"/>
  <c r="AO459" i="3"/>
  <c r="AR459" i="3" s="1"/>
  <c r="AO475" i="3"/>
  <c r="AR475" i="3" s="1"/>
  <c r="AO507" i="3"/>
  <c r="AR507" i="3" s="1"/>
  <c r="AO523" i="3"/>
  <c r="AR523" i="3" s="1"/>
  <c r="AO539" i="3"/>
  <c r="AR539" i="3" s="1"/>
  <c r="AO555" i="3"/>
  <c r="AR555" i="3" s="1"/>
  <c r="AO571" i="3"/>
  <c r="AR571" i="3" s="1"/>
  <c r="AO587" i="3"/>
  <c r="AR587" i="3" s="1"/>
  <c r="AO603" i="3"/>
  <c r="AR603" i="3" s="1"/>
  <c r="AO619" i="3"/>
  <c r="AR619" i="3" s="1"/>
  <c r="AO635" i="3"/>
  <c r="AR635" i="3" s="1"/>
  <c r="AO651" i="3"/>
  <c r="AR651" i="3" s="1"/>
  <c r="AO409" i="3"/>
  <c r="AR409" i="3" s="1"/>
  <c r="AO648" i="3"/>
  <c r="AR648" i="3" s="1"/>
  <c r="AO533" i="3"/>
  <c r="AR533" i="3" s="1"/>
  <c r="AO221" i="3"/>
  <c r="AR221" i="3" s="1"/>
  <c r="AO293" i="3"/>
  <c r="AR293" i="3" s="1"/>
  <c r="AO365" i="3"/>
  <c r="AR365" i="3" s="1"/>
  <c r="AO111" i="3"/>
  <c r="AR111" i="3" s="1"/>
  <c r="AO381" i="3"/>
  <c r="AR381" i="3" s="1"/>
  <c r="AO445" i="3"/>
  <c r="AR445" i="3" s="1"/>
  <c r="AO388" i="3"/>
  <c r="AR388" i="3" s="1"/>
  <c r="AO452" i="3"/>
  <c r="AR452" i="3" s="1"/>
  <c r="AO486" i="3"/>
  <c r="AR486" i="3" s="1"/>
  <c r="AO401" i="3"/>
  <c r="AR401" i="3" s="1"/>
  <c r="AO650" i="3"/>
  <c r="AR650" i="3" s="1"/>
  <c r="AO376" i="3"/>
  <c r="AR376" i="3" s="1"/>
  <c r="AO257" i="3"/>
  <c r="AR257" i="3" s="1"/>
  <c r="AO270" i="3"/>
  <c r="AR270" i="3" s="1"/>
  <c r="AO147" i="3"/>
  <c r="AR147" i="3" s="1"/>
  <c r="AO398" i="3"/>
  <c r="AR398" i="3" s="1"/>
  <c r="AO103" i="3"/>
  <c r="AR103" i="3" s="1"/>
  <c r="AO422" i="3"/>
  <c r="AR422" i="3" s="1"/>
  <c r="AO127" i="3"/>
  <c r="AR127" i="3" s="1"/>
  <c r="AO438" i="3"/>
  <c r="AR438" i="3" s="1"/>
  <c r="AO143" i="3"/>
  <c r="AR143" i="3" s="1"/>
  <c r="AO454" i="3"/>
  <c r="AR454" i="3" s="1"/>
  <c r="AO159" i="3"/>
  <c r="AR159" i="3" s="1"/>
  <c r="AO441" i="3"/>
  <c r="AR441" i="3" s="1"/>
  <c r="AO146" i="3"/>
  <c r="AR146" i="3" s="1"/>
  <c r="AO110" i="3"/>
  <c r="AR110" i="3" s="1"/>
  <c r="AO405" i="3"/>
  <c r="AR405" i="3" s="1"/>
  <c r="AO378" i="3"/>
  <c r="AR378" i="3" s="1"/>
  <c r="AO196" i="3"/>
  <c r="AR196" i="3" s="1"/>
  <c r="AO322" i="3"/>
  <c r="AR322" i="3" s="1"/>
  <c r="AO413" i="3"/>
  <c r="AR413" i="3" s="1"/>
  <c r="AO449" i="3"/>
  <c r="AR449" i="3" s="1"/>
  <c r="AO380" i="3"/>
  <c r="AR380" i="3" s="1"/>
  <c r="AO400" i="3"/>
  <c r="AR400" i="3" s="1"/>
  <c r="AO416" i="3"/>
  <c r="AR416" i="3" s="1"/>
  <c r="AO432" i="3"/>
  <c r="AR432" i="3" s="1"/>
  <c r="AO448" i="3"/>
  <c r="AR448" i="3" s="1"/>
  <c r="AO464" i="3"/>
  <c r="AR464" i="3" s="1"/>
  <c r="AO480" i="3"/>
  <c r="AR480" i="3" s="1"/>
  <c r="AO496" i="3"/>
  <c r="AR496" i="3" s="1"/>
  <c r="AO512" i="3"/>
  <c r="AR512" i="3" s="1"/>
  <c r="AO528" i="3"/>
  <c r="AR528" i="3" s="1"/>
  <c r="AO544" i="3"/>
  <c r="AR544" i="3" s="1"/>
  <c r="AO564" i="3"/>
  <c r="AR564" i="3" s="1"/>
  <c r="AO584" i="3"/>
  <c r="AR584" i="3" s="1"/>
  <c r="AO600" i="3"/>
  <c r="AR600" i="3" s="1"/>
  <c r="AO616" i="3"/>
  <c r="AR616" i="3" s="1"/>
  <c r="AO632" i="3"/>
  <c r="AR632" i="3" s="1"/>
  <c r="AO652" i="3"/>
  <c r="AR652" i="3" s="1"/>
  <c r="AO382" i="3"/>
  <c r="AR382" i="3" s="1"/>
  <c r="AO87" i="3"/>
  <c r="AR87" i="3" s="1"/>
  <c r="AO446" i="3"/>
  <c r="AR446" i="3" s="1"/>
  <c r="AO151" i="3"/>
  <c r="AR151" i="3" s="1"/>
  <c r="AO469" i="3"/>
  <c r="AR469" i="3" s="1"/>
  <c r="AO174" i="3"/>
  <c r="AR174" i="3" s="1"/>
  <c r="AO561" i="3"/>
  <c r="AR561" i="3" s="1"/>
  <c r="AO266" i="3"/>
  <c r="AR266" i="3" s="1"/>
  <c r="AO645" i="3"/>
  <c r="AR645" i="3" s="1"/>
  <c r="AO350" i="3"/>
  <c r="AR350" i="3" s="1"/>
  <c r="AO384" i="3"/>
  <c r="AR384" i="3" s="1"/>
  <c r="AO89" i="3"/>
  <c r="AR89" i="3" s="1"/>
  <c r="AO581" i="3"/>
  <c r="AR581" i="3" s="1"/>
  <c r="AO286" i="3"/>
  <c r="AR286" i="3" s="1"/>
  <c r="AO505" i="3"/>
  <c r="AR505" i="3" s="1"/>
  <c r="AO210" i="3"/>
  <c r="AR210" i="3" s="1"/>
  <c r="AO94" i="3"/>
  <c r="AR94" i="3" s="1"/>
  <c r="AO389" i="3"/>
  <c r="AR389" i="3" s="1"/>
  <c r="AO98" i="3"/>
  <c r="AR98" i="3" s="1"/>
  <c r="AO131" i="3"/>
  <c r="AR131" i="3" s="1"/>
  <c r="AO386" i="3"/>
  <c r="AR386" i="3" s="1"/>
  <c r="AO91" i="3"/>
  <c r="AR91" i="3" s="1"/>
  <c r="AO410" i="3"/>
  <c r="AR410" i="3" s="1"/>
  <c r="AO115" i="3"/>
  <c r="AR115" i="3" s="1"/>
  <c r="AO430" i="3"/>
  <c r="AR430" i="3" s="1"/>
  <c r="AO135" i="3"/>
  <c r="AR135" i="3" s="1"/>
  <c r="AO450" i="3"/>
  <c r="AR450" i="3" s="1"/>
  <c r="AO155" i="3"/>
  <c r="AR155" i="3" s="1"/>
  <c r="AO10" i="3"/>
  <c r="AR10" i="3" s="1"/>
  <c r="AO11" i="3"/>
  <c r="AR11" i="3" s="1"/>
  <c r="AO402" i="3"/>
  <c r="AR402" i="3" s="1"/>
  <c r="AO107" i="3"/>
  <c r="AR107" i="3" s="1"/>
  <c r="AO577" i="3"/>
  <c r="AR577" i="3" s="1"/>
  <c r="AO282" i="3"/>
  <c r="AR282" i="3" s="1"/>
  <c r="AO362" i="3"/>
  <c r="AR362" i="3" s="1"/>
  <c r="AO657" i="3"/>
  <c r="AR657" i="3" s="1"/>
  <c r="AO437" i="3"/>
  <c r="AR437" i="3" s="1"/>
  <c r="AO142" i="3"/>
  <c r="AR142" i="3" s="1"/>
  <c r="AO198" i="3"/>
  <c r="AR198" i="3" s="1"/>
  <c r="AO462" i="3"/>
  <c r="AR462" i="3" s="1"/>
  <c r="AO470" i="3"/>
  <c r="AR470" i="3" s="1"/>
  <c r="AO394" i="3"/>
  <c r="AR394" i="3" s="1"/>
  <c r="AO99" i="3"/>
  <c r="AR99" i="3" s="1"/>
  <c r="AO418" i="3"/>
  <c r="AR418" i="3" s="1"/>
  <c r="AO123" i="3"/>
  <c r="AR123" i="3" s="1"/>
  <c r="AO434" i="3"/>
  <c r="AR434" i="3" s="1"/>
  <c r="AO139" i="3"/>
  <c r="AR139" i="3" s="1"/>
  <c r="AO414" i="3"/>
  <c r="AR414" i="3" s="1"/>
  <c r="AO521" i="3"/>
  <c r="AR521" i="3" s="1"/>
  <c r="AO226" i="3"/>
  <c r="AR226" i="3" s="1"/>
  <c r="AO597" i="3"/>
  <c r="AR597" i="3" s="1"/>
  <c r="AO302" i="3"/>
  <c r="AR302" i="3" s="1"/>
  <c r="AO361" i="3"/>
  <c r="AR361" i="3" s="1"/>
  <c r="AO656" i="3"/>
  <c r="AR656" i="3" s="1"/>
  <c r="AO453" i="3"/>
  <c r="AR453" i="3" s="1"/>
  <c r="AO158" i="3"/>
  <c r="AR158" i="3" s="1"/>
  <c r="AO549" i="3"/>
  <c r="AR549" i="3" s="1"/>
  <c r="AO254" i="3"/>
  <c r="AR254" i="3" s="1"/>
  <c r="AO385" i="3"/>
  <c r="AR385" i="3" s="1"/>
  <c r="AO298" i="3"/>
  <c r="AR298" i="3" s="1"/>
  <c r="AO593" i="3"/>
  <c r="AR593" i="3" s="1"/>
  <c r="AO537" i="3"/>
  <c r="AR537" i="3" s="1"/>
  <c r="AO242" i="3"/>
  <c r="AR242" i="3" s="1"/>
  <c r="AO481" i="3"/>
  <c r="AR481" i="3" s="1"/>
  <c r="AO163" i="3"/>
  <c r="AR163" i="3" s="1"/>
  <c r="AO458" i="3"/>
  <c r="AR458" i="3" s="1"/>
  <c r="AO373" i="3"/>
  <c r="AR373" i="3" s="1"/>
  <c r="AO126" i="3"/>
  <c r="AR126" i="3" s="1"/>
  <c r="AO250" i="3"/>
  <c r="AR250" i="3" s="1"/>
  <c r="AO95" i="3"/>
  <c r="AR95" i="3" s="1"/>
  <c r="AO311" i="3"/>
  <c r="AR311" i="3" s="1"/>
  <c r="AO473" i="3"/>
  <c r="AR473" i="3" s="1"/>
  <c r="AO178" i="3"/>
  <c r="AR178" i="3" s="1"/>
  <c r="AO130" i="3"/>
  <c r="AR130" i="3" s="1"/>
  <c r="AO525" i="3"/>
  <c r="AR525" i="3" s="1"/>
  <c r="AO230" i="3"/>
  <c r="AR230" i="3" s="1"/>
  <c r="AO576" i="3"/>
  <c r="AR576" i="3" s="1"/>
  <c r="AO281" i="3"/>
  <c r="AR281" i="3" s="1"/>
  <c r="AO457" i="3"/>
  <c r="AR457" i="3" s="1"/>
  <c r="AO162" i="3"/>
  <c r="AR162" i="3" s="1"/>
  <c r="AO641" i="3"/>
  <c r="AR641" i="3" s="1"/>
  <c r="AO346" i="3"/>
  <c r="AR346" i="3" s="1"/>
  <c r="AO194" i="3"/>
  <c r="AR194" i="3" s="1"/>
  <c r="AO371" i="3"/>
  <c r="AR371" i="3" s="1"/>
  <c r="AO189" i="3"/>
  <c r="AR189" i="3" s="1"/>
  <c r="AO306" i="3"/>
  <c r="AR306" i="3" s="1"/>
  <c r="AO334" i="3"/>
  <c r="AR334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<sst xmlns="http://schemas.openxmlformats.org/spreadsheetml/2006/main" count="1400" uniqueCount="105">
  <si>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</si>
  <si>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</si>
  <si>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</si>
  <si>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</si>
  <si>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</si>
  <si>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</si>
  <si>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</si>
  <si>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</si>
  <si>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</si>
  <si>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</si>
  <si>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</si>
  <si>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</si>
  <si>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</si>
  <si>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</si>
  <si>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</si>
  <si>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</si>
  <si>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</si>
  <si>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</si>
  <si>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</si>
  <si>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</si>
  <si>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</si>
  <si>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</si>
  <si>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</si>
  <si>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</si>
  <si>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</si>
  <si>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</si>
  <si>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</si>
  <si>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</si>
  <si>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</si>
  <si>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</si>
  <si>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</si>
  <si>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</si>
  <si>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</si>
  <si>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</si>
  <si>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</si>
  <si>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</si>
  <si>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</si>
  <si>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</si>
  <si>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</si>
  <si>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</si>
  <si>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</si>
  <si>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</si>
  <si>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</si>
  <si>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</si>
  <si>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</si>
  <si>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</si>
  <si>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</si>
  <si>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</si>
  <si>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</si>
  <si>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</si>
  <si>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</si>
  <si>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</si>
  <si>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</si>
  <si>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</si>
  <si>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</si>
  <si>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</si>
  <si>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</si>
  <si>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</si>
  <si>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</si>
  <si>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</si>
  <si>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</si>
  <si>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</si>
  <si>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</si>
  <si>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</si>
  <si>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</si>
  <si>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</si>
  <si>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</si>
  <si>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</si>
  <si>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</si>
  <si>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</si>
  <si>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</si>
  <si>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</si>
  <si>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</si>
  <si>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</si>
  <si>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</si>
  <si>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</si>
  <si>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</si>
  <si>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</si>
  <si>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</si>
  <si>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</si>
  <si>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</si>
  <si>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</si>
  <si>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</si>
  <si>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</si>
  <si>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</si>
  <si>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</si>
  <si>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4.2</t>
  </si>
  <si>
    <t>100784</t>
  </si>
  <si>
    <t>ABV CA-01466</t>
  </si>
  <si>
    <t>ZAYO</t>
  </si>
  <si>
    <t>East of Lawrence Expy along Kifer Rd</t>
  </si>
  <si>
    <t>Sunnyvale, CA</t>
  </si>
  <si>
    <t>?</t>
  </si>
  <si>
    <t>Travis Shelton</t>
  </si>
  <si>
    <t>Mark Starling</t>
  </si>
  <si>
    <t>SNF-19</t>
  </si>
  <si>
    <t>CA-KIF: ZAYO-ENT-NEW-1</t>
  </si>
  <si>
    <t>Lateral to 1250 Kifer Rd</t>
  </si>
  <si>
    <t>to CA-16W</t>
  </si>
  <si>
    <t>to CA-67E</t>
  </si>
  <si>
    <t>864</t>
  </si>
  <si>
    <t>26</t>
  </si>
  <si>
    <t>1</t>
  </si>
  <si>
    <t>ISO-0173230</t>
  </si>
  <si>
    <t>Intuitive Surgical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</si>
</sst>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43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opLeftCell="A28" zoomScale="85" zoomScaleNormal="85" workbookViewId="0">
      <selection activeCell="D50" sqref="D50:D51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83" t="s">
        <v>53</v>
      </c>
      <c r="I5" s="283"/>
      <c r="J5" s="28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306" t="s">
        <v>72</v>
      </c>
      <c r="B8" s="307"/>
      <c r="C8" s="307"/>
      <c r="D8" s="307"/>
      <c r="E8" s="307"/>
      <c r="F8" s="308"/>
      <c r="G8" s="25"/>
      <c r="H8" s="94"/>
      <c r="I8" s="95" t="s">
        <v>7</v>
      </c>
      <c r="J8" s="242" t="s">
        <v>87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84" t="s">
        <v>8</v>
      </c>
      <c r="I10" s="28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309"/>
      <c r="I13" s="309"/>
      <c r="J13" s="309"/>
      <c r="K13" s="309"/>
      <c r="L13" s="309"/>
      <c r="M13" s="30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309"/>
      <c r="I14" s="309"/>
      <c r="J14" s="309"/>
      <c r="K14" s="309"/>
      <c r="L14" s="309"/>
      <c r="M14" s="30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277" t="s">
        <v>81</v>
      </c>
      <c r="I15" s="277"/>
      <c r="J15" s="277"/>
      <c r="K15" s="277"/>
      <c r="L15" s="277"/>
      <c r="M15" s="277"/>
      <c r="N15" s="277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277"/>
      <c r="I16" s="277"/>
      <c r="J16" s="277"/>
      <c r="K16" s="277"/>
      <c r="L16" s="277"/>
      <c r="M16" s="277"/>
      <c r="N16" s="277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277"/>
      <c r="I17" s="277"/>
      <c r="J17" s="277"/>
      <c r="K17" s="277"/>
      <c r="L17" s="277"/>
      <c r="M17" s="277"/>
      <c r="N17" s="277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277"/>
      <c r="I18" s="277"/>
      <c r="J18" s="277"/>
      <c r="K18" s="277"/>
      <c r="L18" s="277"/>
      <c r="M18" s="277"/>
      <c r="N18" s="277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278" t="s">
        <v>85</v>
      </c>
      <c r="K20" s="278"/>
      <c r="L20" s="278"/>
      <c r="M20" s="278"/>
      <c r="N20" s="278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278"/>
      <c r="K21" s="278"/>
      <c r="L21" s="278"/>
      <c r="M21" s="278"/>
      <c r="N21" s="278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278"/>
      <c r="K22" s="278"/>
      <c r="L22" s="278"/>
      <c r="M22" s="278"/>
      <c r="N22" s="278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278"/>
      <c r="K23" s="278"/>
      <c r="L23" s="278"/>
      <c r="M23" s="278"/>
      <c r="N23" s="278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279" t="s">
        <v>88</v>
      </c>
      <c r="C41" s="279" t="s">
        <v>89</v>
      </c>
      <c r="D41" s="279" t="s">
        <v>90</v>
      </c>
      <c r="E41" s="279" t="s">
        <v>91</v>
      </c>
      <c r="F41" s="23"/>
      <c r="G41" s="25"/>
      <c r="H41" s="282"/>
      <c r="I41" s="282"/>
      <c r="J41" s="282"/>
      <c r="K41" s="282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280"/>
      <c r="C42" s="280"/>
      <c r="D42" s="280"/>
      <c r="E42" s="281"/>
      <c r="F42" s="23"/>
      <c r="G42" s="25"/>
      <c r="H42" s="282"/>
      <c r="I42" s="282"/>
      <c r="J42" s="282"/>
      <c r="K42" s="282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92"/>
      <c r="E43" s="29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90" t="s">
        <v>74</v>
      </c>
      <c r="E44" s="29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16" t="s">
        <v>92</v>
      </c>
      <c r="C45" s="317"/>
      <c r="D45" s="273" t="str">
        <f>CONCATENATE('Cable Info'!C11,"  ",'Cable Info'!C18,"   ",'Cable Info'!C25,"  ",'Cable Info'!C32,"   ",'Cable Info'!C39,"   ",'Cable Info'!C46)</f>
        <v xml:space="preserve">SNF-19  SNF-19   CA-KIF: ZAYO-ENT-NEW-1        </v>
      </c>
      <c r="E45" s="274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18"/>
      <c r="C46" s="319"/>
      <c r="D46" s="275"/>
      <c r="E46" s="276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93"/>
      <c r="C47" s="294"/>
      <c r="D47" s="296"/>
      <c r="E47" s="29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95"/>
      <c r="C48" s="295"/>
      <c r="D48" s="298"/>
      <c r="E48" s="29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99" t="s">
        <v>93</v>
      </c>
      <c r="C50" s="301">
        <v>42670</v>
      </c>
      <c r="D50" s="303" t="s">
        <v>94</v>
      </c>
      <c r="E50" s="30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300"/>
      <c r="C51" s="302"/>
      <c r="D51" s="300"/>
      <c r="E51" s="30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90" t="s">
        <v>66</v>
      </c>
      <c r="C52" s="29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10"/>
      <c r="C53" s="311"/>
      <c r="D53" s="286" t="str">
        <f>J8</f>
        <v>100784</v>
      </c>
      <c r="E53" s="28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12"/>
      <c r="C54" s="313"/>
      <c r="D54" s="286"/>
      <c r="E54" s="28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12"/>
      <c r="C55" s="313"/>
      <c r="D55" s="286"/>
      <c r="E55" s="28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12"/>
      <c r="C56" s="313"/>
      <c r="D56" s="286"/>
      <c r="E56" s="28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14"/>
      <c r="C57" s="315"/>
      <c r="D57" s="288"/>
      <c r="E57" s="28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algorithmName="SHA-512" hashValue="UwMgqbzEFohH5v46XURDA04z5E2ERHAMTqpOQIch5+diEkhyR1L7LSh1gk8HVkv1xGcE3Z9kNjYomHEUqfNaqQ==" saltValue="zPrjzLWks1rn/6qxeOB97g==" spinCount="100000" sheet="1" objects="1" scenarios="1"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27" sqref="B27:B29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str">
        <f>IF(L2="","",IF(L2&lt;=$E$15,VLOOKUP($E$14,$I$1:$J$4,2,FALSE),VLOOKUP($F$14,$I$1:$J$4,2,FALSE)))</f>
        <v>TW</v>
      </c>
      <c r="N2" s="150">
        <f>IF($B$20&gt;=K2,K2,"")</f>
        <v>1</v>
      </c>
      <c r="O2" s="150" t="str">
        <f>IF(N2="","",IF(N2&lt;=$E$22,VLOOKUP($E$21,$I$1:$J$4,2,FALSE),VLOOKUP($F$21,$I$1:$J$4,2,FALSE)))</f>
        <v>TW</v>
      </c>
      <c r="P2" s="150">
        <f>IF($B$27&gt;=K2,K2,"")</f>
        <v>1</v>
      </c>
      <c r="Q2" s="150" t="e">
        <f>IF(P2="","",IF(P2&lt;=$E$29,VLOOKUP($E$28,$I$1:$J$4,2,FALSE),VLOOKUP($F$28,$I$1:$J$4,2,FALSE)))</f>
        <v>#N/A</v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100784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str">
        <f t="shared" ref="M3:M66" si="1">IF(L3="","",IF(L3&lt;=$E$15,VLOOKUP($E$14,$I$1:$J$4,2,FALSE),VLOOKUP($F$14,$I$1:$J$4,2,FALSE)))</f>
        <v>TW</v>
      </c>
      <c r="N3" s="150">
        <f t="shared" ref="N3:N66" si="2">IF($B$20&gt;=K3,K3,"")</f>
        <v>2</v>
      </c>
      <c r="O3" s="150" t="str">
        <f t="shared" ref="O3:O66" si="3">IF(N3="","",IF(N3&lt;=$E$22,VLOOKUP($E$21,$I$1:$J$4,2,FALSE),VLOOKUP($F$21,$I$1:$J$4,2,FALSE)))</f>
        <v>TW</v>
      </c>
      <c r="P3" s="150">
        <f t="shared" ref="P3:P66" si="4">IF($B$27&gt;=K3,K3,"")</f>
        <v>2</v>
      </c>
      <c r="Q3" s="150" t="e">
        <f t="shared" ref="Q3:Q66" si="5">IF(P3="","",IF(P3&lt;=$E$29,VLOOKUP($E$28,$I$1:$J$4,2,FALSE),VLOOKUP($F$28,$I$1:$J$4,2,FALSE)))</f>
        <v>#N/A</v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str">
        <f t="shared" si="1"/>
        <v>TW</v>
      </c>
      <c r="N4" s="150">
        <f t="shared" si="2"/>
        <v>3</v>
      </c>
      <c r="O4" s="150" t="str">
        <f t="shared" si="3"/>
        <v>TW</v>
      </c>
      <c r="P4" s="150">
        <f t="shared" si="4"/>
        <v>3</v>
      </c>
      <c r="Q4" s="150" t="e">
        <f t="shared" si="5"/>
        <v>#N/A</v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str">
        <f t="shared" si="1"/>
        <v>TW</v>
      </c>
      <c r="N5" s="150">
        <f t="shared" si="2"/>
        <v>4</v>
      </c>
      <c r="O5" s="150" t="str">
        <f t="shared" si="3"/>
        <v>TW</v>
      </c>
      <c r="P5" s="150">
        <f t="shared" si="4"/>
        <v>4</v>
      </c>
      <c r="Q5" s="150" t="e">
        <f t="shared" si="5"/>
        <v>#N/A</v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>
        <f t="shared" si="0"/>
        <v>5</v>
      </c>
      <c r="M6" s="150" t="str">
        <f t="shared" si="1"/>
        <v>TW</v>
      </c>
      <c r="N6" s="150">
        <f t="shared" si="2"/>
        <v>5</v>
      </c>
      <c r="O6" s="150" t="str">
        <f t="shared" si="3"/>
        <v>TW</v>
      </c>
      <c r="P6" s="150">
        <f t="shared" si="4"/>
        <v>5</v>
      </c>
      <c r="Q6" s="150" t="e">
        <f t="shared" si="5"/>
        <v>#N/A</v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str">
        <f t="shared" si="1"/>
        <v>TW</v>
      </c>
      <c r="N7" s="150">
        <f t="shared" si="2"/>
        <v>6</v>
      </c>
      <c r="O7" s="150" t="str">
        <f t="shared" si="3"/>
        <v>TW</v>
      </c>
      <c r="P7" s="150">
        <f t="shared" si="4"/>
        <v>6</v>
      </c>
      <c r="Q7" s="150" t="e">
        <f t="shared" si="5"/>
        <v>#N/A</v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str">
        <f t="shared" si="1"/>
        <v>TW</v>
      </c>
      <c r="N8" s="150">
        <f t="shared" si="2"/>
        <v>7</v>
      </c>
      <c r="O8" s="150" t="str">
        <f t="shared" si="3"/>
        <v>TW</v>
      </c>
      <c r="P8" s="150">
        <f t="shared" si="4"/>
        <v>7</v>
      </c>
      <c r="Q8" s="150" t="e">
        <f t="shared" si="5"/>
        <v>#N/A</v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str">
        <f t="shared" si="1"/>
        <v>TW</v>
      </c>
      <c r="N9" s="150">
        <f t="shared" si="2"/>
        <v>8</v>
      </c>
      <c r="O9" s="150" t="str">
        <f t="shared" si="3"/>
        <v>TW</v>
      </c>
      <c r="P9" s="150">
        <f t="shared" si="4"/>
        <v>8</v>
      </c>
      <c r="Q9" s="150" t="e">
        <f t="shared" si="5"/>
        <v>#N/A</v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>
        <f t="shared" si="0"/>
        <v>9</v>
      </c>
      <c r="M10" s="150" t="str">
        <f t="shared" si="1"/>
        <v>TW</v>
      </c>
      <c r="N10" s="150">
        <f t="shared" si="2"/>
        <v>9</v>
      </c>
      <c r="O10" s="150" t="str">
        <f t="shared" si="3"/>
        <v>TW</v>
      </c>
      <c r="P10" s="150">
        <f t="shared" si="4"/>
        <v>9</v>
      </c>
      <c r="Q10" s="150" t="e">
        <f t="shared" si="5"/>
        <v>#N/A</v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95</v>
      </c>
      <c r="D11" s="322" t="s">
        <v>99</v>
      </c>
      <c r="E11" s="323"/>
      <c r="F11" s="324"/>
      <c r="G11" s="68"/>
      <c r="K11" s="150">
        <v>10</v>
      </c>
      <c r="L11" s="150">
        <f t="shared" si="0"/>
        <v>10</v>
      </c>
      <c r="M11" s="150" t="str">
        <f t="shared" si="1"/>
        <v>TW</v>
      </c>
      <c r="N11" s="150">
        <f t="shared" si="2"/>
        <v>10</v>
      </c>
      <c r="O11" s="150" t="str">
        <f t="shared" si="3"/>
        <v>TW</v>
      </c>
      <c r="P11" s="150">
        <f t="shared" si="4"/>
        <v>10</v>
      </c>
      <c r="Q11" s="150" t="e">
        <f t="shared" si="5"/>
        <v>#N/A</v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>
        <f t="shared" si="0"/>
        <v>11</v>
      </c>
      <c r="M12" s="150" t="str">
        <f t="shared" si="1"/>
        <v>TW</v>
      </c>
      <c r="N12" s="150">
        <f t="shared" si="2"/>
        <v>11</v>
      </c>
      <c r="O12" s="150" t="str">
        <f t="shared" si="3"/>
        <v>TW</v>
      </c>
      <c r="P12" s="150">
        <f t="shared" si="4"/>
        <v>11</v>
      </c>
      <c r="Q12" s="150" t="e">
        <f t="shared" si="5"/>
        <v>#N/A</v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 t="s">
        <v>100</v>
      </c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str">
        <f t="shared" si="1"/>
        <v>TW</v>
      </c>
      <c r="N13" s="150">
        <f t="shared" si="2"/>
        <v>12</v>
      </c>
      <c r="O13" s="150" t="str">
        <f t="shared" si="3"/>
        <v>TW</v>
      </c>
      <c r="P13" s="150">
        <f t="shared" si="4"/>
        <v>12</v>
      </c>
      <c r="Q13" s="150" t="e">
        <f t="shared" si="5"/>
        <v>#N/A</v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 t="s">
        <v>31</v>
      </c>
      <c r="F14" s="91" t="s">
        <v>40</v>
      </c>
      <c r="G14" s="68"/>
      <c r="K14" s="150">
        <v>13</v>
      </c>
      <c r="L14" s="150">
        <f t="shared" si="0"/>
        <v>13</v>
      </c>
      <c r="M14" s="150" t="str">
        <f t="shared" si="1"/>
        <v>TW</v>
      </c>
      <c r="N14" s="150">
        <f t="shared" si="2"/>
        <v>13</v>
      </c>
      <c r="O14" s="150" t="str">
        <f t="shared" si="3"/>
        <v>TW</v>
      </c>
      <c r="P14" s="150">
        <f t="shared" si="4"/>
        <v>13</v>
      </c>
      <c r="Q14" s="150" t="e">
        <f t="shared" si="5"/>
        <v>#N/A</v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>
        <v>288</v>
      </c>
      <c r="F15" s="77">
        <f>IF(B13="","",IF(E15="","",IF(F14="None","",B13-E15)))</f>
        <v>576</v>
      </c>
      <c r="G15" s="68"/>
      <c r="K15" s="150">
        <v>14</v>
      </c>
      <c r="L15" s="150">
        <f t="shared" si="0"/>
        <v>14</v>
      </c>
      <c r="M15" s="150" t="str">
        <f t="shared" si="1"/>
        <v>TW</v>
      </c>
      <c r="N15" s="150">
        <f t="shared" si="2"/>
        <v>14</v>
      </c>
      <c r="O15" s="150" t="str">
        <f t="shared" si="3"/>
        <v>TW</v>
      </c>
      <c r="P15" s="150">
        <f t="shared" si="4"/>
        <v>14</v>
      </c>
      <c r="Q15" s="150" t="e">
        <f t="shared" si="5"/>
        <v>#N/A</v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str">
        <f t="shared" si="1"/>
        <v>TW</v>
      </c>
      <c r="N16" s="150">
        <f t="shared" si="2"/>
        <v>15</v>
      </c>
      <c r="O16" s="150" t="str">
        <f t="shared" si="3"/>
        <v>TW</v>
      </c>
      <c r="P16" s="150">
        <f t="shared" si="4"/>
        <v>15</v>
      </c>
      <c r="Q16" s="150" t="e">
        <f t="shared" si="5"/>
        <v>#N/A</v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>
        <f t="shared" si="0"/>
        <v>16</v>
      </c>
      <c r="M17" s="150" t="str">
        <f t="shared" si="1"/>
        <v>TW</v>
      </c>
      <c r="N17" s="150">
        <f t="shared" si="2"/>
        <v>16</v>
      </c>
      <c r="O17" s="150" t="str">
        <f t="shared" si="3"/>
        <v>TW</v>
      </c>
      <c r="P17" s="150">
        <f t="shared" si="4"/>
        <v>16</v>
      </c>
      <c r="Q17" s="150" t="e">
        <f t="shared" si="5"/>
        <v>#N/A</v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 t="s">
        <v>95</v>
      </c>
      <c r="D18" s="322" t="s">
        <v>98</v>
      </c>
      <c r="E18" s="323"/>
      <c r="F18" s="324"/>
      <c r="G18" s="68"/>
      <c r="K18" s="150">
        <v>17</v>
      </c>
      <c r="L18" s="150">
        <f t="shared" si="0"/>
        <v>17</v>
      </c>
      <c r="M18" s="150" t="str">
        <f t="shared" si="1"/>
        <v>TW</v>
      </c>
      <c r="N18" s="150">
        <f t="shared" si="2"/>
        <v>17</v>
      </c>
      <c r="O18" s="150" t="str">
        <f t="shared" si="3"/>
        <v>TW</v>
      </c>
      <c r="P18" s="150">
        <f t="shared" si="4"/>
        <v>17</v>
      </c>
      <c r="Q18" s="150" t="e">
        <f t="shared" si="5"/>
        <v>#N/A</v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>
        <f t="shared" si="0"/>
        <v>18</v>
      </c>
      <c r="M19" s="150" t="str">
        <f t="shared" si="1"/>
        <v>TW</v>
      </c>
      <c r="N19" s="150">
        <f t="shared" si="2"/>
        <v>18</v>
      </c>
      <c r="O19" s="150" t="str">
        <f t="shared" si="3"/>
        <v>TW</v>
      </c>
      <c r="P19" s="150">
        <f t="shared" si="4"/>
        <v>18</v>
      </c>
      <c r="Q19" s="150" t="e">
        <f t="shared" si="5"/>
        <v>#N/A</v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 t="s">
        <v>100</v>
      </c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str">
        <f t="shared" si="1"/>
        <v>TW</v>
      </c>
      <c r="N20" s="150">
        <f t="shared" si="2"/>
        <v>19</v>
      </c>
      <c r="O20" s="150" t="str">
        <f t="shared" si="3"/>
        <v>TW</v>
      </c>
      <c r="P20" s="150">
        <f t="shared" si="4"/>
        <v>19</v>
      </c>
      <c r="Q20" s="150" t="e">
        <f t="shared" si="5"/>
        <v>#N/A</v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 t="s">
        <v>31</v>
      </c>
      <c r="F21" s="91" t="s">
        <v>40</v>
      </c>
      <c r="G21" s="68"/>
      <c r="K21" s="150">
        <v>20</v>
      </c>
      <c r="L21" s="150">
        <f t="shared" si="0"/>
        <v>20</v>
      </c>
      <c r="M21" s="150" t="str">
        <f t="shared" si="1"/>
        <v>TW</v>
      </c>
      <c r="N21" s="150">
        <f t="shared" si="2"/>
        <v>20</v>
      </c>
      <c r="O21" s="150" t="str">
        <f t="shared" si="3"/>
        <v>TW</v>
      </c>
      <c r="P21" s="150">
        <f t="shared" si="4"/>
        <v>20</v>
      </c>
      <c r="Q21" s="150" t="e">
        <f t="shared" si="5"/>
        <v>#N/A</v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>
        <v>288</v>
      </c>
      <c r="F22" s="77">
        <f>IF(B20="","",IF(E22="","",IF(F21="None","",B20-E22)))</f>
        <v>576</v>
      </c>
      <c r="G22" s="68"/>
      <c r="K22" s="150">
        <v>21</v>
      </c>
      <c r="L22" s="150">
        <f t="shared" si="0"/>
        <v>21</v>
      </c>
      <c r="M22" s="150" t="str">
        <f t="shared" si="1"/>
        <v>TW</v>
      </c>
      <c r="N22" s="150">
        <f t="shared" si="2"/>
        <v>21</v>
      </c>
      <c r="O22" s="150" t="str">
        <f t="shared" si="3"/>
        <v>TW</v>
      </c>
      <c r="P22" s="150">
        <f t="shared" si="4"/>
        <v>21</v>
      </c>
      <c r="Q22" s="150" t="e">
        <f t="shared" si="5"/>
        <v>#N/A</v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str">
        <f t="shared" si="1"/>
        <v>TW</v>
      </c>
      <c r="N23" s="150">
        <f t="shared" si="2"/>
        <v>22</v>
      </c>
      <c r="O23" s="150" t="str">
        <f t="shared" si="3"/>
        <v>TW</v>
      </c>
      <c r="P23" s="150">
        <f t="shared" si="4"/>
        <v>22</v>
      </c>
      <c r="Q23" s="150" t="e">
        <f t="shared" si="5"/>
        <v>#N/A</v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>
        <f t="shared" si="0"/>
        <v>23</v>
      </c>
      <c r="M24" s="150" t="str">
        <f t="shared" si="1"/>
        <v>TW</v>
      </c>
      <c r="N24" s="150">
        <f t="shared" si="2"/>
        <v>23</v>
      </c>
      <c r="O24" s="150" t="str">
        <f t="shared" si="3"/>
        <v>TW</v>
      </c>
      <c r="P24" s="150">
        <f t="shared" si="4"/>
        <v>23</v>
      </c>
      <c r="Q24" s="150" t="e">
        <f t="shared" si="5"/>
        <v>#N/A</v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 t="s">
        <v>96</v>
      </c>
      <c r="D25" s="322" t="s">
        <v>97</v>
      </c>
      <c r="E25" s="323"/>
      <c r="F25" s="324"/>
      <c r="G25" s="68"/>
      <c r="K25" s="150">
        <v>24</v>
      </c>
      <c r="L25" s="150">
        <f t="shared" si="0"/>
        <v>24</v>
      </c>
      <c r="M25" s="150" t="str">
        <f t="shared" si="1"/>
        <v>TW</v>
      </c>
      <c r="N25" s="150">
        <f t="shared" si="2"/>
        <v>24</v>
      </c>
      <c r="O25" s="150" t="str">
        <f t="shared" si="3"/>
        <v>TW</v>
      </c>
      <c r="P25" s="150">
        <f t="shared" si="4"/>
        <v>24</v>
      </c>
      <c r="Q25" s="150" t="e">
        <f t="shared" si="5"/>
        <v>#N/A</v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>
        <f t="shared" si="0"/>
        <v>25</v>
      </c>
      <c r="M26" s="150" t="str">
        <f t="shared" si="1"/>
        <v>TW</v>
      </c>
      <c r="N26" s="150">
        <f t="shared" si="2"/>
        <v>25</v>
      </c>
      <c r="O26" s="150" t="str">
        <f t="shared" si="3"/>
        <v>TW</v>
      </c>
      <c r="P26" s="150">
        <f t="shared" si="4"/>
        <v>25</v>
      </c>
      <c r="Q26" s="150" t="e">
        <f t="shared" si="5"/>
        <v>#N/A</v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 t="s">
        <v>92</v>
      </c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str">
        <f t="shared" si="1"/>
        <v>TW</v>
      </c>
      <c r="N27" s="150">
        <f t="shared" si="2"/>
        <v>26</v>
      </c>
      <c r="O27" s="150" t="str">
        <f t="shared" si="3"/>
        <v>TW</v>
      </c>
      <c r="P27" s="150">
        <f t="shared" si="4"/>
        <v>26</v>
      </c>
      <c r="Q27" s="150" t="e">
        <f t="shared" si="5"/>
        <v>#N/A</v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str">
        <f t="shared" si="1"/>
        <v>TW</v>
      </c>
      <c r="N28" s="150">
        <f t="shared" si="2"/>
        <v>27</v>
      </c>
      <c r="O28" s="150" t="str">
        <f t="shared" si="3"/>
        <v>TW</v>
      </c>
      <c r="P28" s="150">
        <f t="shared" si="4"/>
        <v>27</v>
      </c>
      <c r="Q28" s="150" t="e">
        <f t="shared" si="5"/>
        <v>#N/A</v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str">
        <f t="shared" si="1"/>
        <v>TW</v>
      </c>
      <c r="N29" s="150">
        <f t="shared" si="2"/>
        <v>28</v>
      </c>
      <c r="O29" s="150" t="str">
        <f t="shared" si="3"/>
        <v>TW</v>
      </c>
      <c r="P29" s="150">
        <f t="shared" si="4"/>
        <v>28</v>
      </c>
      <c r="Q29" s="150" t="e">
        <f t="shared" si="5"/>
        <v>#N/A</v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str">
        <f t="shared" si="1"/>
        <v>TW</v>
      </c>
      <c r="N30" s="150">
        <f t="shared" si="2"/>
        <v>29</v>
      </c>
      <c r="O30" s="150" t="str">
        <f t="shared" si="3"/>
        <v>TW</v>
      </c>
      <c r="P30" s="150">
        <f t="shared" si="4"/>
        <v>29</v>
      </c>
      <c r="Q30" s="150" t="e">
        <f t="shared" si="5"/>
        <v>#N/A</v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>
        <f t="shared" si="0"/>
        <v>30</v>
      </c>
      <c r="M31" s="150" t="str">
        <f t="shared" si="1"/>
        <v>TW</v>
      </c>
      <c r="N31" s="150">
        <f t="shared" si="2"/>
        <v>30</v>
      </c>
      <c r="O31" s="150" t="str">
        <f t="shared" si="3"/>
        <v>TW</v>
      </c>
      <c r="P31" s="150">
        <f t="shared" si="4"/>
        <v>30</v>
      </c>
      <c r="Q31" s="150" t="e">
        <f t="shared" si="5"/>
        <v>#N/A</v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/>
      <c r="D32" s="322"/>
      <c r="E32" s="323"/>
      <c r="F32" s="324"/>
      <c r="G32" s="68"/>
      <c r="K32" s="150">
        <v>31</v>
      </c>
      <c r="L32" s="150">
        <f t="shared" si="0"/>
        <v>31</v>
      </c>
      <c r="M32" s="150" t="str">
        <f t="shared" si="1"/>
        <v>TW</v>
      </c>
      <c r="N32" s="150">
        <f t="shared" si="2"/>
        <v>31</v>
      </c>
      <c r="O32" s="150" t="str">
        <f t="shared" si="3"/>
        <v>TW</v>
      </c>
      <c r="P32" s="150">
        <f t="shared" si="4"/>
        <v>31</v>
      </c>
      <c r="Q32" s="150" t="e">
        <f t="shared" si="5"/>
        <v>#N/A</v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>
        <f t="shared" si="0"/>
        <v>32</v>
      </c>
      <c r="M33" s="150" t="str">
        <f t="shared" si="1"/>
        <v>TW</v>
      </c>
      <c r="N33" s="150">
        <f t="shared" si="2"/>
        <v>32</v>
      </c>
      <c r="O33" s="150" t="str">
        <f t="shared" si="3"/>
        <v>TW</v>
      </c>
      <c r="P33" s="150">
        <f t="shared" si="4"/>
        <v>32</v>
      </c>
      <c r="Q33" s="150" t="e">
        <f t="shared" si="5"/>
        <v>#N/A</v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str">
        <f t="shared" si="1"/>
        <v>TW</v>
      </c>
      <c r="N34" s="150">
        <f t="shared" si="2"/>
        <v>33</v>
      </c>
      <c r="O34" s="150" t="str">
        <f t="shared" si="3"/>
        <v>TW</v>
      </c>
      <c r="P34" s="150">
        <f t="shared" si="4"/>
        <v>33</v>
      </c>
      <c r="Q34" s="150" t="e">
        <f t="shared" si="5"/>
        <v>#N/A</v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str">
        <f t="shared" si="1"/>
        <v>TW</v>
      </c>
      <c r="N35" s="150">
        <f t="shared" si="2"/>
        <v>34</v>
      </c>
      <c r="O35" s="150" t="str">
        <f t="shared" si="3"/>
        <v>TW</v>
      </c>
      <c r="P35" s="150">
        <f t="shared" si="4"/>
        <v>34</v>
      </c>
      <c r="Q35" s="150" t="e">
        <f t="shared" si="5"/>
        <v>#N/A</v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str">
        <f t="shared" si="1"/>
        <v>TW</v>
      </c>
      <c r="N36" s="150">
        <f t="shared" si="2"/>
        <v>35</v>
      </c>
      <c r="O36" s="150" t="str">
        <f t="shared" si="3"/>
        <v>TW</v>
      </c>
      <c r="P36" s="150">
        <f t="shared" si="4"/>
        <v>35</v>
      </c>
      <c r="Q36" s="150" t="e">
        <f t="shared" si="5"/>
        <v>#N/A</v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str">
        <f t="shared" si="1"/>
        <v>TW</v>
      </c>
      <c r="N37" s="150">
        <f t="shared" si="2"/>
        <v>36</v>
      </c>
      <c r="O37" s="150" t="str">
        <f t="shared" si="3"/>
        <v>TW</v>
      </c>
      <c r="P37" s="150">
        <f t="shared" si="4"/>
        <v>36</v>
      </c>
      <c r="Q37" s="150" t="e">
        <f t="shared" si="5"/>
        <v>#N/A</v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>
        <f t="shared" si="0"/>
        <v>37</v>
      </c>
      <c r="M38" s="150" t="str">
        <f t="shared" si="1"/>
        <v>TW</v>
      </c>
      <c r="N38" s="150">
        <f t="shared" si="2"/>
        <v>37</v>
      </c>
      <c r="O38" s="150" t="str">
        <f t="shared" si="3"/>
        <v>TW</v>
      </c>
      <c r="P38" s="150">
        <f t="shared" si="4"/>
        <v>37</v>
      </c>
      <c r="Q38" s="150" t="e">
        <f t="shared" si="5"/>
        <v>#N/A</v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2"/>
      <c r="E39" s="323"/>
      <c r="F39" s="324"/>
      <c r="G39" s="68"/>
      <c r="K39" s="150">
        <v>38</v>
      </c>
      <c r="L39" s="150">
        <f t="shared" si="0"/>
        <v>38</v>
      </c>
      <c r="M39" s="150" t="str">
        <f t="shared" si="1"/>
        <v>TW</v>
      </c>
      <c r="N39" s="150">
        <f t="shared" si="2"/>
        <v>38</v>
      </c>
      <c r="O39" s="150" t="str">
        <f t="shared" si="3"/>
        <v>TW</v>
      </c>
      <c r="P39" s="150">
        <f t="shared" si="4"/>
        <v>38</v>
      </c>
      <c r="Q39" s="150" t="e">
        <f t="shared" si="5"/>
        <v>#N/A</v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>
        <f t="shared" si="0"/>
        <v>39</v>
      </c>
      <c r="M40" s="150" t="str">
        <f t="shared" si="1"/>
        <v>TW</v>
      </c>
      <c r="N40" s="150">
        <f t="shared" si="2"/>
        <v>39</v>
      </c>
      <c r="O40" s="150" t="str">
        <f t="shared" si="3"/>
        <v>TW</v>
      </c>
      <c r="P40" s="150">
        <f t="shared" si="4"/>
        <v>39</v>
      </c>
      <c r="Q40" s="150" t="e">
        <f t="shared" si="5"/>
        <v>#N/A</v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str">
        <f t="shared" si="1"/>
        <v>TW</v>
      </c>
      <c r="N41" s="150">
        <f t="shared" si="2"/>
        <v>40</v>
      </c>
      <c r="O41" s="150" t="str">
        <f t="shared" si="3"/>
        <v>TW</v>
      </c>
      <c r="P41" s="150">
        <f t="shared" si="4"/>
        <v>40</v>
      </c>
      <c r="Q41" s="150" t="e">
        <f t="shared" si="5"/>
        <v>#N/A</v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str">
        <f t="shared" si="1"/>
        <v>TW</v>
      </c>
      <c r="N42" s="150">
        <f t="shared" si="2"/>
        <v>41</v>
      </c>
      <c r="O42" s="150" t="str">
        <f t="shared" si="3"/>
        <v>TW</v>
      </c>
      <c r="P42" s="150">
        <f t="shared" si="4"/>
        <v>41</v>
      </c>
      <c r="Q42" s="150" t="e">
        <f t="shared" si="5"/>
        <v>#N/A</v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str">
        <f t="shared" si="1"/>
        <v>TW</v>
      </c>
      <c r="N43" s="150">
        <f t="shared" si="2"/>
        <v>42</v>
      </c>
      <c r="O43" s="150" t="str">
        <f t="shared" si="3"/>
        <v>TW</v>
      </c>
      <c r="P43" s="150">
        <f t="shared" si="4"/>
        <v>42</v>
      </c>
      <c r="Q43" s="150" t="e">
        <f t="shared" si="5"/>
        <v>#N/A</v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str">
        <f t="shared" si="1"/>
        <v>TW</v>
      </c>
      <c r="N44" s="150">
        <f t="shared" si="2"/>
        <v>43</v>
      </c>
      <c r="O44" s="150" t="str">
        <f t="shared" si="3"/>
        <v>TW</v>
      </c>
      <c r="P44" s="150">
        <f t="shared" si="4"/>
        <v>43</v>
      </c>
      <c r="Q44" s="150" t="e">
        <f t="shared" si="5"/>
        <v>#N/A</v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>
        <f t="shared" si="0"/>
        <v>44</v>
      </c>
      <c r="M45" s="150" t="str">
        <f t="shared" si="1"/>
        <v>TW</v>
      </c>
      <c r="N45" s="150">
        <f t="shared" si="2"/>
        <v>44</v>
      </c>
      <c r="O45" s="150" t="str">
        <f t="shared" si="3"/>
        <v>TW</v>
      </c>
      <c r="P45" s="150">
        <f t="shared" si="4"/>
        <v>44</v>
      </c>
      <c r="Q45" s="150" t="e">
        <f t="shared" si="5"/>
        <v>#N/A</v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2"/>
      <c r="E46" s="323"/>
      <c r="F46" s="324"/>
      <c r="G46" s="68"/>
      <c r="K46" s="150">
        <v>45</v>
      </c>
      <c r="L46" s="150">
        <f t="shared" si="0"/>
        <v>45</v>
      </c>
      <c r="M46" s="150" t="str">
        <f t="shared" si="1"/>
        <v>TW</v>
      </c>
      <c r="N46" s="150">
        <f t="shared" si="2"/>
        <v>45</v>
      </c>
      <c r="O46" s="150" t="str">
        <f t="shared" si="3"/>
        <v>TW</v>
      </c>
      <c r="P46" s="150">
        <f t="shared" si="4"/>
        <v>45</v>
      </c>
      <c r="Q46" s="150" t="e">
        <f t="shared" si="5"/>
        <v>#N/A</v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>
        <f t="shared" si="0"/>
        <v>46</v>
      </c>
      <c r="M47" s="150" t="str">
        <f t="shared" si="1"/>
        <v>TW</v>
      </c>
      <c r="N47" s="150">
        <f t="shared" si="2"/>
        <v>46</v>
      </c>
      <c r="O47" s="150" t="str">
        <f t="shared" si="3"/>
        <v>TW</v>
      </c>
      <c r="P47" s="150">
        <f t="shared" si="4"/>
        <v>46</v>
      </c>
      <c r="Q47" s="150" t="e">
        <f t="shared" si="5"/>
        <v>#N/A</v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str">
        <f t="shared" si="1"/>
        <v>TW</v>
      </c>
      <c r="N48" s="150">
        <f t="shared" si="2"/>
        <v>47</v>
      </c>
      <c r="O48" s="150" t="str">
        <f t="shared" si="3"/>
        <v>TW</v>
      </c>
      <c r="P48" s="150">
        <f t="shared" si="4"/>
        <v>47</v>
      </c>
      <c r="Q48" s="150" t="e">
        <f t="shared" si="5"/>
        <v>#N/A</v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str">
        <f t="shared" si="1"/>
        <v>TW</v>
      </c>
      <c r="N49" s="150">
        <f t="shared" si="2"/>
        <v>48</v>
      </c>
      <c r="O49" s="150" t="str">
        <f t="shared" si="3"/>
        <v>TW</v>
      </c>
      <c r="P49" s="150">
        <f t="shared" si="4"/>
        <v>48</v>
      </c>
      <c r="Q49" s="150" t="e">
        <f t="shared" si="5"/>
        <v>#N/A</v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str">
        <f t="shared" si="1"/>
        <v>TW</v>
      </c>
      <c r="N50" s="150">
        <f t="shared" si="2"/>
        <v>49</v>
      </c>
      <c r="O50" s="150" t="str">
        <f t="shared" si="3"/>
        <v>TW</v>
      </c>
      <c r="P50" s="150">
        <f t="shared" si="4"/>
        <v>49</v>
      </c>
      <c r="Q50" s="150" t="e">
        <f t="shared" si="5"/>
        <v>#N/A</v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str">
        <f t="shared" si="1"/>
        <v>TW</v>
      </c>
      <c r="N51" s="150">
        <f t="shared" si="2"/>
        <v>50</v>
      </c>
      <c r="O51" s="150" t="str">
        <f t="shared" si="3"/>
        <v>TW</v>
      </c>
      <c r="P51" s="150">
        <f t="shared" si="4"/>
        <v>50</v>
      </c>
      <c r="Q51" s="150" t="e">
        <f t="shared" si="5"/>
        <v>#N/A</v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str">
        <f t="shared" si="1"/>
        <v>TW</v>
      </c>
      <c r="N52" s="150">
        <f t="shared" si="2"/>
        <v>51</v>
      </c>
      <c r="O52" s="150" t="str">
        <f t="shared" si="3"/>
        <v>TW</v>
      </c>
      <c r="P52" s="150">
        <f t="shared" si="4"/>
        <v>51</v>
      </c>
      <c r="Q52" s="150" t="e">
        <f t="shared" si="5"/>
        <v>#N/A</v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str">
        <f t="shared" si="1"/>
        <v>TW</v>
      </c>
      <c r="N53" s="150">
        <f t="shared" si="2"/>
        <v>52</v>
      </c>
      <c r="O53" s="150" t="str">
        <f t="shared" si="3"/>
        <v>TW</v>
      </c>
      <c r="P53" s="150">
        <f t="shared" si="4"/>
        <v>52</v>
      </c>
      <c r="Q53" s="150" t="e">
        <f t="shared" si="5"/>
        <v>#N/A</v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str">
        <f t="shared" si="1"/>
        <v>TW</v>
      </c>
      <c r="N54" s="150">
        <f t="shared" si="2"/>
        <v>53</v>
      </c>
      <c r="O54" s="150" t="str">
        <f t="shared" si="3"/>
        <v>TW</v>
      </c>
      <c r="P54" s="150">
        <f t="shared" si="4"/>
        <v>53</v>
      </c>
      <c r="Q54" s="150" t="e">
        <f t="shared" si="5"/>
        <v>#N/A</v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str">
        <f t="shared" si="1"/>
        <v>TW</v>
      </c>
      <c r="N55" s="150">
        <f t="shared" si="2"/>
        <v>54</v>
      </c>
      <c r="O55" s="150" t="str">
        <f t="shared" si="3"/>
        <v>TW</v>
      </c>
      <c r="P55" s="150">
        <f t="shared" si="4"/>
        <v>54</v>
      </c>
      <c r="Q55" s="150" t="e">
        <f t="shared" si="5"/>
        <v>#N/A</v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str">
        <f t="shared" si="1"/>
        <v>TW</v>
      </c>
      <c r="N56" s="150">
        <f t="shared" si="2"/>
        <v>55</v>
      </c>
      <c r="O56" s="150" t="str">
        <f t="shared" si="3"/>
        <v>TW</v>
      </c>
      <c r="P56" s="150">
        <f t="shared" si="4"/>
        <v>55</v>
      </c>
      <c r="Q56" s="150" t="e">
        <f t="shared" si="5"/>
        <v>#N/A</v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str">
        <f t="shared" si="1"/>
        <v>TW</v>
      </c>
      <c r="N57" s="150">
        <f t="shared" si="2"/>
        <v>56</v>
      </c>
      <c r="O57" s="150" t="str">
        <f t="shared" si="3"/>
        <v>TW</v>
      </c>
      <c r="P57" s="150">
        <f t="shared" si="4"/>
        <v>56</v>
      </c>
      <c r="Q57" s="150" t="e">
        <f t="shared" si="5"/>
        <v>#N/A</v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str">
        <f t="shared" si="1"/>
        <v>TW</v>
      </c>
      <c r="N58" s="150">
        <f t="shared" si="2"/>
        <v>57</v>
      </c>
      <c r="O58" s="150" t="str">
        <f t="shared" si="3"/>
        <v>TW</v>
      </c>
      <c r="P58" s="150">
        <f t="shared" si="4"/>
        <v>57</v>
      </c>
      <c r="Q58" s="150" t="e">
        <f t="shared" si="5"/>
        <v>#N/A</v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str">
        <f t="shared" si="1"/>
        <v>TW</v>
      </c>
      <c r="N59" s="150">
        <f t="shared" si="2"/>
        <v>58</v>
      </c>
      <c r="O59" s="150" t="str">
        <f t="shared" si="3"/>
        <v>TW</v>
      </c>
      <c r="P59" s="150">
        <f t="shared" si="4"/>
        <v>58</v>
      </c>
      <c r="Q59" s="150" t="e">
        <f t="shared" si="5"/>
        <v>#N/A</v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str">
        <f t="shared" si="1"/>
        <v>TW</v>
      </c>
      <c r="N60" s="150">
        <f t="shared" si="2"/>
        <v>59</v>
      </c>
      <c r="O60" s="150" t="str">
        <f t="shared" si="3"/>
        <v>TW</v>
      </c>
      <c r="P60" s="150">
        <f t="shared" si="4"/>
        <v>59</v>
      </c>
      <c r="Q60" s="150" t="e">
        <f t="shared" si="5"/>
        <v>#N/A</v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str">
        <f t="shared" si="1"/>
        <v>TW</v>
      </c>
      <c r="N61" s="150">
        <f t="shared" si="2"/>
        <v>60</v>
      </c>
      <c r="O61" s="150" t="str">
        <f t="shared" si="3"/>
        <v>TW</v>
      </c>
      <c r="P61" s="150">
        <f t="shared" si="4"/>
        <v>60</v>
      </c>
      <c r="Q61" s="150" t="e">
        <f t="shared" si="5"/>
        <v>#N/A</v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str">
        <f t="shared" si="1"/>
        <v>TW</v>
      </c>
      <c r="N62" s="150">
        <f t="shared" si="2"/>
        <v>61</v>
      </c>
      <c r="O62" s="150" t="str">
        <f t="shared" si="3"/>
        <v>TW</v>
      </c>
      <c r="P62" s="150">
        <f t="shared" si="4"/>
        <v>61</v>
      </c>
      <c r="Q62" s="150" t="e">
        <f t="shared" si="5"/>
        <v>#N/A</v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str">
        <f t="shared" si="1"/>
        <v>TW</v>
      </c>
      <c r="N63" s="150">
        <f t="shared" si="2"/>
        <v>62</v>
      </c>
      <c r="O63" s="150" t="str">
        <f t="shared" si="3"/>
        <v>TW</v>
      </c>
      <c r="P63" s="150">
        <f t="shared" si="4"/>
        <v>62</v>
      </c>
      <c r="Q63" s="150" t="e">
        <f t="shared" si="5"/>
        <v>#N/A</v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str">
        <f t="shared" si="1"/>
        <v>TW</v>
      </c>
      <c r="N64" s="150">
        <f t="shared" si="2"/>
        <v>63</v>
      </c>
      <c r="O64" s="150" t="str">
        <f t="shared" si="3"/>
        <v>TW</v>
      </c>
      <c r="P64" s="150">
        <f t="shared" si="4"/>
        <v>63</v>
      </c>
      <c r="Q64" s="150" t="e">
        <f t="shared" si="5"/>
        <v>#N/A</v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str">
        <f t="shared" si="1"/>
        <v>TW</v>
      </c>
      <c r="N65" s="150">
        <f t="shared" si="2"/>
        <v>64</v>
      </c>
      <c r="O65" s="150" t="str">
        <f t="shared" si="3"/>
        <v>TW</v>
      </c>
      <c r="P65" s="150">
        <f t="shared" si="4"/>
        <v>64</v>
      </c>
      <c r="Q65" s="150" t="e">
        <f t="shared" si="5"/>
        <v>#N/A</v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str">
        <f t="shared" si="1"/>
        <v>TW</v>
      </c>
      <c r="N66" s="150">
        <f t="shared" si="2"/>
        <v>65</v>
      </c>
      <c r="O66" s="150" t="str">
        <f t="shared" si="3"/>
        <v>TW</v>
      </c>
      <c r="P66" s="150">
        <f t="shared" si="4"/>
        <v>65</v>
      </c>
      <c r="Q66" s="150" t="e">
        <f t="shared" si="5"/>
        <v>#N/A</v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str">
        <f t="shared" ref="M67:M130" si="13">IF(L67="","",IF(L67&lt;=$E$15,VLOOKUP($E$14,$I$1:$J$4,2,FALSE),VLOOKUP($F$14,$I$1:$J$4,2,FALSE)))</f>
        <v>TW</v>
      </c>
      <c r="N67" s="150">
        <f t="shared" ref="N67:N130" si="14">IF($B$20&gt;=K67,K67,"")</f>
        <v>66</v>
      </c>
      <c r="O67" s="150" t="str">
        <f t="shared" ref="O67:O130" si="15">IF(N67="","",IF(N67&lt;=$E$22,VLOOKUP($E$21,$I$1:$J$4,2,FALSE),VLOOKUP($F$21,$I$1:$J$4,2,FALSE)))</f>
        <v>TW</v>
      </c>
      <c r="P67" s="150">
        <f t="shared" ref="P67:P130" si="16">IF($B$27&gt;=K67,K67,"")</f>
        <v>66</v>
      </c>
      <c r="Q67" s="150" t="e">
        <f t="shared" ref="Q67:Q130" si="17">IF(P67="","",IF(P67&lt;=$E$29,VLOOKUP($E$28,$I$1:$J$4,2,FALSE),VLOOKUP($F$28,$I$1:$J$4,2,FALSE)))</f>
        <v>#N/A</v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str">
        <f t="shared" si="13"/>
        <v>TW</v>
      </c>
      <c r="N68" s="150">
        <f t="shared" si="14"/>
        <v>67</v>
      </c>
      <c r="O68" s="150" t="str">
        <f t="shared" si="15"/>
        <v>TW</v>
      </c>
      <c r="P68" s="150">
        <f t="shared" si="16"/>
        <v>67</v>
      </c>
      <c r="Q68" s="150" t="e">
        <f t="shared" si="17"/>
        <v>#N/A</v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str">
        <f t="shared" si="13"/>
        <v>TW</v>
      </c>
      <c r="N69" s="150">
        <f t="shared" si="14"/>
        <v>68</v>
      </c>
      <c r="O69" s="150" t="str">
        <f t="shared" si="15"/>
        <v>TW</v>
      </c>
      <c r="P69" s="150">
        <f t="shared" si="16"/>
        <v>68</v>
      </c>
      <c r="Q69" s="150" t="e">
        <f t="shared" si="17"/>
        <v>#N/A</v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str">
        <f t="shared" si="13"/>
        <v>TW</v>
      </c>
      <c r="N70" s="150">
        <f t="shared" si="14"/>
        <v>69</v>
      </c>
      <c r="O70" s="150" t="str">
        <f t="shared" si="15"/>
        <v>TW</v>
      </c>
      <c r="P70" s="150">
        <f t="shared" si="16"/>
        <v>69</v>
      </c>
      <c r="Q70" s="150" t="e">
        <f t="shared" si="17"/>
        <v>#N/A</v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str">
        <f t="shared" si="13"/>
        <v>TW</v>
      </c>
      <c r="N71" s="150">
        <f t="shared" si="14"/>
        <v>70</v>
      </c>
      <c r="O71" s="150" t="str">
        <f t="shared" si="15"/>
        <v>TW</v>
      </c>
      <c r="P71" s="150">
        <f t="shared" si="16"/>
        <v>70</v>
      </c>
      <c r="Q71" s="150" t="e">
        <f t="shared" si="17"/>
        <v>#N/A</v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str">
        <f t="shared" si="13"/>
        <v>TW</v>
      </c>
      <c r="N72" s="150">
        <f t="shared" si="14"/>
        <v>71</v>
      </c>
      <c r="O72" s="150" t="str">
        <f t="shared" si="15"/>
        <v>TW</v>
      </c>
      <c r="P72" s="150">
        <f t="shared" si="16"/>
        <v>71</v>
      </c>
      <c r="Q72" s="150" t="e">
        <f t="shared" si="17"/>
        <v>#N/A</v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str">
        <f t="shared" si="13"/>
        <v>TW</v>
      </c>
      <c r="N73" s="150">
        <f t="shared" si="14"/>
        <v>72</v>
      </c>
      <c r="O73" s="150" t="str">
        <f t="shared" si="15"/>
        <v>TW</v>
      </c>
      <c r="P73" s="150">
        <f t="shared" si="16"/>
        <v>72</v>
      </c>
      <c r="Q73" s="150" t="e">
        <f t="shared" si="17"/>
        <v>#N/A</v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str">
        <f t="shared" si="13"/>
        <v>TW</v>
      </c>
      <c r="N74" s="150">
        <f t="shared" si="14"/>
        <v>73</v>
      </c>
      <c r="O74" s="150" t="str">
        <f t="shared" si="15"/>
        <v>TW</v>
      </c>
      <c r="P74" s="150">
        <f t="shared" si="16"/>
        <v>73</v>
      </c>
      <c r="Q74" s="150" t="e">
        <f t="shared" si="17"/>
        <v>#N/A</v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str">
        <f t="shared" si="13"/>
        <v>TW</v>
      </c>
      <c r="N75" s="150">
        <f t="shared" si="14"/>
        <v>74</v>
      </c>
      <c r="O75" s="150" t="str">
        <f t="shared" si="15"/>
        <v>TW</v>
      </c>
      <c r="P75" s="150">
        <f t="shared" si="16"/>
        <v>74</v>
      </c>
      <c r="Q75" s="150" t="e">
        <f t="shared" si="17"/>
        <v>#N/A</v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str">
        <f t="shared" si="13"/>
        <v>TW</v>
      </c>
      <c r="N76" s="150">
        <f t="shared" si="14"/>
        <v>75</v>
      </c>
      <c r="O76" s="150" t="str">
        <f t="shared" si="15"/>
        <v>TW</v>
      </c>
      <c r="P76" s="150">
        <f t="shared" si="16"/>
        <v>75</v>
      </c>
      <c r="Q76" s="150" t="e">
        <f t="shared" si="17"/>
        <v>#N/A</v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str">
        <f t="shared" si="13"/>
        <v>TW</v>
      </c>
      <c r="N77" s="150">
        <f t="shared" si="14"/>
        <v>76</v>
      </c>
      <c r="O77" s="150" t="str">
        <f t="shared" si="15"/>
        <v>TW</v>
      </c>
      <c r="P77" s="150">
        <f t="shared" si="16"/>
        <v>76</v>
      </c>
      <c r="Q77" s="150" t="e">
        <f t="shared" si="17"/>
        <v>#N/A</v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str">
        <f t="shared" si="13"/>
        <v>TW</v>
      </c>
      <c r="N78" s="150">
        <f t="shared" si="14"/>
        <v>77</v>
      </c>
      <c r="O78" s="150" t="str">
        <f t="shared" si="15"/>
        <v>TW</v>
      </c>
      <c r="P78" s="150">
        <f t="shared" si="16"/>
        <v>77</v>
      </c>
      <c r="Q78" s="150" t="e">
        <f t="shared" si="17"/>
        <v>#N/A</v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str">
        <f t="shared" si="13"/>
        <v>TW</v>
      </c>
      <c r="N79" s="150">
        <f t="shared" si="14"/>
        <v>78</v>
      </c>
      <c r="O79" s="150" t="str">
        <f t="shared" si="15"/>
        <v>TW</v>
      </c>
      <c r="P79" s="150">
        <f t="shared" si="16"/>
        <v>78</v>
      </c>
      <c r="Q79" s="150" t="e">
        <f t="shared" si="17"/>
        <v>#N/A</v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str">
        <f t="shared" si="13"/>
        <v>TW</v>
      </c>
      <c r="N80" s="150">
        <f t="shared" si="14"/>
        <v>79</v>
      </c>
      <c r="O80" s="150" t="str">
        <f t="shared" si="15"/>
        <v>TW</v>
      </c>
      <c r="P80" s="150">
        <f t="shared" si="16"/>
        <v>79</v>
      </c>
      <c r="Q80" s="150" t="e">
        <f t="shared" si="17"/>
        <v>#N/A</v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str">
        <f t="shared" si="13"/>
        <v>TW</v>
      </c>
      <c r="N81" s="150">
        <f t="shared" si="14"/>
        <v>80</v>
      </c>
      <c r="O81" s="150" t="str">
        <f t="shared" si="15"/>
        <v>TW</v>
      </c>
      <c r="P81" s="150">
        <f t="shared" si="16"/>
        <v>80</v>
      </c>
      <c r="Q81" s="150" t="e">
        <f t="shared" si="17"/>
        <v>#N/A</v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str">
        <f t="shared" si="13"/>
        <v>TW</v>
      </c>
      <c r="N82" s="150">
        <f t="shared" si="14"/>
        <v>81</v>
      </c>
      <c r="O82" s="150" t="str">
        <f t="shared" si="15"/>
        <v>TW</v>
      </c>
      <c r="P82" s="150">
        <f t="shared" si="16"/>
        <v>81</v>
      </c>
      <c r="Q82" s="150" t="e">
        <f t="shared" si="17"/>
        <v>#N/A</v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str">
        <f t="shared" si="13"/>
        <v>TW</v>
      </c>
      <c r="N83" s="150">
        <f t="shared" si="14"/>
        <v>82</v>
      </c>
      <c r="O83" s="150" t="str">
        <f t="shared" si="15"/>
        <v>TW</v>
      </c>
      <c r="P83" s="150">
        <f t="shared" si="16"/>
        <v>82</v>
      </c>
      <c r="Q83" s="150" t="e">
        <f t="shared" si="17"/>
        <v>#N/A</v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str">
        <f t="shared" si="13"/>
        <v>TW</v>
      </c>
      <c r="N84" s="150">
        <f t="shared" si="14"/>
        <v>83</v>
      </c>
      <c r="O84" s="150" t="str">
        <f t="shared" si="15"/>
        <v>TW</v>
      </c>
      <c r="P84" s="150">
        <f t="shared" si="16"/>
        <v>83</v>
      </c>
      <c r="Q84" s="150" t="e">
        <f t="shared" si="17"/>
        <v>#N/A</v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str">
        <f t="shared" si="13"/>
        <v>TW</v>
      </c>
      <c r="N85" s="150">
        <f t="shared" si="14"/>
        <v>84</v>
      </c>
      <c r="O85" s="150" t="str">
        <f t="shared" si="15"/>
        <v>TW</v>
      </c>
      <c r="P85" s="150">
        <f t="shared" si="16"/>
        <v>84</v>
      </c>
      <c r="Q85" s="150" t="e">
        <f t="shared" si="17"/>
        <v>#N/A</v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str">
        <f t="shared" si="13"/>
        <v>TW</v>
      </c>
      <c r="N86" s="150">
        <f t="shared" si="14"/>
        <v>85</v>
      </c>
      <c r="O86" s="150" t="str">
        <f t="shared" si="15"/>
        <v>TW</v>
      </c>
      <c r="P86" s="150">
        <f t="shared" si="16"/>
        <v>85</v>
      </c>
      <c r="Q86" s="150" t="e">
        <f t="shared" si="17"/>
        <v>#N/A</v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str">
        <f t="shared" si="13"/>
        <v>TW</v>
      </c>
      <c r="N87" s="150">
        <f t="shared" si="14"/>
        <v>86</v>
      </c>
      <c r="O87" s="150" t="str">
        <f t="shared" si="15"/>
        <v>TW</v>
      </c>
      <c r="P87" s="150">
        <f t="shared" si="16"/>
        <v>86</v>
      </c>
      <c r="Q87" s="150" t="e">
        <f t="shared" si="17"/>
        <v>#N/A</v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str">
        <f t="shared" si="13"/>
        <v>TW</v>
      </c>
      <c r="N88" s="150">
        <f t="shared" si="14"/>
        <v>87</v>
      </c>
      <c r="O88" s="150" t="str">
        <f t="shared" si="15"/>
        <v>TW</v>
      </c>
      <c r="P88" s="150">
        <f t="shared" si="16"/>
        <v>87</v>
      </c>
      <c r="Q88" s="150" t="e">
        <f t="shared" si="17"/>
        <v>#N/A</v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str">
        <f t="shared" si="13"/>
        <v>TW</v>
      </c>
      <c r="N89" s="150">
        <f t="shared" si="14"/>
        <v>88</v>
      </c>
      <c r="O89" s="150" t="str">
        <f t="shared" si="15"/>
        <v>TW</v>
      </c>
      <c r="P89" s="150">
        <f t="shared" si="16"/>
        <v>88</v>
      </c>
      <c r="Q89" s="150" t="e">
        <f t="shared" si="17"/>
        <v>#N/A</v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str">
        <f t="shared" si="13"/>
        <v>TW</v>
      </c>
      <c r="N90" s="150">
        <f t="shared" si="14"/>
        <v>89</v>
      </c>
      <c r="O90" s="150" t="str">
        <f t="shared" si="15"/>
        <v>TW</v>
      </c>
      <c r="P90" s="150">
        <f t="shared" si="16"/>
        <v>89</v>
      </c>
      <c r="Q90" s="150" t="e">
        <f t="shared" si="17"/>
        <v>#N/A</v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str">
        <f t="shared" si="13"/>
        <v>TW</v>
      </c>
      <c r="N91" s="150">
        <f t="shared" si="14"/>
        <v>90</v>
      </c>
      <c r="O91" s="150" t="str">
        <f t="shared" si="15"/>
        <v>TW</v>
      </c>
      <c r="P91" s="150">
        <f t="shared" si="16"/>
        <v>90</v>
      </c>
      <c r="Q91" s="150" t="e">
        <f t="shared" si="17"/>
        <v>#N/A</v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str">
        <f t="shared" si="13"/>
        <v>TW</v>
      </c>
      <c r="N92" s="150">
        <f t="shared" si="14"/>
        <v>91</v>
      </c>
      <c r="O92" s="150" t="str">
        <f t="shared" si="15"/>
        <v>TW</v>
      </c>
      <c r="P92" s="150">
        <f t="shared" si="16"/>
        <v>91</v>
      </c>
      <c r="Q92" s="150" t="e">
        <f t="shared" si="17"/>
        <v>#N/A</v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str">
        <f t="shared" si="13"/>
        <v>TW</v>
      </c>
      <c r="N93" s="150">
        <f t="shared" si="14"/>
        <v>92</v>
      </c>
      <c r="O93" s="150" t="str">
        <f t="shared" si="15"/>
        <v>TW</v>
      </c>
      <c r="P93" s="150">
        <f t="shared" si="16"/>
        <v>92</v>
      </c>
      <c r="Q93" s="150" t="e">
        <f t="shared" si="17"/>
        <v>#N/A</v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str">
        <f t="shared" si="13"/>
        <v>TW</v>
      </c>
      <c r="N94" s="150">
        <f t="shared" si="14"/>
        <v>93</v>
      </c>
      <c r="O94" s="150" t="str">
        <f t="shared" si="15"/>
        <v>TW</v>
      </c>
      <c r="P94" s="150">
        <f t="shared" si="16"/>
        <v>93</v>
      </c>
      <c r="Q94" s="150" t="e">
        <f t="shared" si="17"/>
        <v>#N/A</v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str">
        <f t="shared" si="13"/>
        <v>TW</v>
      </c>
      <c r="N95" s="150">
        <f t="shared" si="14"/>
        <v>94</v>
      </c>
      <c r="O95" s="150" t="str">
        <f t="shared" si="15"/>
        <v>TW</v>
      </c>
      <c r="P95" s="150">
        <f t="shared" si="16"/>
        <v>94</v>
      </c>
      <c r="Q95" s="150" t="e">
        <f t="shared" si="17"/>
        <v>#N/A</v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str">
        <f t="shared" si="13"/>
        <v>TW</v>
      </c>
      <c r="N96" s="150">
        <f t="shared" si="14"/>
        <v>95</v>
      </c>
      <c r="O96" s="150" t="str">
        <f t="shared" si="15"/>
        <v>TW</v>
      </c>
      <c r="P96" s="150">
        <f t="shared" si="16"/>
        <v>95</v>
      </c>
      <c r="Q96" s="150" t="e">
        <f t="shared" si="17"/>
        <v>#N/A</v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str">
        <f t="shared" si="13"/>
        <v>TW</v>
      </c>
      <c r="N97" s="150">
        <f t="shared" si="14"/>
        <v>96</v>
      </c>
      <c r="O97" s="150" t="str">
        <f t="shared" si="15"/>
        <v>TW</v>
      </c>
      <c r="P97" s="150">
        <f t="shared" si="16"/>
        <v>96</v>
      </c>
      <c r="Q97" s="150" t="e">
        <f t="shared" si="17"/>
        <v>#N/A</v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str">
        <f t="shared" si="13"/>
        <v>TW</v>
      </c>
      <c r="N98" s="150">
        <f t="shared" si="14"/>
        <v>97</v>
      </c>
      <c r="O98" s="150" t="str">
        <f t="shared" si="15"/>
        <v>TW</v>
      </c>
      <c r="P98" s="150">
        <f t="shared" si="16"/>
        <v>97</v>
      </c>
      <c r="Q98" s="150" t="e">
        <f t="shared" si="17"/>
        <v>#N/A</v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str">
        <f t="shared" si="13"/>
        <v>TW</v>
      </c>
      <c r="N99" s="150">
        <f t="shared" si="14"/>
        <v>98</v>
      </c>
      <c r="O99" s="150" t="str">
        <f t="shared" si="15"/>
        <v>TW</v>
      </c>
      <c r="P99" s="150">
        <f t="shared" si="16"/>
        <v>98</v>
      </c>
      <c r="Q99" s="150" t="e">
        <f t="shared" si="17"/>
        <v>#N/A</v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str">
        <f t="shared" si="13"/>
        <v>TW</v>
      </c>
      <c r="N100" s="150">
        <f t="shared" si="14"/>
        <v>99</v>
      </c>
      <c r="O100" s="150" t="str">
        <f t="shared" si="15"/>
        <v>TW</v>
      </c>
      <c r="P100" s="150">
        <f t="shared" si="16"/>
        <v>99</v>
      </c>
      <c r="Q100" s="150" t="e">
        <f t="shared" si="17"/>
        <v>#N/A</v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str">
        <f t="shared" si="13"/>
        <v>TW</v>
      </c>
      <c r="N101" s="150">
        <f t="shared" si="14"/>
        <v>100</v>
      </c>
      <c r="O101" s="150" t="str">
        <f t="shared" si="15"/>
        <v>TW</v>
      </c>
      <c r="P101" s="150">
        <f t="shared" si="16"/>
        <v>100</v>
      </c>
      <c r="Q101" s="150" t="e">
        <f t="shared" si="17"/>
        <v>#N/A</v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str">
        <f t="shared" si="13"/>
        <v>TW</v>
      </c>
      <c r="N102" s="150">
        <f t="shared" si="14"/>
        <v>101</v>
      </c>
      <c r="O102" s="150" t="str">
        <f t="shared" si="15"/>
        <v>TW</v>
      </c>
      <c r="P102" s="150">
        <f t="shared" si="16"/>
        <v>101</v>
      </c>
      <c r="Q102" s="150" t="e">
        <f t="shared" si="17"/>
        <v>#N/A</v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str">
        <f t="shared" si="13"/>
        <v>TW</v>
      </c>
      <c r="N103" s="150">
        <f t="shared" si="14"/>
        <v>102</v>
      </c>
      <c r="O103" s="150" t="str">
        <f t="shared" si="15"/>
        <v>TW</v>
      </c>
      <c r="P103" s="150">
        <f t="shared" si="16"/>
        <v>102</v>
      </c>
      <c r="Q103" s="150" t="e">
        <f t="shared" si="17"/>
        <v>#N/A</v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str">
        <f t="shared" si="13"/>
        <v>TW</v>
      </c>
      <c r="N104" s="150">
        <f t="shared" si="14"/>
        <v>103</v>
      </c>
      <c r="O104" s="150" t="str">
        <f t="shared" si="15"/>
        <v>TW</v>
      </c>
      <c r="P104" s="150">
        <f t="shared" si="16"/>
        <v>103</v>
      </c>
      <c r="Q104" s="150" t="e">
        <f t="shared" si="17"/>
        <v>#N/A</v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str">
        <f t="shared" si="13"/>
        <v>TW</v>
      </c>
      <c r="N105" s="150">
        <f t="shared" si="14"/>
        <v>104</v>
      </c>
      <c r="O105" s="150" t="str">
        <f t="shared" si="15"/>
        <v>TW</v>
      </c>
      <c r="P105" s="150">
        <f t="shared" si="16"/>
        <v>104</v>
      </c>
      <c r="Q105" s="150" t="e">
        <f t="shared" si="17"/>
        <v>#N/A</v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str">
        <f t="shared" si="13"/>
        <v>TW</v>
      </c>
      <c r="N106" s="150">
        <f t="shared" si="14"/>
        <v>105</v>
      </c>
      <c r="O106" s="150" t="str">
        <f t="shared" si="15"/>
        <v>TW</v>
      </c>
      <c r="P106" s="150">
        <f t="shared" si="16"/>
        <v>105</v>
      </c>
      <c r="Q106" s="150" t="e">
        <f t="shared" si="17"/>
        <v>#N/A</v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str">
        <f t="shared" si="13"/>
        <v>TW</v>
      </c>
      <c r="N107" s="150">
        <f t="shared" si="14"/>
        <v>106</v>
      </c>
      <c r="O107" s="150" t="str">
        <f t="shared" si="15"/>
        <v>TW</v>
      </c>
      <c r="P107" s="150">
        <f t="shared" si="16"/>
        <v>106</v>
      </c>
      <c r="Q107" s="150" t="e">
        <f t="shared" si="17"/>
        <v>#N/A</v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str">
        <f t="shared" si="13"/>
        <v>TW</v>
      </c>
      <c r="N108" s="150">
        <f t="shared" si="14"/>
        <v>107</v>
      </c>
      <c r="O108" s="150" t="str">
        <f t="shared" si="15"/>
        <v>TW</v>
      </c>
      <c r="P108" s="150">
        <f t="shared" si="16"/>
        <v>107</v>
      </c>
      <c r="Q108" s="150" t="e">
        <f t="shared" si="17"/>
        <v>#N/A</v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str">
        <f t="shared" si="13"/>
        <v>TW</v>
      </c>
      <c r="N109" s="150">
        <f t="shared" si="14"/>
        <v>108</v>
      </c>
      <c r="O109" s="150" t="str">
        <f t="shared" si="15"/>
        <v>TW</v>
      </c>
      <c r="P109" s="150">
        <f t="shared" si="16"/>
        <v>108</v>
      </c>
      <c r="Q109" s="150" t="e">
        <f t="shared" si="17"/>
        <v>#N/A</v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str">
        <f t="shared" si="13"/>
        <v>TW</v>
      </c>
      <c r="N110" s="150">
        <f t="shared" si="14"/>
        <v>109</v>
      </c>
      <c r="O110" s="150" t="str">
        <f t="shared" si="15"/>
        <v>TW</v>
      </c>
      <c r="P110" s="150">
        <f t="shared" si="16"/>
        <v>109</v>
      </c>
      <c r="Q110" s="150" t="e">
        <f t="shared" si="17"/>
        <v>#N/A</v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str">
        <f t="shared" si="13"/>
        <v>TW</v>
      </c>
      <c r="N111" s="150">
        <f t="shared" si="14"/>
        <v>110</v>
      </c>
      <c r="O111" s="150" t="str">
        <f t="shared" si="15"/>
        <v>TW</v>
      </c>
      <c r="P111" s="150">
        <f t="shared" si="16"/>
        <v>110</v>
      </c>
      <c r="Q111" s="150" t="e">
        <f t="shared" si="17"/>
        <v>#N/A</v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str">
        <f t="shared" si="13"/>
        <v>TW</v>
      </c>
      <c r="N112" s="150">
        <f t="shared" si="14"/>
        <v>111</v>
      </c>
      <c r="O112" s="150" t="str">
        <f t="shared" si="15"/>
        <v>TW</v>
      </c>
      <c r="P112" s="150">
        <f t="shared" si="16"/>
        <v>111</v>
      </c>
      <c r="Q112" s="150" t="e">
        <f t="shared" si="17"/>
        <v>#N/A</v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str">
        <f t="shared" si="13"/>
        <v>TW</v>
      </c>
      <c r="N113" s="150">
        <f t="shared" si="14"/>
        <v>112</v>
      </c>
      <c r="O113" s="150" t="str">
        <f t="shared" si="15"/>
        <v>TW</v>
      </c>
      <c r="P113" s="150">
        <f t="shared" si="16"/>
        <v>112</v>
      </c>
      <c r="Q113" s="150" t="e">
        <f t="shared" si="17"/>
        <v>#N/A</v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str">
        <f t="shared" si="13"/>
        <v>TW</v>
      </c>
      <c r="N114" s="150">
        <f t="shared" si="14"/>
        <v>113</v>
      </c>
      <c r="O114" s="150" t="str">
        <f t="shared" si="15"/>
        <v>TW</v>
      </c>
      <c r="P114" s="150">
        <f t="shared" si="16"/>
        <v>113</v>
      </c>
      <c r="Q114" s="150" t="e">
        <f t="shared" si="17"/>
        <v>#N/A</v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str">
        <f t="shared" si="13"/>
        <v>TW</v>
      </c>
      <c r="N115" s="150">
        <f t="shared" si="14"/>
        <v>114</v>
      </c>
      <c r="O115" s="150" t="str">
        <f t="shared" si="15"/>
        <v>TW</v>
      </c>
      <c r="P115" s="150">
        <f t="shared" si="16"/>
        <v>114</v>
      </c>
      <c r="Q115" s="150" t="e">
        <f t="shared" si="17"/>
        <v>#N/A</v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str">
        <f t="shared" si="13"/>
        <v>TW</v>
      </c>
      <c r="N116" s="150">
        <f t="shared" si="14"/>
        <v>115</v>
      </c>
      <c r="O116" s="150" t="str">
        <f t="shared" si="15"/>
        <v>TW</v>
      </c>
      <c r="P116" s="150">
        <f t="shared" si="16"/>
        <v>115</v>
      </c>
      <c r="Q116" s="150" t="e">
        <f t="shared" si="17"/>
        <v>#N/A</v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str">
        <f t="shared" si="13"/>
        <v>TW</v>
      </c>
      <c r="N117" s="150">
        <f t="shared" si="14"/>
        <v>116</v>
      </c>
      <c r="O117" s="150" t="str">
        <f t="shared" si="15"/>
        <v>TW</v>
      </c>
      <c r="P117" s="150">
        <f t="shared" si="16"/>
        <v>116</v>
      </c>
      <c r="Q117" s="150" t="e">
        <f t="shared" si="17"/>
        <v>#N/A</v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str">
        <f t="shared" si="13"/>
        <v>TW</v>
      </c>
      <c r="N118" s="150">
        <f t="shared" si="14"/>
        <v>117</v>
      </c>
      <c r="O118" s="150" t="str">
        <f t="shared" si="15"/>
        <v>TW</v>
      </c>
      <c r="P118" s="150">
        <f t="shared" si="16"/>
        <v>117</v>
      </c>
      <c r="Q118" s="150" t="e">
        <f t="shared" si="17"/>
        <v>#N/A</v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str">
        <f t="shared" si="13"/>
        <v>TW</v>
      </c>
      <c r="N119" s="150">
        <f t="shared" si="14"/>
        <v>118</v>
      </c>
      <c r="O119" s="150" t="str">
        <f t="shared" si="15"/>
        <v>TW</v>
      </c>
      <c r="P119" s="150">
        <f t="shared" si="16"/>
        <v>118</v>
      </c>
      <c r="Q119" s="150" t="e">
        <f t="shared" si="17"/>
        <v>#N/A</v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str">
        <f t="shared" si="13"/>
        <v>TW</v>
      </c>
      <c r="N120" s="150">
        <f t="shared" si="14"/>
        <v>119</v>
      </c>
      <c r="O120" s="150" t="str">
        <f t="shared" si="15"/>
        <v>TW</v>
      </c>
      <c r="P120" s="150">
        <f t="shared" si="16"/>
        <v>119</v>
      </c>
      <c r="Q120" s="150" t="e">
        <f t="shared" si="17"/>
        <v>#N/A</v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str">
        <f t="shared" si="13"/>
        <v>TW</v>
      </c>
      <c r="N121" s="150">
        <f t="shared" si="14"/>
        <v>120</v>
      </c>
      <c r="O121" s="150" t="str">
        <f t="shared" si="15"/>
        <v>TW</v>
      </c>
      <c r="P121" s="150">
        <f t="shared" si="16"/>
        <v>120</v>
      </c>
      <c r="Q121" s="150" t="e">
        <f t="shared" si="17"/>
        <v>#N/A</v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str">
        <f t="shared" si="13"/>
        <v>TW</v>
      </c>
      <c r="N122" s="150">
        <f t="shared" si="14"/>
        <v>121</v>
      </c>
      <c r="O122" s="150" t="str">
        <f t="shared" si="15"/>
        <v>TW</v>
      </c>
      <c r="P122" s="150">
        <f t="shared" si="16"/>
        <v>121</v>
      </c>
      <c r="Q122" s="150" t="e">
        <f t="shared" si="17"/>
        <v>#N/A</v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str">
        <f t="shared" si="13"/>
        <v>TW</v>
      </c>
      <c r="N123" s="150">
        <f t="shared" si="14"/>
        <v>122</v>
      </c>
      <c r="O123" s="150" t="str">
        <f t="shared" si="15"/>
        <v>TW</v>
      </c>
      <c r="P123" s="150">
        <f t="shared" si="16"/>
        <v>122</v>
      </c>
      <c r="Q123" s="150" t="e">
        <f t="shared" si="17"/>
        <v>#N/A</v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str">
        <f t="shared" si="13"/>
        <v>TW</v>
      </c>
      <c r="N124" s="150">
        <f t="shared" si="14"/>
        <v>123</v>
      </c>
      <c r="O124" s="150" t="str">
        <f t="shared" si="15"/>
        <v>TW</v>
      </c>
      <c r="P124" s="150">
        <f t="shared" si="16"/>
        <v>123</v>
      </c>
      <c r="Q124" s="150" t="e">
        <f t="shared" si="17"/>
        <v>#N/A</v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str">
        <f t="shared" si="13"/>
        <v>TW</v>
      </c>
      <c r="N125" s="150">
        <f t="shared" si="14"/>
        <v>124</v>
      </c>
      <c r="O125" s="150" t="str">
        <f t="shared" si="15"/>
        <v>TW</v>
      </c>
      <c r="P125" s="150">
        <f t="shared" si="16"/>
        <v>124</v>
      </c>
      <c r="Q125" s="150" t="e">
        <f t="shared" si="17"/>
        <v>#N/A</v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str">
        <f t="shared" si="13"/>
        <v>TW</v>
      </c>
      <c r="N126" s="150">
        <f t="shared" si="14"/>
        <v>125</v>
      </c>
      <c r="O126" s="150" t="str">
        <f t="shared" si="15"/>
        <v>TW</v>
      </c>
      <c r="P126" s="150">
        <f t="shared" si="16"/>
        <v>125</v>
      </c>
      <c r="Q126" s="150" t="e">
        <f t="shared" si="17"/>
        <v>#N/A</v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str">
        <f t="shared" si="13"/>
        <v>TW</v>
      </c>
      <c r="N127" s="150">
        <f t="shared" si="14"/>
        <v>126</v>
      </c>
      <c r="O127" s="150" t="str">
        <f t="shared" si="15"/>
        <v>TW</v>
      </c>
      <c r="P127" s="150">
        <f t="shared" si="16"/>
        <v>126</v>
      </c>
      <c r="Q127" s="150" t="e">
        <f t="shared" si="17"/>
        <v>#N/A</v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str">
        <f t="shared" si="13"/>
        <v>TW</v>
      </c>
      <c r="N128" s="150">
        <f t="shared" si="14"/>
        <v>127</v>
      </c>
      <c r="O128" s="150" t="str">
        <f t="shared" si="15"/>
        <v>TW</v>
      </c>
      <c r="P128" s="150">
        <f t="shared" si="16"/>
        <v>127</v>
      </c>
      <c r="Q128" s="150" t="e">
        <f t="shared" si="17"/>
        <v>#N/A</v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str">
        <f t="shared" si="13"/>
        <v>TW</v>
      </c>
      <c r="N129" s="150">
        <f t="shared" si="14"/>
        <v>128</v>
      </c>
      <c r="O129" s="150" t="str">
        <f t="shared" si="15"/>
        <v>TW</v>
      </c>
      <c r="P129" s="150">
        <f t="shared" si="16"/>
        <v>128</v>
      </c>
      <c r="Q129" s="150" t="e">
        <f t="shared" si="17"/>
        <v>#N/A</v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str">
        <f t="shared" si="13"/>
        <v>TW</v>
      </c>
      <c r="N130" s="150">
        <f t="shared" si="14"/>
        <v>129</v>
      </c>
      <c r="O130" s="150" t="str">
        <f t="shared" si="15"/>
        <v>TW</v>
      </c>
      <c r="P130" s="150">
        <f t="shared" si="16"/>
        <v>129</v>
      </c>
      <c r="Q130" s="150" t="e">
        <f t="shared" si="17"/>
        <v>#N/A</v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str">
        <f t="shared" ref="M131:M194" si="25">IF(L131="","",IF(L131&lt;=$E$15,VLOOKUP($E$14,$I$1:$J$4,2,FALSE),VLOOKUP($F$14,$I$1:$J$4,2,FALSE)))</f>
        <v>TW</v>
      </c>
      <c r="N131" s="150">
        <f t="shared" ref="N131:N194" si="26">IF($B$20&gt;=K131,K131,"")</f>
        <v>130</v>
      </c>
      <c r="O131" s="150" t="str">
        <f t="shared" ref="O131:O194" si="27">IF(N131="","",IF(N131&lt;=$E$22,VLOOKUP($E$21,$I$1:$J$4,2,FALSE),VLOOKUP($F$21,$I$1:$J$4,2,FALSE)))</f>
        <v>TW</v>
      </c>
      <c r="P131" s="150">
        <f t="shared" ref="P131:P194" si="28">IF($B$27&gt;=K131,K131,"")</f>
        <v>130</v>
      </c>
      <c r="Q131" s="150" t="e">
        <f t="shared" ref="Q131:Q194" si="29">IF(P131="","",IF(P131&lt;=$E$29,VLOOKUP($E$28,$I$1:$J$4,2,FALSE),VLOOKUP($F$28,$I$1:$J$4,2,FALSE)))</f>
        <v>#N/A</v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str">
        <f t="shared" si="25"/>
        <v>TW</v>
      </c>
      <c r="N132" s="150">
        <f t="shared" si="26"/>
        <v>131</v>
      </c>
      <c r="O132" s="150" t="str">
        <f t="shared" si="27"/>
        <v>TW</v>
      </c>
      <c r="P132" s="150">
        <f t="shared" si="28"/>
        <v>131</v>
      </c>
      <c r="Q132" s="150" t="e">
        <f t="shared" si="29"/>
        <v>#N/A</v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str">
        <f t="shared" si="25"/>
        <v>TW</v>
      </c>
      <c r="N133" s="150">
        <f t="shared" si="26"/>
        <v>132</v>
      </c>
      <c r="O133" s="150" t="str">
        <f t="shared" si="27"/>
        <v>TW</v>
      </c>
      <c r="P133" s="150">
        <f t="shared" si="28"/>
        <v>132</v>
      </c>
      <c r="Q133" s="150" t="e">
        <f t="shared" si="29"/>
        <v>#N/A</v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str">
        <f t="shared" si="25"/>
        <v>TW</v>
      </c>
      <c r="N134" s="150">
        <f t="shared" si="26"/>
        <v>133</v>
      </c>
      <c r="O134" s="150" t="str">
        <f t="shared" si="27"/>
        <v>TW</v>
      </c>
      <c r="P134" s="150">
        <f t="shared" si="28"/>
        <v>133</v>
      </c>
      <c r="Q134" s="150" t="e">
        <f t="shared" si="29"/>
        <v>#N/A</v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str">
        <f t="shared" si="25"/>
        <v>TW</v>
      </c>
      <c r="N135" s="150">
        <f t="shared" si="26"/>
        <v>134</v>
      </c>
      <c r="O135" s="150" t="str">
        <f t="shared" si="27"/>
        <v>TW</v>
      </c>
      <c r="P135" s="150">
        <f t="shared" si="28"/>
        <v>134</v>
      </c>
      <c r="Q135" s="150" t="e">
        <f t="shared" si="29"/>
        <v>#N/A</v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str">
        <f t="shared" si="25"/>
        <v>TW</v>
      </c>
      <c r="N136" s="150">
        <f t="shared" si="26"/>
        <v>135</v>
      </c>
      <c r="O136" s="150" t="str">
        <f t="shared" si="27"/>
        <v>TW</v>
      </c>
      <c r="P136" s="150">
        <f t="shared" si="28"/>
        <v>135</v>
      </c>
      <c r="Q136" s="150" t="e">
        <f t="shared" si="29"/>
        <v>#N/A</v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str">
        <f t="shared" si="25"/>
        <v>TW</v>
      </c>
      <c r="N137" s="150">
        <f t="shared" si="26"/>
        <v>136</v>
      </c>
      <c r="O137" s="150" t="str">
        <f t="shared" si="27"/>
        <v>TW</v>
      </c>
      <c r="P137" s="150">
        <f t="shared" si="28"/>
        <v>136</v>
      </c>
      <c r="Q137" s="150" t="e">
        <f t="shared" si="29"/>
        <v>#N/A</v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str">
        <f t="shared" si="25"/>
        <v>TW</v>
      </c>
      <c r="N138" s="150">
        <f t="shared" si="26"/>
        <v>137</v>
      </c>
      <c r="O138" s="150" t="str">
        <f t="shared" si="27"/>
        <v>TW</v>
      </c>
      <c r="P138" s="150">
        <f t="shared" si="28"/>
        <v>137</v>
      </c>
      <c r="Q138" s="150" t="e">
        <f t="shared" si="29"/>
        <v>#N/A</v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str">
        <f t="shared" si="25"/>
        <v>TW</v>
      </c>
      <c r="N139" s="150">
        <f t="shared" si="26"/>
        <v>138</v>
      </c>
      <c r="O139" s="150" t="str">
        <f t="shared" si="27"/>
        <v>TW</v>
      </c>
      <c r="P139" s="150">
        <f t="shared" si="28"/>
        <v>138</v>
      </c>
      <c r="Q139" s="150" t="e">
        <f t="shared" si="29"/>
        <v>#N/A</v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str">
        <f t="shared" si="25"/>
        <v>TW</v>
      </c>
      <c r="N140" s="150">
        <f t="shared" si="26"/>
        <v>139</v>
      </c>
      <c r="O140" s="150" t="str">
        <f t="shared" si="27"/>
        <v>TW</v>
      </c>
      <c r="P140" s="150">
        <f t="shared" si="28"/>
        <v>139</v>
      </c>
      <c r="Q140" s="150" t="e">
        <f t="shared" si="29"/>
        <v>#N/A</v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str">
        <f t="shared" si="25"/>
        <v>TW</v>
      </c>
      <c r="N141" s="150">
        <f t="shared" si="26"/>
        <v>140</v>
      </c>
      <c r="O141" s="150" t="str">
        <f t="shared" si="27"/>
        <v>TW</v>
      </c>
      <c r="P141" s="150">
        <f t="shared" si="28"/>
        <v>140</v>
      </c>
      <c r="Q141" s="150" t="e">
        <f t="shared" si="29"/>
        <v>#N/A</v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str">
        <f t="shared" si="25"/>
        <v>TW</v>
      </c>
      <c r="N142" s="150">
        <f t="shared" si="26"/>
        <v>141</v>
      </c>
      <c r="O142" s="150" t="str">
        <f t="shared" si="27"/>
        <v>TW</v>
      </c>
      <c r="P142" s="150">
        <f t="shared" si="28"/>
        <v>141</v>
      </c>
      <c r="Q142" s="150" t="e">
        <f t="shared" si="29"/>
        <v>#N/A</v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str">
        <f t="shared" si="25"/>
        <v>TW</v>
      </c>
      <c r="N143" s="150">
        <f t="shared" si="26"/>
        <v>142</v>
      </c>
      <c r="O143" s="150" t="str">
        <f t="shared" si="27"/>
        <v>TW</v>
      </c>
      <c r="P143" s="150">
        <f t="shared" si="28"/>
        <v>142</v>
      </c>
      <c r="Q143" s="150" t="e">
        <f t="shared" si="29"/>
        <v>#N/A</v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str">
        <f t="shared" si="25"/>
        <v>TW</v>
      </c>
      <c r="N144" s="150">
        <f t="shared" si="26"/>
        <v>143</v>
      </c>
      <c r="O144" s="150" t="str">
        <f t="shared" si="27"/>
        <v>TW</v>
      </c>
      <c r="P144" s="150">
        <f t="shared" si="28"/>
        <v>143</v>
      </c>
      <c r="Q144" s="150" t="e">
        <f t="shared" si="29"/>
        <v>#N/A</v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str">
        <f t="shared" si="25"/>
        <v>TW</v>
      </c>
      <c r="N145" s="150">
        <f t="shared" si="26"/>
        <v>144</v>
      </c>
      <c r="O145" s="150" t="str">
        <f t="shared" si="27"/>
        <v>TW</v>
      </c>
      <c r="P145" s="150">
        <f t="shared" si="28"/>
        <v>144</v>
      </c>
      <c r="Q145" s="150" t="e">
        <f t="shared" si="29"/>
        <v>#N/A</v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str">
        <f t="shared" si="25"/>
        <v>TW</v>
      </c>
      <c r="N146" s="150">
        <f t="shared" si="26"/>
        <v>145</v>
      </c>
      <c r="O146" s="150" t="str">
        <f t="shared" si="27"/>
        <v>TW</v>
      </c>
      <c r="P146" s="150">
        <f t="shared" si="28"/>
        <v>145</v>
      </c>
      <c r="Q146" s="150" t="e">
        <f t="shared" si="29"/>
        <v>#N/A</v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str">
        <f t="shared" si="25"/>
        <v>TW</v>
      </c>
      <c r="N147" s="150">
        <f t="shared" si="26"/>
        <v>146</v>
      </c>
      <c r="O147" s="150" t="str">
        <f t="shared" si="27"/>
        <v>TW</v>
      </c>
      <c r="P147" s="150">
        <f t="shared" si="28"/>
        <v>146</v>
      </c>
      <c r="Q147" s="150" t="e">
        <f t="shared" si="29"/>
        <v>#N/A</v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str">
        <f t="shared" si="25"/>
        <v>TW</v>
      </c>
      <c r="N148" s="150">
        <f t="shared" si="26"/>
        <v>147</v>
      </c>
      <c r="O148" s="150" t="str">
        <f t="shared" si="27"/>
        <v>TW</v>
      </c>
      <c r="P148" s="150">
        <f t="shared" si="28"/>
        <v>147</v>
      </c>
      <c r="Q148" s="150" t="e">
        <f t="shared" si="29"/>
        <v>#N/A</v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str">
        <f t="shared" si="25"/>
        <v>TW</v>
      </c>
      <c r="N149" s="150">
        <f t="shared" si="26"/>
        <v>148</v>
      </c>
      <c r="O149" s="150" t="str">
        <f t="shared" si="27"/>
        <v>TW</v>
      </c>
      <c r="P149" s="150">
        <f t="shared" si="28"/>
        <v>148</v>
      </c>
      <c r="Q149" s="150" t="e">
        <f t="shared" si="29"/>
        <v>#N/A</v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str">
        <f t="shared" si="25"/>
        <v>TW</v>
      </c>
      <c r="N150" s="150">
        <f t="shared" si="26"/>
        <v>149</v>
      </c>
      <c r="O150" s="150" t="str">
        <f t="shared" si="27"/>
        <v>TW</v>
      </c>
      <c r="P150" s="150">
        <f t="shared" si="28"/>
        <v>149</v>
      </c>
      <c r="Q150" s="150" t="e">
        <f t="shared" si="29"/>
        <v>#N/A</v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str">
        <f t="shared" si="25"/>
        <v>TW</v>
      </c>
      <c r="N151" s="150">
        <f t="shared" si="26"/>
        <v>150</v>
      </c>
      <c r="O151" s="150" t="str">
        <f t="shared" si="27"/>
        <v>TW</v>
      </c>
      <c r="P151" s="150">
        <f t="shared" si="28"/>
        <v>150</v>
      </c>
      <c r="Q151" s="150" t="e">
        <f t="shared" si="29"/>
        <v>#N/A</v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str">
        <f t="shared" si="25"/>
        <v>TW</v>
      </c>
      <c r="N152" s="150">
        <f t="shared" si="26"/>
        <v>151</v>
      </c>
      <c r="O152" s="150" t="str">
        <f t="shared" si="27"/>
        <v>TW</v>
      </c>
      <c r="P152" s="150">
        <f t="shared" si="28"/>
        <v>151</v>
      </c>
      <c r="Q152" s="150" t="e">
        <f t="shared" si="29"/>
        <v>#N/A</v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str">
        <f t="shared" si="25"/>
        <v>TW</v>
      </c>
      <c r="N153" s="150">
        <f t="shared" si="26"/>
        <v>152</v>
      </c>
      <c r="O153" s="150" t="str">
        <f t="shared" si="27"/>
        <v>TW</v>
      </c>
      <c r="P153" s="150">
        <f t="shared" si="28"/>
        <v>152</v>
      </c>
      <c r="Q153" s="150" t="e">
        <f t="shared" si="29"/>
        <v>#N/A</v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str">
        <f t="shared" si="25"/>
        <v>TW</v>
      </c>
      <c r="N154" s="150">
        <f t="shared" si="26"/>
        <v>153</v>
      </c>
      <c r="O154" s="150" t="str">
        <f t="shared" si="27"/>
        <v>TW</v>
      </c>
      <c r="P154" s="150">
        <f t="shared" si="28"/>
        <v>153</v>
      </c>
      <c r="Q154" s="150" t="e">
        <f t="shared" si="29"/>
        <v>#N/A</v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str">
        <f t="shared" si="25"/>
        <v>TW</v>
      </c>
      <c r="N155" s="150">
        <f t="shared" si="26"/>
        <v>154</v>
      </c>
      <c r="O155" s="150" t="str">
        <f t="shared" si="27"/>
        <v>TW</v>
      </c>
      <c r="P155" s="150">
        <f t="shared" si="28"/>
        <v>154</v>
      </c>
      <c r="Q155" s="150" t="e">
        <f t="shared" si="29"/>
        <v>#N/A</v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str">
        <f t="shared" si="25"/>
        <v>TW</v>
      </c>
      <c r="N156" s="150">
        <f t="shared" si="26"/>
        <v>155</v>
      </c>
      <c r="O156" s="150" t="str">
        <f t="shared" si="27"/>
        <v>TW</v>
      </c>
      <c r="P156" s="150">
        <f t="shared" si="28"/>
        <v>155</v>
      </c>
      <c r="Q156" s="150" t="e">
        <f t="shared" si="29"/>
        <v>#N/A</v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str">
        <f t="shared" si="25"/>
        <v>TW</v>
      </c>
      <c r="N157" s="150">
        <f t="shared" si="26"/>
        <v>156</v>
      </c>
      <c r="O157" s="150" t="str">
        <f t="shared" si="27"/>
        <v>TW</v>
      </c>
      <c r="P157" s="150">
        <f t="shared" si="28"/>
        <v>156</v>
      </c>
      <c r="Q157" s="150" t="e">
        <f t="shared" si="29"/>
        <v>#N/A</v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str">
        <f t="shared" si="25"/>
        <v>TW</v>
      </c>
      <c r="N158" s="150">
        <f t="shared" si="26"/>
        <v>157</v>
      </c>
      <c r="O158" s="150" t="str">
        <f t="shared" si="27"/>
        <v>TW</v>
      </c>
      <c r="P158" s="150">
        <f t="shared" si="28"/>
        <v>157</v>
      </c>
      <c r="Q158" s="150" t="e">
        <f t="shared" si="29"/>
        <v>#N/A</v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str">
        <f t="shared" si="25"/>
        <v>TW</v>
      </c>
      <c r="N159" s="150">
        <f t="shared" si="26"/>
        <v>158</v>
      </c>
      <c r="O159" s="150" t="str">
        <f t="shared" si="27"/>
        <v>TW</v>
      </c>
      <c r="P159" s="150">
        <f t="shared" si="28"/>
        <v>158</v>
      </c>
      <c r="Q159" s="150" t="e">
        <f t="shared" si="29"/>
        <v>#N/A</v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str">
        <f t="shared" si="25"/>
        <v>TW</v>
      </c>
      <c r="N160" s="150">
        <f t="shared" si="26"/>
        <v>159</v>
      </c>
      <c r="O160" s="150" t="str">
        <f t="shared" si="27"/>
        <v>TW</v>
      </c>
      <c r="P160" s="150">
        <f t="shared" si="28"/>
        <v>159</v>
      </c>
      <c r="Q160" s="150" t="e">
        <f t="shared" si="29"/>
        <v>#N/A</v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str">
        <f t="shared" si="25"/>
        <v>TW</v>
      </c>
      <c r="N161" s="150">
        <f t="shared" si="26"/>
        <v>160</v>
      </c>
      <c r="O161" s="150" t="str">
        <f t="shared" si="27"/>
        <v>TW</v>
      </c>
      <c r="P161" s="150">
        <f t="shared" si="28"/>
        <v>160</v>
      </c>
      <c r="Q161" s="150" t="e">
        <f t="shared" si="29"/>
        <v>#N/A</v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str">
        <f t="shared" si="25"/>
        <v>TW</v>
      </c>
      <c r="N162" s="150">
        <f t="shared" si="26"/>
        <v>161</v>
      </c>
      <c r="O162" s="150" t="str">
        <f t="shared" si="27"/>
        <v>TW</v>
      </c>
      <c r="P162" s="150">
        <f t="shared" si="28"/>
        <v>161</v>
      </c>
      <c r="Q162" s="150" t="e">
        <f t="shared" si="29"/>
        <v>#N/A</v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str">
        <f t="shared" si="25"/>
        <v>TW</v>
      </c>
      <c r="N163" s="150">
        <f t="shared" si="26"/>
        <v>162</v>
      </c>
      <c r="O163" s="150" t="str">
        <f t="shared" si="27"/>
        <v>TW</v>
      </c>
      <c r="P163" s="150">
        <f t="shared" si="28"/>
        <v>162</v>
      </c>
      <c r="Q163" s="150" t="e">
        <f t="shared" si="29"/>
        <v>#N/A</v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str">
        <f t="shared" si="25"/>
        <v>TW</v>
      </c>
      <c r="N164" s="150">
        <f t="shared" si="26"/>
        <v>163</v>
      </c>
      <c r="O164" s="150" t="str">
        <f t="shared" si="27"/>
        <v>TW</v>
      </c>
      <c r="P164" s="150">
        <f t="shared" si="28"/>
        <v>163</v>
      </c>
      <c r="Q164" s="150" t="e">
        <f t="shared" si="29"/>
        <v>#N/A</v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str">
        <f t="shared" si="25"/>
        <v>TW</v>
      </c>
      <c r="N165" s="150">
        <f t="shared" si="26"/>
        <v>164</v>
      </c>
      <c r="O165" s="150" t="str">
        <f t="shared" si="27"/>
        <v>TW</v>
      </c>
      <c r="P165" s="150">
        <f t="shared" si="28"/>
        <v>164</v>
      </c>
      <c r="Q165" s="150" t="e">
        <f t="shared" si="29"/>
        <v>#N/A</v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str">
        <f t="shared" si="25"/>
        <v>TW</v>
      </c>
      <c r="N166" s="150">
        <f t="shared" si="26"/>
        <v>165</v>
      </c>
      <c r="O166" s="150" t="str">
        <f t="shared" si="27"/>
        <v>TW</v>
      </c>
      <c r="P166" s="150">
        <f t="shared" si="28"/>
        <v>165</v>
      </c>
      <c r="Q166" s="150" t="e">
        <f t="shared" si="29"/>
        <v>#N/A</v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str">
        <f t="shared" si="25"/>
        <v>TW</v>
      </c>
      <c r="N167" s="150">
        <f t="shared" si="26"/>
        <v>166</v>
      </c>
      <c r="O167" s="150" t="str">
        <f t="shared" si="27"/>
        <v>TW</v>
      </c>
      <c r="P167" s="150">
        <f t="shared" si="28"/>
        <v>166</v>
      </c>
      <c r="Q167" s="150" t="e">
        <f t="shared" si="29"/>
        <v>#N/A</v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str">
        <f t="shared" si="25"/>
        <v>TW</v>
      </c>
      <c r="N168" s="150">
        <f t="shared" si="26"/>
        <v>167</v>
      </c>
      <c r="O168" s="150" t="str">
        <f t="shared" si="27"/>
        <v>TW</v>
      </c>
      <c r="P168" s="150">
        <f t="shared" si="28"/>
        <v>167</v>
      </c>
      <c r="Q168" s="150" t="e">
        <f t="shared" si="29"/>
        <v>#N/A</v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str">
        <f t="shared" si="25"/>
        <v>TW</v>
      </c>
      <c r="N169" s="150">
        <f t="shared" si="26"/>
        <v>168</v>
      </c>
      <c r="O169" s="150" t="str">
        <f t="shared" si="27"/>
        <v>TW</v>
      </c>
      <c r="P169" s="150">
        <f t="shared" si="28"/>
        <v>168</v>
      </c>
      <c r="Q169" s="150" t="e">
        <f t="shared" si="29"/>
        <v>#N/A</v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str">
        <f t="shared" si="25"/>
        <v>TW</v>
      </c>
      <c r="N170" s="150">
        <f t="shared" si="26"/>
        <v>169</v>
      </c>
      <c r="O170" s="150" t="str">
        <f t="shared" si="27"/>
        <v>TW</v>
      </c>
      <c r="P170" s="150">
        <f t="shared" si="28"/>
        <v>169</v>
      </c>
      <c r="Q170" s="150" t="e">
        <f t="shared" si="29"/>
        <v>#N/A</v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str">
        <f t="shared" si="25"/>
        <v>TW</v>
      </c>
      <c r="N171" s="150">
        <f t="shared" si="26"/>
        <v>170</v>
      </c>
      <c r="O171" s="150" t="str">
        <f t="shared" si="27"/>
        <v>TW</v>
      </c>
      <c r="P171" s="150">
        <f t="shared" si="28"/>
        <v>170</v>
      </c>
      <c r="Q171" s="150" t="e">
        <f t="shared" si="29"/>
        <v>#N/A</v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str">
        <f t="shared" si="25"/>
        <v>TW</v>
      </c>
      <c r="N172" s="150">
        <f t="shared" si="26"/>
        <v>171</v>
      </c>
      <c r="O172" s="150" t="str">
        <f t="shared" si="27"/>
        <v>TW</v>
      </c>
      <c r="P172" s="150">
        <f t="shared" si="28"/>
        <v>171</v>
      </c>
      <c r="Q172" s="150" t="e">
        <f t="shared" si="29"/>
        <v>#N/A</v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str">
        <f t="shared" si="25"/>
        <v>TW</v>
      </c>
      <c r="N173" s="150">
        <f t="shared" si="26"/>
        <v>172</v>
      </c>
      <c r="O173" s="150" t="str">
        <f t="shared" si="27"/>
        <v>TW</v>
      </c>
      <c r="P173" s="150">
        <f t="shared" si="28"/>
        <v>172</v>
      </c>
      <c r="Q173" s="150" t="e">
        <f t="shared" si="29"/>
        <v>#N/A</v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str">
        <f t="shared" si="25"/>
        <v>TW</v>
      </c>
      <c r="N174" s="150">
        <f t="shared" si="26"/>
        <v>173</v>
      </c>
      <c r="O174" s="150" t="str">
        <f t="shared" si="27"/>
        <v>TW</v>
      </c>
      <c r="P174" s="150">
        <f t="shared" si="28"/>
        <v>173</v>
      </c>
      <c r="Q174" s="150" t="e">
        <f t="shared" si="29"/>
        <v>#N/A</v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str">
        <f t="shared" si="25"/>
        <v>TW</v>
      </c>
      <c r="N175" s="150">
        <f t="shared" si="26"/>
        <v>174</v>
      </c>
      <c r="O175" s="150" t="str">
        <f t="shared" si="27"/>
        <v>TW</v>
      </c>
      <c r="P175" s="150">
        <f t="shared" si="28"/>
        <v>174</v>
      </c>
      <c r="Q175" s="150" t="e">
        <f t="shared" si="29"/>
        <v>#N/A</v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str">
        <f t="shared" si="25"/>
        <v>TW</v>
      </c>
      <c r="N176" s="150">
        <f t="shared" si="26"/>
        <v>175</v>
      </c>
      <c r="O176" s="150" t="str">
        <f t="shared" si="27"/>
        <v>TW</v>
      </c>
      <c r="P176" s="150">
        <f t="shared" si="28"/>
        <v>175</v>
      </c>
      <c r="Q176" s="150" t="e">
        <f t="shared" si="29"/>
        <v>#N/A</v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str">
        <f t="shared" si="25"/>
        <v>TW</v>
      </c>
      <c r="N177" s="150">
        <f t="shared" si="26"/>
        <v>176</v>
      </c>
      <c r="O177" s="150" t="str">
        <f t="shared" si="27"/>
        <v>TW</v>
      </c>
      <c r="P177" s="150">
        <f t="shared" si="28"/>
        <v>176</v>
      </c>
      <c r="Q177" s="150" t="e">
        <f t="shared" si="29"/>
        <v>#N/A</v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str">
        <f t="shared" si="25"/>
        <v>TW</v>
      </c>
      <c r="N178" s="150">
        <f t="shared" si="26"/>
        <v>177</v>
      </c>
      <c r="O178" s="150" t="str">
        <f t="shared" si="27"/>
        <v>TW</v>
      </c>
      <c r="P178" s="150">
        <f t="shared" si="28"/>
        <v>177</v>
      </c>
      <c r="Q178" s="150" t="e">
        <f t="shared" si="29"/>
        <v>#N/A</v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str">
        <f t="shared" si="25"/>
        <v>TW</v>
      </c>
      <c r="N179" s="150">
        <f t="shared" si="26"/>
        <v>178</v>
      </c>
      <c r="O179" s="150" t="str">
        <f t="shared" si="27"/>
        <v>TW</v>
      </c>
      <c r="P179" s="150">
        <f t="shared" si="28"/>
        <v>178</v>
      </c>
      <c r="Q179" s="150" t="e">
        <f t="shared" si="29"/>
        <v>#N/A</v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str">
        <f t="shared" si="25"/>
        <v>TW</v>
      </c>
      <c r="N180" s="150">
        <f t="shared" si="26"/>
        <v>179</v>
      </c>
      <c r="O180" s="150" t="str">
        <f t="shared" si="27"/>
        <v>TW</v>
      </c>
      <c r="P180" s="150">
        <f t="shared" si="28"/>
        <v>179</v>
      </c>
      <c r="Q180" s="150" t="e">
        <f t="shared" si="29"/>
        <v>#N/A</v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str">
        <f t="shared" si="25"/>
        <v>TW</v>
      </c>
      <c r="N181" s="150">
        <f t="shared" si="26"/>
        <v>180</v>
      </c>
      <c r="O181" s="150" t="str">
        <f t="shared" si="27"/>
        <v>TW</v>
      </c>
      <c r="P181" s="150">
        <f t="shared" si="28"/>
        <v>180</v>
      </c>
      <c r="Q181" s="150" t="e">
        <f t="shared" si="29"/>
        <v>#N/A</v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str">
        <f t="shared" si="25"/>
        <v>TW</v>
      </c>
      <c r="N182" s="150">
        <f t="shared" si="26"/>
        <v>181</v>
      </c>
      <c r="O182" s="150" t="str">
        <f t="shared" si="27"/>
        <v>TW</v>
      </c>
      <c r="P182" s="150">
        <f t="shared" si="28"/>
        <v>181</v>
      </c>
      <c r="Q182" s="150" t="e">
        <f t="shared" si="29"/>
        <v>#N/A</v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str">
        <f t="shared" si="25"/>
        <v>TW</v>
      </c>
      <c r="N183" s="150">
        <f t="shared" si="26"/>
        <v>182</v>
      </c>
      <c r="O183" s="150" t="str">
        <f t="shared" si="27"/>
        <v>TW</v>
      </c>
      <c r="P183" s="150">
        <f t="shared" si="28"/>
        <v>182</v>
      </c>
      <c r="Q183" s="150" t="e">
        <f t="shared" si="29"/>
        <v>#N/A</v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str">
        <f t="shared" si="25"/>
        <v>TW</v>
      </c>
      <c r="N184" s="150">
        <f t="shared" si="26"/>
        <v>183</v>
      </c>
      <c r="O184" s="150" t="str">
        <f t="shared" si="27"/>
        <v>TW</v>
      </c>
      <c r="P184" s="150">
        <f t="shared" si="28"/>
        <v>183</v>
      </c>
      <c r="Q184" s="150" t="e">
        <f t="shared" si="29"/>
        <v>#N/A</v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str">
        <f t="shared" si="25"/>
        <v>TW</v>
      </c>
      <c r="N185" s="150">
        <f t="shared" si="26"/>
        <v>184</v>
      </c>
      <c r="O185" s="150" t="str">
        <f t="shared" si="27"/>
        <v>TW</v>
      </c>
      <c r="P185" s="150">
        <f t="shared" si="28"/>
        <v>184</v>
      </c>
      <c r="Q185" s="150" t="e">
        <f t="shared" si="29"/>
        <v>#N/A</v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str">
        <f t="shared" si="25"/>
        <v>TW</v>
      </c>
      <c r="N186" s="150">
        <f t="shared" si="26"/>
        <v>185</v>
      </c>
      <c r="O186" s="150" t="str">
        <f t="shared" si="27"/>
        <v>TW</v>
      </c>
      <c r="P186" s="150">
        <f t="shared" si="28"/>
        <v>185</v>
      </c>
      <c r="Q186" s="150" t="e">
        <f t="shared" si="29"/>
        <v>#N/A</v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str">
        <f t="shared" si="25"/>
        <v>TW</v>
      </c>
      <c r="N187" s="150">
        <f t="shared" si="26"/>
        <v>186</v>
      </c>
      <c r="O187" s="150" t="str">
        <f t="shared" si="27"/>
        <v>TW</v>
      </c>
      <c r="P187" s="150">
        <f t="shared" si="28"/>
        <v>186</v>
      </c>
      <c r="Q187" s="150" t="e">
        <f t="shared" si="29"/>
        <v>#N/A</v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str">
        <f t="shared" si="25"/>
        <v>TW</v>
      </c>
      <c r="N188" s="150">
        <f t="shared" si="26"/>
        <v>187</v>
      </c>
      <c r="O188" s="150" t="str">
        <f t="shared" si="27"/>
        <v>TW</v>
      </c>
      <c r="P188" s="150">
        <f t="shared" si="28"/>
        <v>187</v>
      </c>
      <c r="Q188" s="150" t="e">
        <f t="shared" si="29"/>
        <v>#N/A</v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str">
        <f t="shared" si="25"/>
        <v>TW</v>
      </c>
      <c r="N189" s="150">
        <f t="shared" si="26"/>
        <v>188</v>
      </c>
      <c r="O189" s="150" t="str">
        <f t="shared" si="27"/>
        <v>TW</v>
      </c>
      <c r="P189" s="150">
        <f t="shared" si="28"/>
        <v>188</v>
      </c>
      <c r="Q189" s="150" t="e">
        <f t="shared" si="29"/>
        <v>#N/A</v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str">
        <f t="shared" si="25"/>
        <v>TW</v>
      </c>
      <c r="N190" s="150">
        <f t="shared" si="26"/>
        <v>189</v>
      </c>
      <c r="O190" s="150" t="str">
        <f t="shared" si="27"/>
        <v>TW</v>
      </c>
      <c r="P190" s="150">
        <f t="shared" si="28"/>
        <v>189</v>
      </c>
      <c r="Q190" s="150" t="e">
        <f t="shared" si="29"/>
        <v>#N/A</v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str">
        <f t="shared" si="25"/>
        <v>TW</v>
      </c>
      <c r="N191" s="150">
        <f t="shared" si="26"/>
        <v>190</v>
      </c>
      <c r="O191" s="150" t="str">
        <f t="shared" si="27"/>
        <v>TW</v>
      </c>
      <c r="P191" s="150">
        <f t="shared" si="28"/>
        <v>190</v>
      </c>
      <c r="Q191" s="150" t="e">
        <f t="shared" si="29"/>
        <v>#N/A</v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str">
        <f t="shared" si="25"/>
        <v>TW</v>
      </c>
      <c r="N192" s="150">
        <f t="shared" si="26"/>
        <v>191</v>
      </c>
      <c r="O192" s="150" t="str">
        <f t="shared" si="27"/>
        <v>TW</v>
      </c>
      <c r="P192" s="150">
        <f t="shared" si="28"/>
        <v>191</v>
      </c>
      <c r="Q192" s="150" t="e">
        <f t="shared" si="29"/>
        <v>#N/A</v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str">
        <f t="shared" si="25"/>
        <v>TW</v>
      </c>
      <c r="N193" s="150">
        <f t="shared" si="26"/>
        <v>192</v>
      </c>
      <c r="O193" s="150" t="str">
        <f t="shared" si="27"/>
        <v>TW</v>
      </c>
      <c r="P193" s="150">
        <f t="shared" si="28"/>
        <v>192</v>
      </c>
      <c r="Q193" s="150" t="e">
        <f t="shared" si="29"/>
        <v>#N/A</v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str">
        <f t="shared" si="25"/>
        <v>TW</v>
      </c>
      <c r="N194" s="150">
        <f t="shared" si="26"/>
        <v>193</v>
      </c>
      <c r="O194" s="150" t="str">
        <f t="shared" si="27"/>
        <v>TW</v>
      </c>
      <c r="P194" s="150">
        <f t="shared" si="28"/>
        <v>193</v>
      </c>
      <c r="Q194" s="150" t="e">
        <f t="shared" si="29"/>
        <v>#N/A</v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str">
        <f t="shared" ref="M195:M258" si="37">IF(L195="","",IF(L195&lt;=$E$15,VLOOKUP($E$14,$I$1:$J$4,2,FALSE),VLOOKUP($F$14,$I$1:$J$4,2,FALSE)))</f>
        <v>TW</v>
      </c>
      <c r="N195" s="150">
        <f t="shared" ref="N195:N258" si="38">IF($B$20&gt;=K195,K195,"")</f>
        <v>194</v>
      </c>
      <c r="O195" s="150" t="str">
        <f t="shared" ref="O195:O258" si="39">IF(N195="","",IF(N195&lt;=$E$22,VLOOKUP($E$21,$I$1:$J$4,2,FALSE),VLOOKUP($F$21,$I$1:$J$4,2,FALSE)))</f>
        <v>TW</v>
      </c>
      <c r="P195" s="150">
        <f t="shared" ref="P195:P258" si="40">IF($B$27&gt;=K195,K195,"")</f>
        <v>194</v>
      </c>
      <c r="Q195" s="150" t="e">
        <f t="shared" ref="Q195:Q258" si="41">IF(P195="","",IF(P195&lt;=$E$29,VLOOKUP($E$28,$I$1:$J$4,2,FALSE),VLOOKUP($F$28,$I$1:$J$4,2,FALSE)))</f>
        <v>#N/A</v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str">
        <f t="shared" si="37"/>
        <v>TW</v>
      </c>
      <c r="N196" s="150">
        <f t="shared" si="38"/>
        <v>195</v>
      </c>
      <c r="O196" s="150" t="str">
        <f t="shared" si="39"/>
        <v>TW</v>
      </c>
      <c r="P196" s="150">
        <f t="shared" si="40"/>
        <v>195</v>
      </c>
      <c r="Q196" s="150" t="e">
        <f t="shared" si="41"/>
        <v>#N/A</v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str">
        <f t="shared" si="37"/>
        <v>TW</v>
      </c>
      <c r="N197" s="150">
        <f t="shared" si="38"/>
        <v>196</v>
      </c>
      <c r="O197" s="150" t="str">
        <f t="shared" si="39"/>
        <v>TW</v>
      </c>
      <c r="P197" s="150">
        <f t="shared" si="40"/>
        <v>196</v>
      </c>
      <c r="Q197" s="150" t="e">
        <f t="shared" si="41"/>
        <v>#N/A</v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str">
        <f t="shared" si="37"/>
        <v>TW</v>
      </c>
      <c r="N198" s="150">
        <f t="shared" si="38"/>
        <v>197</v>
      </c>
      <c r="O198" s="150" t="str">
        <f t="shared" si="39"/>
        <v>TW</v>
      </c>
      <c r="P198" s="150">
        <f t="shared" si="40"/>
        <v>197</v>
      </c>
      <c r="Q198" s="150" t="e">
        <f t="shared" si="41"/>
        <v>#N/A</v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str">
        <f t="shared" si="37"/>
        <v>TW</v>
      </c>
      <c r="N199" s="150">
        <f t="shared" si="38"/>
        <v>198</v>
      </c>
      <c r="O199" s="150" t="str">
        <f t="shared" si="39"/>
        <v>TW</v>
      </c>
      <c r="P199" s="150">
        <f t="shared" si="40"/>
        <v>198</v>
      </c>
      <c r="Q199" s="150" t="e">
        <f t="shared" si="41"/>
        <v>#N/A</v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str">
        <f t="shared" si="37"/>
        <v>TW</v>
      </c>
      <c r="N200" s="150">
        <f t="shared" si="38"/>
        <v>199</v>
      </c>
      <c r="O200" s="150" t="str">
        <f t="shared" si="39"/>
        <v>TW</v>
      </c>
      <c r="P200" s="150">
        <f t="shared" si="40"/>
        <v>199</v>
      </c>
      <c r="Q200" s="150" t="e">
        <f t="shared" si="41"/>
        <v>#N/A</v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str">
        <f t="shared" si="37"/>
        <v>TW</v>
      </c>
      <c r="N201" s="150">
        <f t="shared" si="38"/>
        <v>200</v>
      </c>
      <c r="O201" s="150" t="str">
        <f t="shared" si="39"/>
        <v>TW</v>
      </c>
      <c r="P201" s="150">
        <f t="shared" si="40"/>
        <v>200</v>
      </c>
      <c r="Q201" s="150" t="e">
        <f t="shared" si="41"/>
        <v>#N/A</v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str">
        <f t="shared" si="37"/>
        <v>TW</v>
      </c>
      <c r="N202" s="150">
        <f t="shared" si="38"/>
        <v>201</v>
      </c>
      <c r="O202" s="150" t="str">
        <f t="shared" si="39"/>
        <v>TW</v>
      </c>
      <c r="P202" s="150">
        <f t="shared" si="40"/>
        <v>201</v>
      </c>
      <c r="Q202" s="150" t="e">
        <f t="shared" si="41"/>
        <v>#N/A</v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str">
        <f t="shared" si="37"/>
        <v>TW</v>
      </c>
      <c r="N203" s="150">
        <f t="shared" si="38"/>
        <v>202</v>
      </c>
      <c r="O203" s="150" t="str">
        <f t="shared" si="39"/>
        <v>TW</v>
      </c>
      <c r="P203" s="150">
        <f t="shared" si="40"/>
        <v>202</v>
      </c>
      <c r="Q203" s="150" t="e">
        <f t="shared" si="41"/>
        <v>#N/A</v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str">
        <f t="shared" si="37"/>
        <v>TW</v>
      </c>
      <c r="N204" s="150">
        <f t="shared" si="38"/>
        <v>203</v>
      </c>
      <c r="O204" s="150" t="str">
        <f t="shared" si="39"/>
        <v>TW</v>
      </c>
      <c r="P204" s="150">
        <f t="shared" si="40"/>
        <v>203</v>
      </c>
      <c r="Q204" s="150" t="e">
        <f t="shared" si="41"/>
        <v>#N/A</v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str">
        <f t="shared" si="37"/>
        <v>TW</v>
      </c>
      <c r="N205" s="150">
        <f t="shared" si="38"/>
        <v>204</v>
      </c>
      <c r="O205" s="150" t="str">
        <f t="shared" si="39"/>
        <v>TW</v>
      </c>
      <c r="P205" s="150">
        <f t="shared" si="40"/>
        <v>204</v>
      </c>
      <c r="Q205" s="150" t="e">
        <f t="shared" si="41"/>
        <v>#N/A</v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str">
        <f t="shared" si="37"/>
        <v>TW</v>
      </c>
      <c r="N206" s="150">
        <f t="shared" si="38"/>
        <v>205</v>
      </c>
      <c r="O206" s="150" t="str">
        <f t="shared" si="39"/>
        <v>TW</v>
      </c>
      <c r="P206" s="150">
        <f t="shared" si="40"/>
        <v>205</v>
      </c>
      <c r="Q206" s="150" t="e">
        <f t="shared" si="41"/>
        <v>#N/A</v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str">
        <f t="shared" si="37"/>
        <v>TW</v>
      </c>
      <c r="N207" s="150">
        <f t="shared" si="38"/>
        <v>206</v>
      </c>
      <c r="O207" s="150" t="str">
        <f t="shared" si="39"/>
        <v>TW</v>
      </c>
      <c r="P207" s="150">
        <f t="shared" si="40"/>
        <v>206</v>
      </c>
      <c r="Q207" s="150" t="e">
        <f t="shared" si="41"/>
        <v>#N/A</v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str">
        <f t="shared" si="37"/>
        <v>TW</v>
      </c>
      <c r="N208" s="150">
        <f t="shared" si="38"/>
        <v>207</v>
      </c>
      <c r="O208" s="150" t="str">
        <f t="shared" si="39"/>
        <v>TW</v>
      </c>
      <c r="P208" s="150">
        <f t="shared" si="40"/>
        <v>207</v>
      </c>
      <c r="Q208" s="150" t="e">
        <f t="shared" si="41"/>
        <v>#N/A</v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str">
        <f t="shared" si="37"/>
        <v>TW</v>
      </c>
      <c r="N209" s="150">
        <f t="shared" si="38"/>
        <v>208</v>
      </c>
      <c r="O209" s="150" t="str">
        <f t="shared" si="39"/>
        <v>TW</v>
      </c>
      <c r="P209" s="150">
        <f t="shared" si="40"/>
        <v>208</v>
      </c>
      <c r="Q209" s="150" t="e">
        <f t="shared" si="41"/>
        <v>#N/A</v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str">
        <f t="shared" si="37"/>
        <v>TW</v>
      </c>
      <c r="N210" s="150">
        <f t="shared" si="38"/>
        <v>209</v>
      </c>
      <c r="O210" s="150" t="str">
        <f t="shared" si="39"/>
        <v>TW</v>
      </c>
      <c r="P210" s="150">
        <f t="shared" si="40"/>
        <v>209</v>
      </c>
      <c r="Q210" s="150" t="e">
        <f t="shared" si="41"/>
        <v>#N/A</v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str">
        <f t="shared" si="37"/>
        <v>TW</v>
      </c>
      <c r="N211" s="150">
        <f t="shared" si="38"/>
        <v>210</v>
      </c>
      <c r="O211" s="150" t="str">
        <f t="shared" si="39"/>
        <v>TW</v>
      </c>
      <c r="P211" s="150">
        <f t="shared" si="40"/>
        <v>210</v>
      </c>
      <c r="Q211" s="150" t="e">
        <f t="shared" si="41"/>
        <v>#N/A</v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str">
        <f t="shared" si="37"/>
        <v>TW</v>
      </c>
      <c r="N212" s="150">
        <f t="shared" si="38"/>
        <v>211</v>
      </c>
      <c r="O212" s="150" t="str">
        <f t="shared" si="39"/>
        <v>TW</v>
      </c>
      <c r="P212" s="150">
        <f t="shared" si="40"/>
        <v>211</v>
      </c>
      <c r="Q212" s="150" t="e">
        <f t="shared" si="41"/>
        <v>#N/A</v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str">
        <f t="shared" si="37"/>
        <v>TW</v>
      </c>
      <c r="N213" s="150">
        <f t="shared" si="38"/>
        <v>212</v>
      </c>
      <c r="O213" s="150" t="str">
        <f t="shared" si="39"/>
        <v>TW</v>
      </c>
      <c r="P213" s="150">
        <f t="shared" si="40"/>
        <v>212</v>
      </c>
      <c r="Q213" s="150" t="e">
        <f t="shared" si="41"/>
        <v>#N/A</v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str">
        <f t="shared" si="37"/>
        <v>TW</v>
      </c>
      <c r="N214" s="150">
        <f t="shared" si="38"/>
        <v>213</v>
      </c>
      <c r="O214" s="150" t="str">
        <f t="shared" si="39"/>
        <v>TW</v>
      </c>
      <c r="P214" s="150">
        <f t="shared" si="40"/>
        <v>213</v>
      </c>
      <c r="Q214" s="150" t="e">
        <f t="shared" si="41"/>
        <v>#N/A</v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str">
        <f t="shared" si="37"/>
        <v>TW</v>
      </c>
      <c r="N215" s="150">
        <f t="shared" si="38"/>
        <v>214</v>
      </c>
      <c r="O215" s="150" t="str">
        <f t="shared" si="39"/>
        <v>TW</v>
      </c>
      <c r="P215" s="150">
        <f t="shared" si="40"/>
        <v>214</v>
      </c>
      <c r="Q215" s="150" t="e">
        <f t="shared" si="41"/>
        <v>#N/A</v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str">
        <f t="shared" si="37"/>
        <v>TW</v>
      </c>
      <c r="N216" s="150">
        <f t="shared" si="38"/>
        <v>215</v>
      </c>
      <c r="O216" s="150" t="str">
        <f t="shared" si="39"/>
        <v>TW</v>
      </c>
      <c r="P216" s="150">
        <f t="shared" si="40"/>
        <v>215</v>
      </c>
      <c r="Q216" s="150" t="e">
        <f t="shared" si="41"/>
        <v>#N/A</v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str">
        <f t="shared" si="37"/>
        <v>TW</v>
      </c>
      <c r="N217" s="150">
        <f t="shared" si="38"/>
        <v>216</v>
      </c>
      <c r="O217" s="150" t="str">
        <f t="shared" si="39"/>
        <v>TW</v>
      </c>
      <c r="P217" s="150">
        <f t="shared" si="40"/>
        <v>216</v>
      </c>
      <c r="Q217" s="150" t="e">
        <f t="shared" si="41"/>
        <v>#N/A</v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str">
        <f t="shared" si="37"/>
        <v>TW</v>
      </c>
      <c r="N218" s="150">
        <f t="shared" si="38"/>
        <v>217</v>
      </c>
      <c r="O218" s="150" t="str">
        <f t="shared" si="39"/>
        <v>TW</v>
      </c>
      <c r="P218" s="150">
        <f t="shared" si="40"/>
        <v>217</v>
      </c>
      <c r="Q218" s="150" t="e">
        <f t="shared" si="41"/>
        <v>#N/A</v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str">
        <f t="shared" si="37"/>
        <v>TW</v>
      </c>
      <c r="N219" s="150">
        <f t="shared" si="38"/>
        <v>218</v>
      </c>
      <c r="O219" s="150" t="str">
        <f t="shared" si="39"/>
        <v>TW</v>
      </c>
      <c r="P219" s="150">
        <f t="shared" si="40"/>
        <v>218</v>
      </c>
      <c r="Q219" s="150" t="e">
        <f t="shared" si="41"/>
        <v>#N/A</v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str">
        <f t="shared" si="37"/>
        <v>TW</v>
      </c>
      <c r="N220" s="150">
        <f t="shared" si="38"/>
        <v>219</v>
      </c>
      <c r="O220" s="150" t="str">
        <f t="shared" si="39"/>
        <v>TW</v>
      </c>
      <c r="P220" s="150">
        <f t="shared" si="40"/>
        <v>219</v>
      </c>
      <c r="Q220" s="150" t="e">
        <f t="shared" si="41"/>
        <v>#N/A</v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str">
        <f t="shared" si="37"/>
        <v>TW</v>
      </c>
      <c r="N221" s="150">
        <f t="shared" si="38"/>
        <v>220</v>
      </c>
      <c r="O221" s="150" t="str">
        <f t="shared" si="39"/>
        <v>TW</v>
      </c>
      <c r="P221" s="150">
        <f t="shared" si="40"/>
        <v>220</v>
      </c>
      <c r="Q221" s="150" t="e">
        <f t="shared" si="41"/>
        <v>#N/A</v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str">
        <f t="shared" si="37"/>
        <v>TW</v>
      </c>
      <c r="N222" s="150">
        <f t="shared" si="38"/>
        <v>221</v>
      </c>
      <c r="O222" s="150" t="str">
        <f t="shared" si="39"/>
        <v>TW</v>
      </c>
      <c r="P222" s="150">
        <f t="shared" si="40"/>
        <v>221</v>
      </c>
      <c r="Q222" s="150" t="e">
        <f t="shared" si="41"/>
        <v>#N/A</v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str">
        <f t="shared" si="37"/>
        <v>TW</v>
      </c>
      <c r="N223" s="150">
        <f t="shared" si="38"/>
        <v>222</v>
      </c>
      <c r="O223" s="150" t="str">
        <f t="shared" si="39"/>
        <v>TW</v>
      </c>
      <c r="P223" s="150">
        <f t="shared" si="40"/>
        <v>222</v>
      </c>
      <c r="Q223" s="150" t="e">
        <f t="shared" si="41"/>
        <v>#N/A</v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str">
        <f t="shared" si="37"/>
        <v>TW</v>
      </c>
      <c r="N224" s="150">
        <f t="shared" si="38"/>
        <v>223</v>
      </c>
      <c r="O224" s="150" t="str">
        <f t="shared" si="39"/>
        <v>TW</v>
      </c>
      <c r="P224" s="150">
        <f t="shared" si="40"/>
        <v>223</v>
      </c>
      <c r="Q224" s="150" t="e">
        <f t="shared" si="41"/>
        <v>#N/A</v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str">
        <f t="shared" si="37"/>
        <v>TW</v>
      </c>
      <c r="N225" s="150">
        <f t="shared" si="38"/>
        <v>224</v>
      </c>
      <c r="O225" s="150" t="str">
        <f t="shared" si="39"/>
        <v>TW</v>
      </c>
      <c r="P225" s="150">
        <f t="shared" si="40"/>
        <v>224</v>
      </c>
      <c r="Q225" s="150" t="e">
        <f t="shared" si="41"/>
        <v>#N/A</v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str">
        <f t="shared" si="37"/>
        <v>TW</v>
      </c>
      <c r="N226" s="150">
        <f t="shared" si="38"/>
        <v>225</v>
      </c>
      <c r="O226" s="150" t="str">
        <f t="shared" si="39"/>
        <v>TW</v>
      </c>
      <c r="P226" s="150">
        <f t="shared" si="40"/>
        <v>225</v>
      </c>
      <c r="Q226" s="150" t="e">
        <f t="shared" si="41"/>
        <v>#N/A</v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str">
        <f t="shared" si="37"/>
        <v>TW</v>
      </c>
      <c r="N227" s="150">
        <f t="shared" si="38"/>
        <v>226</v>
      </c>
      <c r="O227" s="150" t="str">
        <f t="shared" si="39"/>
        <v>TW</v>
      </c>
      <c r="P227" s="150">
        <f t="shared" si="40"/>
        <v>226</v>
      </c>
      <c r="Q227" s="150" t="e">
        <f t="shared" si="41"/>
        <v>#N/A</v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str">
        <f t="shared" si="37"/>
        <v>TW</v>
      </c>
      <c r="N228" s="150">
        <f t="shared" si="38"/>
        <v>227</v>
      </c>
      <c r="O228" s="150" t="str">
        <f t="shared" si="39"/>
        <v>TW</v>
      </c>
      <c r="P228" s="150">
        <f t="shared" si="40"/>
        <v>227</v>
      </c>
      <c r="Q228" s="150" t="e">
        <f t="shared" si="41"/>
        <v>#N/A</v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str">
        <f t="shared" si="37"/>
        <v>TW</v>
      </c>
      <c r="N229" s="150">
        <f t="shared" si="38"/>
        <v>228</v>
      </c>
      <c r="O229" s="150" t="str">
        <f t="shared" si="39"/>
        <v>TW</v>
      </c>
      <c r="P229" s="150">
        <f t="shared" si="40"/>
        <v>228</v>
      </c>
      <c r="Q229" s="150" t="e">
        <f t="shared" si="41"/>
        <v>#N/A</v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str">
        <f t="shared" si="37"/>
        <v>TW</v>
      </c>
      <c r="N230" s="150">
        <f t="shared" si="38"/>
        <v>229</v>
      </c>
      <c r="O230" s="150" t="str">
        <f t="shared" si="39"/>
        <v>TW</v>
      </c>
      <c r="P230" s="150">
        <f t="shared" si="40"/>
        <v>229</v>
      </c>
      <c r="Q230" s="150" t="e">
        <f t="shared" si="41"/>
        <v>#N/A</v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str">
        <f t="shared" si="37"/>
        <v>TW</v>
      </c>
      <c r="N231" s="150">
        <f t="shared" si="38"/>
        <v>230</v>
      </c>
      <c r="O231" s="150" t="str">
        <f t="shared" si="39"/>
        <v>TW</v>
      </c>
      <c r="P231" s="150">
        <f t="shared" si="40"/>
        <v>230</v>
      </c>
      <c r="Q231" s="150" t="e">
        <f t="shared" si="41"/>
        <v>#N/A</v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str">
        <f t="shared" si="37"/>
        <v>TW</v>
      </c>
      <c r="N232" s="150">
        <f t="shared" si="38"/>
        <v>231</v>
      </c>
      <c r="O232" s="150" t="str">
        <f t="shared" si="39"/>
        <v>TW</v>
      </c>
      <c r="P232" s="150">
        <f t="shared" si="40"/>
        <v>231</v>
      </c>
      <c r="Q232" s="150" t="e">
        <f t="shared" si="41"/>
        <v>#N/A</v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str">
        <f t="shared" si="37"/>
        <v>TW</v>
      </c>
      <c r="N233" s="150">
        <f t="shared" si="38"/>
        <v>232</v>
      </c>
      <c r="O233" s="150" t="str">
        <f t="shared" si="39"/>
        <v>TW</v>
      </c>
      <c r="P233" s="150">
        <f t="shared" si="40"/>
        <v>232</v>
      </c>
      <c r="Q233" s="150" t="e">
        <f t="shared" si="41"/>
        <v>#N/A</v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str">
        <f t="shared" si="37"/>
        <v>TW</v>
      </c>
      <c r="N234" s="150">
        <f t="shared" si="38"/>
        <v>233</v>
      </c>
      <c r="O234" s="150" t="str">
        <f t="shared" si="39"/>
        <v>TW</v>
      </c>
      <c r="P234" s="150">
        <f t="shared" si="40"/>
        <v>233</v>
      </c>
      <c r="Q234" s="150" t="e">
        <f t="shared" si="41"/>
        <v>#N/A</v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str">
        <f t="shared" si="37"/>
        <v>TW</v>
      </c>
      <c r="N235" s="150">
        <f t="shared" si="38"/>
        <v>234</v>
      </c>
      <c r="O235" s="150" t="str">
        <f t="shared" si="39"/>
        <v>TW</v>
      </c>
      <c r="P235" s="150">
        <f t="shared" si="40"/>
        <v>234</v>
      </c>
      <c r="Q235" s="150" t="e">
        <f t="shared" si="41"/>
        <v>#N/A</v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str">
        <f t="shared" si="37"/>
        <v>TW</v>
      </c>
      <c r="N236" s="150">
        <f t="shared" si="38"/>
        <v>235</v>
      </c>
      <c r="O236" s="150" t="str">
        <f t="shared" si="39"/>
        <v>TW</v>
      </c>
      <c r="P236" s="150">
        <f t="shared" si="40"/>
        <v>235</v>
      </c>
      <c r="Q236" s="150" t="e">
        <f t="shared" si="41"/>
        <v>#N/A</v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str">
        <f t="shared" si="37"/>
        <v>TW</v>
      </c>
      <c r="N237" s="150">
        <f t="shared" si="38"/>
        <v>236</v>
      </c>
      <c r="O237" s="150" t="str">
        <f t="shared" si="39"/>
        <v>TW</v>
      </c>
      <c r="P237" s="150">
        <f t="shared" si="40"/>
        <v>236</v>
      </c>
      <c r="Q237" s="150" t="e">
        <f t="shared" si="41"/>
        <v>#N/A</v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str">
        <f t="shared" si="37"/>
        <v>TW</v>
      </c>
      <c r="N238" s="150">
        <f t="shared" si="38"/>
        <v>237</v>
      </c>
      <c r="O238" s="150" t="str">
        <f t="shared" si="39"/>
        <v>TW</v>
      </c>
      <c r="P238" s="150">
        <f t="shared" si="40"/>
        <v>237</v>
      </c>
      <c r="Q238" s="150" t="e">
        <f t="shared" si="41"/>
        <v>#N/A</v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str">
        <f t="shared" si="37"/>
        <v>TW</v>
      </c>
      <c r="N239" s="150">
        <f t="shared" si="38"/>
        <v>238</v>
      </c>
      <c r="O239" s="150" t="str">
        <f t="shared" si="39"/>
        <v>TW</v>
      </c>
      <c r="P239" s="150">
        <f t="shared" si="40"/>
        <v>238</v>
      </c>
      <c r="Q239" s="150" t="e">
        <f t="shared" si="41"/>
        <v>#N/A</v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str">
        <f t="shared" si="37"/>
        <v>TW</v>
      </c>
      <c r="N240" s="150">
        <f t="shared" si="38"/>
        <v>239</v>
      </c>
      <c r="O240" s="150" t="str">
        <f t="shared" si="39"/>
        <v>TW</v>
      </c>
      <c r="P240" s="150">
        <f t="shared" si="40"/>
        <v>239</v>
      </c>
      <c r="Q240" s="150" t="e">
        <f t="shared" si="41"/>
        <v>#N/A</v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str">
        <f t="shared" si="37"/>
        <v>TW</v>
      </c>
      <c r="N241" s="150">
        <f t="shared" si="38"/>
        <v>240</v>
      </c>
      <c r="O241" s="150" t="str">
        <f t="shared" si="39"/>
        <v>TW</v>
      </c>
      <c r="P241" s="150">
        <f t="shared" si="40"/>
        <v>240</v>
      </c>
      <c r="Q241" s="150" t="e">
        <f t="shared" si="41"/>
        <v>#N/A</v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str">
        <f t="shared" si="37"/>
        <v>TW</v>
      </c>
      <c r="N242" s="150">
        <f t="shared" si="38"/>
        <v>241</v>
      </c>
      <c r="O242" s="150" t="str">
        <f t="shared" si="39"/>
        <v>TW</v>
      </c>
      <c r="P242" s="150">
        <f t="shared" si="40"/>
        <v>241</v>
      </c>
      <c r="Q242" s="150" t="e">
        <f t="shared" si="41"/>
        <v>#N/A</v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str">
        <f t="shared" si="37"/>
        <v>TW</v>
      </c>
      <c r="N243" s="150">
        <f t="shared" si="38"/>
        <v>242</v>
      </c>
      <c r="O243" s="150" t="str">
        <f t="shared" si="39"/>
        <v>TW</v>
      </c>
      <c r="P243" s="150">
        <f t="shared" si="40"/>
        <v>242</v>
      </c>
      <c r="Q243" s="150" t="e">
        <f t="shared" si="41"/>
        <v>#N/A</v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str">
        <f t="shared" si="37"/>
        <v>TW</v>
      </c>
      <c r="N244" s="150">
        <f t="shared" si="38"/>
        <v>243</v>
      </c>
      <c r="O244" s="150" t="str">
        <f t="shared" si="39"/>
        <v>TW</v>
      </c>
      <c r="P244" s="150">
        <f t="shared" si="40"/>
        <v>243</v>
      </c>
      <c r="Q244" s="150" t="e">
        <f t="shared" si="41"/>
        <v>#N/A</v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str">
        <f t="shared" si="37"/>
        <v>TW</v>
      </c>
      <c r="N245" s="150">
        <f t="shared" si="38"/>
        <v>244</v>
      </c>
      <c r="O245" s="150" t="str">
        <f t="shared" si="39"/>
        <v>TW</v>
      </c>
      <c r="P245" s="150">
        <f t="shared" si="40"/>
        <v>244</v>
      </c>
      <c r="Q245" s="150" t="e">
        <f t="shared" si="41"/>
        <v>#N/A</v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str">
        <f t="shared" si="37"/>
        <v>TW</v>
      </c>
      <c r="N246" s="150">
        <f t="shared" si="38"/>
        <v>245</v>
      </c>
      <c r="O246" s="150" t="str">
        <f t="shared" si="39"/>
        <v>TW</v>
      </c>
      <c r="P246" s="150">
        <f t="shared" si="40"/>
        <v>245</v>
      </c>
      <c r="Q246" s="150" t="e">
        <f t="shared" si="41"/>
        <v>#N/A</v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str">
        <f t="shared" si="37"/>
        <v>TW</v>
      </c>
      <c r="N247" s="150">
        <f t="shared" si="38"/>
        <v>246</v>
      </c>
      <c r="O247" s="150" t="str">
        <f t="shared" si="39"/>
        <v>TW</v>
      </c>
      <c r="P247" s="150">
        <f t="shared" si="40"/>
        <v>246</v>
      </c>
      <c r="Q247" s="150" t="e">
        <f t="shared" si="41"/>
        <v>#N/A</v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str">
        <f t="shared" si="37"/>
        <v>TW</v>
      </c>
      <c r="N248" s="150">
        <f t="shared" si="38"/>
        <v>247</v>
      </c>
      <c r="O248" s="150" t="str">
        <f t="shared" si="39"/>
        <v>TW</v>
      </c>
      <c r="P248" s="150">
        <f t="shared" si="40"/>
        <v>247</v>
      </c>
      <c r="Q248" s="150" t="e">
        <f t="shared" si="41"/>
        <v>#N/A</v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str">
        <f t="shared" si="37"/>
        <v>TW</v>
      </c>
      <c r="N249" s="150">
        <f t="shared" si="38"/>
        <v>248</v>
      </c>
      <c r="O249" s="150" t="str">
        <f t="shared" si="39"/>
        <v>TW</v>
      </c>
      <c r="P249" s="150">
        <f t="shared" si="40"/>
        <v>248</v>
      </c>
      <c r="Q249" s="150" t="e">
        <f t="shared" si="41"/>
        <v>#N/A</v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str">
        <f t="shared" si="37"/>
        <v>TW</v>
      </c>
      <c r="N250" s="150">
        <f t="shared" si="38"/>
        <v>249</v>
      </c>
      <c r="O250" s="150" t="str">
        <f t="shared" si="39"/>
        <v>TW</v>
      </c>
      <c r="P250" s="150">
        <f t="shared" si="40"/>
        <v>249</v>
      </c>
      <c r="Q250" s="150" t="e">
        <f t="shared" si="41"/>
        <v>#N/A</v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str">
        <f t="shared" si="37"/>
        <v>TW</v>
      </c>
      <c r="N251" s="150">
        <f t="shared" si="38"/>
        <v>250</v>
      </c>
      <c r="O251" s="150" t="str">
        <f t="shared" si="39"/>
        <v>TW</v>
      </c>
      <c r="P251" s="150">
        <f t="shared" si="40"/>
        <v>250</v>
      </c>
      <c r="Q251" s="150" t="e">
        <f t="shared" si="41"/>
        <v>#N/A</v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str">
        <f t="shared" si="37"/>
        <v>TW</v>
      </c>
      <c r="N252" s="150">
        <f t="shared" si="38"/>
        <v>251</v>
      </c>
      <c r="O252" s="150" t="str">
        <f t="shared" si="39"/>
        <v>TW</v>
      </c>
      <c r="P252" s="150">
        <f t="shared" si="40"/>
        <v>251</v>
      </c>
      <c r="Q252" s="150" t="e">
        <f t="shared" si="41"/>
        <v>#N/A</v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str">
        <f t="shared" si="37"/>
        <v>TW</v>
      </c>
      <c r="N253" s="150">
        <f t="shared" si="38"/>
        <v>252</v>
      </c>
      <c r="O253" s="150" t="str">
        <f t="shared" si="39"/>
        <v>TW</v>
      </c>
      <c r="P253" s="150">
        <f t="shared" si="40"/>
        <v>252</v>
      </c>
      <c r="Q253" s="150" t="e">
        <f t="shared" si="41"/>
        <v>#N/A</v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str">
        <f t="shared" si="37"/>
        <v>TW</v>
      </c>
      <c r="N254" s="150">
        <f t="shared" si="38"/>
        <v>253</v>
      </c>
      <c r="O254" s="150" t="str">
        <f t="shared" si="39"/>
        <v>TW</v>
      </c>
      <c r="P254" s="150">
        <f t="shared" si="40"/>
        <v>253</v>
      </c>
      <c r="Q254" s="150" t="e">
        <f t="shared" si="41"/>
        <v>#N/A</v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str">
        <f t="shared" si="37"/>
        <v>TW</v>
      </c>
      <c r="N255" s="150">
        <f t="shared" si="38"/>
        <v>254</v>
      </c>
      <c r="O255" s="150" t="str">
        <f t="shared" si="39"/>
        <v>TW</v>
      </c>
      <c r="P255" s="150">
        <f t="shared" si="40"/>
        <v>254</v>
      </c>
      <c r="Q255" s="150" t="e">
        <f t="shared" si="41"/>
        <v>#N/A</v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str">
        <f t="shared" si="37"/>
        <v>TW</v>
      </c>
      <c r="N256" s="150">
        <f t="shared" si="38"/>
        <v>255</v>
      </c>
      <c r="O256" s="150" t="str">
        <f t="shared" si="39"/>
        <v>TW</v>
      </c>
      <c r="P256" s="150">
        <f t="shared" si="40"/>
        <v>255</v>
      </c>
      <c r="Q256" s="150" t="e">
        <f t="shared" si="41"/>
        <v>#N/A</v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str">
        <f t="shared" si="37"/>
        <v>TW</v>
      </c>
      <c r="N257" s="150">
        <f t="shared" si="38"/>
        <v>256</v>
      </c>
      <c r="O257" s="150" t="str">
        <f t="shared" si="39"/>
        <v>TW</v>
      </c>
      <c r="P257" s="150">
        <f t="shared" si="40"/>
        <v>256</v>
      </c>
      <c r="Q257" s="150" t="e">
        <f t="shared" si="41"/>
        <v>#N/A</v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str">
        <f t="shared" si="37"/>
        <v>TW</v>
      </c>
      <c r="N258" s="150">
        <f t="shared" si="38"/>
        <v>257</v>
      </c>
      <c r="O258" s="150" t="str">
        <f t="shared" si="39"/>
        <v>TW</v>
      </c>
      <c r="P258" s="150">
        <f t="shared" si="40"/>
        <v>257</v>
      </c>
      <c r="Q258" s="150" t="e">
        <f t="shared" si="41"/>
        <v>#N/A</v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str">
        <f t="shared" ref="M259:M322" si="49">IF(L259="","",IF(L259&lt;=$E$15,VLOOKUP($E$14,$I$1:$J$4,2,FALSE),VLOOKUP($F$14,$I$1:$J$4,2,FALSE)))</f>
        <v>TW</v>
      </c>
      <c r="N259" s="150">
        <f t="shared" ref="N259:N322" si="50">IF($B$20&gt;=K259,K259,"")</f>
        <v>258</v>
      </c>
      <c r="O259" s="150" t="str">
        <f t="shared" ref="O259:O322" si="51">IF(N259="","",IF(N259&lt;=$E$22,VLOOKUP($E$21,$I$1:$J$4,2,FALSE),VLOOKUP($F$21,$I$1:$J$4,2,FALSE)))</f>
        <v>TW</v>
      </c>
      <c r="P259" s="150">
        <f t="shared" ref="P259:P322" si="52">IF($B$27&gt;=K259,K259,"")</f>
        <v>258</v>
      </c>
      <c r="Q259" s="150" t="e">
        <f t="shared" ref="Q259:Q322" si="53">IF(P259="","",IF(P259&lt;=$E$29,VLOOKUP($E$28,$I$1:$J$4,2,FALSE),VLOOKUP($F$28,$I$1:$J$4,2,FALSE)))</f>
        <v>#N/A</v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str">
        <f t="shared" si="49"/>
        <v>TW</v>
      </c>
      <c r="N260" s="150">
        <f t="shared" si="50"/>
        <v>259</v>
      </c>
      <c r="O260" s="150" t="str">
        <f t="shared" si="51"/>
        <v>TW</v>
      </c>
      <c r="P260" s="150">
        <f t="shared" si="52"/>
        <v>259</v>
      </c>
      <c r="Q260" s="150" t="e">
        <f t="shared" si="53"/>
        <v>#N/A</v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str">
        <f t="shared" si="49"/>
        <v>TW</v>
      </c>
      <c r="N261" s="150">
        <f t="shared" si="50"/>
        <v>260</v>
      </c>
      <c r="O261" s="150" t="str">
        <f t="shared" si="51"/>
        <v>TW</v>
      </c>
      <c r="P261" s="150">
        <f t="shared" si="52"/>
        <v>260</v>
      </c>
      <c r="Q261" s="150" t="e">
        <f t="shared" si="53"/>
        <v>#N/A</v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str">
        <f t="shared" si="49"/>
        <v>TW</v>
      </c>
      <c r="N262" s="150">
        <f t="shared" si="50"/>
        <v>261</v>
      </c>
      <c r="O262" s="150" t="str">
        <f t="shared" si="51"/>
        <v>TW</v>
      </c>
      <c r="P262" s="150">
        <f t="shared" si="52"/>
        <v>261</v>
      </c>
      <c r="Q262" s="150" t="e">
        <f t="shared" si="53"/>
        <v>#N/A</v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str">
        <f t="shared" si="49"/>
        <v>TW</v>
      </c>
      <c r="N263" s="150">
        <f t="shared" si="50"/>
        <v>262</v>
      </c>
      <c r="O263" s="150" t="str">
        <f t="shared" si="51"/>
        <v>TW</v>
      </c>
      <c r="P263" s="150">
        <f t="shared" si="52"/>
        <v>262</v>
      </c>
      <c r="Q263" s="150" t="e">
        <f t="shared" si="53"/>
        <v>#N/A</v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str">
        <f t="shared" si="49"/>
        <v>TW</v>
      </c>
      <c r="N264" s="150">
        <f t="shared" si="50"/>
        <v>263</v>
      </c>
      <c r="O264" s="150" t="str">
        <f t="shared" si="51"/>
        <v>TW</v>
      </c>
      <c r="P264" s="150">
        <f t="shared" si="52"/>
        <v>263</v>
      </c>
      <c r="Q264" s="150" t="e">
        <f t="shared" si="53"/>
        <v>#N/A</v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str">
        <f t="shared" si="49"/>
        <v>TW</v>
      </c>
      <c r="N265" s="150">
        <f t="shared" si="50"/>
        <v>264</v>
      </c>
      <c r="O265" s="150" t="str">
        <f t="shared" si="51"/>
        <v>TW</v>
      </c>
      <c r="P265" s="150">
        <f t="shared" si="52"/>
        <v>264</v>
      </c>
      <c r="Q265" s="150" t="e">
        <f t="shared" si="53"/>
        <v>#N/A</v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str">
        <f t="shared" si="49"/>
        <v>TW</v>
      </c>
      <c r="N266" s="150">
        <f t="shared" si="50"/>
        <v>265</v>
      </c>
      <c r="O266" s="150" t="str">
        <f t="shared" si="51"/>
        <v>TW</v>
      </c>
      <c r="P266" s="150">
        <f t="shared" si="52"/>
        <v>265</v>
      </c>
      <c r="Q266" s="150" t="e">
        <f t="shared" si="53"/>
        <v>#N/A</v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str">
        <f t="shared" si="49"/>
        <v>TW</v>
      </c>
      <c r="N267" s="150">
        <f t="shared" si="50"/>
        <v>266</v>
      </c>
      <c r="O267" s="150" t="str">
        <f t="shared" si="51"/>
        <v>TW</v>
      </c>
      <c r="P267" s="150">
        <f t="shared" si="52"/>
        <v>266</v>
      </c>
      <c r="Q267" s="150" t="e">
        <f t="shared" si="53"/>
        <v>#N/A</v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str">
        <f t="shared" si="49"/>
        <v>TW</v>
      </c>
      <c r="N268" s="150">
        <f t="shared" si="50"/>
        <v>267</v>
      </c>
      <c r="O268" s="150" t="str">
        <f t="shared" si="51"/>
        <v>TW</v>
      </c>
      <c r="P268" s="150">
        <f t="shared" si="52"/>
        <v>267</v>
      </c>
      <c r="Q268" s="150" t="e">
        <f t="shared" si="53"/>
        <v>#N/A</v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str">
        <f t="shared" si="49"/>
        <v>TW</v>
      </c>
      <c r="N269" s="150">
        <f t="shared" si="50"/>
        <v>268</v>
      </c>
      <c r="O269" s="150" t="str">
        <f t="shared" si="51"/>
        <v>TW</v>
      </c>
      <c r="P269" s="150">
        <f t="shared" si="52"/>
        <v>268</v>
      </c>
      <c r="Q269" s="150" t="e">
        <f t="shared" si="53"/>
        <v>#N/A</v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str">
        <f t="shared" si="49"/>
        <v>TW</v>
      </c>
      <c r="N270" s="150">
        <f t="shared" si="50"/>
        <v>269</v>
      </c>
      <c r="O270" s="150" t="str">
        <f t="shared" si="51"/>
        <v>TW</v>
      </c>
      <c r="P270" s="150">
        <f t="shared" si="52"/>
        <v>269</v>
      </c>
      <c r="Q270" s="150" t="e">
        <f t="shared" si="53"/>
        <v>#N/A</v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str">
        <f t="shared" si="49"/>
        <v>TW</v>
      </c>
      <c r="N271" s="150">
        <f t="shared" si="50"/>
        <v>270</v>
      </c>
      <c r="O271" s="150" t="str">
        <f t="shared" si="51"/>
        <v>TW</v>
      </c>
      <c r="P271" s="150">
        <f t="shared" si="52"/>
        <v>270</v>
      </c>
      <c r="Q271" s="150" t="e">
        <f t="shared" si="53"/>
        <v>#N/A</v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str">
        <f t="shared" si="49"/>
        <v>TW</v>
      </c>
      <c r="N272" s="150">
        <f t="shared" si="50"/>
        <v>271</v>
      </c>
      <c r="O272" s="150" t="str">
        <f t="shared" si="51"/>
        <v>TW</v>
      </c>
      <c r="P272" s="150">
        <f t="shared" si="52"/>
        <v>271</v>
      </c>
      <c r="Q272" s="150" t="e">
        <f t="shared" si="53"/>
        <v>#N/A</v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str">
        <f t="shared" si="49"/>
        <v>TW</v>
      </c>
      <c r="N273" s="150">
        <f t="shared" si="50"/>
        <v>272</v>
      </c>
      <c r="O273" s="150" t="str">
        <f t="shared" si="51"/>
        <v>TW</v>
      </c>
      <c r="P273" s="150">
        <f t="shared" si="52"/>
        <v>272</v>
      </c>
      <c r="Q273" s="150" t="e">
        <f t="shared" si="53"/>
        <v>#N/A</v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str">
        <f t="shared" si="49"/>
        <v>TW</v>
      </c>
      <c r="N274" s="150">
        <f t="shared" si="50"/>
        <v>273</v>
      </c>
      <c r="O274" s="150" t="str">
        <f t="shared" si="51"/>
        <v>TW</v>
      </c>
      <c r="P274" s="150">
        <f t="shared" si="52"/>
        <v>273</v>
      </c>
      <c r="Q274" s="150" t="e">
        <f t="shared" si="53"/>
        <v>#N/A</v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str">
        <f t="shared" si="49"/>
        <v>TW</v>
      </c>
      <c r="N275" s="150">
        <f t="shared" si="50"/>
        <v>274</v>
      </c>
      <c r="O275" s="150" t="str">
        <f t="shared" si="51"/>
        <v>TW</v>
      </c>
      <c r="P275" s="150">
        <f t="shared" si="52"/>
        <v>274</v>
      </c>
      <c r="Q275" s="150" t="e">
        <f t="shared" si="53"/>
        <v>#N/A</v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str">
        <f t="shared" si="49"/>
        <v>TW</v>
      </c>
      <c r="N276" s="150">
        <f t="shared" si="50"/>
        <v>275</v>
      </c>
      <c r="O276" s="150" t="str">
        <f t="shared" si="51"/>
        <v>TW</v>
      </c>
      <c r="P276" s="150">
        <f t="shared" si="52"/>
        <v>275</v>
      </c>
      <c r="Q276" s="150" t="e">
        <f t="shared" si="53"/>
        <v>#N/A</v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str">
        <f t="shared" si="49"/>
        <v>TW</v>
      </c>
      <c r="N277" s="150">
        <f t="shared" si="50"/>
        <v>276</v>
      </c>
      <c r="O277" s="150" t="str">
        <f t="shared" si="51"/>
        <v>TW</v>
      </c>
      <c r="P277" s="150">
        <f t="shared" si="52"/>
        <v>276</v>
      </c>
      <c r="Q277" s="150" t="e">
        <f t="shared" si="53"/>
        <v>#N/A</v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str">
        <f t="shared" si="49"/>
        <v>TW</v>
      </c>
      <c r="N278" s="150">
        <f t="shared" si="50"/>
        <v>277</v>
      </c>
      <c r="O278" s="150" t="str">
        <f t="shared" si="51"/>
        <v>TW</v>
      </c>
      <c r="P278" s="150">
        <f t="shared" si="52"/>
        <v>277</v>
      </c>
      <c r="Q278" s="150" t="e">
        <f t="shared" si="53"/>
        <v>#N/A</v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str">
        <f t="shared" si="49"/>
        <v>TW</v>
      </c>
      <c r="N279" s="150">
        <f t="shared" si="50"/>
        <v>278</v>
      </c>
      <c r="O279" s="150" t="str">
        <f t="shared" si="51"/>
        <v>TW</v>
      </c>
      <c r="P279" s="150">
        <f t="shared" si="52"/>
        <v>278</v>
      </c>
      <c r="Q279" s="150" t="e">
        <f t="shared" si="53"/>
        <v>#N/A</v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str">
        <f t="shared" si="49"/>
        <v>TW</v>
      </c>
      <c r="N280" s="150">
        <f t="shared" si="50"/>
        <v>279</v>
      </c>
      <c r="O280" s="150" t="str">
        <f t="shared" si="51"/>
        <v>TW</v>
      </c>
      <c r="P280" s="150">
        <f t="shared" si="52"/>
        <v>279</v>
      </c>
      <c r="Q280" s="150" t="e">
        <f t="shared" si="53"/>
        <v>#N/A</v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str">
        <f t="shared" si="49"/>
        <v>TW</v>
      </c>
      <c r="N281" s="150">
        <f t="shared" si="50"/>
        <v>280</v>
      </c>
      <c r="O281" s="150" t="str">
        <f t="shared" si="51"/>
        <v>TW</v>
      </c>
      <c r="P281" s="150">
        <f t="shared" si="52"/>
        <v>280</v>
      </c>
      <c r="Q281" s="150" t="e">
        <f t="shared" si="53"/>
        <v>#N/A</v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str">
        <f t="shared" si="49"/>
        <v>TW</v>
      </c>
      <c r="N282" s="150">
        <f t="shared" si="50"/>
        <v>281</v>
      </c>
      <c r="O282" s="150" t="str">
        <f t="shared" si="51"/>
        <v>TW</v>
      </c>
      <c r="P282" s="150">
        <f t="shared" si="52"/>
        <v>281</v>
      </c>
      <c r="Q282" s="150" t="e">
        <f t="shared" si="53"/>
        <v>#N/A</v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str">
        <f t="shared" si="49"/>
        <v>TW</v>
      </c>
      <c r="N283" s="150">
        <f t="shared" si="50"/>
        <v>282</v>
      </c>
      <c r="O283" s="150" t="str">
        <f t="shared" si="51"/>
        <v>TW</v>
      </c>
      <c r="P283" s="150">
        <f t="shared" si="52"/>
        <v>282</v>
      </c>
      <c r="Q283" s="150" t="e">
        <f t="shared" si="53"/>
        <v>#N/A</v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str">
        <f t="shared" si="49"/>
        <v>TW</v>
      </c>
      <c r="N284" s="150">
        <f t="shared" si="50"/>
        <v>283</v>
      </c>
      <c r="O284" s="150" t="str">
        <f t="shared" si="51"/>
        <v>TW</v>
      </c>
      <c r="P284" s="150">
        <f t="shared" si="52"/>
        <v>283</v>
      </c>
      <c r="Q284" s="150" t="e">
        <f t="shared" si="53"/>
        <v>#N/A</v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str">
        <f t="shared" si="49"/>
        <v>TW</v>
      </c>
      <c r="N285" s="150">
        <f t="shared" si="50"/>
        <v>284</v>
      </c>
      <c r="O285" s="150" t="str">
        <f t="shared" si="51"/>
        <v>TW</v>
      </c>
      <c r="P285" s="150">
        <f t="shared" si="52"/>
        <v>284</v>
      </c>
      <c r="Q285" s="150" t="e">
        <f t="shared" si="53"/>
        <v>#N/A</v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str">
        <f t="shared" si="49"/>
        <v>TW</v>
      </c>
      <c r="N286" s="150">
        <f t="shared" si="50"/>
        <v>285</v>
      </c>
      <c r="O286" s="150" t="str">
        <f t="shared" si="51"/>
        <v>TW</v>
      </c>
      <c r="P286" s="150">
        <f t="shared" si="52"/>
        <v>285</v>
      </c>
      <c r="Q286" s="150" t="e">
        <f t="shared" si="53"/>
        <v>#N/A</v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str">
        <f t="shared" si="49"/>
        <v>TW</v>
      </c>
      <c r="N287" s="150">
        <f t="shared" si="50"/>
        <v>286</v>
      </c>
      <c r="O287" s="150" t="str">
        <f t="shared" si="51"/>
        <v>TW</v>
      </c>
      <c r="P287" s="150">
        <f t="shared" si="52"/>
        <v>286</v>
      </c>
      <c r="Q287" s="150" t="e">
        <f t="shared" si="53"/>
        <v>#N/A</v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str">
        <f t="shared" si="49"/>
        <v>TW</v>
      </c>
      <c r="N288" s="150">
        <f t="shared" si="50"/>
        <v>287</v>
      </c>
      <c r="O288" s="150" t="str">
        <f t="shared" si="51"/>
        <v>TW</v>
      </c>
      <c r="P288" s="150">
        <f t="shared" si="52"/>
        <v>287</v>
      </c>
      <c r="Q288" s="150" t="e">
        <f t="shared" si="53"/>
        <v>#N/A</v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str">
        <f t="shared" si="49"/>
        <v>TW</v>
      </c>
      <c r="N289" s="150">
        <f t="shared" si="50"/>
        <v>288</v>
      </c>
      <c r="O289" s="150" t="str">
        <f t="shared" si="51"/>
        <v>TW</v>
      </c>
      <c r="P289" s="150">
        <f t="shared" si="52"/>
        <v>288</v>
      </c>
      <c r="Q289" s="150" t="e">
        <f t="shared" si="53"/>
        <v>#N/A</v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str">
        <f t="shared" si="49"/>
        <v>AW</v>
      </c>
      <c r="N290" s="150">
        <f t="shared" si="50"/>
        <v>289</v>
      </c>
      <c r="O290" s="150" t="str">
        <f t="shared" si="51"/>
        <v>AW</v>
      </c>
      <c r="P290" s="150">
        <f t="shared" si="52"/>
        <v>289</v>
      </c>
      <c r="Q290" s="150" t="e">
        <f t="shared" si="53"/>
        <v>#N/A</v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str">
        <f t="shared" si="49"/>
        <v>AW</v>
      </c>
      <c r="N291" s="150">
        <f t="shared" si="50"/>
        <v>290</v>
      </c>
      <c r="O291" s="150" t="str">
        <f t="shared" si="51"/>
        <v>AW</v>
      </c>
      <c r="P291" s="150">
        <f t="shared" si="52"/>
        <v>290</v>
      </c>
      <c r="Q291" s="150" t="e">
        <f t="shared" si="53"/>
        <v>#N/A</v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str">
        <f t="shared" si="49"/>
        <v>AW</v>
      </c>
      <c r="N292" s="150">
        <f t="shared" si="50"/>
        <v>291</v>
      </c>
      <c r="O292" s="150" t="str">
        <f t="shared" si="51"/>
        <v>AW</v>
      </c>
      <c r="P292" s="150">
        <f t="shared" si="52"/>
        <v>291</v>
      </c>
      <c r="Q292" s="150" t="e">
        <f t="shared" si="53"/>
        <v>#N/A</v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str">
        <f t="shared" si="49"/>
        <v>AW</v>
      </c>
      <c r="N293" s="150">
        <f t="shared" si="50"/>
        <v>292</v>
      </c>
      <c r="O293" s="150" t="str">
        <f t="shared" si="51"/>
        <v>AW</v>
      </c>
      <c r="P293" s="150">
        <f t="shared" si="52"/>
        <v>292</v>
      </c>
      <c r="Q293" s="150" t="e">
        <f t="shared" si="53"/>
        <v>#N/A</v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str">
        <f t="shared" si="49"/>
        <v>AW</v>
      </c>
      <c r="N294" s="150">
        <f t="shared" si="50"/>
        <v>293</v>
      </c>
      <c r="O294" s="150" t="str">
        <f t="shared" si="51"/>
        <v>AW</v>
      </c>
      <c r="P294" s="150">
        <f t="shared" si="52"/>
        <v>293</v>
      </c>
      <c r="Q294" s="150" t="e">
        <f t="shared" si="53"/>
        <v>#N/A</v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str">
        <f t="shared" si="49"/>
        <v>AW</v>
      </c>
      <c r="N295" s="150">
        <f t="shared" si="50"/>
        <v>294</v>
      </c>
      <c r="O295" s="150" t="str">
        <f t="shared" si="51"/>
        <v>AW</v>
      </c>
      <c r="P295" s="150">
        <f t="shared" si="52"/>
        <v>294</v>
      </c>
      <c r="Q295" s="150" t="e">
        <f t="shared" si="53"/>
        <v>#N/A</v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str">
        <f t="shared" si="49"/>
        <v>AW</v>
      </c>
      <c r="N296" s="150">
        <f t="shared" si="50"/>
        <v>295</v>
      </c>
      <c r="O296" s="150" t="str">
        <f t="shared" si="51"/>
        <v>AW</v>
      </c>
      <c r="P296" s="150">
        <f t="shared" si="52"/>
        <v>295</v>
      </c>
      <c r="Q296" s="150" t="e">
        <f t="shared" si="53"/>
        <v>#N/A</v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str">
        <f t="shared" si="49"/>
        <v>AW</v>
      </c>
      <c r="N297" s="150">
        <f t="shared" si="50"/>
        <v>296</v>
      </c>
      <c r="O297" s="150" t="str">
        <f t="shared" si="51"/>
        <v>AW</v>
      </c>
      <c r="P297" s="150">
        <f t="shared" si="52"/>
        <v>296</v>
      </c>
      <c r="Q297" s="150" t="e">
        <f t="shared" si="53"/>
        <v>#N/A</v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str">
        <f t="shared" si="49"/>
        <v>AW</v>
      </c>
      <c r="N298" s="150">
        <f t="shared" si="50"/>
        <v>297</v>
      </c>
      <c r="O298" s="150" t="str">
        <f t="shared" si="51"/>
        <v>AW</v>
      </c>
      <c r="P298" s="150">
        <f t="shared" si="52"/>
        <v>297</v>
      </c>
      <c r="Q298" s="150" t="e">
        <f t="shared" si="53"/>
        <v>#N/A</v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str">
        <f t="shared" si="49"/>
        <v>AW</v>
      </c>
      <c r="N299" s="150">
        <f t="shared" si="50"/>
        <v>298</v>
      </c>
      <c r="O299" s="150" t="str">
        <f t="shared" si="51"/>
        <v>AW</v>
      </c>
      <c r="P299" s="150">
        <f t="shared" si="52"/>
        <v>298</v>
      </c>
      <c r="Q299" s="150" t="e">
        <f t="shared" si="53"/>
        <v>#N/A</v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str">
        <f t="shared" si="49"/>
        <v>AW</v>
      </c>
      <c r="N300" s="150">
        <f t="shared" si="50"/>
        <v>299</v>
      </c>
      <c r="O300" s="150" t="str">
        <f t="shared" si="51"/>
        <v>AW</v>
      </c>
      <c r="P300" s="150">
        <f t="shared" si="52"/>
        <v>299</v>
      </c>
      <c r="Q300" s="150" t="e">
        <f t="shared" si="53"/>
        <v>#N/A</v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str">
        <f t="shared" si="49"/>
        <v>AW</v>
      </c>
      <c r="N301" s="150">
        <f t="shared" si="50"/>
        <v>300</v>
      </c>
      <c r="O301" s="150" t="str">
        <f t="shared" si="51"/>
        <v>AW</v>
      </c>
      <c r="P301" s="150">
        <f t="shared" si="52"/>
        <v>300</v>
      </c>
      <c r="Q301" s="150" t="e">
        <f t="shared" si="53"/>
        <v>#N/A</v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str">
        <f t="shared" si="49"/>
        <v>AW</v>
      </c>
      <c r="N302" s="150">
        <f t="shared" si="50"/>
        <v>301</v>
      </c>
      <c r="O302" s="150" t="str">
        <f t="shared" si="51"/>
        <v>AW</v>
      </c>
      <c r="P302" s="150">
        <f t="shared" si="52"/>
        <v>301</v>
      </c>
      <c r="Q302" s="150" t="e">
        <f t="shared" si="53"/>
        <v>#N/A</v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str">
        <f t="shared" si="49"/>
        <v>AW</v>
      </c>
      <c r="N303" s="150">
        <f t="shared" si="50"/>
        <v>302</v>
      </c>
      <c r="O303" s="150" t="str">
        <f t="shared" si="51"/>
        <v>AW</v>
      </c>
      <c r="P303" s="150">
        <f t="shared" si="52"/>
        <v>302</v>
      </c>
      <c r="Q303" s="150" t="e">
        <f t="shared" si="53"/>
        <v>#N/A</v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str">
        <f t="shared" si="49"/>
        <v>AW</v>
      </c>
      <c r="N304" s="150">
        <f t="shared" si="50"/>
        <v>303</v>
      </c>
      <c r="O304" s="150" t="str">
        <f t="shared" si="51"/>
        <v>AW</v>
      </c>
      <c r="P304" s="150">
        <f t="shared" si="52"/>
        <v>303</v>
      </c>
      <c r="Q304" s="150" t="e">
        <f t="shared" si="53"/>
        <v>#N/A</v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str">
        <f t="shared" si="49"/>
        <v>AW</v>
      </c>
      <c r="N305" s="150">
        <f t="shared" si="50"/>
        <v>304</v>
      </c>
      <c r="O305" s="150" t="str">
        <f t="shared" si="51"/>
        <v>AW</v>
      </c>
      <c r="P305" s="150">
        <f t="shared" si="52"/>
        <v>304</v>
      </c>
      <c r="Q305" s="150" t="e">
        <f t="shared" si="53"/>
        <v>#N/A</v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str">
        <f t="shared" si="49"/>
        <v>AW</v>
      </c>
      <c r="N306" s="150">
        <f t="shared" si="50"/>
        <v>305</v>
      </c>
      <c r="O306" s="150" t="str">
        <f t="shared" si="51"/>
        <v>AW</v>
      </c>
      <c r="P306" s="150">
        <f t="shared" si="52"/>
        <v>305</v>
      </c>
      <c r="Q306" s="150" t="e">
        <f t="shared" si="53"/>
        <v>#N/A</v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str">
        <f t="shared" si="49"/>
        <v>AW</v>
      </c>
      <c r="N307" s="150">
        <f t="shared" si="50"/>
        <v>306</v>
      </c>
      <c r="O307" s="150" t="str">
        <f t="shared" si="51"/>
        <v>AW</v>
      </c>
      <c r="P307" s="150">
        <f t="shared" si="52"/>
        <v>306</v>
      </c>
      <c r="Q307" s="150" t="e">
        <f t="shared" si="53"/>
        <v>#N/A</v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str">
        <f t="shared" si="49"/>
        <v>AW</v>
      </c>
      <c r="N308" s="150">
        <f t="shared" si="50"/>
        <v>307</v>
      </c>
      <c r="O308" s="150" t="str">
        <f t="shared" si="51"/>
        <v>AW</v>
      </c>
      <c r="P308" s="150">
        <f t="shared" si="52"/>
        <v>307</v>
      </c>
      <c r="Q308" s="150" t="e">
        <f t="shared" si="53"/>
        <v>#N/A</v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str">
        <f t="shared" si="49"/>
        <v>AW</v>
      </c>
      <c r="N309" s="150">
        <f t="shared" si="50"/>
        <v>308</v>
      </c>
      <c r="O309" s="150" t="str">
        <f t="shared" si="51"/>
        <v>AW</v>
      </c>
      <c r="P309" s="150">
        <f t="shared" si="52"/>
        <v>308</v>
      </c>
      <c r="Q309" s="150" t="e">
        <f t="shared" si="53"/>
        <v>#N/A</v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str">
        <f t="shared" si="49"/>
        <v>AW</v>
      </c>
      <c r="N310" s="150">
        <f t="shared" si="50"/>
        <v>309</v>
      </c>
      <c r="O310" s="150" t="str">
        <f t="shared" si="51"/>
        <v>AW</v>
      </c>
      <c r="P310" s="150">
        <f t="shared" si="52"/>
        <v>309</v>
      </c>
      <c r="Q310" s="150" t="e">
        <f t="shared" si="53"/>
        <v>#N/A</v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str">
        <f t="shared" si="49"/>
        <v>AW</v>
      </c>
      <c r="N311" s="150">
        <f t="shared" si="50"/>
        <v>310</v>
      </c>
      <c r="O311" s="150" t="str">
        <f t="shared" si="51"/>
        <v>AW</v>
      </c>
      <c r="P311" s="150">
        <f t="shared" si="52"/>
        <v>310</v>
      </c>
      <c r="Q311" s="150" t="e">
        <f t="shared" si="53"/>
        <v>#N/A</v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str">
        <f t="shared" si="49"/>
        <v>AW</v>
      </c>
      <c r="N312" s="150">
        <f t="shared" si="50"/>
        <v>311</v>
      </c>
      <c r="O312" s="150" t="str">
        <f t="shared" si="51"/>
        <v>AW</v>
      </c>
      <c r="P312" s="150">
        <f t="shared" si="52"/>
        <v>311</v>
      </c>
      <c r="Q312" s="150" t="e">
        <f t="shared" si="53"/>
        <v>#N/A</v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str">
        <f t="shared" si="49"/>
        <v>AW</v>
      </c>
      <c r="N313" s="150">
        <f t="shared" si="50"/>
        <v>312</v>
      </c>
      <c r="O313" s="150" t="str">
        <f t="shared" si="51"/>
        <v>AW</v>
      </c>
      <c r="P313" s="150">
        <f t="shared" si="52"/>
        <v>312</v>
      </c>
      <c r="Q313" s="150" t="e">
        <f t="shared" si="53"/>
        <v>#N/A</v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str">
        <f t="shared" si="49"/>
        <v>AW</v>
      </c>
      <c r="N314" s="150">
        <f t="shared" si="50"/>
        <v>313</v>
      </c>
      <c r="O314" s="150" t="str">
        <f t="shared" si="51"/>
        <v>AW</v>
      </c>
      <c r="P314" s="150">
        <f t="shared" si="52"/>
        <v>313</v>
      </c>
      <c r="Q314" s="150" t="e">
        <f t="shared" si="53"/>
        <v>#N/A</v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str">
        <f t="shared" si="49"/>
        <v>AW</v>
      </c>
      <c r="N315" s="150">
        <f t="shared" si="50"/>
        <v>314</v>
      </c>
      <c r="O315" s="150" t="str">
        <f t="shared" si="51"/>
        <v>AW</v>
      </c>
      <c r="P315" s="150">
        <f t="shared" si="52"/>
        <v>314</v>
      </c>
      <c r="Q315" s="150" t="e">
        <f t="shared" si="53"/>
        <v>#N/A</v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str">
        <f t="shared" si="49"/>
        <v>AW</v>
      </c>
      <c r="N316" s="150">
        <f t="shared" si="50"/>
        <v>315</v>
      </c>
      <c r="O316" s="150" t="str">
        <f t="shared" si="51"/>
        <v>AW</v>
      </c>
      <c r="P316" s="150">
        <f t="shared" si="52"/>
        <v>315</v>
      </c>
      <c r="Q316" s="150" t="e">
        <f t="shared" si="53"/>
        <v>#N/A</v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str">
        <f t="shared" si="49"/>
        <v>AW</v>
      </c>
      <c r="N317" s="150">
        <f t="shared" si="50"/>
        <v>316</v>
      </c>
      <c r="O317" s="150" t="str">
        <f t="shared" si="51"/>
        <v>AW</v>
      </c>
      <c r="P317" s="150">
        <f t="shared" si="52"/>
        <v>316</v>
      </c>
      <c r="Q317" s="150" t="e">
        <f t="shared" si="53"/>
        <v>#N/A</v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str">
        <f t="shared" si="49"/>
        <v>AW</v>
      </c>
      <c r="N318" s="150">
        <f t="shared" si="50"/>
        <v>317</v>
      </c>
      <c r="O318" s="150" t="str">
        <f t="shared" si="51"/>
        <v>AW</v>
      </c>
      <c r="P318" s="150">
        <f t="shared" si="52"/>
        <v>317</v>
      </c>
      <c r="Q318" s="150" t="e">
        <f t="shared" si="53"/>
        <v>#N/A</v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str">
        <f t="shared" si="49"/>
        <v>AW</v>
      </c>
      <c r="N319" s="150">
        <f t="shared" si="50"/>
        <v>318</v>
      </c>
      <c r="O319" s="150" t="str">
        <f t="shared" si="51"/>
        <v>AW</v>
      </c>
      <c r="P319" s="150">
        <f t="shared" si="52"/>
        <v>318</v>
      </c>
      <c r="Q319" s="150" t="e">
        <f t="shared" si="53"/>
        <v>#N/A</v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str">
        <f t="shared" si="49"/>
        <v>AW</v>
      </c>
      <c r="N320" s="150">
        <f t="shared" si="50"/>
        <v>319</v>
      </c>
      <c r="O320" s="150" t="str">
        <f t="shared" si="51"/>
        <v>AW</v>
      </c>
      <c r="P320" s="150">
        <f t="shared" si="52"/>
        <v>319</v>
      </c>
      <c r="Q320" s="150" t="e">
        <f t="shared" si="53"/>
        <v>#N/A</v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str">
        <f t="shared" si="49"/>
        <v>AW</v>
      </c>
      <c r="N321" s="150">
        <f t="shared" si="50"/>
        <v>320</v>
      </c>
      <c r="O321" s="150" t="str">
        <f t="shared" si="51"/>
        <v>AW</v>
      </c>
      <c r="P321" s="150">
        <f t="shared" si="52"/>
        <v>320</v>
      </c>
      <c r="Q321" s="150" t="e">
        <f t="shared" si="53"/>
        <v>#N/A</v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str">
        <f t="shared" si="49"/>
        <v>AW</v>
      </c>
      <c r="N322" s="150">
        <f t="shared" si="50"/>
        <v>321</v>
      </c>
      <c r="O322" s="150" t="str">
        <f t="shared" si="51"/>
        <v>AW</v>
      </c>
      <c r="P322" s="150">
        <f t="shared" si="52"/>
        <v>321</v>
      </c>
      <c r="Q322" s="150" t="e">
        <f t="shared" si="53"/>
        <v>#N/A</v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str">
        <f t="shared" ref="M323:M386" si="61">IF(L323="","",IF(L323&lt;=$E$15,VLOOKUP($E$14,$I$1:$J$4,2,FALSE),VLOOKUP($F$14,$I$1:$J$4,2,FALSE)))</f>
        <v>AW</v>
      </c>
      <c r="N323" s="150">
        <f t="shared" ref="N323:N386" si="62">IF($B$20&gt;=K323,K323,"")</f>
        <v>322</v>
      </c>
      <c r="O323" s="150" t="str">
        <f t="shared" ref="O323:O386" si="63">IF(N323="","",IF(N323&lt;=$E$22,VLOOKUP($E$21,$I$1:$J$4,2,FALSE),VLOOKUP($F$21,$I$1:$J$4,2,FALSE)))</f>
        <v>AW</v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str">
        <f t="shared" si="61"/>
        <v>AW</v>
      </c>
      <c r="N324" s="150">
        <f t="shared" si="62"/>
        <v>323</v>
      </c>
      <c r="O324" s="150" t="str">
        <f t="shared" si="63"/>
        <v>AW</v>
      </c>
      <c r="P324" s="150">
        <f t="shared" si="64"/>
        <v>323</v>
      </c>
      <c r="Q324" s="150" t="e">
        <f t="shared" si="65"/>
        <v>#N/A</v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str">
        <f t="shared" si="61"/>
        <v>AW</v>
      </c>
      <c r="N325" s="150">
        <f t="shared" si="62"/>
        <v>324</v>
      </c>
      <c r="O325" s="150" t="str">
        <f t="shared" si="63"/>
        <v>AW</v>
      </c>
      <c r="P325" s="150">
        <f t="shared" si="64"/>
        <v>324</v>
      </c>
      <c r="Q325" s="150" t="e">
        <f t="shared" si="65"/>
        <v>#N/A</v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str">
        <f t="shared" si="61"/>
        <v>AW</v>
      </c>
      <c r="N326" s="150">
        <f t="shared" si="62"/>
        <v>325</v>
      </c>
      <c r="O326" s="150" t="str">
        <f t="shared" si="63"/>
        <v>AW</v>
      </c>
      <c r="P326" s="150">
        <f t="shared" si="64"/>
        <v>325</v>
      </c>
      <c r="Q326" s="150" t="e">
        <f t="shared" si="65"/>
        <v>#N/A</v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str">
        <f t="shared" si="61"/>
        <v>AW</v>
      </c>
      <c r="N327" s="150">
        <f t="shared" si="62"/>
        <v>326</v>
      </c>
      <c r="O327" s="150" t="str">
        <f t="shared" si="63"/>
        <v>AW</v>
      </c>
      <c r="P327" s="150">
        <f t="shared" si="64"/>
        <v>326</v>
      </c>
      <c r="Q327" s="150" t="e">
        <f t="shared" si="65"/>
        <v>#N/A</v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str">
        <f t="shared" si="61"/>
        <v>AW</v>
      </c>
      <c r="N328" s="150">
        <f t="shared" si="62"/>
        <v>327</v>
      </c>
      <c r="O328" s="150" t="str">
        <f t="shared" si="63"/>
        <v>AW</v>
      </c>
      <c r="P328" s="150">
        <f t="shared" si="64"/>
        <v>327</v>
      </c>
      <c r="Q328" s="150" t="e">
        <f t="shared" si="65"/>
        <v>#N/A</v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str">
        <f t="shared" si="61"/>
        <v>AW</v>
      </c>
      <c r="N329" s="150">
        <f t="shared" si="62"/>
        <v>328</v>
      </c>
      <c r="O329" s="150" t="str">
        <f t="shared" si="63"/>
        <v>AW</v>
      </c>
      <c r="P329" s="150">
        <f t="shared" si="64"/>
        <v>328</v>
      </c>
      <c r="Q329" s="150" t="e">
        <f t="shared" si="65"/>
        <v>#N/A</v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str">
        <f t="shared" si="61"/>
        <v>AW</v>
      </c>
      <c r="N330" s="150">
        <f t="shared" si="62"/>
        <v>329</v>
      </c>
      <c r="O330" s="150" t="str">
        <f t="shared" si="63"/>
        <v>AW</v>
      </c>
      <c r="P330" s="150">
        <f t="shared" si="64"/>
        <v>329</v>
      </c>
      <c r="Q330" s="150" t="e">
        <f t="shared" si="65"/>
        <v>#N/A</v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str">
        <f t="shared" si="61"/>
        <v>AW</v>
      </c>
      <c r="N331" s="150">
        <f t="shared" si="62"/>
        <v>330</v>
      </c>
      <c r="O331" s="150" t="str">
        <f t="shared" si="63"/>
        <v>AW</v>
      </c>
      <c r="P331" s="150">
        <f t="shared" si="64"/>
        <v>330</v>
      </c>
      <c r="Q331" s="150" t="e">
        <f t="shared" si="65"/>
        <v>#N/A</v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str">
        <f t="shared" si="61"/>
        <v>AW</v>
      </c>
      <c r="N332" s="150">
        <f t="shared" si="62"/>
        <v>331</v>
      </c>
      <c r="O332" s="150" t="str">
        <f t="shared" si="63"/>
        <v>AW</v>
      </c>
      <c r="P332" s="150">
        <f t="shared" si="64"/>
        <v>331</v>
      </c>
      <c r="Q332" s="150" t="e">
        <f t="shared" si="65"/>
        <v>#N/A</v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str">
        <f t="shared" si="61"/>
        <v>AW</v>
      </c>
      <c r="N333" s="150">
        <f t="shared" si="62"/>
        <v>332</v>
      </c>
      <c r="O333" s="150" t="str">
        <f t="shared" si="63"/>
        <v>AW</v>
      </c>
      <c r="P333" s="150">
        <f t="shared" si="64"/>
        <v>332</v>
      </c>
      <c r="Q333" s="150" t="e">
        <f t="shared" si="65"/>
        <v>#N/A</v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str">
        <f t="shared" si="61"/>
        <v>AW</v>
      </c>
      <c r="N334" s="150">
        <f t="shared" si="62"/>
        <v>333</v>
      </c>
      <c r="O334" s="150" t="str">
        <f t="shared" si="63"/>
        <v>AW</v>
      </c>
      <c r="P334" s="150">
        <f t="shared" si="64"/>
        <v>333</v>
      </c>
      <c r="Q334" s="150" t="e">
        <f t="shared" si="65"/>
        <v>#N/A</v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str">
        <f t="shared" si="61"/>
        <v>AW</v>
      </c>
      <c r="N335" s="150">
        <f t="shared" si="62"/>
        <v>334</v>
      </c>
      <c r="O335" s="150" t="str">
        <f t="shared" si="63"/>
        <v>AW</v>
      </c>
      <c r="P335" s="150">
        <f t="shared" si="64"/>
        <v>334</v>
      </c>
      <c r="Q335" s="150" t="e">
        <f t="shared" si="65"/>
        <v>#N/A</v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str">
        <f t="shared" si="61"/>
        <v>AW</v>
      </c>
      <c r="N336" s="150">
        <f t="shared" si="62"/>
        <v>335</v>
      </c>
      <c r="O336" s="150" t="str">
        <f t="shared" si="63"/>
        <v>AW</v>
      </c>
      <c r="P336" s="150">
        <f t="shared" si="64"/>
        <v>335</v>
      </c>
      <c r="Q336" s="150" t="e">
        <f t="shared" si="65"/>
        <v>#N/A</v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str">
        <f t="shared" si="61"/>
        <v>AW</v>
      </c>
      <c r="N337" s="150">
        <f t="shared" si="62"/>
        <v>336</v>
      </c>
      <c r="O337" s="150" t="str">
        <f t="shared" si="63"/>
        <v>AW</v>
      </c>
      <c r="P337" s="150">
        <f t="shared" si="64"/>
        <v>336</v>
      </c>
      <c r="Q337" s="150" t="e">
        <f t="shared" si="65"/>
        <v>#N/A</v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str">
        <f t="shared" si="61"/>
        <v>AW</v>
      </c>
      <c r="N338" s="150">
        <f t="shared" si="62"/>
        <v>337</v>
      </c>
      <c r="O338" s="150" t="str">
        <f t="shared" si="63"/>
        <v>AW</v>
      </c>
      <c r="P338" s="150">
        <f t="shared" si="64"/>
        <v>337</v>
      </c>
      <c r="Q338" s="150" t="e">
        <f t="shared" si="65"/>
        <v>#N/A</v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str">
        <f t="shared" si="61"/>
        <v>AW</v>
      </c>
      <c r="N339" s="150">
        <f t="shared" si="62"/>
        <v>338</v>
      </c>
      <c r="O339" s="150" t="str">
        <f t="shared" si="63"/>
        <v>AW</v>
      </c>
      <c r="P339" s="150">
        <f t="shared" si="64"/>
        <v>338</v>
      </c>
      <c r="Q339" s="150" t="e">
        <f t="shared" si="65"/>
        <v>#N/A</v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str">
        <f t="shared" si="61"/>
        <v>AW</v>
      </c>
      <c r="N340" s="150">
        <f t="shared" si="62"/>
        <v>339</v>
      </c>
      <c r="O340" s="150" t="str">
        <f t="shared" si="63"/>
        <v>AW</v>
      </c>
      <c r="P340" s="150">
        <f t="shared" si="64"/>
        <v>339</v>
      </c>
      <c r="Q340" s="150" t="e">
        <f t="shared" si="65"/>
        <v>#N/A</v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str">
        <f t="shared" si="61"/>
        <v>AW</v>
      </c>
      <c r="N341" s="150">
        <f t="shared" si="62"/>
        <v>340</v>
      </c>
      <c r="O341" s="150" t="str">
        <f t="shared" si="63"/>
        <v>AW</v>
      </c>
      <c r="P341" s="150">
        <f t="shared" si="64"/>
        <v>340</v>
      </c>
      <c r="Q341" s="150" t="e">
        <f t="shared" si="65"/>
        <v>#N/A</v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str">
        <f t="shared" si="61"/>
        <v>AW</v>
      </c>
      <c r="N342" s="150">
        <f t="shared" si="62"/>
        <v>341</v>
      </c>
      <c r="O342" s="150" t="str">
        <f t="shared" si="63"/>
        <v>AW</v>
      </c>
      <c r="P342" s="150">
        <f t="shared" si="64"/>
        <v>341</v>
      </c>
      <c r="Q342" s="150" t="e">
        <f t="shared" si="65"/>
        <v>#N/A</v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str">
        <f t="shared" si="61"/>
        <v>AW</v>
      </c>
      <c r="N343" s="150">
        <f t="shared" si="62"/>
        <v>342</v>
      </c>
      <c r="O343" s="150" t="str">
        <f t="shared" si="63"/>
        <v>AW</v>
      </c>
      <c r="P343" s="150">
        <f t="shared" si="64"/>
        <v>342</v>
      </c>
      <c r="Q343" s="150" t="e">
        <f t="shared" si="65"/>
        <v>#N/A</v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str">
        <f t="shared" si="61"/>
        <v>AW</v>
      </c>
      <c r="N344" s="150">
        <f t="shared" si="62"/>
        <v>343</v>
      </c>
      <c r="O344" s="150" t="str">
        <f t="shared" si="63"/>
        <v>AW</v>
      </c>
      <c r="P344" s="150">
        <f t="shared" si="64"/>
        <v>343</v>
      </c>
      <c r="Q344" s="150" t="e">
        <f t="shared" si="65"/>
        <v>#N/A</v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str">
        <f t="shared" si="61"/>
        <v>AW</v>
      </c>
      <c r="N345" s="150">
        <f t="shared" si="62"/>
        <v>344</v>
      </c>
      <c r="O345" s="150" t="str">
        <f t="shared" si="63"/>
        <v>AW</v>
      </c>
      <c r="P345" s="150">
        <f t="shared" si="64"/>
        <v>344</v>
      </c>
      <c r="Q345" s="150" t="e">
        <f t="shared" si="65"/>
        <v>#N/A</v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str">
        <f t="shared" si="61"/>
        <v>AW</v>
      </c>
      <c r="N346" s="150">
        <f t="shared" si="62"/>
        <v>345</v>
      </c>
      <c r="O346" s="150" t="str">
        <f t="shared" si="63"/>
        <v>AW</v>
      </c>
      <c r="P346" s="150">
        <f t="shared" si="64"/>
        <v>345</v>
      </c>
      <c r="Q346" s="150" t="e">
        <f t="shared" si="65"/>
        <v>#N/A</v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str">
        <f t="shared" si="61"/>
        <v>AW</v>
      </c>
      <c r="N347" s="150">
        <f t="shared" si="62"/>
        <v>346</v>
      </c>
      <c r="O347" s="150" t="str">
        <f t="shared" si="63"/>
        <v>AW</v>
      </c>
      <c r="P347" s="150">
        <f t="shared" si="64"/>
        <v>346</v>
      </c>
      <c r="Q347" s="150" t="e">
        <f t="shared" si="65"/>
        <v>#N/A</v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str">
        <f t="shared" si="61"/>
        <v>AW</v>
      </c>
      <c r="N348" s="150">
        <f t="shared" si="62"/>
        <v>347</v>
      </c>
      <c r="O348" s="150" t="str">
        <f t="shared" si="63"/>
        <v>AW</v>
      </c>
      <c r="P348" s="150">
        <f t="shared" si="64"/>
        <v>347</v>
      </c>
      <c r="Q348" s="150" t="e">
        <f t="shared" si="65"/>
        <v>#N/A</v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str">
        <f t="shared" si="61"/>
        <v>AW</v>
      </c>
      <c r="N349" s="150">
        <f t="shared" si="62"/>
        <v>348</v>
      </c>
      <c r="O349" s="150" t="str">
        <f t="shared" si="63"/>
        <v>AW</v>
      </c>
      <c r="P349" s="150">
        <f t="shared" si="64"/>
        <v>348</v>
      </c>
      <c r="Q349" s="150" t="e">
        <f t="shared" si="65"/>
        <v>#N/A</v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str">
        <f t="shared" si="61"/>
        <v>AW</v>
      </c>
      <c r="N350" s="150">
        <f t="shared" si="62"/>
        <v>349</v>
      </c>
      <c r="O350" s="150" t="str">
        <f t="shared" si="63"/>
        <v>AW</v>
      </c>
      <c r="P350" s="150">
        <f t="shared" si="64"/>
        <v>349</v>
      </c>
      <c r="Q350" s="150" t="e">
        <f t="shared" si="65"/>
        <v>#N/A</v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str">
        <f t="shared" si="61"/>
        <v>AW</v>
      </c>
      <c r="N351" s="150">
        <f t="shared" si="62"/>
        <v>350</v>
      </c>
      <c r="O351" s="150" t="str">
        <f t="shared" si="63"/>
        <v>AW</v>
      </c>
      <c r="P351" s="150">
        <f t="shared" si="64"/>
        <v>350</v>
      </c>
      <c r="Q351" s="150" t="e">
        <f t="shared" si="65"/>
        <v>#N/A</v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str">
        <f t="shared" si="61"/>
        <v>AW</v>
      </c>
      <c r="N352" s="150">
        <f t="shared" si="62"/>
        <v>351</v>
      </c>
      <c r="O352" s="150" t="str">
        <f t="shared" si="63"/>
        <v>AW</v>
      </c>
      <c r="P352" s="150">
        <f t="shared" si="64"/>
        <v>351</v>
      </c>
      <c r="Q352" s="150" t="e">
        <f t="shared" si="65"/>
        <v>#N/A</v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str">
        <f t="shared" si="61"/>
        <v>AW</v>
      </c>
      <c r="N353" s="150">
        <f t="shared" si="62"/>
        <v>352</v>
      </c>
      <c r="O353" s="150" t="str">
        <f t="shared" si="63"/>
        <v>AW</v>
      </c>
      <c r="P353" s="150">
        <f t="shared" si="64"/>
        <v>352</v>
      </c>
      <c r="Q353" s="150" t="e">
        <f t="shared" si="65"/>
        <v>#N/A</v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str">
        <f t="shared" si="61"/>
        <v>AW</v>
      </c>
      <c r="N354" s="150">
        <f t="shared" si="62"/>
        <v>353</v>
      </c>
      <c r="O354" s="150" t="str">
        <f t="shared" si="63"/>
        <v>AW</v>
      </c>
      <c r="P354" s="150">
        <f t="shared" si="64"/>
        <v>353</v>
      </c>
      <c r="Q354" s="150" t="e">
        <f t="shared" si="65"/>
        <v>#N/A</v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str">
        <f t="shared" si="61"/>
        <v>AW</v>
      </c>
      <c r="N355" s="150">
        <f t="shared" si="62"/>
        <v>354</v>
      </c>
      <c r="O355" s="150" t="str">
        <f t="shared" si="63"/>
        <v>AW</v>
      </c>
      <c r="P355" s="150">
        <f t="shared" si="64"/>
        <v>354</v>
      </c>
      <c r="Q355" s="150" t="e">
        <f t="shared" si="65"/>
        <v>#N/A</v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str">
        <f t="shared" si="61"/>
        <v>AW</v>
      </c>
      <c r="N356" s="150">
        <f t="shared" si="62"/>
        <v>355</v>
      </c>
      <c r="O356" s="150" t="str">
        <f t="shared" si="63"/>
        <v>AW</v>
      </c>
      <c r="P356" s="150">
        <f t="shared" si="64"/>
        <v>355</v>
      </c>
      <c r="Q356" s="150" t="e">
        <f t="shared" si="65"/>
        <v>#N/A</v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str">
        <f t="shared" si="61"/>
        <v>AW</v>
      </c>
      <c r="N357" s="150">
        <f t="shared" si="62"/>
        <v>356</v>
      </c>
      <c r="O357" s="150" t="str">
        <f t="shared" si="63"/>
        <v>AW</v>
      </c>
      <c r="P357" s="150">
        <f t="shared" si="64"/>
        <v>356</v>
      </c>
      <c r="Q357" s="150" t="e">
        <f t="shared" si="65"/>
        <v>#N/A</v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str">
        <f t="shared" si="61"/>
        <v>AW</v>
      </c>
      <c r="N358" s="150">
        <f t="shared" si="62"/>
        <v>357</v>
      </c>
      <c r="O358" s="150" t="str">
        <f t="shared" si="63"/>
        <v>AW</v>
      </c>
      <c r="P358" s="150">
        <f t="shared" si="64"/>
        <v>357</v>
      </c>
      <c r="Q358" s="150" t="e">
        <f t="shared" si="65"/>
        <v>#N/A</v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str">
        <f t="shared" si="61"/>
        <v>AW</v>
      </c>
      <c r="N359" s="150">
        <f t="shared" si="62"/>
        <v>358</v>
      </c>
      <c r="O359" s="150" t="str">
        <f t="shared" si="63"/>
        <v>AW</v>
      </c>
      <c r="P359" s="150">
        <f t="shared" si="64"/>
        <v>358</v>
      </c>
      <c r="Q359" s="150" t="e">
        <f t="shared" si="65"/>
        <v>#N/A</v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str">
        <f t="shared" si="61"/>
        <v>AW</v>
      </c>
      <c r="N360" s="150">
        <f t="shared" si="62"/>
        <v>359</v>
      </c>
      <c r="O360" s="150" t="str">
        <f t="shared" si="63"/>
        <v>AW</v>
      </c>
      <c r="P360" s="150">
        <f t="shared" si="64"/>
        <v>359</v>
      </c>
      <c r="Q360" s="150" t="e">
        <f t="shared" si="65"/>
        <v>#N/A</v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str">
        <f t="shared" si="61"/>
        <v>AW</v>
      </c>
      <c r="N361" s="150">
        <f t="shared" si="62"/>
        <v>360</v>
      </c>
      <c r="O361" s="150" t="str">
        <f t="shared" si="63"/>
        <v>AW</v>
      </c>
      <c r="P361" s="150">
        <f t="shared" si="64"/>
        <v>360</v>
      </c>
      <c r="Q361" s="150" t="e">
        <f t="shared" si="65"/>
        <v>#N/A</v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str">
        <f t="shared" si="61"/>
        <v>AW</v>
      </c>
      <c r="N362" s="150">
        <f t="shared" si="62"/>
        <v>361</v>
      </c>
      <c r="O362" s="150" t="str">
        <f t="shared" si="63"/>
        <v>AW</v>
      </c>
      <c r="P362" s="150">
        <f t="shared" si="64"/>
        <v>361</v>
      </c>
      <c r="Q362" s="150" t="e">
        <f t="shared" si="65"/>
        <v>#N/A</v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str">
        <f t="shared" si="61"/>
        <v>AW</v>
      </c>
      <c r="N363" s="150">
        <f t="shared" si="62"/>
        <v>362</v>
      </c>
      <c r="O363" s="150" t="str">
        <f t="shared" si="63"/>
        <v>AW</v>
      </c>
      <c r="P363" s="150">
        <f t="shared" si="64"/>
        <v>362</v>
      </c>
      <c r="Q363" s="150" t="e">
        <f t="shared" si="65"/>
        <v>#N/A</v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str">
        <f t="shared" si="61"/>
        <v>AW</v>
      </c>
      <c r="N364" s="150">
        <f t="shared" si="62"/>
        <v>363</v>
      </c>
      <c r="O364" s="150" t="str">
        <f t="shared" si="63"/>
        <v>AW</v>
      </c>
      <c r="P364" s="150">
        <f t="shared" si="64"/>
        <v>363</v>
      </c>
      <c r="Q364" s="150" t="e">
        <f t="shared" si="65"/>
        <v>#N/A</v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str">
        <f t="shared" si="61"/>
        <v>AW</v>
      </c>
      <c r="N365" s="150">
        <f t="shared" si="62"/>
        <v>364</v>
      </c>
      <c r="O365" s="150" t="str">
        <f t="shared" si="63"/>
        <v>AW</v>
      </c>
      <c r="P365" s="150">
        <f t="shared" si="64"/>
        <v>364</v>
      </c>
      <c r="Q365" s="150" t="e">
        <f t="shared" si="65"/>
        <v>#N/A</v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str">
        <f t="shared" si="61"/>
        <v>AW</v>
      </c>
      <c r="N366" s="150">
        <f t="shared" si="62"/>
        <v>365</v>
      </c>
      <c r="O366" s="150" t="str">
        <f t="shared" si="63"/>
        <v>AW</v>
      </c>
      <c r="P366" s="150">
        <f t="shared" si="64"/>
        <v>365</v>
      </c>
      <c r="Q366" s="150" t="e">
        <f t="shared" si="65"/>
        <v>#N/A</v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str">
        <f t="shared" si="61"/>
        <v>AW</v>
      </c>
      <c r="N367" s="150">
        <f t="shared" si="62"/>
        <v>366</v>
      </c>
      <c r="O367" s="150" t="str">
        <f t="shared" si="63"/>
        <v>AW</v>
      </c>
      <c r="P367" s="150">
        <f t="shared" si="64"/>
        <v>366</v>
      </c>
      <c r="Q367" s="150" t="e">
        <f t="shared" si="65"/>
        <v>#N/A</v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str">
        <f t="shared" si="61"/>
        <v>AW</v>
      </c>
      <c r="N368" s="150">
        <f t="shared" si="62"/>
        <v>367</v>
      </c>
      <c r="O368" s="150" t="str">
        <f t="shared" si="63"/>
        <v>AW</v>
      </c>
      <c r="P368" s="150">
        <f t="shared" si="64"/>
        <v>367</v>
      </c>
      <c r="Q368" s="150" t="e">
        <f t="shared" si="65"/>
        <v>#N/A</v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str">
        <f t="shared" si="61"/>
        <v>AW</v>
      </c>
      <c r="N369" s="150">
        <f t="shared" si="62"/>
        <v>368</v>
      </c>
      <c r="O369" s="150" t="str">
        <f t="shared" si="63"/>
        <v>AW</v>
      </c>
      <c r="P369" s="150">
        <f t="shared" si="64"/>
        <v>368</v>
      </c>
      <c r="Q369" s="150" t="e">
        <f t="shared" si="65"/>
        <v>#N/A</v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str">
        <f t="shared" si="61"/>
        <v>AW</v>
      </c>
      <c r="N370" s="150">
        <f t="shared" si="62"/>
        <v>369</v>
      </c>
      <c r="O370" s="150" t="str">
        <f t="shared" si="63"/>
        <v>AW</v>
      </c>
      <c r="P370" s="150">
        <f t="shared" si="64"/>
        <v>369</v>
      </c>
      <c r="Q370" s="150" t="e">
        <f t="shared" si="65"/>
        <v>#N/A</v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str">
        <f t="shared" si="61"/>
        <v>AW</v>
      </c>
      <c r="N371" s="150">
        <f t="shared" si="62"/>
        <v>370</v>
      </c>
      <c r="O371" s="150" t="str">
        <f t="shared" si="63"/>
        <v>AW</v>
      </c>
      <c r="P371" s="150">
        <f t="shared" si="64"/>
        <v>370</v>
      </c>
      <c r="Q371" s="150" t="e">
        <f t="shared" si="65"/>
        <v>#N/A</v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str">
        <f t="shared" si="61"/>
        <v>AW</v>
      </c>
      <c r="N372" s="150">
        <f t="shared" si="62"/>
        <v>371</v>
      </c>
      <c r="O372" s="150" t="str">
        <f t="shared" si="63"/>
        <v>AW</v>
      </c>
      <c r="P372" s="150">
        <f t="shared" si="64"/>
        <v>371</v>
      </c>
      <c r="Q372" s="150" t="e">
        <f t="shared" si="65"/>
        <v>#N/A</v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str">
        <f t="shared" si="61"/>
        <v>AW</v>
      </c>
      <c r="N373" s="150">
        <f t="shared" si="62"/>
        <v>372</v>
      </c>
      <c r="O373" s="150" t="str">
        <f t="shared" si="63"/>
        <v>AW</v>
      </c>
      <c r="P373" s="150">
        <f t="shared" si="64"/>
        <v>372</v>
      </c>
      <c r="Q373" s="150" t="e">
        <f t="shared" si="65"/>
        <v>#N/A</v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str">
        <f t="shared" si="61"/>
        <v>AW</v>
      </c>
      <c r="N374" s="150">
        <f t="shared" si="62"/>
        <v>373</v>
      </c>
      <c r="O374" s="150" t="str">
        <f t="shared" si="63"/>
        <v>AW</v>
      </c>
      <c r="P374" s="150">
        <f t="shared" si="64"/>
        <v>373</v>
      </c>
      <c r="Q374" s="150" t="e">
        <f t="shared" si="65"/>
        <v>#N/A</v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str">
        <f t="shared" si="61"/>
        <v>AW</v>
      </c>
      <c r="N375" s="150">
        <f t="shared" si="62"/>
        <v>374</v>
      </c>
      <c r="O375" s="150" t="str">
        <f t="shared" si="63"/>
        <v>AW</v>
      </c>
      <c r="P375" s="150">
        <f t="shared" si="64"/>
        <v>374</v>
      </c>
      <c r="Q375" s="150" t="e">
        <f t="shared" si="65"/>
        <v>#N/A</v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str">
        <f t="shared" si="61"/>
        <v>AW</v>
      </c>
      <c r="N376" s="150">
        <f t="shared" si="62"/>
        <v>375</v>
      </c>
      <c r="O376" s="150" t="str">
        <f t="shared" si="63"/>
        <v>AW</v>
      </c>
      <c r="P376" s="150">
        <f t="shared" si="64"/>
        <v>375</v>
      </c>
      <c r="Q376" s="150" t="e">
        <f t="shared" si="65"/>
        <v>#N/A</v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str">
        <f t="shared" si="61"/>
        <v>AW</v>
      </c>
      <c r="N377" s="150">
        <f t="shared" si="62"/>
        <v>376</v>
      </c>
      <c r="O377" s="150" t="str">
        <f t="shared" si="63"/>
        <v>AW</v>
      </c>
      <c r="P377" s="150">
        <f t="shared" si="64"/>
        <v>376</v>
      </c>
      <c r="Q377" s="150" t="e">
        <f t="shared" si="65"/>
        <v>#N/A</v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str">
        <f t="shared" si="61"/>
        <v>AW</v>
      </c>
      <c r="N378" s="150">
        <f t="shared" si="62"/>
        <v>377</v>
      </c>
      <c r="O378" s="150" t="str">
        <f t="shared" si="63"/>
        <v>AW</v>
      </c>
      <c r="P378" s="150">
        <f t="shared" si="64"/>
        <v>377</v>
      </c>
      <c r="Q378" s="150" t="e">
        <f t="shared" si="65"/>
        <v>#N/A</v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str">
        <f t="shared" si="61"/>
        <v>AW</v>
      </c>
      <c r="N379" s="150">
        <f t="shared" si="62"/>
        <v>378</v>
      </c>
      <c r="O379" s="150" t="str">
        <f t="shared" si="63"/>
        <v>AW</v>
      </c>
      <c r="P379" s="150">
        <f t="shared" si="64"/>
        <v>378</v>
      </c>
      <c r="Q379" s="150" t="e">
        <f t="shared" si="65"/>
        <v>#N/A</v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str">
        <f t="shared" si="61"/>
        <v>AW</v>
      </c>
      <c r="N380" s="150">
        <f t="shared" si="62"/>
        <v>379</v>
      </c>
      <c r="O380" s="150" t="str">
        <f t="shared" si="63"/>
        <v>AW</v>
      </c>
      <c r="P380" s="150">
        <f t="shared" si="64"/>
        <v>379</v>
      </c>
      <c r="Q380" s="150" t="e">
        <f t="shared" si="65"/>
        <v>#N/A</v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str">
        <f t="shared" si="61"/>
        <v>AW</v>
      </c>
      <c r="N381" s="150">
        <f t="shared" si="62"/>
        <v>380</v>
      </c>
      <c r="O381" s="150" t="str">
        <f t="shared" si="63"/>
        <v>AW</v>
      </c>
      <c r="P381" s="150">
        <f t="shared" si="64"/>
        <v>380</v>
      </c>
      <c r="Q381" s="150" t="e">
        <f t="shared" si="65"/>
        <v>#N/A</v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str">
        <f t="shared" si="61"/>
        <v>AW</v>
      </c>
      <c r="N382" s="150">
        <f t="shared" si="62"/>
        <v>381</v>
      </c>
      <c r="O382" s="150" t="str">
        <f t="shared" si="63"/>
        <v>AW</v>
      </c>
      <c r="P382" s="150">
        <f t="shared" si="64"/>
        <v>381</v>
      </c>
      <c r="Q382" s="150" t="e">
        <f t="shared" si="65"/>
        <v>#N/A</v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str">
        <f t="shared" si="61"/>
        <v>AW</v>
      </c>
      <c r="N383" s="150">
        <f t="shared" si="62"/>
        <v>382</v>
      </c>
      <c r="O383" s="150" t="str">
        <f t="shared" si="63"/>
        <v>AW</v>
      </c>
      <c r="P383" s="150">
        <f t="shared" si="64"/>
        <v>382</v>
      </c>
      <c r="Q383" s="150" t="e">
        <f t="shared" si="65"/>
        <v>#N/A</v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str">
        <f t="shared" si="61"/>
        <v>AW</v>
      </c>
      <c r="N384" s="150">
        <f t="shared" si="62"/>
        <v>383</v>
      </c>
      <c r="O384" s="150" t="str">
        <f t="shared" si="63"/>
        <v>AW</v>
      </c>
      <c r="P384" s="150">
        <f t="shared" si="64"/>
        <v>383</v>
      </c>
      <c r="Q384" s="150" t="e">
        <f t="shared" si="65"/>
        <v>#N/A</v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str">
        <f t="shared" si="61"/>
        <v>AW</v>
      </c>
      <c r="N385" s="150">
        <f t="shared" si="62"/>
        <v>384</v>
      </c>
      <c r="O385" s="150" t="str">
        <f t="shared" si="63"/>
        <v>AW</v>
      </c>
      <c r="P385" s="150">
        <f t="shared" si="64"/>
        <v>384</v>
      </c>
      <c r="Q385" s="150" t="e">
        <f t="shared" si="65"/>
        <v>#N/A</v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str">
        <f t="shared" si="61"/>
        <v>AW</v>
      </c>
      <c r="N386" s="150">
        <f t="shared" si="62"/>
        <v>385</v>
      </c>
      <c r="O386" s="150" t="str">
        <f t="shared" si="63"/>
        <v>AW</v>
      </c>
      <c r="P386" s="150">
        <f t="shared" si="64"/>
        <v>385</v>
      </c>
      <c r="Q386" s="150" t="e">
        <f t="shared" si="65"/>
        <v>#N/A</v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str">
        <f t="shared" ref="M387:M450" si="73">IF(L387="","",IF(L387&lt;=$E$15,VLOOKUP($E$14,$I$1:$J$4,2,FALSE),VLOOKUP($F$14,$I$1:$J$4,2,FALSE)))</f>
        <v>AW</v>
      </c>
      <c r="N387" s="150">
        <f t="shared" ref="N387:N450" si="74">IF($B$20&gt;=K387,K387,"")</f>
        <v>386</v>
      </c>
      <c r="O387" s="150" t="str">
        <f t="shared" ref="O387:O450" si="75">IF(N387="","",IF(N387&lt;=$E$22,VLOOKUP($E$21,$I$1:$J$4,2,FALSE),VLOOKUP($F$21,$I$1:$J$4,2,FALSE)))</f>
        <v>AW</v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str">
        <f t="shared" si="73"/>
        <v>AW</v>
      </c>
      <c r="N388" s="150">
        <f t="shared" si="74"/>
        <v>387</v>
      </c>
      <c r="O388" s="150" t="str">
        <f t="shared" si="75"/>
        <v>AW</v>
      </c>
      <c r="P388" s="150">
        <f t="shared" si="76"/>
        <v>387</v>
      </c>
      <c r="Q388" s="150" t="e">
        <f t="shared" si="77"/>
        <v>#N/A</v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str">
        <f t="shared" si="73"/>
        <v>AW</v>
      </c>
      <c r="N389" s="150">
        <f t="shared" si="74"/>
        <v>388</v>
      </c>
      <c r="O389" s="150" t="str">
        <f t="shared" si="75"/>
        <v>AW</v>
      </c>
      <c r="P389" s="150">
        <f t="shared" si="76"/>
        <v>388</v>
      </c>
      <c r="Q389" s="150" t="e">
        <f t="shared" si="77"/>
        <v>#N/A</v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str">
        <f t="shared" si="73"/>
        <v>AW</v>
      </c>
      <c r="N390" s="150">
        <f t="shared" si="74"/>
        <v>389</v>
      </c>
      <c r="O390" s="150" t="str">
        <f t="shared" si="75"/>
        <v>AW</v>
      </c>
      <c r="P390" s="150">
        <f t="shared" si="76"/>
        <v>389</v>
      </c>
      <c r="Q390" s="150" t="e">
        <f t="shared" si="77"/>
        <v>#N/A</v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str">
        <f t="shared" si="73"/>
        <v>AW</v>
      </c>
      <c r="N391" s="150">
        <f t="shared" si="74"/>
        <v>390</v>
      </c>
      <c r="O391" s="150" t="str">
        <f t="shared" si="75"/>
        <v>AW</v>
      </c>
      <c r="P391" s="150">
        <f t="shared" si="76"/>
        <v>390</v>
      </c>
      <c r="Q391" s="150" t="e">
        <f t="shared" si="77"/>
        <v>#N/A</v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str">
        <f t="shared" si="73"/>
        <v>AW</v>
      </c>
      <c r="N392" s="150">
        <f t="shared" si="74"/>
        <v>391</v>
      </c>
      <c r="O392" s="150" t="str">
        <f t="shared" si="75"/>
        <v>AW</v>
      </c>
      <c r="P392" s="150">
        <f t="shared" si="76"/>
        <v>391</v>
      </c>
      <c r="Q392" s="150" t="e">
        <f t="shared" si="77"/>
        <v>#N/A</v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str">
        <f t="shared" si="73"/>
        <v>AW</v>
      </c>
      <c r="N393" s="150">
        <f t="shared" si="74"/>
        <v>392</v>
      </c>
      <c r="O393" s="150" t="str">
        <f t="shared" si="75"/>
        <v>AW</v>
      </c>
      <c r="P393" s="150">
        <f t="shared" si="76"/>
        <v>392</v>
      </c>
      <c r="Q393" s="150" t="e">
        <f t="shared" si="77"/>
        <v>#N/A</v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str">
        <f t="shared" si="73"/>
        <v>AW</v>
      </c>
      <c r="N394" s="150">
        <f t="shared" si="74"/>
        <v>393</v>
      </c>
      <c r="O394" s="150" t="str">
        <f t="shared" si="75"/>
        <v>AW</v>
      </c>
      <c r="P394" s="150">
        <f t="shared" si="76"/>
        <v>393</v>
      </c>
      <c r="Q394" s="150" t="e">
        <f t="shared" si="77"/>
        <v>#N/A</v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str">
        <f t="shared" si="73"/>
        <v>AW</v>
      </c>
      <c r="N395" s="150">
        <f t="shared" si="74"/>
        <v>394</v>
      </c>
      <c r="O395" s="150" t="str">
        <f t="shared" si="75"/>
        <v>AW</v>
      </c>
      <c r="P395" s="150">
        <f t="shared" si="76"/>
        <v>394</v>
      </c>
      <c r="Q395" s="150" t="e">
        <f t="shared" si="77"/>
        <v>#N/A</v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str">
        <f t="shared" si="73"/>
        <v>AW</v>
      </c>
      <c r="N396" s="150">
        <f t="shared" si="74"/>
        <v>395</v>
      </c>
      <c r="O396" s="150" t="str">
        <f t="shared" si="75"/>
        <v>AW</v>
      </c>
      <c r="P396" s="150">
        <f t="shared" si="76"/>
        <v>395</v>
      </c>
      <c r="Q396" s="150" t="e">
        <f t="shared" si="77"/>
        <v>#N/A</v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str">
        <f t="shared" si="73"/>
        <v>AW</v>
      </c>
      <c r="N397" s="150">
        <f t="shared" si="74"/>
        <v>396</v>
      </c>
      <c r="O397" s="150" t="str">
        <f t="shared" si="75"/>
        <v>AW</v>
      </c>
      <c r="P397" s="150">
        <f t="shared" si="76"/>
        <v>396</v>
      </c>
      <c r="Q397" s="150" t="e">
        <f t="shared" si="77"/>
        <v>#N/A</v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str">
        <f t="shared" si="73"/>
        <v>AW</v>
      </c>
      <c r="N398" s="150">
        <f t="shared" si="74"/>
        <v>397</v>
      </c>
      <c r="O398" s="150" t="str">
        <f t="shared" si="75"/>
        <v>AW</v>
      </c>
      <c r="P398" s="150">
        <f t="shared" si="76"/>
        <v>397</v>
      </c>
      <c r="Q398" s="150" t="e">
        <f t="shared" si="77"/>
        <v>#N/A</v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str">
        <f t="shared" si="73"/>
        <v>AW</v>
      </c>
      <c r="N399" s="150">
        <f t="shared" si="74"/>
        <v>398</v>
      </c>
      <c r="O399" s="150" t="str">
        <f t="shared" si="75"/>
        <v>AW</v>
      </c>
      <c r="P399" s="150">
        <f t="shared" si="76"/>
        <v>398</v>
      </c>
      <c r="Q399" s="150" t="e">
        <f t="shared" si="77"/>
        <v>#N/A</v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str">
        <f t="shared" si="73"/>
        <v>AW</v>
      </c>
      <c r="N400" s="150">
        <f t="shared" si="74"/>
        <v>399</v>
      </c>
      <c r="O400" s="150" t="str">
        <f t="shared" si="75"/>
        <v>AW</v>
      </c>
      <c r="P400" s="150">
        <f t="shared" si="76"/>
        <v>399</v>
      </c>
      <c r="Q400" s="150" t="e">
        <f t="shared" si="77"/>
        <v>#N/A</v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str">
        <f t="shared" si="73"/>
        <v>AW</v>
      </c>
      <c r="N401" s="150">
        <f t="shared" si="74"/>
        <v>400</v>
      </c>
      <c r="O401" s="150" t="str">
        <f t="shared" si="75"/>
        <v>AW</v>
      </c>
      <c r="P401" s="150">
        <f t="shared" si="76"/>
        <v>400</v>
      </c>
      <c r="Q401" s="150" t="e">
        <f t="shared" si="77"/>
        <v>#N/A</v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str">
        <f t="shared" si="73"/>
        <v>AW</v>
      </c>
      <c r="N402" s="150">
        <f t="shared" si="74"/>
        <v>401</v>
      </c>
      <c r="O402" s="150" t="str">
        <f t="shared" si="75"/>
        <v>AW</v>
      </c>
      <c r="P402" s="150">
        <f t="shared" si="76"/>
        <v>401</v>
      </c>
      <c r="Q402" s="150" t="e">
        <f t="shared" si="77"/>
        <v>#N/A</v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str">
        <f t="shared" si="73"/>
        <v>AW</v>
      </c>
      <c r="N403" s="150">
        <f t="shared" si="74"/>
        <v>402</v>
      </c>
      <c r="O403" s="150" t="str">
        <f t="shared" si="75"/>
        <v>AW</v>
      </c>
      <c r="P403" s="150">
        <f t="shared" si="76"/>
        <v>402</v>
      </c>
      <c r="Q403" s="150" t="e">
        <f t="shared" si="77"/>
        <v>#N/A</v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str">
        <f t="shared" si="73"/>
        <v>AW</v>
      </c>
      <c r="N404" s="150">
        <f t="shared" si="74"/>
        <v>403</v>
      </c>
      <c r="O404" s="150" t="str">
        <f t="shared" si="75"/>
        <v>AW</v>
      </c>
      <c r="P404" s="150">
        <f t="shared" si="76"/>
        <v>403</v>
      </c>
      <c r="Q404" s="150" t="e">
        <f t="shared" si="77"/>
        <v>#N/A</v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str">
        <f t="shared" si="73"/>
        <v>AW</v>
      </c>
      <c r="N405" s="150">
        <f t="shared" si="74"/>
        <v>404</v>
      </c>
      <c r="O405" s="150" t="str">
        <f t="shared" si="75"/>
        <v>AW</v>
      </c>
      <c r="P405" s="150">
        <f t="shared" si="76"/>
        <v>404</v>
      </c>
      <c r="Q405" s="150" t="e">
        <f t="shared" si="77"/>
        <v>#N/A</v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str">
        <f t="shared" si="73"/>
        <v>AW</v>
      </c>
      <c r="N406" s="150">
        <f t="shared" si="74"/>
        <v>405</v>
      </c>
      <c r="O406" s="150" t="str">
        <f t="shared" si="75"/>
        <v>AW</v>
      </c>
      <c r="P406" s="150">
        <f t="shared" si="76"/>
        <v>405</v>
      </c>
      <c r="Q406" s="150" t="e">
        <f t="shared" si="77"/>
        <v>#N/A</v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str">
        <f t="shared" si="73"/>
        <v>AW</v>
      </c>
      <c r="N407" s="150">
        <f t="shared" si="74"/>
        <v>406</v>
      </c>
      <c r="O407" s="150" t="str">
        <f t="shared" si="75"/>
        <v>AW</v>
      </c>
      <c r="P407" s="150">
        <f t="shared" si="76"/>
        <v>406</v>
      </c>
      <c r="Q407" s="150" t="e">
        <f t="shared" si="77"/>
        <v>#N/A</v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str">
        <f t="shared" si="73"/>
        <v>AW</v>
      </c>
      <c r="N408" s="150">
        <f t="shared" si="74"/>
        <v>407</v>
      </c>
      <c r="O408" s="150" t="str">
        <f t="shared" si="75"/>
        <v>AW</v>
      </c>
      <c r="P408" s="150">
        <f t="shared" si="76"/>
        <v>407</v>
      </c>
      <c r="Q408" s="150" t="e">
        <f t="shared" si="77"/>
        <v>#N/A</v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str">
        <f t="shared" si="73"/>
        <v>AW</v>
      </c>
      <c r="N409" s="150">
        <f t="shared" si="74"/>
        <v>408</v>
      </c>
      <c r="O409" s="150" t="str">
        <f t="shared" si="75"/>
        <v>AW</v>
      </c>
      <c r="P409" s="150">
        <f t="shared" si="76"/>
        <v>408</v>
      </c>
      <c r="Q409" s="150" t="e">
        <f t="shared" si="77"/>
        <v>#N/A</v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str">
        <f t="shared" si="73"/>
        <v>AW</v>
      </c>
      <c r="N410" s="150">
        <f t="shared" si="74"/>
        <v>409</v>
      </c>
      <c r="O410" s="150" t="str">
        <f t="shared" si="75"/>
        <v>AW</v>
      </c>
      <c r="P410" s="150">
        <f t="shared" si="76"/>
        <v>409</v>
      </c>
      <c r="Q410" s="150" t="e">
        <f t="shared" si="77"/>
        <v>#N/A</v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str">
        <f t="shared" si="73"/>
        <v>AW</v>
      </c>
      <c r="N411" s="150">
        <f t="shared" si="74"/>
        <v>410</v>
      </c>
      <c r="O411" s="150" t="str">
        <f t="shared" si="75"/>
        <v>AW</v>
      </c>
      <c r="P411" s="150">
        <f t="shared" si="76"/>
        <v>410</v>
      </c>
      <c r="Q411" s="150" t="e">
        <f t="shared" si="77"/>
        <v>#N/A</v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str">
        <f t="shared" si="73"/>
        <v>AW</v>
      </c>
      <c r="N412" s="150">
        <f t="shared" si="74"/>
        <v>411</v>
      </c>
      <c r="O412" s="150" t="str">
        <f t="shared" si="75"/>
        <v>AW</v>
      </c>
      <c r="P412" s="150">
        <f t="shared" si="76"/>
        <v>411</v>
      </c>
      <c r="Q412" s="150" t="e">
        <f t="shared" si="77"/>
        <v>#N/A</v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str">
        <f t="shared" si="73"/>
        <v>AW</v>
      </c>
      <c r="N413" s="150">
        <f t="shared" si="74"/>
        <v>412</v>
      </c>
      <c r="O413" s="150" t="str">
        <f t="shared" si="75"/>
        <v>AW</v>
      </c>
      <c r="P413" s="150">
        <f t="shared" si="76"/>
        <v>412</v>
      </c>
      <c r="Q413" s="150" t="e">
        <f t="shared" si="77"/>
        <v>#N/A</v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str">
        <f t="shared" si="73"/>
        <v>AW</v>
      </c>
      <c r="N414" s="150">
        <f t="shared" si="74"/>
        <v>413</v>
      </c>
      <c r="O414" s="150" t="str">
        <f t="shared" si="75"/>
        <v>AW</v>
      </c>
      <c r="P414" s="150">
        <f t="shared" si="76"/>
        <v>413</v>
      </c>
      <c r="Q414" s="150" t="e">
        <f t="shared" si="77"/>
        <v>#N/A</v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str">
        <f t="shared" si="73"/>
        <v>AW</v>
      </c>
      <c r="N415" s="150">
        <f t="shared" si="74"/>
        <v>414</v>
      </c>
      <c r="O415" s="150" t="str">
        <f t="shared" si="75"/>
        <v>AW</v>
      </c>
      <c r="P415" s="150">
        <f t="shared" si="76"/>
        <v>414</v>
      </c>
      <c r="Q415" s="150" t="e">
        <f t="shared" si="77"/>
        <v>#N/A</v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str">
        <f t="shared" si="73"/>
        <v>AW</v>
      </c>
      <c r="N416" s="150">
        <f t="shared" si="74"/>
        <v>415</v>
      </c>
      <c r="O416" s="150" t="str">
        <f t="shared" si="75"/>
        <v>AW</v>
      </c>
      <c r="P416" s="150">
        <f t="shared" si="76"/>
        <v>415</v>
      </c>
      <c r="Q416" s="150" t="e">
        <f t="shared" si="77"/>
        <v>#N/A</v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str">
        <f t="shared" si="73"/>
        <v>AW</v>
      </c>
      <c r="N417" s="150">
        <f t="shared" si="74"/>
        <v>416</v>
      </c>
      <c r="O417" s="150" t="str">
        <f t="shared" si="75"/>
        <v>AW</v>
      </c>
      <c r="P417" s="150">
        <f t="shared" si="76"/>
        <v>416</v>
      </c>
      <c r="Q417" s="150" t="e">
        <f t="shared" si="77"/>
        <v>#N/A</v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str">
        <f t="shared" si="73"/>
        <v>AW</v>
      </c>
      <c r="N418" s="150">
        <f t="shared" si="74"/>
        <v>417</v>
      </c>
      <c r="O418" s="150" t="str">
        <f t="shared" si="75"/>
        <v>AW</v>
      </c>
      <c r="P418" s="150">
        <f t="shared" si="76"/>
        <v>417</v>
      </c>
      <c r="Q418" s="150" t="e">
        <f t="shared" si="77"/>
        <v>#N/A</v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str">
        <f t="shared" si="73"/>
        <v>AW</v>
      </c>
      <c r="N419" s="150">
        <f t="shared" si="74"/>
        <v>418</v>
      </c>
      <c r="O419" s="150" t="str">
        <f t="shared" si="75"/>
        <v>AW</v>
      </c>
      <c r="P419" s="150">
        <f t="shared" si="76"/>
        <v>418</v>
      </c>
      <c r="Q419" s="150" t="e">
        <f t="shared" si="77"/>
        <v>#N/A</v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str">
        <f t="shared" si="73"/>
        <v>AW</v>
      </c>
      <c r="N420" s="150">
        <f t="shared" si="74"/>
        <v>419</v>
      </c>
      <c r="O420" s="150" t="str">
        <f t="shared" si="75"/>
        <v>AW</v>
      </c>
      <c r="P420" s="150">
        <f t="shared" si="76"/>
        <v>419</v>
      </c>
      <c r="Q420" s="150" t="e">
        <f t="shared" si="77"/>
        <v>#N/A</v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str">
        <f t="shared" si="73"/>
        <v>AW</v>
      </c>
      <c r="N421" s="150">
        <f t="shared" si="74"/>
        <v>420</v>
      </c>
      <c r="O421" s="150" t="str">
        <f t="shared" si="75"/>
        <v>AW</v>
      </c>
      <c r="P421" s="150">
        <f t="shared" si="76"/>
        <v>420</v>
      </c>
      <c r="Q421" s="150" t="e">
        <f t="shared" si="77"/>
        <v>#N/A</v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str">
        <f t="shared" si="73"/>
        <v>AW</v>
      </c>
      <c r="N422" s="150">
        <f t="shared" si="74"/>
        <v>421</v>
      </c>
      <c r="O422" s="150" t="str">
        <f t="shared" si="75"/>
        <v>AW</v>
      </c>
      <c r="P422" s="150">
        <f t="shared" si="76"/>
        <v>421</v>
      </c>
      <c r="Q422" s="150" t="e">
        <f t="shared" si="77"/>
        <v>#N/A</v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str">
        <f t="shared" si="73"/>
        <v>AW</v>
      </c>
      <c r="N423" s="150">
        <f t="shared" si="74"/>
        <v>422</v>
      </c>
      <c r="O423" s="150" t="str">
        <f t="shared" si="75"/>
        <v>AW</v>
      </c>
      <c r="P423" s="150">
        <f t="shared" si="76"/>
        <v>422</v>
      </c>
      <c r="Q423" s="150" t="e">
        <f t="shared" si="77"/>
        <v>#N/A</v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str">
        <f t="shared" si="73"/>
        <v>AW</v>
      </c>
      <c r="N424" s="150">
        <f t="shared" si="74"/>
        <v>423</v>
      </c>
      <c r="O424" s="150" t="str">
        <f t="shared" si="75"/>
        <v>AW</v>
      </c>
      <c r="P424" s="150">
        <f t="shared" si="76"/>
        <v>423</v>
      </c>
      <c r="Q424" s="150" t="e">
        <f t="shared" si="77"/>
        <v>#N/A</v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str">
        <f t="shared" si="73"/>
        <v>AW</v>
      </c>
      <c r="N425" s="150">
        <f t="shared" si="74"/>
        <v>424</v>
      </c>
      <c r="O425" s="150" t="str">
        <f t="shared" si="75"/>
        <v>AW</v>
      </c>
      <c r="P425" s="150">
        <f t="shared" si="76"/>
        <v>424</v>
      </c>
      <c r="Q425" s="150" t="e">
        <f t="shared" si="77"/>
        <v>#N/A</v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str">
        <f t="shared" si="73"/>
        <v>AW</v>
      </c>
      <c r="N426" s="150">
        <f t="shared" si="74"/>
        <v>425</v>
      </c>
      <c r="O426" s="150" t="str">
        <f t="shared" si="75"/>
        <v>AW</v>
      </c>
      <c r="P426" s="150">
        <f t="shared" si="76"/>
        <v>425</v>
      </c>
      <c r="Q426" s="150" t="e">
        <f t="shared" si="77"/>
        <v>#N/A</v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str">
        <f t="shared" si="73"/>
        <v>AW</v>
      </c>
      <c r="N427" s="150">
        <f t="shared" si="74"/>
        <v>426</v>
      </c>
      <c r="O427" s="150" t="str">
        <f t="shared" si="75"/>
        <v>AW</v>
      </c>
      <c r="P427" s="150">
        <f t="shared" si="76"/>
        <v>426</v>
      </c>
      <c r="Q427" s="150" t="e">
        <f t="shared" si="77"/>
        <v>#N/A</v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str">
        <f t="shared" si="73"/>
        <v>AW</v>
      </c>
      <c r="N428" s="150">
        <f t="shared" si="74"/>
        <v>427</v>
      </c>
      <c r="O428" s="150" t="str">
        <f t="shared" si="75"/>
        <v>AW</v>
      </c>
      <c r="P428" s="150">
        <f t="shared" si="76"/>
        <v>427</v>
      </c>
      <c r="Q428" s="150" t="e">
        <f t="shared" si="77"/>
        <v>#N/A</v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str">
        <f t="shared" si="73"/>
        <v>AW</v>
      </c>
      <c r="N429" s="150">
        <f t="shared" si="74"/>
        <v>428</v>
      </c>
      <c r="O429" s="150" t="str">
        <f t="shared" si="75"/>
        <v>AW</v>
      </c>
      <c r="P429" s="150">
        <f t="shared" si="76"/>
        <v>428</v>
      </c>
      <c r="Q429" s="150" t="e">
        <f t="shared" si="77"/>
        <v>#N/A</v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str">
        <f t="shared" si="73"/>
        <v>AW</v>
      </c>
      <c r="N430" s="150">
        <f t="shared" si="74"/>
        <v>429</v>
      </c>
      <c r="O430" s="150" t="str">
        <f t="shared" si="75"/>
        <v>AW</v>
      </c>
      <c r="P430" s="150">
        <f t="shared" si="76"/>
        <v>429</v>
      </c>
      <c r="Q430" s="150" t="e">
        <f t="shared" si="77"/>
        <v>#N/A</v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str">
        <f t="shared" si="73"/>
        <v>AW</v>
      </c>
      <c r="N431" s="150">
        <f t="shared" si="74"/>
        <v>430</v>
      </c>
      <c r="O431" s="150" t="str">
        <f t="shared" si="75"/>
        <v>AW</v>
      </c>
      <c r="P431" s="150">
        <f t="shared" si="76"/>
        <v>430</v>
      </c>
      <c r="Q431" s="150" t="e">
        <f t="shared" si="77"/>
        <v>#N/A</v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str">
        <f t="shared" si="73"/>
        <v>AW</v>
      </c>
      <c r="N432" s="150">
        <f t="shared" si="74"/>
        <v>431</v>
      </c>
      <c r="O432" s="150" t="str">
        <f t="shared" si="75"/>
        <v>AW</v>
      </c>
      <c r="P432" s="150">
        <f t="shared" si="76"/>
        <v>431</v>
      </c>
      <c r="Q432" s="150" t="e">
        <f t="shared" si="77"/>
        <v>#N/A</v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str">
        <f t="shared" si="73"/>
        <v>AW</v>
      </c>
      <c r="N433" s="150">
        <f t="shared" si="74"/>
        <v>432</v>
      </c>
      <c r="O433" s="150" t="str">
        <f t="shared" si="75"/>
        <v>AW</v>
      </c>
      <c r="P433" s="150">
        <f t="shared" si="76"/>
        <v>432</v>
      </c>
      <c r="Q433" s="150" t="e">
        <f t="shared" si="77"/>
        <v>#N/A</v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str">
        <f t="shared" si="73"/>
        <v>AW</v>
      </c>
      <c r="N434" s="150">
        <f t="shared" si="74"/>
        <v>433</v>
      </c>
      <c r="O434" s="150" t="str">
        <f t="shared" si="75"/>
        <v>AW</v>
      </c>
      <c r="P434" s="150">
        <f t="shared" si="76"/>
        <v>433</v>
      </c>
      <c r="Q434" s="150" t="e">
        <f t="shared" si="77"/>
        <v>#N/A</v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str">
        <f t="shared" si="73"/>
        <v>AW</v>
      </c>
      <c r="N435" s="150">
        <f t="shared" si="74"/>
        <v>434</v>
      </c>
      <c r="O435" s="150" t="str">
        <f t="shared" si="75"/>
        <v>AW</v>
      </c>
      <c r="P435" s="150">
        <f t="shared" si="76"/>
        <v>434</v>
      </c>
      <c r="Q435" s="150" t="e">
        <f t="shared" si="77"/>
        <v>#N/A</v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str">
        <f t="shared" si="73"/>
        <v>AW</v>
      </c>
      <c r="N436" s="150">
        <f t="shared" si="74"/>
        <v>435</v>
      </c>
      <c r="O436" s="150" t="str">
        <f t="shared" si="75"/>
        <v>AW</v>
      </c>
      <c r="P436" s="150">
        <f t="shared" si="76"/>
        <v>435</v>
      </c>
      <c r="Q436" s="150" t="e">
        <f t="shared" si="77"/>
        <v>#N/A</v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str">
        <f t="shared" si="73"/>
        <v>AW</v>
      </c>
      <c r="N437" s="150">
        <f t="shared" si="74"/>
        <v>436</v>
      </c>
      <c r="O437" s="150" t="str">
        <f t="shared" si="75"/>
        <v>AW</v>
      </c>
      <c r="P437" s="150">
        <f t="shared" si="76"/>
        <v>436</v>
      </c>
      <c r="Q437" s="150" t="e">
        <f t="shared" si="77"/>
        <v>#N/A</v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str">
        <f t="shared" si="73"/>
        <v>AW</v>
      </c>
      <c r="N438" s="150">
        <f t="shared" si="74"/>
        <v>437</v>
      </c>
      <c r="O438" s="150" t="str">
        <f t="shared" si="75"/>
        <v>AW</v>
      </c>
      <c r="P438" s="150">
        <f t="shared" si="76"/>
        <v>437</v>
      </c>
      <c r="Q438" s="150" t="e">
        <f t="shared" si="77"/>
        <v>#N/A</v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str">
        <f t="shared" si="73"/>
        <v>AW</v>
      </c>
      <c r="N439" s="150">
        <f t="shared" si="74"/>
        <v>438</v>
      </c>
      <c r="O439" s="150" t="str">
        <f t="shared" si="75"/>
        <v>AW</v>
      </c>
      <c r="P439" s="150">
        <f t="shared" si="76"/>
        <v>438</v>
      </c>
      <c r="Q439" s="150" t="e">
        <f t="shared" si="77"/>
        <v>#N/A</v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str">
        <f t="shared" si="73"/>
        <v>AW</v>
      </c>
      <c r="N440" s="150">
        <f t="shared" si="74"/>
        <v>439</v>
      </c>
      <c r="O440" s="150" t="str">
        <f t="shared" si="75"/>
        <v>AW</v>
      </c>
      <c r="P440" s="150">
        <f t="shared" si="76"/>
        <v>439</v>
      </c>
      <c r="Q440" s="150" t="e">
        <f t="shared" si="77"/>
        <v>#N/A</v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str">
        <f t="shared" si="73"/>
        <v>AW</v>
      </c>
      <c r="N441" s="150">
        <f t="shared" si="74"/>
        <v>440</v>
      </c>
      <c r="O441" s="150" t="str">
        <f t="shared" si="75"/>
        <v>AW</v>
      </c>
      <c r="P441" s="150">
        <f t="shared" si="76"/>
        <v>440</v>
      </c>
      <c r="Q441" s="150" t="e">
        <f t="shared" si="77"/>
        <v>#N/A</v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str">
        <f t="shared" si="73"/>
        <v>AW</v>
      </c>
      <c r="N442" s="150">
        <f t="shared" si="74"/>
        <v>441</v>
      </c>
      <c r="O442" s="150" t="str">
        <f t="shared" si="75"/>
        <v>AW</v>
      </c>
      <c r="P442" s="150">
        <f t="shared" si="76"/>
        <v>441</v>
      </c>
      <c r="Q442" s="150" t="e">
        <f t="shared" si="77"/>
        <v>#N/A</v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str">
        <f t="shared" si="73"/>
        <v>AW</v>
      </c>
      <c r="N443" s="150">
        <f t="shared" si="74"/>
        <v>442</v>
      </c>
      <c r="O443" s="150" t="str">
        <f t="shared" si="75"/>
        <v>AW</v>
      </c>
      <c r="P443" s="150">
        <f t="shared" si="76"/>
        <v>442</v>
      </c>
      <c r="Q443" s="150" t="e">
        <f t="shared" si="77"/>
        <v>#N/A</v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str">
        <f t="shared" si="73"/>
        <v>AW</v>
      </c>
      <c r="N444" s="150">
        <f t="shared" si="74"/>
        <v>443</v>
      </c>
      <c r="O444" s="150" t="str">
        <f t="shared" si="75"/>
        <v>AW</v>
      </c>
      <c r="P444" s="150">
        <f t="shared" si="76"/>
        <v>443</v>
      </c>
      <c r="Q444" s="150" t="e">
        <f t="shared" si="77"/>
        <v>#N/A</v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str">
        <f t="shared" si="73"/>
        <v>AW</v>
      </c>
      <c r="N445" s="150">
        <f t="shared" si="74"/>
        <v>444</v>
      </c>
      <c r="O445" s="150" t="str">
        <f t="shared" si="75"/>
        <v>AW</v>
      </c>
      <c r="P445" s="150">
        <f t="shared" si="76"/>
        <v>444</v>
      </c>
      <c r="Q445" s="150" t="e">
        <f t="shared" si="77"/>
        <v>#N/A</v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str">
        <f t="shared" si="73"/>
        <v>AW</v>
      </c>
      <c r="N446" s="150">
        <f t="shared" si="74"/>
        <v>445</v>
      </c>
      <c r="O446" s="150" t="str">
        <f t="shared" si="75"/>
        <v>AW</v>
      </c>
      <c r="P446" s="150">
        <f t="shared" si="76"/>
        <v>445</v>
      </c>
      <c r="Q446" s="150" t="e">
        <f t="shared" si="77"/>
        <v>#N/A</v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str">
        <f t="shared" si="73"/>
        <v>AW</v>
      </c>
      <c r="N447" s="150">
        <f t="shared" si="74"/>
        <v>446</v>
      </c>
      <c r="O447" s="150" t="str">
        <f t="shared" si="75"/>
        <v>AW</v>
      </c>
      <c r="P447" s="150">
        <f t="shared" si="76"/>
        <v>446</v>
      </c>
      <c r="Q447" s="150" t="e">
        <f t="shared" si="77"/>
        <v>#N/A</v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str">
        <f t="shared" si="73"/>
        <v>AW</v>
      </c>
      <c r="N448" s="150">
        <f t="shared" si="74"/>
        <v>447</v>
      </c>
      <c r="O448" s="150" t="str">
        <f t="shared" si="75"/>
        <v>AW</v>
      </c>
      <c r="P448" s="150">
        <f t="shared" si="76"/>
        <v>447</v>
      </c>
      <c r="Q448" s="150" t="e">
        <f t="shared" si="77"/>
        <v>#N/A</v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str">
        <f t="shared" si="73"/>
        <v>AW</v>
      </c>
      <c r="N449" s="150">
        <f t="shared" si="74"/>
        <v>448</v>
      </c>
      <c r="O449" s="150" t="str">
        <f t="shared" si="75"/>
        <v>AW</v>
      </c>
      <c r="P449" s="150">
        <f t="shared" si="76"/>
        <v>448</v>
      </c>
      <c r="Q449" s="150" t="e">
        <f t="shared" si="77"/>
        <v>#N/A</v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str">
        <f t="shared" si="73"/>
        <v>AW</v>
      </c>
      <c r="N450" s="150">
        <f t="shared" si="74"/>
        <v>449</v>
      </c>
      <c r="O450" s="150" t="str">
        <f t="shared" si="75"/>
        <v>AW</v>
      </c>
      <c r="P450" s="150">
        <f t="shared" si="76"/>
        <v>449</v>
      </c>
      <c r="Q450" s="150" t="e">
        <f t="shared" si="77"/>
        <v>#N/A</v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str">
        <f t="shared" ref="M451:M514" si="85">IF(L451="","",IF(L451&lt;=$E$15,VLOOKUP($E$14,$I$1:$J$4,2,FALSE),VLOOKUP($F$14,$I$1:$J$4,2,FALSE)))</f>
        <v>AW</v>
      </c>
      <c r="N451" s="150">
        <f t="shared" ref="N451:N514" si="86">IF($B$20&gt;=K451,K451,"")</f>
        <v>450</v>
      </c>
      <c r="O451" s="150" t="str">
        <f t="shared" ref="O451:O514" si="87">IF(N451="","",IF(N451&lt;=$E$22,VLOOKUP($E$21,$I$1:$J$4,2,FALSE),VLOOKUP($F$21,$I$1:$J$4,2,FALSE)))</f>
        <v>AW</v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str">
        <f t="shared" si="85"/>
        <v>AW</v>
      </c>
      <c r="N452" s="150">
        <f t="shared" si="86"/>
        <v>451</v>
      </c>
      <c r="O452" s="150" t="str">
        <f t="shared" si="87"/>
        <v>AW</v>
      </c>
      <c r="P452" s="150">
        <f t="shared" si="88"/>
        <v>451</v>
      </c>
      <c r="Q452" s="150" t="e">
        <f t="shared" si="89"/>
        <v>#N/A</v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str">
        <f t="shared" si="85"/>
        <v>AW</v>
      </c>
      <c r="N453" s="150">
        <f t="shared" si="86"/>
        <v>452</v>
      </c>
      <c r="O453" s="150" t="str">
        <f t="shared" si="87"/>
        <v>AW</v>
      </c>
      <c r="P453" s="150">
        <f t="shared" si="88"/>
        <v>452</v>
      </c>
      <c r="Q453" s="150" t="e">
        <f t="shared" si="89"/>
        <v>#N/A</v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str">
        <f t="shared" si="85"/>
        <v>AW</v>
      </c>
      <c r="N454" s="150">
        <f t="shared" si="86"/>
        <v>453</v>
      </c>
      <c r="O454" s="150" t="str">
        <f t="shared" si="87"/>
        <v>AW</v>
      </c>
      <c r="P454" s="150">
        <f t="shared" si="88"/>
        <v>453</v>
      </c>
      <c r="Q454" s="150" t="e">
        <f t="shared" si="89"/>
        <v>#N/A</v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str">
        <f t="shared" si="85"/>
        <v>AW</v>
      </c>
      <c r="N455" s="150">
        <f t="shared" si="86"/>
        <v>454</v>
      </c>
      <c r="O455" s="150" t="str">
        <f t="shared" si="87"/>
        <v>AW</v>
      </c>
      <c r="P455" s="150">
        <f t="shared" si="88"/>
        <v>454</v>
      </c>
      <c r="Q455" s="150" t="e">
        <f t="shared" si="89"/>
        <v>#N/A</v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str">
        <f t="shared" si="85"/>
        <v>AW</v>
      </c>
      <c r="N456" s="150">
        <f t="shared" si="86"/>
        <v>455</v>
      </c>
      <c r="O456" s="150" t="str">
        <f t="shared" si="87"/>
        <v>AW</v>
      </c>
      <c r="P456" s="150">
        <f t="shared" si="88"/>
        <v>455</v>
      </c>
      <c r="Q456" s="150" t="e">
        <f t="shared" si="89"/>
        <v>#N/A</v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str">
        <f t="shared" si="85"/>
        <v>AW</v>
      </c>
      <c r="N457" s="150">
        <f t="shared" si="86"/>
        <v>456</v>
      </c>
      <c r="O457" s="150" t="str">
        <f t="shared" si="87"/>
        <v>AW</v>
      </c>
      <c r="P457" s="150">
        <f t="shared" si="88"/>
        <v>456</v>
      </c>
      <c r="Q457" s="150" t="e">
        <f t="shared" si="89"/>
        <v>#N/A</v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str">
        <f t="shared" si="85"/>
        <v>AW</v>
      </c>
      <c r="N458" s="150">
        <f t="shared" si="86"/>
        <v>457</v>
      </c>
      <c r="O458" s="150" t="str">
        <f t="shared" si="87"/>
        <v>AW</v>
      </c>
      <c r="P458" s="150">
        <f t="shared" si="88"/>
        <v>457</v>
      </c>
      <c r="Q458" s="150" t="e">
        <f t="shared" si="89"/>
        <v>#N/A</v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str">
        <f t="shared" si="85"/>
        <v>AW</v>
      </c>
      <c r="N459" s="150">
        <f t="shared" si="86"/>
        <v>458</v>
      </c>
      <c r="O459" s="150" t="str">
        <f t="shared" si="87"/>
        <v>AW</v>
      </c>
      <c r="P459" s="150">
        <f t="shared" si="88"/>
        <v>458</v>
      </c>
      <c r="Q459" s="150" t="e">
        <f t="shared" si="89"/>
        <v>#N/A</v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str">
        <f t="shared" si="85"/>
        <v>AW</v>
      </c>
      <c r="N460" s="150">
        <f t="shared" si="86"/>
        <v>459</v>
      </c>
      <c r="O460" s="150" t="str">
        <f t="shared" si="87"/>
        <v>AW</v>
      </c>
      <c r="P460" s="150">
        <f t="shared" si="88"/>
        <v>459</v>
      </c>
      <c r="Q460" s="150" t="e">
        <f t="shared" si="89"/>
        <v>#N/A</v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str">
        <f t="shared" si="85"/>
        <v>AW</v>
      </c>
      <c r="N461" s="150">
        <f t="shared" si="86"/>
        <v>460</v>
      </c>
      <c r="O461" s="150" t="str">
        <f t="shared" si="87"/>
        <v>AW</v>
      </c>
      <c r="P461" s="150">
        <f t="shared" si="88"/>
        <v>460</v>
      </c>
      <c r="Q461" s="150" t="e">
        <f t="shared" si="89"/>
        <v>#N/A</v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str">
        <f t="shared" si="85"/>
        <v>AW</v>
      </c>
      <c r="N462" s="150">
        <f t="shared" si="86"/>
        <v>461</v>
      </c>
      <c r="O462" s="150" t="str">
        <f t="shared" si="87"/>
        <v>AW</v>
      </c>
      <c r="P462" s="150">
        <f t="shared" si="88"/>
        <v>461</v>
      </c>
      <c r="Q462" s="150" t="e">
        <f t="shared" si="89"/>
        <v>#N/A</v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str">
        <f t="shared" si="85"/>
        <v>AW</v>
      </c>
      <c r="N463" s="150">
        <f t="shared" si="86"/>
        <v>462</v>
      </c>
      <c r="O463" s="150" t="str">
        <f t="shared" si="87"/>
        <v>AW</v>
      </c>
      <c r="P463" s="150">
        <f t="shared" si="88"/>
        <v>462</v>
      </c>
      <c r="Q463" s="150" t="e">
        <f t="shared" si="89"/>
        <v>#N/A</v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str">
        <f t="shared" si="85"/>
        <v>AW</v>
      </c>
      <c r="N464" s="150">
        <f t="shared" si="86"/>
        <v>463</v>
      </c>
      <c r="O464" s="150" t="str">
        <f t="shared" si="87"/>
        <v>AW</v>
      </c>
      <c r="P464" s="150">
        <f t="shared" si="88"/>
        <v>463</v>
      </c>
      <c r="Q464" s="150" t="e">
        <f t="shared" si="89"/>
        <v>#N/A</v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str">
        <f t="shared" si="85"/>
        <v>AW</v>
      </c>
      <c r="N465" s="150">
        <f t="shared" si="86"/>
        <v>464</v>
      </c>
      <c r="O465" s="150" t="str">
        <f t="shared" si="87"/>
        <v>AW</v>
      </c>
      <c r="P465" s="150">
        <f t="shared" si="88"/>
        <v>464</v>
      </c>
      <c r="Q465" s="150" t="e">
        <f t="shared" si="89"/>
        <v>#N/A</v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str">
        <f t="shared" si="85"/>
        <v>AW</v>
      </c>
      <c r="N466" s="150">
        <f t="shared" si="86"/>
        <v>465</v>
      </c>
      <c r="O466" s="150" t="str">
        <f t="shared" si="87"/>
        <v>AW</v>
      </c>
      <c r="P466" s="150">
        <f t="shared" si="88"/>
        <v>465</v>
      </c>
      <c r="Q466" s="150" t="e">
        <f t="shared" si="89"/>
        <v>#N/A</v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str">
        <f t="shared" si="85"/>
        <v>AW</v>
      </c>
      <c r="N467" s="150">
        <f t="shared" si="86"/>
        <v>466</v>
      </c>
      <c r="O467" s="150" t="str">
        <f t="shared" si="87"/>
        <v>AW</v>
      </c>
      <c r="P467" s="150">
        <f t="shared" si="88"/>
        <v>466</v>
      </c>
      <c r="Q467" s="150" t="e">
        <f t="shared" si="89"/>
        <v>#N/A</v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str">
        <f t="shared" si="85"/>
        <v>AW</v>
      </c>
      <c r="N468" s="150">
        <f t="shared" si="86"/>
        <v>467</v>
      </c>
      <c r="O468" s="150" t="str">
        <f t="shared" si="87"/>
        <v>AW</v>
      </c>
      <c r="P468" s="150">
        <f t="shared" si="88"/>
        <v>467</v>
      </c>
      <c r="Q468" s="150" t="e">
        <f t="shared" si="89"/>
        <v>#N/A</v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str">
        <f t="shared" si="85"/>
        <v>AW</v>
      </c>
      <c r="N469" s="150">
        <f t="shared" si="86"/>
        <v>468</v>
      </c>
      <c r="O469" s="150" t="str">
        <f t="shared" si="87"/>
        <v>AW</v>
      </c>
      <c r="P469" s="150">
        <f t="shared" si="88"/>
        <v>468</v>
      </c>
      <c r="Q469" s="150" t="e">
        <f t="shared" si="89"/>
        <v>#N/A</v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str">
        <f t="shared" si="85"/>
        <v>AW</v>
      </c>
      <c r="N470" s="150">
        <f t="shared" si="86"/>
        <v>469</v>
      </c>
      <c r="O470" s="150" t="str">
        <f t="shared" si="87"/>
        <v>AW</v>
      </c>
      <c r="P470" s="150">
        <f t="shared" si="88"/>
        <v>469</v>
      </c>
      <c r="Q470" s="150" t="e">
        <f t="shared" si="89"/>
        <v>#N/A</v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str">
        <f t="shared" si="85"/>
        <v>AW</v>
      </c>
      <c r="N471" s="150">
        <f t="shared" si="86"/>
        <v>470</v>
      </c>
      <c r="O471" s="150" t="str">
        <f t="shared" si="87"/>
        <v>AW</v>
      </c>
      <c r="P471" s="150">
        <f t="shared" si="88"/>
        <v>470</v>
      </c>
      <c r="Q471" s="150" t="e">
        <f t="shared" si="89"/>
        <v>#N/A</v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str">
        <f t="shared" si="85"/>
        <v>AW</v>
      </c>
      <c r="N472" s="150">
        <f t="shared" si="86"/>
        <v>471</v>
      </c>
      <c r="O472" s="150" t="str">
        <f t="shared" si="87"/>
        <v>AW</v>
      </c>
      <c r="P472" s="150">
        <f t="shared" si="88"/>
        <v>471</v>
      </c>
      <c r="Q472" s="150" t="e">
        <f t="shared" si="89"/>
        <v>#N/A</v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str">
        <f t="shared" si="85"/>
        <v>AW</v>
      </c>
      <c r="N473" s="150">
        <f t="shared" si="86"/>
        <v>472</v>
      </c>
      <c r="O473" s="150" t="str">
        <f t="shared" si="87"/>
        <v>AW</v>
      </c>
      <c r="P473" s="150">
        <f t="shared" si="88"/>
        <v>472</v>
      </c>
      <c r="Q473" s="150" t="e">
        <f t="shared" si="89"/>
        <v>#N/A</v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str">
        <f t="shared" si="85"/>
        <v>AW</v>
      </c>
      <c r="N474" s="150">
        <f t="shared" si="86"/>
        <v>473</v>
      </c>
      <c r="O474" s="150" t="str">
        <f t="shared" si="87"/>
        <v>AW</v>
      </c>
      <c r="P474" s="150">
        <f t="shared" si="88"/>
        <v>473</v>
      </c>
      <c r="Q474" s="150" t="e">
        <f t="shared" si="89"/>
        <v>#N/A</v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str">
        <f t="shared" si="85"/>
        <v>AW</v>
      </c>
      <c r="N475" s="150">
        <f t="shared" si="86"/>
        <v>474</v>
      </c>
      <c r="O475" s="150" t="str">
        <f t="shared" si="87"/>
        <v>AW</v>
      </c>
      <c r="P475" s="150">
        <f t="shared" si="88"/>
        <v>474</v>
      </c>
      <c r="Q475" s="150" t="e">
        <f t="shared" si="89"/>
        <v>#N/A</v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str">
        <f t="shared" si="85"/>
        <v>AW</v>
      </c>
      <c r="N476" s="150">
        <f t="shared" si="86"/>
        <v>475</v>
      </c>
      <c r="O476" s="150" t="str">
        <f t="shared" si="87"/>
        <v>AW</v>
      </c>
      <c r="P476" s="150">
        <f t="shared" si="88"/>
        <v>475</v>
      </c>
      <c r="Q476" s="150" t="e">
        <f t="shared" si="89"/>
        <v>#N/A</v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str">
        <f t="shared" si="85"/>
        <v>AW</v>
      </c>
      <c r="N477" s="150">
        <f t="shared" si="86"/>
        <v>476</v>
      </c>
      <c r="O477" s="150" t="str">
        <f t="shared" si="87"/>
        <v>AW</v>
      </c>
      <c r="P477" s="150">
        <f t="shared" si="88"/>
        <v>476</v>
      </c>
      <c r="Q477" s="150" t="e">
        <f t="shared" si="89"/>
        <v>#N/A</v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str">
        <f t="shared" si="85"/>
        <v>AW</v>
      </c>
      <c r="N478" s="150">
        <f t="shared" si="86"/>
        <v>477</v>
      </c>
      <c r="O478" s="150" t="str">
        <f t="shared" si="87"/>
        <v>AW</v>
      </c>
      <c r="P478" s="150">
        <f t="shared" si="88"/>
        <v>477</v>
      </c>
      <c r="Q478" s="150" t="e">
        <f t="shared" si="89"/>
        <v>#N/A</v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str">
        <f t="shared" si="85"/>
        <v>AW</v>
      </c>
      <c r="N479" s="150">
        <f t="shared" si="86"/>
        <v>478</v>
      </c>
      <c r="O479" s="150" t="str">
        <f t="shared" si="87"/>
        <v>AW</v>
      </c>
      <c r="P479" s="150">
        <f t="shared" si="88"/>
        <v>478</v>
      </c>
      <c r="Q479" s="150" t="e">
        <f t="shared" si="89"/>
        <v>#N/A</v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str">
        <f t="shared" si="85"/>
        <v>AW</v>
      </c>
      <c r="N480" s="150">
        <f t="shared" si="86"/>
        <v>479</v>
      </c>
      <c r="O480" s="150" t="str">
        <f t="shared" si="87"/>
        <v>AW</v>
      </c>
      <c r="P480" s="150">
        <f t="shared" si="88"/>
        <v>479</v>
      </c>
      <c r="Q480" s="150" t="e">
        <f t="shared" si="89"/>
        <v>#N/A</v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str">
        <f t="shared" si="85"/>
        <v>AW</v>
      </c>
      <c r="N481" s="150">
        <f t="shared" si="86"/>
        <v>480</v>
      </c>
      <c r="O481" s="150" t="str">
        <f t="shared" si="87"/>
        <v>AW</v>
      </c>
      <c r="P481" s="150">
        <f t="shared" si="88"/>
        <v>480</v>
      </c>
      <c r="Q481" s="150" t="e">
        <f t="shared" si="89"/>
        <v>#N/A</v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str">
        <f t="shared" si="85"/>
        <v>AW</v>
      </c>
      <c r="N482" s="150">
        <f t="shared" si="86"/>
        <v>481</v>
      </c>
      <c r="O482" s="150" t="str">
        <f t="shared" si="87"/>
        <v>AW</v>
      </c>
      <c r="P482" s="150">
        <f t="shared" si="88"/>
        <v>481</v>
      </c>
      <c r="Q482" s="150" t="e">
        <f t="shared" si="89"/>
        <v>#N/A</v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str">
        <f t="shared" si="85"/>
        <v>AW</v>
      </c>
      <c r="N483" s="150">
        <f t="shared" si="86"/>
        <v>482</v>
      </c>
      <c r="O483" s="150" t="str">
        <f t="shared" si="87"/>
        <v>AW</v>
      </c>
      <c r="P483" s="150">
        <f t="shared" si="88"/>
        <v>482</v>
      </c>
      <c r="Q483" s="150" t="e">
        <f t="shared" si="89"/>
        <v>#N/A</v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str">
        <f t="shared" si="85"/>
        <v>AW</v>
      </c>
      <c r="N484" s="150">
        <f t="shared" si="86"/>
        <v>483</v>
      </c>
      <c r="O484" s="150" t="str">
        <f t="shared" si="87"/>
        <v>AW</v>
      </c>
      <c r="P484" s="150">
        <f t="shared" si="88"/>
        <v>483</v>
      </c>
      <c r="Q484" s="150" t="e">
        <f t="shared" si="89"/>
        <v>#N/A</v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str">
        <f t="shared" si="85"/>
        <v>AW</v>
      </c>
      <c r="N485" s="150">
        <f t="shared" si="86"/>
        <v>484</v>
      </c>
      <c r="O485" s="150" t="str">
        <f t="shared" si="87"/>
        <v>AW</v>
      </c>
      <c r="P485" s="150">
        <f t="shared" si="88"/>
        <v>484</v>
      </c>
      <c r="Q485" s="150" t="e">
        <f t="shared" si="89"/>
        <v>#N/A</v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str">
        <f t="shared" si="85"/>
        <v>AW</v>
      </c>
      <c r="N486" s="150">
        <f t="shared" si="86"/>
        <v>485</v>
      </c>
      <c r="O486" s="150" t="str">
        <f t="shared" si="87"/>
        <v>AW</v>
      </c>
      <c r="P486" s="150">
        <f t="shared" si="88"/>
        <v>485</v>
      </c>
      <c r="Q486" s="150" t="e">
        <f t="shared" si="89"/>
        <v>#N/A</v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str">
        <f t="shared" si="85"/>
        <v>AW</v>
      </c>
      <c r="N487" s="150">
        <f t="shared" si="86"/>
        <v>486</v>
      </c>
      <c r="O487" s="150" t="str">
        <f t="shared" si="87"/>
        <v>AW</v>
      </c>
      <c r="P487" s="150">
        <f t="shared" si="88"/>
        <v>486</v>
      </c>
      <c r="Q487" s="150" t="e">
        <f t="shared" si="89"/>
        <v>#N/A</v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str">
        <f t="shared" si="85"/>
        <v>AW</v>
      </c>
      <c r="N488" s="150">
        <f t="shared" si="86"/>
        <v>487</v>
      </c>
      <c r="O488" s="150" t="str">
        <f t="shared" si="87"/>
        <v>AW</v>
      </c>
      <c r="P488" s="150">
        <f t="shared" si="88"/>
        <v>487</v>
      </c>
      <c r="Q488" s="150" t="e">
        <f t="shared" si="89"/>
        <v>#N/A</v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str">
        <f t="shared" si="85"/>
        <v>AW</v>
      </c>
      <c r="N489" s="150">
        <f t="shared" si="86"/>
        <v>488</v>
      </c>
      <c r="O489" s="150" t="str">
        <f t="shared" si="87"/>
        <v>AW</v>
      </c>
      <c r="P489" s="150">
        <f t="shared" si="88"/>
        <v>488</v>
      </c>
      <c r="Q489" s="150" t="e">
        <f t="shared" si="89"/>
        <v>#N/A</v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str">
        <f t="shared" si="85"/>
        <v>AW</v>
      </c>
      <c r="N490" s="150">
        <f t="shared" si="86"/>
        <v>489</v>
      </c>
      <c r="O490" s="150" t="str">
        <f t="shared" si="87"/>
        <v>AW</v>
      </c>
      <c r="P490" s="150">
        <f t="shared" si="88"/>
        <v>489</v>
      </c>
      <c r="Q490" s="150" t="e">
        <f t="shared" si="89"/>
        <v>#N/A</v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str">
        <f t="shared" si="85"/>
        <v>AW</v>
      </c>
      <c r="N491" s="150">
        <f t="shared" si="86"/>
        <v>490</v>
      </c>
      <c r="O491" s="150" t="str">
        <f t="shared" si="87"/>
        <v>AW</v>
      </c>
      <c r="P491" s="150">
        <f t="shared" si="88"/>
        <v>490</v>
      </c>
      <c r="Q491" s="150" t="e">
        <f t="shared" si="89"/>
        <v>#N/A</v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str">
        <f t="shared" si="85"/>
        <v>AW</v>
      </c>
      <c r="N492" s="150">
        <f t="shared" si="86"/>
        <v>491</v>
      </c>
      <c r="O492" s="150" t="str">
        <f t="shared" si="87"/>
        <v>AW</v>
      </c>
      <c r="P492" s="150">
        <f t="shared" si="88"/>
        <v>491</v>
      </c>
      <c r="Q492" s="150" t="e">
        <f t="shared" si="89"/>
        <v>#N/A</v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str">
        <f t="shared" si="85"/>
        <v>AW</v>
      </c>
      <c r="N493" s="150">
        <f t="shared" si="86"/>
        <v>492</v>
      </c>
      <c r="O493" s="150" t="str">
        <f t="shared" si="87"/>
        <v>AW</v>
      </c>
      <c r="P493" s="150">
        <f t="shared" si="88"/>
        <v>492</v>
      </c>
      <c r="Q493" s="150" t="e">
        <f t="shared" si="89"/>
        <v>#N/A</v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str">
        <f t="shared" si="85"/>
        <v>AW</v>
      </c>
      <c r="N494" s="150">
        <f t="shared" si="86"/>
        <v>493</v>
      </c>
      <c r="O494" s="150" t="str">
        <f t="shared" si="87"/>
        <v>AW</v>
      </c>
      <c r="P494" s="150">
        <f t="shared" si="88"/>
        <v>493</v>
      </c>
      <c r="Q494" s="150" t="e">
        <f t="shared" si="89"/>
        <v>#N/A</v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str">
        <f t="shared" si="85"/>
        <v>AW</v>
      </c>
      <c r="N495" s="150">
        <f t="shared" si="86"/>
        <v>494</v>
      </c>
      <c r="O495" s="150" t="str">
        <f t="shared" si="87"/>
        <v>AW</v>
      </c>
      <c r="P495" s="150">
        <f t="shared" si="88"/>
        <v>494</v>
      </c>
      <c r="Q495" s="150" t="e">
        <f t="shared" si="89"/>
        <v>#N/A</v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str">
        <f t="shared" si="85"/>
        <v>AW</v>
      </c>
      <c r="N496" s="150">
        <f t="shared" si="86"/>
        <v>495</v>
      </c>
      <c r="O496" s="150" t="str">
        <f t="shared" si="87"/>
        <v>AW</v>
      </c>
      <c r="P496" s="150">
        <f t="shared" si="88"/>
        <v>495</v>
      </c>
      <c r="Q496" s="150" t="e">
        <f t="shared" si="89"/>
        <v>#N/A</v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str">
        <f t="shared" si="85"/>
        <v>AW</v>
      </c>
      <c r="N497" s="150">
        <f t="shared" si="86"/>
        <v>496</v>
      </c>
      <c r="O497" s="150" t="str">
        <f t="shared" si="87"/>
        <v>AW</v>
      </c>
      <c r="P497" s="150">
        <f t="shared" si="88"/>
        <v>496</v>
      </c>
      <c r="Q497" s="150" t="e">
        <f t="shared" si="89"/>
        <v>#N/A</v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str">
        <f t="shared" si="85"/>
        <v>AW</v>
      </c>
      <c r="N498" s="150">
        <f t="shared" si="86"/>
        <v>497</v>
      </c>
      <c r="O498" s="150" t="str">
        <f t="shared" si="87"/>
        <v>AW</v>
      </c>
      <c r="P498" s="150">
        <f t="shared" si="88"/>
        <v>497</v>
      </c>
      <c r="Q498" s="150" t="e">
        <f t="shared" si="89"/>
        <v>#N/A</v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str">
        <f t="shared" si="85"/>
        <v>AW</v>
      </c>
      <c r="N499" s="150">
        <f t="shared" si="86"/>
        <v>498</v>
      </c>
      <c r="O499" s="150" t="str">
        <f t="shared" si="87"/>
        <v>AW</v>
      </c>
      <c r="P499" s="150">
        <f t="shared" si="88"/>
        <v>498</v>
      </c>
      <c r="Q499" s="150" t="e">
        <f t="shared" si="89"/>
        <v>#N/A</v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str">
        <f t="shared" si="85"/>
        <v>AW</v>
      </c>
      <c r="N500" s="150">
        <f t="shared" si="86"/>
        <v>499</v>
      </c>
      <c r="O500" s="150" t="str">
        <f t="shared" si="87"/>
        <v>AW</v>
      </c>
      <c r="P500" s="150">
        <f t="shared" si="88"/>
        <v>499</v>
      </c>
      <c r="Q500" s="150" t="e">
        <f t="shared" si="89"/>
        <v>#N/A</v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str">
        <f t="shared" si="85"/>
        <v>AW</v>
      </c>
      <c r="N501" s="150">
        <f t="shared" si="86"/>
        <v>500</v>
      </c>
      <c r="O501" s="150" t="str">
        <f t="shared" si="87"/>
        <v>AW</v>
      </c>
      <c r="P501" s="150">
        <f t="shared" si="88"/>
        <v>500</v>
      </c>
      <c r="Q501" s="150" t="e">
        <f t="shared" si="89"/>
        <v>#N/A</v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str">
        <f t="shared" si="85"/>
        <v>AW</v>
      </c>
      <c r="N502" s="150">
        <f t="shared" si="86"/>
        <v>501</v>
      </c>
      <c r="O502" s="150" t="str">
        <f t="shared" si="87"/>
        <v>AW</v>
      </c>
      <c r="P502" s="150">
        <f t="shared" si="88"/>
        <v>501</v>
      </c>
      <c r="Q502" s="150" t="e">
        <f t="shared" si="89"/>
        <v>#N/A</v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str">
        <f t="shared" si="85"/>
        <v>AW</v>
      </c>
      <c r="N503" s="150">
        <f t="shared" si="86"/>
        <v>502</v>
      </c>
      <c r="O503" s="150" t="str">
        <f t="shared" si="87"/>
        <v>AW</v>
      </c>
      <c r="P503" s="150">
        <f t="shared" si="88"/>
        <v>502</v>
      </c>
      <c r="Q503" s="150" t="e">
        <f t="shared" si="89"/>
        <v>#N/A</v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str">
        <f t="shared" si="85"/>
        <v>AW</v>
      </c>
      <c r="N504" s="150">
        <f t="shared" si="86"/>
        <v>503</v>
      </c>
      <c r="O504" s="150" t="str">
        <f t="shared" si="87"/>
        <v>AW</v>
      </c>
      <c r="P504" s="150">
        <f t="shared" si="88"/>
        <v>503</v>
      </c>
      <c r="Q504" s="150" t="e">
        <f t="shared" si="89"/>
        <v>#N/A</v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str">
        <f t="shared" si="85"/>
        <v>AW</v>
      </c>
      <c r="N505" s="150">
        <f t="shared" si="86"/>
        <v>504</v>
      </c>
      <c r="O505" s="150" t="str">
        <f t="shared" si="87"/>
        <v>AW</v>
      </c>
      <c r="P505" s="150">
        <f t="shared" si="88"/>
        <v>504</v>
      </c>
      <c r="Q505" s="150" t="e">
        <f t="shared" si="89"/>
        <v>#N/A</v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str">
        <f t="shared" si="85"/>
        <v>AW</v>
      </c>
      <c r="N506" s="150">
        <f t="shared" si="86"/>
        <v>505</v>
      </c>
      <c r="O506" s="150" t="str">
        <f t="shared" si="87"/>
        <v>AW</v>
      </c>
      <c r="P506" s="150">
        <f t="shared" si="88"/>
        <v>505</v>
      </c>
      <c r="Q506" s="150" t="e">
        <f t="shared" si="89"/>
        <v>#N/A</v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str">
        <f t="shared" si="85"/>
        <v>AW</v>
      </c>
      <c r="N507" s="150">
        <f t="shared" si="86"/>
        <v>506</v>
      </c>
      <c r="O507" s="150" t="str">
        <f t="shared" si="87"/>
        <v>AW</v>
      </c>
      <c r="P507" s="150">
        <f t="shared" si="88"/>
        <v>506</v>
      </c>
      <c r="Q507" s="150" t="e">
        <f t="shared" si="89"/>
        <v>#N/A</v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str">
        <f t="shared" si="85"/>
        <v>AW</v>
      </c>
      <c r="N508" s="150">
        <f t="shared" si="86"/>
        <v>507</v>
      </c>
      <c r="O508" s="150" t="str">
        <f t="shared" si="87"/>
        <v>AW</v>
      </c>
      <c r="P508" s="150">
        <f t="shared" si="88"/>
        <v>507</v>
      </c>
      <c r="Q508" s="150" t="e">
        <f t="shared" si="89"/>
        <v>#N/A</v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str">
        <f t="shared" si="85"/>
        <v>AW</v>
      </c>
      <c r="N509" s="150">
        <f t="shared" si="86"/>
        <v>508</v>
      </c>
      <c r="O509" s="150" t="str">
        <f t="shared" si="87"/>
        <v>AW</v>
      </c>
      <c r="P509" s="150">
        <f t="shared" si="88"/>
        <v>508</v>
      </c>
      <c r="Q509" s="150" t="e">
        <f t="shared" si="89"/>
        <v>#N/A</v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str">
        <f t="shared" si="85"/>
        <v>AW</v>
      </c>
      <c r="N510" s="150">
        <f t="shared" si="86"/>
        <v>509</v>
      </c>
      <c r="O510" s="150" t="str">
        <f t="shared" si="87"/>
        <v>AW</v>
      </c>
      <c r="P510" s="150">
        <f t="shared" si="88"/>
        <v>509</v>
      </c>
      <c r="Q510" s="150" t="e">
        <f t="shared" si="89"/>
        <v>#N/A</v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str">
        <f t="shared" si="85"/>
        <v>AW</v>
      </c>
      <c r="N511" s="150">
        <f t="shared" si="86"/>
        <v>510</v>
      </c>
      <c r="O511" s="150" t="str">
        <f t="shared" si="87"/>
        <v>AW</v>
      </c>
      <c r="P511" s="150">
        <f t="shared" si="88"/>
        <v>510</v>
      </c>
      <c r="Q511" s="150" t="e">
        <f t="shared" si="89"/>
        <v>#N/A</v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str">
        <f t="shared" si="85"/>
        <v>AW</v>
      </c>
      <c r="N512" s="150">
        <f t="shared" si="86"/>
        <v>511</v>
      </c>
      <c r="O512" s="150" t="str">
        <f t="shared" si="87"/>
        <v>AW</v>
      </c>
      <c r="P512" s="150">
        <f t="shared" si="88"/>
        <v>511</v>
      </c>
      <c r="Q512" s="150" t="e">
        <f t="shared" si="89"/>
        <v>#N/A</v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str">
        <f t="shared" si="85"/>
        <v>AW</v>
      </c>
      <c r="N513" s="150">
        <f t="shared" si="86"/>
        <v>512</v>
      </c>
      <c r="O513" s="150" t="str">
        <f t="shared" si="87"/>
        <v>AW</v>
      </c>
      <c r="P513" s="150">
        <f t="shared" si="88"/>
        <v>512</v>
      </c>
      <c r="Q513" s="150" t="e">
        <f t="shared" si="89"/>
        <v>#N/A</v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str">
        <f t="shared" si="85"/>
        <v>AW</v>
      </c>
      <c r="N514" s="150">
        <f t="shared" si="86"/>
        <v>513</v>
      </c>
      <c r="O514" s="150" t="str">
        <f t="shared" si="87"/>
        <v>AW</v>
      </c>
      <c r="P514" s="150">
        <f t="shared" si="88"/>
        <v>513</v>
      </c>
      <c r="Q514" s="150" t="e">
        <f t="shared" si="89"/>
        <v>#N/A</v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str">
        <f t="shared" ref="M515:M578" si="97">IF(L515="","",IF(L515&lt;=$E$15,VLOOKUP($E$14,$I$1:$J$4,2,FALSE),VLOOKUP($F$14,$I$1:$J$4,2,FALSE)))</f>
        <v>AW</v>
      </c>
      <c r="N515" s="150">
        <f t="shared" ref="N515:N578" si="98">IF($B$20&gt;=K515,K515,"")</f>
        <v>514</v>
      </c>
      <c r="O515" s="150" t="str">
        <f t="shared" ref="O515:O578" si="99">IF(N515="","",IF(N515&lt;=$E$22,VLOOKUP($E$21,$I$1:$J$4,2,FALSE),VLOOKUP($F$21,$I$1:$J$4,2,FALSE)))</f>
        <v>AW</v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str">
        <f t="shared" si="97"/>
        <v>AW</v>
      </c>
      <c r="N516" s="150">
        <f t="shared" si="98"/>
        <v>515</v>
      </c>
      <c r="O516" s="150" t="str">
        <f t="shared" si="99"/>
        <v>AW</v>
      </c>
      <c r="P516" s="150">
        <f t="shared" si="100"/>
        <v>515</v>
      </c>
      <c r="Q516" s="150" t="e">
        <f t="shared" si="101"/>
        <v>#N/A</v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str">
        <f t="shared" si="97"/>
        <v>AW</v>
      </c>
      <c r="N517" s="150">
        <f t="shared" si="98"/>
        <v>516</v>
      </c>
      <c r="O517" s="150" t="str">
        <f t="shared" si="99"/>
        <v>AW</v>
      </c>
      <c r="P517" s="150">
        <f t="shared" si="100"/>
        <v>516</v>
      </c>
      <c r="Q517" s="150" t="e">
        <f t="shared" si="101"/>
        <v>#N/A</v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str">
        <f t="shared" si="97"/>
        <v>AW</v>
      </c>
      <c r="N518" s="150">
        <f t="shared" si="98"/>
        <v>517</v>
      </c>
      <c r="O518" s="150" t="str">
        <f t="shared" si="99"/>
        <v>AW</v>
      </c>
      <c r="P518" s="150">
        <f t="shared" si="100"/>
        <v>517</v>
      </c>
      <c r="Q518" s="150" t="e">
        <f t="shared" si="101"/>
        <v>#N/A</v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str">
        <f t="shared" si="97"/>
        <v>AW</v>
      </c>
      <c r="N519" s="150">
        <f t="shared" si="98"/>
        <v>518</v>
      </c>
      <c r="O519" s="150" t="str">
        <f t="shared" si="99"/>
        <v>AW</v>
      </c>
      <c r="P519" s="150">
        <f t="shared" si="100"/>
        <v>518</v>
      </c>
      <c r="Q519" s="150" t="e">
        <f t="shared" si="101"/>
        <v>#N/A</v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str">
        <f t="shared" si="97"/>
        <v>AW</v>
      </c>
      <c r="N520" s="150">
        <f t="shared" si="98"/>
        <v>519</v>
      </c>
      <c r="O520" s="150" t="str">
        <f t="shared" si="99"/>
        <v>AW</v>
      </c>
      <c r="P520" s="150">
        <f t="shared" si="100"/>
        <v>519</v>
      </c>
      <c r="Q520" s="150" t="e">
        <f t="shared" si="101"/>
        <v>#N/A</v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str">
        <f t="shared" si="97"/>
        <v>AW</v>
      </c>
      <c r="N521" s="150">
        <f t="shared" si="98"/>
        <v>520</v>
      </c>
      <c r="O521" s="150" t="str">
        <f t="shared" si="99"/>
        <v>AW</v>
      </c>
      <c r="P521" s="150">
        <f t="shared" si="100"/>
        <v>520</v>
      </c>
      <c r="Q521" s="150" t="e">
        <f t="shared" si="101"/>
        <v>#N/A</v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str">
        <f t="shared" si="97"/>
        <v>AW</v>
      </c>
      <c r="N522" s="150">
        <f t="shared" si="98"/>
        <v>521</v>
      </c>
      <c r="O522" s="150" t="str">
        <f t="shared" si="99"/>
        <v>AW</v>
      </c>
      <c r="P522" s="150">
        <f t="shared" si="100"/>
        <v>521</v>
      </c>
      <c r="Q522" s="150" t="e">
        <f t="shared" si="101"/>
        <v>#N/A</v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str">
        <f t="shared" si="97"/>
        <v>AW</v>
      </c>
      <c r="N523" s="150">
        <f t="shared" si="98"/>
        <v>522</v>
      </c>
      <c r="O523" s="150" t="str">
        <f t="shared" si="99"/>
        <v>AW</v>
      </c>
      <c r="P523" s="150">
        <f t="shared" si="100"/>
        <v>522</v>
      </c>
      <c r="Q523" s="150" t="e">
        <f t="shared" si="101"/>
        <v>#N/A</v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str">
        <f t="shared" si="97"/>
        <v>AW</v>
      </c>
      <c r="N524" s="150">
        <f t="shared" si="98"/>
        <v>523</v>
      </c>
      <c r="O524" s="150" t="str">
        <f t="shared" si="99"/>
        <v>AW</v>
      </c>
      <c r="P524" s="150">
        <f t="shared" si="100"/>
        <v>523</v>
      </c>
      <c r="Q524" s="150" t="e">
        <f t="shared" si="101"/>
        <v>#N/A</v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str">
        <f t="shared" si="97"/>
        <v>AW</v>
      </c>
      <c r="N525" s="150">
        <f t="shared" si="98"/>
        <v>524</v>
      </c>
      <c r="O525" s="150" t="str">
        <f t="shared" si="99"/>
        <v>AW</v>
      </c>
      <c r="P525" s="150">
        <f t="shared" si="100"/>
        <v>524</v>
      </c>
      <c r="Q525" s="150" t="e">
        <f t="shared" si="101"/>
        <v>#N/A</v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str">
        <f t="shared" si="97"/>
        <v>AW</v>
      </c>
      <c r="N526" s="150">
        <f t="shared" si="98"/>
        <v>525</v>
      </c>
      <c r="O526" s="150" t="str">
        <f t="shared" si="99"/>
        <v>AW</v>
      </c>
      <c r="P526" s="150">
        <f t="shared" si="100"/>
        <v>525</v>
      </c>
      <c r="Q526" s="150" t="e">
        <f t="shared" si="101"/>
        <v>#N/A</v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str">
        <f t="shared" si="97"/>
        <v>AW</v>
      </c>
      <c r="N527" s="150">
        <f t="shared" si="98"/>
        <v>526</v>
      </c>
      <c r="O527" s="150" t="str">
        <f t="shared" si="99"/>
        <v>AW</v>
      </c>
      <c r="P527" s="150">
        <f t="shared" si="100"/>
        <v>526</v>
      </c>
      <c r="Q527" s="150" t="e">
        <f t="shared" si="101"/>
        <v>#N/A</v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str">
        <f t="shared" si="97"/>
        <v>AW</v>
      </c>
      <c r="N528" s="150">
        <f t="shared" si="98"/>
        <v>527</v>
      </c>
      <c r="O528" s="150" t="str">
        <f t="shared" si="99"/>
        <v>AW</v>
      </c>
      <c r="P528" s="150">
        <f t="shared" si="100"/>
        <v>527</v>
      </c>
      <c r="Q528" s="150" t="e">
        <f t="shared" si="101"/>
        <v>#N/A</v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str">
        <f t="shared" si="97"/>
        <v>AW</v>
      </c>
      <c r="N529" s="150">
        <f t="shared" si="98"/>
        <v>528</v>
      </c>
      <c r="O529" s="150" t="str">
        <f t="shared" si="99"/>
        <v>AW</v>
      </c>
      <c r="P529" s="150">
        <f t="shared" si="100"/>
        <v>528</v>
      </c>
      <c r="Q529" s="150" t="e">
        <f t="shared" si="101"/>
        <v>#N/A</v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str">
        <f t="shared" si="97"/>
        <v>AW</v>
      </c>
      <c r="N530" s="150">
        <f t="shared" si="98"/>
        <v>529</v>
      </c>
      <c r="O530" s="150" t="str">
        <f t="shared" si="99"/>
        <v>AW</v>
      </c>
      <c r="P530" s="150">
        <f t="shared" si="100"/>
        <v>529</v>
      </c>
      <c r="Q530" s="150" t="e">
        <f t="shared" si="101"/>
        <v>#N/A</v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str">
        <f t="shared" si="97"/>
        <v>AW</v>
      </c>
      <c r="N531" s="150">
        <f t="shared" si="98"/>
        <v>530</v>
      </c>
      <c r="O531" s="150" t="str">
        <f t="shared" si="99"/>
        <v>AW</v>
      </c>
      <c r="P531" s="150">
        <f t="shared" si="100"/>
        <v>530</v>
      </c>
      <c r="Q531" s="150" t="e">
        <f t="shared" si="101"/>
        <v>#N/A</v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str">
        <f t="shared" si="97"/>
        <v>AW</v>
      </c>
      <c r="N532" s="150">
        <f t="shared" si="98"/>
        <v>531</v>
      </c>
      <c r="O532" s="150" t="str">
        <f t="shared" si="99"/>
        <v>AW</v>
      </c>
      <c r="P532" s="150">
        <f t="shared" si="100"/>
        <v>531</v>
      </c>
      <c r="Q532" s="150" t="e">
        <f t="shared" si="101"/>
        <v>#N/A</v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str">
        <f t="shared" si="97"/>
        <v>AW</v>
      </c>
      <c r="N533" s="150">
        <f t="shared" si="98"/>
        <v>532</v>
      </c>
      <c r="O533" s="150" t="str">
        <f t="shared" si="99"/>
        <v>AW</v>
      </c>
      <c r="P533" s="150">
        <f t="shared" si="100"/>
        <v>532</v>
      </c>
      <c r="Q533" s="150" t="e">
        <f t="shared" si="101"/>
        <v>#N/A</v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str">
        <f t="shared" si="97"/>
        <v>AW</v>
      </c>
      <c r="N534" s="150">
        <f t="shared" si="98"/>
        <v>533</v>
      </c>
      <c r="O534" s="150" t="str">
        <f t="shared" si="99"/>
        <v>AW</v>
      </c>
      <c r="P534" s="150">
        <f t="shared" si="100"/>
        <v>533</v>
      </c>
      <c r="Q534" s="150" t="e">
        <f t="shared" si="101"/>
        <v>#N/A</v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str">
        <f t="shared" si="97"/>
        <v>AW</v>
      </c>
      <c r="N535" s="150">
        <f t="shared" si="98"/>
        <v>534</v>
      </c>
      <c r="O535" s="150" t="str">
        <f t="shared" si="99"/>
        <v>AW</v>
      </c>
      <c r="P535" s="150">
        <f t="shared" si="100"/>
        <v>534</v>
      </c>
      <c r="Q535" s="150" t="e">
        <f t="shared" si="101"/>
        <v>#N/A</v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str">
        <f t="shared" si="97"/>
        <v>AW</v>
      </c>
      <c r="N536" s="150">
        <f t="shared" si="98"/>
        <v>535</v>
      </c>
      <c r="O536" s="150" t="str">
        <f t="shared" si="99"/>
        <v>AW</v>
      </c>
      <c r="P536" s="150">
        <f t="shared" si="100"/>
        <v>535</v>
      </c>
      <c r="Q536" s="150" t="e">
        <f t="shared" si="101"/>
        <v>#N/A</v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str">
        <f t="shared" si="97"/>
        <v>AW</v>
      </c>
      <c r="N537" s="150">
        <f t="shared" si="98"/>
        <v>536</v>
      </c>
      <c r="O537" s="150" t="str">
        <f t="shared" si="99"/>
        <v>AW</v>
      </c>
      <c r="P537" s="150">
        <f t="shared" si="100"/>
        <v>536</v>
      </c>
      <c r="Q537" s="150" t="e">
        <f t="shared" si="101"/>
        <v>#N/A</v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str">
        <f t="shared" si="97"/>
        <v>AW</v>
      </c>
      <c r="N538" s="150">
        <f t="shared" si="98"/>
        <v>537</v>
      </c>
      <c r="O538" s="150" t="str">
        <f t="shared" si="99"/>
        <v>AW</v>
      </c>
      <c r="P538" s="150">
        <f t="shared" si="100"/>
        <v>537</v>
      </c>
      <c r="Q538" s="150" t="e">
        <f t="shared" si="101"/>
        <v>#N/A</v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str">
        <f t="shared" si="97"/>
        <v>AW</v>
      </c>
      <c r="N539" s="150">
        <f t="shared" si="98"/>
        <v>538</v>
      </c>
      <c r="O539" s="150" t="str">
        <f t="shared" si="99"/>
        <v>AW</v>
      </c>
      <c r="P539" s="150">
        <f t="shared" si="100"/>
        <v>538</v>
      </c>
      <c r="Q539" s="150" t="e">
        <f t="shared" si="101"/>
        <v>#N/A</v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str">
        <f t="shared" si="97"/>
        <v>AW</v>
      </c>
      <c r="N540" s="150">
        <f t="shared" si="98"/>
        <v>539</v>
      </c>
      <c r="O540" s="150" t="str">
        <f t="shared" si="99"/>
        <v>AW</v>
      </c>
      <c r="P540" s="150">
        <f t="shared" si="100"/>
        <v>539</v>
      </c>
      <c r="Q540" s="150" t="e">
        <f t="shared" si="101"/>
        <v>#N/A</v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str">
        <f t="shared" si="97"/>
        <v>AW</v>
      </c>
      <c r="N541" s="150">
        <f t="shared" si="98"/>
        <v>540</v>
      </c>
      <c r="O541" s="150" t="str">
        <f t="shared" si="99"/>
        <v>AW</v>
      </c>
      <c r="P541" s="150">
        <f t="shared" si="100"/>
        <v>540</v>
      </c>
      <c r="Q541" s="150" t="e">
        <f t="shared" si="101"/>
        <v>#N/A</v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str">
        <f t="shared" si="97"/>
        <v>AW</v>
      </c>
      <c r="N542" s="150">
        <f t="shared" si="98"/>
        <v>541</v>
      </c>
      <c r="O542" s="150" t="str">
        <f t="shared" si="99"/>
        <v>AW</v>
      </c>
      <c r="P542" s="150">
        <f t="shared" si="100"/>
        <v>541</v>
      </c>
      <c r="Q542" s="150" t="e">
        <f t="shared" si="101"/>
        <v>#N/A</v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str">
        <f t="shared" si="97"/>
        <v>AW</v>
      </c>
      <c r="N543" s="150">
        <f t="shared" si="98"/>
        <v>542</v>
      </c>
      <c r="O543" s="150" t="str">
        <f t="shared" si="99"/>
        <v>AW</v>
      </c>
      <c r="P543" s="150">
        <f t="shared" si="100"/>
        <v>542</v>
      </c>
      <c r="Q543" s="150" t="e">
        <f t="shared" si="101"/>
        <v>#N/A</v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str">
        <f t="shared" si="97"/>
        <v>AW</v>
      </c>
      <c r="N544" s="150">
        <f t="shared" si="98"/>
        <v>543</v>
      </c>
      <c r="O544" s="150" t="str">
        <f t="shared" si="99"/>
        <v>AW</v>
      </c>
      <c r="P544" s="150">
        <f t="shared" si="100"/>
        <v>543</v>
      </c>
      <c r="Q544" s="150" t="e">
        <f t="shared" si="101"/>
        <v>#N/A</v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str">
        <f t="shared" si="97"/>
        <v>AW</v>
      </c>
      <c r="N545" s="150">
        <f t="shared" si="98"/>
        <v>544</v>
      </c>
      <c r="O545" s="150" t="str">
        <f t="shared" si="99"/>
        <v>AW</v>
      </c>
      <c r="P545" s="150">
        <f t="shared" si="100"/>
        <v>544</v>
      </c>
      <c r="Q545" s="150" t="e">
        <f t="shared" si="101"/>
        <v>#N/A</v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str">
        <f t="shared" si="97"/>
        <v>AW</v>
      </c>
      <c r="N546" s="150">
        <f t="shared" si="98"/>
        <v>545</v>
      </c>
      <c r="O546" s="150" t="str">
        <f t="shared" si="99"/>
        <v>AW</v>
      </c>
      <c r="P546" s="150">
        <f t="shared" si="100"/>
        <v>545</v>
      </c>
      <c r="Q546" s="150" t="e">
        <f t="shared" si="101"/>
        <v>#N/A</v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str">
        <f t="shared" si="97"/>
        <v>AW</v>
      </c>
      <c r="N547" s="150">
        <f t="shared" si="98"/>
        <v>546</v>
      </c>
      <c r="O547" s="150" t="str">
        <f t="shared" si="99"/>
        <v>AW</v>
      </c>
      <c r="P547" s="150">
        <f t="shared" si="100"/>
        <v>546</v>
      </c>
      <c r="Q547" s="150" t="e">
        <f t="shared" si="101"/>
        <v>#N/A</v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str">
        <f t="shared" si="97"/>
        <v>AW</v>
      </c>
      <c r="N548" s="150">
        <f t="shared" si="98"/>
        <v>547</v>
      </c>
      <c r="O548" s="150" t="str">
        <f t="shared" si="99"/>
        <v>AW</v>
      </c>
      <c r="P548" s="150">
        <f t="shared" si="100"/>
        <v>547</v>
      </c>
      <c r="Q548" s="150" t="e">
        <f t="shared" si="101"/>
        <v>#N/A</v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str">
        <f t="shared" si="97"/>
        <v>AW</v>
      </c>
      <c r="N549" s="150">
        <f t="shared" si="98"/>
        <v>548</v>
      </c>
      <c r="O549" s="150" t="str">
        <f t="shared" si="99"/>
        <v>AW</v>
      </c>
      <c r="P549" s="150">
        <f t="shared" si="100"/>
        <v>548</v>
      </c>
      <c r="Q549" s="150" t="e">
        <f t="shared" si="101"/>
        <v>#N/A</v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str">
        <f t="shared" si="97"/>
        <v>AW</v>
      </c>
      <c r="N550" s="150">
        <f t="shared" si="98"/>
        <v>549</v>
      </c>
      <c r="O550" s="150" t="str">
        <f t="shared" si="99"/>
        <v>AW</v>
      </c>
      <c r="P550" s="150">
        <f t="shared" si="100"/>
        <v>549</v>
      </c>
      <c r="Q550" s="150" t="e">
        <f t="shared" si="101"/>
        <v>#N/A</v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str">
        <f t="shared" si="97"/>
        <v>AW</v>
      </c>
      <c r="N551" s="150">
        <f t="shared" si="98"/>
        <v>550</v>
      </c>
      <c r="O551" s="150" t="str">
        <f t="shared" si="99"/>
        <v>AW</v>
      </c>
      <c r="P551" s="150">
        <f t="shared" si="100"/>
        <v>550</v>
      </c>
      <c r="Q551" s="150" t="e">
        <f t="shared" si="101"/>
        <v>#N/A</v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str">
        <f t="shared" si="97"/>
        <v>AW</v>
      </c>
      <c r="N552" s="150">
        <f t="shared" si="98"/>
        <v>551</v>
      </c>
      <c r="O552" s="150" t="str">
        <f t="shared" si="99"/>
        <v>AW</v>
      </c>
      <c r="P552" s="150">
        <f t="shared" si="100"/>
        <v>551</v>
      </c>
      <c r="Q552" s="150" t="e">
        <f t="shared" si="101"/>
        <v>#N/A</v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str">
        <f t="shared" si="97"/>
        <v>AW</v>
      </c>
      <c r="N553" s="150">
        <f t="shared" si="98"/>
        <v>552</v>
      </c>
      <c r="O553" s="150" t="str">
        <f t="shared" si="99"/>
        <v>AW</v>
      </c>
      <c r="P553" s="150">
        <f t="shared" si="100"/>
        <v>552</v>
      </c>
      <c r="Q553" s="150" t="e">
        <f t="shared" si="101"/>
        <v>#N/A</v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str">
        <f t="shared" si="97"/>
        <v>AW</v>
      </c>
      <c r="N554" s="150">
        <f t="shared" si="98"/>
        <v>553</v>
      </c>
      <c r="O554" s="150" t="str">
        <f t="shared" si="99"/>
        <v>AW</v>
      </c>
      <c r="P554" s="150">
        <f t="shared" si="100"/>
        <v>553</v>
      </c>
      <c r="Q554" s="150" t="e">
        <f t="shared" si="101"/>
        <v>#N/A</v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str">
        <f t="shared" si="97"/>
        <v>AW</v>
      </c>
      <c r="N555" s="150">
        <f t="shared" si="98"/>
        <v>554</v>
      </c>
      <c r="O555" s="150" t="str">
        <f t="shared" si="99"/>
        <v>AW</v>
      </c>
      <c r="P555" s="150">
        <f t="shared" si="100"/>
        <v>554</v>
      </c>
      <c r="Q555" s="150" t="e">
        <f t="shared" si="101"/>
        <v>#N/A</v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str">
        <f t="shared" si="97"/>
        <v>AW</v>
      </c>
      <c r="N556" s="150">
        <f t="shared" si="98"/>
        <v>555</v>
      </c>
      <c r="O556" s="150" t="str">
        <f t="shared" si="99"/>
        <v>AW</v>
      </c>
      <c r="P556" s="150">
        <f t="shared" si="100"/>
        <v>555</v>
      </c>
      <c r="Q556" s="150" t="e">
        <f t="shared" si="101"/>
        <v>#N/A</v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str">
        <f t="shared" si="97"/>
        <v>AW</v>
      </c>
      <c r="N557" s="150">
        <f t="shared" si="98"/>
        <v>556</v>
      </c>
      <c r="O557" s="150" t="str">
        <f t="shared" si="99"/>
        <v>AW</v>
      </c>
      <c r="P557" s="150">
        <f t="shared" si="100"/>
        <v>556</v>
      </c>
      <c r="Q557" s="150" t="e">
        <f t="shared" si="101"/>
        <v>#N/A</v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str">
        <f t="shared" si="97"/>
        <v>AW</v>
      </c>
      <c r="N558" s="150">
        <f t="shared" si="98"/>
        <v>557</v>
      </c>
      <c r="O558" s="150" t="str">
        <f t="shared" si="99"/>
        <v>AW</v>
      </c>
      <c r="P558" s="150">
        <f t="shared" si="100"/>
        <v>557</v>
      </c>
      <c r="Q558" s="150" t="e">
        <f t="shared" si="101"/>
        <v>#N/A</v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str">
        <f t="shared" si="97"/>
        <v>AW</v>
      </c>
      <c r="N559" s="150">
        <f t="shared" si="98"/>
        <v>558</v>
      </c>
      <c r="O559" s="150" t="str">
        <f t="shared" si="99"/>
        <v>AW</v>
      </c>
      <c r="P559" s="150">
        <f t="shared" si="100"/>
        <v>558</v>
      </c>
      <c r="Q559" s="150" t="e">
        <f t="shared" si="101"/>
        <v>#N/A</v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str">
        <f t="shared" si="97"/>
        <v>AW</v>
      </c>
      <c r="N560" s="150">
        <f t="shared" si="98"/>
        <v>559</v>
      </c>
      <c r="O560" s="150" t="str">
        <f t="shared" si="99"/>
        <v>AW</v>
      </c>
      <c r="P560" s="150">
        <f t="shared" si="100"/>
        <v>559</v>
      </c>
      <c r="Q560" s="150" t="e">
        <f t="shared" si="101"/>
        <v>#N/A</v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str">
        <f t="shared" si="97"/>
        <v>AW</v>
      </c>
      <c r="N561" s="150">
        <f t="shared" si="98"/>
        <v>560</v>
      </c>
      <c r="O561" s="150" t="str">
        <f t="shared" si="99"/>
        <v>AW</v>
      </c>
      <c r="P561" s="150">
        <f t="shared" si="100"/>
        <v>560</v>
      </c>
      <c r="Q561" s="150" t="e">
        <f t="shared" si="101"/>
        <v>#N/A</v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str">
        <f t="shared" si="97"/>
        <v>AW</v>
      </c>
      <c r="N562" s="150">
        <f t="shared" si="98"/>
        <v>561</v>
      </c>
      <c r="O562" s="150" t="str">
        <f t="shared" si="99"/>
        <v>AW</v>
      </c>
      <c r="P562" s="150">
        <f t="shared" si="100"/>
        <v>561</v>
      </c>
      <c r="Q562" s="150" t="e">
        <f t="shared" si="101"/>
        <v>#N/A</v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str">
        <f t="shared" si="97"/>
        <v>AW</v>
      </c>
      <c r="N563" s="150">
        <f t="shared" si="98"/>
        <v>562</v>
      </c>
      <c r="O563" s="150" t="str">
        <f t="shared" si="99"/>
        <v>AW</v>
      </c>
      <c r="P563" s="150">
        <f t="shared" si="100"/>
        <v>562</v>
      </c>
      <c r="Q563" s="150" t="e">
        <f t="shared" si="101"/>
        <v>#N/A</v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str">
        <f t="shared" si="97"/>
        <v>AW</v>
      </c>
      <c r="N564" s="150">
        <f t="shared" si="98"/>
        <v>563</v>
      </c>
      <c r="O564" s="150" t="str">
        <f t="shared" si="99"/>
        <v>AW</v>
      </c>
      <c r="P564" s="150">
        <f t="shared" si="100"/>
        <v>563</v>
      </c>
      <c r="Q564" s="150" t="e">
        <f t="shared" si="101"/>
        <v>#N/A</v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str">
        <f t="shared" si="97"/>
        <v>AW</v>
      </c>
      <c r="N565" s="150">
        <f t="shared" si="98"/>
        <v>564</v>
      </c>
      <c r="O565" s="150" t="str">
        <f t="shared" si="99"/>
        <v>AW</v>
      </c>
      <c r="P565" s="150">
        <f t="shared" si="100"/>
        <v>564</v>
      </c>
      <c r="Q565" s="150" t="e">
        <f t="shared" si="101"/>
        <v>#N/A</v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str">
        <f t="shared" si="97"/>
        <v>AW</v>
      </c>
      <c r="N566" s="150">
        <f t="shared" si="98"/>
        <v>565</v>
      </c>
      <c r="O566" s="150" t="str">
        <f t="shared" si="99"/>
        <v>AW</v>
      </c>
      <c r="P566" s="150">
        <f t="shared" si="100"/>
        <v>565</v>
      </c>
      <c r="Q566" s="150" t="e">
        <f t="shared" si="101"/>
        <v>#N/A</v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str">
        <f t="shared" si="97"/>
        <v>AW</v>
      </c>
      <c r="N567" s="150">
        <f t="shared" si="98"/>
        <v>566</v>
      </c>
      <c r="O567" s="150" t="str">
        <f t="shared" si="99"/>
        <v>AW</v>
      </c>
      <c r="P567" s="150">
        <f t="shared" si="100"/>
        <v>566</v>
      </c>
      <c r="Q567" s="150" t="e">
        <f t="shared" si="101"/>
        <v>#N/A</v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str">
        <f t="shared" si="97"/>
        <v>AW</v>
      </c>
      <c r="N568" s="150">
        <f t="shared" si="98"/>
        <v>567</v>
      </c>
      <c r="O568" s="150" t="str">
        <f t="shared" si="99"/>
        <v>AW</v>
      </c>
      <c r="P568" s="150">
        <f t="shared" si="100"/>
        <v>567</v>
      </c>
      <c r="Q568" s="150" t="e">
        <f t="shared" si="101"/>
        <v>#N/A</v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str">
        <f t="shared" si="97"/>
        <v>AW</v>
      </c>
      <c r="N569" s="150">
        <f t="shared" si="98"/>
        <v>568</v>
      </c>
      <c r="O569" s="150" t="str">
        <f t="shared" si="99"/>
        <v>AW</v>
      </c>
      <c r="P569" s="150">
        <f t="shared" si="100"/>
        <v>568</v>
      </c>
      <c r="Q569" s="150" t="e">
        <f t="shared" si="101"/>
        <v>#N/A</v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str">
        <f t="shared" si="97"/>
        <v>AW</v>
      </c>
      <c r="N570" s="150">
        <f t="shared" si="98"/>
        <v>569</v>
      </c>
      <c r="O570" s="150" t="str">
        <f t="shared" si="99"/>
        <v>AW</v>
      </c>
      <c r="P570" s="150">
        <f t="shared" si="100"/>
        <v>569</v>
      </c>
      <c r="Q570" s="150" t="e">
        <f t="shared" si="101"/>
        <v>#N/A</v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str">
        <f t="shared" si="97"/>
        <v>AW</v>
      </c>
      <c r="N571" s="150">
        <f t="shared" si="98"/>
        <v>570</v>
      </c>
      <c r="O571" s="150" t="str">
        <f t="shared" si="99"/>
        <v>AW</v>
      </c>
      <c r="P571" s="150">
        <f t="shared" si="100"/>
        <v>570</v>
      </c>
      <c r="Q571" s="150" t="e">
        <f t="shared" si="101"/>
        <v>#N/A</v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str">
        <f t="shared" si="97"/>
        <v>AW</v>
      </c>
      <c r="N572" s="150">
        <f t="shared" si="98"/>
        <v>571</v>
      </c>
      <c r="O572" s="150" t="str">
        <f t="shared" si="99"/>
        <v>AW</v>
      </c>
      <c r="P572" s="150">
        <f t="shared" si="100"/>
        <v>571</v>
      </c>
      <c r="Q572" s="150" t="e">
        <f t="shared" si="101"/>
        <v>#N/A</v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str">
        <f t="shared" si="97"/>
        <v>AW</v>
      </c>
      <c r="N573" s="150">
        <f t="shared" si="98"/>
        <v>572</v>
      </c>
      <c r="O573" s="150" t="str">
        <f t="shared" si="99"/>
        <v>AW</v>
      </c>
      <c r="P573" s="150">
        <f t="shared" si="100"/>
        <v>572</v>
      </c>
      <c r="Q573" s="150" t="e">
        <f t="shared" si="101"/>
        <v>#N/A</v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str">
        <f t="shared" si="97"/>
        <v>AW</v>
      </c>
      <c r="N574" s="150">
        <f t="shared" si="98"/>
        <v>573</v>
      </c>
      <c r="O574" s="150" t="str">
        <f t="shared" si="99"/>
        <v>AW</v>
      </c>
      <c r="P574" s="150">
        <f t="shared" si="100"/>
        <v>573</v>
      </c>
      <c r="Q574" s="150" t="e">
        <f t="shared" si="101"/>
        <v>#N/A</v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str">
        <f t="shared" si="97"/>
        <v>AW</v>
      </c>
      <c r="N575" s="150">
        <f t="shared" si="98"/>
        <v>574</v>
      </c>
      <c r="O575" s="150" t="str">
        <f t="shared" si="99"/>
        <v>AW</v>
      </c>
      <c r="P575" s="150">
        <f t="shared" si="100"/>
        <v>574</v>
      </c>
      <c r="Q575" s="150" t="e">
        <f t="shared" si="101"/>
        <v>#N/A</v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str">
        <f t="shared" si="97"/>
        <v>AW</v>
      </c>
      <c r="N576" s="150">
        <f t="shared" si="98"/>
        <v>575</v>
      </c>
      <c r="O576" s="150" t="str">
        <f t="shared" si="99"/>
        <v>AW</v>
      </c>
      <c r="P576" s="150">
        <f t="shared" si="100"/>
        <v>575</v>
      </c>
      <c r="Q576" s="150" t="e">
        <f t="shared" si="101"/>
        <v>#N/A</v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str">
        <f t="shared" si="97"/>
        <v>AW</v>
      </c>
      <c r="N577" s="150">
        <f t="shared" si="98"/>
        <v>576</v>
      </c>
      <c r="O577" s="150" t="str">
        <f t="shared" si="99"/>
        <v>AW</v>
      </c>
      <c r="P577" s="150">
        <f t="shared" si="100"/>
        <v>576</v>
      </c>
      <c r="Q577" s="150" t="e">
        <f t="shared" si="101"/>
        <v>#N/A</v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str">
        <f t="shared" si="97"/>
        <v>AW</v>
      </c>
      <c r="N578" s="150">
        <f t="shared" si="98"/>
        <v>577</v>
      </c>
      <c r="O578" s="150" t="str">
        <f t="shared" si="99"/>
        <v>AW</v>
      </c>
      <c r="P578" s="150">
        <f t="shared" si="100"/>
        <v>577</v>
      </c>
      <c r="Q578" s="150" t="e">
        <f t="shared" si="101"/>
        <v>#N/A</v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str">
        <f t="shared" ref="M579:M642" si="109">IF(L579="","",IF(L579&lt;=$E$15,VLOOKUP($E$14,$I$1:$J$4,2,FALSE),VLOOKUP($F$14,$I$1:$J$4,2,FALSE)))</f>
        <v>AW</v>
      </c>
      <c r="N579" s="150">
        <f t="shared" ref="N579:N642" si="110">IF($B$20&gt;=K579,K579,"")</f>
        <v>578</v>
      </c>
      <c r="O579" s="150" t="str">
        <f t="shared" ref="O579:O642" si="111">IF(N579="","",IF(N579&lt;=$E$22,VLOOKUP($E$21,$I$1:$J$4,2,FALSE),VLOOKUP($F$21,$I$1:$J$4,2,FALSE)))</f>
        <v>AW</v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str">
        <f t="shared" si="109"/>
        <v>AW</v>
      </c>
      <c r="N580" s="150">
        <f t="shared" si="110"/>
        <v>579</v>
      </c>
      <c r="O580" s="150" t="str">
        <f t="shared" si="111"/>
        <v>AW</v>
      </c>
      <c r="P580" s="150">
        <f t="shared" si="112"/>
        <v>579</v>
      </c>
      <c r="Q580" s="150" t="e">
        <f t="shared" si="113"/>
        <v>#N/A</v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str">
        <f t="shared" si="109"/>
        <v>AW</v>
      </c>
      <c r="N581" s="150">
        <f t="shared" si="110"/>
        <v>580</v>
      </c>
      <c r="O581" s="150" t="str">
        <f t="shared" si="111"/>
        <v>AW</v>
      </c>
      <c r="P581" s="150">
        <f t="shared" si="112"/>
        <v>580</v>
      </c>
      <c r="Q581" s="150" t="e">
        <f t="shared" si="113"/>
        <v>#N/A</v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str">
        <f t="shared" si="109"/>
        <v>AW</v>
      </c>
      <c r="N582" s="150">
        <f t="shared" si="110"/>
        <v>581</v>
      </c>
      <c r="O582" s="150" t="str">
        <f t="shared" si="111"/>
        <v>AW</v>
      </c>
      <c r="P582" s="150">
        <f t="shared" si="112"/>
        <v>581</v>
      </c>
      <c r="Q582" s="150" t="e">
        <f t="shared" si="113"/>
        <v>#N/A</v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str">
        <f t="shared" si="109"/>
        <v>AW</v>
      </c>
      <c r="N583" s="150">
        <f t="shared" si="110"/>
        <v>582</v>
      </c>
      <c r="O583" s="150" t="str">
        <f t="shared" si="111"/>
        <v>AW</v>
      </c>
      <c r="P583" s="150">
        <f t="shared" si="112"/>
        <v>582</v>
      </c>
      <c r="Q583" s="150" t="e">
        <f t="shared" si="113"/>
        <v>#N/A</v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str">
        <f t="shared" si="109"/>
        <v>AW</v>
      </c>
      <c r="N584" s="150">
        <f t="shared" si="110"/>
        <v>583</v>
      </c>
      <c r="O584" s="150" t="str">
        <f t="shared" si="111"/>
        <v>AW</v>
      </c>
      <c r="P584" s="150">
        <f t="shared" si="112"/>
        <v>583</v>
      </c>
      <c r="Q584" s="150" t="e">
        <f t="shared" si="113"/>
        <v>#N/A</v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str">
        <f t="shared" si="109"/>
        <v>AW</v>
      </c>
      <c r="N585" s="150">
        <f t="shared" si="110"/>
        <v>584</v>
      </c>
      <c r="O585" s="150" t="str">
        <f t="shared" si="111"/>
        <v>AW</v>
      </c>
      <c r="P585" s="150">
        <f t="shared" si="112"/>
        <v>584</v>
      </c>
      <c r="Q585" s="150" t="e">
        <f t="shared" si="113"/>
        <v>#N/A</v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str">
        <f t="shared" si="109"/>
        <v>AW</v>
      </c>
      <c r="N586" s="150">
        <f t="shared" si="110"/>
        <v>585</v>
      </c>
      <c r="O586" s="150" t="str">
        <f t="shared" si="111"/>
        <v>AW</v>
      </c>
      <c r="P586" s="150">
        <f t="shared" si="112"/>
        <v>585</v>
      </c>
      <c r="Q586" s="150" t="e">
        <f t="shared" si="113"/>
        <v>#N/A</v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str">
        <f t="shared" si="109"/>
        <v>AW</v>
      </c>
      <c r="N587" s="150">
        <f t="shared" si="110"/>
        <v>586</v>
      </c>
      <c r="O587" s="150" t="str">
        <f t="shared" si="111"/>
        <v>AW</v>
      </c>
      <c r="P587" s="150">
        <f t="shared" si="112"/>
        <v>586</v>
      </c>
      <c r="Q587" s="150" t="e">
        <f t="shared" si="113"/>
        <v>#N/A</v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str">
        <f t="shared" si="109"/>
        <v>AW</v>
      </c>
      <c r="N588" s="150">
        <f t="shared" si="110"/>
        <v>587</v>
      </c>
      <c r="O588" s="150" t="str">
        <f t="shared" si="111"/>
        <v>AW</v>
      </c>
      <c r="P588" s="150">
        <f t="shared" si="112"/>
        <v>587</v>
      </c>
      <c r="Q588" s="150" t="e">
        <f t="shared" si="113"/>
        <v>#N/A</v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str">
        <f t="shared" si="109"/>
        <v>AW</v>
      </c>
      <c r="N589" s="150">
        <f t="shared" si="110"/>
        <v>588</v>
      </c>
      <c r="O589" s="150" t="str">
        <f t="shared" si="111"/>
        <v>AW</v>
      </c>
      <c r="P589" s="150">
        <f t="shared" si="112"/>
        <v>588</v>
      </c>
      <c r="Q589" s="150" t="e">
        <f t="shared" si="113"/>
        <v>#N/A</v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str">
        <f t="shared" si="109"/>
        <v>AW</v>
      </c>
      <c r="N590" s="150">
        <f t="shared" si="110"/>
        <v>589</v>
      </c>
      <c r="O590" s="150" t="str">
        <f t="shared" si="111"/>
        <v>AW</v>
      </c>
      <c r="P590" s="150">
        <f t="shared" si="112"/>
        <v>589</v>
      </c>
      <c r="Q590" s="150" t="e">
        <f t="shared" si="113"/>
        <v>#N/A</v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str">
        <f t="shared" si="109"/>
        <v>AW</v>
      </c>
      <c r="N591" s="150">
        <f t="shared" si="110"/>
        <v>590</v>
      </c>
      <c r="O591" s="150" t="str">
        <f t="shared" si="111"/>
        <v>AW</v>
      </c>
      <c r="P591" s="150">
        <f t="shared" si="112"/>
        <v>590</v>
      </c>
      <c r="Q591" s="150" t="e">
        <f t="shared" si="113"/>
        <v>#N/A</v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str">
        <f t="shared" si="109"/>
        <v>AW</v>
      </c>
      <c r="N592" s="150">
        <f t="shared" si="110"/>
        <v>591</v>
      </c>
      <c r="O592" s="150" t="str">
        <f t="shared" si="111"/>
        <v>AW</v>
      </c>
      <c r="P592" s="150">
        <f t="shared" si="112"/>
        <v>591</v>
      </c>
      <c r="Q592" s="150" t="e">
        <f t="shared" si="113"/>
        <v>#N/A</v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str">
        <f t="shared" si="109"/>
        <v>AW</v>
      </c>
      <c r="N593" s="150">
        <f t="shared" si="110"/>
        <v>592</v>
      </c>
      <c r="O593" s="150" t="str">
        <f t="shared" si="111"/>
        <v>AW</v>
      </c>
      <c r="P593" s="150">
        <f t="shared" si="112"/>
        <v>592</v>
      </c>
      <c r="Q593" s="150" t="e">
        <f t="shared" si="113"/>
        <v>#N/A</v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str">
        <f t="shared" si="109"/>
        <v>AW</v>
      </c>
      <c r="N594" s="150">
        <f t="shared" si="110"/>
        <v>593</v>
      </c>
      <c r="O594" s="150" t="str">
        <f t="shared" si="111"/>
        <v>AW</v>
      </c>
      <c r="P594" s="150">
        <f t="shared" si="112"/>
        <v>593</v>
      </c>
      <c r="Q594" s="150" t="e">
        <f t="shared" si="113"/>
        <v>#N/A</v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str">
        <f t="shared" si="109"/>
        <v>AW</v>
      </c>
      <c r="N595" s="150">
        <f t="shared" si="110"/>
        <v>594</v>
      </c>
      <c r="O595" s="150" t="str">
        <f t="shared" si="111"/>
        <v>AW</v>
      </c>
      <c r="P595" s="150">
        <f t="shared" si="112"/>
        <v>594</v>
      </c>
      <c r="Q595" s="150" t="e">
        <f t="shared" si="113"/>
        <v>#N/A</v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str">
        <f t="shared" si="109"/>
        <v>AW</v>
      </c>
      <c r="N596" s="150">
        <f t="shared" si="110"/>
        <v>595</v>
      </c>
      <c r="O596" s="150" t="str">
        <f t="shared" si="111"/>
        <v>AW</v>
      </c>
      <c r="P596" s="150">
        <f t="shared" si="112"/>
        <v>595</v>
      </c>
      <c r="Q596" s="150" t="e">
        <f t="shared" si="113"/>
        <v>#N/A</v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str">
        <f t="shared" si="109"/>
        <v>AW</v>
      </c>
      <c r="N597" s="150">
        <f t="shared" si="110"/>
        <v>596</v>
      </c>
      <c r="O597" s="150" t="str">
        <f t="shared" si="111"/>
        <v>AW</v>
      </c>
      <c r="P597" s="150">
        <f t="shared" si="112"/>
        <v>596</v>
      </c>
      <c r="Q597" s="150" t="e">
        <f t="shared" si="113"/>
        <v>#N/A</v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str">
        <f t="shared" si="109"/>
        <v>AW</v>
      </c>
      <c r="N598" s="150">
        <f t="shared" si="110"/>
        <v>597</v>
      </c>
      <c r="O598" s="150" t="str">
        <f t="shared" si="111"/>
        <v>AW</v>
      </c>
      <c r="P598" s="150">
        <f t="shared" si="112"/>
        <v>597</v>
      </c>
      <c r="Q598" s="150" t="e">
        <f t="shared" si="113"/>
        <v>#N/A</v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str">
        <f t="shared" si="109"/>
        <v>AW</v>
      </c>
      <c r="N599" s="150">
        <f t="shared" si="110"/>
        <v>598</v>
      </c>
      <c r="O599" s="150" t="str">
        <f t="shared" si="111"/>
        <v>AW</v>
      </c>
      <c r="P599" s="150">
        <f t="shared" si="112"/>
        <v>598</v>
      </c>
      <c r="Q599" s="150" t="e">
        <f t="shared" si="113"/>
        <v>#N/A</v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str">
        <f t="shared" si="109"/>
        <v>AW</v>
      </c>
      <c r="N600" s="150">
        <f t="shared" si="110"/>
        <v>599</v>
      </c>
      <c r="O600" s="150" t="str">
        <f t="shared" si="111"/>
        <v>AW</v>
      </c>
      <c r="P600" s="150">
        <f t="shared" si="112"/>
        <v>599</v>
      </c>
      <c r="Q600" s="150" t="e">
        <f t="shared" si="113"/>
        <v>#N/A</v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str">
        <f t="shared" si="109"/>
        <v>AW</v>
      </c>
      <c r="N601" s="150">
        <f t="shared" si="110"/>
        <v>600</v>
      </c>
      <c r="O601" s="150" t="str">
        <f t="shared" si="111"/>
        <v>AW</v>
      </c>
      <c r="P601" s="150">
        <f t="shared" si="112"/>
        <v>600</v>
      </c>
      <c r="Q601" s="150" t="e">
        <f t="shared" si="113"/>
        <v>#N/A</v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str">
        <f t="shared" si="109"/>
        <v>AW</v>
      </c>
      <c r="N602" s="150">
        <f t="shared" si="110"/>
        <v>601</v>
      </c>
      <c r="O602" s="150" t="str">
        <f t="shared" si="111"/>
        <v>AW</v>
      </c>
      <c r="P602" s="150">
        <f t="shared" si="112"/>
        <v>601</v>
      </c>
      <c r="Q602" s="150" t="e">
        <f t="shared" si="113"/>
        <v>#N/A</v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str">
        <f t="shared" si="109"/>
        <v>AW</v>
      </c>
      <c r="N603" s="150">
        <f t="shared" si="110"/>
        <v>602</v>
      </c>
      <c r="O603" s="150" t="str">
        <f t="shared" si="111"/>
        <v>AW</v>
      </c>
      <c r="P603" s="150">
        <f t="shared" si="112"/>
        <v>602</v>
      </c>
      <c r="Q603" s="150" t="e">
        <f t="shared" si="113"/>
        <v>#N/A</v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str">
        <f t="shared" si="109"/>
        <v>AW</v>
      </c>
      <c r="N604" s="150">
        <f t="shared" si="110"/>
        <v>603</v>
      </c>
      <c r="O604" s="150" t="str">
        <f t="shared" si="111"/>
        <v>AW</v>
      </c>
      <c r="P604" s="150">
        <f t="shared" si="112"/>
        <v>603</v>
      </c>
      <c r="Q604" s="150" t="e">
        <f t="shared" si="113"/>
        <v>#N/A</v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str">
        <f t="shared" si="109"/>
        <v>AW</v>
      </c>
      <c r="N605" s="150">
        <f t="shared" si="110"/>
        <v>604</v>
      </c>
      <c r="O605" s="150" t="str">
        <f t="shared" si="111"/>
        <v>AW</v>
      </c>
      <c r="P605" s="150">
        <f t="shared" si="112"/>
        <v>604</v>
      </c>
      <c r="Q605" s="150" t="e">
        <f t="shared" si="113"/>
        <v>#N/A</v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str">
        <f t="shared" si="109"/>
        <v>AW</v>
      </c>
      <c r="N606" s="150">
        <f t="shared" si="110"/>
        <v>605</v>
      </c>
      <c r="O606" s="150" t="str">
        <f t="shared" si="111"/>
        <v>AW</v>
      </c>
      <c r="P606" s="150">
        <f t="shared" si="112"/>
        <v>605</v>
      </c>
      <c r="Q606" s="150" t="e">
        <f t="shared" si="113"/>
        <v>#N/A</v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str">
        <f t="shared" si="109"/>
        <v>AW</v>
      </c>
      <c r="N607" s="150">
        <f t="shared" si="110"/>
        <v>606</v>
      </c>
      <c r="O607" s="150" t="str">
        <f t="shared" si="111"/>
        <v>AW</v>
      </c>
      <c r="P607" s="150">
        <f t="shared" si="112"/>
        <v>606</v>
      </c>
      <c r="Q607" s="150" t="e">
        <f t="shared" si="113"/>
        <v>#N/A</v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str">
        <f t="shared" si="109"/>
        <v>AW</v>
      </c>
      <c r="N608" s="150">
        <f t="shared" si="110"/>
        <v>607</v>
      </c>
      <c r="O608" s="150" t="str">
        <f t="shared" si="111"/>
        <v>AW</v>
      </c>
      <c r="P608" s="150">
        <f t="shared" si="112"/>
        <v>607</v>
      </c>
      <c r="Q608" s="150" t="e">
        <f t="shared" si="113"/>
        <v>#N/A</v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str">
        <f t="shared" si="109"/>
        <v>AW</v>
      </c>
      <c r="N609" s="150">
        <f t="shared" si="110"/>
        <v>608</v>
      </c>
      <c r="O609" s="150" t="str">
        <f t="shared" si="111"/>
        <v>AW</v>
      </c>
      <c r="P609" s="150">
        <f t="shared" si="112"/>
        <v>608</v>
      </c>
      <c r="Q609" s="150" t="e">
        <f t="shared" si="113"/>
        <v>#N/A</v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str">
        <f t="shared" si="109"/>
        <v>AW</v>
      </c>
      <c r="N610" s="150">
        <f t="shared" si="110"/>
        <v>609</v>
      </c>
      <c r="O610" s="150" t="str">
        <f t="shared" si="111"/>
        <v>AW</v>
      </c>
      <c r="P610" s="150">
        <f t="shared" si="112"/>
        <v>609</v>
      </c>
      <c r="Q610" s="150" t="e">
        <f t="shared" si="113"/>
        <v>#N/A</v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str">
        <f t="shared" si="109"/>
        <v>AW</v>
      </c>
      <c r="N611" s="150">
        <f t="shared" si="110"/>
        <v>610</v>
      </c>
      <c r="O611" s="150" t="str">
        <f t="shared" si="111"/>
        <v>AW</v>
      </c>
      <c r="P611" s="150">
        <f t="shared" si="112"/>
        <v>610</v>
      </c>
      <c r="Q611" s="150" t="e">
        <f t="shared" si="113"/>
        <v>#N/A</v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str">
        <f t="shared" si="109"/>
        <v>AW</v>
      </c>
      <c r="N612" s="150">
        <f t="shared" si="110"/>
        <v>611</v>
      </c>
      <c r="O612" s="150" t="str">
        <f t="shared" si="111"/>
        <v>AW</v>
      </c>
      <c r="P612" s="150">
        <f t="shared" si="112"/>
        <v>611</v>
      </c>
      <c r="Q612" s="150" t="e">
        <f t="shared" si="113"/>
        <v>#N/A</v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str">
        <f t="shared" si="109"/>
        <v>AW</v>
      </c>
      <c r="N613" s="150">
        <f t="shared" si="110"/>
        <v>612</v>
      </c>
      <c r="O613" s="150" t="str">
        <f t="shared" si="111"/>
        <v>AW</v>
      </c>
      <c r="P613" s="150">
        <f t="shared" si="112"/>
        <v>612</v>
      </c>
      <c r="Q613" s="150" t="e">
        <f t="shared" si="113"/>
        <v>#N/A</v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str">
        <f t="shared" si="109"/>
        <v>AW</v>
      </c>
      <c r="N614" s="150">
        <f t="shared" si="110"/>
        <v>613</v>
      </c>
      <c r="O614" s="150" t="str">
        <f t="shared" si="111"/>
        <v>AW</v>
      </c>
      <c r="P614" s="150">
        <f t="shared" si="112"/>
        <v>613</v>
      </c>
      <c r="Q614" s="150" t="e">
        <f t="shared" si="113"/>
        <v>#N/A</v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str">
        <f t="shared" si="109"/>
        <v>AW</v>
      </c>
      <c r="N615" s="150">
        <f t="shared" si="110"/>
        <v>614</v>
      </c>
      <c r="O615" s="150" t="str">
        <f t="shared" si="111"/>
        <v>AW</v>
      </c>
      <c r="P615" s="150">
        <f t="shared" si="112"/>
        <v>614</v>
      </c>
      <c r="Q615" s="150" t="e">
        <f t="shared" si="113"/>
        <v>#N/A</v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str">
        <f t="shared" si="109"/>
        <v>AW</v>
      </c>
      <c r="N616" s="150">
        <f t="shared" si="110"/>
        <v>615</v>
      </c>
      <c r="O616" s="150" t="str">
        <f t="shared" si="111"/>
        <v>AW</v>
      </c>
      <c r="P616" s="150">
        <f t="shared" si="112"/>
        <v>615</v>
      </c>
      <c r="Q616" s="150" t="e">
        <f t="shared" si="113"/>
        <v>#N/A</v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str">
        <f t="shared" si="109"/>
        <v>AW</v>
      </c>
      <c r="N617" s="150">
        <f t="shared" si="110"/>
        <v>616</v>
      </c>
      <c r="O617" s="150" t="str">
        <f t="shared" si="111"/>
        <v>AW</v>
      </c>
      <c r="P617" s="150">
        <f t="shared" si="112"/>
        <v>616</v>
      </c>
      <c r="Q617" s="150" t="e">
        <f t="shared" si="113"/>
        <v>#N/A</v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str">
        <f t="shared" si="109"/>
        <v>AW</v>
      </c>
      <c r="N618" s="150">
        <f t="shared" si="110"/>
        <v>617</v>
      </c>
      <c r="O618" s="150" t="str">
        <f t="shared" si="111"/>
        <v>AW</v>
      </c>
      <c r="P618" s="150">
        <f t="shared" si="112"/>
        <v>617</v>
      </c>
      <c r="Q618" s="150" t="e">
        <f t="shared" si="113"/>
        <v>#N/A</v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str">
        <f t="shared" si="109"/>
        <v>AW</v>
      </c>
      <c r="N619" s="150">
        <f t="shared" si="110"/>
        <v>618</v>
      </c>
      <c r="O619" s="150" t="str">
        <f t="shared" si="111"/>
        <v>AW</v>
      </c>
      <c r="P619" s="150">
        <f t="shared" si="112"/>
        <v>618</v>
      </c>
      <c r="Q619" s="150" t="e">
        <f t="shared" si="113"/>
        <v>#N/A</v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str">
        <f t="shared" si="109"/>
        <v>AW</v>
      </c>
      <c r="N620" s="150">
        <f t="shared" si="110"/>
        <v>619</v>
      </c>
      <c r="O620" s="150" t="str">
        <f t="shared" si="111"/>
        <v>AW</v>
      </c>
      <c r="P620" s="150">
        <f t="shared" si="112"/>
        <v>619</v>
      </c>
      <c r="Q620" s="150" t="e">
        <f t="shared" si="113"/>
        <v>#N/A</v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str">
        <f t="shared" si="109"/>
        <v>AW</v>
      </c>
      <c r="N621" s="150">
        <f t="shared" si="110"/>
        <v>620</v>
      </c>
      <c r="O621" s="150" t="str">
        <f t="shared" si="111"/>
        <v>AW</v>
      </c>
      <c r="P621" s="150">
        <f t="shared" si="112"/>
        <v>620</v>
      </c>
      <c r="Q621" s="150" t="e">
        <f t="shared" si="113"/>
        <v>#N/A</v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str">
        <f t="shared" si="109"/>
        <v>AW</v>
      </c>
      <c r="N622" s="150">
        <f t="shared" si="110"/>
        <v>621</v>
      </c>
      <c r="O622" s="150" t="str">
        <f t="shared" si="111"/>
        <v>AW</v>
      </c>
      <c r="P622" s="150">
        <f t="shared" si="112"/>
        <v>621</v>
      </c>
      <c r="Q622" s="150" t="e">
        <f t="shared" si="113"/>
        <v>#N/A</v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str">
        <f t="shared" si="109"/>
        <v>AW</v>
      </c>
      <c r="N623" s="150">
        <f t="shared" si="110"/>
        <v>622</v>
      </c>
      <c r="O623" s="150" t="str">
        <f t="shared" si="111"/>
        <v>AW</v>
      </c>
      <c r="P623" s="150">
        <f t="shared" si="112"/>
        <v>622</v>
      </c>
      <c r="Q623" s="150" t="e">
        <f t="shared" si="113"/>
        <v>#N/A</v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str">
        <f t="shared" si="109"/>
        <v>AW</v>
      </c>
      <c r="N624" s="150">
        <f t="shared" si="110"/>
        <v>623</v>
      </c>
      <c r="O624" s="150" t="str">
        <f t="shared" si="111"/>
        <v>AW</v>
      </c>
      <c r="P624" s="150">
        <f t="shared" si="112"/>
        <v>623</v>
      </c>
      <c r="Q624" s="150" t="e">
        <f t="shared" si="113"/>
        <v>#N/A</v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str">
        <f t="shared" si="109"/>
        <v>AW</v>
      </c>
      <c r="N625" s="150">
        <f t="shared" si="110"/>
        <v>624</v>
      </c>
      <c r="O625" s="150" t="str">
        <f t="shared" si="111"/>
        <v>AW</v>
      </c>
      <c r="P625" s="150">
        <f t="shared" si="112"/>
        <v>624</v>
      </c>
      <c r="Q625" s="150" t="e">
        <f t="shared" si="113"/>
        <v>#N/A</v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str">
        <f t="shared" si="109"/>
        <v>AW</v>
      </c>
      <c r="N626" s="150">
        <f t="shared" si="110"/>
        <v>625</v>
      </c>
      <c r="O626" s="150" t="str">
        <f t="shared" si="111"/>
        <v>AW</v>
      </c>
      <c r="P626" s="150">
        <f t="shared" si="112"/>
        <v>625</v>
      </c>
      <c r="Q626" s="150" t="e">
        <f t="shared" si="113"/>
        <v>#N/A</v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str">
        <f t="shared" si="109"/>
        <v>AW</v>
      </c>
      <c r="N627" s="150">
        <f t="shared" si="110"/>
        <v>626</v>
      </c>
      <c r="O627" s="150" t="str">
        <f t="shared" si="111"/>
        <v>AW</v>
      </c>
      <c r="P627" s="150">
        <f t="shared" si="112"/>
        <v>626</v>
      </c>
      <c r="Q627" s="150" t="e">
        <f t="shared" si="113"/>
        <v>#N/A</v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str">
        <f t="shared" si="109"/>
        <v>AW</v>
      </c>
      <c r="N628" s="150">
        <f t="shared" si="110"/>
        <v>627</v>
      </c>
      <c r="O628" s="150" t="str">
        <f t="shared" si="111"/>
        <v>AW</v>
      </c>
      <c r="P628" s="150">
        <f t="shared" si="112"/>
        <v>627</v>
      </c>
      <c r="Q628" s="150" t="e">
        <f t="shared" si="113"/>
        <v>#N/A</v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str">
        <f t="shared" si="109"/>
        <v>AW</v>
      </c>
      <c r="N629" s="150">
        <f t="shared" si="110"/>
        <v>628</v>
      </c>
      <c r="O629" s="150" t="str">
        <f t="shared" si="111"/>
        <v>AW</v>
      </c>
      <c r="P629" s="150">
        <f t="shared" si="112"/>
        <v>628</v>
      </c>
      <c r="Q629" s="150" t="e">
        <f t="shared" si="113"/>
        <v>#N/A</v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str">
        <f t="shared" si="109"/>
        <v>AW</v>
      </c>
      <c r="N630" s="150">
        <f t="shared" si="110"/>
        <v>629</v>
      </c>
      <c r="O630" s="150" t="str">
        <f t="shared" si="111"/>
        <v>AW</v>
      </c>
      <c r="P630" s="150">
        <f t="shared" si="112"/>
        <v>629</v>
      </c>
      <c r="Q630" s="150" t="e">
        <f t="shared" si="113"/>
        <v>#N/A</v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str">
        <f t="shared" si="109"/>
        <v>AW</v>
      </c>
      <c r="N631" s="150">
        <f t="shared" si="110"/>
        <v>630</v>
      </c>
      <c r="O631" s="150" t="str">
        <f t="shared" si="111"/>
        <v>AW</v>
      </c>
      <c r="P631" s="150">
        <f t="shared" si="112"/>
        <v>630</v>
      </c>
      <c r="Q631" s="150" t="e">
        <f t="shared" si="113"/>
        <v>#N/A</v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str">
        <f t="shared" si="109"/>
        <v>AW</v>
      </c>
      <c r="N632" s="150">
        <f t="shared" si="110"/>
        <v>631</v>
      </c>
      <c r="O632" s="150" t="str">
        <f t="shared" si="111"/>
        <v>AW</v>
      </c>
      <c r="P632" s="150">
        <f t="shared" si="112"/>
        <v>631</v>
      </c>
      <c r="Q632" s="150" t="e">
        <f t="shared" si="113"/>
        <v>#N/A</v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str">
        <f t="shared" si="109"/>
        <v>AW</v>
      </c>
      <c r="N633" s="150">
        <f t="shared" si="110"/>
        <v>632</v>
      </c>
      <c r="O633" s="150" t="str">
        <f t="shared" si="111"/>
        <v>AW</v>
      </c>
      <c r="P633" s="150">
        <f t="shared" si="112"/>
        <v>632</v>
      </c>
      <c r="Q633" s="150" t="e">
        <f t="shared" si="113"/>
        <v>#N/A</v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str">
        <f t="shared" si="109"/>
        <v>AW</v>
      </c>
      <c r="N634" s="150">
        <f t="shared" si="110"/>
        <v>633</v>
      </c>
      <c r="O634" s="150" t="str">
        <f t="shared" si="111"/>
        <v>AW</v>
      </c>
      <c r="P634" s="150">
        <f t="shared" si="112"/>
        <v>633</v>
      </c>
      <c r="Q634" s="150" t="e">
        <f t="shared" si="113"/>
        <v>#N/A</v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str">
        <f t="shared" si="109"/>
        <v>AW</v>
      </c>
      <c r="N635" s="150">
        <f t="shared" si="110"/>
        <v>634</v>
      </c>
      <c r="O635" s="150" t="str">
        <f t="shared" si="111"/>
        <v>AW</v>
      </c>
      <c r="P635" s="150">
        <f t="shared" si="112"/>
        <v>634</v>
      </c>
      <c r="Q635" s="150" t="e">
        <f t="shared" si="113"/>
        <v>#N/A</v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str">
        <f t="shared" si="109"/>
        <v>AW</v>
      </c>
      <c r="N636" s="150">
        <f t="shared" si="110"/>
        <v>635</v>
      </c>
      <c r="O636" s="150" t="str">
        <f t="shared" si="111"/>
        <v>AW</v>
      </c>
      <c r="P636" s="150">
        <f t="shared" si="112"/>
        <v>635</v>
      </c>
      <c r="Q636" s="150" t="e">
        <f t="shared" si="113"/>
        <v>#N/A</v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str">
        <f t="shared" si="109"/>
        <v>AW</v>
      </c>
      <c r="N637" s="150">
        <f t="shared" si="110"/>
        <v>636</v>
      </c>
      <c r="O637" s="150" t="str">
        <f t="shared" si="111"/>
        <v>AW</v>
      </c>
      <c r="P637" s="150">
        <f t="shared" si="112"/>
        <v>636</v>
      </c>
      <c r="Q637" s="150" t="e">
        <f t="shared" si="113"/>
        <v>#N/A</v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str">
        <f t="shared" si="109"/>
        <v>AW</v>
      </c>
      <c r="N638" s="150">
        <f t="shared" si="110"/>
        <v>637</v>
      </c>
      <c r="O638" s="150" t="str">
        <f t="shared" si="111"/>
        <v>AW</v>
      </c>
      <c r="P638" s="150">
        <f t="shared" si="112"/>
        <v>637</v>
      </c>
      <c r="Q638" s="150" t="e">
        <f t="shared" si="113"/>
        <v>#N/A</v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str">
        <f t="shared" si="109"/>
        <v>AW</v>
      </c>
      <c r="N639" s="150">
        <f t="shared" si="110"/>
        <v>638</v>
      </c>
      <c r="O639" s="150" t="str">
        <f t="shared" si="111"/>
        <v>AW</v>
      </c>
      <c r="P639" s="150">
        <f t="shared" si="112"/>
        <v>638</v>
      </c>
      <c r="Q639" s="150" t="e">
        <f t="shared" si="113"/>
        <v>#N/A</v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str">
        <f t="shared" si="109"/>
        <v>AW</v>
      </c>
      <c r="N640" s="150">
        <f t="shared" si="110"/>
        <v>639</v>
      </c>
      <c r="O640" s="150" t="str">
        <f t="shared" si="111"/>
        <v>AW</v>
      </c>
      <c r="P640" s="150">
        <f t="shared" si="112"/>
        <v>639</v>
      </c>
      <c r="Q640" s="150" t="e">
        <f t="shared" si="113"/>
        <v>#N/A</v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str">
        <f t="shared" si="109"/>
        <v>AW</v>
      </c>
      <c r="N641" s="150">
        <f t="shared" si="110"/>
        <v>640</v>
      </c>
      <c r="O641" s="150" t="str">
        <f t="shared" si="111"/>
        <v>AW</v>
      </c>
      <c r="P641" s="150">
        <f t="shared" si="112"/>
        <v>640</v>
      </c>
      <c r="Q641" s="150" t="e">
        <f t="shared" si="113"/>
        <v>#N/A</v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str">
        <f t="shared" si="109"/>
        <v>AW</v>
      </c>
      <c r="N642" s="150">
        <f t="shared" si="110"/>
        <v>641</v>
      </c>
      <c r="O642" s="150" t="str">
        <f t="shared" si="111"/>
        <v>AW</v>
      </c>
      <c r="P642" s="150">
        <f t="shared" si="112"/>
        <v>641</v>
      </c>
      <c r="Q642" s="150" t="e">
        <f t="shared" si="113"/>
        <v>#N/A</v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str">
        <f t="shared" ref="M643:M706" si="121">IF(L643="","",IF(L643&lt;=$E$15,VLOOKUP($E$14,$I$1:$J$4,2,FALSE),VLOOKUP($F$14,$I$1:$J$4,2,FALSE)))</f>
        <v>AW</v>
      </c>
      <c r="N643" s="150">
        <f t="shared" ref="N643:N706" si="122">IF($B$20&gt;=K643,K643,"")</f>
        <v>642</v>
      </c>
      <c r="O643" s="150" t="str">
        <f t="shared" ref="O643:O706" si="123">IF(N643="","",IF(N643&lt;=$E$22,VLOOKUP($E$21,$I$1:$J$4,2,FALSE),VLOOKUP($F$21,$I$1:$J$4,2,FALSE)))</f>
        <v>AW</v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str">
        <f t="shared" si="121"/>
        <v>AW</v>
      </c>
      <c r="N644" s="150">
        <f t="shared" si="122"/>
        <v>643</v>
      </c>
      <c r="O644" s="150" t="str">
        <f t="shared" si="123"/>
        <v>AW</v>
      </c>
      <c r="P644" s="150">
        <f t="shared" si="124"/>
        <v>643</v>
      </c>
      <c r="Q644" s="150" t="e">
        <f t="shared" si="125"/>
        <v>#N/A</v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str">
        <f t="shared" si="121"/>
        <v>AW</v>
      </c>
      <c r="N645" s="150">
        <f t="shared" si="122"/>
        <v>644</v>
      </c>
      <c r="O645" s="150" t="str">
        <f t="shared" si="123"/>
        <v>AW</v>
      </c>
      <c r="P645" s="150">
        <f t="shared" si="124"/>
        <v>644</v>
      </c>
      <c r="Q645" s="150" t="e">
        <f t="shared" si="125"/>
        <v>#N/A</v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str">
        <f t="shared" si="121"/>
        <v>AW</v>
      </c>
      <c r="N646" s="150">
        <f t="shared" si="122"/>
        <v>645</v>
      </c>
      <c r="O646" s="150" t="str">
        <f t="shared" si="123"/>
        <v>AW</v>
      </c>
      <c r="P646" s="150">
        <f t="shared" si="124"/>
        <v>645</v>
      </c>
      <c r="Q646" s="150" t="e">
        <f t="shared" si="125"/>
        <v>#N/A</v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str">
        <f t="shared" si="121"/>
        <v>AW</v>
      </c>
      <c r="N647" s="150">
        <f t="shared" si="122"/>
        <v>646</v>
      </c>
      <c r="O647" s="150" t="str">
        <f t="shared" si="123"/>
        <v>AW</v>
      </c>
      <c r="P647" s="150">
        <f t="shared" si="124"/>
        <v>646</v>
      </c>
      <c r="Q647" s="150" t="e">
        <f t="shared" si="125"/>
        <v>#N/A</v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str">
        <f t="shared" si="121"/>
        <v>AW</v>
      </c>
      <c r="N648" s="150">
        <f t="shared" si="122"/>
        <v>647</v>
      </c>
      <c r="O648" s="150" t="str">
        <f t="shared" si="123"/>
        <v>AW</v>
      </c>
      <c r="P648" s="150">
        <f t="shared" si="124"/>
        <v>647</v>
      </c>
      <c r="Q648" s="150" t="e">
        <f t="shared" si="125"/>
        <v>#N/A</v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str">
        <f t="shared" si="121"/>
        <v>AW</v>
      </c>
      <c r="N649" s="150">
        <f t="shared" si="122"/>
        <v>648</v>
      </c>
      <c r="O649" s="150" t="str">
        <f t="shared" si="123"/>
        <v>AW</v>
      </c>
      <c r="P649" s="150">
        <f t="shared" si="124"/>
        <v>648</v>
      </c>
      <c r="Q649" s="150" t="e">
        <f t="shared" si="125"/>
        <v>#N/A</v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str">
        <f t="shared" si="121"/>
        <v>AW</v>
      </c>
      <c r="N650" s="150">
        <f t="shared" si="122"/>
        <v>649</v>
      </c>
      <c r="O650" s="150" t="str">
        <f t="shared" si="123"/>
        <v>AW</v>
      </c>
      <c r="P650" s="150">
        <f t="shared" si="124"/>
        <v>649</v>
      </c>
      <c r="Q650" s="150" t="e">
        <f t="shared" si="125"/>
        <v>#N/A</v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str">
        <f t="shared" si="121"/>
        <v>AW</v>
      </c>
      <c r="N651" s="150">
        <f t="shared" si="122"/>
        <v>650</v>
      </c>
      <c r="O651" s="150" t="str">
        <f t="shared" si="123"/>
        <v>AW</v>
      </c>
      <c r="P651" s="150">
        <f t="shared" si="124"/>
        <v>650</v>
      </c>
      <c r="Q651" s="150" t="e">
        <f t="shared" si="125"/>
        <v>#N/A</v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str">
        <f t="shared" si="121"/>
        <v>AW</v>
      </c>
      <c r="N652" s="150">
        <f t="shared" si="122"/>
        <v>651</v>
      </c>
      <c r="O652" s="150" t="str">
        <f t="shared" si="123"/>
        <v>AW</v>
      </c>
      <c r="P652" s="150">
        <f t="shared" si="124"/>
        <v>651</v>
      </c>
      <c r="Q652" s="150" t="e">
        <f t="shared" si="125"/>
        <v>#N/A</v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str">
        <f t="shared" si="121"/>
        <v>AW</v>
      </c>
      <c r="N653" s="150">
        <f t="shared" si="122"/>
        <v>652</v>
      </c>
      <c r="O653" s="150" t="str">
        <f t="shared" si="123"/>
        <v>AW</v>
      </c>
      <c r="P653" s="150">
        <f t="shared" si="124"/>
        <v>652</v>
      </c>
      <c r="Q653" s="150" t="e">
        <f t="shared" si="125"/>
        <v>#N/A</v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str">
        <f t="shared" si="121"/>
        <v>AW</v>
      </c>
      <c r="N654" s="150">
        <f t="shared" si="122"/>
        <v>653</v>
      </c>
      <c r="O654" s="150" t="str">
        <f t="shared" si="123"/>
        <v>AW</v>
      </c>
      <c r="P654" s="150">
        <f t="shared" si="124"/>
        <v>653</v>
      </c>
      <c r="Q654" s="150" t="e">
        <f t="shared" si="125"/>
        <v>#N/A</v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str">
        <f t="shared" si="121"/>
        <v>AW</v>
      </c>
      <c r="N655" s="150">
        <f t="shared" si="122"/>
        <v>654</v>
      </c>
      <c r="O655" s="150" t="str">
        <f t="shared" si="123"/>
        <v>AW</v>
      </c>
      <c r="P655" s="150">
        <f t="shared" si="124"/>
        <v>654</v>
      </c>
      <c r="Q655" s="150" t="e">
        <f t="shared" si="125"/>
        <v>#N/A</v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str">
        <f t="shared" si="121"/>
        <v>AW</v>
      </c>
      <c r="N656" s="150">
        <f t="shared" si="122"/>
        <v>655</v>
      </c>
      <c r="O656" s="150" t="str">
        <f t="shared" si="123"/>
        <v>AW</v>
      </c>
      <c r="P656" s="150">
        <f t="shared" si="124"/>
        <v>655</v>
      </c>
      <c r="Q656" s="150" t="e">
        <f t="shared" si="125"/>
        <v>#N/A</v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str">
        <f t="shared" si="121"/>
        <v>AW</v>
      </c>
      <c r="N657" s="150">
        <f t="shared" si="122"/>
        <v>656</v>
      </c>
      <c r="O657" s="150" t="str">
        <f t="shared" si="123"/>
        <v>AW</v>
      </c>
      <c r="P657" s="150">
        <f t="shared" si="124"/>
        <v>656</v>
      </c>
      <c r="Q657" s="150" t="e">
        <f t="shared" si="125"/>
        <v>#N/A</v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str">
        <f t="shared" si="121"/>
        <v>AW</v>
      </c>
      <c r="N658" s="150">
        <f t="shared" si="122"/>
        <v>657</v>
      </c>
      <c r="O658" s="150" t="str">
        <f t="shared" si="123"/>
        <v>AW</v>
      </c>
      <c r="P658" s="150">
        <f t="shared" si="124"/>
        <v>657</v>
      </c>
      <c r="Q658" s="150" t="e">
        <f t="shared" si="125"/>
        <v>#N/A</v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str">
        <f t="shared" si="121"/>
        <v>AW</v>
      </c>
      <c r="N659" s="150">
        <f t="shared" si="122"/>
        <v>658</v>
      </c>
      <c r="O659" s="150" t="str">
        <f t="shared" si="123"/>
        <v>AW</v>
      </c>
      <c r="P659" s="150">
        <f t="shared" si="124"/>
        <v>658</v>
      </c>
      <c r="Q659" s="150" t="e">
        <f t="shared" si="125"/>
        <v>#N/A</v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str">
        <f t="shared" si="121"/>
        <v>AW</v>
      </c>
      <c r="N660" s="150">
        <f t="shared" si="122"/>
        <v>659</v>
      </c>
      <c r="O660" s="150" t="str">
        <f t="shared" si="123"/>
        <v>AW</v>
      </c>
      <c r="P660" s="150">
        <f t="shared" si="124"/>
        <v>659</v>
      </c>
      <c r="Q660" s="150" t="e">
        <f t="shared" si="125"/>
        <v>#N/A</v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str">
        <f t="shared" si="121"/>
        <v>AW</v>
      </c>
      <c r="N661" s="150">
        <f t="shared" si="122"/>
        <v>660</v>
      </c>
      <c r="O661" s="150" t="str">
        <f t="shared" si="123"/>
        <v>AW</v>
      </c>
      <c r="P661" s="150">
        <f t="shared" si="124"/>
        <v>660</v>
      </c>
      <c r="Q661" s="150" t="e">
        <f t="shared" si="125"/>
        <v>#N/A</v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str">
        <f t="shared" si="121"/>
        <v>AW</v>
      </c>
      <c r="N662" s="150">
        <f t="shared" si="122"/>
        <v>661</v>
      </c>
      <c r="O662" s="150" t="str">
        <f t="shared" si="123"/>
        <v>AW</v>
      </c>
      <c r="P662" s="150">
        <f t="shared" si="124"/>
        <v>661</v>
      </c>
      <c r="Q662" s="150" t="e">
        <f t="shared" si="125"/>
        <v>#N/A</v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str">
        <f t="shared" si="121"/>
        <v>AW</v>
      </c>
      <c r="N663" s="150">
        <f t="shared" si="122"/>
        <v>662</v>
      </c>
      <c r="O663" s="150" t="str">
        <f t="shared" si="123"/>
        <v>AW</v>
      </c>
      <c r="P663" s="150">
        <f t="shared" si="124"/>
        <v>662</v>
      </c>
      <c r="Q663" s="150" t="e">
        <f t="shared" si="125"/>
        <v>#N/A</v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str">
        <f t="shared" si="121"/>
        <v>AW</v>
      </c>
      <c r="N664" s="150">
        <f t="shared" si="122"/>
        <v>663</v>
      </c>
      <c r="O664" s="150" t="str">
        <f t="shared" si="123"/>
        <v>AW</v>
      </c>
      <c r="P664" s="150">
        <f t="shared" si="124"/>
        <v>663</v>
      </c>
      <c r="Q664" s="150" t="e">
        <f t="shared" si="125"/>
        <v>#N/A</v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str">
        <f t="shared" si="121"/>
        <v>AW</v>
      </c>
      <c r="N665" s="150">
        <f t="shared" si="122"/>
        <v>664</v>
      </c>
      <c r="O665" s="150" t="str">
        <f t="shared" si="123"/>
        <v>AW</v>
      </c>
      <c r="P665" s="150">
        <f t="shared" si="124"/>
        <v>664</v>
      </c>
      <c r="Q665" s="150" t="e">
        <f t="shared" si="125"/>
        <v>#N/A</v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str">
        <f t="shared" si="121"/>
        <v>AW</v>
      </c>
      <c r="N666" s="150">
        <f t="shared" si="122"/>
        <v>665</v>
      </c>
      <c r="O666" s="150" t="str">
        <f t="shared" si="123"/>
        <v>AW</v>
      </c>
      <c r="P666" s="150">
        <f t="shared" si="124"/>
        <v>665</v>
      </c>
      <c r="Q666" s="150" t="e">
        <f t="shared" si="125"/>
        <v>#N/A</v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str">
        <f t="shared" si="121"/>
        <v>AW</v>
      </c>
      <c r="N667" s="150">
        <f t="shared" si="122"/>
        <v>666</v>
      </c>
      <c r="O667" s="150" t="str">
        <f t="shared" si="123"/>
        <v>AW</v>
      </c>
      <c r="P667" s="150">
        <f t="shared" si="124"/>
        <v>666</v>
      </c>
      <c r="Q667" s="150" t="e">
        <f t="shared" si="125"/>
        <v>#N/A</v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str">
        <f t="shared" si="121"/>
        <v>AW</v>
      </c>
      <c r="N668" s="150">
        <f t="shared" si="122"/>
        <v>667</v>
      </c>
      <c r="O668" s="150" t="str">
        <f t="shared" si="123"/>
        <v>AW</v>
      </c>
      <c r="P668" s="150">
        <f t="shared" si="124"/>
        <v>667</v>
      </c>
      <c r="Q668" s="150" t="e">
        <f t="shared" si="125"/>
        <v>#N/A</v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str">
        <f t="shared" si="121"/>
        <v>AW</v>
      </c>
      <c r="N669" s="150">
        <f t="shared" si="122"/>
        <v>668</v>
      </c>
      <c r="O669" s="150" t="str">
        <f t="shared" si="123"/>
        <v>AW</v>
      </c>
      <c r="P669" s="150">
        <f t="shared" si="124"/>
        <v>668</v>
      </c>
      <c r="Q669" s="150" t="e">
        <f t="shared" si="125"/>
        <v>#N/A</v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str">
        <f t="shared" si="121"/>
        <v>AW</v>
      </c>
      <c r="N670" s="150">
        <f t="shared" si="122"/>
        <v>669</v>
      </c>
      <c r="O670" s="150" t="str">
        <f t="shared" si="123"/>
        <v>AW</v>
      </c>
      <c r="P670" s="150">
        <f t="shared" si="124"/>
        <v>669</v>
      </c>
      <c r="Q670" s="150" t="e">
        <f t="shared" si="125"/>
        <v>#N/A</v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str">
        <f t="shared" si="121"/>
        <v>AW</v>
      </c>
      <c r="N671" s="150">
        <f t="shared" si="122"/>
        <v>670</v>
      </c>
      <c r="O671" s="150" t="str">
        <f t="shared" si="123"/>
        <v>AW</v>
      </c>
      <c r="P671" s="150">
        <f t="shared" si="124"/>
        <v>670</v>
      </c>
      <c r="Q671" s="150" t="e">
        <f t="shared" si="125"/>
        <v>#N/A</v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str">
        <f t="shared" si="121"/>
        <v>AW</v>
      </c>
      <c r="N672" s="150">
        <f t="shared" si="122"/>
        <v>671</v>
      </c>
      <c r="O672" s="150" t="str">
        <f t="shared" si="123"/>
        <v>AW</v>
      </c>
      <c r="P672" s="150">
        <f t="shared" si="124"/>
        <v>671</v>
      </c>
      <c r="Q672" s="150" t="e">
        <f t="shared" si="125"/>
        <v>#N/A</v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str">
        <f t="shared" si="121"/>
        <v>AW</v>
      </c>
      <c r="N673" s="150">
        <f t="shared" si="122"/>
        <v>672</v>
      </c>
      <c r="O673" s="150" t="str">
        <f t="shared" si="123"/>
        <v>AW</v>
      </c>
      <c r="P673" s="150">
        <f t="shared" si="124"/>
        <v>672</v>
      </c>
      <c r="Q673" s="150" t="e">
        <f t="shared" si="125"/>
        <v>#N/A</v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str">
        <f t="shared" si="121"/>
        <v>AW</v>
      </c>
      <c r="N674" s="150">
        <f t="shared" si="122"/>
        <v>673</v>
      </c>
      <c r="O674" s="150" t="str">
        <f t="shared" si="123"/>
        <v>AW</v>
      </c>
      <c r="P674" s="150">
        <f t="shared" si="124"/>
        <v>673</v>
      </c>
      <c r="Q674" s="150" t="e">
        <f t="shared" si="125"/>
        <v>#N/A</v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str">
        <f t="shared" si="121"/>
        <v>AW</v>
      </c>
      <c r="N675" s="150">
        <f t="shared" si="122"/>
        <v>674</v>
      </c>
      <c r="O675" s="150" t="str">
        <f t="shared" si="123"/>
        <v>AW</v>
      </c>
      <c r="P675" s="150">
        <f t="shared" si="124"/>
        <v>674</v>
      </c>
      <c r="Q675" s="150" t="e">
        <f t="shared" si="125"/>
        <v>#N/A</v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str">
        <f t="shared" si="121"/>
        <v>AW</v>
      </c>
      <c r="N676" s="150">
        <f t="shared" si="122"/>
        <v>675</v>
      </c>
      <c r="O676" s="150" t="str">
        <f t="shared" si="123"/>
        <v>AW</v>
      </c>
      <c r="P676" s="150">
        <f t="shared" si="124"/>
        <v>675</v>
      </c>
      <c r="Q676" s="150" t="e">
        <f t="shared" si="125"/>
        <v>#N/A</v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str">
        <f t="shared" si="121"/>
        <v>AW</v>
      </c>
      <c r="N677" s="150">
        <f t="shared" si="122"/>
        <v>676</v>
      </c>
      <c r="O677" s="150" t="str">
        <f t="shared" si="123"/>
        <v>AW</v>
      </c>
      <c r="P677" s="150">
        <f t="shared" si="124"/>
        <v>676</v>
      </c>
      <c r="Q677" s="150" t="e">
        <f t="shared" si="125"/>
        <v>#N/A</v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str">
        <f t="shared" si="121"/>
        <v>AW</v>
      </c>
      <c r="N678" s="150">
        <f t="shared" si="122"/>
        <v>677</v>
      </c>
      <c r="O678" s="150" t="str">
        <f t="shared" si="123"/>
        <v>AW</v>
      </c>
      <c r="P678" s="150">
        <f t="shared" si="124"/>
        <v>677</v>
      </c>
      <c r="Q678" s="150" t="e">
        <f t="shared" si="125"/>
        <v>#N/A</v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str">
        <f t="shared" si="121"/>
        <v>AW</v>
      </c>
      <c r="N679" s="150">
        <f t="shared" si="122"/>
        <v>678</v>
      </c>
      <c r="O679" s="150" t="str">
        <f t="shared" si="123"/>
        <v>AW</v>
      </c>
      <c r="P679" s="150">
        <f t="shared" si="124"/>
        <v>678</v>
      </c>
      <c r="Q679" s="150" t="e">
        <f t="shared" si="125"/>
        <v>#N/A</v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str">
        <f t="shared" si="121"/>
        <v>AW</v>
      </c>
      <c r="N680" s="150">
        <f t="shared" si="122"/>
        <v>679</v>
      </c>
      <c r="O680" s="150" t="str">
        <f t="shared" si="123"/>
        <v>AW</v>
      </c>
      <c r="P680" s="150">
        <f t="shared" si="124"/>
        <v>679</v>
      </c>
      <c r="Q680" s="150" t="e">
        <f t="shared" si="125"/>
        <v>#N/A</v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str">
        <f t="shared" si="121"/>
        <v>AW</v>
      </c>
      <c r="N681" s="150">
        <f t="shared" si="122"/>
        <v>680</v>
      </c>
      <c r="O681" s="150" t="str">
        <f t="shared" si="123"/>
        <v>AW</v>
      </c>
      <c r="P681" s="150">
        <f t="shared" si="124"/>
        <v>680</v>
      </c>
      <c r="Q681" s="150" t="e">
        <f t="shared" si="125"/>
        <v>#N/A</v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str">
        <f t="shared" si="121"/>
        <v>AW</v>
      </c>
      <c r="N682" s="150">
        <f t="shared" si="122"/>
        <v>681</v>
      </c>
      <c r="O682" s="150" t="str">
        <f t="shared" si="123"/>
        <v>AW</v>
      </c>
      <c r="P682" s="150">
        <f t="shared" si="124"/>
        <v>681</v>
      </c>
      <c r="Q682" s="150" t="e">
        <f t="shared" si="125"/>
        <v>#N/A</v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str">
        <f t="shared" si="121"/>
        <v>AW</v>
      </c>
      <c r="N683" s="150">
        <f t="shared" si="122"/>
        <v>682</v>
      </c>
      <c r="O683" s="150" t="str">
        <f t="shared" si="123"/>
        <v>AW</v>
      </c>
      <c r="P683" s="150">
        <f t="shared" si="124"/>
        <v>682</v>
      </c>
      <c r="Q683" s="150" t="e">
        <f t="shared" si="125"/>
        <v>#N/A</v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str">
        <f t="shared" si="121"/>
        <v>AW</v>
      </c>
      <c r="N684" s="150">
        <f t="shared" si="122"/>
        <v>683</v>
      </c>
      <c r="O684" s="150" t="str">
        <f t="shared" si="123"/>
        <v>AW</v>
      </c>
      <c r="P684" s="150">
        <f t="shared" si="124"/>
        <v>683</v>
      </c>
      <c r="Q684" s="150" t="e">
        <f t="shared" si="125"/>
        <v>#N/A</v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str">
        <f t="shared" si="121"/>
        <v>AW</v>
      </c>
      <c r="N685" s="150">
        <f t="shared" si="122"/>
        <v>684</v>
      </c>
      <c r="O685" s="150" t="str">
        <f t="shared" si="123"/>
        <v>AW</v>
      </c>
      <c r="P685" s="150">
        <f t="shared" si="124"/>
        <v>684</v>
      </c>
      <c r="Q685" s="150" t="e">
        <f t="shared" si="125"/>
        <v>#N/A</v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str">
        <f t="shared" si="121"/>
        <v>AW</v>
      </c>
      <c r="N686" s="150">
        <f t="shared" si="122"/>
        <v>685</v>
      </c>
      <c r="O686" s="150" t="str">
        <f t="shared" si="123"/>
        <v>AW</v>
      </c>
      <c r="P686" s="150">
        <f t="shared" si="124"/>
        <v>685</v>
      </c>
      <c r="Q686" s="150" t="e">
        <f t="shared" si="125"/>
        <v>#N/A</v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str">
        <f t="shared" si="121"/>
        <v>AW</v>
      </c>
      <c r="N687" s="150">
        <f t="shared" si="122"/>
        <v>686</v>
      </c>
      <c r="O687" s="150" t="str">
        <f t="shared" si="123"/>
        <v>AW</v>
      </c>
      <c r="P687" s="150">
        <f t="shared" si="124"/>
        <v>686</v>
      </c>
      <c r="Q687" s="150" t="e">
        <f t="shared" si="125"/>
        <v>#N/A</v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str">
        <f t="shared" si="121"/>
        <v>AW</v>
      </c>
      <c r="N688" s="150">
        <f t="shared" si="122"/>
        <v>687</v>
      </c>
      <c r="O688" s="150" t="str">
        <f t="shared" si="123"/>
        <v>AW</v>
      </c>
      <c r="P688" s="150">
        <f t="shared" si="124"/>
        <v>687</v>
      </c>
      <c r="Q688" s="150" t="e">
        <f t="shared" si="125"/>
        <v>#N/A</v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str">
        <f t="shared" si="121"/>
        <v>AW</v>
      </c>
      <c r="N689" s="150">
        <f t="shared" si="122"/>
        <v>688</v>
      </c>
      <c r="O689" s="150" t="str">
        <f t="shared" si="123"/>
        <v>AW</v>
      </c>
      <c r="P689" s="150">
        <f t="shared" si="124"/>
        <v>688</v>
      </c>
      <c r="Q689" s="150" t="e">
        <f t="shared" si="125"/>
        <v>#N/A</v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str">
        <f t="shared" si="121"/>
        <v>AW</v>
      </c>
      <c r="N690" s="150">
        <f t="shared" si="122"/>
        <v>689</v>
      </c>
      <c r="O690" s="150" t="str">
        <f t="shared" si="123"/>
        <v>AW</v>
      </c>
      <c r="P690" s="150">
        <f t="shared" si="124"/>
        <v>689</v>
      </c>
      <c r="Q690" s="150" t="e">
        <f t="shared" si="125"/>
        <v>#N/A</v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str">
        <f t="shared" si="121"/>
        <v>AW</v>
      </c>
      <c r="N691" s="150">
        <f t="shared" si="122"/>
        <v>690</v>
      </c>
      <c r="O691" s="150" t="str">
        <f t="shared" si="123"/>
        <v>AW</v>
      </c>
      <c r="P691" s="150">
        <f t="shared" si="124"/>
        <v>690</v>
      </c>
      <c r="Q691" s="150" t="e">
        <f t="shared" si="125"/>
        <v>#N/A</v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str">
        <f t="shared" si="121"/>
        <v>AW</v>
      </c>
      <c r="N692" s="150">
        <f t="shared" si="122"/>
        <v>691</v>
      </c>
      <c r="O692" s="150" t="str">
        <f t="shared" si="123"/>
        <v>AW</v>
      </c>
      <c r="P692" s="150">
        <f t="shared" si="124"/>
        <v>691</v>
      </c>
      <c r="Q692" s="150" t="e">
        <f t="shared" si="125"/>
        <v>#N/A</v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str">
        <f t="shared" si="121"/>
        <v>AW</v>
      </c>
      <c r="N693" s="150">
        <f t="shared" si="122"/>
        <v>692</v>
      </c>
      <c r="O693" s="150" t="str">
        <f t="shared" si="123"/>
        <v>AW</v>
      </c>
      <c r="P693" s="150">
        <f t="shared" si="124"/>
        <v>692</v>
      </c>
      <c r="Q693" s="150" t="e">
        <f t="shared" si="125"/>
        <v>#N/A</v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str">
        <f t="shared" si="121"/>
        <v>AW</v>
      </c>
      <c r="N694" s="150">
        <f t="shared" si="122"/>
        <v>693</v>
      </c>
      <c r="O694" s="150" t="str">
        <f t="shared" si="123"/>
        <v>AW</v>
      </c>
      <c r="P694" s="150">
        <f t="shared" si="124"/>
        <v>693</v>
      </c>
      <c r="Q694" s="150" t="e">
        <f t="shared" si="125"/>
        <v>#N/A</v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str">
        <f t="shared" si="121"/>
        <v>AW</v>
      </c>
      <c r="N695" s="150">
        <f t="shared" si="122"/>
        <v>694</v>
      </c>
      <c r="O695" s="150" t="str">
        <f t="shared" si="123"/>
        <v>AW</v>
      </c>
      <c r="P695" s="150">
        <f t="shared" si="124"/>
        <v>694</v>
      </c>
      <c r="Q695" s="150" t="e">
        <f t="shared" si="125"/>
        <v>#N/A</v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str">
        <f t="shared" si="121"/>
        <v>AW</v>
      </c>
      <c r="N696" s="150">
        <f t="shared" si="122"/>
        <v>695</v>
      </c>
      <c r="O696" s="150" t="str">
        <f t="shared" si="123"/>
        <v>AW</v>
      </c>
      <c r="P696" s="150">
        <f t="shared" si="124"/>
        <v>695</v>
      </c>
      <c r="Q696" s="150" t="e">
        <f t="shared" si="125"/>
        <v>#N/A</v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str">
        <f t="shared" si="121"/>
        <v>AW</v>
      </c>
      <c r="N697" s="150">
        <f t="shared" si="122"/>
        <v>696</v>
      </c>
      <c r="O697" s="150" t="str">
        <f t="shared" si="123"/>
        <v>AW</v>
      </c>
      <c r="P697" s="150">
        <f t="shared" si="124"/>
        <v>696</v>
      </c>
      <c r="Q697" s="150" t="e">
        <f t="shared" si="125"/>
        <v>#N/A</v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str">
        <f t="shared" si="121"/>
        <v>AW</v>
      </c>
      <c r="N698" s="150">
        <f t="shared" si="122"/>
        <v>697</v>
      </c>
      <c r="O698" s="150" t="str">
        <f t="shared" si="123"/>
        <v>AW</v>
      </c>
      <c r="P698" s="150">
        <f t="shared" si="124"/>
        <v>697</v>
      </c>
      <c r="Q698" s="150" t="e">
        <f t="shared" si="125"/>
        <v>#N/A</v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str">
        <f t="shared" si="121"/>
        <v>AW</v>
      </c>
      <c r="N699" s="150">
        <f t="shared" si="122"/>
        <v>698</v>
      </c>
      <c r="O699" s="150" t="str">
        <f t="shared" si="123"/>
        <v>AW</v>
      </c>
      <c r="P699" s="150">
        <f t="shared" si="124"/>
        <v>698</v>
      </c>
      <c r="Q699" s="150" t="e">
        <f t="shared" si="125"/>
        <v>#N/A</v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str">
        <f t="shared" si="121"/>
        <v>AW</v>
      </c>
      <c r="N700" s="150">
        <f t="shared" si="122"/>
        <v>699</v>
      </c>
      <c r="O700" s="150" t="str">
        <f t="shared" si="123"/>
        <v>AW</v>
      </c>
      <c r="P700" s="150">
        <f t="shared" si="124"/>
        <v>699</v>
      </c>
      <c r="Q700" s="150" t="e">
        <f t="shared" si="125"/>
        <v>#N/A</v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str">
        <f t="shared" si="121"/>
        <v>AW</v>
      </c>
      <c r="N701" s="150">
        <f t="shared" si="122"/>
        <v>700</v>
      </c>
      <c r="O701" s="150" t="str">
        <f t="shared" si="123"/>
        <v>AW</v>
      </c>
      <c r="P701" s="150">
        <f t="shared" si="124"/>
        <v>700</v>
      </c>
      <c r="Q701" s="150" t="e">
        <f t="shared" si="125"/>
        <v>#N/A</v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str">
        <f t="shared" si="121"/>
        <v>AW</v>
      </c>
      <c r="N702" s="150">
        <f t="shared" si="122"/>
        <v>701</v>
      </c>
      <c r="O702" s="150" t="str">
        <f t="shared" si="123"/>
        <v>AW</v>
      </c>
      <c r="P702" s="150">
        <f t="shared" si="124"/>
        <v>701</v>
      </c>
      <c r="Q702" s="150" t="e">
        <f t="shared" si="125"/>
        <v>#N/A</v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str">
        <f t="shared" si="121"/>
        <v>AW</v>
      </c>
      <c r="N703" s="150">
        <f t="shared" si="122"/>
        <v>702</v>
      </c>
      <c r="O703" s="150" t="str">
        <f t="shared" si="123"/>
        <v>AW</v>
      </c>
      <c r="P703" s="150">
        <f t="shared" si="124"/>
        <v>702</v>
      </c>
      <c r="Q703" s="150" t="e">
        <f t="shared" si="125"/>
        <v>#N/A</v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str">
        <f t="shared" si="121"/>
        <v>AW</v>
      </c>
      <c r="N704" s="150">
        <f t="shared" si="122"/>
        <v>703</v>
      </c>
      <c r="O704" s="150" t="str">
        <f t="shared" si="123"/>
        <v>AW</v>
      </c>
      <c r="P704" s="150">
        <f t="shared" si="124"/>
        <v>703</v>
      </c>
      <c r="Q704" s="150" t="e">
        <f t="shared" si="125"/>
        <v>#N/A</v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str">
        <f t="shared" si="121"/>
        <v>AW</v>
      </c>
      <c r="N705" s="150">
        <f t="shared" si="122"/>
        <v>704</v>
      </c>
      <c r="O705" s="150" t="str">
        <f t="shared" si="123"/>
        <v>AW</v>
      </c>
      <c r="P705" s="150">
        <f t="shared" si="124"/>
        <v>704</v>
      </c>
      <c r="Q705" s="150" t="e">
        <f t="shared" si="125"/>
        <v>#N/A</v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str">
        <f t="shared" si="121"/>
        <v>AW</v>
      </c>
      <c r="N706" s="150">
        <f t="shared" si="122"/>
        <v>705</v>
      </c>
      <c r="O706" s="150" t="str">
        <f t="shared" si="123"/>
        <v>AW</v>
      </c>
      <c r="P706" s="150">
        <f t="shared" si="124"/>
        <v>705</v>
      </c>
      <c r="Q706" s="150" t="e">
        <f t="shared" si="125"/>
        <v>#N/A</v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str">
        <f t="shared" ref="M707:M770" si="133">IF(L707="","",IF(L707&lt;=$E$15,VLOOKUP($E$14,$I$1:$J$4,2,FALSE),VLOOKUP($F$14,$I$1:$J$4,2,FALSE)))</f>
        <v>AW</v>
      </c>
      <c r="N707" s="150">
        <f t="shared" ref="N707:N770" si="134">IF($B$20&gt;=K707,K707,"")</f>
        <v>706</v>
      </c>
      <c r="O707" s="150" t="str">
        <f t="shared" ref="O707:O770" si="135">IF(N707="","",IF(N707&lt;=$E$22,VLOOKUP($E$21,$I$1:$J$4,2,FALSE),VLOOKUP($F$21,$I$1:$J$4,2,FALSE)))</f>
        <v>AW</v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str">
        <f t="shared" si="133"/>
        <v>AW</v>
      </c>
      <c r="N708" s="150">
        <f t="shared" si="134"/>
        <v>707</v>
      </c>
      <c r="O708" s="150" t="str">
        <f t="shared" si="135"/>
        <v>AW</v>
      </c>
      <c r="P708" s="150">
        <f t="shared" si="136"/>
        <v>707</v>
      </c>
      <c r="Q708" s="150" t="e">
        <f t="shared" si="137"/>
        <v>#N/A</v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str">
        <f t="shared" si="133"/>
        <v>AW</v>
      </c>
      <c r="N709" s="150">
        <f t="shared" si="134"/>
        <v>708</v>
      </c>
      <c r="O709" s="150" t="str">
        <f t="shared" si="135"/>
        <v>AW</v>
      </c>
      <c r="P709" s="150">
        <f t="shared" si="136"/>
        <v>708</v>
      </c>
      <c r="Q709" s="150" t="e">
        <f t="shared" si="137"/>
        <v>#N/A</v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str">
        <f t="shared" si="133"/>
        <v>AW</v>
      </c>
      <c r="N710" s="150">
        <f t="shared" si="134"/>
        <v>709</v>
      </c>
      <c r="O710" s="150" t="str">
        <f t="shared" si="135"/>
        <v>AW</v>
      </c>
      <c r="P710" s="150">
        <f t="shared" si="136"/>
        <v>709</v>
      </c>
      <c r="Q710" s="150" t="e">
        <f t="shared" si="137"/>
        <v>#N/A</v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str">
        <f t="shared" si="133"/>
        <v>AW</v>
      </c>
      <c r="N711" s="150">
        <f t="shared" si="134"/>
        <v>710</v>
      </c>
      <c r="O711" s="150" t="str">
        <f t="shared" si="135"/>
        <v>AW</v>
      </c>
      <c r="P711" s="150">
        <f t="shared" si="136"/>
        <v>710</v>
      </c>
      <c r="Q711" s="150" t="e">
        <f t="shared" si="137"/>
        <v>#N/A</v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str">
        <f t="shared" si="133"/>
        <v>AW</v>
      </c>
      <c r="N712" s="150">
        <f t="shared" si="134"/>
        <v>711</v>
      </c>
      <c r="O712" s="150" t="str">
        <f t="shared" si="135"/>
        <v>AW</v>
      </c>
      <c r="P712" s="150">
        <f t="shared" si="136"/>
        <v>711</v>
      </c>
      <c r="Q712" s="150" t="e">
        <f t="shared" si="137"/>
        <v>#N/A</v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str">
        <f t="shared" si="133"/>
        <v>AW</v>
      </c>
      <c r="N713" s="150">
        <f t="shared" si="134"/>
        <v>712</v>
      </c>
      <c r="O713" s="150" t="str">
        <f t="shared" si="135"/>
        <v>AW</v>
      </c>
      <c r="P713" s="150">
        <f t="shared" si="136"/>
        <v>712</v>
      </c>
      <c r="Q713" s="150" t="e">
        <f t="shared" si="137"/>
        <v>#N/A</v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str">
        <f t="shared" si="133"/>
        <v>AW</v>
      </c>
      <c r="N714" s="150">
        <f t="shared" si="134"/>
        <v>713</v>
      </c>
      <c r="O714" s="150" t="str">
        <f t="shared" si="135"/>
        <v>AW</v>
      </c>
      <c r="P714" s="150">
        <f t="shared" si="136"/>
        <v>713</v>
      </c>
      <c r="Q714" s="150" t="e">
        <f t="shared" si="137"/>
        <v>#N/A</v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str">
        <f t="shared" si="133"/>
        <v>AW</v>
      </c>
      <c r="N715" s="150">
        <f t="shared" si="134"/>
        <v>714</v>
      </c>
      <c r="O715" s="150" t="str">
        <f t="shared" si="135"/>
        <v>AW</v>
      </c>
      <c r="P715" s="150">
        <f t="shared" si="136"/>
        <v>714</v>
      </c>
      <c r="Q715" s="150" t="e">
        <f t="shared" si="137"/>
        <v>#N/A</v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str">
        <f t="shared" si="133"/>
        <v>AW</v>
      </c>
      <c r="N716" s="150">
        <f t="shared" si="134"/>
        <v>715</v>
      </c>
      <c r="O716" s="150" t="str">
        <f t="shared" si="135"/>
        <v>AW</v>
      </c>
      <c r="P716" s="150">
        <f t="shared" si="136"/>
        <v>715</v>
      </c>
      <c r="Q716" s="150" t="e">
        <f t="shared" si="137"/>
        <v>#N/A</v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str">
        <f t="shared" si="133"/>
        <v>AW</v>
      </c>
      <c r="N717" s="150">
        <f t="shared" si="134"/>
        <v>716</v>
      </c>
      <c r="O717" s="150" t="str">
        <f t="shared" si="135"/>
        <v>AW</v>
      </c>
      <c r="P717" s="150">
        <f t="shared" si="136"/>
        <v>716</v>
      </c>
      <c r="Q717" s="150" t="e">
        <f t="shared" si="137"/>
        <v>#N/A</v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str">
        <f t="shared" si="133"/>
        <v>AW</v>
      </c>
      <c r="N718" s="150">
        <f t="shared" si="134"/>
        <v>717</v>
      </c>
      <c r="O718" s="150" t="str">
        <f t="shared" si="135"/>
        <v>AW</v>
      </c>
      <c r="P718" s="150">
        <f t="shared" si="136"/>
        <v>717</v>
      </c>
      <c r="Q718" s="150" t="e">
        <f t="shared" si="137"/>
        <v>#N/A</v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str">
        <f t="shared" si="133"/>
        <v>AW</v>
      </c>
      <c r="N719" s="150">
        <f t="shared" si="134"/>
        <v>718</v>
      </c>
      <c r="O719" s="150" t="str">
        <f t="shared" si="135"/>
        <v>AW</v>
      </c>
      <c r="P719" s="150">
        <f t="shared" si="136"/>
        <v>718</v>
      </c>
      <c r="Q719" s="150" t="e">
        <f t="shared" si="137"/>
        <v>#N/A</v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str">
        <f t="shared" si="133"/>
        <v>AW</v>
      </c>
      <c r="N720" s="150">
        <f t="shared" si="134"/>
        <v>719</v>
      </c>
      <c r="O720" s="150" t="str">
        <f t="shared" si="135"/>
        <v>AW</v>
      </c>
      <c r="P720" s="150">
        <f t="shared" si="136"/>
        <v>719</v>
      </c>
      <c r="Q720" s="150" t="e">
        <f t="shared" si="137"/>
        <v>#N/A</v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str">
        <f t="shared" si="133"/>
        <v>AW</v>
      </c>
      <c r="N721" s="150">
        <f t="shared" si="134"/>
        <v>720</v>
      </c>
      <c r="O721" s="150" t="str">
        <f t="shared" si="135"/>
        <v>AW</v>
      </c>
      <c r="P721" s="150">
        <f t="shared" si="136"/>
        <v>720</v>
      </c>
      <c r="Q721" s="150" t="e">
        <f t="shared" si="137"/>
        <v>#N/A</v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str">
        <f t="shared" si="133"/>
        <v>AW</v>
      </c>
      <c r="N722" s="150">
        <f t="shared" si="134"/>
        <v>721</v>
      </c>
      <c r="O722" s="150" t="str">
        <f t="shared" si="135"/>
        <v>AW</v>
      </c>
      <c r="P722" s="150">
        <f t="shared" si="136"/>
        <v>721</v>
      </c>
      <c r="Q722" s="150" t="e">
        <f t="shared" si="137"/>
        <v>#N/A</v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str">
        <f t="shared" si="133"/>
        <v>AW</v>
      </c>
      <c r="N723" s="150">
        <f t="shared" si="134"/>
        <v>722</v>
      </c>
      <c r="O723" s="150" t="str">
        <f t="shared" si="135"/>
        <v>AW</v>
      </c>
      <c r="P723" s="150">
        <f t="shared" si="136"/>
        <v>722</v>
      </c>
      <c r="Q723" s="150" t="e">
        <f t="shared" si="137"/>
        <v>#N/A</v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str">
        <f t="shared" si="133"/>
        <v>AW</v>
      </c>
      <c r="N724" s="150">
        <f t="shared" si="134"/>
        <v>723</v>
      </c>
      <c r="O724" s="150" t="str">
        <f t="shared" si="135"/>
        <v>AW</v>
      </c>
      <c r="P724" s="150">
        <f t="shared" si="136"/>
        <v>723</v>
      </c>
      <c r="Q724" s="150" t="e">
        <f t="shared" si="137"/>
        <v>#N/A</v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str">
        <f t="shared" si="133"/>
        <v>AW</v>
      </c>
      <c r="N725" s="150">
        <f t="shared" si="134"/>
        <v>724</v>
      </c>
      <c r="O725" s="150" t="str">
        <f t="shared" si="135"/>
        <v>AW</v>
      </c>
      <c r="P725" s="150">
        <f t="shared" si="136"/>
        <v>724</v>
      </c>
      <c r="Q725" s="150" t="e">
        <f t="shared" si="137"/>
        <v>#N/A</v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str">
        <f t="shared" si="133"/>
        <v>AW</v>
      </c>
      <c r="N726" s="150">
        <f t="shared" si="134"/>
        <v>725</v>
      </c>
      <c r="O726" s="150" t="str">
        <f t="shared" si="135"/>
        <v>AW</v>
      </c>
      <c r="P726" s="150">
        <f t="shared" si="136"/>
        <v>725</v>
      </c>
      <c r="Q726" s="150" t="e">
        <f t="shared" si="137"/>
        <v>#N/A</v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str">
        <f t="shared" si="133"/>
        <v>AW</v>
      </c>
      <c r="N727" s="150">
        <f t="shared" si="134"/>
        <v>726</v>
      </c>
      <c r="O727" s="150" t="str">
        <f t="shared" si="135"/>
        <v>AW</v>
      </c>
      <c r="P727" s="150">
        <f t="shared" si="136"/>
        <v>726</v>
      </c>
      <c r="Q727" s="150" t="e">
        <f t="shared" si="137"/>
        <v>#N/A</v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str">
        <f t="shared" si="133"/>
        <v>AW</v>
      </c>
      <c r="N728" s="150">
        <f t="shared" si="134"/>
        <v>727</v>
      </c>
      <c r="O728" s="150" t="str">
        <f t="shared" si="135"/>
        <v>AW</v>
      </c>
      <c r="P728" s="150">
        <f t="shared" si="136"/>
        <v>727</v>
      </c>
      <c r="Q728" s="150" t="e">
        <f t="shared" si="137"/>
        <v>#N/A</v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str">
        <f t="shared" si="133"/>
        <v>AW</v>
      </c>
      <c r="N729" s="150">
        <f t="shared" si="134"/>
        <v>728</v>
      </c>
      <c r="O729" s="150" t="str">
        <f t="shared" si="135"/>
        <v>AW</v>
      </c>
      <c r="P729" s="150">
        <f t="shared" si="136"/>
        <v>728</v>
      </c>
      <c r="Q729" s="150" t="e">
        <f t="shared" si="137"/>
        <v>#N/A</v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str">
        <f t="shared" si="133"/>
        <v>AW</v>
      </c>
      <c r="N730" s="150">
        <f t="shared" si="134"/>
        <v>729</v>
      </c>
      <c r="O730" s="150" t="str">
        <f t="shared" si="135"/>
        <v>AW</v>
      </c>
      <c r="P730" s="150">
        <f t="shared" si="136"/>
        <v>729</v>
      </c>
      <c r="Q730" s="150" t="e">
        <f t="shared" si="137"/>
        <v>#N/A</v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str">
        <f t="shared" si="133"/>
        <v>AW</v>
      </c>
      <c r="N731" s="150">
        <f t="shared" si="134"/>
        <v>730</v>
      </c>
      <c r="O731" s="150" t="str">
        <f t="shared" si="135"/>
        <v>AW</v>
      </c>
      <c r="P731" s="150">
        <f t="shared" si="136"/>
        <v>730</v>
      </c>
      <c r="Q731" s="150" t="e">
        <f t="shared" si="137"/>
        <v>#N/A</v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str">
        <f t="shared" si="133"/>
        <v>AW</v>
      </c>
      <c r="N732" s="150">
        <f t="shared" si="134"/>
        <v>731</v>
      </c>
      <c r="O732" s="150" t="str">
        <f t="shared" si="135"/>
        <v>AW</v>
      </c>
      <c r="P732" s="150">
        <f t="shared" si="136"/>
        <v>731</v>
      </c>
      <c r="Q732" s="150" t="e">
        <f t="shared" si="137"/>
        <v>#N/A</v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str">
        <f t="shared" si="133"/>
        <v>AW</v>
      </c>
      <c r="N733" s="150">
        <f t="shared" si="134"/>
        <v>732</v>
      </c>
      <c r="O733" s="150" t="str">
        <f t="shared" si="135"/>
        <v>AW</v>
      </c>
      <c r="P733" s="150">
        <f t="shared" si="136"/>
        <v>732</v>
      </c>
      <c r="Q733" s="150" t="e">
        <f t="shared" si="137"/>
        <v>#N/A</v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str">
        <f t="shared" si="133"/>
        <v>AW</v>
      </c>
      <c r="N734" s="150">
        <f t="shared" si="134"/>
        <v>733</v>
      </c>
      <c r="O734" s="150" t="str">
        <f t="shared" si="135"/>
        <v>AW</v>
      </c>
      <c r="P734" s="150">
        <f t="shared" si="136"/>
        <v>733</v>
      </c>
      <c r="Q734" s="150" t="e">
        <f t="shared" si="137"/>
        <v>#N/A</v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str">
        <f t="shared" si="133"/>
        <v>AW</v>
      </c>
      <c r="N735" s="150">
        <f t="shared" si="134"/>
        <v>734</v>
      </c>
      <c r="O735" s="150" t="str">
        <f t="shared" si="135"/>
        <v>AW</v>
      </c>
      <c r="P735" s="150">
        <f t="shared" si="136"/>
        <v>734</v>
      </c>
      <c r="Q735" s="150" t="e">
        <f t="shared" si="137"/>
        <v>#N/A</v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str">
        <f t="shared" si="133"/>
        <v>AW</v>
      </c>
      <c r="N736" s="150">
        <f t="shared" si="134"/>
        <v>735</v>
      </c>
      <c r="O736" s="150" t="str">
        <f t="shared" si="135"/>
        <v>AW</v>
      </c>
      <c r="P736" s="150">
        <f t="shared" si="136"/>
        <v>735</v>
      </c>
      <c r="Q736" s="150" t="e">
        <f t="shared" si="137"/>
        <v>#N/A</v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str">
        <f t="shared" si="133"/>
        <v>AW</v>
      </c>
      <c r="N737" s="150">
        <f t="shared" si="134"/>
        <v>736</v>
      </c>
      <c r="O737" s="150" t="str">
        <f t="shared" si="135"/>
        <v>AW</v>
      </c>
      <c r="P737" s="150">
        <f t="shared" si="136"/>
        <v>736</v>
      </c>
      <c r="Q737" s="150" t="e">
        <f t="shared" si="137"/>
        <v>#N/A</v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str">
        <f t="shared" si="133"/>
        <v>AW</v>
      </c>
      <c r="N738" s="150">
        <f t="shared" si="134"/>
        <v>737</v>
      </c>
      <c r="O738" s="150" t="str">
        <f t="shared" si="135"/>
        <v>AW</v>
      </c>
      <c r="P738" s="150">
        <f t="shared" si="136"/>
        <v>737</v>
      </c>
      <c r="Q738" s="150" t="e">
        <f t="shared" si="137"/>
        <v>#N/A</v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str">
        <f t="shared" si="133"/>
        <v>AW</v>
      </c>
      <c r="N739" s="150">
        <f t="shared" si="134"/>
        <v>738</v>
      </c>
      <c r="O739" s="150" t="str">
        <f t="shared" si="135"/>
        <v>AW</v>
      </c>
      <c r="P739" s="150">
        <f t="shared" si="136"/>
        <v>738</v>
      </c>
      <c r="Q739" s="150" t="e">
        <f t="shared" si="137"/>
        <v>#N/A</v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str">
        <f t="shared" si="133"/>
        <v>AW</v>
      </c>
      <c r="N740" s="150">
        <f t="shared" si="134"/>
        <v>739</v>
      </c>
      <c r="O740" s="150" t="str">
        <f t="shared" si="135"/>
        <v>AW</v>
      </c>
      <c r="P740" s="150">
        <f t="shared" si="136"/>
        <v>739</v>
      </c>
      <c r="Q740" s="150" t="e">
        <f t="shared" si="137"/>
        <v>#N/A</v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str">
        <f t="shared" si="133"/>
        <v>AW</v>
      </c>
      <c r="N741" s="150">
        <f t="shared" si="134"/>
        <v>740</v>
      </c>
      <c r="O741" s="150" t="str">
        <f t="shared" si="135"/>
        <v>AW</v>
      </c>
      <c r="P741" s="150">
        <f t="shared" si="136"/>
        <v>740</v>
      </c>
      <c r="Q741" s="150" t="e">
        <f t="shared" si="137"/>
        <v>#N/A</v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str">
        <f t="shared" si="133"/>
        <v>AW</v>
      </c>
      <c r="N742" s="150">
        <f t="shared" si="134"/>
        <v>741</v>
      </c>
      <c r="O742" s="150" t="str">
        <f t="shared" si="135"/>
        <v>AW</v>
      </c>
      <c r="P742" s="150">
        <f t="shared" si="136"/>
        <v>741</v>
      </c>
      <c r="Q742" s="150" t="e">
        <f t="shared" si="137"/>
        <v>#N/A</v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str">
        <f t="shared" si="133"/>
        <v>AW</v>
      </c>
      <c r="N743" s="150">
        <f t="shared" si="134"/>
        <v>742</v>
      </c>
      <c r="O743" s="150" t="str">
        <f t="shared" si="135"/>
        <v>AW</v>
      </c>
      <c r="P743" s="150">
        <f t="shared" si="136"/>
        <v>742</v>
      </c>
      <c r="Q743" s="150" t="e">
        <f t="shared" si="137"/>
        <v>#N/A</v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str">
        <f t="shared" si="133"/>
        <v>AW</v>
      </c>
      <c r="N744" s="150">
        <f t="shared" si="134"/>
        <v>743</v>
      </c>
      <c r="O744" s="150" t="str">
        <f t="shared" si="135"/>
        <v>AW</v>
      </c>
      <c r="P744" s="150">
        <f t="shared" si="136"/>
        <v>743</v>
      </c>
      <c r="Q744" s="150" t="e">
        <f t="shared" si="137"/>
        <v>#N/A</v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str">
        <f t="shared" si="133"/>
        <v>AW</v>
      </c>
      <c r="N745" s="150">
        <f t="shared" si="134"/>
        <v>744</v>
      </c>
      <c r="O745" s="150" t="str">
        <f t="shared" si="135"/>
        <v>AW</v>
      </c>
      <c r="P745" s="150">
        <f t="shared" si="136"/>
        <v>744</v>
      </c>
      <c r="Q745" s="150" t="e">
        <f t="shared" si="137"/>
        <v>#N/A</v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str">
        <f t="shared" si="133"/>
        <v>AW</v>
      </c>
      <c r="N746" s="150">
        <f t="shared" si="134"/>
        <v>745</v>
      </c>
      <c r="O746" s="150" t="str">
        <f t="shared" si="135"/>
        <v>AW</v>
      </c>
      <c r="P746" s="150">
        <f t="shared" si="136"/>
        <v>745</v>
      </c>
      <c r="Q746" s="150" t="e">
        <f t="shared" si="137"/>
        <v>#N/A</v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str">
        <f t="shared" si="133"/>
        <v>AW</v>
      </c>
      <c r="N747" s="150">
        <f t="shared" si="134"/>
        <v>746</v>
      </c>
      <c r="O747" s="150" t="str">
        <f t="shared" si="135"/>
        <v>AW</v>
      </c>
      <c r="P747" s="150">
        <f t="shared" si="136"/>
        <v>746</v>
      </c>
      <c r="Q747" s="150" t="e">
        <f t="shared" si="137"/>
        <v>#N/A</v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str">
        <f t="shared" si="133"/>
        <v>AW</v>
      </c>
      <c r="N748" s="150">
        <f t="shared" si="134"/>
        <v>747</v>
      </c>
      <c r="O748" s="150" t="str">
        <f t="shared" si="135"/>
        <v>AW</v>
      </c>
      <c r="P748" s="150">
        <f t="shared" si="136"/>
        <v>747</v>
      </c>
      <c r="Q748" s="150" t="e">
        <f t="shared" si="137"/>
        <v>#N/A</v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str">
        <f t="shared" si="133"/>
        <v>AW</v>
      </c>
      <c r="N749" s="150">
        <f t="shared" si="134"/>
        <v>748</v>
      </c>
      <c r="O749" s="150" t="str">
        <f t="shared" si="135"/>
        <v>AW</v>
      </c>
      <c r="P749" s="150">
        <f t="shared" si="136"/>
        <v>748</v>
      </c>
      <c r="Q749" s="150" t="e">
        <f t="shared" si="137"/>
        <v>#N/A</v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str">
        <f t="shared" si="133"/>
        <v>AW</v>
      </c>
      <c r="N750" s="150">
        <f t="shared" si="134"/>
        <v>749</v>
      </c>
      <c r="O750" s="150" t="str">
        <f t="shared" si="135"/>
        <v>AW</v>
      </c>
      <c r="P750" s="150">
        <f t="shared" si="136"/>
        <v>749</v>
      </c>
      <c r="Q750" s="150" t="e">
        <f t="shared" si="137"/>
        <v>#N/A</v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str">
        <f t="shared" si="133"/>
        <v>AW</v>
      </c>
      <c r="N751" s="150">
        <f t="shared" si="134"/>
        <v>750</v>
      </c>
      <c r="O751" s="150" t="str">
        <f t="shared" si="135"/>
        <v>AW</v>
      </c>
      <c r="P751" s="150">
        <f t="shared" si="136"/>
        <v>750</v>
      </c>
      <c r="Q751" s="150" t="e">
        <f t="shared" si="137"/>
        <v>#N/A</v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str">
        <f t="shared" si="133"/>
        <v>AW</v>
      </c>
      <c r="N752" s="150">
        <f t="shared" si="134"/>
        <v>751</v>
      </c>
      <c r="O752" s="150" t="str">
        <f t="shared" si="135"/>
        <v>AW</v>
      </c>
      <c r="P752" s="150">
        <f t="shared" si="136"/>
        <v>751</v>
      </c>
      <c r="Q752" s="150" t="e">
        <f t="shared" si="137"/>
        <v>#N/A</v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str">
        <f t="shared" si="133"/>
        <v>AW</v>
      </c>
      <c r="N753" s="150">
        <f t="shared" si="134"/>
        <v>752</v>
      </c>
      <c r="O753" s="150" t="str">
        <f t="shared" si="135"/>
        <v>AW</v>
      </c>
      <c r="P753" s="150">
        <f t="shared" si="136"/>
        <v>752</v>
      </c>
      <c r="Q753" s="150" t="e">
        <f t="shared" si="137"/>
        <v>#N/A</v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str">
        <f t="shared" si="133"/>
        <v>AW</v>
      </c>
      <c r="N754" s="150">
        <f t="shared" si="134"/>
        <v>753</v>
      </c>
      <c r="O754" s="150" t="str">
        <f t="shared" si="135"/>
        <v>AW</v>
      </c>
      <c r="P754" s="150">
        <f t="shared" si="136"/>
        <v>753</v>
      </c>
      <c r="Q754" s="150" t="e">
        <f t="shared" si="137"/>
        <v>#N/A</v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str">
        <f t="shared" si="133"/>
        <v>AW</v>
      </c>
      <c r="N755" s="150">
        <f t="shared" si="134"/>
        <v>754</v>
      </c>
      <c r="O755" s="150" t="str">
        <f t="shared" si="135"/>
        <v>AW</v>
      </c>
      <c r="P755" s="150">
        <f t="shared" si="136"/>
        <v>754</v>
      </c>
      <c r="Q755" s="150" t="e">
        <f t="shared" si="137"/>
        <v>#N/A</v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str">
        <f t="shared" si="133"/>
        <v>AW</v>
      </c>
      <c r="N756" s="150">
        <f t="shared" si="134"/>
        <v>755</v>
      </c>
      <c r="O756" s="150" t="str">
        <f t="shared" si="135"/>
        <v>AW</v>
      </c>
      <c r="P756" s="150">
        <f t="shared" si="136"/>
        <v>755</v>
      </c>
      <c r="Q756" s="150" t="e">
        <f t="shared" si="137"/>
        <v>#N/A</v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str">
        <f t="shared" si="133"/>
        <v>AW</v>
      </c>
      <c r="N757" s="150">
        <f t="shared" si="134"/>
        <v>756</v>
      </c>
      <c r="O757" s="150" t="str">
        <f t="shared" si="135"/>
        <v>AW</v>
      </c>
      <c r="P757" s="150">
        <f t="shared" si="136"/>
        <v>756</v>
      </c>
      <c r="Q757" s="150" t="e">
        <f t="shared" si="137"/>
        <v>#N/A</v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str">
        <f t="shared" si="133"/>
        <v>AW</v>
      </c>
      <c r="N758" s="150">
        <f t="shared" si="134"/>
        <v>757</v>
      </c>
      <c r="O758" s="150" t="str">
        <f t="shared" si="135"/>
        <v>AW</v>
      </c>
      <c r="P758" s="150">
        <f t="shared" si="136"/>
        <v>757</v>
      </c>
      <c r="Q758" s="150" t="e">
        <f t="shared" si="137"/>
        <v>#N/A</v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str">
        <f t="shared" si="133"/>
        <v>AW</v>
      </c>
      <c r="N759" s="150">
        <f t="shared" si="134"/>
        <v>758</v>
      </c>
      <c r="O759" s="150" t="str">
        <f t="shared" si="135"/>
        <v>AW</v>
      </c>
      <c r="P759" s="150">
        <f t="shared" si="136"/>
        <v>758</v>
      </c>
      <c r="Q759" s="150" t="e">
        <f t="shared" si="137"/>
        <v>#N/A</v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str">
        <f t="shared" si="133"/>
        <v>AW</v>
      </c>
      <c r="N760" s="150">
        <f t="shared" si="134"/>
        <v>759</v>
      </c>
      <c r="O760" s="150" t="str">
        <f t="shared" si="135"/>
        <v>AW</v>
      </c>
      <c r="P760" s="150">
        <f t="shared" si="136"/>
        <v>759</v>
      </c>
      <c r="Q760" s="150" t="e">
        <f t="shared" si="137"/>
        <v>#N/A</v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str">
        <f t="shared" si="133"/>
        <v>AW</v>
      </c>
      <c r="N761" s="150">
        <f t="shared" si="134"/>
        <v>760</v>
      </c>
      <c r="O761" s="150" t="str">
        <f t="shared" si="135"/>
        <v>AW</v>
      </c>
      <c r="P761" s="150">
        <f t="shared" si="136"/>
        <v>760</v>
      </c>
      <c r="Q761" s="150" t="e">
        <f t="shared" si="137"/>
        <v>#N/A</v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str">
        <f t="shared" si="133"/>
        <v>AW</v>
      </c>
      <c r="N762" s="150">
        <f t="shared" si="134"/>
        <v>761</v>
      </c>
      <c r="O762" s="150" t="str">
        <f t="shared" si="135"/>
        <v>AW</v>
      </c>
      <c r="P762" s="150">
        <f t="shared" si="136"/>
        <v>761</v>
      </c>
      <c r="Q762" s="150" t="e">
        <f t="shared" si="137"/>
        <v>#N/A</v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str">
        <f t="shared" si="133"/>
        <v>AW</v>
      </c>
      <c r="N763" s="150">
        <f t="shared" si="134"/>
        <v>762</v>
      </c>
      <c r="O763" s="150" t="str">
        <f t="shared" si="135"/>
        <v>AW</v>
      </c>
      <c r="P763" s="150">
        <f t="shared" si="136"/>
        <v>762</v>
      </c>
      <c r="Q763" s="150" t="e">
        <f t="shared" si="137"/>
        <v>#N/A</v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str">
        <f t="shared" si="133"/>
        <v>AW</v>
      </c>
      <c r="N764" s="150">
        <f t="shared" si="134"/>
        <v>763</v>
      </c>
      <c r="O764" s="150" t="str">
        <f t="shared" si="135"/>
        <v>AW</v>
      </c>
      <c r="P764" s="150">
        <f t="shared" si="136"/>
        <v>763</v>
      </c>
      <c r="Q764" s="150" t="e">
        <f t="shared" si="137"/>
        <v>#N/A</v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str">
        <f t="shared" si="133"/>
        <v>AW</v>
      </c>
      <c r="N765" s="150">
        <f t="shared" si="134"/>
        <v>764</v>
      </c>
      <c r="O765" s="150" t="str">
        <f t="shared" si="135"/>
        <v>AW</v>
      </c>
      <c r="P765" s="150">
        <f t="shared" si="136"/>
        <v>764</v>
      </c>
      <c r="Q765" s="150" t="e">
        <f t="shared" si="137"/>
        <v>#N/A</v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str">
        <f t="shared" si="133"/>
        <v>AW</v>
      </c>
      <c r="N766" s="150">
        <f t="shared" si="134"/>
        <v>765</v>
      </c>
      <c r="O766" s="150" t="str">
        <f t="shared" si="135"/>
        <v>AW</v>
      </c>
      <c r="P766" s="150">
        <f t="shared" si="136"/>
        <v>765</v>
      </c>
      <c r="Q766" s="150" t="e">
        <f t="shared" si="137"/>
        <v>#N/A</v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str">
        <f t="shared" si="133"/>
        <v>AW</v>
      </c>
      <c r="N767" s="150">
        <f t="shared" si="134"/>
        <v>766</v>
      </c>
      <c r="O767" s="150" t="str">
        <f t="shared" si="135"/>
        <v>AW</v>
      </c>
      <c r="P767" s="150">
        <f t="shared" si="136"/>
        <v>766</v>
      </c>
      <c r="Q767" s="150" t="e">
        <f t="shared" si="137"/>
        <v>#N/A</v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str">
        <f t="shared" si="133"/>
        <v>AW</v>
      </c>
      <c r="N768" s="150">
        <f t="shared" si="134"/>
        <v>767</v>
      </c>
      <c r="O768" s="150" t="str">
        <f t="shared" si="135"/>
        <v>AW</v>
      </c>
      <c r="P768" s="150">
        <f t="shared" si="136"/>
        <v>767</v>
      </c>
      <c r="Q768" s="150" t="e">
        <f t="shared" si="137"/>
        <v>#N/A</v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str">
        <f t="shared" si="133"/>
        <v>AW</v>
      </c>
      <c r="N769" s="150">
        <f t="shared" si="134"/>
        <v>768</v>
      </c>
      <c r="O769" s="150" t="str">
        <f t="shared" si="135"/>
        <v>AW</v>
      </c>
      <c r="P769" s="150">
        <f t="shared" si="136"/>
        <v>768</v>
      </c>
      <c r="Q769" s="150" t="e">
        <f t="shared" si="137"/>
        <v>#N/A</v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str">
        <f t="shared" si="133"/>
        <v>AW</v>
      </c>
      <c r="N770" s="150">
        <f t="shared" si="134"/>
        <v>769</v>
      </c>
      <c r="O770" s="150" t="str">
        <f t="shared" si="135"/>
        <v>AW</v>
      </c>
      <c r="P770" s="150">
        <f t="shared" si="136"/>
        <v>769</v>
      </c>
      <c r="Q770" s="150" t="e">
        <f t="shared" si="137"/>
        <v>#N/A</v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str">
        <f t="shared" ref="M771:M834" si="145">IF(L771="","",IF(L771&lt;=$E$15,VLOOKUP($E$14,$I$1:$J$4,2,FALSE),VLOOKUP($F$14,$I$1:$J$4,2,FALSE)))</f>
        <v>AW</v>
      </c>
      <c r="N771" s="150">
        <f t="shared" ref="N771:N834" si="146">IF($B$20&gt;=K771,K771,"")</f>
        <v>770</v>
      </c>
      <c r="O771" s="150" t="str">
        <f t="shared" ref="O771:O834" si="147">IF(N771="","",IF(N771&lt;=$E$22,VLOOKUP($E$21,$I$1:$J$4,2,FALSE),VLOOKUP($F$21,$I$1:$J$4,2,FALSE)))</f>
        <v>AW</v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str">
        <f t="shared" si="145"/>
        <v>AW</v>
      </c>
      <c r="N772" s="150">
        <f t="shared" si="146"/>
        <v>771</v>
      </c>
      <c r="O772" s="150" t="str">
        <f t="shared" si="147"/>
        <v>AW</v>
      </c>
      <c r="P772" s="150">
        <f t="shared" si="148"/>
        <v>771</v>
      </c>
      <c r="Q772" s="150" t="e">
        <f t="shared" si="149"/>
        <v>#N/A</v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str">
        <f t="shared" si="145"/>
        <v>AW</v>
      </c>
      <c r="N773" s="150">
        <f t="shared" si="146"/>
        <v>772</v>
      </c>
      <c r="O773" s="150" t="str">
        <f t="shared" si="147"/>
        <v>AW</v>
      </c>
      <c r="P773" s="150">
        <f t="shared" si="148"/>
        <v>772</v>
      </c>
      <c r="Q773" s="150" t="e">
        <f t="shared" si="149"/>
        <v>#N/A</v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str">
        <f t="shared" si="145"/>
        <v>AW</v>
      </c>
      <c r="N774" s="150">
        <f t="shared" si="146"/>
        <v>773</v>
      </c>
      <c r="O774" s="150" t="str">
        <f t="shared" si="147"/>
        <v>AW</v>
      </c>
      <c r="P774" s="150">
        <f t="shared" si="148"/>
        <v>773</v>
      </c>
      <c r="Q774" s="150" t="e">
        <f t="shared" si="149"/>
        <v>#N/A</v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str">
        <f t="shared" si="145"/>
        <v>AW</v>
      </c>
      <c r="N775" s="150">
        <f t="shared" si="146"/>
        <v>774</v>
      </c>
      <c r="O775" s="150" t="str">
        <f t="shared" si="147"/>
        <v>AW</v>
      </c>
      <c r="P775" s="150">
        <f t="shared" si="148"/>
        <v>774</v>
      </c>
      <c r="Q775" s="150" t="e">
        <f t="shared" si="149"/>
        <v>#N/A</v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str">
        <f t="shared" si="145"/>
        <v>AW</v>
      </c>
      <c r="N776" s="150">
        <f t="shared" si="146"/>
        <v>775</v>
      </c>
      <c r="O776" s="150" t="str">
        <f t="shared" si="147"/>
        <v>AW</v>
      </c>
      <c r="P776" s="150">
        <f t="shared" si="148"/>
        <v>775</v>
      </c>
      <c r="Q776" s="150" t="e">
        <f t="shared" si="149"/>
        <v>#N/A</v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str">
        <f t="shared" si="145"/>
        <v>AW</v>
      </c>
      <c r="N777" s="150">
        <f t="shared" si="146"/>
        <v>776</v>
      </c>
      <c r="O777" s="150" t="str">
        <f t="shared" si="147"/>
        <v>AW</v>
      </c>
      <c r="P777" s="150">
        <f t="shared" si="148"/>
        <v>776</v>
      </c>
      <c r="Q777" s="150" t="e">
        <f t="shared" si="149"/>
        <v>#N/A</v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str">
        <f t="shared" si="145"/>
        <v>AW</v>
      </c>
      <c r="N778" s="150">
        <f t="shared" si="146"/>
        <v>777</v>
      </c>
      <c r="O778" s="150" t="str">
        <f t="shared" si="147"/>
        <v>AW</v>
      </c>
      <c r="P778" s="150">
        <f t="shared" si="148"/>
        <v>777</v>
      </c>
      <c r="Q778" s="150" t="e">
        <f t="shared" si="149"/>
        <v>#N/A</v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str">
        <f t="shared" si="145"/>
        <v>AW</v>
      </c>
      <c r="N779" s="150">
        <f t="shared" si="146"/>
        <v>778</v>
      </c>
      <c r="O779" s="150" t="str">
        <f t="shared" si="147"/>
        <v>AW</v>
      </c>
      <c r="P779" s="150">
        <f t="shared" si="148"/>
        <v>778</v>
      </c>
      <c r="Q779" s="150" t="e">
        <f t="shared" si="149"/>
        <v>#N/A</v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str">
        <f t="shared" si="145"/>
        <v>AW</v>
      </c>
      <c r="N780" s="150">
        <f t="shared" si="146"/>
        <v>779</v>
      </c>
      <c r="O780" s="150" t="str">
        <f t="shared" si="147"/>
        <v>AW</v>
      </c>
      <c r="P780" s="150">
        <f t="shared" si="148"/>
        <v>779</v>
      </c>
      <c r="Q780" s="150" t="e">
        <f t="shared" si="149"/>
        <v>#N/A</v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str">
        <f t="shared" si="145"/>
        <v>AW</v>
      </c>
      <c r="N781" s="150">
        <f t="shared" si="146"/>
        <v>780</v>
      </c>
      <c r="O781" s="150" t="str">
        <f t="shared" si="147"/>
        <v>AW</v>
      </c>
      <c r="P781" s="150">
        <f t="shared" si="148"/>
        <v>780</v>
      </c>
      <c r="Q781" s="150" t="e">
        <f t="shared" si="149"/>
        <v>#N/A</v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str">
        <f t="shared" si="145"/>
        <v>AW</v>
      </c>
      <c r="N782" s="150">
        <f t="shared" si="146"/>
        <v>781</v>
      </c>
      <c r="O782" s="150" t="str">
        <f t="shared" si="147"/>
        <v>AW</v>
      </c>
      <c r="P782" s="150">
        <f t="shared" si="148"/>
        <v>781</v>
      </c>
      <c r="Q782" s="150" t="e">
        <f t="shared" si="149"/>
        <v>#N/A</v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str">
        <f t="shared" si="145"/>
        <v>AW</v>
      </c>
      <c r="N783" s="150">
        <f t="shared" si="146"/>
        <v>782</v>
      </c>
      <c r="O783" s="150" t="str">
        <f t="shared" si="147"/>
        <v>AW</v>
      </c>
      <c r="P783" s="150">
        <f t="shared" si="148"/>
        <v>782</v>
      </c>
      <c r="Q783" s="150" t="e">
        <f t="shared" si="149"/>
        <v>#N/A</v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str">
        <f t="shared" si="145"/>
        <v>AW</v>
      </c>
      <c r="N784" s="150">
        <f t="shared" si="146"/>
        <v>783</v>
      </c>
      <c r="O784" s="150" t="str">
        <f t="shared" si="147"/>
        <v>AW</v>
      </c>
      <c r="P784" s="150">
        <f t="shared" si="148"/>
        <v>783</v>
      </c>
      <c r="Q784" s="150" t="e">
        <f t="shared" si="149"/>
        <v>#N/A</v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str">
        <f t="shared" si="145"/>
        <v>AW</v>
      </c>
      <c r="N785" s="150">
        <f t="shared" si="146"/>
        <v>784</v>
      </c>
      <c r="O785" s="150" t="str">
        <f t="shared" si="147"/>
        <v>AW</v>
      </c>
      <c r="P785" s="150">
        <f t="shared" si="148"/>
        <v>784</v>
      </c>
      <c r="Q785" s="150" t="e">
        <f t="shared" si="149"/>
        <v>#N/A</v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str">
        <f t="shared" si="145"/>
        <v>AW</v>
      </c>
      <c r="N786" s="150">
        <f t="shared" si="146"/>
        <v>785</v>
      </c>
      <c r="O786" s="150" t="str">
        <f t="shared" si="147"/>
        <v>AW</v>
      </c>
      <c r="P786" s="150">
        <f t="shared" si="148"/>
        <v>785</v>
      </c>
      <c r="Q786" s="150" t="e">
        <f t="shared" si="149"/>
        <v>#N/A</v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str">
        <f t="shared" si="145"/>
        <v>AW</v>
      </c>
      <c r="N787" s="150">
        <f t="shared" si="146"/>
        <v>786</v>
      </c>
      <c r="O787" s="150" t="str">
        <f t="shared" si="147"/>
        <v>AW</v>
      </c>
      <c r="P787" s="150">
        <f t="shared" si="148"/>
        <v>786</v>
      </c>
      <c r="Q787" s="150" t="e">
        <f t="shared" si="149"/>
        <v>#N/A</v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str">
        <f t="shared" si="145"/>
        <v>AW</v>
      </c>
      <c r="N788" s="150">
        <f t="shared" si="146"/>
        <v>787</v>
      </c>
      <c r="O788" s="150" t="str">
        <f t="shared" si="147"/>
        <v>AW</v>
      </c>
      <c r="P788" s="150">
        <f t="shared" si="148"/>
        <v>787</v>
      </c>
      <c r="Q788" s="150" t="e">
        <f t="shared" si="149"/>
        <v>#N/A</v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str">
        <f t="shared" si="145"/>
        <v>AW</v>
      </c>
      <c r="N789" s="150">
        <f t="shared" si="146"/>
        <v>788</v>
      </c>
      <c r="O789" s="150" t="str">
        <f t="shared" si="147"/>
        <v>AW</v>
      </c>
      <c r="P789" s="150">
        <f t="shared" si="148"/>
        <v>788</v>
      </c>
      <c r="Q789" s="150" t="e">
        <f t="shared" si="149"/>
        <v>#N/A</v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str">
        <f t="shared" si="145"/>
        <v>AW</v>
      </c>
      <c r="N790" s="150">
        <f t="shared" si="146"/>
        <v>789</v>
      </c>
      <c r="O790" s="150" t="str">
        <f t="shared" si="147"/>
        <v>AW</v>
      </c>
      <c r="P790" s="150">
        <f t="shared" si="148"/>
        <v>789</v>
      </c>
      <c r="Q790" s="150" t="e">
        <f t="shared" si="149"/>
        <v>#N/A</v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str">
        <f t="shared" si="145"/>
        <v>AW</v>
      </c>
      <c r="N791" s="150">
        <f t="shared" si="146"/>
        <v>790</v>
      </c>
      <c r="O791" s="150" t="str">
        <f t="shared" si="147"/>
        <v>AW</v>
      </c>
      <c r="P791" s="150">
        <f t="shared" si="148"/>
        <v>790</v>
      </c>
      <c r="Q791" s="150" t="e">
        <f t="shared" si="149"/>
        <v>#N/A</v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str">
        <f t="shared" si="145"/>
        <v>AW</v>
      </c>
      <c r="N792" s="150">
        <f t="shared" si="146"/>
        <v>791</v>
      </c>
      <c r="O792" s="150" t="str">
        <f t="shared" si="147"/>
        <v>AW</v>
      </c>
      <c r="P792" s="150">
        <f t="shared" si="148"/>
        <v>791</v>
      </c>
      <c r="Q792" s="150" t="e">
        <f t="shared" si="149"/>
        <v>#N/A</v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str">
        <f t="shared" si="145"/>
        <v>AW</v>
      </c>
      <c r="N793" s="150">
        <f t="shared" si="146"/>
        <v>792</v>
      </c>
      <c r="O793" s="150" t="str">
        <f t="shared" si="147"/>
        <v>AW</v>
      </c>
      <c r="P793" s="150">
        <f t="shared" si="148"/>
        <v>792</v>
      </c>
      <c r="Q793" s="150" t="e">
        <f t="shared" si="149"/>
        <v>#N/A</v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str">
        <f t="shared" si="145"/>
        <v>AW</v>
      </c>
      <c r="N794" s="150">
        <f t="shared" si="146"/>
        <v>793</v>
      </c>
      <c r="O794" s="150" t="str">
        <f t="shared" si="147"/>
        <v>AW</v>
      </c>
      <c r="P794" s="150">
        <f t="shared" si="148"/>
        <v>793</v>
      </c>
      <c r="Q794" s="150" t="e">
        <f t="shared" si="149"/>
        <v>#N/A</v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str">
        <f t="shared" si="145"/>
        <v>AW</v>
      </c>
      <c r="N795" s="150">
        <f t="shared" si="146"/>
        <v>794</v>
      </c>
      <c r="O795" s="150" t="str">
        <f t="shared" si="147"/>
        <v>AW</v>
      </c>
      <c r="P795" s="150">
        <f t="shared" si="148"/>
        <v>794</v>
      </c>
      <c r="Q795" s="150" t="e">
        <f t="shared" si="149"/>
        <v>#N/A</v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str">
        <f t="shared" si="145"/>
        <v>AW</v>
      </c>
      <c r="N796" s="150">
        <f t="shared" si="146"/>
        <v>795</v>
      </c>
      <c r="O796" s="150" t="str">
        <f t="shared" si="147"/>
        <v>AW</v>
      </c>
      <c r="P796" s="150">
        <f t="shared" si="148"/>
        <v>795</v>
      </c>
      <c r="Q796" s="150" t="e">
        <f t="shared" si="149"/>
        <v>#N/A</v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str">
        <f t="shared" si="145"/>
        <v>AW</v>
      </c>
      <c r="N797" s="150">
        <f t="shared" si="146"/>
        <v>796</v>
      </c>
      <c r="O797" s="150" t="str">
        <f t="shared" si="147"/>
        <v>AW</v>
      </c>
      <c r="P797" s="150">
        <f t="shared" si="148"/>
        <v>796</v>
      </c>
      <c r="Q797" s="150" t="e">
        <f t="shared" si="149"/>
        <v>#N/A</v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str">
        <f t="shared" si="145"/>
        <v>AW</v>
      </c>
      <c r="N798" s="150">
        <f t="shared" si="146"/>
        <v>797</v>
      </c>
      <c r="O798" s="150" t="str">
        <f t="shared" si="147"/>
        <v>AW</v>
      </c>
      <c r="P798" s="150">
        <f t="shared" si="148"/>
        <v>797</v>
      </c>
      <c r="Q798" s="150" t="e">
        <f t="shared" si="149"/>
        <v>#N/A</v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str">
        <f t="shared" si="145"/>
        <v>AW</v>
      </c>
      <c r="N799" s="150">
        <f t="shared" si="146"/>
        <v>798</v>
      </c>
      <c r="O799" s="150" t="str">
        <f t="shared" si="147"/>
        <v>AW</v>
      </c>
      <c r="P799" s="150">
        <f t="shared" si="148"/>
        <v>798</v>
      </c>
      <c r="Q799" s="150" t="e">
        <f t="shared" si="149"/>
        <v>#N/A</v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str">
        <f t="shared" si="145"/>
        <v>AW</v>
      </c>
      <c r="N800" s="150">
        <f t="shared" si="146"/>
        <v>799</v>
      </c>
      <c r="O800" s="150" t="str">
        <f t="shared" si="147"/>
        <v>AW</v>
      </c>
      <c r="P800" s="150">
        <f t="shared" si="148"/>
        <v>799</v>
      </c>
      <c r="Q800" s="150" t="e">
        <f t="shared" si="149"/>
        <v>#N/A</v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str">
        <f t="shared" si="145"/>
        <v>AW</v>
      </c>
      <c r="N801" s="150">
        <f t="shared" si="146"/>
        <v>800</v>
      </c>
      <c r="O801" s="150" t="str">
        <f t="shared" si="147"/>
        <v>AW</v>
      </c>
      <c r="P801" s="150">
        <f t="shared" si="148"/>
        <v>800</v>
      </c>
      <c r="Q801" s="150" t="e">
        <f t="shared" si="149"/>
        <v>#N/A</v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str">
        <f t="shared" si="145"/>
        <v>AW</v>
      </c>
      <c r="N802" s="150">
        <f t="shared" si="146"/>
        <v>801</v>
      </c>
      <c r="O802" s="150" t="str">
        <f t="shared" si="147"/>
        <v>AW</v>
      </c>
      <c r="P802" s="150">
        <f t="shared" si="148"/>
        <v>801</v>
      </c>
      <c r="Q802" s="150" t="e">
        <f t="shared" si="149"/>
        <v>#N/A</v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str">
        <f t="shared" si="145"/>
        <v>AW</v>
      </c>
      <c r="N803" s="150">
        <f t="shared" si="146"/>
        <v>802</v>
      </c>
      <c r="O803" s="150" t="str">
        <f t="shared" si="147"/>
        <v>AW</v>
      </c>
      <c r="P803" s="150">
        <f t="shared" si="148"/>
        <v>802</v>
      </c>
      <c r="Q803" s="150" t="e">
        <f t="shared" si="149"/>
        <v>#N/A</v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str">
        <f t="shared" si="145"/>
        <v>AW</v>
      </c>
      <c r="N804" s="150">
        <f t="shared" si="146"/>
        <v>803</v>
      </c>
      <c r="O804" s="150" t="str">
        <f t="shared" si="147"/>
        <v>AW</v>
      </c>
      <c r="P804" s="150">
        <f t="shared" si="148"/>
        <v>803</v>
      </c>
      <c r="Q804" s="150" t="e">
        <f t="shared" si="149"/>
        <v>#N/A</v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str">
        <f t="shared" si="145"/>
        <v>AW</v>
      </c>
      <c r="N805" s="150">
        <f t="shared" si="146"/>
        <v>804</v>
      </c>
      <c r="O805" s="150" t="str">
        <f t="shared" si="147"/>
        <v>AW</v>
      </c>
      <c r="P805" s="150">
        <f t="shared" si="148"/>
        <v>804</v>
      </c>
      <c r="Q805" s="150" t="e">
        <f t="shared" si="149"/>
        <v>#N/A</v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str">
        <f t="shared" si="145"/>
        <v>AW</v>
      </c>
      <c r="N806" s="150">
        <f t="shared" si="146"/>
        <v>805</v>
      </c>
      <c r="O806" s="150" t="str">
        <f t="shared" si="147"/>
        <v>AW</v>
      </c>
      <c r="P806" s="150">
        <f t="shared" si="148"/>
        <v>805</v>
      </c>
      <c r="Q806" s="150" t="e">
        <f t="shared" si="149"/>
        <v>#N/A</v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str">
        <f t="shared" si="145"/>
        <v>AW</v>
      </c>
      <c r="N807" s="150">
        <f t="shared" si="146"/>
        <v>806</v>
      </c>
      <c r="O807" s="150" t="str">
        <f t="shared" si="147"/>
        <v>AW</v>
      </c>
      <c r="P807" s="150">
        <f t="shared" si="148"/>
        <v>806</v>
      </c>
      <c r="Q807" s="150" t="e">
        <f t="shared" si="149"/>
        <v>#N/A</v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str">
        <f t="shared" si="145"/>
        <v>AW</v>
      </c>
      <c r="N808" s="150">
        <f t="shared" si="146"/>
        <v>807</v>
      </c>
      <c r="O808" s="150" t="str">
        <f t="shared" si="147"/>
        <v>AW</v>
      </c>
      <c r="P808" s="150">
        <f t="shared" si="148"/>
        <v>807</v>
      </c>
      <c r="Q808" s="150" t="e">
        <f t="shared" si="149"/>
        <v>#N/A</v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str">
        <f t="shared" si="145"/>
        <v>AW</v>
      </c>
      <c r="N809" s="150">
        <f t="shared" si="146"/>
        <v>808</v>
      </c>
      <c r="O809" s="150" t="str">
        <f t="shared" si="147"/>
        <v>AW</v>
      </c>
      <c r="P809" s="150">
        <f t="shared" si="148"/>
        <v>808</v>
      </c>
      <c r="Q809" s="150" t="e">
        <f t="shared" si="149"/>
        <v>#N/A</v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str">
        <f t="shared" si="145"/>
        <v>AW</v>
      </c>
      <c r="N810" s="150">
        <f t="shared" si="146"/>
        <v>809</v>
      </c>
      <c r="O810" s="150" t="str">
        <f t="shared" si="147"/>
        <v>AW</v>
      </c>
      <c r="P810" s="150">
        <f t="shared" si="148"/>
        <v>809</v>
      </c>
      <c r="Q810" s="150" t="e">
        <f t="shared" si="149"/>
        <v>#N/A</v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str">
        <f t="shared" si="145"/>
        <v>AW</v>
      </c>
      <c r="N811" s="150">
        <f t="shared" si="146"/>
        <v>810</v>
      </c>
      <c r="O811" s="150" t="str">
        <f t="shared" si="147"/>
        <v>AW</v>
      </c>
      <c r="P811" s="150">
        <f t="shared" si="148"/>
        <v>810</v>
      </c>
      <c r="Q811" s="150" t="e">
        <f t="shared" si="149"/>
        <v>#N/A</v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str">
        <f t="shared" si="145"/>
        <v>AW</v>
      </c>
      <c r="N812" s="150">
        <f t="shared" si="146"/>
        <v>811</v>
      </c>
      <c r="O812" s="150" t="str">
        <f t="shared" si="147"/>
        <v>AW</v>
      </c>
      <c r="P812" s="150">
        <f t="shared" si="148"/>
        <v>811</v>
      </c>
      <c r="Q812" s="150" t="e">
        <f t="shared" si="149"/>
        <v>#N/A</v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str">
        <f t="shared" si="145"/>
        <v>AW</v>
      </c>
      <c r="N813" s="150">
        <f t="shared" si="146"/>
        <v>812</v>
      </c>
      <c r="O813" s="150" t="str">
        <f t="shared" si="147"/>
        <v>AW</v>
      </c>
      <c r="P813" s="150">
        <f t="shared" si="148"/>
        <v>812</v>
      </c>
      <c r="Q813" s="150" t="e">
        <f t="shared" si="149"/>
        <v>#N/A</v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str">
        <f t="shared" si="145"/>
        <v>AW</v>
      </c>
      <c r="N814" s="150">
        <f t="shared" si="146"/>
        <v>813</v>
      </c>
      <c r="O814" s="150" t="str">
        <f t="shared" si="147"/>
        <v>AW</v>
      </c>
      <c r="P814" s="150">
        <f t="shared" si="148"/>
        <v>813</v>
      </c>
      <c r="Q814" s="150" t="e">
        <f t="shared" si="149"/>
        <v>#N/A</v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str">
        <f t="shared" si="145"/>
        <v>AW</v>
      </c>
      <c r="N815" s="150">
        <f t="shared" si="146"/>
        <v>814</v>
      </c>
      <c r="O815" s="150" t="str">
        <f t="shared" si="147"/>
        <v>AW</v>
      </c>
      <c r="P815" s="150">
        <f t="shared" si="148"/>
        <v>814</v>
      </c>
      <c r="Q815" s="150" t="e">
        <f t="shared" si="149"/>
        <v>#N/A</v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str">
        <f t="shared" si="145"/>
        <v>AW</v>
      </c>
      <c r="N816" s="150">
        <f t="shared" si="146"/>
        <v>815</v>
      </c>
      <c r="O816" s="150" t="str">
        <f t="shared" si="147"/>
        <v>AW</v>
      </c>
      <c r="P816" s="150">
        <f t="shared" si="148"/>
        <v>815</v>
      </c>
      <c r="Q816" s="150" t="e">
        <f t="shared" si="149"/>
        <v>#N/A</v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str">
        <f t="shared" si="145"/>
        <v>AW</v>
      </c>
      <c r="N817" s="150">
        <f t="shared" si="146"/>
        <v>816</v>
      </c>
      <c r="O817" s="150" t="str">
        <f t="shared" si="147"/>
        <v>AW</v>
      </c>
      <c r="P817" s="150">
        <f t="shared" si="148"/>
        <v>816</v>
      </c>
      <c r="Q817" s="150" t="e">
        <f t="shared" si="149"/>
        <v>#N/A</v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str">
        <f t="shared" si="145"/>
        <v>AW</v>
      </c>
      <c r="N818" s="150">
        <f t="shared" si="146"/>
        <v>817</v>
      </c>
      <c r="O818" s="150" t="str">
        <f t="shared" si="147"/>
        <v>AW</v>
      </c>
      <c r="P818" s="150">
        <f t="shared" si="148"/>
        <v>817</v>
      </c>
      <c r="Q818" s="150" t="e">
        <f t="shared" si="149"/>
        <v>#N/A</v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str">
        <f t="shared" si="145"/>
        <v>AW</v>
      </c>
      <c r="N819" s="150">
        <f t="shared" si="146"/>
        <v>818</v>
      </c>
      <c r="O819" s="150" t="str">
        <f t="shared" si="147"/>
        <v>AW</v>
      </c>
      <c r="P819" s="150">
        <f t="shared" si="148"/>
        <v>818</v>
      </c>
      <c r="Q819" s="150" t="e">
        <f t="shared" si="149"/>
        <v>#N/A</v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str">
        <f t="shared" si="145"/>
        <v>AW</v>
      </c>
      <c r="N820" s="150">
        <f t="shared" si="146"/>
        <v>819</v>
      </c>
      <c r="O820" s="150" t="str">
        <f t="shared" si="147"/>
        <v>AW</v>
      </c>
      <c r="P820" s="150">
        <f t="shared" si="148"/>
        <v>819</v>
      </c>
      <c r="Q820" s="150" t="e">
        <f t="shared" si="149"/>
        <v>#N/A</v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str">
        <f t="shared" si="145"/>
        <v>AW</v>
      </c>
      <c r="N821" s="150">
        <f t="shared" si="146"/>
        <v>820</v>
      </c>
      <c r="O821" s="150" t="str">
        <f t="shared" si="147"/>
        <v>AW</v>
      </c>
      <c r="P821" s="150">
        <f t="shared" si="148"/>
        <v>820</v>
      </c>
      <c r="Q821" s="150" t="e">
        <f t="shared" si="149"/>
        <v>#N/A</v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str">
        <f t="shared" si="145"/>
        <v>AW</v>
      </c>
      <c r="N822" s="150">
        <f t="shared" si="146"/>
        <v>821</v>
      </c>
      <c r="O822" s="150" t="str">
        <f t="shared" si="147"/>
        <v>AW</v>
      </c>
      <c r="P822" s="150">
        <f t="shared" si="148"/>
        <v>821</v>
      </c>
      <c r="Q822" s="150" t="e">
        <f t="shared" si="149"/>
        <v>#N/A</v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str">
        <f t="shared" si="145"/>
        <v>AW</v>
      </c>
      <c r="N823" s="150">
        <f t="shared" si="146"/>
        <v>822</v>
      </c>
      <c r="O823" s="150" t="str">
        <f t="shared" si="147"/>
        <v>AW</v>
      </c>
      <c r="P823" s="150">
        <f t="shared" si="148"/>
        <v>822</v>
      </c>
      <c r="Q823" s="150" t="e">
        <f t="shared" si="149"/>
        <v>#N/A</v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str">
        <f t="shared" si="145"/>
        <v>AW</v>
      </c>
      <c r="N824" s="150">
        <f t="shared" si="146"/>
        <v>823</v>
      </c>
      <c r="O824" s="150" t="str">
        <f t="shared" si="147"/>
        <v>AW</v>
      </c>
      <c r="P824" s="150">
        <f t="shared" si="148"/>
        <v>823</v>
      </c>
      <c r="Q824" s="150" t="e">
        <f t="shared" si="149"/>
        <v>#N/A</v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str">
        <f t="shared" si="145"/>
        <v>AW</v>
      </c>
      <c r="N825" s="150">
        <f t="shared" si="146"/>
        <v>824</v>
      </c>
      <c r="O825" s="150" t="str">
        <f t="shared" si="147"/>
        <v>AW</v>
      </c>
      <c r="P825" s="150">
        <f t="shared" si="148"/>
        <v>824</v>
      </c>
      <c r="Q825" s="150" t="e">
        <f t="shared" si="149"/>
        <v>#N/A</v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str">
        <f t="shared" si="145"/>
        <v>AW</v>
      </c>
      <c r="N826" s="150">
        <f t="shared" si="146"/>
        <v>825</v>
      </c>
      <c r="O826" s="150" t="str">
        <f t="shared" si="147"/>
        <v>AW</v>
      </c>
      <c r="P826" s="150">
        <f t="shared" si="148"/>
        <v>825</v>
      </c>
      <c r="Q826" s="150" t="e">
        <f t="shared" si="149"/>
        <v>#N/A</v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str">
        <f t="shared" si="145"/>
        <v>AW</v>
      </c>
      <c r="N827" s="150">
        <f t="shared" si="146"/>
        <v>826</v>
      </c>
      <c r="O827" s="150" t="str">
        <f t="shared" si="147"/>
        <v>AW</v>
      </c>
      <c r="P827" s="150">
        <f t="shared" si="148"/>
        <v>826</v>
      </c>
      <c r="Q827" s="150" t="e">
        <f t="shared" si="149"/>
        <v>#N/A</v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str">
        <f t="shared" si="145"/>
        <v>AW</v>
      </c>
      <c r="N828" s="150">
        <f t="shared" si="146"/>
        <v>827</v>
      </c>
      <c r="O828" s="150" t="str">
        <f t="shared" si="147"/>
        <v>AW</v>
      </c>
      <c r="P828" s="150">
        <f t="shared" si="148"/>
        <v>827</v>
      </c>
      <c r="Q828" s="150" t="e">
        <f t="shared" si="149"/>
        <v>#N/A</v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str">
        <f t="shared" si="145"/>
        <v>AW</v>
      </c>
      <c r="N829" s="150">
        <f t="shared" si="146"/>
        <v>828</v>
      </c>
      <c r="O829" s="150" t="str">
        <f t="shared" si="147"/>
        <v>AW</v>
      </c>
      <c r="P829" s="150">
        <f t="shared" si="148"/>
        <v>828</v>
      </c>
      <c r="Q829" s="150" t="e">
        <f t="shared" si="149"/>
        <v>#N/A</v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str">
        <f t="shared" si="145"/>
        <v>AW</v>
      </c>
      <c r="N830" s="150">
        <f t="shared" si="146"/>
        <v>829</v>
      </c>
      <c r="O830" s="150" t="str">
        <f t="shared" si="147"/>
        <v>AW</v>
      </c>
      <c r="P830" s="150">
        <f t="shared" si="148"/>
        <v>829</v>
      </c>
      <c r="Q830" s="150" t="e">
        <f t="shared" si="149"/>
        <v>#N/A</v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str">
        <f t="shared" si="145"/>
        <v>AW</v>
      </c>
      <c r="N831" s="150">
        <f t="shared" si="146"/>
        <v>830</v>
      </c>
      <c r="O831" s="150" t="str">
        <f t="shared" si="147"/>
        <v>AW</v>
      </c>
      <c r="P831" s="150">
        <f t="shared" si="148"/>
        <v>830</v>
      </c>
      <c r="Q831" s="150" t="e">
        <f t="shared" si="149"/>
        <v>#N/A</v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str">
        <f t="shared" si="145"/>
        <v>AW</v>
      </c>
      <c r="N832" s="150">
        <f t="shared" si="146"/>
        <v>831</v>
      </c>
      <c r="O832" s="150" t="str">
        <f t="shared" si="147"/>
        <v>AW</v>
      </c>
      <c r="P832" s="150">
        <f t="shared" si="148"/>
        <v>831</v>
      </c>
      <c r="Q832" s="150" t="e">
        <f t="shared" si="149"/>
        <v>#N/A</v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str">
        <f t="shared" si="145"/>
        <v>AW</v>
      </c>
      <c r="N833" s="150">
        <f t="shared" si="146"/>
        <v>832</v>
      </c>
      <c r="O833" s="150" t="str">
        <f t="shared" si="147"/>
        <v>AW</v>
      </c>
      <c r="P833" s="150">
        <f t="shared" si="148"/>
        <v>832</v>
      </c>
      <c r="Q833" s="150" t="e">
        <f t="shared" si="149"/>
        <v>#N/A</v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str">
        <f t="shared" si="145"/>
        <v>AW</v>
      </c>
      <c r="N834" s="150">
        <f t="shared" si="146"/>
        <v>833</v>
      </c>
      <c r="O834" s="150" t="str">
        <f t="shared" si="147"/>
        <v>AW</v>
      </c>
      <c r="P834" s="150">
        <f t="shared" si="148"/>
        <v>833</v>
      </c>
      <c r="Q834" s="150" t="e">
        <f t="shared" si="149"/>
        <v>#N/A</v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str">
        <f t="shared" ref="M835:M865" si="157">IF(L835="","",IF(L835&lt;=$E$15,VLOOKUP($E$14,$I$1:$J$4,2,FALSE),VLOOKUP($F$14,$I$1:$J$4,2,FALSE)))</f>
        <v>AW</v>
      </c>
      <c r="N835" s="150">
        <f t="shared" ref="N835:N865" si="158">IF($B$20&gt;=K835,K835,"")</f>
        <v>834</v>
      </c>
      <c r="O835" s="150" t="str">
        <f t="shared" ref="O835:O865" si="159">IF(N835="","",IF(N835&lt;=$E$22,VLOOKUP($E$21,$I$1:$J$4,2,FALSE),VLOOKUP($F$21,$I$1:$J$4,2,FALSE)))</f>
        <v>AW</v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str">
        <f t="shared" si="157"/>
        <v>AW</v>
      </c>
      <c r="N836" s="150">
        <f t="shared" si="158"/>
        <v>835</v>
      </c>
      <c r="O836" s="150" t="str">
        <f t="shared" si="159"/>
        <v>AW</v>
      </c>
      <c r="P836" s="150">
        <f t="shared" si="160"/>
        <v>835</v>
      </c>
      <c r="Q836" s="150" t="e">
        <f t="shared" si="161"/>
        <v>#N/A</v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str">
        <f t="shared" si="157"/>
        <v>AW</v>
      </c>
      <c r="N837" s="150">
        <f t="shared" si="158"/>
        <v>836</v>
      </c>
      <c r="O837" s="150" t="str">
        <f t="shared" si="159"/>
        <v>AW</v>
      </c>
      <c r="P837" s="150">
        <f t="shared" si="160"/>
        <v>836</v>
      </c>
      <c r="Q837" s="150" t="e">
        <f t="shared" si="161"/>
        <v>#N/A</v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str">
        <f t="shared" si="157"/>
        <v>AW</v>
      </c>
      <c r="N838" s="150">
        <f t="shared" si="158"/>
        <v>837</v>
      </c>
      <c r="O838" s="150" t="str">
        <f t="shared" si="159"/>
        <v>AW</v>
      </c>
      <c r="P838" s="150">
        <f t="shared" si="160"/>
        <v>837</v>
      </c>
      <c r="Q838" s="150" t="e">
        <f t="shared" si="161"/>
        <v>#N/A</v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str">
        <f t="shared" si="157"/>
        <v>AW</v>
      </c>
      <c r="N839" s="150">
        <f t="shared" si="158"/>
        <v>838</v>
      </c>
      <c r="O839" s="150" t="str">
        <f t="shared" si="159"/>
        <v>AW</v>
      </c>
      <c r="P839" s="150">
        <f t="shared" si="160"/>
        <v>838</v>
      </c>
      <c r="Q839" s="150" t="e">
        <f t="shared" si="161"/>
        <v>#N/A</v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str">
        <f t="shared" si="157"/>
        <v>AW</v>
      </c>
      <c r="N840" s="150">
        <f t="shared" si="158"/>
        <v>839</v>
      </c>
      <c r="O840" s="150" t="str">
        <f t="shared" si="159"/>
        <v>AW</v>
      </c>
      <c r="P840" s="150">
        <f t="shared" si="160"/>
        <v>839</v>
      </c>
      <c r="Q840" s="150" t="e">
        <f t="shared" si="161"/>
        <v>#N/A</v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str">
        <f t="shared" si="157"/>
        <v>AW</v>
      </c>
      <c r="N841" s="150">
        <f t="shared" si="158"/>
        <v>840</v>
      </c>
      <c r="O841" s="150" t="str">
        <f t="shared" si="159"/>
        <v>AW</v>
      </c>
      <c r="P841" s="150">
        <f t="shared" si="160"/>
        <v>840</v>
      </c>
      <c r="Q841" s="150" t="e">
        <f t="shared" si="161"/>
        <v>#N/A</v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str">
        <f t="shared" si="157"/>
        <v>AW</v>
      </c>
      <c r="N842" s="150">
        <f t="shared" si="158"/>
        <v>841</v>
      </c>
      <c r="O842" s="150" t="str">
        <f t="shared" si="159"/>
        <v>AW</v>
      </c>
      <c r="P842" s="150">
        <f t="shared" si="160"/>
        <v>841</v>
      </c>
      <c r="Q842" s="150" t="e">
        <f t="shared" si="161"/>
        <v>#N/A</v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str">
        <f t="shared" si="157"/>
        <v>AW</v>
      </c>
      <c r="N843" s="150">
        <f t="shared" si="158"/>
        <v>842</v>
      </c>
      <c r="O843" s="150" t="str">
        <f t="shared" si="159"/>
        <v>AW</v>
      </c>
      <c r="P843" s="150">
        <f t="shared" si="160"/>
        <v>842</v>
      </c>
      <c r="Q843" s="150" t="e">
        <f t="shared" si="161"/>
        <v>#N/A</v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str">
        <f t="shared" si="157"/>
        <v>AW</v>
      </c>
      <c r="N844" s="150">
        <f t="shared" si="158"/>
        <v>843</v>
      </c>
      <c r="O844" s="150" t="str">
        <f t="shared" si="159"/>
        <v>AW</v>
      </c>
      <c r="P844" s="150">
        <f t="shared" si="160"/>
        <v>843</v>
      </c>
      <c r="Q844" s="150" t="e">
        <f t="shared" si="161"/>
        <v>#N/A</v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str">
        <f t="shared" si="157"/>
        <v>AW</v>
      </c>
      <c r="N845" s="150">
        <f t="shared" si="158"/>
        <v>844</v>
      </c>
      <c r="O845" s="150" t="str">
        <f t="shared" si="159"/>
        <v>AW</v>
      </c>
      <c r="P845" s="150">
        <f t="shared" si="160"/>
        <v>844</v>
      </c>
      <c r="Q845" s="150" t="e">
        <f t="shared" si="161"/>
        <v>#N/A</v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str">
        <f t="shared" si="157"/>
        <v>AW</v>
      </c>
      <c r="N846" s="150">
        <f t="shared" si="158"/>
        <v>845</v>
      </c>
      <c r="O846" s="150" t="str">
        <f t="shared" si="159"/>
        <v>AW</v>
      </c>
      <c r="P846" s="150">
        <f t="shared" si="160"/>
        <v>845</v>
      </c>
      <c r="Q846" s="150" t="e">
        <f t="shared" si="161"/>
        <v>#N/A</v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str">
        <f t="shared" si="157"/>
        <v>AW</v>
      </c>
      <c r="N847" s="150">
        <f t="shared" si="158"/>
        <v>846</v>
      </c>
      <c r="O847" s="150" t="str">
        <f t="shared" si="159"/>
        <v>AW</v>
      </c>
      <c r="P847" s="150">
        <f t="shared" si="160"/>
        <v>846</v>
      </c>
      <c r="Q847" s="150" t="e">
        <f t="shared" si="161"/>
        <v>#N/A</v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str">
        <f t="shared" si="157"/>
        <v>AW</v>
      </c>
      <c r="N848" s="150">
        <f t="shared" si="158"/>
        <v>847</v>
      </c>
      <c r="O848" s="150" t="str">
        <f t="shared" si="159"/>
        <v>AW</v>
      </c>
      <c r="P848" s="150">
        <f t="shared" si="160"/>
        <v>847</v>
      </c>
      <c r="Q848" s="150" t="e">
        <f t="shared" si="161"/>
        <v>#N/A</v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str">
        <f t="shared" si="157"/>
        <v>AW</v>
      </c>
      <c r="N849" s="150">
        <f t="shared" si="158"/>
        <v>848</v>
      </c>
      <c r="O849" s="150" t="str">
        <f t="shared" si="159"/>
        <v>AW</v>
      </c>
      <c r="P849" s="150">
        <f t="shared" si="160"/>
        <v>848</v>
      </c>
      <c r="Q849" s="150" t="e">
        <f t="shared" si="161"/>
        <v>#N/A</v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str">
        <f t="shared" si="157"/>
        <v>AW</v>
      </c>
      <c r="N850" s="150">
        <f t="shared" si="158"/>
        <v>849</v>
      </c>
      <c r="O850" s="150" t="str">
        <f t="shared" si="159"/>
        <v>AW</v>
      </c>
      <c r="P850" s="150">
        <f t="shared" si="160"/>
        <v>849</v>
      </c>
      <c r="Q850" s="150" t="e">
        <f t="shared" si="161"/>
        <v>#N/A</v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str">
        <f t="shared" si="157"/>
        <v>AW</v>
      </c>
      <c r="N851" s="150">
        <f t="shared" si="158"/>
        <v>850</v>
      </c>
      <c r="O851" s="150" t="str">
        <f t="shared" si="159"/>
        <v>AW</v>
      </c>
      <c r="P851" s="150">
        <f t="shared" si="160"/>
        <v>850</v>
      </c>
      <c r="Q851" s="150" t="e">
        <f t="shared" si="161"/>
        <v>#N/A</v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str">
        <f t="shared" si="157"/>
        <v>AW</v>
      </c>
      <c r="N852" s="150">
        <f t="shared" si="158"/>
        <v>851</v>
      </c>
      <c r="O852" s="150" t="str">
        <f t="shared" si="159"/>
        <v>AW</v>
      </c>
      <c r="P852" s="150">
        <f t="shared" si="160"/>
        <v>851</v>
      </c>
      <c r="Q852" s="150" t="e">
        <f t="shared" si="161"/>
        <v>#N/A</v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str">
        <f t="shared" si="157"/>
        <v>AW</v>
      </c>
      <c r="N853" s="150">
        <f t="shared" si="158"/>
        <v>852</v>
      </c>
      <c r="O853" s="150" t="str">
        <f t="shared" si="159"/>
        <v>AW</v>
      </c>
      <c r="P853" s="150">
        <f t="shared" si="160"/>
        <v>852</v>
      </c>
      <c r="Q853" s="150" t="e">
        <f t="shared" si="161"/>
        <v>#N/A</v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str">
        <f t="shared" si="157"/>
        <v>AW</v>
      </c>
      <c r="N854" s="150">
        <f t="shared" si="158"/>
        <v>853</v>
      </c>
      <c r="O854" s="150" t="str">
        <f t="shared" si="159"/>
        <v>AW</v>
      </c>
      <c r="P854" s="150">
        <f t="shared" si="160"/>
        <v>853</v>
      </c>
      <c r="Q854" s="150" t="e">
        <f t="shared" si="161"/>
        <v>#N/A</v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str">
        <f t="shared" si="157"/>
        <v>AW</v>
      </c>
      <c r="N855" s="150">
        <f t="shared" si="158"/>
        <v>854</v>
      </c>
      <c r="O855" s="150" t="str">
        <f t="shared" si="159"/>
        <v>AW</v>
      </c>
      <c r="P855" s="150">
        <f t="shared" si="160"/>
        <v>854</v>
      </c>
      <c r="Q855" s="150" t="e">
        <f t="shared" si="161"/>
        <v>#N/A</v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str">
        <f t="shared" si="157"/>
        <v>AW</v>
      </c>
      <c r="N856" s="150">
        <f t="shared" si="158"/>
        <v>855</v>
      </c>
      <c r="O856" s="150" t="str">
        <f t="shared" si="159"/>
        <v>AW</v>
      </c>
      <c r="P856" s="150">
        <f t="shared" si="160"/>
        <v>855</v>
      </c>
      <c r="Q856" s="150" t="e">
        <f t="shared" si="161"/>
        <v>#N/A</v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str">
        <f t="shared" si="157"/>
        <v>AW</v>
      </c>
      <c r="N857" s="150">
        <f t="shared" si="158"/>
        <v>856</v>
      </c>
      <c r="O857" s="150" t="str">
        <f t="shared" si="159"/>
        <v>AW</v>
      </c>
      <c r="P857" s="150">
        <f t="shared" si="160"/>
        <v>856</v>
      </c>
      <c r="Q857" s="150" t="e">
        <f t="shared" si="161"/>
        <v>#N/A</v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str">
        <f t="shared" si="157"/>
        <v>AW</v>
      </c>
      <c r="N858" s="150">
        <f t="shared" si="158"/>
        <v>857</v>
      </c>
      <c r="O858" s="150" t="str">
        <f t="shared" si="159"/>
        <v>AW</v>
      </c>
      <c r="P858" s="150">
        <f t="shared" si="160"/>
        <v>857</v>
      </c>
      <c r="Q858" s="150" t="e">
        <f t="shared" si="161"/>
        <v>#N/A</v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str">
        <f t="shared" si="157"/>
        <v>AW</v>
      </c>
      <c r="N859" s="150">
        <f t="shared" si="158"/>
        <v>858</v>
      </c>
      <c r="O859" s="150" t="str">
        <f t="shared" si="159"/>
        <v>AW</v>
      </c>
      <c r="P859" s="150">
        <f t="shared" si="160"/>
        <v>858</v>
      </c>
      <c r="Q859" s="150" t="e">
        <f t="shared" si="161"/>
        <v>#N/A</v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str">
        <f t="shared" si="157"/>
        <v>AW</v>
      </c>
      <c r="N860" s="150">
        <f t="shared" si="158"/>
        <v>859</v>
      </c>
      <c r="O860" s="150" t="str">
        <f t="shared" si="159"/>
        <v>AW</v>
      </c>
      <c r="P860" s="150">
        <f t="shared" si="160"/>
        <v>859</v>
      </c>
      <c r="Q860" s="150" t="e">
        <f t="shared" si="161"/>
        <v>#N/A</v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str">
        <f t="shared" si="157"/>
        <v>AW</v>
      </c>
      <c r="N861" s="150">
        <f t="shared" si="158"/>
        <v>860</v>
      </c>
      <c r="O861" s="150" t="str">
        <f t="shared" si="159"/>
        <v>AW</v>
      </c>
      <c r="P861" s="150">
        <f t="shared" si="160"/>
        <v>860</v>
      </c>
      <c r="Q861" s="150" t="e">
        <f t="shared" si="161"/>
        <v>#N/A</v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str">
        <f t="shared" si="157"/>
        <v>AW</v>
      </c>
      <c r="N862" s="150">
        <f t="shared" si="158"/>
        <v>861</v>
      </c>
      <c r="O862" s="150" t="str">
        <f t="shared" si="159"/>
        <v>AW</v>
      </c>
      <c r="P862" s="150">
        <f t="shared" si="160"/>
        <v>861</v>
      </c>
      <c r="Q862" s="150" t="e">
        <f t="shared" si="161"/>
        <v>#N/A</v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str">
        <f t="shared" si="157"/>
        <v>AW</v>
      </c>
      <c r="N863" s="150">
        <f t="shared" si="158"/>
        <v>862</v>
      </c>
      <c r="O863" s="150" t="str">
        <f t="shared" si="159"/>
        <v>AW</v>
      </c>
      <c r="P863" s="150">
        <f t="shared" si="160"/>
        <v>862</v>
      </c>
      <c r="Q863" s="150" t="e">
        <f t="shared" si="161"/>
        <v>#N/A</v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str">
        <f t="shared" si="157"/>
        <v>AW</v>
      </c>
      <c r="N864" s="150">
        <f t="shared" si="158"/>
        <v>863</v>
      </c>
      <c r="O864" s="150" t="str">
        <f t="shared" si="159"/>
        <v>AW</v>
      </c>
      <c r="P864" s="150">
        <f t="shared" si="160"/>
        <v>863</v>
      </c>
      <c r="Q864" s="150" t="e">
        <f t="shared" si="161"/>
        <v>#N/A</v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str">
        <f t="shared" si="157"/>
        <v>AW</v>
      </c>
      <c r="N865" s="150">
        <f t="shared" si="158"/>
        <v>864</v>
      </c>
      <c r="O865" s="150" t="str">
        <f t="shared" si="159"/>
        <v>AW</v>
      </c>
      <c r="P865" s="150">
        <f t="shared" si="160"/>
        <v>864</v>
      </c>
      <c r="Q865" s="150" t="e">
        <f t="shared" si="161"/>
        <v>#N/A</v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B19:B22 C17:F22">
    <cfRule type="expression" dxfId="38" priority="20">
      <formula>$B$18=""</formula>
    </cfRule>
  </conditionalFormatting>
  <conditionalFormatting sqref="C24:F29 B26:B29">
    <cfRule type="expression" dxfId="37" priority="19">
      <formula>$B$25=""</formula>
    </cfRule>
  </conditionalFormatting>
  <conditionalFormatting sqref="C31:F36 B33:B36">
    <cfRule type="expression" dxfId="36" priority="16">
      <formula>$B$32=""</formula>
    </cfRule>
  </conditionalFormatting>
  <conditionalFormatting sqref="C38:F43 B40:B43">
    <cfRule type="expression" dxfId="35" priority="14">
      <formula>$B$39=""</formula>
    </cfRule>
  </conditionalFormatting>
  <conditionalFormatting sqref="C45:F50 B47:B50">
    <cfRule type="expression" dxfId="34" priority="12">
      <formula>$B$46=""</formula>
    </cfRule>
  </conditionalFormatting>
  <conditionalFormatting sqref="B17:B18">
    <cfRule type="expression" dxfId="33" priority="10">
      <formula>$B$18=""</formula>
    </cfRule>
  </conditionalFormatting>
  <conditionalFormatting sqref="B24:B25">
    <cfRule type="expression" dxfId="32" priority="9">
      <formula>$B$25=""</formula>
    </cfRule>
  </conditionalFormatting>
  <conditionalFormatting sqref="B31:B32">
    <cfRule type="expression" dxfId="31" priority="8">
      <formula>$B$32=""</formula>
    </cfRule>
  </conditionalFormatting>
  <conditionalFormatting sqref="B38:B39">
    <cfRule type="expression" dxfId="30" priority="7">
      <formula>$B$39=""</formula>
    </cfRule>
  </conditionalFormatting>
  <conditionalFormatting sqref="B45:B46">
    <cfRule type="expression" dxfId="29" priority="6">
      <formula>$B$46=""</formula>
    </cfRule>
  </conditionalFormatting>
  <conditionalFormatting sqref="D26:D29">
    <cfRule type="expression" dxfId="28" priority="5">
      <formula>$B$18=""</formula>
    </cfRule>
  </conditionalFormatting>
  <conditionalFormatting sqref="D33:D36">
    <cfRule type="expression" dxfId="27" priority="4">
      <formula>$B$18=""</formula>
    </cfRule>
  </conditionalFormatting>
  <conditionalFormatting sqref="D40:D43">
    <cfRule type="expression" dxfId="26" priority="3">
      <formula>$B$18=""</formula>
    </cfRule>
  </conditionalFormatting>
  <conditionalFormatting sqref="D47:D50">
    <cfRule type="expression" dxfId="2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100784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/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/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70" t="str">
        <f>'Cover - Location Info'!J8</f>
        <v>100784</v>
      </c>
      <c r="C3" s="221"/>
      <c r="D3" s="221"/>
      <c r="E3" s="221"/>
      <c r="F3" s="372" t="str">
        <f>'Cover - Location Info'!J10</f>
        <v>1.0</v>
      </c>
      <c r="G3" s="213"/>
    </row>
    <row r="4" spans="1:12" ht="12.75" customHeight="1" thickBot="1" x14ac:dyDescent="0.25">
      <c r="A4" s="220"/>
      <c r="B4" s="371"/>
      <c r="C4" s="221"/>
      <c r="D4" s="221"/>
      <c r="E4" s="221"/>
      <c r="F4" s="373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74" t="s">
        <v>73</v>
      </c>
      <c r="C6" s="374"/>
      <c r="D6" s="374"/>
      <c r="E6" s="374"/>
      <c r="F6" s="374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75"/>
      <c r="C9" s="376"/>
      <c r="D9" s="376"/>
      <c r="E9" s="376"/>
      <c r="F9" s="377"/>
      <c r="G9" s="223"/>
      <c r="I9" s="224"/>
      <c r="J9" s="224"/>
      <c r="K9" s="224"/>
      <c r="L9" s="224"/>
    </row>
    <row r="10" spans="1:12" ht="15" customHeight="1" x14ac:dyDescent="0.2">
      <c r="A10" s="220"/>
      <c r="B10" s="349"/>
      <c r="C10" s="350"/>
      <c r="D10" s="350"/>
      <c r="E10" s="350"/>
      <c r="F10" s="351"/>
      <c r="G10" s="223"/>
      <c r="I10" s="224"/>
      <c r="J10" s="224"/>
      <c r="K10" s="224"/>
      <c r="L10" s="224"/>
    </row>
    <row r="11" spans="1:12" ht="15" customHeight="1" x14ac:dyDescent="0.2">
      <c r="A11" s="220"/>
      <c r="B11" s="364"/>
      <c r="C11" s="365"/>
      <c r="D11" s="365"/>
      <c r="E11" s="365"/>
      <c r="F11" s="366"/>
      <c r="G11" s="223"/>
      <c r="I11" s="224"/>
      <c r="J11" s="224"/>
      <c r="K11" s="225"/>
      <c r="L11" s="226"/>
    </row>
    <row r="12" spans="1:12" ht="15" customHeight="1" x14ac:dyDescent="0.2">
      <c r="A12" s="220"/>
      <c r="B12" s="349"/>
      <c r="C12" s="350"/>
      <c r="D12" s="350"/>
      <c r="E12" s="350"/>
      <c r="F12" s="351"/>
      <c r="G12" s="223"/>
      <c r="I12" s="224"/>
      <c r="J12" s="224"/>
      <c r="K12" s="225"/>
      <c r="L12" s="226"/>
    </row>
    <row r="13" spans="1:12" ht="15" customHeight="1" x14ac:dyDescent="0.2">
      <c r="A13" s="220"/>
      <c r="B13" s="349"/>
      <c r="C13" s="350"/>
      <c r="D13" s="350"/>
      <c r="E13" s="350"/>
      <c r="F13" s="351"/>
      <c r="G13" s="223"/>
      <c r="I13" s="224"/>
      <c r="J13" s="224"/>
      <c r="K13" s="225"/>
      <c r="L13" s="226"/>
    </row>
    <row r="14" spans="1:12" ht="15" customHeight="1" x14ac:dyDescent="0.2">
      <c r="A14" s="220"/>
      <c r="B14" s="349"/>
      <c r="C14" s="350"/>
      <c r="D14" s="350"/>
      <c r="E14" s="350"/>
      <c r="F14" s="351"/>
      <c r="G14" s="223"/>
      <c r="I14" s="224"/>
      <c r="J14" s="224"/>
      <c r="K14" s="226"/>
      <c r="L14" s="226"/>
    </row>
    <row r="15" spans="1:12" ht="15" customHeight="1" x14ac:dyDescent="0.2">
      <c r="A15" s="220"/>
      <c r="B15" s="349"/>
      <c r="C15" s="350"/>
      <c r="D15" s="350"/>
      <c r="E15" s="350"/>
      <c r="F15" s="351"/>
      <c r="G15" s="223"/>
      <c r="I15" s="224"/>
      <c r="J15" s="224"/>
      <c r="K15" s="227"/>
      <c r="L15" s="227"/>
    </row>
    <row r="16" spans="1:12" ht="15" customHeight="1" x14ac:dyDescent="0.2">
      <c r="A16" s="220"/>
      <c r="B16" s="349"/>
      <c r="C16" s="350"/>
      <c r="D16" s="350"/>
      <c r="E16" s="350"/>
      <c r="F16" s="351"/>
      <c r="G16" s="223"/>
      <c r="I16" s="224"/>
      <c r="J16" s="224"/>
      <c r="K16" s="228"/>
      <c r="L16" s="228"/>
    </row>
    <row r="17" spans="1:12" ht="15" customHeight="1" x14ac:dyDescent="0.2">
      <c r="A17" s="220"/>
      <c r="B17" s="349"/>
      <c r="C17" s="350"/>
      <c r="D17" s="350"/>
      <c r="E17" s="350"/>
      <c r="F17" s="351"/>
      <c r="G17" s="223"/>
      <c r="I17" s="224"/>
      <c r="J17" s="224"/>
      <c r="K17" s="228"/>
      <c r="L17" s="228"/>
    </row>
    <row r="18" spans="1:12" ht="15" customHeight="1" x14ac:dyDescent="0.2">
      <c r="A18" s="220"/>
      <c r="B18" s="349"/>
      <c r="C18" s="350"/>
      <c r="D18" s="350"/>
      <c r="E18" s="350"/>
      <c r="F18" s="351"/>
      <c r="G18" s="223"/>
      <c r="I18" s="224"/>
      <c r="J18" s="224"/>
      <c r="K18" s="227"/>
      <c r="L18" s="227"/>
    </row>
    <row r="19" spans="1:12" ht="15" customHeight="1" x14ac:dyDescent="0.2">
      <c r="A19" s="220"/>
      <c r="B19" s="349"/>
      <c r="C19" s="350"/>
      <c r="D19" s="350"/>
      <c r="E19" s="350"/>
      <c r="F19" s="351"/>
      <c r="G19" s="223"/>
      <c r="I19" s="224"/>
      <c r="J19" s="224"/>
      <c r="K19" s="227"/>
      <c r="L19" s="227"/>
    </row>
    <row r="20" spans="1:12" ht="15" customHeight="1" x14ac:dyDescent="0.2">
      <c r="A20" s="220"/>
      <c r="B20" s="349"/>
      <c r="C20" s="350"/>
      <c r="D20" s="350"/>
      <c r="E20" s="350"/>
      <c r="F20" s="351"/>
      <c r="G20" s="223"/>
      <c r="I20" s="224"/>
      <c r="J20" s="224"/>
      <c r="K20" s="227"/>
      <c r="L20" s="227"/>
    </row>
    <row r="21" spans="1:12" ht="15" customHeight="1" x14ac:dyDescent="0.2">
      <c r="A21" s="220"/>
      <c r="B21" s="349"/>
      <c r="C21" s="350"/>
      <c r="D21" s="350"/>
      <c r="E21" s="350"/>
      <c r="F21" s="351"/>
      <c r="G21" s="223"/>
      <c r="I21" s="224"/>
      <c r="J21" s="224"/>
      <c r="K21" s="225"/>
      <c r="L21" s="226"/>
    </row>
    <row r="22" spans="1:12" ht="15" customHeight="1" x14ac:dyDescent="0.2">
      <c r="A22" s="220"/>
      <c r="B22" s="349"/>
      <c r="C22" s="350"/>
      <c r="D22" s="350"/>
      <c r="E22" s="350"/>
      <c r="F22" s="351"/>
      <c r="G22" s="223"/>
      <c r="I22" s="224"/>
      <c r="J22" s="224"/>
      <c r="K22" s="225"/>
      <c r="L22" s="226"/>
    </row>
    <row r="23" spans="1:12" ht="15" customHeight="1" x14ac:dyDescent="0.2">
      <c r="A23" s="220"/>
      <c r="B23" s="349"/>
      <c r="C23" s="350"/>
      <c r="D23" s="350"/>
      <c r="E23" s="350"/>
      <c r="F23" s="351"/>
      <c r="G23" s="223"/>
      <c r="I23" s="224"/>
      <c r="J23" s="224"/>
      <c r="K23" s="226"/>
      <c r="L23" s="226"/>
    </row>
    <row r="24" spans="1:12" ht="15" customHeight="1" x14ac:dyDescent="0.2">
      <c r="A24" s="220"/>
      <c r="B24" s="349"/>
      <c r="C24" s="350"/>
      <c r="D24" s="350"/>
      <c r="E24" s="350"/>
      <c r="F24" s="351"/>
      <c r="G24" s="223"/>
      <c r="I24" s="224"/>
      <c r="J24" s="224"/>
      <c r="K24" s="226"/>
      <c r="L24" s="226"/>
    </row>
    <row r="25" spans="1:12" ht="15" customHeight="1" x14ac:dyDescent="0.2">
      <c r="A25" s="220"/>
      <c r="B25" s="349"/>
      <c r="C25" s="350"/>
      <c r="D25" s="350"/>
      <c r="E25" s="350"/>
      <c r="F25" s="351"/>
      <c r="G25" s="223"/>
      <c r="I25" s="224"/>
      <c r="J25" s="224"/>
      <c r="K25" s="226"/>
      <c r="L25" s="226"/>
    </row>
    <row r="26" spans="1:12" ht="15" customHeight="1" x14ac:dyDescent="0.2">
      <c r="A26" s="220"/>
      <c r="B26" s="349"/>
      <c r="C26" s="350"/>
      <c r="D26" s="350"/>
      <c r="E26" s="350"/>
      <c r="F26" s="351"/>
      <c r="G26" s="223"/>
      <c r="I26" s="224"/>
      <c r="J26" s="224"/>
      <c r="K26" s="226"/>
      <c r="L26" s="226"/>
    </row>
    <row r="27" spans="1:12" ht="15" customHeight="1" x14ac:dyDescent="0.2">
      <c r="A27" s="220"/>
      <c r="B27" s="349"/>
      <c r="C27" s="350"/>
      <c r="D27" s="350"/>
      <c r="E27" s="350"/>
      <c r="F27" s="351"/>
      <c r="G27" s="223"/>
      <c r="I27" s="224"/>
      <c r="J27" s="224"/>
      <c r="K27" s="226"/>
      <c r="L27" s="226"/>
    </row>
    <row r="28" spans="1:12" ht="15" customHeight="1" x14ac:dyDescent="0.2">
      <c r="A28" s="220"/>
      <c r="B28" s="367"/>
      <c r="C28" s="368"/>
      <c r="D28" s="368"/>
      <c r="E28" s="368"/>
      <c r="F28" s="369"/>
      <c r="G28" s="223"/>
      <c r="I28" s="224"/>
      <c r="J28" s="224"/>
      <c r="K28" s="224"/>
      <c r="L28" s="224"/>
    </row>
    <row r="29" spans="1:12" ht="15" customHeight="1" x14ac:dyDescent="0.2">
      <c r="A29" s="220"/>
      <c r="B29" s="358"/>
      <c r="C29" s="359"/>
      <c r="D29" s="359"/>
      <c r="E29" s="359"/>
      <c r="F29" s="360"/>
      <c r="G29" s="223"/>
      <c r="I29" s="224"/>
      <c r="J29" s="224"/>
      <c r="K29" s="224"/>
      <c r="L29" s="224"/>
    </row>
    <row r="30" spans="1:12" ht="15" customHeight="1" x14ac:dyDescent="0.2">
      <c r="A30" s="220"/>
      <c r="B30" s="358"/>
      <c r="C30" s="359"/>
      <c r="D30" s="359"/>
      <c r="E30" s="359"/>
      <c r="F30" s="360"/>
      <c r="G30" s="223"/>
    </row>
    <row r="31" spans="1:12" ht="15" customHeight="1" x14ac:dyDescent="0.2">
      <c r="A31" s="220"/>
      <c r="B31" s="358"/>
      <c r="C31" s="359"/>
      <c r="D31" s="359"/>
      <c r="E31" s="359"/>
      <c r="F31" s="360"/>
      <c r="G31" s="223"/>
    </row>
    <row r="32" spans="1:12" ht="15" customHeight="1" x14ac:dyDescent="0.2">
      <c r="A32" s="220"/>
      <c r="B32" s="358"/>
      <c r="C32" s="359"/>
      <c r="D32" s="359"/>
      <c r="E32" s="359"/>
      <c r="F32" s="360"/>
      <c r="G32" s="223"/>
    </row>
    <row r="33" spans="1:7" ht="15" customHeight="1" x14ac:dyDescent="0.2">
      <c r="A33" s="220"/>
      <c r="B33" s="349"/>
      <c r="C33" s="350"/>
      <c r="D33" s="350"/>
      <c r="E33" s="350"/>
      <c r="F33" s="351"/>
      <c r="G33" s="223"/>
    </row>
    <row r="34" spans="1:7" ht="15" customHeight="1" x14ac:dyDescent="0.2">
      <c r="A34" s="220"/>
      <c r="B34" s="349"/>
      <c r="C34" s="350"/>
      <c r="D34" s="350"/>
      <c r="E34" s="350"/>
      <c r="F34" s="351"/>
      <c r="G34" s="223"/>
    </row>
    <row r="35" spans="1:7" ht="15" customHeight="1" x14ac:dyDescent="0.2">
      <c r="A35" s="220"/>
      <c r="B35" s="361"/>
      <c r="C35" s="362"/>
      <c r="D35" s="362"/>
      <c r="E35" s="362"/>
      <c r="F35" s="363"/>
      <c r="G35" s="223"/>
    </row>
    <row r="36" spans="1:7" ht="15" customHeight="1" x14ac:dyDescent="0.2">
      <c r="A36" s="220"/>
      <c r="B36" s="364"/>
      <c r="C36" s="365"/>
      <c r="D36" s="365"/>
      <c r="E36" s="365"/>
      <c r="F36" s="366"/>
      <c r="G36" s="223"/>
    </row>
    <row r="37" spans="1:7" ht="15" customHeight="1" x14ac:dyDescent="0.2">
      <c r="A37" s="220"/>
      <c r="B37" s="364"/>
      <c r="C37" s="365"/>
      <c r="D37" s="365"/>
      <c r="E37" s="365"/>
      <c r="F37" s="366"/>
      <c r="G37" s="223"/>
    </row>
    <row r="38" spans="1:7" ht="15" customHeight="1" x14ac:dyDescent="0.2">
      <c r="A38" s="220"/>
      <c r="B38" s="349"/>
      <c r="C38" s="350"/>
      <c r="D38" s="350"/>
      <c r="E38" s="350"/>
      <c r="F38" s="351"/>
      <c r="G38" s="223"/>
    </row>
    <row r="39" spans="1:7" ht="15" customHeight="1" x14ac:dyDescent="0.2">
      <c r="A39" s="220"/>
      <c r="B39" s="349"/>
      <c r="C39" s="350"/>
      <c r="D39" s="350"/>
      <c r="E39" s="350"/>
      <c r="F39" s="351"/>
      <c r="G39" s="223"/>
    </row>
    <row r="40" spans="1:7" ht="15" customHeight="1" x14ac:dyDescent="0.2">
      <c r="A40" s="220"/>
      <c r="B40" s="349"/>
      <c r="C40" s="350"/>
      <c r="D40" s="350"/>
      <c r="E40" s="350"/>
      <c r="F40" s="351"/>
      <c r="G40" s="223"/>
    </row>
    <row r="41" spans="1:7" ht="15" customHeight="1" x14ac:dyDescent="0.2">
      <c r="A41" s="220"/>
      <c r="B41" s="349"/>
      <c r="C41" s="350"/>
      <c r="D41" s="350"/>
      <c r="E41" s="350"/>
      <c r="F41" s="351"/>
      <c r="G41" s="223"/>
    </row>
    <row r="42" spans="1:7" ht="15" customHeight="1" x14ac:dyDescent="0.2">
      <c r="A42" s="220"/>
      <c r="B42" s="349"/>
      <c r="C42" s="350"/>
      <c r="D42" s="350"/>
      <c r="E42" s="350"/>
      <c r="F42" s="351"/>
      <c r="G42" s="223"/>
    </row>
    <row r="43" spans="1:7" ht="15" customHeight="1" x14ac:dyDescent="0.2">
      <c r="A43" s="220"/>
      <c r="B43" s="352"/>
      <c r="C43" s="353"/>
      <c r="D43" s="353"/>
      <c r="E43" s="353"/>
      <c r="F43" s="354"/>
      <c r="G43" s="223"/>
    </row>
    <row r="44" spans="1:7" ht="15" customHeight="1" x14ac:dyDescent="0.2">
      <c r="A44" s="220"/>
      <c r="B44" s="343"/>
      <c r="C44" s="344"/>
      <c r="D44" s="344"/>
      <c r="E44" s="344"/>
      <c r="F44" s="345"/>
      <c r="G44" s="223"/>
    </row>
    <row r="45" spans="1:7" ht="15" customHeight="1" x14ac:dyDescent="0.2">
      <c r="A45" s="220"/>
      <c r="B45" s="343"/>
      <c r="C45" s="344"/>
      <c r="D45" s="344"/>
      <c r="E45" s="344"/>
      <c r="F45" s="345"/>
      <c r="G45" s="223"/>
    </row>
    <row r="46" spans="1:7" ht="15" customHeight="1" x14ac:dyDescent="0.2">
      <c r="A46" s="220"/>
      <c r="B46" s="355"/>
      <c r="C46" s="356"/>
      <c r="D46" s="356"/>
      <c r="E46" s="356"/>
      <c r="F46" s="357"/>
      <c r="G46" s="223"/>
    </row>
    <row r="47" spans="1:7" ht="15" customHeight="1" x14ac:dyDescent="0.2">
      <c r="A47" s="220"/>
      <c r="B47" s="352"/>
      <c r="C47" s="353"/>
      <c r="D47" s="353"/>
      <c r="E47" s="353"/>
      <c r="F47" s="354"/>
      <c r="G47" s="223"/>
    </row>
    <row r="48" spans="1:7" ht="15" customHeight="1" x14ac:dyDescent="0.2">
      <c r="A48" s="220"/>
      <c r="B48" s="343"/>
      <c r="C48" s="344"/>
      <c r="D48" s="344"/>
      <c r="E48" s="344"/>
      <c r="F48" s="345"/>
      <c r="G48" s="223"/>
    </row>
    <row r="49" spans="1:7" ht="15" customHeight="1" x14ac:dyDescent="0.2">
      <c r="A49" s="220"/>
      <c r="B49" s="343"/>
      <c r="C49" s="344"/>
      <c r="D49" s="344"/>
      <c r="E49" s="344"/>
      <c r="F49" s="345"/>
      <c r="G49" s="223"/>
    </row>
    <row r="50" spans="1:7" ht="15" customHeight="1" x14ac:dyDescent="0.2">
      <c r="A50" s="220"/>
      <c r="B50" s="343"/>
      <c r="C50" s="344"/>
      <c r="D50" s="344"/>
      <c r="E50" s="344"/>
      <c r="F50" s="345"/>
      <c r="G50" s="223"/>
    </row>
    <row r="51" spans="1:7" ht="15" customHeight="1" thickBot="1" x14ac:dyDescent="0.25">
      <c r="A51" s="220"/>
      <c r="B51" s="346"/>
      <c r="C51" s="347"/>
      <c r="D51" s="347"/>
      <c r="E51" s="347"/>
      <c r="F51" s="348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tabSelected="1" topLeftCell="E1" zoomScale="85" zoomScaleNormal="85" workbookViewId="0">
      <selection activeCell="CL10" sqref="CL10"/>
    </sheetView>
  </sheetViews>
  <sheetFormatPr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104.140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SNF-19</v>
      </c>
      <c r="AI1" s="120" t="s">
        <v>17</v>
      </c>
      <c r="AJ1" s="121" t="s">
        <v>12</v>
      </c>
      <c r="AM1" s="121" t="str">
        <f>AF1</f>
        <v>[A] SNF-19</v>
      </c>
      <c r="AN1" s="121" t="s">
        <v>17</v>
      </c>
      <c r="AO1" s="121" t="s">
        <v>13</v>
      </c>
      <c r="AR1" s="121" t="str">
        <f>AF2</f>
        <v>[B] SNF-19</v>
      </c>
      <c r="AS1" s="121" t="s">
        <v>17</v>
      </c>
      <c r="AT1" s="121" t="s">
        <v>36</v>
      </c>
      <c r="AW1" s="121" t="str">
        <f>AF3</f>
        <v>[C] CA-KIF: ZAYO-ENT-NEW-1</v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SNF-19</v>
      </c>
      <c r="AJ2" s="121" t="str">
        <f>IF('Cable Info'!L2="","",CONCATENATE('Cable Info'!L2," - ",'Cable Info'!M2))</f>
        <v>1 - TW</v>
      </c>
      <c r="AM2" s="121" t="str">
        <f>IF(AK2="",AJ2,CONCATENATE(AJ2,"  &lt;=&gt; ",AK2," ",AL2))</f>
        <v>1 - TW</v>
      </c>
      <c r="AO2" s="121" t="str">
        <f>IF('Cable Info'!N2="","",CONCATENATE('Cable Info'!N2," - ",'Cable Info'!O2))</f>
        <v>1 - TW</v>
      </c>
      <c r="AR2" s="121" t="str">
        <f>IF(AP2="",AO2,CONCATENATE(AO2,"  &lt;=&gt; ",AP2," ",AQ2))</f>
        <v>1 - TW</v>
      </c>
      <c r="AT2" s="121" t="e">
        <f>IF('Cable Info'!P2="","",CONCATENATE('Cable Info'!P2," - ",'Cable Info'!Q2))</f>
        <v>#N/A</v>
      </c>
      <c r="AW2" s="121" t="e">
        <f>IF(AU2="",AT2,CONCATENATE(AT2,"  &lt;=&gt; ",AU2," ",AV2))</f>
        <v>#N/A</v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100784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>[C] CA-KIF: ZAYO-ENT-NEW-1</v>
      </c>
      <c r="AJ3" s="121" t="str">
        <f>IF('Cable Info'!L3="","",CONCATENATE('Cable Info'!L3," - ",'Cable Info'!M3))</f>
        <v>2 - TW</v>
      </c>
      <c r="AM3" s="121" t="str">
        <f t="shared" ref="AM3:AM10" si="0">IF(AK3="",AJ3,CONCATENATE(AJ3,"  &lt;=&gt; ",AK3," ",AL3))</f>
        <v>2 - TW</v>
      </c>
      <c r="AO3" s="121" t="str">
        <f>IF('Cable Info'!N3="","",CONCATENATE('Cable Info'!N3," - ",'Cable Info'!O3))</f>
        <v>2 - TW</v>
      </c>
      <c r="AR3" s="121" t="str">
        <f t="shared" ref="AR3:AR10" si="1">IF(AP3="",AO3,CONCATENATE(AO3,"  &lt;=&gt; ",AP3," ",AQ3))</f>
        <v>2 - TW</v>
      </c>
      <c r="AT3" s="121" t="e">
        <f>IF('Cable Info'!P3="","",CONCATENATE('Cable Info'!P3," - ",'Cable Info'!Q3))</f>
        <v>#N/A</v>
      </c>
      <c r="AW3" s="121" t="e">
        <f t="shared" ref="AW3:AW10" si="2">IF(AU3="",AT3,CONCATENATE(AT3,"  &lt;=&gt; ",AU3," ",AV3))</f>
        <v>#N/A</v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str">
        <f>IF('Cable Info'!L4="","",CONCATENATE('Cable Info'!L4," - ",'Cable Info'!M4))</f>
        <v>3 - TW</v>
      </c>
      <c r="AM4" s="121" t="str">
        <f t="shared" si="0"/>
        <v>3 - TW</v>
      </c>
      <c r="AO4" s="121" t="str">
        <f>IF('Cable Info'!N4="","",CONCATENATE('Cable Info'!N4," - ",'Cable Info'!O4))</f>
        <v>3 - TW</v>
      </c>
      <c r="AR4" s="121" t="str">
        <f t="shared" si="1"/>
        <v>3 - TW</v>
      </c>
      <c r="AT4" s="121" t="e">
        <f>IF('Cable Info'!P4="","",CONCATENATE('Cable Info'!P4," - ",'Cable Info'!Q4))</f>
        <v>#N/A</v>
      </c>
      <c r="AW4" s="121" t="e">
        <f t="shared" si="2"/>
        <v>#N/A</v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str">
        <f>IF('Cable Info'!L5="","",CONCATENATE('Cable Info'!L5," - ",'Cable Info'!M5))</f>
        <v>4 - TW</v>
      </c>
      <c r="AM5" s="121" t="str">
        <f t="shared" si="0"/>
        <v>4 - TW</v>
      </c>
      <c r="AO5" s="121" t="str">
        <f>IF('Cable Info'!N5="","",CONCATENATE('Cable Info'!N5," - ",'Cable Info'!O5))</f>
        <v>4 - TW</v>
      </c>
      <c r="AR5" s="121" t="str">
        <f t="shared" si="1"/>
        <v>4 - TW</v>
      </c>
      <c r="AT5" s="121" t="e">
        <f>IF('Cable Info'!P5="","",CONCATENATE('Cable Info'!P5," - ",'Cable Info'!Q5))</f>
        <v>#N/A</v>
      </c>
      <c r="AW5" s="121" t="e">
        <f t="shared" si="2"/>
        <v>#N/A</v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str">
        <f>IF('Cable Info'!L6="","",CONCATENATE('Cable Info'!L6," - ",'Cable Info'!M6))</f>
        <v>5 - TW</v>
      </c>
      <c r="AM6" s="121" t="str">
        <f t="shared" si="0"/>
        <v>5 - TW</v>
      </c>
      <c r="AO6" s="121" t="str">
        <f>IF('Cable Info'!N6="","",CONCATENATE('Cable Info'!N6," - ",'Cable Info'!O6))</f>
        <v>5 - TW</v>
      </c>
      <c r="AR6" s="121" t="str">
        <f t="shared" si="1"/>
        <v>5 - TW</v>
      </c>
      <c r="AT6" s="121" t="e">
        <f>IF('Cable Info'!P6="","",CONCATENATE('Cable Info'!P6," - ",'Cable Info'!Q6))</f>
        <v>#N/A</v>
      </c>
      <c r="AW6" s="121" t="e">
        <f t="shared" si="2"/>
        <v>#N/A</v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str">
        <f>IF('Cable Info'!L7="","",CONCATENATE('Cable Info'!L7," - ",'Cable Info'!M7))</f>
        <v>6 - TW</v>
      </c>
      <c r="AM7" s="121" t="str">
        <f t="shared" si="0"/>
        <v>6 - TW</v>
      </c>
      <c r="AO7" s="121" t="str">
        <f>IF('Cable Info'!N7="","",CONCATENATE('Cable Info'!N7," - ",'Cable Info'!O7))</f>
        <v>6 - TW</v>
      </c>
      <c r="AR7" s="121" t="str">
        <f t="shared" si="1"/>
        <v>6 - TW</v>
      </c>
      <c r="AT7" s="121" t="e">
        <f>IF('Cable Info'!P7="","",CONCATENATE('Cable Info'!P7," - ",'Cable Info'!Q7))</f>
        <v>#N/A</v>
      </c>
      <c r="AW7" s="121" t="e">
        <f t="shared" si="2"/>
        <v>#N/A</v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str">
        <f>IF('Cable Info'!L8="","",CONCATENATE('Cable Info'!L8," - ",'Cable Info'!M8))</f>
        <v>7 - TW</v>
      </c>
      <c r="AM8" s="121" t="str">
        <f t="shared" si="0"/>
        <v>7 - TW</v>
      </c>
      <c r="AO8" s="121" t="str">
        <f>IF('Cable Info'!N8="","",CONCATENATE('Cable Info'!N8," - ",'Cable Info'!O8))</f>
        <v>7 - TW</v>
      </c>
      <c r="AR8" s="121" t="str">
        <f t="shared" si="1"/>
        <v>7 - TW</v>
      </c>
      <c r="AT8" s="121" t="e">
        <f>IF('Cable Info'!P8="","",CONCATENATE('Cable Info'!P8," - ",'Cable Info'!Q8))</f>
        <v>#N/A</v>
      </c>
      <c r="AW8" s="121" t="e">
        <f t="shared" si="2"/>
        <v>#N/A</v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str">
        <f>IF('Cable Info'!L9="","",CONCATENATE('Cable Info'!L9," - ",'Cable Info'!M9))</f>
        <v>8 - TW</v>
      </c>
      <c r="AM9" s="121" t="str">
        <f t="shared" si="0"/>
        <v>8 - TW</v>
      </c>
      <c r="AO9" s="121" t="str">
        <f>IF('Cable Info'!N9="","",CONCATENATE('Cable Info'!N9," - ",'Cable Info'!O9))</f>
        <v>8 - TW</v>
      </c>
      <c r="AR9" s="121" t="str">
        <f t="shared" si="1"/>
        <v>8 - TW</v>
      </c>
      <c r="AT9" s="121" t="e">
        <f>IF('Cable Info'!P9="","",CONCATENATE('Cable Info'!P9," - ",'Cable Info'!Q9))</f>
        <v>#N/A</v>
      </c>
      <c r="AW9" s="121" t="e">
        <f t="shared" si="2"/>
        <v>#N/A</v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 t="s">
        <v>13</v>
      </c>
      <c r="C10" s="114" t="str">
        <f>IFERROR(IF(B10="","",IF((COUNTIF('Cable Info'!$B$11:$C$50,B10)=0),VLOOKUP(B10,'Cable Info (2)'!$B$11:$C$50,2,FALSE),(VLOOKUP(B10,'Cable Info'!$B$11:$C$50,2,FALSE)))),"NO SUCH EXIT")</f>
        <v>SNF-19</v>
      </c>
      <c r="D10" s="243" t="s">
        <v>101</v>
      </c>
      <c r="E10" s="259">
        <v>301</v>
      </c>
      <c r="F10" s="110" t="s">
        <v>45</v>
      </c>
      <c r="G10" s="262">
        <v>302</v>
      </c>
      <c r="H10" s="114">
        <f>IF(G10="","",((E10-G10)-1)*(-1))</f>
        <v>2</v>
      </c>
      <c r="I10" s="258">
        <v>1</v>
      </c>
      <c r="J10" s="110" t="s">
        <v>45</v>
      </c>
      <c r="K10" s="267">
        <v>2</v>
      </c>
      <c r="L10" s="246" t="s">
        <v>102</v>
      </c>
      <c r="M10" s="114" t="str">
        <f>IFERROR(IF(P10="","",IF((COUNTIF('Cable Info'!$B$11:$C$50,P10)=0),VLOOKUP(P10,'Cable Info (2)'!$B$11:$C$50,2,FALSE),(VLOOKUP(P10,'Cable Info'!$B$11:$C$50,2,FALSE)))),"NO SUCH EXIT")</f>
        <v>CA-KIF: ZAYO-ENT-NEW-1</v>
      </c>
      <c r="N10" s="129"/>
      <c r="O10" s="179"/>
      <c r="P10" s="130" t="s">
        <v>36</v>
      </c>
      <c r="Q10" s="190"/>
      <c r="R10" s="131" t="s">
        <v>59</v>
      </c>
      <c r="S10" s="131" t="s">
        <v>52</v>
      </c>
      <c r="T10" s="132">
        <v>42670</v>
      </c>
      <c r="U10" s="132"/>
      <c r="V10" s="133" t="s">
        <v>10</v>
      </c>
      <c r="W10" s="133" t="s">
        <v>103</v>
      </c>
      <c r="X10" s="194">
        <f>IF(V10="","",IF(R10="","",IF(S10="","",IF(R10="SPLICED",(IF(S10="SPLICE",0,9)),IF(V10=$U$3,(IF(S10="BREAK",12,11)),IF(S10="BREAK",2,1))))))</f>
        <v>11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2</v>
      </c>
      <c r="AB10" s="253" t="str">
        <f>IF(E10="","",IF(G10="","",IF(I10="","",IF(K10="","",IF(AA10&lt;&gt;H10,1,"")))))</f>
        <v/>
      </c>
      <c r="AJ10" s="121" t="str">
        <f>IF('Cable Info'!L10="","",CONCATENATE('Cable Info'!L10," - ",'Cable Info'!M10))</f>
        <v>9 - TW</v>
      </c>
      <c r="AM10" s="121" t="str">
        <f t="shared" si="0"/>
        <v>9 - TW</v>
      </c>
      <c r="AO10" s="121" t="str">
        <f>IF('Cable Info'!N10="","",CONCATENATE('Cable Info'!N10," - ",'Cable Info'!O10))</f>
        <v>9 - TW</v>
      </c>
      <c r="AR10" s="121" t="str">
        <f t="shared" si="1"/>
        <v>9 - TW</v>
      </c>
      <c r="AT10" s="121" t="e">
        <f>IF('Cable Info'!P10="","",CONCATENATE('Cable Info'!P10," - ",'Cable Info'!Q10))</f>
        <v>#N/A</v>
      </c>
      <c r="AW10" s="121" t="e">
        <f t="shared" si="2"/>
        <v>#N/A</v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104</v>
      </c>
    </row>
    <row r="11" spans="1:90" x14ac:dyDescent="0.2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6"/>
      <c r="S11" s="136"/>
      <c r="T11" s="137"/>
      <c r="U11" s="137"/>
      <c r="V11" s="138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str">
        <f>IF('Cable Info'!L10="","",CONCATENATE('Cable Info'!L10," - ",'Cable Info'!M10))</f>
        <v>9 - TW</v>
      </c>
      <c r="AM11" s="121" t="str">
        <f t="shared" ref="AM11" si="11">IF(AK11="",AJ11,CONCATENATE(AJ11,"  &lt;=&gt; ",AK11," ",AL11))</f>
        <v>9 - TW</v>
      </c>
      <c r="AO11" s="121" t="str">
        <f>IF('Cable Info'!N10="","",CONCATENATE('Cable Info'!N10," - ",'Cable Info'!O10))</f>
        <v>9 - TW</v>
      </c>
      <c r="AR11" s="121" t="str">
        <f t="shared" ref="AR11" si="12">IF(AP11="",AO11,CONCATENATE(AO11,"  &lt;=&gt; ",AP11," ",AQ11))</f>
        <v>9 - TW</v>
      </c>
      <c r="AT11" s="121" t="e">
        <f>IF('Cable Info'!P10="","",CONCATENATE('Cable Info'!P10," - ",'Cable Info'!Q10))</f>
        <v>#N/A</v>
      </c>
      <c r="AU11" s="121" t="s">
        <v>51</v>
      </c>
      <c r="AW11" s="121" t="e">
        <f t="shared" ref="AW11" si="13">IF(AU11="",AT11,CONCATENATE(AT11,"  &lt;=&gt; ",AU11," ",AV11))</f>
        <v>#N/A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/>
    </row>
    <row r="12" spans="1:90" x14ac:dyDescent="0.2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6"/>
      <c r="S12" s="136"/>
      <c r="T12" s="137"/>
      <c r="U12" s="137"/>
      <c r="V12" s="138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str">
        <f>IF('Cable Info'!L11="","",CONCATENATE('Cable Info'!L11," - ",'Cable Info'!M11))</f>
        <v>10 - TW</v>
      </c>
      <c r="AM12" s="121" t="str">
        <f t="shared" ref="AM12" si="23">IF(AK12="",AJ12,CONCATENATE(AJ12,"  &lt;=&gt; ",AK12," ",AL12))</f>
        <v>10 - TW</v>
      </c>
      <c r="AO12" s="121" t="str">
        <f>IF('Cable Info'!N11="","",CONCATENATE('Cable Info'!N11," - ",'Cable Info'!O11))</f>
        <v>10 - TW</v>
      </c>
      <c r="AR12" s="121" t="str">
        <f t="shared" ref="AR12" si="24">IF(AP12="",AO12,CONCATENATE(AO12,"  &lt;=&gt; ",AP12," ",AQ12))</f>
        <v>10 - TW</v>
      </c>
      <c r="AT12" s="121" t="e">
        <f>IF('Cable Info'!P11="","",CONCATENATE('Cable Info'!P11," - ",'Cable Info'!Q11))</f>
        <v>#N/A</v>
      </c>
      <c r="AU12" s="121" t="s">
        <v>51</v>
      </c>
      <c r="AW12" s="121" t="e">
        <f t="shared" ref="AW12" si="25">IF(AU12="",AT12,CONCATENATE(AT12,"  &lt;=&gt; ",AU12," ",AV12))</f>
        <v>#N/A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/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6"/>
      <c r="S13" s="136"/>
      <c r="T13" s="137"/>
      <c r="U13" s="137"/>
      <c r="V13" s="138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str">
        <f>IF('Cable Info'!L12="","",CONCATENATE('Cable Info'!L12," - ",'Cable Info'!M12))</f>
        <v>11 - TW</v>
      </c>
      <c r="AM13" s="121" t="str">
        <f t="shared" ref="AM13:AM76" si="35">IF(AK13="",AJ13,CONCATENATE(AJ13,"  &lt;=&gt; ",AK13," ",AL13))</f>
        <v>11 - TW</v>
      </c>
      <c r="AO13" s="121" t="str">
        <f>IF('Cable Info'!N12="","",CONCATENATE('Cable Info'!N12," - ",'Cable Info'!O12))</f>
        <v>11 - TW</v>
      </c>
      <c r="AR13" s="121" t="str">
        <f t="shared" ref="AR13:AR76" si="36">IF(AP13="",AO13,CONCATENATE(AO13,"  &lt;=&gt; ",AP13," ",AQ13))</f>
        <v>11 - TW</v>
      </c>
      <c r="AT13" s="121" t="e">
        <f>IF('Cable Info'!P12="","",CONCATENATE('Cable Info'!P12," - ",'Cable Info'!Q12))</f>
        <v>#N/A</v>
      </c>
      <c r="AU13" s="121" t="s">
        <v>51</v>
      </c>
      <c r="AW13" s="121" t="e">
        <f t="shared" ref="AW13:AW76" si="37">IF(AU13="",AT13,CONCATENATE(AT13,"  &lt;=&gt; ",AU13," ",AV13))</f>
        <v>#N/A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/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str">
        <f>IF('Cable Info'!L13="","",CONCATENATE('Cable Info'!L13," - ",'Cable Info'!M13))</f>
        <v>12 - TW</v>
      </c>
      <c r="AM14" s="121" t="str">
        <f t="shared" si="35"/>
        <v>12 - TW</v>
      </c>
      <c r="AO14" s="121" t="str">
        <f>IF('Cable Info'!N13="","",CONCATENATE('Cable Info'!N13," - ",'Cable Info'!O13))</f>
        <v>12 - TW</v>
      </c>
      <c r="AR14" s="121" t="str">
        <f t="shared" si="36"/>
        <v>12 - TW</v>
      </c>
      <c r="AT14" s="121" t="e">
        <f>IF('Cable Info'!P13="","",CONCATENATE('Cable Info'!P13," - ",'Cable Info'!Q13))</f>
        <v>#N/A</v>
      </c>
      <c r="AU14" s="121" t="s">
        <v>51</v>
      </c>
      <c r="AW14" s="121" t="e">
        <f t="shared" si="37"/>
        <v>#N/A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str">
        <f>IF('Cable Info'!L14="","",CONCATENATE('Cable Info'!L14," - ",'Cable Info'!M14))</f>
        <v>13 - TW</v>
      </c>
      <c r="AM15" s="121" t="str">
        <f t="shared" si="35"/>
        <v>13 - TW</v>
      </c>
      <c r="AO15" s="121" t="str">
        <f>IF('Cable Info'!N14="","",CONCATENATE('Cable Info'!N14," - ",'Cable Info'!O14))</f>
        <v>13 - TW</v>
      </c>
      <c r="AR15" s="121" t="str">
        <f t="shared" si="36"/>
        <v>13 - TW</v>
      </c>
      <c r="AT15" s="121" t="e">
        <f>IF('Cable Info'!P14="","",CONCATENATE('Cable Info'!P14," - ",'Cable Info'!Q14))</f>
        <v>#N/A</v>
      </c>
      <c r="AU15" s="121" t="s">
        <v>51</v>
      </c>
      <c r="AW15" s="121" t="e">
        <f t="shared" si="37"/>
        <v>#N/A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str">
        <f>IF('Cable Info'!L15="","",CONCATENATE('Cable Info'!L15," - ",'Cable Info'!M15))</f>
        <v>14 - TW</v>
      </c>
      <c r="AM16" s="121" t="str">
        <f t="shared" si="35"/>
        <v>14 - TW</v>
      </c>
      <c r="AO16" s="121" t="str">
        <f>IF('Cable Info'!N15="","",CONCATENATE('Cable Info'!N15," - ",'Cable Info'!O15))</f>
        <v>14 - TW</v>
      </c>
      <c r="AR16" s="121" t="str">
        <f t="shared" si="36"/>
        <v>14 - TW</v>
      </c>
      <c r="AT16" s="121" t="e">
        <f>IF('Cable Info'!P15="","",CONCATENATE('Cable Info'!P15," - ",'Cable Info'!Q15))</f>
        <v>#N/A</v>
      </c>
      <c r="AU16" s="121" t="s">
        <v>51</v>
      </c>
      <c r="AW16" s="121" t="e">
        <f t="shared" si="37"/>
        <v>#N/A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str">
        <f>IF('Cable Info'!L16="","",CONCATENATE('Cable Info'!L16," - ",'Cable Info'!M16))</f>
        <v>15 - TW</v>
      </c>
      <c r="AM17" s="121" t="str">
        <f t="shared" si="35"/>
        <v>15 - TW</v>
      </c>
      <c r="AO17" s="121" t="str">
        <f>IF('Cable Info'!N16="","",CONCATENATE('Cable Info'!N16," - ",'Cable Info'!O16))</f>
        <v>15 - TW</v>
      </c>
      <c r="AR17" s="121" t="str">
        <f t="shared" si="36"/>
        <v>15 - TW</v>
      </c>
      <c r="AT17" s="121" t="e">
        <f>IF('Cable Info'!P16="","",CONCATENATE('Cable Info'!P16," - ",'Cable Info'!Q16))</f>
        <v>#N/A</v>
      </c>
      <c r="AU17" s="121" t="s">
        <v>51</v>
      </c>
      <c r="AW17" s="121" t="e">
        <f t="shared" si="37"/>
        <v>#N/A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str">
        <f>IF('Cable Info'!L17="","",CONCATENATE('Cable Info'!L17," - ",'Cable Info'!M17))</f>
        <v>16 - TW</v>
      </c>
      <c r="AM18" s="121" t="str">
        <f t="shared" si="35"/>
        <v>16 - TW</v>
      </c>
      <c r="AO18" s="121" t="str">
        <f>IF('Cable Info'!N17="","",CONCATENATE('Cable Info'!N17," - ",'Cable Info'!O17))</f>
        <v>16 - TW</v>
      </c>
      <c r="AR18" s="121" t="str">
        <f t="shared" si="36"/>
        <v>16 - TW</v>
      </c>
      <c r="AT18" s="121" t="e">
        <f>IF('Cable Info'!P17="","",CONCATENATE('Cable Info'!P17," - ",'Cable Info'!Q17))</f>
        <v>#N/A</v>
      </c>
      <c r="AU18" s="121" t="s">
        <v>51</v>
      </c>
      <c r="AW18" s="121" t="e">
        <f t="shared" si="37"/>
        <v>#N/A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str">
        <f>IF('Cable Info'!L18="","",CONCATENATE('Cable Info'!L18," - ",'Cable Info'!M18))</f>
        <v>17 - TW</v>
      </c>
      <c r="AM19" s="121" t="str">
        <f t="shared" si="35"/>
        <v>17 - TW</v>
      </c>
      <c r="AO19" s="121" t="str">
        <f>IF('Cable Info'!N18="","",CONCATENATE('Cable Info'!N18," - ",'Cable Info'!O18))</f>
        <v>17 - TW</v>
      </c>
      <c r="AR19" s="121" t="str">
        <f t="shared" si="36"/>
        <v>17 - TW</v>
      </c>
      <c r="AT19" s="121" t="e">
        <f>IF('Cable Info'!P18="","",CONCATENATE('Cable Info'!P18," - ",'Cable Info'!Q18))</f>
        <v>#N/A</v>
      </c>
      <c r="AU19" s="121" t="s">
        <v>51</v>
      </c>
      <c r="AW19" s="121" t="e">
        <f t="shared" si="37"/>
        <v>#N/A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str">
        <f>IF('Cable Info'!L19="","",CONCATENATE('Cable Info'!L19," - ",'Cable Info'!M19))</f>
        <v>18 - TW</v>
      </c>
      <c r="AM20" s="121" t="str">
        <f t="shared" si="35"/>
        <v>18 - TW</v>
      </c>
      <c r="AO20" s="121" t="str">
        <f>IF('Cable Info'!N19="","",CONCATENATE('Cable Info'!N19," - ",'Cable Info'!O19))</f>
        <v>18 - TW</v>
      </c>
      <c r="AR20" s="121" t="str">
        <f t="shared" si="36"/>
        <v>18 - TW</v>
      </c>
      <c r="AT20" s="121" t="e">
        <f>IF('Cable Info'!P19="","",CONCATENATE('Cable Info'!P19," - ",'Cable Info'!Q19))</f>
        <v>#N/A</v>
      </c>
      <c r="AU20" s="121" t="s">
        <v>51</v>
      </c>
      <c r="AW20" s="121" t="e">
        <f t="shared" si="37"/>
        <v>#N/A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str">
        <f>IF('Cable Info'!L20="","",CONCATENATE('Cable Info'!L20," - ",'Cable Info'!M20))</f>
        <v>19 - TW</v>
      </c>
      <c r="AM21" s="121" t="str">
        <f t="shared" si="35"/>
        <v>19 - TW</v>
      </c>
      <c r="AO21" s="121" t="str">
        <f>IF('Cable Info'!N20="","",CONCATENATE('Cable Info'!N20," - ",'Cable Info'!O20))</f>
        <v>19 - TW</v>
      </c>
      <c r="AR21" s="121" t="str">
        <f t="shared" si="36"/>
        <v>19 - TW</v>
      </c>
      <c r="AT21" s="121" t="e">
        <f>IF('Cable Info'!P20="","",CONCATENATE('Cable Info'!P20," - ",'Cable Info'!Q20))</f>
        <v>#N/A</v>
      </c>
      <c r="AU21" s="121" t="s">
        <v>51</v>
      </c>
      <c r="AW21" s="121" t="e">
        <f t="shared" si="37"/>
        <v>#N/A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str">
        <f>IF('Cable Info'!L21="","",CONCATENATE('Cable Info'!L21," - ",'Cable Info'!M21))</f>
        <v>20 - TW</v>
      </c>
      <c r="AM22" s="121" t="str">
        <f t="shared" si="35"/>
        <v>20 - TW</v>
      </c>
      <c r="AO22" s="121" t="str">
        <f>IF('Cable Info'!N21="","",CONCATENATE('Cable Info'!N21," - ",'Cable Info'!O21))</f>
        <v>20 - TW</v>
      </c>
      <c r="AR22" s="121" t="str">
        <f t="shared" si="36"/>
        <v>20 - TW</v>
      </c>
      <c r="AT22" s="121" t="e">
        <f>IF('Cable Info'!P21="","",CONCATENATE('Cable Info'!P21," - ",'Cable Info'!Q21))</f>
        <v>#N/A</v>
      </c>
      <c r="AU22" s="121" t="s">
        <v>51</v>
      </c>
      <c r="AW22" s="121" t="e">
        <f t="shared" si="37"/>
        <v>#N/A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str">
        <f>IF('Cable Info'!L22="","",CONCATENATE('Cable Info'!L22," - ",'Cable Info'!M22))</f>
        <v>21 - TW</v>
      </c>
      <c r="AM23" s="121" t="str">
        <f t="shared" si="35"/>
        <v>21 - TW</v>
      </c>
      <c r="AO23" s="121" t="str">
        <f>IF('Cable Info'!N22="","",CONCATENATE('Cable Info'!N22," - ",'Cable Info'!O22))</f>
        <v>21 - TW</v>
      </c>
      <c r="AR23" s="121" t="str">
        <f t="shared" si="36"/>
        <v>21 - TW</v>
      </c>
      <c r="AT23" s="121" t="e">
        <f>IF('Cable Info'!P22="","",CONCATENATE('Cable Info'!P22," - ",'Cable Info'!Q22))</f>
        <v>#N/A</v>
      </c>
      <c r="AU23" s="121" t="s">
        <v>51</v>
      </c>
      <c r="AW23" s="121" t="e">
        <f t="shared" si="37"/>
        <v>#N/A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str">
        <f>IF('Cable Info'!L23="","",CONCATENATE('Cable Info'!L23," - ",'Cable Info'!M23))</f>
        <v>22 - TW</v>
      </c>
      <c r="AM24" s="121" t="str">
        <f t="shared" si="35"/>
        <v>22 - TW</v>
      </c>
      <c r="AO24" s="121" t="str">
        <f>IF('Cable Info'!N23="","",CONCATENATE('Cable Info'!N23," - ",'Cable Info'!O23))</f>
        <v>22 - TW</v>
      </c>
      <c r="AR24" s="121" t="str">
        <f t="shared" si="36"/>
        <v>22 - TW</v>
      </c>
      <c r="AT24" s="121" t="e">
        <f>IF('Cable Info'!P23="","",CONCATENATE('Cable Info'!P23," - ",'Cable Info'!Q23))</f>
        <v>#N/A</v>
      </c>
      <c r="AU24" s="121" t="s">
        <v>51</v>
      </c>
      <c r="AW24" s="121" t="e">
        <f t="shared" si="37"/>
        <v>#N/A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str">
        <f>IF('Cable Info'!L24="","",CONCATENATE('Cable Info'!L24," - ",'Cable Info'!M24))</f>
        <v>23 - TW</v>
      </c>
      <c r="AM25" s="121" t="str">
        <f t="shared" si="35"/>
        <v>23 - TW</v>
      </c>
      <c r="AO25" s="121" t="str">
        <f>IF('Cable Info'!N24="","",CONCATENATE('Cable Info'!N24," - ",'Cable Info'!O24))</f>
        <v>23 - TW</v>
      </c>
      <c r="AR25" s="121" t="str">
        <f t="shared" si="36"/>
        <v>23 - TW</v>
      </c>
      <c r="AT25" s="121" t="e">
        <f>IF('Cable Info'!P24="","",CONCATENATE('Cable Info'!P24," - ",'Cable Info'!Q24))</f>
        <v>#N/A</v>
      </c>
      <c r="AU25" s="121" t="s">
        <v>51</v>
      </c>
      <c r="AW25" s="121" t="e">
        <f t="shared" si="37"/>
        <v>#N/A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str">
        <f>IF('Cable Info'!L25="","",CONCATENATE('Cable Info'!L25," - ",'Cable Info'!M25))</f>
        <v>24 - TW</v>
      </c>
      <c r="AM26" s="121" t="str">
        <f t="shared" si="35"/>
        <v>24 - TW</v>
      </c>
      <c r="AO26" s="121" t="str">
        <f>IF('Cable Info'!N25="","",CONCATENATE('Cable Info'!N25," - ",'Cable Info'!O25))</f>
        <v>24 - TW</v>
      </c>
      <c r="AR26" s="121" t="str">
        <f t="shared" si="36"/>
        <v>24 - TW</v>
      </c>
      <c r="AT26" s="121" t="e">
        <f>IF('Cable Info'!P25="","",CONCATENATE('Cable Info'!P25," - ",'Cable Info'!Q25))</f>
        <v>#N/A</v>
      </c>
      <c r="AU26" s="121" t="s">
        <v>51</v>
      </c>
      <c r="AW26" s="121" t="e">
        <f t="shared" si="37"/>
        <v>#N/A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str">
        <f>IF('Cable Info'!L26="","",CONCATENATE('Cable Info'!L26," - ",'Cable Info'!M26))</f>
        <v>25 - TW</v>
      </c>
      <c r="AM27" s="121" t="str">
        <f t="shared" si="35"/>
        <v>25 - TW</v>
      </c>
      <c r="AO27" s="121" t="str">
        <f>IF('Cable Info'!N26="","",CONCATENATE('Cable Info'!N26," - ",'Cable Info'!O26))</f>
        <v>25 - TW</v>
      </c>
      <c r="AR27" s="121" t="str">
        <f t="shared" si="36"/>
        <v>25 - TW</v>
      </c>
      <c r="AT27" s="121" t="e">
        <f>IF('Cable Info'!P26="","",CONCATENATE('Cable Info'!P26," - ",'Cable Info'!Q26))</f>
        <v>#N/A</v>
      </c>
      <c r="AU27" s="121" t="s">
        <v>51</v>
      </c>
      <c r="AW27" s="121" t="e">
        <f t="shared" si="37"/>
        <v>#N/A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str">
        <f>IF('Cable Info'!L27="","",CONCATENATE('Cable Info'!L27," - ",'Cable Info'!M27))</f>
        <v>26 - TW</v>
      </c>
      <c r="AM28" s="121" t="str">
        <f t="shared" si="35"/>
        <v>26 - TW</v>
      </c>
      <c r="AO28" s="121" t="str">
        <f>IF('Cable Info'!N27="","",CONCATENATE('Cable Info'!N27," - ",'Cable Info'!O27))</f>
        <v>26 - TW</v>
      </c>
      <c r="AR28" s="121" t="str">
        <f t="shared" si="36"/>
        <v>26 - TW</v>
      </c>
      <c r="AT28" s="121" t="e">
        <f>IF('Cable Info'!P27="","",CONCATENATE('Cable Info'!P27," - ",'Cable Info'!Q27))</f>
        <v>#N/A</v>
      </c>
      <c r="AU28" s="121" t="s">
        <v>51</v>
      </c>
      <c r="AW28" s="121" t="e">
        <f t="shared" si="37"/>
        <v>#N/A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str">
        <f>IF('Cable Info'!L28="","",CONCATENATE('Cable Info'!L28," - ",'Cable Info'!M28))</f>
        <v>27 - TW</v>
      </c>
      <c r="AM29" s="121" t="str">
        <f t="shared" si="35"/>
        <v>27 - TW</v>
      </c>
      <c r="AO29" s="121" t="str">
        <f>IF('Cable Info'!N28="","",CONCATENATE('Cable Info'!N28," - ",'Cable Info'!O28))</f>
        <v>27 - TW</v>
      </c>
      <c r="AR29" s="121" t="str">
        <f t="shared" si="36"/>
        <v>27 - TW</v>
      </c>
      <c r="AT29" s="121" t="e">
        <f>IF('Cable Info'!P28="","",CONCATENATE('Cable Info'!P28," - ",'Cable Info'!Q28))</f>
        <v>#N/A</v>
      </c>
      <c r="AU29" s="121" t="s">
        <v>51</v>
      </c>
      <c r="AW29" s="121" t="e">
        <f t="shared" si="37"/>
        <v>#N/A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str">
        <f>IF('Cable Info'!L29="","",CONCATENATE('Cable Info'!L29," - ",'Cable Info'!M29))</f>
        <v>28 - TW</v>
      </c>
      <c r="AM30" s="121" t="str">
        <f t="shared" si="35"/>
        <v>28 - TW</v>
      </c>
      <c r="AO30" s="121" t="str">
        <f>IF('Cable Info'!N29="","",CONCATENATE('Cable Info'!N29," - ",'Cable Info'!O29))</f>
        <v>28 - TW</v>
      </c>
      <c r="AR30" s="121" t="str">
        <f t="shared" si="36"/>
        <v>28 - TW</v>
      </c>
      <c r="AT30" s="121" t="e">
        <f>IF('Cable Info'!P29="","",CONCATENATE('Cable Info'!P29," - ",'Cable Info'!Q29))</f>
        <v>#N/A</v>
      </c>
      <c r="AU30" s="121" t="s">
        <v>51</v>
      </c>
      <c r="AW30" s="121" t="e">
        <f t="shared" si="37"/>
        <v>#N/A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str">
        <f>IF('Cable Info'!L30="","",CONCATENATE('Cable Info'!L30," - ",'Cable Info'!M30))</f>
        <v>29 - TW</v>
      </c>
      <c r="AM31" s="121" t="str">
        <f t="shared" si="35"/>
        <v>29 - TW</v>
      </c>
      <c r="AO31" s="121" t="str">
        <f>IF('Cable Info'!N30="","",CONCATENATE('Cable Info'!N30," - ",'Cable Info'!O30))</f>
        <v>29 - TW</v>
      </c>
      <c r="AR31" s="121" t="str">
        <f t="shared" si="36"/>
        <v>29 - TW</v>
      </c>
      <c r="AT31" s="121" t="e">
        <f>IF('Cable Info'!P30="","",CONCATENATE('Cable Info'!P30," - ",'Cable Info'!Q30))</f>
        <v>#N/A</v>
      </c>
      <c r="AU31" s="121" t="s">
        <v>51</v>
      </c>
      <c r="AW31" s="121" t="e">
        <f t="shared" si="37"/>
        <v>#N/A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str">
        <f>IF('Cable Info'!L31="","",CONCATENATE('Cable Info'!L31," - ",'Cable Info'!M31))</f>
        <v>30 - TW</v>
      </c>
      <c r="AM32" s="121" t="str">
        <f t="shared" si="35"/>
        <v>30 - TW</v>
      </c>
      <c r="AO32" s="121" t="str">
        <f>IF('Cable Info'!N31="","",CONCATENATE('Cable Info'!N31," - ",'Cable Info'!O31))</f>
        <v>30 - TW</v>
      </c>
      <c r="AR32" s="121" t="str">
        <f t="shared" si="36"/>
        <v>30 - TW</v>
      </c>
      <c r="AT32" s="121" t="e">
        <f>IF('Cable Info'!P31="","",CONCATENATE('Cable Info'!P31," - ",'Cable Info'!Q31))</f>
        <v>#N/A</v>
      </c>
      <c r="AU32" s="121" t="s">
        <v>51</v>
      </c>
      <c r="AW32" s="121" t="e">
        <f t="shared" si="37"/>
        <v>#N/A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str">
        <f>IF('Cable Info'!L32="","",CONCATENATE('Cable Info'!L32," - ",'Cable Info'!M32))</f>
        <v>31 - TW</v>
      </c>
      <c r="AM33" s="121" t="str">
        <f t="shared" si="35"/>
        <v>31 - TW</v>
      </c>
      <c r="AO33" s="121" t="str">
        <f>IF('Cable Info'!N32="","",CONCATENATE('Cable Info'!N32," - ",'Cable Info'!O32))</f>
        <v>31 - TW</v>
      </c>
      <c r="AR33" s="121" t="str">
        <f t="shared" si="36"/>
        <v>31 - TW</v>
      </c>
      <c r="AT33" s="121" t="e">
        <f>IF('Cable Info'!P32="","",CONCATENATE('Cable Info'!P32," - ",'Cable Info'!Q32))</f>
        <v>#N/A</v>
      </c>
      <c r="AU33" s="121" t="s">
        <v>51</v>
      </c>
      <c r="AW33" s="121" t="e">
        <f t="shared" si="37"/>
        <v>#N/A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str">
        <f>IF('Cable Info'!L33="","",CONCATENATE('Cable Info'!L33," - ",'Cable Info'!M33))</f>
        <v>32 - TW</v>
      </c>
      <c r="AM34" s="121" t="str">
        <f t="shared" si="35"/>
        <v>32 - TW</v>
      </c>
      <c r="AO34" s="121" t="str">
        <f>IF('Cable Info'!N33="","",CONCATENATE('Cable Info'!N33," - ",'Cable Info'!O33))</f>
        <v>32 - TW</v>
      </c>
      <c r="AR34" s="121" t="str">
        <f t="shared" si="36"/>
        <v>32 - TW</v>
      </c>
      <c r="AT34" s="121" t="e">
        <f>IF('Cable Info'!P33="","",CONCATENATE('Cable Info'!P33," - ",'Cable Info'!Q33))</f>
        <v>#N/A</v>
      </c>
      <c r="AU34" s="121" t="s">
        <v>51</v>
      </c>
      <c r="AW34" s="121" t="e">
        <f t="shared" si="37"/>
        <v>#N/A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str">
        <f>IF('Cable Info'!L34="","",CONCATENATE('Cable Info'!L34," - ",'Cable Info'!M34))</f>
        <v>33 - TW</v>
      </c>
      <c r="AM35" s="121" t="str">
        <f t="shared" si="35"/>
        <v>33 - TW</v>
      </c>
      <c r="AO35" s="121" t="str">
        <f>IF('Cable Info'!N34="","",CONCATENATE('Cable Info'!N34," - ",'Cable Info'!O34))</f>
        <v>33 - TW</v>
      </c>
      <c r="AR35" s="121" t="str">
        <f t="shared" si="36"/>
        <v>33 - TW</v>
      </c>
      <c r="AT35" s="121" t="e">
        <f>IF('Cable Info'!P34="","",CONCATENATE('Cable Info'!P34," - ",'Cable Info'!Q34))</f>
        <v>#N/A</v>
      </c>
      <c r="AU35" s="121" t="s">
        <v>51</v>
      </c>
      <c r="AW35" s="121" t="e">
        <f t="shared" si="37"/>
        <v>#N/A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str">
        <f>IF('Cable Info'!L35="","",CONCATENATE('Cable Info'!L35," - ",'Cable Info'!M35))</f>
        <v>34 - TW</v>
      </c>
      <c r="AM36" s="121" t="str">
        <f t="shared" si="35"/>
        <v>34 - TW</v>
      </c>
      <c r="AO36" s="121" t="str">
        <f>IF('Cable Info'!N35="","",CONCATENATE('Cable Info'!N35," - ",'Cable Info'!O35))</f>
        <v>34 - TW</v>
      </c>
      <c r="AR36" s="121" t="str">
        <f t="shared" si="36"/>
        <v>34 - TW</v>
      </c>
      <c r="AT36" s="121" t="e">
        <f>IF('Cable Info'!P35="","",CONCATENATE('Cable Info'!P35," - ",'Cable Info'!Q35))</f>
        <v>#N/A</v>
      </c>
      <c r="AU36" s="121" t="s">
        <v>51</v>
      </c>
      <c r="AW36" s="121" t="e">
        <f t="shared" si="37"/>
        <v>#N/A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str">
        <f>IF('Cable Info'!L36="","",CONCATENATE('Cable Info'!L36," - ",'Cable Info'!M36))</f>
        <v>35 - TW</v>
      </c>
      <c r="AM37" s="121" t="str">
        <f t="shared" si="35"/>
        <v>35 - TW</v>
      </c>
      <c r="AO37" s="121" t="str">
        <f>IF('Cable Info'!N36="","",CONCATENATE('Cable Info'!N36," - ",'Cable Info'!O36))</f>
        <v>35 - TW</v>
      </c>
      <c r="AR37" s="121" t="str">
        <f t="shared" si="36"/>
        <v>35 - TW</v>
      </c>
      <c r="AT37" s="121" t="e">
        <f>IF('Cable Info'!P36="","",CONCATENATE('Cable Info'!P36," - ",'Cable Info'!Q36))</f>
        <v>#N/A</v>
      </c>
      <c r="AU37" s="121" t="s">
        <v>51</v>
      </c>
      <c r="AW37" s="121" t="e">
        <f t="shared" si="37"/>
        <v>#N/A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str">
        <f>IF('Cable Info'!L37="","",CONCATENATE('Cable Info'!L37," - ",'Cable Info'!M37))</f>
        <v>36 - TW</v>
      </c>
      <c r="AM38" s="121" t="str">
        <f t="shared" si="35"/>
        <v>36 - TW</v>
      </c>
      <c r="AO38" s="121" t="str">
        <f>IF('Cable Info'!N37="","",CONCATENATE('Cable Info'!N37," - ",'Cable Info'!O37))</f>
        <v>36 - TW</v>
      </c>
      <c r="AR38" s="121" t="str">
        <f t="shared" si="36"/>
        <v>36 - TW</v>
      </c>
      <c r="AT38" s="121" t="e">
        <f>IF('Cable Info'!P37="","",CONCATENATE('Cable Info'!P37," - ",'Cable Info'!Q37))</f>
        <v>#N/A</v>
      </c>
      <c r="AU38" s="121" t="s">
        <v>51</v>
      </c>
      <c r="AW38" s="121" t="e">
        <f t="shared" si="37"/>
        <v>#N/A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str">
        <f>IF('Cable Info'!L38="","",CONCATENATE('Cable Info'!L38," - ",'Cable Info'!M38))</f>
        <v>37 - TW</v>
      </c>
      <c r="AM39" s="121" t="str">
        <f t="shared" si="35"/>
        <v>37 - TW</v>
      </c>
      <c r="AO39" s="121" t="str">
        <f>IF('Cable Info'!N38="","",CONCATENATE('Cable Info'!N38," - ",'Cable Info'!O38))</f>
        <v>37 - TW</v>
      </c>
      <c r="AR39" s="121" t="str">
        <f t="shared" si="36"/>
        <v>37 - TW</v>
      </c>
      <c r="AT39" s="121" t="e">
        <f>IF('Cable Info'!P38="","",CONCATENATE('Cable Info'!P38," - ",'Cable Info'!Q38))</f>
        <v>#N/A</v>
      </c>
      <c r="AU39" s="121" t="s">
        <v>51</v>
      </c>
      <c r="AW39" s="121" t="e">
        <f t="shared" si="37"/>
        <v>#N/A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str">
        <f>IF('Cable Info'!L39="","",CONCATENATE('Cable Info'!L39," - ",'Cable Info'!M39))</f>
        <v>38 - TW</v>
      </c>
      <c r="AM40" s="121" t="str">
        <f t="shared" si="35"/>
        <v>38 - TW</v>
      </c>
      <c r="AO40" s="121" t="str">
        <f>IF('Cable Info'!N39="","",CONCATENATE('Cable Info'!N39," - ",'Cable Info'!O39))</f>
        <v>38 - TW</v>
      </c>
      <c r="AR40" s="121" t="str">
        <f t="shared" si="36"/>
        <v>38 - TW</v>
      </c>
      <c r="AT40" s="121" t="e">
        <f>IF('Cable Info'!P39="","",CONCATENATE('Cable Info'!P39," - ",'Cable Info'!Q39))</f>
        <v>#N/A</v>
      </c>
      <c r="AU40" s="121" t="s">
        <v>51</v>
      </c>
      <c r="AW40" s="121" t="e">
        <f t="shared" si="37"/>
        <v>#N/A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str">
        <f>IF('Cable Info'!L40="","",CONCATENATE('Cable Info'!L40," - ",'Cable Info'!M40))</f>
        <v>39 - TW</v>
      </c>
      <c r="AM41" s="121" t="str">
        <f t="shared" si="35"/>
        <v>39 - TW</v>
      </c>
      <c r="AO41" s="121" t="str">
        <f>IF('Cable Info'!N40="","",CONCATENATE('Cable Info'!N40," - ",'Cable Info'!O40))</f>
        <v>39 - TW</v>
      </c>
      <c r="AR41" s="121" t="str">
        <f t="shared" si="36"/>
        <v>39 - TW</v>
      </c>
      <c r="AT41" s="121" t="e">
        <f>IF('Cable Info'!P40="","",CONCATENATE('Cable Info'!P40," - ",'Cable Info'!Q40))</f>
        <v>#N/A</v>
      </c>
      <c r="AU41" s="121" t="s">
        <v>51</v>
      </c>
      <c r="AW41" s="121" t="e">
        <f t="shared" si="37"/>
        <v>#N/A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str">
        <f>IF('Cable Info'!L41="","",CONCATENATE('Cable Info'!L41," - ",'Cable Info'!M41))</f>
        <v>40 - TW</v>
      </c>
      <c r="AM42" s="121" t="str">
        <f t="shared" si="35"/>
        <v>40 - TW</v>
      </c>
      <c r="AO42" s="121" t="str">
        <f>IF('Cable Info'!N41="","",CONCATENATE('Cable Info'!N41," - ",'Cable Info'!O41))</f>
        <v>40 - TW</v>
      </c>
      <c r="AR42" s="121" t="str">
        <f t="shared" si="36"/>
        <v>40 - TW</v>
      </c>
      <c r="AT42" s="121" t="e">
        <f>IF('Cable Info'!P41="","",CONCATENATE('Cable Info'!P41," - ",'Cable Info'!Q41))</f>
        <v>#N/A</v>
      </c>
      <c r="AU42" s="121" t="s">
        <v>51</v>
      </c>
      <c r="AW42" s="121" t="e">
        <f t="shared" si="37"/>
        <v>#N/A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str">
        <f>IF('Cable Info'!L42="","",CONCATENATE('Cable Info'!L42," - ",'Cable Info'!M42))</f>
        <v>41 - TW</v>
      </c>
      <c r="AM43" s="121" t="str">
        <f t="shared" si="35"/>
        <v>41 - TW</v>
      </c>
      <c r="AO43" s="121" t="str">
        <f>IF('Cable Info'!N42="","",CONCATENATE('Cable Info'!N42," - ",'Cable Info'!O42))</f>
        <v>41 - TW</v>
      </c>
      <c r="AR43" s="121" t="str">
        <f t="shared" si="36"/>
        <v>41 - TW</v>
      </c>
      <c r="AT43" s="121" t="e">
        <f>IF('Cable Info'!P42="","",CONCATENATE('Cable Info'!P42," - ",'Cable Info'!Q42))</f>
        <v>#N/A</v>
      </c>
      <c r="AU43" s="121" t="s">
        <v>51</v>
      </c>
      <c r="AW43" s="121" t="e">
        <f t="shared" si="37"/>
        <v>#N/A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str">
        <f>IF('Cable Info'!L43="","",CONCATENATE('Cable Info'!L43," - ",'Cable Info'!M43))</f>
        <v>42 - TW</v>
      </c>
      <c r="AM44" s="121" t="str">
        <f t="shared" si="35"/>
        <v>42 - TW</v>
      </c>
      <c r="AO44" s="121" t="str">
        <f>IF('Cable Info'!N43="","",CONCATENATE('Cable Info'!N43," - ",'Cable Info'!O43))</f>
        <v>42 - TW</v>
      </c>
      <c r="AR44" s="121" t="str">
        <f t="shared" si="36"/>
        <v>42 - TW</v>
      </c>
      <c r="AT44" s="121" t="e">
        <f>IF('Cable Info'!P43="","",CONCATENATE('Cable Info'!P43," - ",'Cable Info'!Q43))</f>
        <v>#N/A</v>
      </c>
      <c r="AU44" s="121" t="s">
        <v>51</v>
      </c>
      <c r="AW44" s="121" t="e">
        <f t="shared" si="37"/>
        <v>#N/A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str">
        <f>IF('Cable Info'!L44="","",CONCATENATE('Cable Info'!L44," - ",'Cable Info'!M44))</f>
        <v>43 - TW</v>
      </c>
      <c r="AM45" s="121" t="str">
        <f t="shared" si="35"/>
        <v>43 - TW</v>
      </c>
      <c r="AO45" s="121" t="str">
        <f>IF('Cable Info'!N44="","",CONCATENATE('Cable Info'!N44," - ",'Cable Info'!O44))</f>
        <v>43 - TW</v>
      </c>
      <c r="AR45" s="121" t="str">
        <f t="shared" si="36"/>
        <v>43 - TW</v>
      </c>
      <c r="AT45" s="121" t="e">
        <f>IF('Cable Info'!P44="","",CONCATENATE('Cable Info'!P44," - ",'Cable Info'!Q44))</f>
        <v>#N/A</v>
      </c>
      <c r="AU45" s="121" t="s">
        <v>51</v>
      </c>
      <c r="AW45" s="121" t="e">
        <f t="shared" si="37"/>
        <v>#N/A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str">
        <f>IF('Cable Info'!L45="","",CONCATENATE('Cable Info'!L45," - ",'Cable Info'!M45))</f>
        <v>44 - TW</v>
      </c>
      <c r="AM46" s="121" t="str">
        <f t="shared" si="35"/>
        <v>44 - TW</v>
      </c>
      <c r="AO46" s="121" t="str">
        <f>IF('Cable Info'!N45="","",CONCATENATE('Cable Info'!N45," - ",'Cable Info'!O45))</f>
        <v>44 - TW</v>
      </c>
      <c r="AR46" s="121" t="str">
        <f t="shared" si="36"/>
        <v>44 - TW</v>
      </c>
      <c r="AT46" s="121" t="e">
        <f>IF('Cable Info'!P45="","",CONCATENATE('Cable Info'!P45," - ",'Cable Info'!Q45))</f>
        <v>#N/A</v>
      </c>
      <c r="AU46" s="121" t="s">
        <v>51</v>
      </c>
      <c r="AW46" s="121" t="e">
        <f t="shared" si="37"/>
        <v>#N/A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str">
        <f>IF('Cable Info'!L46="","",CONCATENATE('Cable Info'!L46," - ",'Cable Info'!M46))</f>
        <v>45 - TW</v>
      </c>
      <c r="AM47" s="121" t="str">
        <f t="shared" si="35"/>
        <v>45 - TW</v>
      </c>
      <c r="AO47" s="121" t="str">
        <f>IF('Cable Info'!N46="","",CONCATENATE('Cable Info'!N46," - ",'Cable Info'!O46))</f>
        <v>45 - TW</v>
      </c>
      <c r="AR47" s="121" t="str">
        <f t="shared" si="36"/>
        <v>45 - TW</v>
      </c>
      <c r="AT47" s="121" t="e">
        <f>IF('Cable Info'!P46="","",CONCATENATE('Cable Info'!P46," - ",'Cable Info'!Q46))</f>
        <v>#N/A</v>
      </c>
      <c r="AU47" s="121" t="s">
        <v>51</v>
      </c>
      <c r="AW47" s="121" t="e">
        <f t="shared" si="37"/>
        <v>#N/A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str">
        <f>IF('Cable Info'!L47="","",CONCATENATE('Cable Info'!L47," - ",'Cable Info'!M47))</f>
        <v>46 - TW</v>
      </c>
      <c r="AM48" s="121" t="str">
        <f t="shared" si="35"/>
        <v>46 - TW</v>
      </c>
      <c r="AO48" s="121" t="str">
        <f>IF('Cable Info'!N47="","",CONCATENATE('Cable Info'!N47," - ",'Cable Info'!O47))</f>
        <v>46 - TW</v>
      </c>
      <c r="AR48" s="121" t="str">
        <f t="shared" si="36"/>
        <v>46 - TW</v>
      </c>
      <c r="AT48" s="121" t="e">
        <f>IF('Cable Info'!P47="","",CONCATENATE('Cable Info'!P47," - ",'Cable Info'!Q47))</f>
        <v>#N/A</v>
      </c>
      <c r="AU48" s="121" t="s">
        <v>51</v>
      </c>
      <c r="AW48" s="121" t="e">
        <f t="shared" si="37"/>
        <v>#N/A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str">
        <f>IF('Cable Info'!L48="","",CONCATENATE('Cable Info'!L48," - ",'Cable Info'!M48))</f>
        <v>47 - TW</v>
      </c>
      <c r="AM49" s="121" t="str">
        <f t="shared" si="35"/>
        <v>47 - TW</v>
      </c>
      <c r="AO49" s="121" t="str">
        <f>IF('Cable Info'!N48="","",CONCATENATE('Cable Info'!N48," - ",'Cable Info'!O48))</f>
        <v>47 - TW</v>
      </c>
      <c r="AR49" s="121" t="str">
        <f t="shared" si="36"/>
        <v>47 - TW</v>
      </c>
      <c r="AT49" s="121" t="e">
        <f>IF('Cable Info'!P48="","",CONCATENATE('Cable Info'!P48," - ",'Cable Info'!Q48))</f>
        <v>#N/A</v>
      </c>
      <c r="AU49" s="121" t="s">
        <v>51</v>
      </c>
      <c r="AW49" s="121" t="e">
        <f t="shared" si="37"/>
        <v>#N/A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str">
        <f>IF('Cable Info'!L49="","",CONCATENATE('Cable Info'!L49," - ",'Cable Info'!M49))</f>
        <v>48 - TW</v>
      </c>
      <c r="AM50" s="121" t="str">
        <f t="shared" si="35"/>
        <v>48 - TW</v>
      </c>
      <c r="AO50" s="121" t="str">
        <f>IF('Cable Info'!N49="","",CONCATENATE('Cable Info'!N49," - ",'Cable Info'!O49))</f>
        <v>48 - TW</v>
      </c>
      <c r="AR50" s="121" t="str">
        <f t="shared" si="36"/>
        <v>48 - TW</v>
      </c>
      <c r="AT50" s="121" t="e">
        <f>IF('Cable Info'!P49="","",CONCATENATE('Cable Info'!P49," - ",'Cable Info'!Q49))</f>
        <v>#N/A</v>
      </c>
      <c r="AU50" s="121" t="s">
        <v>51</v>
      </c>
      <c r="AW50" s="121" t="e">
        <f t="shared" si="37"/>
        <v>#N/A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str">
        <f>IF('Cable Info'!L50="","",CONCATENATE('Cable Info'!L50," - ",'Cable Info'!M50))</f>
        <v>49 - TW</v>
      </c>
      <c r="AM51" s="121" t="str">
        <f t="shared" si="35"/>
        <v>49 - TW</v>
      </c>
      <c r="AO51" s="121" t="str">
        <f>IF('Cable Info'!N50="","",CONCATENATE('Cable Info'!N50," - ",'Cable Info'!O50))</f>
        <v>49 - TW</v>
      </c>
      <c r="AR51" s="121" t="str">
        <f t="shared" si="36"/>
        <v>49 - TW</v>
      </c>
      <c r="AT51" s="121" t="e">
        <f>IF('Cable Info'!P50="","",CONCATENATE('Cable Info'!P50," - ",'Cable Info'!Q50))</f>
        <v>#N/A</v>
      </c>
      <c r="AU51" s="121" t="s">
        <v>51</v>
      </c>
      <c r="AW51" s="121" t="e">
        <f t="shared" si="37"/>
        <v>#N/A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str">
        <f>IF('Cable Info'!L51="","",CONCATENATE('Cable Info'!L51," - ",'Cable Info'!M51))</f>
        <v>50 - TW</v>
      </c>
      <c r="AM52" s="121" t="str">
        <f t="shared" si="35"/>
        <v>50 - TW</v>
      </c>
      <c r="AO52" s="121" t="str">
        <f>IF('Cable Info'!N51="","",CONCATENATE('Cable Info'!N51," - ",'Cable Info'!O51))</f>
        <v>50 - TW</v>
      </c>
      <c r="AR52" s="121" t="str">
        <f t="shared" si="36"/>
        <v>50 - TW</v>
      </c>
      <c r="AT52" s="121" t="e">
        <f>IF('Cable Info'!P51="","",CONCATENATE('Cable Info'!P51," - ",'Cable Info'!Q51))</f>
        <v>#N/A</v>
      </c>
      <c r="AU52" s="121" t="s">
        <v>51</v>
      </c>
      <c r="AW52" s="121" t="e">
        <f t="shared" si="37"/>
        <v>#N/A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str">
        <f>IF('Cable Info'!L52="","",CONCATENATE('Cable Info'!L52," - ",'Cable Info'!M52))</f>
        <v>51 - TW</v>
      </c>
      <c r="AM53" s="121" t="str">
        <f t="shared" si="35"/>
        <v>51 - TW</v>
      </c>
      <c r="AO53" s="121" t="str">
        <f>IF('Cable Info'!N52="","",CONCATENATE('Cable Info'!N52," - ",'Cable Info'!O52))</f>
        <v>51 - TW</v>
      </c>
      <c r="AR53" s="121" t="str">
        <f t="shared" si="36"/>
        <v>51 - TW</v>
      </c>
      <c r="AT53" s="121" t="e">
        <f>IF('Cable Info'!P52="","",CONCATENATE('Cable Info'!P52," - ",'Cable Info'!Q52))</f>
        <v>#N/A</v>
      </c>
      <c r="AU53" s="121" t="s">
        <v>51</v>
      </c>
      <c r="AW53" s="121" t="e">
        <f t="shared" si="37"/>
        <v>#N/A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str">
        <f>IF('Cable Info'!L53="","",CONCATENATE('Cable Info'!L53," - ",'Cable Info'!M53))</f>
        <v>52 - TW</v>
      </c>
      <c r="AM54" s="121" t="str">
        <f t="shared" si="35"/>
        <v>52 - TW</v>
      </c>
      <c r="AO54" s="121" t="str">
        <f>IF('Cable Info'!N53="","",CONCATENATE('Cable Info'!N53," - ",'Cable Info'!O53))</f>
        <v>52 - TW</v>
      </c>
      <c r="AR54" s="121" t="str">
        <f t="shared" si="36"/>
        <v>52 - TW</v>
      </c>
      <c r="AT54" s="121" t="e">
        <f>IF('Cable Info'!P53="","",CONCATENATE('Cable Info'!P53," - ",'Cable Info'!Q53))</f>
        <v>#N/A</v>
      </c>
      <c r="AU54" s="121" t="s">
        <v>51</v>
      </c>
      <c r="AW54" s="121" t="e">
        <f t="shared" si="37"/>
        <v>#N/A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str">
        <f>IF('Cable Info'!L54="","",CONCATENATE('Cable Info'!L54," - ",'Cable Info'!M54))</f>
        <v>53 - TW</v>
      </c>
      <c r="AM55" s="121" t="str">
        <f t="shared" si="35"/>
        <v>53 - TW</v>
      </c>
      <c r="AO55" s="121" t="str">
        <f>IF('Cable Info'!N54="","",CONCATENATE('Cable Info'!N54," - ",'Cable Info'!O54))</f>
        <v>53 - TW</v>
      </c>
      <c r="AR55" s="121" t="str">
        <f t="shared" si="36"/>
        <v>53 - TW</v>
      </c>
      <c r="AT55" s="121" t="e">
        <f>IF('Cable Info'!P54="","",CONCATENATE('Cable Info'!P54," - ",'Cable Info'!Q54))</f>
        <v>#N/A</v>
      </c>
      <c r="AU55" s="121" t="s">
        <v>51</v>
      </c>
      <c r="AW55" s="121" t="e">
        <f t="shared" si="37"/>
        <v>#N/A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str">
        <f>IF('Cable Info'!L55="","",CONCATENATE('Cable Info'!L55," - ",'Cable Info'!M55))</f>
        <v>54 - TW</v>
      </c>
      <c r="AM56" s="121" t="str">
        <f t="shared" si="35"/>
        <v>54 - TW</v>
      </c>
      <c r="AO56" s="121" t="str">
        <f>IF('Cable Info'!N55="","",CONCATENATE('Cable Info'!N55," - ",'Cable Info'!O55))</f>
        <v>54 - TW</v>
      </c>
      <c r="AR56" s="121" t="str">
        <f t="shared" si="36"/>
        <v>54 - TW</v>
      </c>
      <c r="AT56" s="121" t="e">
        <f>IF('Cable Info'!P55="","",CONCATENATE('Cable Info'!P55," - ",'Cable Info'!Q55))</f>
        <v>#N/A</v>
      </c>
      <c r="AU56" s="121" t="s">
        <v>51</v>
      </c>
      <c r="AW56" s="121" t="e">
        <f t="shared" si="37"/>
        <v>#N/A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str">
        <f>IF('Cable Info'!L56="","",CONCATENATE('Cable Info'!L56," - ",'Cable Info'!M56))</f>
        <v>55 - TW</v>
      </c>
      <c r="AM57" s="121" t="str">
        <f t="shared" si="35"/>
        <v>55 - TW</v>
      </c>
      <c r="AO57" s="121" t="str">
        <f>IF('Cable Info'!N56="","",CONCATENATE('Cable Info'!N56," - ",'Cable Info'!O56))</f>
        <v>55 - TW</v>
      </c>
      <c r="AR57" s="121" t="str">
        <f t="shared" si="36"/>
        <v>55 - TW</v>
      </c>
      <c r="AT57" s="121" t="e">
        <f>IF('Cable Info'!P56="","",CONCATENATE('Cable Info'!P56," - ",'Cable Info'!Q56))</f>
        <v>#N/A</v>
      </c>
      <c r="AU57" s="121" t="s">
        <v>51</v>
      </c>
      <c r="AW57" s="121" t="e">
        <f t="shared" si="37"/>
        <v>#N/A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str">
        <f>IF('Cable Info'!L57="","",CONCATENATE('Cable Info'!L57," - ",'Cable Info'!M57))</f>
        <v>56 - TW</v>
      </c>
      <c r="AM58" s="121" t="str">
        <f t="shared" si="35"/>
        <v>56 - TW</v>
      </c>
      <c r="AO58" s="121" t="str">
        <f>IF('Cable Info'!N57="","",CONCATENATE('Cable Info'!N57," - ",'Cable Info'!O57))</f>
        <v>56 - TW</v>
      </c>
      <c r="AR58" s="121" t="str">
        <f t="shared" si="36"/>
        <v>56 - TW</v>
      </c>
      <c r="AT58" s="121" t="e">
        <f>IF('Cable Info'!P57="","",CONCATENATE('Cable Info'!P57," - ",'Cable Info'!Q57))</f>
        <v>#N/A</v>
      </c>
      <c r="AU58" s="121" t="s">
        <v>51</v>
      </c>
      <c r="AW58" s="121" t="e">
        <f t="shared" si="37"/>
        <v>#N/A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str">
        <f>IF('Cable Info'!L58="","",CONCATENATE('Cable Info'!L58," - ",'Cable Info'!M58))</f>
        <v>57 - TW</v>
      </c>
      <c r="AM59" s="121" t="str">
        <f t="shared" si="35"/>
        <v>57 - TW</v>
      </c>
      <c r="AO59" s="121" t="str">
        <f>IF('Cable Info'!N58="","",CONCATENATE('Cable Info'!N58," - ",'Cable Info'!O58))</f>
        <v>57 - TW</v>
      </c>
      <c r="AR59" s="121" t="str">
        <f t="shared" si="36"/>
        <v>57 - TW</v>
      </c>
      <c r="AT59" s="121" t="e">
        <f>IF('Cable Info'!P58="","",CONCATENATE('Cable Info'!P58," - ",'Cable Info'!Q58))</f>
        <v>#N/A</v>
      </c>
      <c r="AU59" s="121" t="s">
        <v>51</v>
      </c>
      <c r="AW59" s="121" t="e">
        <f t="shared" si="37"/>
        <v>#N/A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str">
        <f>IF('Cable Info'!L59="","",CONCATENATE('Cable Info'!L59," - ",'Cable Info'!M59))</f>
        <v>58 - TW</v>
      </c>
      <c r="AM60" s="121" t="str">
        <f t="shared" si="35"/>
        <v>58 - TW</v>
      </c>
      <c r="AO60" s="121" t="str">
        <f>IF('Cable Info'!N59="","",CONCATENATE('Cable Info'!N59," - ",'Cable Info'!O59))</f>
        <v>58 - TW</v>
      </c>
      <c r="AR60" s="121" t="str">
        <f t="shared" si="36"/>
        <v>58 - TW</v>
      </c>
      <c r="AT60" s="121" t="e">
        <f>IF('Cable Info'!P59="","",CONCATENATE('Cable Info'!P59," - ",'Cable Info'!Q59))</f>
        <v>#N/A</v>
      </c>
      <c r="AU60" s="121" t="s">
        <v>51</v>
      </c>
      <c r="AW60" s="121" t="e">
        <f t="shared" si="37"/>
        <v>#N/A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str">
        <f>IF('Cable Info'!L60="","",CONCATENATE('Cable Info'!L60," - ",'Cable Info'!M60))</f>
        <v>59 - TW</v>
      </c>
      <c r="AM61" s="121" t="str">
        <f t="shared" si="35"/>
        <v>59 - TW</v>
      </c>
      <c r="AO61" s="121" t="str">
        <f>IF('Cable Info'!N60="","",CONCATENATE('Cable Info'!N60," - ",'Cable Info'!O60))</f>
        <v>59 - TW</v>
      </c>
      <c r="AR61" s="121" t="str">
        <f t="shared" si="36"/>
        <v>59 - TW</v>
      </c>
      <c r="AT61" s="121" t="e">
        <f>IF('Cable Info'!P60="","",CONCATENATE('Cable Info'!P60," - ",'Cable Info'!Q60))</f>
        <v>#N/A</v>
      </c>
      <c r="AU61" s="121" t="s">
        <v>51</v>
      </c>
      <c r="AW61" s="121" t="e">
        <f t="shared" si="37"/>
        <v>#N/A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str">
        <f>IF('Cable Info'!L61="","",CONCATENATE('Cable Info'!L61," - ",'Cable Info'!M61))</f>
        <v>60 - TW</v>
      </c>
      <c r="AM62" s="121" t="str">
        <f t="shared" si="35"/>
        <v>60 - TW</v>
      </c>
      <c r="AO62" s="121" t="str">
        <f>IF('Cable Info'!N61="","",CONCATENATE('Cable Info'!N61," - ",'Cable Info'!O61))</f>
        <v>60 - TW</v>
      </c>
      <c r="AR62" s="121" t="str">
        <f t="shared" si="36"/>
        <v>60 - TW</v>
      </c>
      <c r="AT62" s="121" t="e">
        <f>IF('Cable Info'!P61="","",CONCATENATE('Cable Info'!P61," - ",'Cable Info'!Q61))</f>
        <v>#N/A</v>
      </c>
      <c r="AU62" s="121" t="s">
        <v>51</v>
      </c>
      <c r="AW62" s="121" t="e">
        <f t="shared" si="37"/>
        <v>#N/A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str">
        <f>IF('Cable Info'!L62="","",CONCATENATE('Cable Info'!L62," - ",'Cable Info'!M62))</f>
        <v>61 - TW</v>
      </c>
      <c r="AM63" s="121" t="str">
        <f t="shared" si="35"/>
        <v>61 - TW</v>
      </c>
      <c r="AO63" s="121" t="str">
        <f>IF('Cable Info'!N62="","",CONCATENATE('Cable Info'!N62," - ",'Cable Info'!O62))</f>
        <v>61 - TW</v>
      </c>
      <c r="AR63" s="121" t="str">
        <f t="shared" si="36"/>
        <v>61 - TW</v>
      </c>
      <c r="AT63" s="121" t="e">
        <f>IF('Cable Info'!P62="","",CONCATENATE('Cable Info'!P62," - ",'Cable Info'!Q62))</f>
        <v>#N/A</v>
      </c>
      <c r="AU63" s="121" t="s">
        <v>51</v>
      </c>
      <c r="AW63" s="121" t="e">
        <f t="shared" si="37"/>
        <v>#N/A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str">
        <f>IF('Cable Info'!L63="","",CONCATENATE('Cable Info'!L63," - ",'Cable Info'!M63))</f>
        <v>62 - TW</v>
      </c>
      <c r="AM64" s="121" t="str">
        <f t="shared" si="35"/>
        <v>62 - TW</v>
      </c>
      <c r="AO64" s="121" t="str">
        <f>IF('Cable Info'!N63="","",CONCATENATE('Cable Info'!N63," - ",'Cable Info'!O63))</f>
        <v>62 - TW</v>
      </c>
      <c r="AR64" s="121" t="str">
        <f t="shared" si="36"/>
        <v>62 - TW</v>
      </c>
      <c r="AT64" s="121" t="e">
        <f>IF('Cable Info'!P63="","",CONCATENATE('Cable Info'!P63," - ",'Cable Info'!Q63))</f>
        <v>#N/A</v>
      </c>
      <c r="AU64" s="121" t="s">
        <v>51</v>
      </c>
      <c r="AW64" s="121" t="e">
        <f t="shared" si="37"/>
        <v>#N/A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str">
        <f>IF('Cable Info'!L64="","",CONCATENATE('Cable Info'!L64," - ",'Cable Info'!M64))</f>
        <v>63 - TW</v>
      </c>
      <c r="AM65" s="121" t="str">
        <f t="shared" si="35"/>
        <v>63 - TW</v>
      </c>
      <c r="AO65" s="121" t="str">
        <f>IF('Cable Info'!N64="","",CONCATENATE('Cable Info'!N64," - ",'Cable Info'!O64))</f>
        <v>63 - TW</v>
      </c>
      <c r="AR65" s="121" t="str">
        <f t="shared" si="36"/>
        <v>63 - TW</v>
      </c>
      <c r="AT65" s="121" t="e">
        <f>IF('Cable Info'!P64="","",CONCATENATE('Cable Info'!P64," - ",'Cable Info'!Q64))</f>
        <v>#N/A</v>
      </c>
      <c r="AU65" s="121" t="s">
        <v>51</v>
      </c>
      <c r="AW65" s="121" t="e">
        <f t="shared" si="37"/>
        <v>#N/A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str">
        <f>IF('Cable Info'!L65="","",CONCATENATE('Cable Info'!L65," - ",'Cable Info'!M65))</f>
        <v>64 - TW</v>
      </c>
      <c r="AM66" s="121" t="str">
        <f t="shared" si="35"/>
        <v>64 - TW</v>
      </c>
      <c r="AO66" s="121" t="str">
        <f>IF('Cable Info'!N65="","",CONCATENATE('Cable Info'!N65," - ",'Cable Info'!O65))</f>
        <v>64 - TW</v>
      </c>
      <c r="AR66" s="121" t="str">
        <f t="shared" si="36"/>
        <v>64 - TW</v>
      </c>
      <c r="AT66" s="121" t="e">
        <f>IF('Cable Info'!P65="","",CONCATENATE('Cable Info'!P65," - ",'Cable Info'!Q65))</f>
        <v>#N/A</v>
      </c>
      <c r="AU66" s="121" t="s">
        <v>51</v>
      </c>
      <c r="AW66" s="121" t="e">
        <f t="shared" si="37"/>
        <v>#N/A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str">
        <f>IF('Cable Info'!L66="","",CONCATENATE('Cable Info'!L66," - ",'Cable Info'!M66))</f>
        <v>65 - TW</v>
      </c>
      <c r="AM67" s="121" t="str">
        <f t="shared" si="35"/>
        <v>65 - TW</v>
      </c>
      <c r="AO67" s="121" t="str">
        <f>IF('Cable Info'!N66="","",CONCATENATE('Cable Info'!N66," - ",'Cable Info'!O66))</f>
        <v>65 - TW</v>
      </c>
      <c r="AR67" s="121" t="str">
        <f t="shared" si="36"/>
        <v>65 - TW</v>
      </c>
      <c r="AT67" s="121" t="e">
        <f>IF('Cable Info'!P66="","",CONCATENATE('Cable Info'!P66," - ",'Cable Info'!Q66))</f>
        <v>#N/A</v>
      </c>
      <c r="AU67" s="121" t="s">
        <v>51</v>
      </c>
      <c r="AW67" s="121" t="e">
        <f t="shared" si="37"/>
        <v>#N/A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str">
        <f>IF('Cable Info'!L67="","",CONCATENATE('Cable Info'!L67," - ",'Cable Info'!M67))</f>
        <v>66 - TW</v>
      </c>
      <c r="AM68" s="121" t="str">
        <f t="shared" si="35"/>
        <v>66 - TW</v>
      </c>
      <c r="AO68" s="121" t="str">
        <f>IF('Cable Info'!N67="","",CONCATENATE('Cable Info'!N67," - ",'Cable Info'!O67))</f>
        <v>66 - TW</v>
      </c>
      <c r="AR68" s="121" t="str">
        <f t="shared" si="36"/>
        <v>66 - TW</v>
      </c>
      <c r="AT68" s="121" t="e">
        <f>IF('Cable Info'!P67="","",CONCATENATE('Cable Info'!P67," - ",'Cable Info'!Q67))</f>
        <v>#N/A</v>
      </c>
      <c r="AU68" s="121" t="s">
        <v>51</v>
      </c>
      <c r="AW68" s="121" t="e">
        <f t="shared" si="37"/>
        <v>#N/A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str">
        <f>IF('Cable Info'!L68="","",CONCATENATE('Cable Info'!L68," - ",'Cable Info'!M68))</f>
        <v>67 - TW</v>
      </c>
      <c r="AM69" s="121" t="str">
        <f t="shared" si="35"/>
        <v>67 - TW</v>
      </c>
      <c r="AO69" s="121" t="str">
        <f>IF('Cable Info'!N68="","",CONCATENATE('Cable Info'!N68," - ",'Cable Info'!O68))</f>
        <v>67 - TW</v>
      </c>
      <c r="AR69" s="121" t="str">
        <f t="shared" si="36"/>
        <v>67 - TW</v>
      </c>
      <c r="AT69" s="121" t="e">
        <f>IF('Cable Info'!P68="","",CONCATENATE('Cable Info'!P68," - ",'Cable Info'!Q68))</f>
        <v>#N/A</v>
      </c>
      <c r="AU69" s="121" t="s">
        <v>51</v>
      </c>
      <c r="AW69" s="121" t="e">
        <f t="shared" si="37"/>
        <v>#N/A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str">
        <f>IF('Cable Info'!L69="","",CONCATENATE('Cable Info'!L69," - ",'Cable Info'!M69))</f>
        <v>68 - TW</v>
      </c>
      <c r="AM70" s="121" t="str">
        <f t="shared" si="35"/>
        <v>68 - TW</v>
      </c>
      <c r="AO70" s="121" t="str">
        <f>IF('Cable Info'!N69="","",CONCATENATE('Cable Info'!N69," - ",'Cable Info'!O69))</f>
        <v>68 - TW</v>
      </c>
      <c r="AR70" s="121" t="str">
        <f t="shared" si="36"/>
        <v>68 - TW</v>
      </c>
      <c r="AT70" s="121" t="e">
        <f>IF('Cable Info'!P69="","",CONCATENATE('Cable Info'!P69," - ",'Cable Info'!Q69))</f>
        <v>#N/A</v>
      </c>
      <c r="AU70" s="121" t="s">
        <v>51</v>
      </c>
      <c r="AW70" s="121" t="e">
        <f t="shared" si="37"/>
        <v>#N/A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str">
        <f>IF('Cable Info'!L70="","",CONCATENATE('Cable Info'!L70," - ",'Cable Info'!M70))</f>
        <v>69 - TW</v>
      </c>
      <c r="AM71" s="121" t="str">
        <f t="shared" si="35"/>
        <v>69 - TW</v>
      </c>
      <c r="AO71" s="121" t="str">
        <f>IF('Cable Info'!N70="","",CONCATENATE('Cable Info'!N70," - ",'Cable Info'!O70))</f>
        <v>69 - TW</v>
      </c>
      <c r="AR71" s="121" t="str">
        <f t="shared" si="36"/>
        <v>69 - TW</v>
      </c>
      <c r="AT71" s="121" t="e">
        <f>IF('Cable Info'!P70="","",CONCATENATE('Cable Info'!P70," - ",'Cable Info'!Q70))</f>
        <v>#N/A</v>
      </c>
      <c r="AU71" s="121" t="s">
        <v>51</v>
      </c>
      <c r="AW71" s="121" t="e">
        <f t="shared" si="37"/>
        <v>#N/A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str">
        <f>IF('Cable Info'!L71="","",CONCATENATE('Cable Info'!L71," - ",'Cable Info'!M71))</f>
        <v>70 - TW</v>
      </c>
      <c r="AM72" s="121" t="str">
        <f t="shared" si="35"/>
        <v>70 - TW</v>
      </c>
      <c r="AO72" s="121" t="str">
        <f>IF('Cable Info'!N71="","",CONCATENATE('Cable Info'!N71," - ",'Cable Info'!O71))</f>
        <v>70 - TW</v>
      </c>
      <c r="AR72" s="121" t="str">
        <f t="shared" si="36"/>
        <v>70 - TW</v>
      </c>
      <c r="AT72" s="121" t="e">
        <f>IF('Cable Info'!P71="","",CONCATENATE('Cable Info'!P71," - ",'Cable Info'!Q71))</f>
        <v>#N/A</v>
      </c>
      <c r="AU72" s="121" t="s">
        <v>51</v>
      </c>
      <c r="AW72" s="121" t="e">
        <f t="shared" si="37"/>
        <v>#N/A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str">
        <f>IF('Cable Info'!L72="","",CONCATENATE('Cable Info'!L72," - ",'Cable Info'!M72))</f>
        <v>71 - TW</v>
      </c>
      <c r="AM73" s="121" t="str">
        <f t="shared" si="35"/>
        <v>71 - TW</v>
      </c>
      <c r="AO73" s="121" t="str">
        <f>IF('Cable Info'!N72="","",CONCATENATE('Cable Info'!N72," - ",'Cable Info'!O72))</f>
        <v>71 - TW</v>
      </c>
      <c r="AR73" s="121" t="str">
        <f t="shared" si="36"/>
        <v>71 - TW</v>
      </c>
      <c r="AT73" s="121" t="e">
        <f>IF('Cable Info'!P72="","",CONCATENATE('Cable Info'!P72," - ",'Cable Info'!Q72))</f>
        <v>#N/A</v>
      </c>
      <c r="AU73" s="121" t="s">
        <v>51</v>
      </c>
      <c r="AW73" s="121" t="e">
        <f t="shared" si="37"/>
        <v>#N/A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str">
        <f>IF('Cable Info'!L73="","",CONCATENATE('Cable Info'!L73," - ",'Cable Info'!M73))</f>
        <v>72 - TW</v>
      </c>
      <c r="AM74" s="121" t="str">
        <f t="shared" si="35"/>
        <v>72 - TW</v>
      </c>
      <c r="AO74" s="121" t="str">
        <f>IF('Cable Info'!N73="","",CONCATENATE('Cable Info'!N73," - ",'Cable Info'!O73))</f>
        <v>72 - TW</v>
      </c>
      <c r="AR74" s="121" t="str">
        <f t="shared" si="36"/>
        <v>72 - TW</v>
      </c>
      <c r="AT74" s="121" t="e">
        <f>IF('Cable Info'!P73="","",CONCATENATE('Cable Info'!P73," - ",'Cable Info'!Q73))</f>
        <v>#N/A</v>
      </c>
      <c r="AU74" s="121" t="s">
        <v>51</v>
      </c>
      <c r="AW74" s="121" t="e">
        <f t="shared" si="37"/>
        <v>#N/A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str">
        <f>IF('Cable Info'!L74="","",CONCATENATE('Cable Info'!L74," - ",'Cable Info'!M74))</f>
        <v>73 - TW</v>
      </c>
      <c r="AM75" s="121" t="str">
        <f t="shared" si="35"/>
        <v>73 - TW</v>
      </c>
      <c r="AO75" s="121" t="str">
        <f>IF('Cable Info'!N74="","",CONCATENATE('Cable Info'!N74," - ",'Cable Info'!O74))</f>
        <v>73 - TW</v>
      </c>
      <c r="AR75" s="121" t="str">
        <f t="shared" si="36"/>
        <v>73 - TW</v>
      </c>
      <c r="AT75" s="121" t="e">
        <f>IF('Cable Info'!P74="","",CONCATENATE('Cable Info'!P74," - ",'Cable Info'!Q74))</f>
        <v>#N/A</v>
      </c>
      <c r="AU75" s="121" t="s">
        <v>51</v>
      </c>
      <c r="AW75" s="121" t="e">
        <f t="shared" si="37"/>
        <v>#N/A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str">
        <f>IF('Cable Info'!L75="","",CONCATENATE('Cable Info'!L75," - ",'Cable Info'!M75))</f>
        <v>74 - TW</v>
      </c>
      <c r="AM76" s="121" t="str">
        <f t="shared" si="35"/>
        <v>74 - TW</v>
      </c>
      <c r="AO76" s="121" t="str">
        <f>IF('Cable Info'!N75="","",CONCATENATE('Cable Info'!N75," - ",'Cable Info'!O75))</f>
        <v>74 - TW</v>
      </c>
      <c r="AR76" s="121" t="str">
        <f t="shared" si="36"/>
        <v>74 - TW</v>
      </c>
      <c r="AT76" s="121" t="e">
        <f>IF('Cable Info'!P75="","",CONCATENATE('Cable Info'!P75," - ",'Cable Info'!Q75))</f>
        <v>#N/A</v>
      </c>
      <c r="AU76" s="121" t="s">
        <v>51</v>
      </c>
      <c r="AW76" s="121" t="e">
        <f t="shared" si="37"/>
        <v>#N/A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str">
        <f>IF('Cable Info'!L76="","",CONCATENATE('Cable Info'!L76," - ",'Cable Info'!M76))</f>
        <v>75 - TW</v>
      </c>
      <c r="AM77" s="121" t="str">
        <f t="shared" ref="AM77:AM140" si="47">IF(AK77="",AJ77,CONCATENATE(AJ77,"  &lt;=&gt; ",AK77," ",AL77))</f>
        <v>75 - TW</v>
      </c>
      <c r="AO77" s="121" t="str">
        <f>IF('Cable Info'!N76="","",CONCATENATE('Cable Info'!N76," - ",'Cable Info'!O76))</f>
        <v>75 - TW</v>
      </c>
      <c r="AR77" s="121" t="str">
        <f t="shared" ref="AR77:AR140" si="48">IF(AP77="",AO77,CONCATENATE(AO77,"  &lt;=&gt; ",AP77," ",AQ77))</f>
        <v>75 - TW</v>
      </c>
      <c r="AT77" s="121" t="e">
        <f>IF('Cable Info'!P76="","",CONCATENATE('Cable Info'!P76," - ",'Cable Info'!Q76))</f>
        <v>#N/A</v>
      </c>
      <c r="AU77" s="121" t="s">
        <v>51</v>
      </c>
      <c r="AW77" s="121" t="e">
        <f t="shared" ref="AW77:AW140" si="49">IF(AU77="",AT77,CONCATENATE(AT77,"  &lt;=&gt; ",AU77," ",AV77))</f>
        <v>#N/A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str">
        <f>IF('Cable Info'!L77="","",CONCATENATE('Cable Info'!L77," - ",'Cable Info'!M77))</f>
        <v>76 - TW</v>
      </c>
      <c r="AM78" s="121" t="str">
        <f t="shared" si="47"/>
        <v>76 - TW</v>
      </c>
      <c r="AO78" s="121" t="str">
        <f>IF('Cable Info'!N77="","",CONCATENATE('Cable Info'!N77," - ",'Cable Info'!O77))</f>
        <v>76 - TW</v>
      </c>
      <c r="AR78" s="121" t="str">
        <f t="shared" si="48"/>
        <v>76 - TW</v>
      </c>
      <c r="AT78" s="121" t="e">
        <f>IF('Cable Info'!P77="","",CONCATENATE('Cable Info'!P77," - ",'Cable Info'!Q77))</f>
        <v>#N/A</v>
      </c>
      <c r="AU78" s="121" t="s">
        <v>51</v>
      </c>
      <c r="AW78" s="121" t="e">
        <f t="shared" si="49"/>
        <v>#N/A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str">
        <f>IF('Cable Info'!L78="","",CONCATENATE('Cable Info'!L78," - ",'Cable Info'!M78))</f>
        <v>77 - TW</v>
      </c>
      <c r="AM79" s="121" t="str">
        <f t="shared" si="47"/>
        <v>77 - TW</v>
      </c>
      <c r="AO79" s="121" t="str">
        <f>IF('Cable Info'!N78="","",CONCATENATE('Cable Info'!N78," - ",'Cable Info'!O78))</f>
        <v>77 - TW</v>
      </c>
      <c r="AR79" s="121" t="str">
        <f t="shared" si="48"/>
        <v>77 - TW</v>
      </c>
      <c r="AT79" s="121" t="e">
        <f>IF('Cable Info'!P78="","",CONCATENATE('Cable Info'!P78," - ",'Cable Info'!Q78))</f>
        <v>#N/A</v>
      </c>
      <c r="AU79" s="121" t="s">
        <v>51</v>
      </c>
      <c r="AW79" s="121" t="e">
        <f t="shared" si="49"/>
        <v>#N/A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str">
        <f>IF('Cable Info'!L79="","",CONCATENATE('Cable Info'!L79," - ",'Cable Info'!M79))</f>
        <v>78 - TW</v>
      </c>
      <c r="AM80" s="121" t="str">
        <f t="shared" si="47"/>
        <v>78 - TW</v>
      </c>
      <c r="AO80" s="121" t="str">
        <f>IF('Cable Info'!N79="","",CONCATENATE('Cable Info'!N79," - ",'Cable Info'!O79))</f>
        <v>78 - TW</v>
      </c>
      <c r="AR80" s="121" t="str">
        <f t="shared" si="48"/>
        <v>78 - TW</v>
      </c>
      <c r="AT80" s="121" t="e">
        <f>IF('Cable Info'!P79="","",CONCATENATE('Cable Info'!P79," - ",'Cable Info'!Q79))</f>
        <v>#N/A</v>
      </c>
      <c r="AU80" s="121" t="s">
        <v>51</v>
      </c>
      <c r="AW80" s="121" t="e">
        <f t="shared" si="49"/>
        <v>#N/A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str">
        <f>IF('Cable Info'!L80="","",CONCATENATE('Cable Info'!L80," - ",'Cable Info'!M80))</f>
        <v>79 - TW</v>
      </c>
      <c r="AM81" s="121" t="str">
        <f t="shared" si="47"/>
        <v>79 - TW</v>
      </c>
      <c r="AO81" s="121" t="str">
        <f>IF('Cable Info'!N80="","",CONCATENATE('Cable Info'!N80," - ",'Cable Info'!O80))</f>
        <v>79 - TW</v>
      </c>
      <c r="AR81" s="121" t="str">
        <f t="shared" si="48"/>
        <v>79 - TW</v>
      </c>
      <c r="AT81" s="121" t="e">
        <f>IF('Cable Info'!P80="","",CONCATENATE('Cable Info'!P80," - ",'Cable Info'!Q80))</f>
        <v>#N/A</v>
      </c>
      <c r="AU81" s="121" t="s">
        <v>51</v>
      </c>
      <c r="AW81" s="121" t="e">
        <f t="shared" si="49"/>
        <v>#N/A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str">
        <f>IF('Cable Info'!L81="","",CONCATENATE('Cable Info'!L81," - ",'Cable Info'!M81))</f>
        <v>80 - TW</v>
      </c>
      <c r="AM82" s="121" t="str">
        <f t="shared" si="47"/>
        <v>80 - TW</v>
      </c>
      <c r="AO82" s="121" t="str">
        <f>IF('Cable Info'!N81="","",CONCATENATE('Cable Info'!N81," - ",'Cable Info'!O81))</f>
        <v>80 - TW</v>
      </c>
      <c r="AR82" s="121" t="str">
        <f t="shared" si="48"/>
        <v>80 - TW</v>
      </c>
      <c r="AT82" s="121" t="e">
        <f>IF('Cable Info'!P81="","",CONCATENATE('Cable Info'!P81," - ",'Cable Info'!Q81))</f>
        <v>#N/A</v>
      </c>
      <c r="AU82" s="121" t="s">
        <v>51</v>
      </c>
      <c r="AW82" s="121" t="e">
        <f t="shared" si="49"/>
        <v>#N/A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str">
        <f>IF('Cable Info'!L82="","",CONCATENATE('Cable Info'!L82," - ",'Cable Info'!M82))</f>
        <v>81 - TW</v>
      </c>
      <c r="AM83" s="121" t="str">
        <f t="shared" si="47"/>
        <v>81 - TW</v>
      </c>
      <c r="AO83" s="121" t="str">
        <f>IF('Cable Info'!N82="","",CONCATENATE('Cable Info'!N82," - ",'Cable Info'!O82))</f>
        <v>81 - TW</v>
      </c>
      <c r="AR83" s="121" t="str">
        <f t="shared" si="48"/>
        <v>81 - TW</v>
      </c>
      <c r="AT83" s="121" t="e">
        <f>IF('Cable Info'!P82="","",CONCATENATE('Cable Info'!P82," - ",'Cable Info'!Q82))</f>
        <v>#N/A</v>
      </c>
      <c r="AU83" s="121" t="s">
        <v>51</v>
      </c>
      <c r="AW83" s="121" t="e">
        <f t="shared" si="49"/>
        <v>#N/A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str">
        <f>IF('Cable Info'!L83="","",CONCATENATE('Cable Info'!L83," - ",'Cable Info'!M83))</f>
        <v>82 - TW</v>
      </c>
      <c r="AM84" s="121" t="str">
        <f t="shared" si="47"/>
        <v>82 - TW</v>
      </c>
      <c r="AO84" s="121" t="str">
        <f>IF('Cable Info'!N83="","",CONCATENATE('Cable Info'!N83," - ",'Cable Info'!O83))</f>
        <v>82 - TW</v>
      </c>
      <c r="AR84" s="121" t="str">
        <f t="shared" si="48"/>
        <v>82 - TW</v>
      </c>
      <c r="AT84" s="121" t="e">
        <f>IF('Cable Info'!P83="","",CONCATENATE('Cable Info'!P83," - ",'Cable Info'!Q83))</f>
        <v>#N/A</v>
      </c>
      <c r="AU84" s="121" t="s">
        <v>51</v>
      </c>
      <c r="AW84" s="121" t="e">
        <f t="shared" si="49"/>
        <v>#N/A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str">
        <f>IF('Cable Info'!L84="","",CONCATENATE('Cable Info'!L84," - ",'Cable Info'!M84))</f>
        <v>83 - TW</v>
      </c>
      <c r="AM85" s="121" t="str">
        <f t="shared" si="47"/>
        <v>83 - TW</v>
      </c>
      <c r="AO85" s="121" t="str">
        <f>IF('Cable Info'!N84="","",CONCATENATE('Cable Info'!N84," - ",'Cable Info'!O84))</f>
        <v>83 - TW</v>
      </c>
      <c r="AR85" s="121" t="str">
        <f t="shared" si="48"/>
        <v>83 - TW</v>
      </c>
      <c r="AT85" s="121" t="e">
        <f>IF('Cable Info'!P84="","",CONCATENATE('Cable Info'!P84," - ",'Cable Info'!Q84))</f>
        <v>#N/A</v>
      </c>
      <c r="AU85" s="121" t="s">
        <v>51</v>
      </c>
      <c r="AW85" s="121" t="e">
        <f t="shared" si="49"/>
        <v>#N/A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str">
        <f>IF('Cable Info'!L85="","",CONCATENATE('Cable Info'!L85," - ",'Cable Info'!M85))</f>
        <v>84 - TW</v>
      </c>
      <c r="AM86" s="121" t="str">
        <f t="shared" si="47"/>
        <v>84 - TW</v>
      </c>
      <c r="AO86" s="121" t="str">
        <f>IF('Cable Info'!N85="","",CONCATENATE('Cable Info'!N85," - ",'Cable Info'!O85))</f>
        <v>84 - TW</v>
      </c>
      <c r="AR86" s="121" t="str">
        <f t="shared" si="48"/>
        <v>84 - TW</v>
      </c>
      <c r="AT86" s="121" t="e">
        <f>IF('Cable Info'!P85="","",CONCATENATE('Cable Info'!P85," - ",'Cable Info'!Q85))</f>
        <v>#N/A</v>
      </c>
      <c r="AU86" s="121" t="s">
        <v>51</v>
      </c>
      <c r="AW86" s="121" t="e">
        <f t="shared" si="49"/>
        <v>#N/A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str">
        <f>IF('Cable Info'!L86="","",CONCATENATE('Cable Info'!L86," - ",'Cable Info'!M86))</f>
        <v>85 - TW</v>
      </c>
      <c r="AM87" s="121" t="str">
        <f t="shared" si="47"/>
        <v>85 - TW</v>
      </c>
      <c r="AO87" s="121" t="str">
        <f>IF('Cable Info'!N86="","",CONCATENATE('Cable Info'!N86," - ",'Cable Info'!O86))</f>
        <v>85 - TW</v>
      </c>
      <c r="AR87" s="121" t="str">
        <f t="shared" si="48"/>
        <v>85 - TW</v>
      </c>
      <c r="AT87" s="121" t="e">
        <f>IF('Cable Info'!P86="","",CONCATENATE('Cable Info'!P86," - ",'Cable Info'!Q86))</f>
        <v>#N/A</v>
      </c>
      <c r="AU87" s="121" t="s">
        <v>51</v>
      </c>
      <c r="AW87" s="121" t="e">
        <f t="shared" si="49"/>
        <v>#N/A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str">
        <f>IF('Cable Info'!L87="","",CONCATENATE('Cable Info'!L87," - ",'Cable Info'!M87))</f>
        <v>86 - TW</v>
      </c>
      <c r="AM88" s="121" t="str">
        <f t="shared" si="47"/>
        <v>86 - TW</v>
      </c>
      <c r="AO88" s="121" t="str">
        <f>IF('Cable Info'!N87="","",CONCATENATE('Cable Info'!N87," - ",'Cable Info'!O87))</f>
        <v>86 - TW</v>
      </c>
      <c r="AR88" s="121" t="str">
        <f t="shared" si="48"/>
        <v>86 - TW</v>
      </c>
      <c r="AT88" s="121" t="e">
        <f>IF('Cable Info'!P87="","",CONCATENATE('Cable Info'!P87," - ",'Cable Info'!Q87))</f>
        <v>#N/A</v>
      </c>
      <c r="AU88" s="121" t="s">
        <v>51</v>
      </c>
      <c r="AW88" s="121" t="e">
        <f t="shared" si="49"/>
        <v>#N/A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str">
        <f>IF('Cable Info'!L88="","",CONCATENATE('Cable Info'!L88," - ",'Cable Info'!M88))</f>
        <v>87 - TW</v>
      </c>
      <c r="AM89" s="121" t="str">
        <f t="shared" si="47"/>
        <v>87 - TW</v>
      </c>
      <c r="AO89" s="121" t="str">
        <f>IF('Cable Info'!N88="","",CONCATENATE('Cable Info'!N88," - ",'Cable Info'!O88))</f>
        <v>87 - TW</v>
      </c>
      <c r="AR89" s="121" t="str">
        <f t="shared" si="48"/>
        <v>87 - TW</v>
      </c>
      <c r="AT89" s="121" t="e">
        <f>IF('Cable Info'!P88="","",CONCATENATE('Cable Info'!P88," - ",'Cable Info'!Q88))</f>
        <v>#N/A</v>
      </c>
      <c r="AU89" s="121" t="s">
        <v>51</v>
      </c>
      <c r="AW89" s="121" t="e">
        <f t="shared" si="49"/>
        <v>#N/A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str">
        <f>IF('Cable Info'!L89="","",CONCATENATE('Cable Info'!L89," - ",'Cable Info'!M89))</f>
        <v>88 - TW</v>
      </c>
      <c r="AM90" s="121" t="str">
        <f t="shared" si="47"/>
        <v>88 - TW</v>
      </c>
      <c r="AO90" s="121" t="str">
        <f>IF('Cable Info'!N89="","",CONCATENATE('Cable Info'!N89," - ",'Cable Info'!O89))</f>
        <v>88 - TW</v>
      </c>
      <c r="AR90" s="121" t="str">
        <f t="shared" si="48"/>
        <v>88 - TW</v>
      </c>
      <c r="AT90" s="121" t="e">
        <f>IF('Cable Info'!P89="","",CONCATENATE('Cable Info'!P89," - ",'Cable Info'!Q89))</f>
        <v>#N/A</v>
      </c>
      <c r="AU90" s="121" t="s">
        <v>51</v>
      </c>
      <c r="AW90" s="121" t="e">
        <f t="shared" si="49"/>
        <v>#N/A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str">
        <f>IF('Cable Info'!L90="","",CONCATENATE('Cable Info'!L90," - ",'Cable Info'!M90))</f>
        <v>89 - TW</v>
      </c>
      <c r="AM91" s="121" t="str">
        <f t="shared" si="47"/>
        <v>89 - TW</v>
      </c>
      <c r="AO91" s="121" t="str">
        <f>IF('Cable Info'!N90="","",CONCATENATE('Cable Info'!N90," - ",'Cable Info'!O90))</f>
        <v>89 - TW</v>
      </c>
      <c r="AR91" s="121" t="str">
        <f t="shared" si="48"/>
        <v>89 - TW</v>
      </c>
      <c r="AT91" s="121" t="e">
        <f>IF('Cable Info'!P90="","",CONCATENATE('Cable Info'!P90," - ",'Cable Info'!Q90))</f>
        <v>#N/A</v>
      </c>
      <c r="AU91" s="121" t="s">
        <v>51</v>
      </c>
      <c r="AW91" s="121" t="e">
        <f t="shared" si="49"/>
        <v>#N/A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str">
        <f>IF('Cable Info'!L91="","",CONCATENATE('Cable Info'!L91," - ",'Cable Info'!M91))</f>
        <v>90 - TW</v>
      </c>
      <c r="AM92" s="121" t="str">
        <f t="shared" si="47"/>
        <v>90 - TW</v>
      </c>
      <c r="AO92" s="121" t="str">
        <f>IF('Cable Info'!N91="","",CONCATENATE('Cable Info'!N91," - ",'Cable Info'!O91))</f>
        <v>90 - TW</v>
      </c>
      <c r="AR92" s="121" t="str">
        <f t="shared" si="48"/>
        <v>90 - TW</v>
      </c>
      <c r="AT92" s="121" t="e">
        <f>IF('Cable Info'!P91="","",CONCATENATE('Cable Info'!P91," - ",'Cable Info'!Q91))</f>
        <v>#N/A</v>
      </c>
      <c r="AU92" s="121" t="s">
        <v>51</v>
      </c>
      <c r="AW92" s="121" t="e">
        <f t="shared" si="49"/>
        <v>#N/A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str">
        <f>IF('Cable Info'!L92="","",CONCATENATE('Cable Info'!L92," - ",'Cable Info'!M92))</f>
        <v>91 - TW</v>
      </c>
      <c r="AM93" s="121" t="str">
        <f t="shared" si="47"/>
        <v>91 - TW</v>
      </c>
      <c r="AO93" s="121" t="str">
        <f>IF('Cable Info'!N92="","",CONCATENATE('Cable Info'!N92," - ",'Cable Info'!O92))</f>
        <v>91 - TW</v>
      </c>
      <c r="AR93" s="121" t="str">
        <f t="shared" si="48"/>
        <v>91 - TW</v>
      </c>
      <c r="AT93" s="121" t="e">
        <f>IF('Cable Info'!P92="","",CONCATENATE('Cable Info'!P92," - ",'Cable Info'!Q92))</f>
        <v>#N/A</v>
      </c>
      <c r="AU93" s="121" t="s">
        <v>51</v>
      </c>
      <c r="AW93" s="121" t="e">
        <f t="shared" si="49"/>
        <v>#N/A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str">
        <f>IF('Cable Info'!L93="","",CONCATENATE('Cable Info'!L93," - ",'Cable Info'!M93))</f>
        <v>92 - TW</v>
      </c>
      <c r="AM94" s="121" t="str">
        <f t="shared" si="47"/>
        <v>92 - TW</v>
      </c>
      <c r="AO94" s="121" t="str">
        <f>IF('Cable Info'!N93="","",CONCATENATE('Cable Info'!N93," - ",'Cable Info'!O93))</f>
        <v>92 - TW</v>
      </c>
      <c r="AR94" s="121" t="str">
        <f t="shared" si="48"/>
        <v>92 - TW</v>
      </c>
      <c r="AT94" s="121" t="e">
        <f>IF('Cable Info'!P93="","",CONCATENATE('Cable Info'!P93," - ",'Cable Info'!Q93))</f>
        <v>#N/A</v>
      </c>
      <c r="AU94" s="121" t="s">
        <v>51</v>
      </c>
      <c r="AW94" s="121" t="e">
        <f t="shared" si="49"/>
        <v>#N/A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str">
        <f>IF('Cable Info'!L94="","",CONCATENATE('Cable Info'!L94," - ",'Cable Info'!M94))</f>
        <v>93 - TW</v>
      </c>
      <c r="AM95" s="121" t="str">
        <f t="shared" si="47"/>
        <v>93 - TW</v>
      </c>
      <c r="AO95" s="121" t="str">
        <f>IF('Cable Info'!N94="","",CONCATENATE('Cable Info'!N94," - ",'Cable Info'!O94))</f>
        <v>93 - TW</v>
      </c>
      <c r="AR95" s="121" t="str">
        <f t="shared" si="48"/>
        <v>93 - TW</v>
      </c>
      <c r="AT95" s="121" t="e">
        <f>IF('Cable Info'!P94="","",CONCATENATE('Cable Info'!P94," - ",'Cable Info'!Q94))</f>
        <v>#N/A</v>
      </c>
      <c r="AU95" s="121" t="s">
        <v>51</v>
      </c>
      <c r="AW95" s="121" t="e">
        <f t="shared" si="49"/>
        <v>#N/A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str">
        <f>IF('Cable Info'!L95="","",CONCATENATE('Cable Info'!L95," - ",'Cable Info'!M95))</f>
        <v>94 - TW</v>
      </c>
      <c r="AM96" s="121" t="str">
        <f t="shared" si="47"/>
        <v>94 - TW</v>
      </c>
      <c r="AO96" s="121" t="str">
        <f>IF('Cable Info'!N95="","",CONCATENATE('Cable Info'!N95," - ",'Cable Info'!O95))</f>
        <v>94 - TW</v>
      </c>
      <c r="AR96" s="121" t="str">
        <f t="shared" si="48"/>
        <v>94 - TW</v>
      </c>
      <c r="AT96" s="121" t="e">
        <f>IF('Cable Info'!P95="","",CONCATENATE('Cable Info'!P95," - ",'Cable Info'!Q95))</f>
        <v>#N/A</v>
      </c>
      <c r="AU96" s="121" t="s">
        <v>51</v>
      </c>
      <c r="AW96" s="121" t="e">
        <f t="shared" si="49"/>
        <v>#N/A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str">
        <f>IF('Cable Info'!L96="","",CONCATENATE('Cable Info'!L96," - ",'Cable Info'!M96))</f>
        <v>95 - TW</v>
      </c>
      <c r="AM97" s="121" t="str">
        <f t="shared" si="47"/>
        <v>95 - TW</v>
      </c>
      <c r="AO97" s="121" t="str">
        <f>IF('Cable Info'!N96="","",CONCATENATE('Cable Info'!N96," - ",'Cable Info'!O96))</f>
        <v>95 - TW</v>
      </c>
      <c r="AR97" s="121" t="str">
        <f t="shared" si="48"/>
        <v>95 - TW</v>
      </c>
      <c r="AT97" s="121" t="e">
        <f>IF('Cable Info'!P96="","",CONCATENATE('Cable Info'!P96," - ",'Cable Info'!Q96))</f>
        <v>#N/A</v>
      </c>
      <c r="AU97" s="121" t="s">
        <v>51</v>
      </c>
      <c r="AW97" s="121" t="e">
        <f t="shared" si="49"/>
        <v>#N/A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str">
        <f>IF('Cable Info'!L97="","",CONCATENATE('Cable Info'!L97," - ",'Cable Info'!M97))</f>
        <v>96 - TW</v>
      </c>
      <c r="AM98" s="121" t="str">
        <f t="shared" si="47"/>
        <v>96 - TW</v>
      </c>
      <c r="AO98" s="121" t="str">
        <f>IF('Cable Info'!N97="","",CONCATENATE('Cable Info'!N97," - ",'Cable Info'!O97))</f>
        <v>96 - TW</v>
      </c>
      <c r="AR98" s="121" t="str">
        <f t="shared" si="48"/>
        <v>96 - TW</v>
      </c>
      <c r="AT98" s="121" t="e">
        <f>IF('Cable Info'!P97="","",CONCATENATE('Cable Info'!P97," - ",'Cable Info'!Q97))</f>
        <v>#N/A</v>
      </c>
      <c r="AU98" s="121" t="s">
        <v>51</v>
      </c>
      <c r="AW98" s="121" t="e">
        <f t="shared" si="49"/>
        <v>#N/A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str">
        <f>IF('Cable Info'!L98="","",CONCATENATE('Cable Info'!L98," - ",'Cable Info'!M98))</f>
        <v>97 - TW</v>
      </c>
      <c r="AM99" s="121" t="str">
        <f t="shared" si="47"/>
        <v>97 - TW</v>
      </c>
      <c r="AO99" s="121" t="str">
        <f>IF('Cable Info'!N98="","",CONCATENATE('Cable Info'!N98," - ",'Cable Info'!O98))</f>
        <v>97 - TW</v>
      </c>
      <c r="AR99" s="121" t="str">
        <f t="shared" si="48"/>
        <v>97 - TW</v>
      </c>
      <c r="AT99" s="121" t="e">
        <f>IF('Cable Info'!P98="","",CONCATENATE('Cable Info'!P98," - ",'Cable Info'!Q98))</f>
        <v>#N/A</v>
      </c>
      <c r="AU99" s="121" t="s">
        <v>51</v>
      </c>
      <c r="AW99" s="121" t="e">
        <f t="shared" si="49"/>
        <v>#N/A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str">
        <f>IF('Cable Info'!L99="","",CONCATENATE('Cable Info'!L99," - ",'Cable Info'!M99))</f>
        <v>98 - TW</v>
      </c>
      <c r="AM100" s="121" t="str">
        <f t="shared" si="47"/>
        <v>98 - TW</v>
      </c>
      <c r="AO100" s="121" t="str">
        <f>IF('Cable Info'!N99="","",CONCATENATE('Cable Info'!N99," - ",'Cable Info'!O99))</f>
        <v>98 - TW</v>
      </c>
      <c r="AR100" s="121" t="str">
        <f t="shared" si="48"/>
        <v>98 - TW</v>
      </c>
      <c r="AT100" s="121" t="e">
        <f>IF('Cable Info'!P99="","",CONCATENATE('Cable Info'!P99," - ",'Cable Info'!Q99))</f>
        <v>#N/A</v>
      </c>
      <c r="AU100" s="121" t="s">
        <v>51</v>
      </c>
      <c r="AW100" s="121" t="e">
        <f t="shared" si="49"/>
        <v>#N/A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str">
        <f>IF('Cable Info'!L100="","",CONCATENATE('Cable Info'!L100," - ",'Cable Info'!M100))</f>
        <v>99 - TW</v>
      </c>
      <c r="AM101" s="121" t="str">
        <f t="shared" si="47"/>
        <v>99 - TW</v>
      </c>
      <c r="AO101" s="121" t="str">
        <f>IF('Cable Info'!N100="","",CONCATENATE('Cable Info'!N100," - ",'Cable Info'!O100))</f>
        <v>99 - TW</v>
      </c>
      <c r="AR101" s="121" t="str">
        <f t="shared" si="48"/>
        <v>99 - TW</v>
      </c>
      <c r="AT101" s="121" t="e">
        <f>IF('Cable Info'!P100="","",CONCATENATE('Cable Info'!P100," - ",'Cable Info'!Q100))</f>
        <v>#N/A</v>
      </c>
      <c r="AU101" s="121" t="s">
        <v>51</v>
      </c>
      <c r="AW101" s="121" t="e">
        <f t="shared" si="49"/>
        <v>#N/A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str">
        <f>IF('Cable Info'!L101="","",CONCATENATE('Cable Info'!L101," - ",'Cable Info'!M101))</f>
        <v>100 - TW</v>
      </c>
      <c r="AM102" s="121" t="str">
        <f t="shared" si="47"/>
        <v>100 - TW</v>
      </c>
      <c r="AO102" s="121" t="str">
        <f>IF('Cable Info'!N101="","",CONCATENATE('Cable Info'!N101," - ",'Cable Info'!O101))</f>
        <v>100 - TW</v>
      </c>
      <c r="AR102" s="121" t="str">
        <f t="shared" si="48"/>
        <v>100 - TW</v>
      </c>
      <c r="AT102" s="121" t="e">
        <f>IF('Cable Info'!P101="","",CONCATENATE('Cable Info'!P101," - ",'Cable Info'!Q101))</f>
        <v>#N/A</v>
      </c>
      <c r="AU102" s="121" t="s">
        <v>51</v>
      </c>
      <c r="AW102" s="121" t="e">
        <f t="shared" si="49"/>
        <v>#N/A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str">
        <f>IF('Cable Info'!L102="","",CONCATENATE('Cable Info'!L102," - ",'Cable Info'!M102))</f>
        <v>101 - TW</v>
      </c>
      <c r="AM103" s="121" t="str">
        <f t="shared" si="47"/>
        <v>101 - TW</v>
      </c>
      <c r="AO103" s="121" t="str">
        <f>IF('Cable Info'!N102="","",CONCATENATE('Cable Info'!N102," - ",'Cable Info'!O102))</f>
        <v>101 - TW</v>
      </c>
      <c r="AR103" s="121" t="str">
        <f t="shared" si="48"/>
        <v>101 - TW</v>
      </c>
      <c r="AT103" s="121" t="e">
        <f>IF('Cable Info'!P102="","",CONCATENATE('Cable Info'!P102," - ",'Cable Info'!Q102))</f>
        <v>#N/A</v>
      </c>
      <c r="AU103" s="121" t="s">
        <v>51</v>
      </c>
      <c r="AW103" s="121" t="e">
        <f t="shared" si="49"/>
        <v>#N/A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str">
        <f>IF('Cable Info'!L103="","",CONCATENATE('Cable Info'!L103," - ",'Cable Info'!M103))</f>
        <v>102 - TW</v>
      </c>
      <c r="AM104" s="121" t="str">
        <f t="shared" si="47"/>
        <v>102 - TW</v>
      </c>
      <c r="AO104" s="121" t="str">
        <f>IF('Cable Info'!N103="","",CONCATENATE('Cable Info'!N103," - ",'Cable Info'!O103))</f>
        <v>102 - TW</v>
      </c>
      <c r="AR104" s="121" t="str">
        <f t="shared" si="48"/>
        <v>102 - TW</v>
      </c>
      <c r="AT104" s="121" t="e">
        <f>IF('Cable Info'!P103="","",CONCATENATE('Cable Info'!P103," - ",'Cable Info'!Q103))</f>
        <v>#N/A</v>
      </c>
      <c r="AU104" s="121" t="s">
        <v>51</v>
      </c>
      <c r="AW104" s="121" t="e">
        <f t="shared" si="49"/>
        <v>#N/A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str">
        <f>IF('Cable Info'!L104="","",CONCATENATE('Cable Info'!L104," - ",'Cable Info'!M104))</f>
        <v>103 - TW</v>
      </c>
      <c r="AM105" s="121" t="str">
        <f t="shared" si="47"/>
        <v>103 - TW</v>
      </c>
      <c r="AO105" s="121" t="str">
        <f>IF('Cable Info'!N104="","",CONCATENATE('Cable Info'!N104," - ",'Cable Info'!O104))</f>
        <v>103 - TW</v>
      </c>
      <c r="AR105" s="121" t="str">
        <f t="shared" si="48"/>
        <v>103 - TW</v>
      </c>
      <c r="AT105" s="121" t="e">
        <f>IF('Cable Info'!P104="","",CONCATENATE('Cable Info'!P104," - ",'Cable Info'!Q104))</f>
        <v>#N/A</v>
      </c>
      <c r="AU105" s="121" t="s">
        <v>51</v>
      </c>
      <c r="AW105" s="121" t="e">
        <f t="shared" si="49"/>
        <v>#N/A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str">
        <f>IF('Cable Info'!L105="","",CONCATENATE('Cable Info'!L105," - ",'Cable Info'!M105))</f>
        <v>104 - TW</v>
      </c>
      <c r="AM106" s="121" t="str">
        <f t="shared" si="47"/>
        <v>104 - TW</v>
      </c>
      <c r="AO106" s="121" t="str">
        <f>IF('Cable Info'!N105="","",CONCATENATE('Cable Info'!N105," - ",'Cable Info'!O105))</f>
        <v>104 - TW</v>
      </c>
      <c r="AR106" s="121" t="str">
        <f t="shared" si="48"/>
        <v>104 - TW</v>
      </c>
      <c r="AT106" s="121" t="e">
        <f>IF('Cable Info'!P105="","",CONCATENATE('Cable Info'!P105," - ",'Cable Info'!Q105))</f>
        <v>#N/A</v>
      </c>
      <c r="AU106" s="121" t="s">
        <v>51</v>
      </c>
      <c r="AW106" s="121" t="e">
        <f t="shared" si="49"/>
        <v>#N/A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str">
        <f>IF('Cable Info'!L106="","",CONCATENATE('Cable Info'!L106," - ",'Cable Info'!M106))</f>
        <v>105 - TW</v>
      </c>
      <c r="AM107" s="121" t="str">
        <f t="shared" si="47"/>
        <v>105 - TW</v>
      </c>
      <c r="AO107" s="121" t="str">
        <f>IF('Cable Info'!N106="","",CONCATENATE('Cable Info'!N106," - ",'Cable Info'!O106))</f>
        <v>105 - TW</v>
      </c>
      <c r="AR107" s="121" t="str">
        <f t="shared" si="48"/>
        <v>105 - TW</v>
      </c>
      <c r="AT107" s="121" t="e">
        <f>IF('Cable Info'!P106="","",CONCATENATE('Cable Info'!P106," - ",'Cable Info'!Q106))</f>
        <v>#N/A</v>
      </c>
      <c r="AU107" s="121" t="s">
        <v>51</v>
      </c>
      <c r="AW107" s="121" t="e">
        <f t="shared" si="49"/>
        <v>#N/A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str">
        <f>IF('Cable Info'!L107="","",CONCATENATE('Cable Info'!L107," - ",'Cable Info'!M107))</f>
        <v>106 - TW</v>
      </c>
      <c r="AM108" s="121" t="str">
        <f t="shared" si="47"/>
        <v>106 - TW</v>
      </c>
      <c r="AO108" s="121" t="str">
        <f>IF('Cable Info'!N107="","",CONCATENATE('Cable Info'!N107," - ",'Cable Info'!O107))</f>
        <v>106 - TW</v>
      </c>
      <c r="AR108" s="121" t="str">
        <f t="shared" si="48"/>
        <v>106 - TW</v>
      </c>
      <c r="AT108" s="121" t="e">
        <f>IF('Cable Info'!P107="","",CONCATENATE('Cable Info'!P107," - ",'Cable Info'!Q107))</f>
        <v>#N/A</v>
      </c>
      <c r="AU108" s="121" t="s">
        <v>51</v>
      </c>
      <c r="AW108" s="121" t="e">
        <f t="shared" si="49"/>
        <v>#N/A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str">
        <f>IF('Cable Info'!L108="","",CONCATENATE('Cable Info'!L108," - ",'Cable Info'!M108))</f>
        <v>107 - TW</v>
      </c>
      <c r="AM109" s="121" t="str">
        <f t="shared" si="47"/>
        <v>107 - TW</v>
      </c>
      <c r="AO109" s="121" t="str">
        <f>IF('Cable Info'!N108="","",CONCATENATE('Cable Info'!N108," - ",'Cable Info'!O108))</f>
        <v>107 - TW</v>
      </c>
      <c r="AR109" s="121" t="str">
        <f t="shared" si="48"/>
        <v>107 - TW</v>
      </c>
      <c r="AT109" s="121" t="e">
        <f>IF('Cable Info'!P108="","",CONCATENATE('Cable Info'!P108," - ",'Cable Info'!Q108))</f>
        <v>#N/A</v>
      </c>
      <c r="AU109" s="121" t="s">
        <v>51</v>
      </c>
      <c r="AW109" s="121" t="e">
        <f t="shared" si="49"/>
        <v>#N/A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str">
        <f>IF('Cable Info'!L109="","",CONCATENATE('Cable Info'!L109," - ",'Cable Info'!M109))</f>
        <v>108 - TW</v>
      </c>
      <c r="AM110" s="121" t="str">
        <f t="shared" si="47"/>
        <v>108 - TW</v>
      </c>
      <c r="AO110" s="121" t="str">
        <f>IF('Cable Info'!N109="","",CONCATENATE('Cable Info'!N109," - ",'Cable Info'!O109))</f>
        <v>108 - TW</v>
      </c>
      <c r="AR110" s="121" t="str">
        <f t="shared" si="48"/>
        <v>108 - TW</v>
      </c>
      <c r="AT110" s="121" t="e">
        <f>IF('Cable Info'!P109="","",CONCATENATE('Cable Info'!P109," - ",'Cable Info'!Q109))</f>
        <v>#N/A</v>
      </c>
      <c r="AU110" s="121" t="s">
        <v>51</v>
      </c>
      <c r="AW110" s="121" t="e">
        <f t="shared" si="49"/>
        <v>#N/A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str">
        <f>IF('Cable Info'!L110="","",CONCATENATE('Cable Info'!L110," - ",'Cable Info'!M110))</f>
        <v>109 - TW</v>
      </c>
      <c r="AM111" s="121" t="str">
        <f t="shared" si="47"/>
        <v>109 - TW</v>
      </c>
      <c r="AO111" s="121" t="str">
        <f>IF('Cable Info'!N110="","",CONCATENATE('Cable Info'!N110," - ",'Cable Info'!O110))</f>
        <v>109 - TW</v>
      </c>
      <c r="AR111" s="121" t="str">
        <f t="shared" si="48"/>
        <v>109 - TW</v>
      </c>
      <c r="AT111" s="121" t="e">
        <f>IF('Cable Info'!P110="","",CONCATENATE('Cable Info'!P110," - ",'Cable Info'!Q110))</f>
        <v>#N/A</v>
      </c>
      <c r="AU111" s="121" t="s">
        <v>51</v>
      </c>
      <c r="AW111" s="121" t="e">
        <f t="shared" si="49"/>
        <v>#N/A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str">
        <f>IF('Cable Info'!L111="","",CONCATENATE('Cable Info'!L111," - ",'Cable Info'!M111))</f>
        <v>110 - TW</v>
      </c>
      <c r="AM112" s="121" t="str">
        <f t="shared" si="47"/>
        <v>110 - TW</v>
      </c>
      <c r="AO112" s="121" t="str">
        <f>IF('Cable Info'!N111="","",CONCATENATE('Cable Info'!N111," - ",'Cable Info'!O111))</f>
        <v>110 - TW</v>
      </c>
      <c r="AR112" s="121" t="str">
        <f t="shared" si="48"/>
        <v>110 - TW</v>
      </c>
      <c r="AT112" s="121" t="e">
        <f>IF('Cable Info'!P111="","",CONCATENATE('Cable Info'!P111," - ",'Cable Info'!Q111))</f>
        <v>#N/A</v>
      </c>
      <c r="AU112" s="121" t="s">
        <v>51</v>
      </c>
      <c r="AW112" s="121" t="e">
        <f t="shared" si="49"/>
        <v>#N/A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str">
        <f>IF('Cable Info'!L112="","",CONCATENATE('Cable Info'!L112," - ",'Cable Info'!M112))</f>
        <v>111 - TW</v>
      </c>
      <c r="AM113" s="121" t="str">
        <f t="shared" si="47"/>
        <v>111 - TW</v>
      </c>
      <c r="AO113" s="121" t="str">
        <f>IF('Cable Info'!N112="","",CONCATENATE('Cable Info'!N112," - ",'Cable Info'!O112))</f>
        <v>111 - TW</v>
      </c>
      <c r="AR113" s="121" t="str">
        <f t="shared" si="48"/>
        <v>111 - TW</v>
      </c>
      <c r="AT113" s="121" t="e">
        <f>IF('Cable Info'!P112="","",CONCATENATE('Cable Info'!P112," - ",'Cable Info'!Q112))</f>
        <v>#N/A</v>
      </c>
      <c r="AU113" s="121" t="s">
        <v>51</v>
      </c>
      <c r="AW113" s="121" t="e">
        <f t="shared" si="49"/>
        <v>#N/A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str">
        <f>IF('Cable Info'!L113="","",CONCATENATE('Cable Info'!L113," - ",'Cable Info'!M113))</f>
        <v>112 - TW</v>
      </c>
      <c r="AM114" s="121" t="str">
        <f t="shared" si="47"/>
        <v>112 - TW</v>
      </c>
      <c r="AO114" s="121" t="str">
        <f>IF('Cable Info'!N113="","",CONCATENATE('Cable Info'!N113," - ",'Cable Info'!O113))</f>
        <v>112 - TW</v>
      </c>
      <c r="AR114" s="121" t="str">
        <f t="shared" si="48"/>
        <v>112 - TW</v>
      </c>
      <c r="AT114" s="121" t="e">
        <f>IF('Cable Info'!P113="","",CONCATENATE('Cable Info'!P113," - ",'Cable Info'!Q113))</f>
        <v>#N/A</v>
      </c>
      <c r="AU114" s="121" t="s">
        <v>51</v>
      </c>
      <c r="AW114" s="121" t="e">
        <f t="shared" si="49"/>
        <v>#N/A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str">
        <f>IF('Cable Info'!L114="","",CONCATENATE('Cable Info'!L114," - ",'Cable Info'!M114))</f>
        <v>113 - TW</v>
      </c>
      <c r="AM115" s="121" t="str">
        <f t="shared" si="47"/>
        <v>113 - TW</v>
      </c>
      <c r="AO115" s="121" t="str">
        <f>IF('Cable Info'!N114="","",CONCATENATE('Cable Info'!N114," - ",'Cable Info'!O114))</f>
        <v>113 - TW</v>
      </c>
      <c r="AR115" s="121" t="str">
        <f t="shared" si="48"/>
        <v>113 - TW</v>
      </c>
      <c r="AT115" s="121" t="e">
        <f>IF('Cable Info'!P114="","",CONCATENATE('Cable Info'!P114," - ",'Cable Info'!Q114))</f>
        <v>#N/A</v>
      </c>
      <c r="AU115" s="121" t="s">
        <v>51</v>
      </c>
      <c r="AW115" s="121" t="e">
        <f t="shared" si="49"/>
        <v>#N/A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str">
        <f>IF('Cable Info'!L115="","",CONCATENATE('Cable Info'!L115," - ",'Cable Info'!M115))</f>
        <v>114 - TW</v>
      </c>
      <c r="AM116" s="121" t="str">
        <f t="shared" si="47"/>
        <v>114 - TW</v>
      </c>
      <c r="AO116" s="121" t="str">
        <f>IF('Cable Info'!N115="","",CONCATENATE('Cable Info'!N115," - ",'Cable Info'!O115))</f>
        <v>114 - TW</v>
      </c>
      <c r="AR116" s="121" t="str">
        <f t="shared" si="48"/>
        <v>114 - TW</v>
      </c>
      <c r="AT116" s="121" t="e">
        <f>IF('Cable Info'!P115="","",CONCATENATE('Cable Info'!P115," - ",'Cable Info'!Q115))</f>
        <v>#N/A</v>
      </c>
      <c r="AU116" s="121" t="s">
        <v>51</v>
      </c>
      <c r="AW116" s="121" t="e">
        <f t="shared" si="49"/>
        <v>#N/A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str">
        <f>IF('Cable Info'!L116="","",CONCATENATE('Cable Info'!L116," - ",'Cable Info'!M116))</f>
        <v>115 - TW</v>
      </c>
      <c r="AM117" s="121" t="str">
        <f t="shared" si="47"/>
        <v>115 - TW</v>
      </c>
      <c r="AO117" s="121" t="str">
        <f>IF('Cable Info'!N116="","",CONCATENATE('Cable Info'!N116," - ",'Cable Info'!O116))</f>
        <v>115 - TW</v>
      </c>
      <c r="AR117" s="121" t="str">
        <f t="shared" si="48"/>
        <v>115 - TW</v>
      </c>
      <c r="AT117" s="121" t="e">
        <f>IF('Cable Info'!P116="","",CONCATENATE('Cable Info'!P116," - ",'Cable Info'!Q116))</f>
        <v>#N/A</v>
      </c>
      <c r="AU117" s="121" t="s">
        <v>51</v>
      </c>
      <c r="AW117" s="121" t="e">
        <f t="shared" si="49"/>
        <v>#N/A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str">
        <f>IF('Cable Info'!L117="","",CONCATENATE('Cable Info'!L117," - ",'Cable Info'!M117))</f>
        <v>116 - TW</v>
      </c>
      <c r="AM118" s="121" t="str">
        <f t="shared" si="47"/>
        <v>116 - TW</v>
      </c>
      <c r="AO118" s="121" t="str">
        <f>IF('Cable Info'!N117="","",CONCATENATE('Cable Info'!N117," - ",'Cable Info'!O117))</f>
        <v>116 - TW</v>
      </c>
      <c r="AR118" s="121" t="str">
        <f t="shared" si="48"/>
        <v>116 - TW</v>
      </c>
      <c r="AT118" s="121" t="e">
        <f>IF('Cable Info'!P117="","",CONCATENATE('Cable Info'!P117," - ",'Cable Info'!Q117))</f>
        <v>#N/A</v>
      </c>
      <c r="AU118" s="121" t="s">
        <v>51</v>
      </c>
      <c r="AW118" s="121" t="e">
        <f t="shared" si="49"/>
        <v>#N/A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str">
        <f>IF('Cable Info'!L118="","",CONCATENATE('Cable Info'!L118," - ",'Cable Info'!M118))</f>
        <v>117 - TW</v>
      </c>
      <c r="AM119" s="121" t="str">
        <f t="shared" si="47"/>
        <v>117 - TW</v>
      </c>
      <c r="AO119" s="121" t="str">
        <f>IF('Cable Info'!N118="","",CONCATENATE('Cable Info'!N118," - ",'Cable Info'!O118))</f>
        <v>117 - TW</v>
      </c>
      <c r="AR119" s="121" t="str">
        <f t="shared" si="48"/>
        <v>117 - TW</v>
      </c>
      <c r="AT119" s="121" t="e">
        <f>IF('Cable Info'!P118="","",CONCATENATE('Cable Info'!P118," - ",'Cable Info'!Q118))</f>
        <v>#N/A</v>
      </c>
      <c r="AU119" s="121" t="s">
        <v>51</v>
      </c>
      <c r="AW119" s="121" t="e">
        <f t="shared" si="49"/>
        <v>#N/A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str">
        <f>IF('Cable Info'!L119="","",CONCATENATE('Cable Info'!L119," - ",'Cable Info'!M119))</f>
        <v>118 - TW</v>
      </c>
      <c r="AM120" s="121" t="str">
        <f t="shared" si="47"/>
        <v>118 - TW</v>
      </c>
      <c r="AO120" s="121" t="str">
        <f>IF('Cable Info'!N119="","",CONCATENATE('Cable Info'!N119," - ",'Cable Info'!O119))</f>
        <v>118 - TW</v>
      </c>
      <c r="AR120" s="121" t="str">
        <f t="shared" si="48"/>
        <v>118 - TW</v>
      </c>
      <c r="AT120" s="121" t="e">
        <f>IF('Cable Info'!P119="","",CONCATENATE('Cable Info'!P119," - ",'Cable Info'!Q119))</f>
        <v>#N/A</v>
      </c>
      <c r="AU120" s="121" t="s">
        <v>51</v>
      </c>
      <c r="AW120" s="121" t="e">
        <f t="shared" si="49"/>
        <v>#N/A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str">
        <f>IF('Cable Info'!L120="","",CONCATENATE('Cable Info'!L120," - ",'Cable Info'!M120))</f>
        <v>119 - TW</v>
      </c>
      <c r="AM121" s="121" t="str">
        <f t="shared" si="47"/>
        <v>119 - TW</v>
      </c>
      <c r="AO121" s="121" t="str">
        <f>IF('Cable Info'!N120="","",CONCATENATE('Cable Info'!N120," - ",'Cable Info'!O120))</f>
        <v>119 - TW</v>
      </c>
      <c r="AR121" s="121" t="str">
        <f t="shared" si="48"/>
        <v>119 - TW</v>
      </c>
      <c r="AT121" s="121" t="e">
        <f>IF('Cable Info'!P120="","",CONCATENATE('Cable Info'!P120," - ",'Cable Info'!Q120))</f>
        <v>#N/A</v>
      </c>
      <c r="AU121" s="121" t="s">
        <v>51</v>
      </c>
      <c r="AW121" s="121" t="e">
        <f t="shared" si="49"/>
        <v>#N/A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str">
        <f>IF('Cable Info'!L121="","",CONCATENATE('Cable Info'!L121," - ",'Cable Info'!M121))</f>
        <v>120 - TW</v>
      </c>
      <c r="AM122" s="121" t="str">
        <f t="shared" si="47"/>
        <v>120 - TW</v>
      </c>
      <c r="AO122" s="121" t="str">
        <f>IF('Cable Info'!N121="","",CONCATENATE('Cable Info'!N121," - ",'Cable Info'!O121))</f>
        <v>120 - TW</v>
      </c>
      <c r="AR122" s="121" t="str">
        <f t="shared" si="48"/>
        <v>120 - TW</v>
      </c>
      <c r="AT122" s="121" t="e">
        <f>IF('Cable Info'!P121="","",CONCATENATE('Cable Info'!P121," - ",'Cable Info'!Q121))</f>
        <v>#N/A</v>
      </c>
      <c r="AU122" s="121" t="s">
        <v>51</v>
      </c>
      <c r="AW122" s="121" t="e">
        <f t="shared" si="49"/>
        <v>#N/A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str">
        <f>IF('Cable Info'!L122="","",CONCATENATE('Cable Info'!L122," - ",'Cable Info'!M122))</f>
        <v>121 - TW</v>
      </c>
      <c r="AM123" s="121" t="str">
        <f t="shared" si="47"/>
        <v>121 - TW</v>
      </c>
      <c r="AO123" s="121" t="str">
        <f>IF('Cable Info'!N122="","",CONCATENATE('Cable Info'!N122," - ",'Cable Info'!O122))</f>
        <v>121 - TW</v>
      </c>
      <c r="AR123" s="121" t="str">
        <f t="shared" si="48"/>
        <v>121 - TW</v>
      </c>
      <c r="AT123" s="121" t="e">
        <f>IF('Cable Info'!P122="","",CONCATENATE('Cable Info'!P122," - ",'Cable Info'!Q122))</f>
        <v>#N/A</v>
      </c>
      <c r="AU123" s="121" t="s">
        <v>51</v>
      </c>
      <c r="AW123" s="121" t="e">
        <f t="shared" si="49"/>
        <v>#N/A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str">
        <f>IF('Cable Info'!L123="","",CONCATENATE('Cable Info'!L123," - ",'Cable Info'!M123))</f>
        <v>122 - TW</v>
      </c>
      <c r="AM124" s="121" t="str">
        <f t="shared" si="47"/>
        <v>122 - TW</v>
      </c>
      <c r="AO124" s="121" t="str">
        <f>IF('Cable Info'!N123="","",CONCATENATE('Cable Info'!N123," - ",'Cable Info'!O123))</f>
        <v>122 - TW</v>
      </c>
      <c r="AR124" s="121" t="str">
        <f t="shared" si="48"/>
        <v>122 - TW</v>
      </c>
      <c r="AT124" s="121" t="e">
        <f>IF('Cable Info'!P123="","",CONCATENATE('Cable Info'!P123," - ",'Cable Info'!Q123))</f>
        <v>#N/A</v>
      </c>
      <c r="AU124" s="121" t="s">
        <v>51</v>
      </c>
      <c r="AW124" s="121" t="e">
        <f t="shared" si="49"/>
        <v>#N/A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str">
        <f>IF('Cable Info'!L124="","",CONCATENATE('Cable Info'!L124," - ",'Cable Info'!M124))</f>
        <v>123 - TW</v>
      </c>
      <c r="AM125" s="121" t="str">
        <f t="shared" si="47"/>
        <v>123 - TW</v>
      </c>
      <c r="AO125" s="121" t="str">
        <f>IF('Cable Info'!N124="","",CONCATENATE('Cable Info'!N124," - ",'Cable Info'!O124))</f>
        <v>123 - TW</v>
      </c>
      <c r="AR125" s="121" t="str">
        <f t="shared" si="48"/>
        <v>123 - TW</v>
      </c>
      <c r="AT125" s="121" t="e">
        <f>IF('Cable Info'!P124="","",CONCATENATE('Cable Info'!P124," - ",'Cable Info'!Q124))</f>
        <v>#N/A</v>
      </c>
      <c r="AU125" s="121" t="s">
        <v>51</v>
      </c>
      <c r="AW125" s="121" t="e">
        <f t="shared" si="49"/>
        <v>#N/A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str">
        <f>IF('Cable Info'!L125="","",CONCATENATE('Cable Info'!L125," - ",'Cable Info'!M125))</f>
        <v>124 - TW</v>
      </c>
      <c r="AM126" s="121" t="str">
        <f t="shared" si="47"/>
        <v>124 - TW</v>
      </c>
      <c r="AO126" s="121" t="str">
        <f>IF('Cable Info'!N125="","",CONCATENATE('Cable Info'!N125," - ",'Cable Info'!O125))</f>
        <v>124 - TW</v>
      </c>
      <c r="AR126" s="121" t="str">
        <f t="shared" si="48"/>
        <v>124 - TW</v>
      </c>
      <c r="AT126" s="121" t="e">
        <f>IF('Cable Info'!P125="","",CONCATENATE('Cable Info'!P125," - ",'Cable Info'!Q125))</f>
        <v>#N/A</v>
      </c>
      <c r="AU126" s="121" t="s">
        <v>51</v>
      </c>
      <c r="AW126" s="121" t="e">
        <f t="shared" si="49"/>
        <v>#N/A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str">
        <f>IF('Cable Info'!L126="","",CONCATENATE('Cable Info'!L126," - ",'Cable Info'!M126))</f>
        <v>125 - TW</v>
      </c>
      <c r="AM127" s="121" t="str">
        <f t="shared" si="47"/>
        <v>125 - TW</v>
      </c>
      <c r="AO127" s="121" t="str">
        <f>IF('Cable Info'!N126="","",CONCATENATE('Cable Info'!N126," - ",'Cable Info'!O126))</f>
        <v>125 - TW</v>
      </c>
      <c r="AR127" s="121" t="str">
        <f t="shared" si="48"/>
        <v>125 - TW</v>
      </c>
      <c r="AT127" s="121" t="e">
        <f>IF('Cable Info'!P126="","",CONCATENATE('Cable Info'!P126," - ",'Cable Info'!Q126))</f>
        <v>#N/A</v>
      </c>
      <c r="AU127" s="121" t="s">
        <v>51</v>
      </c>
      <c r="AW127" s="121" t="e">
        <f t="shared" si="49"/>
        <v>#N/A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str">
        <f>IF('Cable Info'!L127="","",CONCATENATE('Cable Info'!L127," - ",'Cable Info'!M127))</f>
        <v>126 - TW</v>
      </c>
      <c r="AM128" s="121" t="str">
        <f t="shared" si="47"/>
        <v>126 - TW</v>
      </c>
      <c r="AO128" s="121" t="str">
        <f>IF('Cable Info'!N127="","",CONCATENATE('Cable Info'!N127," - ",'Cable Info'!O127))</f>
        <v>126 - TW</v>
      </c>
      <c r="AR128" s="121" t="str">
        <f t="shared" si="48"/>
        <v>126 - TW</v>
      </c>
      <c r="AT128" s="121" t="e">
        <f>IF('Cable Info'!P127="","",CONCATENATE('Cable Info'!P127," - ",'Cable Info'!Q127))</f>
        <v>#N/A</v>
      </c>
      <c r="AU128" s="121" t="s">
        <v>51</v>
      </c>
      <c r="AW128" s="121" t="e">
        <f t="shared" si="49"/>
        <v>#N/A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str">
        <f>IF('Cable Info'!L128="","",CONCATENATE('Cable Info'!L128," - ",'Cable Info'!M128))</f>
        <v>127 - TW</v>
      </c>
      <c r="AM129" s="121" t="str">
        <f t="shared" si="47"/>
        <v>127 - TW</v>
      </c>
      <c r="AO129" s="121" t="str">
        <f>IF('Cable Info'!N128="","",CONCATENATE('Cable Info'!N128," - ",'Cable Info'!O128))</f>
        <v>127 - TW</v>
      </c>
      <c r="AR129" s="121" t="str">
        <f t="shared" si="48"/>
        <v>127 - TW</v>
      </c>
      <c r="AT129" s="121" t="e">
        <f>IF('Cable Info'!P128="","",CONCATENATE('Cable Info'!P128," - ",'Cable Info'!Q128))</f>
        <v>#N/A</v>
      </c>
      <c r="AU129" s="121" t="s">
        <v>51</v>
      </c>
      <c r="AW129" s="121" t="e">
        <f t="shared" si="49"/>
        <v>#N/A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str">
        <f>IF('Cable Info'!L129="","",CONCATENATE('Cable Info'!L129," - ",'Cable Info'!M129))</f>
        <v>128 - TW</v>
      </c>
      <c r="AM130" s="121" t="str">
        <f t="shared" si="47"/>
        <v>128 - TW</v>
      </c>
      <c r="AO130" s="121" t="str">
        <f>IF('Cable Info'!N129="","",CONCATENATE('Cable Info'!N129," - ",'Cable Info'!O129))</f>
        <v>128 - TW</v>
      </c>
      <c r="AR130" s="121" t="str">
        <f t="shared" si="48"/>
        <v>128 - TW</v>
      </c>
      <c r="AT130" s="121" t="e">
        <f>IF('Cable Info'!P129="","",CONCATENATE('Cable Info'!P129," - ",'Cable Info'!Q129))</f>
        <v>#N/A</v>
      </c>
      <c r="AU130" s="121" t="s">
        <v>51</v>
      </c>
      <c r="AW130" s="121" t="e">
        <f t="shared" si="49"/>
        <v>#N/A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str">
        <f>IF('Cable Info'!L130="","",CONCATENATE('Cable Info'!L130," - ",'Cable Info'!M130))</f>
        <v>129 - TW</v>
      </c>
      <c r="AM131" s="121" t="str">
        <f t="shared" si="47"/>
        <v>129 - TW</v>
      </c>
      <c r="AO131" s="121" t="str">
        <f>IF('Cable Info'!N130="","",CONCATENATE('Cable Info'!N130," - ",'Cable Info'!O130))</f>
        <v>129 - TW</v>
      </c>
      <c r="AR131" s="121" t="str">
        <f t="shared" si="48"/>
        <v>129 - TW</v>
      </c>
      <c r="AT131" s="121" t="e">
        <f>IF('Cable Info'!P130="","",CONCATENATE('Cable Info'!P130," - ",'Cable Info'!Q130))</f>
        <v>#N/A</v>
      </c>
      <c r="AU131" s="121" t="s">
        <v>51</v>
      </c>
      <c r="AW131" s="121" t="e">
        <f t="shared" si="49"/>
        <v>#N/A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str">
        <f>IF('Cable Info'!L131="","",CONCATENATE('Cable Info'!L131," - ",'Cable Info'!M131))</f>
        <v>130 - TW</v>
      </c>
      <c r="AM132" s="121" t="str">
        <f t="shared" si="47"/>
        <v>130 - TW</v>
      </c>
      <c r="AO132" s="121" t="str">
        <f>IF('Cable Info'!N131="","",CONCATENATE('Cable Info'!N131," - ",'Cable Info'!O131))</f>
        <v>130 - TW</v>
      </c>
      <c r="AR132" s="121" t="str">
        <f t="shared" si="48"/>
        <v>130 - TW</v>
      </c>
      <c r="AT132" s="121" t="e">
        <f>IF('Cable Info'!P131="","",CONCATENATE('Cable Info'!P131," - ",'Cable Info'!Q131))</f>
        <v>#N/A</v>
      </c>
      <c r="AU132" s="121" t="s">
        <v>51</v>
      </c>
      <c r="AW132" s="121" t="e">
        <f t="shared" si="49"/>
        <v>#N/A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str">
        <f>IF('Cable Info'!L132="","",CONCATENATE('Cable Info'!L132," - ",'Cable Info'!M132))</f>
        <v>131 - TW</v>
      </c>
      <c r="AM133" s="121" t="str">
        <f t="shared" si="47"/>
        <v>131 - TW</v>
      </c>
      <c r="AO133" s="121" t="str">
        <f>IF('Cable Info'!N132="","",CONCATENATE('Cable Info'!N132," - ",'Cable Info'!O132))</f>
        <v>131 - TW</v>
      </c>
      <c r="AR133" s="121" t="str">
        <f t="shared" si="48"/>
        <v>131 - TW</v>
      </c>
      <c r="AT133" s="121" t="e">
        <f>IF('Cable Info'!P132="","",CONCATENATE('Cable Info'!P132," - ",'Cable Info'!Q132))</f>
        <v>#N/A</v>
      </c>
      <c r="AU133" s="121" t="s">
        <v>51</v>
      </c>
      <c r="AW133" s="121" t="e">
        <f t="shared" si="49"/>
        <v>#N/A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str">
        <f>IF('Cable Info'!L133="","",CONCATENATE('Cable Info'!L133," - ",'Cable Info'!M133))</f>
        <v>132 - TW</v>
      </c>
      <c r="AM134" s="121" t="str">
        <f t="shared" si="47"/>
        <v>132 - TW</v>
      </c>
      <c r="AO134" s="121" t="str">
        <f>IF('Cable Info'!N133="","",CONCATENATE('Cable Info'!N133," - ",'Cable Info'!O133))</f>
        <v>132 - TW</v>
      </c>
      <c r="AR134" s="121" t="str">
        <f t="shared" si="48"/>
        <v>132 - TW</v>
      </c>
      <c r="AT134" s="121" t="e">
        <f>IF('Cable Info'!P133="","",CONCATENATE('Cable Info'!P133," - ",'Cable Info'!Q133))</f>
        <v>#N/A</v>
      </c>
      <c r="AU134" s="121" t="s">
        <v>51</v>
      </c>
      <c r="AW134" s="121" t="e">
        <f t="shared" si="49"/>
        <v>#N/A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str">
        <f>IF('Cable Info'!L134="","",CONCATENATE('Cable Info'!L134," - ",'Cable Info'!M134))</f>
        <v>133 - TW</v>
      </c>
      <c r="AM135" s="121" t="str">
        <f t="shared" si="47"/>
        <v>133 - TW</v>
      </c>
      <c r="AO135" s="121" t="str">
        <f>IF('Cable Info'!N134="","",CONCATENATE('Cable Info'!N134," - ",'Cable Info'!O134))</f>
        <v>133 - TW</v>
      </c>
      <c r="AR135" s="121" t="str">
        <f t="shared" si="48"/>
        <v>133 - TW</v>
      </c>
      <c r="AT135" s="121" t="e">
        <f>IF('Cable Info'!P134="","",CONCATENATE('Cable Info'!P134," - ",'Cable Info'!Q134))</f>
        <v>#N/A</v>
      </c>
      <c r="AU135" s="121" t="s">
        <v>51</v>
      </c>
      <c r="AW135" s="121" t="e">
        <f t="shared" si="49"/>
        <v>#N/A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str">
        <f>IF('Cable Info'!L135="","",CONCATENATE('Cable Info'!L135," - ",'Cable Info'!M135))</f>
        <v>134 - TW</v>
      </c>
      <c r="AM136" s="121" t="str">
        <f t="shared" si="47"/>
        <v>134 - TW</v>
      </c>
      <c r="AO136" s="121" t="str">
        <f>IF('Cable Info'!N135="","",CONCATENATE('Cable Info'!N135," - ",'Cable Info'!O135))</f>
        <v>134 - TW</v>
      </c>
      <c r="AR136" s="121" t="str">
        <f t="shared" si="48"/>
        <v>134 - TW</v>
      </c>
      <c r="AT136" s="121" t="e">
        <f>IF('Cable Info'!P135="","",CONCATENATE('Cable Info'!P135," - ",'Cable Info'!Q135))</f>
        <v>#N/A</v>
      </c>
      <c r="AU136" s="121" t="s">
        <v>51</v>
      </c>
      <c r="AW136" s="121" t="e">
        <f t="shared" si="49"/>
        <v>#N/A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str">
        <f>IF('Cable Info'!L136="","",CONCATENATE('Cable Info'!L136," - ",'Cable Info'!M136))</f>
        <v>135 - TW</v>
      </c>
      <c r="AM137" s="121" t="str">
        <f t="shared" si="47"/>
        <v>135 - TW</v>
      </c>
      <c r="AO137" s="121" t="str">
        <f>IF('Cable Info'!N136="","",CONCATENATE('Cable Info'!N136," - ",'Cable Info'!O136))</f>
        <v>135 - TW</v>
      </c>
      <c r="AR137" s="121" t="str">
        <f t="shared" si="48"/>
        <v>135 - TW</v>
      </c>
      <c r="AT137" s="121" t="e">
        <f>IF('Cable Info'!P136="","",CONCATENATE('Cable Info'!P136," - ",'Cable Info'!Q136))</f>
        <v>#N/A</v>
      </c>
      <c r="AU137" s="121" t="s">
        <v>51</v>
      </c>
      <c r="AW137" s="121" t="e">
        <f t="shared" si="49"/>
        <v>#N/A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str">
        <f>IF('Cable Info'!L137="","",CONCATENATE('Cable Info'!L137," - ",'Cable Info'!M137))</f>
        <v>136 - TW</v>
      </c>
      <c r="AM138" s="121" t="str">
        <f t="shared" si="47"/>
        <v>136 - TW</v>
      </c>
      <c r="AO138" s="121" t="str">
        <f>IF('Cable Info'!N137="","",CONCATENATE('Cable Info'!N137," - ",'Cable Info'!O137))</f>
        <v>136 - TW</v>
      </c>
      <c r="AR138" s="121" t="str">
        <f t="shared" si="48"/>
        <v>136 - TW</v>
      </c>
      <c r="AT138" s="121" t="e">
        <f>IF('Cable Info'!P137="","",CONCATENATE('Cable Info'!P137," - ",'Cable Info'!Q137))</f>
        <v>#N/A</v>
      </c>
      <c r="AU138" s="121" t="s">
        <v>51</v>
      </c>
      <c r="AW138" s="121" t="e">
        <f t="shared" si="49"/>
        <v>#N/A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str">
        <f>IF('Cable Info'!L138="","",CONCATENATE('Cable Info'!L138," - ",'Cable Info'!M138))</f>
        <v>137 - TW</v>
      </c>
      <c r="AM139" s="121" t="str">
        <f t="shared" si="47"/>
        <v>137 - TW</v>
      </c>
      <c r="AO139" s="121" t="str">
        <f>IF('Cable Info'!N138="","",CONCATENATE('Cable Info'!N138," - ",'Cable Info'!O138))</f>
        <v>137 - TW</v>
      </c>
      <c r="AR139" s="121" t="str">
        <f t="shared" si="48"/>
        <v>137 - TW</v>
      </c>
      <c r="AT139" s="121" t="e">
        <f>IF('Cable Info'!P138="","",CONCATENATE('Cable Info'!P138," - ",'Cable Info'!Q138))</f>
        <v>#N/A</v>
      </c>
      <c r="AU139" s="121" t="s">
        <v>51</v>
      </c>
      <c r="AW139" s="121" t="e">
        <f t="shared" si="49"/>
        <v>#N/A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str">
        <f>IF('Cable Info'!L139="","",CONCATENATE('Cable Info'!L139," - ",'Cable Info'!M139))</f>
        <v>138 - TW</v>
      </c>
      <c r="AM140" s="121" t="str">
        <f t="shared" si="47"/>
        <v>138 - TW</v>
      </c>
      <c r="AO140" s="121" t="str">
        <f>IF('Cable Info'!N139="","",CONCATENATE('Cable Info'!N139," - ",'Cable Info'!O139))</f>
        <v>138 - TW</v>
      </c>
      <c r="AR140" s="121" t="str">
        <f t="shared" si="48"/>
        <v>138 - TW</v>
      </c>
      <c r="AT140" s="121" t="e">
        <f>IF('Cable Info'!P139="","",CONCATENATE('Cable Info'!P139," - ",'Cable Info'!Q139))</f>
        <v>#N/A</v>
      </c>
      <c r="AU140" s="121" t="s">
        <v>51</v>
      </c>
      <c r="AW140" s="121" t="e">
        <f t="shared" si="49"/>
        <v>#N/A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str">
        <f>IF('Cable Info'!L140="","",CONCATENATE('Cable Info'!L140," - ",'Cable Info'!M140))</f>
        <v>139 - TW</v>
      </c>
      <c r="AM141" s="121" t="str">
        <f t="shared" ref="AM141:AM204" si="59">IF(AK141="",AJ141,CONCATENATE(AJ141,"  &lt;=&gt; ",AK141," ",AL141))</f>
        <v>139 - TW</v>
      </c>
      <c r="AO141" s="121" t="str">
        <f>IF('Cable Info'!N140="","",CONCATENATE('Cable Info'!N140," - ",'Cable Info'!O140))</f>
        <v>139 - TW</v>
      </c>
      <c r="AR141" s="121" t="str">
        <f t="shared" ref="AR141:AR204" si="60">IF(AP141="",AO141,CONCATENATE(AO141,"  &lt;=&gt; ",AP141," ",AQ141))</f>
        <v>139 - TW</v>
      </c>
      <c r="AT141" s="121" t="e">
        <f>IF('Cable Info'!P140="","",CONCATENATE('Cable Info'!P140," - ",'Cable Info'!Q140))</f>
        <v>#N/A</v>
      </c>
      <c r="AU141" s="121" t="s">
        <v>51</v>
      </c>
      <c r="AW141" s="121" t="e">
        <f t="shared" ref="AW141:AW204" si="61">IF(AU141="",AT141,CONCATENATE(AT141,"  &lt;=&gt; ",AU141," ",AV141))</f>
        <v>#N/A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str">
        <f>IF('Cable Info'!L141="","",CONCATENATE('Cable Info'!L141," - ",'Cable Info'!M141))</f>
        <v>140 - TW</v>
      </c>
      <c r="AM142" s="121" t="str">
        <f t="shared" si="59"/>
        <v>140 - TW</v>
      </c>
      <c r="AO142" s="121" t="str">
        <f>IF('Cable Info'!N141="","",CONCATENATE('Cable Info'!N141," - ",'Cable Info'!O141))</f>
        <v>140 - TW</v>
      </c>
      <c r="AR142" s="121" t="str">
        <f t="shared" si="60"/>
        <v>140 - TW</v>
      </c>
      <c r="AT142" s="121" t="e">
        <f>IF('Cable Info'!P141="","",CONCATENATE('Cable Info'!P141," - ",'Cable Info'!Q141))</f>
        <v>#N/A</v>
      </c>
      <c r="AU142" s="121" t="s">
        <v>51</v>
      </c>
      <c r="AW142" s="121" t="e">
        <f t="shared" si="61"/>
        <v>#N/A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str">
        <f>IF('Cable Info'!L142="","",CONCATENATE('Cable Info'!L142," - ",'Cable Info'!M142))</f>
        <v>141 - TW</v>
      </c>
      <c r="AM143" s="121" t="str">
        <f t="shared" si="59"/>
        <v>141 - TW</v>
      </c>
      <c r="AO143" s="121" t="str">
        <f>IF('Cable Info'!N142="","",CONCATENATE('Cable Info'!N142," - ",'Cable Info'!O142))</f>
        <v>141 - TW</v>
      </c>
      <c r="AR143" s="121" t="str">
        <f t="shared" si="60"/>
        <v>141 - TW</v>
      </c>
      <c r="AT143" s="121" t="e">
        <f>IF('Cable Info'!P142="","",CONCATENATE('Cable Info'!P142," - ",'Cable Info'!Q142))</f>
        <v>#N/A</v>
      </c>
      <c r="AU143" s="121" t="s">
        <v>51</v>
      </c>
      <c r="AW143" s="121" t="e">
        <f t="shared" si="61"/>
        <v>#N/A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str">
        <f>IF('Cable Info'!L143="","",CONCATENATE('Cable Info'!L143," - ",'Cable Info'!M143))</f>
        <v>142 - TW</v>
      </c>
      <c r="AM144" s="121" t="str">
        <f t="shared" si="59"/>
        <v>142 - TW</v>
      </c>
      <c r="AO144" s="121" t="str">
        <f>IF('Cable Info'!N143="","",CONCATENATE('Cable Info'!N143," - ",'Cable Info'!O143))</f>
        <v>142 - TW</v>
      </c>
      <c r="AR144" s="121" t="str">
        <f t="shared" si="60"/>
        <v>142 - TW</v>
      </c>
      <c r="AT144" s="121" t="e">
        <f>IF('Cable Info'!P143="","",CONCATENATE('Cable Info'!P143," - ",'Cable Info'!Q143))</f>
        <v>#N/A</v>
      </c>
      <c r="AU144" s="121" t="s">
        <v>51</v>
      </c>
      <c r="AW144" s="121" t="e">
        <f t="shared" si="61"/>
        <v>#N/A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str">
        <f>IF('Cable Info'!L144="","",CONCATENATE('Cable Info'!L144," - ",'Cable Info'!M144))</f>
        <v>143 - TW</v>
      </c>
      <c r="AM145" s="121" t="str">
        <f t="shared" si="59"/>
        <v>143 - TW</v>
      </c>
      <c r="AO145" s="121" t="str">
        <f>IF('Cable Info'!N144="","",CONCATENATE('Cable Info'!N144," - ",'Cable Info'!O144))</f>
        <v>143 - TW</v>
      </c>
      <c r="AR145" s="121" t="str">
        <f t="shared" si="60"/>
        <v>143 - TW</v>
      </c>
      <c r="AT145" s="121" t="e">
        <f>IF('Cable Info'!P144="","",CONCATENATE('Cable Info'!P144," - ",'Cable Info'!Q144))</f>
        <v>#N/A</v>
      </c>
      <c r="AU145" s="121" t="s">
        <v>51</v>
      </c>
      <c r="AW145" s="121" t="e">
        <f t="shared" si="61"/>
        <v>#N/A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str">
        <f>IF('Cable Info'!L145="","",CONCATENATE('Cable Info'!L145," - ",'Cable Info'!M145))</f>
        <v>144 - TW</v>
      </c>
      <c r="AM146" s="121" t="str">
        <f t="shared" si="59"/>
        <v>144 - TW</v>
      </c>
      <c r="AO146" s="121" t="str">
        <f>IF('Cable Info'!N145="","",CONCATENATE('Cable Info'!N145," - ",'Cable Info'!O145))</f>
        <v>144 - TW</v>
      </c>
      <c r="AR146" s="121" t="str">
        <f t="shared" si="60"/>
        <v>144 - TW</v>
      </c>
      <c r="AT146" s="121" t="e">
        <f>IF('Cable Info'!P145="","",CONCATENATE('Cable Info'!P145," - ",'Cable Info'!Q145))</f>
        <v>#N/A</v>
      </c>
      <c r="AU146" s="121" t="s">
        <v>51</v>
      </c>
      <c r="AW146" s="121" t="e">
        <f t="shared" si="61"/>
        <v>#N/A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str">
        <f>IF('Cable Info'!L146="","",CONCATENATE('Cable Info'!L146," - ",'Cable Info'!M146))</f>
        <v>145 - TW</v>
      </c>
      <c r="AM147" s="121" t="str">
        <f t="shared" si="59"/>
        <v>145 - TW</v>
      </c>
      <c r="AO147" s="121" t="str">
        <f>IF('Cable Info'!N146="","",CONCATENATE('Cable Info'!N146," - ",'Cable Info'!O146))</f>
        <v>145 - TW</v>
      </c>
      <c r="AR147" s="121" t="str">
        <f t="shared" si="60"/>
        <v>145 - TW</v>
      </c>
      <c r="AT147" s="121" t="e">
        <f>IF('Cable Info'!P146="","",CONCATENATE('Cable Info'!P146," - ",'Cable Info'!Q146))</f>
        <v>#N/A</v>
      </c>
      <c r="AU147" s="121" t="s">
        <v>51</v>
      </c>
      <c r="AW147" s="121" t="e">
        <f t="shared" si="61"/>
        <v>#N/A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str">
        <f>IF('Cable Info'!L147="","",CONCATENATE('Cable Info'!L147," - ",'Cable Info'!M147))</f>
        <v>146 - TW</v>
      </c>
      <c r="AM148" s="121" t="str">
        <f t="shared" si="59"/>
        <v>146 - TW</v>
      </c>
      <c r="AO148" s="121" t="str">
        <f>IF('Cable Info'!N147="","",CONCATENATE('Cable Info'!N147," - ",'Cable Info'!O147))</f>
        <v>146 - TW</v>
      </c>
      <c r="AR148" s="121" t="str">
        <f t="shared" si="60"/>
        <v>146 - TW</v>
      </c>
      <c r="AT148" s="121" t="e">
        <f>IF('Cable Info'!P147="","",CONCATENATE('Cable Info'!P147," - ",'Cable Info'!Q147))</f>
        <v>#N/A</v>
      </c>
      <c r="AU148" s="121" t="s">
        <v>51</v>
      </c>
      <c r="AW148" s="121" t="e">
        <f t="shared" si="61"/>
        <v>#N/A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str">
        <f>IF('Cable Info'!L148="","",CONCATENATE('Cable Info'!L148," - ",'Cable Info'!M148))</f>
        <v>147 - TW</v>
      </c>
      <c r="AM149" s="121" t="str">
        <f t="shared" si="59"/>
        <v>147 - TW</v>
      </c>
      <c r="AO149" s="121" t="str">
        <f>IF('Cable Info'!N148="","",CONCATENATE('Cable Info'!N148," - ",'Cable Info'!O148))</f>
        <v>147 - TW</v>
      </c>
      <c r="AR149" s="121" t="str">
        <f t="shared" si="60"/>
        <v>147 - TW</v>
      </c>
      <c r="AT149" s="121" t="e">
        <f>IF('Cable Info'!P148="","",CONCATENATE('Cable Info'!P148," - ",'Cable Info'!Q148))</f>
        <v>#N/A</v>
      </c>
      <c r="AU149" s="121" t="s">
        <v>51</v>
      </c>
      <c r="AW149" s="121" t="e">
        <f t="shared" si="61"/>
        <v>#N/A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str">
        <f>IF('Cable Info'!L149="","",CONCATENATE('Cable Info'!L149," - ",'Cable Info'!M149))</f>
        <v>148 - TW</v>
      </c>
      <c r="AM150" s="121" t="str">
        <f t="shared" si="59"/>
        <v>148 - TW</v>
      </c>
      <c r="AO150" s="121" t="str">
        <f>IF('Cable Info'!N149="","",CONCATENATE('Cable Info'!N149," - ",'Cable Info'!O149))</f>
        <v>148 - TW</v>
      </c>
      <c r="AR150" s="121" t="str">
        <f t="shared" si="60"/>
        <v>148 - TW</v>
      </c>
      <c r="AT150" s="121" t="e">
        <f>IF('Cable Info'!P149="","",CONCATENATE('Cable Info'!P149," - ",'Cable Info'!Q149))</f>
        <v>#N/A</v>
      </c>
      <c r="AU150" s="121" t="s">
        <v>51</v>
      </c>
      <c r="AW150" s="121" t="e">
        <f t="shared" si="61"/>
        <v>#N/A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str">
        <f>IF('Cable Info'!L150="","",CONCATENATE('Cable Info'!L150," - ",'Cable Info'!M150))</f>
        <v>149 - TW</v>
      </c>
      <c r="AM151" s="121" t="str">
        <f t="shared" si="59"/>
        <v>149 - TW</v>
      </c>
      <c r="AO151" s="121" t="str">
        <f>IF('Cable Info'!N150="","",CONCATENATE('Cable Info'!N150," - ",'Cable Info'!O150))</f>
        <v>149 - TW</v>
      </c>
      <c r="AR151" s="121" t="str">
        <f t="shared" si="60"/>
        <v>149 - TW</v>
      </c>
      <c r="AT151" s="121" t="e">
        <f>IF('Cable Info'!P150="","",CONCATENATE('Cable Info'!P150," - ",'Cable Info'!Q150))</f>
        <v>#N/A</v>
      </c>
      <c r="AU151" s="121" t="s">
        <v>51</v>
      </c>
      <c r="AW151" s="121" t="e">
        <f t="shared" si="61"/>
        <v>#N/A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str">
        <f>IF('Cable Info'!L151="","",CONCATENATE('Cable Info'!L151," - ",'Cable Info'!M151))</f>
        <v>150 - TW</v>
      </c>
      <c r="AM152" s="121" t="str">
        <f t="shared" si="59"/>
        <v>150 - TW</v>
      </c>
      <c r="AO152" s="121" t="str">
        <f>IF('Cable Info'!N151="","",CONCATENATE('Cable Info'!N151," - ",'Cable Info'!O151))</f>
        <v>150 - TW</v>
      </c>
      <c r="AR152" s="121" t="str">
        <f t="shared" si="60"/>
        <v>150 - TW</v>
      </c>
      <c r="AT152" s="121" t="e">
        <f>IF('Cable Info'!P151="","",CONCATENATE('Cable Info'!P151," - ",'Cable Info'!Q151))</f>
        <v>#N/A</v>
      </c>
      <c r="AU152" s="121" t="s">
        <v>51</v>
      </c>
      <c r="AW152" s="121" t="e">
        <f t="shared" si="61"/>
        <v>#N/A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str">
        <f>IF('Cable Info'!L152="","",CONCATENATE('Cable Info'!L152," - ",'Cable Info'!M152))</f>
        <v>151 - TW</v>
      </c>
      <c r="AM153" s="121" t="str">
        <f t="shared" si="59"/>
        <v>151 - TW</v>
      </c>
      <c r="AO153" s="121" t="str">
        <f>IF('Cable Info'!N152="","",CONCATENATE('Cable Info'!N152," - ",'Cable Info'!O152))</f>
        <v>151 - TW</v>
      </c>
      <c r="AR153" s="121" t="str">
        <f t="shared" si="60"/>
        <v>151 - TW</v>
      </c>
      <c r="AT153" s="121" t="e">
        <f>IF('Cable Info'!P152="","",CONCATENATE('Cable Info'!P152," - ",'Cable Info'!Q152))</f>
        <v>#N/A</v>
      </c>
      <c r="AU153" s="121" t="s">
        <v>51</v>
      </c>
      <c r="AW153" s="121" t="e">
        <f t="shared" si="61"/>
        <v>#N/A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str">
        <f>IF('Cable Info'!L153="","",CONCATENATE('Cable Info'!L153," - ",'Cable Info'!M153))</f>
        <v>152 - TW</v>
      </c>
      <c r="AM154" s="121" t="str">
        <f t="shared" si="59"/>
        <v>152 - TW</v>
      </c>
      <c r="AO154" s="121" t="str">
        <f>IF('Cable Info'!N153="","",CONCATENATE('Cable Info'!N153," - ",'Cable Info'!O153))</f>
        <v>152 - TW</v>
      </c>
      <c r="AR154" s="121" t="str">
        <f t="shared" si="60"/>
        <v>152 - TW</v>
      </c>
      <c r="AT154" s="121" t="e">
        <f>IF('Cable Info'!P153="","",CONCATENATE('Cable Info'!P153," - ",'Cable Info'!Q153))</f>
        <v>#N/A</v>
      </c>
      <c r="AU154" s="121" t="s">
        <v>51</v>
      </c>
      <c r="AW154" s="121" t="e">
        <f t="shared" si="61"/>
        <v>#N/A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str">
        <f>IF('Cable Info'!L154="","",CONCATENATE('Cable Info'!L154," - ",'Cable Info'!M154))</f>
        <v>153 - TW</v>
      </c>
      <c r="AM155" s="121" t="str">
        <f t="shared" si="59"/>
        <v>153 - TW</v>
      </c>
      <c r="AO155" s="121" t="str">
        <f>IF('Cable Info'!N154="","",CONCATENATE('Cable Info'!N154," - ",'Cable Info'!O154))</f>
        <v>153 - TW</v>
      </c>
      <c r="AR155" s="121" t="str">
        <f t="shared" si="60"/>
        <v>153 - TW</v>
      </c>
      <c r="AT155" s="121" t="e">
        <f>IF('Cable Info'!P154="","",CONCATENATE('Cable Info'!P154," - ",'Cable Info'!Q154))</f>
        <v>#N/A</v>
      </c>
      <c r="AU155" s="121" t="s">
        <v>51</v>
      </c>
      <c r="AW155" s="121" t="e">
        <f t="shared" si="61"/>
        <v>#N/A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str">
        <f>IF('Cable Info'!L155="","",CONCATENATE('Cable Info'!L155," - ",'Cable Info'!M155))</f>
        <v>154 - TW</v>
      </c>
      <c r="AM156" s="121" t="str">
        <f t="shared" si="59"/>
        <v>154 - TW</v>
      </c>
      <c r="AO156" s="121" t="str">
        <f>IF('Cable Info'!N155="","",CONCATENATE('Cable Info'!N155," - ",'Cable Info'!O155))</f>
        <v>154 - TW</v>
      </c>
      <c r="AR156" s="121" t="str">
        <f t="shared" si="60"/>
        <v>154 - TW</v>
      </c>
      <c r="AT156" s="121" t="e">
        <f>IF('Cable Info'!P155="","",CONCATENATE('Cable Info'!P155," - ",'Cable Info'!Q155))</f>
        <v>#N/A</v>
      </c>
      <c r="AU156" s="121" t="s">
        <v>51</v>
      </c>
      <c r="AW156" s="121" t="e">
        <f t="shared" si="61"/>
        <v>#N/A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str">
        <f>IF('Cable Info'!L156="","",CONCATENATE('Cable Info'!L156," - ",'Cable Info'!M156))</f>
        <v>155 - TW</v>
      </c>
      <c r="AM157" s="121" t="str">
        <f t="shared" si="59"/>
        <v>155 - TW</v>
      </c>
      <c r="AO157" s="121" t="str">
        <f>IF('Cable Info'!N156="","",CONCATENATE('Cable Info'!N156," - ",'Cable Info'!O156))</f>
        <v>155 - TW</v>
      </c>
      <c r="AR157" s="121" t="str">
        <f t="shared" si="60"/>
        <v>155 - TW</v>
      </c>
      <c r="AT157" s="121" t="e">
        <f>IF('Cable Info'!P156="","",CONCATENATE('Cable Info'!P156," - ",'Cable Info'!Q156))</f>
        <v>#N/A</v>
      </c>
      <c r="AU157" s="121" t="s">
        <v>51</v>
      </c>
      <c r="AW157" s="121" t="e">
        <f t="shared" si="61"/>
        <v>#N/A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str">
        <f>IF('Cable Info'!L157="","",CONCATENATE('Cable Info'!L157," - ",'Cable Info'!M157))</f>
        <v>156 - TW</v>
      </c>
      <c r="AM158" s="121" t="str">
        <f t="shared" si="59"/>
        <v>156 - TW</v>
      </c>
      <c r="AO158" s="121" t="str">
        <f>IF('Cable Info'!N157="","",CONCATENATE('Cable Info'!N157," - ",'Cable Info'!O157))</f>
        <v>156 - TW</v>
      </c>
      <c r="AR158" s="121" t="str">
        <f t="shared" si="60"/>
        <v>156 - TW</v>
      </c>
      <c r="AT158" s="121" t="e">
        <f>IF('Cable Info'!P157="","",CONCATENATE('Cable Info'!P157," - ",'Cable Info'!Q157))</f>
        <v>#N/A</v>
      </c>
      <c r="AU158" s="121" t="s">
        <v>51</v>
      </c>
      <c r="AW158" s="121" t="e">
        <f t="shared" si="61"/>
        <v>#N/A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str">
        <f>IF('Cable Info'!L158="","",CONCATENATE('Cable Info'!L158," - ",'Cable Info'!M158))</f>
        <v>157 - TW</v>
      </c>
      <c r="AM159" s="121" t="str">
        <f t="shared" si="59"/>
        <v>157 - TW</v>
      </c>
      <c r="AO159" s="121" t="str">
        <f>IF('Cable Info'!N158="","",CONCATENATE('Cable Info'!N158," - ",'Cable Info'!O158))</f>
        <v>157 - TW</v>
      </c>
      <c r="AR159" s="121" t="str">
        <f t="shared" si="60"/>
        <v>157 - TW</v>
      </c>
      <c r="AT159" s="121" t="e">
        <f>IF('Cable Info'!P158="","",CONCATENATE('Cable Info'!P158," - ",'Cable Info'!Q158))</f>
        <v>#N/A</v>
      </c>
      <c r="AU159" s="121" t="s">
        <v>51</v>
      </c>
      <c r="AW159" s="121" t="e">
        <f t="shared" si="61"/>
        <v>#N/A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str">
        <f>IF('Cable Info'!L159="","",CONCATENATE('Cable Info'!L159," - ",'Cable Info'!M159))</f>
        <v>158 - TW</v>
      </c>
      <c r="AM160" s="121" t="str">
        <f t="shared" si="59"/>
        <v>158 - TW</v>
      </c>
      <c r="AO160" s="121" t="str">
        <f>IF('Cable Info'!N159="","",CONCATENATE('Cable Info'!N159," - ",'Cable Info'!O159))</f>
        <v>158 - TW</v>
      </c>
      <c r="AR160" s="121" t="str">
        <f t="shared" si="60"/>
        <v>158 - TW</v>
      </c>
      <c r="AT160" s="121" t="e">
        <f>IF('Cable Info'!P159="","",CONCATENATE('Cable Info'!P159," - ",'Cable Info'!Q159))</f>
        <v>#N/A</v>
      </c>
      <c r="AU160" s="121" t="s">
        <v>51</v>
      </c>
      <c r="AW160" s="121" t="e">
        <f t="shared" si="61"/>
        <v>#N/A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str">
        <f>IF('Cable Info'!L160="","",CONCATENATE('Cable Info'!L160," - ",'Cable Info'!M160))</f>
        <v>159 - TW</v>
      </c>
      <c r="AM161" s="121" t="str">
        <f t="shared" si="59"/>
        <v>159 - TW</v>
      </c>
      <c r="AO161" s="121" t="str">
        <f>IF('Cable Info'!N160="","",CONCATENATE('Cable Info'!N160," - ",'Cable Info'!O160))</f>
        <v>159 - TW</v>
      </c>
      <c r="AR161" s="121" t="str">
        <f t="shared" si="60"/>
        <v>159 - TW</v>
      </c>
      <c r="AT161" s="121" t="e">
        <f>IF('Cable Info'!P160="","",CONCATENATE('Cable Info'!P160," - ",'Cable Info'!Q160))</f>
        <v>#N/A</v>
      </c>
      <c r="AU161" s="121" t="s">
        <v>51</v>
      </c>
      <c r="AW161" s="121" t="e">
        <f t="shared" si="61"/>
        <v>#N/A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str">
        <f>IF('Cable Info'!L161="","",CONCATENATE('Cable Info'!L161," - ",'Cable Info'!M161))</f>
        <v>160 - TW</v>
      </c>
      <c r="AM162" s="121" t="str">
        <f t="shared" si="59"/>
        <v>160 - TW</v>
      </c>
      <c r="AO162" s="121" t="str">
        <f>IF('Cable Info'!N161="","",CONCATENATE('Cable Info'!N161," - ",'Cable Info'!O161))</f>
        <v>160 - TW</v>
      </c>
      <c r="AR162" s="121" t="str">
        <f t="shared" si="60"/>
        <v>160 - TW</v>
      </c>
      <c r="AT162" s="121" t="e">
        <f>IF('Cable Info'!P161="","",CONCATENATE('Cable Info'!P161," - ",'Cable Info'!Q161))</f>
        <v>#N/A</v>
      </c>
      <c r="AU162" s="121" t="s">
        <v>51</v>
      </c>
      <c r="AW162" s="121" t="e">
        <f t="shared" si="61"/>
        <v>#N/A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str">
        <f>IF('Cable Info'!L162="","",CONCATENATE('Cable Info'!L162," - ",'Cable Info'!M162))</f>
        <v>161 - TW</v>
      </c>
      <c r="AM163" s="121" t="str">
        <f t="shared" si="59"/>
        <v>161 - TW</v>
      </c>
      <c r="AO163" s="121" t="str">
        <f>IF('Cable Info'!N162="","",CONCATENATE('Cable Info'!N162," - ",'Cable Info'!O162))</f>
        <v>161 - TW</v>
      </c>
      <c r="AR163" s="121" t="str">
        <f t="shared" si="60"/>
        <v>161 - TW</v>
      </c>
      <c r="AT163" s="121" t="e">
        <f>IF('Cable Info'!P162="","",CONCATENATE('Cable Info'!P162," - ",'Cable Info'!Q162))</f>
        <v>#N/A</v>
      </c>
      <c r="AU163" s="121" t="s">
        <v>51</v>
      </c>
      <c r="AW163" s="121" t="e">
        <f t="shared" si="61"/>
        <v>#N/A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str">
        <f>IF('Cable Info'!L163="","",CONCATENATE('Cable Info'!L163," - ",'Cable Info'!M163))</f>
        <v>162 - TW</v>
      </c>
      <c r="AM164" s="121" t="str">
        <f t="shared" si="59"/>
        <v>162 - TW</v>
      </c>
      <c r="AO164" s="121" t="str">
        <f>IF('Cable Info'!N163="","",CONCATENATE('Cable Info'!N163," - ",'Cable Info'!O163))</f>
        <v>162 - TW</v>
      </c>
      <c r="AR164" s="121" t="str">
        <f t="shared" si="60"/>
        <v>162 - TW</v>
      </c>
      <c r="AT164" s="121" t="e">
        <f>IF('Cable Info'!P163="","",CONCATENATE('Cable Info'!P163," - ",'Cable Info'!Q163))</f>
        <v>#N/A</v>
      </c>
      <c r="AU164" s="121" t="s">
        <v>51</v>
      </c>
      <c r="AW164" s="121" t="e">
        <f t="shared" si="61"/>
        <v>#N/A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str">
        <f>IF('Cable Info'!L164="","",CONCATENATE('Cable Info'!L164," - ",'Cable Info'!M164))</f>
        <v>163 - TW</v>
      </c>
      <c r="AM165" s="121" t="str">
        <f t="shared" si="59"/>
        <v>163 - TW</v>
      </c>
      <c r="AO165" s="121" t="str">
        <f>IF('Cable Info'!N164="","",CONCATENATE('Cable Info'!N164," - ",'Cable Info'!O164))</f>
        <v>163 - TW</v>
      </c>
      <c r="AR165" s="121" t="str">
        <f t="shared" si="60"/>
        <v>163 - TW</v>
      </c>
      <c r="AT165" s="121" t="e">
        <f>IF('Cable Info'!P164="","",CONCATENATE('Cable Info'!P164," - ",'Cable Info'!Q164))</f>
        <v>#N/A</v>
      </c>
      <c r="AU165" s="121" t="s">
        <v>51</v>
      </c>
      <c r="AW165" s="121" t="e">
        <f t="shared" si="61"/>
        <v>#N/A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str">
        <f>IF('Cable Info'!L165="","",CONCATENATE('Cable Info'!L165," - ",'Cable Info'!M165))</f>
        <v>164 - TW</v>
      </c>
      <c r="AM166" s="121" t="str">
        <f t="shared" si="59"/>
        <v>164 - TW</v>
      </c>
      <c r="AO166" s="121" t="str">
        <f>IF('Cable Info'!N165="","",CONCATENATE('Cable Info'!N165," - ",'Cable Info'!O165))</f>
        <v>164 - TW</v>
      </c>
      <c r="AR166" s="121" t="str">
        <f t="shared" si="60"/>
        <v>164 - TW</v>
      </c>
      <c r="AT166" s="121" t="e">
        <f>IF('Cable Info'!P165="","",CONCATENATE('Cable Info'!P165," - ",'Cable Info'!Q165))</f>
        <v>#N/A</v>
      </c>
      <c r="AU166" s="121" t="s">
        <v>51</v>
      </c>
      <c r="AW166" s="121" t="e">
        <f t="shared" si="61"/>
        <v>#N/A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str">
        <f>IF('Cable Info'!L166="","",CONCATENATE('Cable Info'!L166," - ",'Cable Info'!M166))</f>
        <v>165 - TW</v>
      </c>
      <c r="AM167" s="121" t="str">
        <f t="shared" si="59"/>
        <v>165 - TW</v>
      </c>
      <c r="AO167" s="121" t="str">
        <f>IF('Cable Info'!N166="","",CONCATENATE('Cable Info'!N166," - ",'Cable Info'!O166))</f>
        <v>165 - TW</v>
      </c>
      <c r="AR167" s="121" t="str">
        <f t="shared" si="60"/>
        <v>165 - TW</v>
      </c>
      <c r="AT167" s="121" t="e">
        <f>IF('Cable Info'!P166="","",CONCATENATE('Cable Info'!P166," - ",'Cable Info'!Q166))</f>
        <v>#N/A</v>
      </c>
      <c r="AU167" s="121" t="s">
        <v>51</v>
      </c>
      <c r="AW167" s="121" t="e">
        <f t="shared" si="61"/>
        <v>#N/A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str">
        <f>IF('Cable Info'!L167="","",CONCATENATE('Cable Info'!L167," - ",'Cable Info'!M167))</f>
        <v>166 - TW</v>
      </c>
      <c r="AM168" s="121" t="str">
        <f t="shared" si="59"/>
        <v>166 - TW</v>
      </c>
      <c r="AO168" s="121" t="str">
        <f>IF('Cable Info'!N167="","",CONCATENATE('Cable Info'!N167," - ",'Cable Info'!O167))</f>
        <v>166 - TW</v>
      </c>
      <c r="AR168" s="121" t="str">
        <f t="shared" si="60"/>
        <v>166 - TW</v>
      </c>
      <c r="AT168" s="121" t="e">
        <f>IF('Cable Info'!P167="","",CONCATENATE('Cable Info'!P167," - ",'Cable Info'!Q167))</f>
        <v>#N/A</v>
      </c>
      <c r="AU168" s="121" t="s">
        <v>51</v>
      </c>
      <c r="AW168" s="121" t="e">
        <f t="shared" si="61"/>
        <v>#N/A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str">
        <f>IF('Cable Info'!L168="","",CONCATENATE('Cable Info'!L168," - ",'Cable Info'!M168))</f>
        <v>167 - TW</v>
      </c>
      <c r="AM169" s="121" t="str">
        <f t="shared" si="59"/>
        <v>167 - TW</v>
      </c>
      <c r="AO169" s="121" t="str">
        <f>IF('Cable Info'!N168="","",CONCATENATE('Cable Info'!N168," - ",'Cable Info'!O168))</f>
        <v>167 - TW</v>
      </c>
      <c r="AR169" s="121" t="str">
        <f t="shared" si="60"/>
        <v>167 - TW</v>
      </c>
      <c r="AT169" s="121" t="e">
        <f>IF('Cable Info'!P168="","",CONCATENATE('Cable Info'!P168," - ",'Cable Info'!Q168))</f>
        <v>#N/A</v>
      </c>
      <c r="AU169" s="121" t="s">
        <v>51</v>
      </c>
      <c r="AW169" s="121" t="e">
        <f t="shared" si="61"/>
        <v>#N/A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str">
        <f>IF('Cable Info'!L169="","",CONCATENATE('Cable Info'!L169," - ",'Cable Info'!M169))</f>
        <v>168 - TW</v>
      </c>
      <c r="AM170" s="121" t="str">
        <f t="shared" si="59"/>
        <v>168 - TW</v>
      </c>
      <c r="AO170" s="121" t="str">
        <f>IF('Cable Info'!N169="","",CONCATENATE('Cable Info'!N169," - ",'Cable Info'!O169))</f>
        <v>168 - TW</v>
      </c>
      <c r="AR170" s="121" t="str">
        <f t="shared" si="60"/>
        <v>168 - TW</v>
      </c>
      <c r="AT170" s="121" t="e">
        <f>IF('Cable Info'!P169="","",CONCATENATE('Cable Info'!P169," - ",'Cable Info'!Q169))</f>
        <v>#N/A</v>
      </c>
      <c r="AU170" s="121" t="s">
        <v>51</v>
      </c>
      <c r="AW170" s="121" t="e">
        <f t="shared" si="61"/>
        <v>#N/A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str">
        <f>IF('Cable Info'!L170="","",CONCATENATE('Cable Info'!L170," - ",'Cable Info'!M170))</f>
        <v>169 - TW</v>
      </c>
      <c r="AM171" s="121" t="str">
        <f t="shared" si="59"/>
        <v>169 - TW</v>
      </c>
      <c r="AO171" s="121" t="str">
        <f>IF('Cable Info'!N170="","",CONCATENATE('Cable Info'!N170," - ",'Cable Info'!O170))</f>
        <v>169 - TW</v>
      </c>
      <c r="AR171" s="121" t="str">
        <f t="shared" si="60"/>
        <v>169 - TW</v>
      </c>
      <c r="AT171" s="121" t="e">
        <f>IF('Cable Info'!P170="","",CONCATENATE('Cable Info'!P170," - ",'Cable Info'!Q170))</f>
        <v>#N/A</v>
      </c>
      <c r="AU171" s="121" t="s">
        <v>51</v>
      </c>
      <c r="AW171" s="121" t="e">
        <f t="shared" si="61"/>
        <v>#N/A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str">
        <f>IF('Cable Info'!L171="","",CONCATENATE('Cable Info'!L171," - ",'Cable Info'!M171))</f>
        <v>170 - TW</v>
      </c>
      <c r="AM172" s="121" t="str">
        <f t="shared" si="59"/>
        <v>170 - TW</v>
      </c>
      <c r="AO172" s="121" t="str">
        <f>IF('Cable Info'!N171="","",CONCATENATE('Cable Info'!N171," - ",'Cable Info'!O171))</f>
        <v>170 - TW</v>
      </c>
      <c r="AR172" s="121" t="str">
        <f t="shared" si="60"/>
        <v>170 - TW</v>
      </c>
      <c r="AT172" s="121" t="e">
        <f>IF('Cable Info'!P171="","",CONCATENATE('Cable Info'!P171," - ",'Cable Info'!Q171))</f>
        <v>#N/A</v>
      </c>
      <c r="AU172" s="121" t="s">
        <v>51</v>
      </c>
      <c r="AW172" s="121" t="e">
        <f t="shared" si="61"/>
        <v>#N/A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str">
        <f>IF('Cable Info'!L172="","",CONCATENATE('Cable Info'!L172," - ",'Cable Info'!M172))</f>
        <v>171 - TW</v>
      </c>
      <c r="AM173" s="121" t="str">
        <f t="shared" si="59"/>
        <v>171 - TW</v>
      </c>
      <c r="AO173" s="121" t="str">
        <f>IF('Cable Info'!N172="","",CONCATENATE('Cable Info'!N172," - ",'Cable Info'!O172))</f>
        <v>171 - TW</v>
      </c>
      <c r="AR173" s="121" t="str">
        <f t="shared" si="60"/>
        <v>171 - TW</v>
      </c>
      <c r="AT173" s="121" t="e">
        <f>IF('Cable Info'!P172="","",CONCATENATE('Cable Info'!P172," - ",'Cable Info'!Q172))</f>
        <v>#N/A</v>
      </c>
      <c r="AU173" s="121" t="s">
        <v>51</v>
      </c>
      <c r="AW173" s="121" t="e">
        <f t="shared" si="61"/>
        <v>#N/A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str">
        <f>IF('Cable Info'!L173="","",CONCATENATE('Cable Info'!L173," - ",'Cable Info'!M173))</f>
        <v>172 - TW</v>
      </c>
      <c r="AM174" s="121" t="str">
        <f t="shared" si="59"/>
        <v>172 - TW</v>
      </c>
      <c r="AO174" s="121" t="str">
        <f>IF('Cable Info'!N173="","",CONCATENATE('Cable Info'!N173," - ",'Cable Info'!O173))</f>
        <v>172 - TW</v>
      </c>
      <c r="AR174" s="121" t="str">
        <f t="shared" si="60"/>
        <v>172 - TW</v>
      </c>
      <c r="AT174" s="121" t="e">
        <f>IF('Cable Info'!P173="","",CONCATENATE('Cable Info'!P173," - ",'Cable Info'!Q173))</f>
        <v>#N/A</v>
      </c>
      <c r="AU174" s="121" t="s">
        <v>51</v>
      </c>
      <c r="AW174" s="121" t="e">
        <f t="shared" si="61"/>
        <v>#N/A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str">
        <f>IF('Cable Info'!L174="","",CONCATENATE('Cable Info'!L174," - ",'Cable Info'!M174))</f>
        <v>173 - TW</v>
      </c>
      <c r="AM175" s="121" t="str">
        <f t="shared" si="59"/>
        <v>173 - TW</v>
      </c>
      <c r="AO175" s="121" t="str">
        <f>IF('Cable Info'!N174="","",CONCATENATE('Cable Info'!N174," - ",'Cable Info'!O174))</f>
        <v>173 - TW</v>
      </c>
      <c r="AR175" s="121" t="str">
        <f t="shared" si="60"/>
        <v>173 - TW</v>
      </c>
      <c r="AT175" s="121" t="e">
        <f>IF('Cable Info'!P174="","",CONCATENATE('Cable Info'!P174," - ",'Cable Info'!Q174))</f>
        <v>#N/A</v>
      </c>
      <c r="AU175" s="121" t="s">
        <v>51</v>
      </c>
      <c r="AW175" s="121" t="e">
        <f t="shared" si="61"/>
        <v>#N/A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str">
        <f>IF('Cable Info'!L175="","",CONCATENATE('Cable Info'!L175," - ",'Cable Info'!M175))</f>
        <v>174 - TW</v>
      </c>
      <c r="AM176" s="121" t="str">
        <f t="shared" si="59"/>
        <v>174 - TW</v>
      </c>
      <c r="AO176" s="121" t="str">
        <f>IF('Cable Info'!N175="","",CONCATENATE('Cable Info'!N175," - ",'Cable Info'!O175))</f>
        <v>174 - TW</v>
      </c>
      <c r="AR176" s="121" t="str">
        <f t="shared" si="60"/>
        <v>174 - TW</v>
      </c>
      <c r="AT176" s="121" t="e">
        <f>IF('Cable Info'!P175="","",CONCATENATE('Cable Info'!P175," - ",'Cable Info'!Q175))</f>
        <v>#N/A</v>
      </c>
      <c r="AU176" s="121" t="s">
        <v>51</v>
      </c>
      <c r="AW176" s="121" t="e">
        <f t="shared" si="61"/>
        <v>#N/A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str">
        <f>IF('Cable Info'!L176="","",CONCATENATE('Cable Info'!L176," - ",'Cable Info'!M176))</f>
        <v>175 - TW</v>
      </c>
      <c r="AM177" s="121" t="str">
        <f t="shared" si="59"/>
        <v>175 - TW</v>
      </c>
      <c r="AO177" s="121" t="str">
        <f>IF('Cable Info'!N176="","",CONCATENATE('Cable Info'!N176," - ",'Cable Info'!O176))</f>
        <v>175 - TW</v>
      </c>
      <c r="AR177" s="121" t="str">
        <f t="shared" si="60"/>
        <v>175 - TW</v>
      </c>
      <c r="AT177" s="121" t="e">
        <f>IF('Cable Info'!P176="","",CONCATENATE('Cable Info'!P176," - ",'Cable Info'!Q176))</f>
        <v>#N/A</v>
      </c>
      <c r="AU177" s="121" t="s">
        <v>51</v>
      </c>
      <c r="AW177" s="121" t="e">
        <f t="shared" si="61"/>
        <v>#N/A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str">
        <f>IF('Cable Info'!L177="","",CONCATENATE('Cable Info'!L177," - ",'Cable Info'!M177))</f>
        <v>176 - TW</v>
      </c>
      <c r="AM178" s="121" t="str">
        <f t="shared" si="59"/>
        <v>176 - TW</v>
      </c>
      <c r="AO178" s="121" t="str">
        <f>IF('Cable Info'!N177="","",CONCATENATE('Cable Info'!N177," - ",'Cable Info'!O177))</f>
        <v>176 - TW</v>
      </c>
      <c r="AR178" s="121" t="str">
        <f t="shared" si="60"/>
        <v>176 - TW</v>
      </c>
      <c r="AT178" s="121" t="e">
        <f>IF('Cable Info'!P177="","",CONCATENATE('Cable Info'!P177," - ",'Cable Info'!Q177))</f>
        <v>#N/A</v>
      </c>
      <c r="AU178" s="121" t="s">
        <v>51</v>
      </c>
      <c r="AW178" s="121" t="e">
        <f t="shared" si="61"/>
        <v>#N/A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str">
        <f>IF('Cable Info'!L178="","",CONCATENATE('Cable Info'!L178," - ",'Cable Info'!M178))</f>
        <v>177 - TW</v>
      </c>
      <c r="AM179" s="121" t="str">
        <f t="shared" si="59"/>
        <v>177 - TW</v>
      </c>
      <c r="AO179" s="121" t="str">
        <f>IF('Cable Info'!N178="","",CONCATENATE('Cable Info'!N178," - ",'Cable Info'!O178))</f>
        <v>177 - TW</v>
      </c>
      <c r="AR179" s="121" t="str">
        <f t="shared" si="60"/>
        <v>177 - TW</v>
      </c>
      <c r="AT179" s="121" t="e">
        <f>IF('Cable Info'!P178="","",CONCATENATE('Cable Info'!P178," - ",'Cable Info'!Q178))</f>
        <v>#N/A</v>
      </c>
      <c r="AU179" s="121" t="s">
        <v>51</v>
      </c>
      <c r="AW179" s="121" t="e">
        <f t="shared" si="61"/>
        <v>#N/A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str">
        <f>IF('Cable Info'!L179="","",CONCATENATE('Cable Info'!L179," - ",'Cable Info'!M179))</f>
        <v>178 - TW</v>
      </c>
      <c r="AM180" s="121" t="str">
        <f t="shared" si="59"/>
        <v>178 - TW</v>
      </c>
      <c r="AO180" s="121" t="str">
        <f>IF('Cable Info'!N179="","",CONCATENATE('Cable Info'!N179," - ",'Cable Info'!O179))</f>
        <v>178 - TW</v>
      </c>
      <c r="AR180" s="121" t="str">
        <f t="shared" si="60"/>
        <v>178 - TW</v>
      </c>
      <c r="AT180" s="121" t="e">
        <f>IF('Cable Info'!P179="","",CONCATENATE('Cable Info'!P179," - ",'Cable Info'!Q179))</f>
        <v>#N/A</v>
      </c>
      <c r="AU180" s="121" t="s">
        <v>51</v>
      </c>
      <c r="AW180" s="121" t="e">
        <f t="shared" si="61"/>
        <v>#N/A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str">
        <f>IF('Cable Info'!L180="","",CONCATENATE('Cable Info'!L180," - ",'Cable Info'!M180))</f>
        <v>179 - TW</v>
      </c>
      <c r="AM181" s="121" t="str">
        <f t="shared" si="59"/>
        <v>179 - TW</v>
      </c>
      <c r="AO181" s="121" t="str">
        <f>IF('Cable Info'!N180="","",CONCATENATE('Cable Info'!N180," - ",'Cable Info'!O180))</f>
        <v>179 - TW</v>
      </c>
      <c r="AR181" s="121" t="str">
        <f t="shared" si="60"/>
        <v>179 - TW</v>
      </c>
      <c r="AT181" s="121" t="e">
        <f>IF('Cable Info'!P180="","",CONCATENATE('Cable Info'!P180," - ",'Cable Info'!Q180))</f>
        <v>#N/A</v>
      </c>
      <c r="AU181" s="121" t="s">
        <v>51</v>
      </c>
      <c r="AW181" s="121" t="e">
        <f t="shared" si="61"/>
        <v>#N/A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str">
        <f>IF('Cable Info'!L181="","",CONCATENATE('Cable Info'!L181," - ",'Cable Info'!M181))</f>
        <v>180 - TW</v>
      </c>
      <c r="AM182" s="121" t="str">
        <f t="shared" si="59"/>
        <v>180 - TW</v>
      </c>
      <c r="AO182" s="121" t="str">
        <f>IF('Cable Info'!N181="","",CONCATENATE('Cable Info'!N181," - ",'Cable Info'!O181))</f>
        <v>180 - TW</v>
      </c>
      <c r="AR182" s="121" t="str">
        <f t="shared" si="60"/>
        <v>180 - TW</v>
      </c>
      <c r="AT182" s="121" t="e">
        <f>IF('Cable Info'!P181="","",CONCATENATE('Cable Info'!P181," - ",'Cable Info'!Q181))</f>
        <v>#N/A</v>
      </c>
      <c r="AU182" s="121" t="s">
        <v>51</v>
      </c>
      <c r="AW182" s="121" t="e">
        <f t="shared" si="61"/>
        <v>#N/A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str">
        <f>IF('Cable Info'!L182="","",CONCATENATE('Cable Info'!L182," - ",'Cable Info'!M182))</f>
        <v>181 - TW</v>
      </c>
      <c r="AM183" s="121" t="str">
        <f t="shared" si="59"/>
        <v>181 - TW</v>
      </c>
      <c r="AO183" s="121" t="str">
        <f>IF('Cable Info'!N182="","",CONCATENATE('Cable Info'!N182," - ",'Cable Info'!O182))</f>
        <v>181 - TW</v>
      </c>
      <c r="AR183" s="121" t="str">
        <f t="shared" si="60"/>
        <v>181 - TW</v>
      </c>
      <c r="AT183" s="121" t="e">
        <f>IF('Cable Info'!P182="","",CONCATENATE('Cable Info'!P182," - ",'Cable Info'!Q182))</f>
        <v>#N/A</v>
      </c>
      <c r="AU183" s="121" t="s">
        <v>51</v>
      </c>
      <c r="AW183" s="121" t="e">
        <f t="shared" si="61"/>
        <v>#N/A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str">
        <f>IF('Cable Info'!L183="","",CONCATENATE('Cable Info'!L183," - ",'Cable Info'!M183))</f>
        <v>182 - TW</v>
      </c>
      <c r="AM184" s="121" t="str">
        <f t="shared" si="59"/>
        <v>182 - TW</v>
      </c>
      <c r="AO184" s="121" t="str">
        <f>IF('Cable Info'!N183="","",CONCATENATE('Cable Info'!N183," - ",'Cable Info'!O183))</f>
        <v>182 - TW</v>
      </c>
      <c r="AR184" s="121" t="str">
        <f t="shared" si="60"/>
        <v>182 - TW</v>
      </c>
      <c r="AT184" s="121" t="e">
        <f>IF('Cable Info'!P183="","",CONCATENATE('Cable Info'!P183," - ",'Cable Info'!Q183))</f>
        <v>#N/A</v>
      </c>
      <c r="AU184" s="121" t="s">
        <v>51</v>
      </c>
      <c r="AW184" s="121" t="e">
        <f t="shared" si="61"/>
        <v>#N/A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str">
        <f>IF('Cable Info'!L184="","",CONCATENATE('Cable Info'!L184," - ",'Cable Info'!M184))</f>
        <v>183 - TW</v>
      </c>
      <c r="AM185" s="121" t="str">
        <f t="shared" si="59"/>
        <v>183 - TW</v>
      </c>
      <c r="AO185" s="121" t="str">
        <f>IF('Cable Info'!N184="","",CONCATENATE('Cable Info'!N184," - ",'Cable Info'!O184))</f>
        <v>183 - TW</v>
      </c>
      <c r="AR185" s="121" t="str">
        <f t="shared" si="60"/>
        <v>183 - TW</v>
      </c>
      <c r="AT185" s="121" t="e">
        <f>IF('Cable Info'!P184="","",CONCATENATE('Cable Info'!P184," - ",'Cable Info'!Q184))</f>
        <v>#N/A</v>
      </c>
      <c r="AU185" s="121" t="s">
        <v>51</v>
      </c>
      <c r="AW185" s="121" t="e">
        <f t="shared" si="61"/>
        <v>#N/A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str">
        <f>IF('Cable Info'!L185="","",CONCATENATE('Cable Info'!L185," - ",'Cable Info'!M185))</f>
        <v>184 - TW</v>
      </c>
      <c r="AM186" s="121" t="str">
        <f t="shared" si="59"/>
        <v>184 - TW</v>
      </c>
      <c r="AO186" s="121" t="str">
        <f>IF('Cable Info'!N185="","",CONCATENATE('Cable Info'!N185," - ",'Cable Info'!O185))</f>
        <v>184 - TW</v>
      </c>
      <c r="AR186" s="121" t="str">
        <f t="shared" si="60"/>
        <v>184 - TW</v>
      </c>
      <c r="AT186" s="121" t="e">
        <f>IF('Cable Info'!P185="","",CONCATENATE('Cable Info'!P185," - ",'Cable Info'!Q185))</f>
        <v>#N/A</v>
      </c>
      <c r="AU186" s="121" t="s">
        <v>51</v>
      </c>
      <c r="AW186" s="121" t="e">
        <f t="shared" si="61"/>
        <v>#N/A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str">
        <f>IF('Cable Info'!L186="","",CONCATENATE('Cable Info'!L186," - ",'Cable Info'!M186))</f>
        <v>185 - TW</v>
      </c>
      <c r="AM187" s="121" t="str">
        <f t="shared" si="59"/>
        <v>185 - TW</v>
      </c>
      <c r="AO187" s="121" t="str">
        <f>IF('Cable Info'!N186="","",CONCATENATE('Cable Info'!N186," - ",'Cable Info'!O186))</f>
        <v>185 - TW</v>
      </c>
      <c r="AR187" s="121" t="str">
        <f t="shared" si="60"/>
        <v>185 - TW</v>
      </c>
      <c r="AT187" s="121" t="e">
        <f>IF('Cable Info'!P186="","",CONCATENATE('Cable Info'!P186," - ",'Cable Info'!Q186))</f>
        <v>#N/A</v>
      </c>
      <c r="AU187" s="121" t="s">
        <v>51</v>
      </c>
      <c r="AW187" s="121" t="e">
        <f t="shared" si="61"/>
        <v>#N/A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str">
        <f>IF('Cable Info'!L187="","",CONCATENATE('Cable Info'!L187," - ",'Cable Info'!M187))</f>
        <v>186 - TW</v>
      </c>
      <c r="AM188" s="121" t="str">
        <f t="shared" si="59"/>
        <v>186 - TW</v>
      </c>
      <c r="AO188" s="121" t="str">
        <f>IF('Cable Info'!N187="","",CONCATENATE('Cable Info'!N187," - ",'Cable Info'!O187))</f>
        <v>186 - TW</v>
      </c>
      <c r="AR188" s="121" t="str">
        <f t="shared" si="60"/>
        <v>186 - TW</v>
      </c>
      <c r="AT188" s="121" t="e">
        <f>IF('Cable Info'!P187="","",CONCATENATE('Cable Info'!P187," - ",'Cable Info'!Q187))</f>
        <v>#N/A</v>
      </c>
      <c r="AU188" s="121" t="s">
        <v>51</v>
      </c>
      <c r="AW188" s="121" t="e">
        <f t="shared" si="61"/>
        <v>#N/A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str">
        <f>IF('Cable Info'!L188="","",CONCATENATE('Cable Info'!L188," - ",'Cable Info'!M188))</f>
        <v>187 - TW</v>
      </c>
      <c r="AM189" s="121" t="str">
        <f t="shared" si="59"/>
        <v>187 - TW</v>
      </c>
      <c r="AO189" s="121" t="str">
        <f>IF('Cable Info'!N188="","",CONCATENATE('Cable Info'!N188," - ",'Cable Info'!O188))</f>
        <v>187 - TW</v>
      </c>
      <c r="AR189" s="121" t="str">
        <f t="shared" si="60"/>
        <v>187 - TW</v>
      </c>
      <c r="AT189" s="121" t="e">
        <f>IF('Cable Info'!P188="","",CONCATENATE('Cable Info'!P188," - ",'Cable Info'!Q188))</f>
        <v>#N/A</v>
      </c>
      <c r="AU189" s="121" t="s">
        <v>51</v>
      </c>
      <c r="AW189" s="121" t="e">
        <f t="shared" si="61"/>
        <v>#N/A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str">
        <f>IF('Cable Info'!L189="","",CONCATENATE('Cable Info'!L189," - ",'Cable Info'!M189))</f>
        <v>188 - TW</v>
      </c>
      <c r="AM190" s="121" t="str">
        <f t="shared" si="59"/>
        <v>188 - TW</v>
      </c>
      <c r="AO190" s="121" t="str">
        <f>IF('Cable Info'!N189="","",CONCATENATE('Cable Info'!N189," - ",'Cable Info'!O189))</f>
        <v>188 - TW</v>
      </c>
      <c r="AR190" s="121" t="str">
        <f t="shared" si="60"/>
        <v>188 - TW</v>
      </c>
      <c r="AT190" s="121" t="e">
        <f>IF('Cable Info'!P189="","",CONCATENATE('Cable Info'!P189," - ",'Cable Info'!Q189))</f>
        <v>#N/A</v>
      </c>
      <c r="AU190" s="121" t="s">
        <v>51</v>
      </c>
      <c r="AW190" s="121" t="e">
        <f t="shared" si="61"/>
        <v>#N/A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str">
        <f>IF('Cable Info'!L190="","",CONCATENATE('Cable Info'!L190," - ",'Cable Info'!M190))</f>
        <v>189 - TW</v>
      </c>
      <c r="AM191" s="121" t="str">
        <f t="shared" si="59"/>
        <v>189 - TW</v>
      </c>
      <c r="AO191" s="121" t="str">
        <f>IF('Cable Info'!N190="","",CONCATENATE('Cable Info'!N190," - ",'Cable Info'!O190))</f>
        <v>189 - TW</v>
      </c>
      <c r="AR191" s="121" t="str">
        <f t="shared" si="60"/>
        <v>189 - TW</v>
      </c>
      <c r="AT191" s="121" t="e">
        <f>IF('Cable Info'!P190="","",CONCATENATE('Cable Info'!P190," - ",'Cable Info'!Q190))</f>
        <v>#N/A</v>
      </c>
      <c r="AU191" s="121" t="s">
        <v>51</v>
      </c>
      <c r="AW191" s="121" t="e">
        <f t="shared" si="61"/>
        <v>#N/A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str">
        <f>IF('Cable Info'!L191="","",CONCATENATE('Cable Info'!L191," - ",'Cable Info'!M191))</f>
        <v>190 - TW</v>
      </c>
      <c r="AM192" s="121" t="str">
        <f t="shared" si="59"/>
        <v>190 - TW</v>
      </c>
      <c r="AO192" s="121" t="str">
        <f>IF('Cable Info'!N191="","",CONCATENATE('Cable Info'!N191," - ",'Cable Info'!O191))</f>
        <v>190 - TW</v>
      </c>
      <c r="AR192" s="121" t="str">
        <f t="shared" si="60"/>
        <v>190 - TW</v>
      </c>
      <c r="AT192" s="121" t="e">
        <f>IF('Cable Info'!P191="","",CONCATENATE('Cable Info'!P191," - ",'Cable Info'!Q191))</f>
        <v>#N/A</v>
      </c>
      <c r="AU192" s="121" t="s">
        <v>51</v>
      </c>
      <c r="AW192" s="121" t="e">
        <f t="shared" si="61"/>
        <v>#N/A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str">
        <f>IF('Cable Info'!L192="","",CONCATENATE('Cable Info'!L192," - ",'Cable Info'!M192))</f>
        <v>191 - TW</v>
      </c>
      <c r="AM193" s="121" t="str">
        <f t="shared" si="59"/>
        <v>191 - TW</v>
      </c>
      <c r="AO193" s="121" t="str">
        <f>IF('Cable Info'!N192="","",CONCATENATE('Cable Info'!N192," - ",'Cable Info'!O192))</f>
        <v>191 - TW</v>
      </c>
      <c r="AR193" s="121" t="str">
        <f t="shared" si="60"/>
        <v>191 - TW</v>
      </c>
      <c r="AT193" s="121" t="e">
        <f>IF('Cable Info'!P192="","",CONCATENATE('Cable Info'!P192," - ",'Cable Info'!Q192))</f>
        <v>#N/A</v>
      </c>
      <c r="AU193" s="121" t="s">
        <v>51</v>
      </c>
      <c r="AW193" s="121" t="e">
        <f t="shared" si="61"/>
        <v>#N/A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str">
        <f>IF('Cable Info'!L193="","",CONCATENATE('Cable Info'!L193," - ",'Cable Info'!M193))</f>
        <v>192 - TW</v>
      </c>
      <c r="AM194" s="121" t="str">
        <f t="shared" si="59"/>
        <v>192 - TW</v>
      </c>
      <c r="AO194" s="121" t="str">
        <f>IF('Cable Info'!N193="","",CONCATENATE('Cable Info'!N193," - ",'Cable Info'!O193))</f>
        <v>192 - TW</v>
      </c>
      <c r="AR194" s="121" t="str">
        <f t="shared" si="60"/>
        <v>192 - TW</v>
      </c>
      <c r="AT194" s="121" t="e">
        <f>IF('Cable Info'!P193="","",CONCATENATE('Cable Info'!P193," - ",'Cable Info'!Q193))</f>
        <v>#N/A</v>
      </c>
      <c r="AU194" s="121" t="s">
        <v>51</v>
      </c>
      <c r="AW194" s="121" t="e">
        <f t="shared" si="61"/>
        <v>#N/A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str">
        <f>IF('Cable Info'!L194="","",CONCATENATE('Cable Info'!L194," - ",'Cable Info'!M194))</f>
        <v>193 - TW</v>
      </c>
      <c r="AM195" s="121" t="str">
        <f t="shared" si="59"/>
        <v>193 - TW</v>
      </c>
      <c r="AO195" s="121" t="str">
        <f>IF('Cable Info'!N194="","",CONCATENATE('Cable Info'!N194," - ",'Cable Info'!O194))</f>
        <v>193 - TW</v>
      </c>
      <c r="AR195" s="121" t="str">
        <f t="shared" si="60"/>
        <v>193 - TW</v>
      </c>
      <c r="AT195" s="121" t="e">
        <f>IF('Cable Info'!P194="","",CONCATENATE('Cable Info'!P194," - ",'Cable Info'!Q194))</f>
        <v>#N/A</v>
      </c>
      <c r="AU195" s="121" t="s">
        <v>51</v>
      </c>
      <c r="AW195" s="121" t="e">
        <f t="shared" si="61"/>
        <v>#N/A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str">
        <f>IF('Cable Info'!L195="","",CONCATENATE('Cable Info'!L195," - ",'Cable Info'!M195))</f>
        <v>194 - TW</v>
      </c>
      <c r="AM196" s="121" t="str">
        <f t="shared" si="59"/>
        <v>194 - TW</v>
      </c>
      <c r="AO196" s="121" t="str">
        <f>IF('Cable Info'!N195="","",CONCATENATE('Cable Info'!N195," - ",'Cable Info'!O195))</f>
        <v>194 - TW</v>
      </c>
      <c r="AR196" s="121" t="str">
        <f t="shared" si="60"/>
        <v>194 - TW</v>
      </c>
      <c r="AT196" s="121" t="e">
        <f>IF('Cable Info'!P195="","",CONCATENATE('Cable Info'!P195," - ",'Cable Info'!Q195))</f>
        <v>#N/A</v>
      </c>
      <c r="AU196" s="121" t="s">
        <v>51</v>
      </c>
      <c r="AW196" s="121" t="e">
        <f t="shared" si="61"/>
        <v>#N/A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str">
        <f>IF('Cable Info'!L196="","",CONCATENATE('Cable Info'!L196," - ",'Cable Info'!M196))</f>
        <v>195 - TW</v>
      </c>
      <c r="AM197" s="121" t="str">
        <f t="shared" si="59"/>
        <v>195 - TW</v>
      </c>
      <c r="AO197" s="121" t="str">
        <f>IF('Cable Info'!N196="","",CONCATENATE('Cable Info'!N196," - ",'Cable Info'!O196))</f>
        <v>195 - TW</v>
      </c>
      <c r="AR197" s="121" t="str">
        <f t="shared" si="60"/>
        <v>195 - TW</v>
      </c>
      <c r="AT197" s="121" t="e">
        <f>IF('Cable Info'!P196="","",CONCATENATE('Cable Info'!P196," - ",'Cable Info'!Q196))</f>
        <v>#N/A</v>
      </c>
      <c r="AU197" s="121" t="s">
        <v>51</v>
      </c>
      <c r="AW197" s="121" t="e">
        <f t="shared" si="61"/>
        <v>#N/A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str">
        <f>IF('Cable Info'!L197="","",CONCATENATE('Cable Info'!L197," - ",'Cable Info'!M197))</f>
        <v>196 - TW</v>
      </c>
      <c r="AM198" s="121" t="str">
        <f t="shared" si="59"/>
        <v>196 - TW</v>
      </c>
      <c r="AO198" s="121" t="str">
        <f>IF('Cable Info'!N197="","",CONCATENATE('Cable Info'!N197," - ",'Cable Info'!O197))</f>
        <v>196 - TW</v>
      </c>
      <c r="AR198" s="121" t="str">
        <f t="shared" si="60"/>
        <v>196 - TW</v>
      </c>
      <c r="AT198" s="121" t="e">
        <f>IF('Cable Info'!P197="","",CONCATENATE('Cable Info'!P197," - ",'Cable Info'!Q197))</f>
        <v>#N/A</v>
      </c>
      <c r="AU198" s="121" t="s">
        <v>51</v>
      </c>
      <c r="AW198" s="121" t="e">
        <f t="shared" si="61"/>
        <v>#N/A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str">
        <f>IF('Cable Info'!L198="","",CONCATENATE('Cable Info'!L198," - ",'Cable Info'!M198))</f>
        <v>197 - TW</v>
      </c>
      <c r="AM199" s="121" t="str">
        <f t="shared" si="59"/>
        <v>197 - TW</v>
      </c>
      <c r="AO199" s="121" t="str">
        <f>IF('Cable Info'!N198="","",CONCATENATE('Cable Info'!N198," - ",'Cable Info'!O198))</f>
        <v>197 - TW</v>
      </c>
      <c r="AR199" s="121" t="str">
        <f t="shared" si="60"/>
        <v>197 - TW</v>
      </c>
      <c r="AT199" s="121" t="e">
        <f>IF('Cable Info'!P198="","",CONCATENATE('Cable Info'!P198," - ",'Cable Info'!Q198))</f>
        <v>#N/A</v>
      </c>
      <c r="AU199" s="121" t="s">
        <v>51</v>
      </c>
      <c r="AW199" s="121" t="e">
        <f t="shared" si="61"/>
        <v>#N/A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str">
        <f>IF('Cable Info'!L199="","",CONCATENATE('Cable Info'!L199," - ",'Cable Info'!M199))</f>
        <v>198 - TW</v>
      </c>
      <c r="AM200" s="121" t="str">
        <f t="shared" si="59"/>
        <v>198 - TW</v>
      </c>
      <c r="AO200" s="121" t="str">
        <f>IF('Cable Info'!N199="","",CONCATENATE('Cable Info'!N199," - ",'Cable Info'!O199))</f>
        <v>198 - TW</v>
      </c>
      <c r="AR200" s="121" t="str">
        <f t="shared" si="60"/>
        <v>198 - TW</v>
      </c>
      <c r="AT200" s="121" t="e">
        <f>IF('Cable Info'!P199="","",CONCATENATE('Cable Info'!P199," - ",'Cable Info'!Q199))</f>
        <v>#N/A</v>
      </c>
      <c r="AU200" s="121" t="s">
        <v>51</v>
      </c>
      <c r="AW200" s="121" t="e">
        <f t="shared" si="61"/>
        <v>#N/A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str">
        <f>IF('Cable Info'!L200="","",CONCATENATE('Cable Info'!L200," - ",'Cable Info'!M200))</f>
        <v>199 - TW</v>
      </c>
      <c r="AM201" s="121" t="str">
        <f t="shared" si="59"/>
        <v>199 - TW</v>
      </c>
      <c r="AO201" s="121" t="str">
        <f>IF('Cable Info'!N200="","",CONCATENATE('Cable Info'!N200," - ",'Cable Info'!O200))</f>
        <v>199 - TW</v>
      </c>
      <c r="AR201" s="121" t="str">
        <f t="shared" si="60"/>
        <v>199 - TW</v>
      </c>
      <c r="AT201" s="121" t="e">
        <f>IF('Cable Info'!P200="","",CONCATENATE('Cable Info'!P200," - ",'Cable Info'!Q200))</f>
        <v>#N/A</v>
      </c>
      <c r="AU201" s="121" t="s">
        <v>51</v>
      </c>
      <c r="AW201" s="121" t="e">
        <f t="shared" si="61"/>
        <v>#N/A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str">
        <f>IF('Cable Info'!L201="","",CONCATENATE('Cable Info'!L201," - ",'Cable Info'!M201))</f>
        <v>200 - TW</v>
      </c>
      <c r="AM202" s="121" t="str">
        <f t="shared" si="59"/>
        <v>200 - TW</v>
      </c>
      <c r="AO202" s="121" t="str">
        <f>IF('Cable Info'!N201="","",CONCATENATE('Cable Info'!N201," - ",'Cable Info'!O201))</f>
        <v>200 - TW</v>
      </c>
      <c r="AR202" s="121" t="str">
        <f t="shared" si="60"/>
        <v>200 - TW</v>
      </c>
      <c r="AT202" s="121" t="e">
        <f>IF('Cable Info'!P201="","",CONCATENATE('Cable Info'!P201," - ",'Cable Info'!Q201))</f>
        <v>#N/A</v>
      </c>
      <c r="AU202" s="121" t="s">
        <v>51</v>
      </c>
      <c r="AW202" s="121" t="e">
        <f t="shared" si="61"/>
        <v>#N/A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str">
        <f>IF('Cable Info'!L202="","",CONCATENATE('Cable Info'!L202," - ",'Cable Info'!M202))</f>
        <v>201 - TW</v>
      </c>
      <c r="AM203" s="121" t="str">
        <f t="shared" si="59"/>
        <v>201 - TW</v>
      </c>
      <c r="AO203" s="121" t="str">
        <f>IF('Cable Info'!N202="","",CONCATENATE('Cable Info'!N202," - ",'Cable Info'!O202))</f>
        <v>201 - TW</v>
      </c>
      <c r="AR203" s="121" t="str">
        <f t="shared" si="60"/>
        <v>201 - TW</v>
      </c>
      <c r="AT203" s="121" t="e">
        <f>IF('Cable Info'!P202="","",CONCATENATE('Cable Info'!P202," - ",'Cable Info'!Q202))</f>
        <v>#N/A</v>
      </c>
      <c r="AU203" s="121" t="s">
        <v>51</v>
      </c>
      <c r="AW203" s="121" t="e">
        <f t="shared" si="61"/>
        <v>#N/A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str">
        <f>IF('Cable Info'!L203="","",CONCATENATE('Cable Info'!L203," - ",'Cable Info'!M203))</f>
        <v>202 - TW</v>
      </c>
      <c r="AM204" s="121" t="str">
        <f t="shared" si="59"/>
        <v>202 - TW</v>
      </c>
      <c r="AO204" s="121" t="str">
        <f>IF('Cable Info'!N203="","",CONCATENATE('Cable Info'!N203," - ",'Cable Info'!O203))</f>
        <v>202 - TW</v>
      </c>
      <c r="AR204" s="121" t="str">
        <f t="shared" si="60"/>
        <v>202 - TW</v>
      </c>
      <c r="AT204" s="121" t="e">
        <f>IF('Cable Info'!P203="","",CONCATENATE('Cable Info'!P203," - ",'Cable Info'!Q203))</f>
        <v>#N/A</v>
      </c>
      <c r="AU204" s="121" t="s">
        <v>51</v>
      </c>
      <c r="AW204" s="121" t="e">
        <f t="shared" si="61"/>
        <v>#N/A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str">
        <f>IF('Cable Info'!L204="","",CONCATENATE('Cable Info'!L204," - ",'Cable Info'!M204))</f>
        <v>203 - TW</v>
      </c>
      <c r="AM205" s="121" t="str">
        <f t="shared" ref="AM205:AM268" si="71">IF(AK205="",AJ205,CONCATENATE(AJ205,"  &lt;=&gt; ",AK205," ",AL205))</f>
        <v>203 - TW</v>
      </c>
      <c r="AO205" s="121" t="str">
        <f>IF('Cable Info'!N204="","",CONCATENATE('Cable Info'!N204," - ",'Cable Info'!O204))</f>
        <v>203 - TW</v>
      </c>
      <c r="AR205" s="121" t="str">
        <f t="shared" ref="AR205:AR268" si="72">IF(AP205="",AO205,CONCATENATE(AO205,"  &lt;=&gt; ",AP205," ",AQ205))</f>
        <v>203 - TW</v>
      </c>
      <c r="AT205" s="121" t="e">
        <f>IF('Cable Info'!P204="","",CONCATENATE('Cable Info'!P204," - ",'Cable Info'!Q204))</f>
        <v>#N/A</v>
      </c>
      <c r="AU205" s="121" t="s">
        <v>51</v>
      </c>
      <c r="AW205" s="121" t="e">
        <f t="shared" ref="AW205:AW268" si="73">IF(AU205="",AT205,CONCATENATE(AT205,"  &lt;=&gt; ",AU205," ",AV205))</f>
        <v>#N/A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str">
        <f>IF('Cable Info'!L205="","",CONCATENATE('Cable Info'!L205," - ",'Cable Info'!M205))</f>
        <v>204 - TW</v>
      </c>
      <c r="AM206" s="121" t="str">
        <f t="shared" si="71"/>
        <v>204 - TW</v>
      </c>
      <c r="AO206" s="121" t="str">
        <f>IF('Cable Info'!N205="","",CONCATENATE('Cable Info'!N205," - ",'Cable Info'!O205))</f>
        <v>204 - TW</v>
      </c>
      <c r="AR206" s="121" t="str">
        <f t="shared" si="72"/>
        <v>204 - TW</v>
      </c>
      <c r="AT206" s="121" t="e">
        <f>IF('Cable Info'!P205="","",CONCATENATE('Cable Info'!P205," - ",'Cable Info'!Q205))</f>
        <v>#N/A</v>
      </c>
      <c r="AU206" s="121" t="s">
        <v>51</v>
      </c>
      <c r="AW206" s="121" t="e">
        <f t="shared" si="73"/>
        <v>#N/A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str">
        <f>IF('Cable Info'!L206="","",CONCATENATE('Cable Info'!L206," - ",'Cable Info'!M206))</f>
        <v>205 - TW</v>
      </c>
      <c r="AM207" s="121" t="str">
        <f t="shared" si="71"/>
        <v>205 - TW</v>
      </c>
      <c r="AO207" s="121" t="str">
        <f>IF('Cable Info'!N206="","",CONCATENATE('Cable Info'!N206," - ",'Cable Info'!O206))</f>
        <v>205 - TW</v>
      </c>
      <c r="AR207" s="121" t="str">
        <f t="shared" si="72"/>
        <v>205 - TW</v>
      </c>
      <c r="AT207" s="121" t="e">
        <f>IF('Cable Info'!P206="","",CONCATENATE('Cable Info'!P206," - ",'Cable Info'!Q206))</f>
        <v>#N/A</v>
      </c>
      <c r="AU207" s="121" t="s">
        <v>51</v>
      </c>
      <c r="AW207" s="121" t="e">
        <f t="shared" si="73"/>
        <v>#N/A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str">
        <f>IF('Cable Info'!L207="","",CONCATENATE('Cable Info'!L207," - ",'Cable Info'!M207))</f>
        <v>206 - TW</v>
      </c>
      <c r="AM208" s="121" t="str">
        <f t="shared" si="71"/>
        <v>206 - TW</v>
      </c>
      <c r="AO208" s="121" t="str">
        <f>IF('Cable Info'!N207="","",CONCATENATE('Cable Info'!N207," - ",'Cable Info'!O207))</f>
        <v>206 - TW</v>
      </c>
      <c r="AR208" s="121" t="str">
        <f t="shared" si="72"/>
        <v>206 - TW</v>
      </c>
      <c r="AT208" s="121" t="e">
        <f>IF('Cable Info'!P207="","",CONCATENATE('Cable Info'!P207," - ",'Cable Info'!Q207))</f>
        <v>#N/A</v>
      </c>
      <c r="AU208" s="121" t="s">
        <v>51</v>
      </c>
      <c r="AW208" s="121" t="e">
        <f t="shared" si="73"/>
        <v>#N/A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str">
        <f>IF('Cable Info'!L208="","",CONCATENATE('Cable Info'!L208," - ",'Cable Info'!M208))</f>
        <v>207 - TW</v>
      </c>
      <c r="AM209" s="121" t="str">
        <f t="shared" si="71"/>
        <v>207 - TW</v>
      </c>
      <c r="AO209" s="121" t="str">
        <f>IF('Cable Info'!N208="","",CONCATENATE('Cable Info'!N208," - ",'Cable Info'!O208))</f>
        <v>207 - TW</v>
      </c>
      <c r="AR209" s="121" t="str">
        <f t="shared" si="72"/>
        <v>207 - TW</v>
      </c>
      <c r="AT209" s="121" t="e">
        <f>IF('Cable Info'!P208="","",CONCATENATE('Cable Info'!P208," - ",'Cable Info'!Q208))</f>
        <v>#N/A</v>
      </c>
      <c r="AU209" s="121" t="s">
        <v>51</v>
      </c>
      <c r="AW209" s="121" t="e">
        <f t="shared" si="73"/>
        <v>#N/A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str">
        <f>IF('Cable Info'!L209="","",CONCATENATE('Cable Info'!L209," - ",'Cable Info'!M209))</f>
        <v>208 - TW</v>
      </c>
      <c r="AM210" s="121" t="str">
        <f t="shared" si="71"/>
        <v>208 - TW</v>
      </c>
      <c r="AO210" s="121" t="str">
        <f>IF('Cable Info'!N209="","",CONCATENATE('Cable Info'!N209," - ",'Cable Info'!O209))</f>
        <v>208 - TW</v>
      </c>
      <c r="AR210" s="121" t="str">
        <f t="shared" si="72"/>
        <v>208 - TW</v>
      </c>
      <c r="AT210" s="121" t="e">
        <f>IF('Cable Info'!P209="","",CONCATENATE('Cable Info'!P209," - ",'Cable Info'!Q209))</f>
        <v>#N/A</v>
      </c>
      <c r="AU210" s="121" t="s">
        <v>51</v>
      </c>
      <c r="AW210" s="121" t="e">
        <f t="shared" si="73"/>
        <v>#N/A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str">
        <f>IF('Cable Info'!L210="","",CONCATENATE('Cable Info'!L210," - ",'Cable Info'!M210))</f>
        <v>209 - TW</v>
      </c>
      <c r="AM211" s="121" t="str">
        <f t="shared" si="71"/>
        <v>209 - TW</v>
      </c>
      <c r="AO211" s="121" t="str">
        <f>IF('Cable Info'!N210="","",CONCATENATE('Cable Info'!N210," - ",'Cable Info'!O210))</f>
        <v>209 - TW</v>
      </c>
      <c r="AR211" s="121" t="str">
        <f t="shared" si="72"/>
        <v>209 - TW</v>
      </c>
      <c r="AT211" s="121" t="e">
        <f>IF('Cable Info'!P210="","",CONCATENATE('Cable Info'!P210," - ",'Cable Info'!Q210))</f>
        <v>#N/A</v>
      </c>
      <c r="AU211" s="121" t="s">
        <v>51</v>
      </c>
      <c r="AW211" s="121" t="e">
        <f t="shared" si="73"/>
        <v>#N/A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str">
        <f>IF('Cable Info'!L211="","",CONCATENATE('Cable Info'!L211," - ",'Cable Info'!M211))</f>
        <v>210 - TW</v>
      </c>
      <c r="AM212" s="121" t="str">
        <f t="shared" si="71"/>
        <v>210 - TW</v>
      </c>
      <c r="AO212" s="121" t="str">
        <f>IF('Cable Info'!N211="","",CONCATENATE('Cable Info'!N211," - ",'Cable Info'!O211))</f>
        <v>210 - TW</v>
      </c>
      <c r="AR212" s="121" t="str">
        <f t="shared" si="72"/>
        <v>210 - TW</v>
      </c>
      <c r="AT212" s="121" t="e">
        <f>IF('Cable Info'!P211="","",CONCATENATE('Cable Info'!P211," - ",'Cable Info'!Q211))</f>
        <v>#N/A</v>
      </c>
      <c r="AU212" s="121" t="s">
        <v>51</v>
      </c>
      <c r="AW212" s="121" t="e">
        <f t="shared" si="73"/>
        <v>#N/A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str">
        <f>IF('Cable Info'!L212="","",CONCATENATE('Cable Info'!L212," - ",'Cable Info'!M212))</f>
        <v>211 - TW</v>
      </c>
      <c r="AM213" s="121" t="str">
        <f t="shared" si="71"/>
        <v>211 - TW</v>
      </c>
      <c r="AO213" s="121" t="str">
        <f>IF('Cable Info'!N212="","",CONCATENATE('Cable Info'!N212," - ",'Cable Info'!O212))</f>
        <v>211 - TW</v>
      </c>
      <c r="AR213" s="121" t="str">
        <f t="shared" si="72"/>
        <v>211 - TW</v>
      </c>
      <c r="AT213" s="121" t="e">
        <f>IF('Cable Info'!P212="","",CONCATENATE('Cable Info'!P212," - ",'Cable Info'!Q212))</f>
        <v>#N/A</v>
      </c>
      <c r="AU213" s="121" t="s">
        <v>51</v>
      </c>
      <c r="AW213" s="121" t="e">
        <f t="shared" si="73"/>
        <v>#N/A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str">
        <f>IF('Cable Info'!L213="","",CONCATENATE('Cable Info'!L213," - ",'Cable Info'!M213))</f>
        <v>212 - TW</v>
      </c>
      <c r="AM214" s="121" t="str">
        <f t="shared" si="71"/>
        <v>212 - TW</v>
      </c>
      <c r="AO214" s="121" t="str">
        <f>IF('Cable Info'!N213="","",CONCATENATE('Cable Info'!N213," - ",'Cable Info'!O213))</f>
        <v>212 - TW</v>
      </c>
      <c r="AR214" s="121" t="str">
        <f t="shared" si="72"/>
        <v>212 - TW</v>
      </c>
      <c r="AT214" s="121" t="e">
        <f>IF('Cable Info'!P213="","",CONCATENATE('Cable Info'!P213," - ",'Cable Info'!Q213))</f>
        <v>#N/A</v>
      </c>
      <c r="AU214" s="121" t="s">
        <v>51</v>
      </c>
      <c r="AW214" s="121" t="e">
        <f t="shared" si="73"/>
        <v>#N/A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str">
        <f>IF('Cable Info'!L214="","",CONCATENATE('Cable Info'!L214," - ",'Cable Info'!M214))</f>
        <v>213 - TW</v>
      </c>
      <c r="AM215" s="121" t="str">
        <f t="shared" si="71"/>
        <v>213 - TW</v>
      </c>
      <c r="AO215" s="121" t="str">
        <f>IF('Cable Info'!N214="","",CONCATENATE('Cable Info'!N214," - ",'Cable Info'!O214))</f>
        <v>213 - TW</v>
      </c>
      <c r="AR215" s="121" t="str">
        <f t="shared" si="72"/>
        <v>213 - TW</v>
      </c>
      <c r="AT215" s="121" t="e">
        <f>IF('Cable Info'!P214="","",CONCATENATE('Cable Info'!P214," - ",'Cable Info'!Q214))</f>
        <v>#N/A</v>
      </c>
      <c r="AU215" s="121" t="s">
        <v>51</v>
      </c>
      <c r="AW215" s="121" t="e">
        <f t="shared" si="73"/>
        <v>#N/A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str">
        <f>IF('Cable Info'!L215="","",CONCATENATE('Cable Info'!L215," - ",'Cable Info'!M215))</f>
        <v>214 - TW</v>
      </c>
      <c r="AM216" s="121" t="str">
        <f t="shared" si="71"/>
        <v>214 - TW</v>
      </c>
      <c r="AO216" s="121" t="str">
        <f>IF('Cable Info'!N215="","",CONCATENATE('Cable Info'!N215," - ",'Cable Info'!O215))</f>
        <v>214 - TW</v>
      </c>
      <c r="AR216" s="121" t="str">
        <f t="shared" si="72"/>
        <v>214 - TW</v>
      </c>
      <c r="AT216" s="121" t="e">
        <f>IF('Cable Info'!P215="","",CONCATENATE('Cable Info'!P215," - ",'Cable Info'!Q215))</f>
        <v>#N/A</v>
      </c>
      <c r="AU216" s="121" t="s">
        <v>51</v>
      </c>
      <c r="AW216" s="121" t="e">
        <f t="shared" si="73"/>
        <v>#N/A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str">
        <f>IF('Cable Info'!L216="","",CONCATENATE('Cable Info'!L216," - ",'Cable Info'!M216))</f>
        <v>215 - TW</v>
      </c>
      <c r="AM217" s="121" t="str">
        <f t="shared" si="71"/>
        <v>215 - TW</v>
      </c>
      <c r="AO217" s="121" t="str">
        <f>IF('Cable Info'!N216="","",CONCATENATE('Cable Info'!N216," - ",'Cable Info'!O216))</f>
        <v>215 - TW</v>
      </c>
      <c r="AR217" s="121" t="str">
        <f t="shared" si="72"/>
        <v>215 - TW</v>
      </c>
      <c r="AT217" s="121" t="e">
        <f>IF('Cable Info'!P216="","",CONCATENATE('Cable Info'!P216," - ",'Cable Info'!Q216))</f>
        <v>#N/A</v>
      </c>
      <c r="AU217" s="121" t="s">
        <v>51</v>
      </c>
      <c r="AW217" s="121" t="e">
        <f t="shared" si="73"/>
        <v>#N/A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str">
        <f>IF('Cable Info'!L217="","",CONCATENATE('Cable Info'!L217," - ",'Cable Info'!M217))</f>
        <v>216 - TW</v>
      </c>
      <c r="AM218" s="121" t="str">
        <f t="shared" si="71"/>
        <v>216 - TW</v>
      </c>
      <c r="AO218" s="121" t="str">
        <f>IF('Cable Info'!N217="","",CONCATENATE('Cable Info'!N217," - ",'Cable Info'!O217))</f>
        <v>216 - TW</v>
      </c>
      <c r="AR218" s="121" t="str">
        <f t="shared" si="72"/>
        <v>216 - TW</v>
      </c>
      <c r="AT218" s="121" t="e">
        <f>IF('Cable Info'!P217="","",CONCATENATE('Cable Info'!P217," - ",'Cable Info'!Q217))</f>
        <v>#N/A</v>
      </c>
      <c r="AU218" s="121" t="s">
        <v>51</v>
      </c>
      <c r="AW218" s="121" t="e">
        <f t="shared" si="73"/>
        <v>#N/A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str">
        <f>IF('Cable Info'!L218="","",CONCATENATE('Cable Info'!L218," - ",'Cable Info'!M218))</f>
        <v>217 - TW</v>
      </c>
      <c r="AM219" s="121" t="str">
        <f t="shared" si="71"/>
        <v>217 - TW</v>
      </c>
      <c r="AO219" s="121" t="str">
        <f>IF('Cable Info'!N218="","",CONCATENATE('Cable Info'!N218," - ",'Cable Info'!O218))</f>
        <v>217 - TW</v>
      </c>
      <c r="AR219" s="121" t="str">
        <f t="shared" si="72"/>
        <v>217 - TW</v>
      </c>
      <c r="AT219" s="121" t="e">
        <f>IF('Cable Info'!P218="","",CONCATENATE('Cable Info'!P218," - ",'Cable Info'!Q218))</f>
        <v>#N/A</v>
      </c>
      <c r="AU219" s="121" t="s">
        <v>51</v>
      </c>
      <c r="AW219" s="121" t="e">
        <f t="shared" si="73"/>
        <v>#N/A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str">
        <f>IF('Cable Info'!L219="","",CONCATENATE('Cable Info'!L219," - ",'Cable Info'!M219))</f>
        <v>218 - TW</v>
      </c>
      <c r="AM220" s="121" t="str">
        <f t="shared" si="71"/>
        <v>218 - TW</v>
      </c>
      <c r="AO220" s="121" t="str">
        <f>IF('Cable Info'!N219="","",CONCATENATE('Cable Info'!N219," - ",'Cable Info'!O219))</f>
        <v>218 - TW</v>
      </c>
      <c r="AR220" s="121" t="str">
        <f t="shared" si="72"/>
        <v>218 - TW</v>
      </c>
      <c r="AT220" s="121" t="e">
        <f>IF('Cable Info'!P219="","",CONCATENATE('Cable Info'!P219," - ",'Cable Info'!Q219))</f>
        <v>#N/A</v>
      </c>
      <c r="AU220" s="121" t="s">
        <v>51</v>
      </c>
      <c r="AW220" s="121" t="e">
        <f t="shared" si="73"/>
        <v>#N/A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str">
        <f>IF('Cable Info'!L220="","",CONCATENATE('Cable Info'!L220," - ",'Cable Info'!M220))</f>
        <v>219 - TW</v>
      </c>
      <c r="AM221" s="121" t="str">
        <f t="shared" si="71"/>
        <v>219 - TW</v>
      </c>
      <c r="AO221" s="121" t="str">
        <f>IF('Cable Info'!N220="","",CONCATENATE('Cable Info'!N220," - ",'Cable Info'!O220))</f>
        <v>219 - TW</v>
      </c>
      <c r="AR221" s="121" t="str">
        <f t="shared" si="72"/>
        <v>219 - TW</v>
      </c>
      <c r="AT221" s="121" t="e">
        <f>IF('Cable Info'!P220="","",CONCATENATE('Cable Info'!P220," - ",'Cable Info'!Q220))</f>
        <v>#N/A</v>
      </c>
      <c r="AU221" s="121" t="s">
        <v>51</v>
      </c>
      <c r="AW221" s="121" t="e">
        <f t="shared" si="73"/>
        <v>#N/A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str">
        <f>IF('Cable Info'!L221="","",CONCATENATE('Cable Info'!L221," - ",'Cable Info'!M221))</f>
        <v>220 - TW</v>
      </c>
      <c r="AM222" s="121" t="str">
        <f t="shared" si="71"/>
        <v>220 - TW</v>
      </c>
      <c r="AO222" s="121" t="str">
        <f>IF('Cable Info'!N221="","",CONCATENATE('Cable Info'!N221," - ",'Cable Info'!O221))</f>
        <v>220 - TW</v>
      </c>
      <c r="AR222" s="121" t="str">
        <f t="shared" si="72"/>
        <v>220 - TW</v>
      </c>
      <c r="AT222" s="121" t="e">
        <f>IF('Cable Info'!P221="","",CONCATENATE('Cable Info'!P221," - ",'Cable Info'!Q221))</f>
        <v>#N/A</v>
      </c>
      <c r="AU222" s="121" t="s">
        <v>51</v>
      </c>
      <c r="AW222" s="121" t="e">
        <f t="shared" si="73"/>
        <v>#N/A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str">
        <f>IF('Cable Info'!L222="","",CONCATENATE('Cable Info'!L222," - ",'Cable Info'!M222))</f>
        <v>221 - TW</v>
      </c>
      <c r="AM223" s="121" t="str">
        <f t="shared" si="71"/>
        <v>221 - TW</v>
      </c>
      <c r="AO223" s="121" t="str">
        <f>IF('Cable Info'!N222="","",CONCATENATE('Cable Info'!N222," - ",'Cable Info'!O222))</f>
        <v>221 - TW</v>
      </c>
      <c r="AR223" s="121" t="str">
        <f t="shared" si="72"/>
        <v>221 - TW</v>
      </c>
      <c r="AT223" s="121" t="e">
        <f>IF('Cable Info'!P222="","",CONCATENATE('Cable Info'!P222," - ",'Cable Info'!Q222))</f>
        <v>#N/A</v>
      </c>
      <c r="AU223" s="121" t="s">
        <v>51</v>
      </c>
      <c r="AW223" s="121" t="e">
        <f t="shared" si="73"/>
        <v>#N/A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str">
        <f>IF('Cable Info'!L223="","",CONCATENATE('Cable Info'!L223," - ",'Cable Info'!M223))</f>
        <v>222 - TW</v>
      </c>
      <c r="AM224" s="121" t="str">
        <f t="shared" si="71"/>
        <v>222 - TW</v>
      </c>
      <c r="AO224" s="121" t="str">
        <f>IF('Cable Info'!N223="","",CONCATENATE('Cable Info'!N223," - ",'Cable Info'!O223))</f>
        <v>222 - TW</v>
      </c>
      <c r="AR224" s="121" t="str">
        <f t="shared" si="72"/>
        <v>222 - TW</v>
      </c>
      <c r="AT224" s="121" t="e">
        <f>IF('Cable Info'!P223="","",CONCATENATE('Cable Info'!P223," - ",'Cable Info'!Q223))</f>
        <v>#N/A</v>
      </c>
      <c r="AU224" s="121" t="s">
        <v>51</v>
      </c>
      <c r="AW224" s="121" t="e">
        <f t="shared" si="73"/>
        <v>#N/A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str">
        <f>IF('Cable Info'!L224="","",CONCATENATE('Cable Info'!L224," - ",'Cable Info'!M224))</f>
        <v>223 - TW</v>
      </c>
      <c r="AM225" s="121" t="str">
        <f t="shared" si="71"/>
        <v>223 - TW</v>
      </c>
      <c r="AO225" s="121" t="str">
        <f>IF('Cable Info'!N224="","",CONCATENATE('Cable Info'!N224," - ",'Cable Info'!O224))</f>
        <v>223 - TW</v>
      </c>
      <c r="AR225" s="121" t="str">
        <f t="shared" si="72"/>
        <v>223 - TW</v>
      </c>
      <c r="AT225" s="121" t="e">
        <f>IF('Cable Info'!P224="","",CONCATENATE('Cable Info'!P224," - ",'Cable Info'!Q224))</f>
        <v>#N/A</v>
      </c>
      <c r="AU225" s="121" t="s">
        <v>51</v>
      </c>
      <c r="AW225" s="121" t="e">
        <f t="shared" si="73"/>
        <v>#N/A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str">
        <f>IF('Cable Info'!L225="","",CONCATENATE('Cable Info'!L225," - ",'Cable Info'!M225))</f>
        <v>224 - TW</v>
      </c>
      <c r="AM226" s="121" t="str">
        <f t="shared" si="71"/>
        <v>224 - TW</v>
      </c>
      <c r="AO226" s="121" t="str">
        <f>IF('Cable Info'!N225="","",CONCATENATE('Cable Info'!N225," - ",'Cable Info'!O225))</f>
        <v>224 - TW</v>
      </c>
      <c r="AR226" s="121" t="str">
        <f t="shared" si="72"/>
        <v>224 - TW</v>
      </c>
      <c r="AT226" s="121" t="e">
        <f>IF('Cable Info'!P225="","",CONCATENATE('Cable Info'!P225," - ",'Cable Info'!Q225))</f>
        <v>#N/A</v>
      </c>
      <c r="AU226" s="121" t="s">
        <v>51</v>
      </c>
      <c r="AW226" s="121" t="e">
        <f t="shared" si="73"/>
        <v>#N/A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str">
        <f>IF('Cable Info'!L226="","",CONCATENATE('Cable Info'!L226," - ",'Cable Info'!M226))</f>
        <v>225 - TW</v>
      </c>
      <c r="AM227" s="121" t="str">
        <f t="shared" si="71"/>
        <v>225 - TW</v>
      </c>
      <c r="AO227" s="121" t="str">
        <f>IF('Cable Info'!N226="","",CONCATENATE('Cable Info'!N226," - ",'Cable Info'!O226))</f>
        <v>225 - TW</v>
      </c>
      <c r="AR227" s="121" t="str">
        <f t="shared" si="72"/>
        <v>225 - TW</v>
      </c>
      <c r="AT227" s="121" t="e">
        <f>IF('Cable Info'!P226="","",CONCATENATE('Cable Info'!P226," - ",'Cable Info'!Q226))</f>
        <v>#N/A</v>
      </c>
      <c r="AU227" s="121" t="s">
        <v>51</v>
      </c>
      <c r="AW227" s="121" t="e">
        <f t="shared" si="73"/>
        <v>#N/A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str">
        <f>IF('Cable Info'!L227="","",CONCATENATE('Cable Info'!L227," - ",'Cable Info'!M227))</f>
        <v>226 - TW</v>
      </c>
      <c r="AM228" s="121" t="str">
        <f t="shared" si="71"/>
        <v>226 - TW</v>
      </c>
      <c r="AO228" s="121" t="str">
        <f>IF('Cable Info'!N227="","",CONCATENATE('Cable Info'!N227," - ",'Cable Info'!O227))</f>
        <v>226 - TW</v>
      </c>
      <c r="AR228" s="121" t="str">
        <f t="shared" si="72"/>
        <v>226 - TW</v>
      </c>
      <c r="AT228" s="121" t="e">
        <f>IF('Cable Info'!P227="","",CONCATENATE('Cable Info'!P227," - ",'Cable Info'!Q227))</f>
        <v>#N/A</v>
      </c>
      <c r="AU228" s="121" t="s">
        <v>51</v>
      </c>
      <c r="AW228" s="121" t="e">
        <f t="shared" si="73"/>
        <v>#N/A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str">
        <f>IF('Cable Info'!L228="","",CONCATENATE('Cable Info'!L228," - ",'Cable Info'!M228))</f>
        <v>227 - TW</v>
      </c>
      <c r="AM229" s="121" t="str">
        <f t="shared" si="71"/>
        <v>227 - TW</v>
      </c>
      <c r="AO229" s="121" t="str">
        <f>IF('Cable Info'!N228="","",CONCATENATE('Cable Info'!N228," - ",'Cable Info'!O228))</f>
        <v>227 - TW</v>
      </c>
      <c r="AR229" s="121" t="str">
        <f t="shared" si="72"/>
        <v>227 - TW</v>
      </c>
      <c r="AT229" s="121" t="e">
        <f>IF('Cable Info'!P228="","",CONCATENATE('Cable Info'!P228," - ",'Cable Info'!Q228))</f>
        <v>#N/A</v>
      </c>
      <c r="AU229" s="121" t="s">
        <v>51</v>
      </c>
      <c r="AW229" s="121" t="e">
        <f t="shared" si="73"/>
        <v>#N/A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str">
        <f>IF('Cable Info'!L229="","",CONCATENATE('Cable Info'!L229," - ",'Cable Info'!M229))</f>
        <v>228 - TW</v>
      </c>
      <c r="AM230" s="121" t="str">
        <f t="shared" si="71"/>
        <v>228 - TW</v>
      </c>
      <c r="AO230" s="121" t="str">
        <f>IF('Cable Info'!N229="","",CONCATENATE('Cable Info'!N229," - ",'Cable Info'!O229))</f>
        <v>228 - TW</v>
      </c>
      <c r="AR230" s="121" t="str">
        <f t="shared" si="72"/>
        <v>228 - TW</v>
      </c>
      <c r="AT230" s="121" t="e">
        <f>IF('Cable Info'!P229="","",CONCATENATE('Cable Info'!P229," - ",'Cable Info'!Q229))</f>
        <v>#N/A</v>
      </c>
      <c r="AU230" s="121" t="s">
        <v>51</v>
      </c>
      <c r="AW230" s="121" t="e">
        <f t="shared" si="73"/>
        <v>#N/A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str">
        <f>IF('Cable Info'!L230="","",CONCATENATE('Cable Info'!L230," - ",'Cable Info'!M230))</f>
        <v>229 - TW</v>
      </c>
      <c r="AM231" s="121" t="str">
        <f t="shared" si="71"/>
        <v>229 - TW</v>
      </c>
      <c r="AO231" s="121" t="str">
        <f>IF('Cable Info'!N230="","",CONCATENATE('Cable Info'!N230," - ",'Cable Info'!O230))</f>
        <v>229 - TW</v>
      </c>
      <c r="AR231" s="121" t="str">
        <f t="shared" si="72"/>
        <v>229 - TW</v>
      </c>
      <c r="AT231" s="121" t="e">
        <f>IF('Cable Info'!P230="","",CONCATENATE('Cable Info'!P230," - ",'Cable Info'!Q230))</f>
        <v>#N/A</v>
      </c>
      <c r="AU231" s="121" t="s">
        <v>51</v>
      </c>
      <c r="AW231" s="121" t="e">
        <f t="shared" si="73"/>
        <v>#N/A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str">
        <f>IF('Cable Info'!L231="","",CONCATENATE('Cable Info'!L231," - ",'Cable Info'!M231))</f>
        <v>230 - TW</v>
      </c>
      <c r="AM232" s="121" t="str">
        <f t="shared" si="71"/>
        <v>230 - TW</v>
      </c>
      <c r="AO232" s="121" t="str">
        <f>IF('Cable Info'!N231="","",CONCATENATE('Cable Info'!N231," - ",'Cable Info'!O231))</f>
        <v>230 - TW</v>
      </c>
      <c r="AR232" s="121" t="str">
        <f t="shared" si="72"/>
        <v>230 - TW</v>
      </c>
      <c r="AT232" s="121" t="e">
        <f>IF('Cable Info'!P231="","",CONCATENATE('Cable Info'!P231," - ",'Cable Info'!Q231))</f>
        <v>#N/A</v>
      </c>
      <c r="AU232" s="121" t="s">
        <v>51</v>
      </c>
      <c r="AW232" s="121" t="e">
        <f t="shared" si="73"/>
        <v>#N/A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str">
        <f>IF('Cable Info'!L232="","",CONCATENATE('Cable Info'!L232," - ",'Cable Info'!M232))</f>
        <v>231 - TW</v>
      </c>
      <c r="AM233" s="121" t="str">
        <f t="shared" si="71"/>
        <v>231 - TW</v>
      </c>
      <c r="AO233" s="121" t="str">
        <f>IF('Cable Info'!N232="","",CONCATENATE('Cable Info'!N232," - ",'Cable Info'!O232))</f>
        <v>231 - TW</v>
      </c>
      <c r="AR233" s="121" t="str">
        <f t="shared" si="72"/>
        <v>231 - TW</v>
      </c>
      <c r="AT233" s="121" t="e">
        <f>IF('Cable Info'!P232="","",CONCATENATE('Cable Info'!P232," - ",'Cable Info'!Q232))</f>
        <v>#N/A</v>
      </c>
      <c r="AU233" s="121" t="s">
        <v>51</v>
      </c>
      <c r="AW233" s="121" t="e">
        <f t="shared" si="73"/>
        <v>#N/A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str">
        <f>IF('Cable Info'!L233="","",CONCATENATE('Cable Info'!L233," - ",'Cable Info'!M233))</f>
        <v>232 - TW</v>
      </c>
      <c r="AM234" s="121" t="str">
        <f t="shared" si="71"/>
        <v>232 - TW</v>
      </c>
      <c r="AO234" s="121" t="str">
        <f>IF('Cable Info'!N233="","",CONCATENATE('Cable Info'!N233," - ",'Cable Info'!O233))</f>
        <v>232 - TW</v>
      </c>
      <c r="AR234" s="121" t="str">
        <f t="shared" si="72"/>
        <v>232 - TW</v>
      </c>
      <c r="AT234" s="121" t="e">
        <f>IF('Cable Info'!P233="","",CONCATENATE('Cable Info'!P233," - ",'Cable Info'!Q233))</f>
        <v>#N/A</v>
      </c>
      <c r="AU234" s="121" t="s">
        <v>51</v>
      </c>
      <c r="AW234" s="121" t="e">
        <f t="shared" si="73"/>
        <v>#N/A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str">
        <f>IF('Cable Info'!L234="","",CONCATENATE('Cable Info'!L234," - ",'Cable Info'!M234))</f>
        <v>233 - TW</v>
      </c>
      <c r="AM235" s="121" t="str">
        <f t="shared" si="71"/>
        <v>233 - TW</v>
      </c>
      <c r="AO235" s="121" t="str">
        <f>IF('Cable Info'!N234="","",CONCATENATE('Cable Info'!N234," - ",'Cable Info'!O234))</f>
        <v>233 - TW</v>
      </c>
      <c r="AR235" s="121" t="str">
        <f t="shared" si="72"/>
        <v>233 - TW</v>
      </c>
      <c r="AT235" s="121" t="e">
        <f>IF('Cable Info'!P234="","",CONCATENATE('Cable Info'!P234," - ",'Cable Info'!Q234))</f>
        <v>#N/A</v>
      </c>
      <c r="AU235" s="121" t="s">
        <v>51</v>
      </c>
      <c r="AW235" s="121" t="e">
        <f t="shared" si="73"/>
        <v>#N/A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str">
        <f>IF('Cable Info'!L235="","",CONCATENATE('Cable Info'!L235," - ",'Cable Info'!M235))</f>
        <v>234 - TW</v>
      </c>
      <c r="AM236" s="121" t="str">
        <f t="shared" si="71"/>
        <v>234 - TW</v>
      </c>
      <c r="AO236" s="121" t="str">
        <f>IF('Cable Info'!N235="","",CONCATENATE('Cable Info'!N235," - ",'Cable Info'!O235))</f>
        <v>234 - TW</v>
      </c>
      <c r="AR236" s="121" t="str">
        <f t="shared" si="72"/>
        <v>234 - TW</v>
      </c>
      <c r="AT236" s="121" t="e">
        <f>IF('Cable Info'!P235="","",CONCATENATE('Cable Info'!P235," - ",'Cable Info'!Q235))</f>
        <v>#N/A</v>
      </c>
      <c r="AU236" s="121" t="s">
        <v>51</v>
      </c>
      <c r="AW236" s="121" t="e">
        <f t="shared" si="73"/>
        <v>#N/A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str">
        <f>IF('Cable Info'!L236="","",CONCATENATE('Cable Info'!L236," - ",'Cable Info'!M236))</f>
        <v>235 - TW</v>
      </c>
      <c r="AM237" s="121" t="str">
        <f t="shared" si="71"/>
        <v>235 - TW</v>
      </c>
      <c r="AO237" s="121" t="str">
        <f>IF('Cable Info'!N236="","",CONCATENATE('Cable Info'!N236," - ",'Cable Info'!O236))</f>
        <v>235 - TW</v>
      </c>
      <c r="AR237" s="121" t="str">
        <f t="shared" si="72"/>
        <v>235 - TW</v>
      </c>
      <c r="AT237" s="121" t="e">
        <f>IF('Cable Info'!P236="","",CONCATENATE('Cable Info'!P236," - ",'Cable Info'!Q236))</f>
        <v>#N/A</v>
      </c>
      <c r="AU237" s="121" t="s">
        <v>51</v>
      </c>
      <c r="AW237" s="121" t="e">
        <f t="shared" si="73"/>
        <v>#N/A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str">
        <f>IF('Cable Info'!L237="","",CONCATENATE('Cable Info'!L237," - ",'Cable Info'!M237))</f>
        <v>236 - TW</v>
      </c>
      <c r="AM238" s="121" t="str">
        <f t="shared" si="71"/>
        <v>236 - TW</v>
      </c>
      <c r="AO238" s="121" t="str">
        <f>IF('Cable Info'!N237="","",CONCATENATE('Cable Info'!N237," - ",'Cable Info'!O237))</f>
        <v>236 - TW</v>
      </c>
      <c r="AR238" s="121" t="str">
        <f t="shared" si="72"/>
        <v>236 - TW</v>
      </c>
      <c r="AT238" s="121" t="e">
        <f>IF('Cable Info'!P237="","",CONCATENATE('Cable Info'!P237," - ",'Cable Info'!Q237))</f>
        <v>#N/A</v>
      </c>
      <c r="AU238" s="121" t="s">
        <v>51</v>
      </c>
      <c r="AW238" s="121" t="e">
        <f t="shared" si="73"/>
        <v>#N/A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str">
        <f>IF('Cable Info'!L238="","",CONCATENATE('Cable Info'!L238," - ",'Cable Info'!M238))</f>
        <v>237 - TW</v>
      </c>
      <c r="AM239" s="121" t="str">
        <f t="shared" si="71"/>
        <v>237 - TW</v>
      </c>
      <c r="AO239" s="121" t="str">
        <f>IF('Cable Info'!N238="","",CONCATENATE('Cable Info'!N238," - ",'Cable Info'!O238))</f>
        <v>237 - TW</v>
      </c>
      <c r="AR239" s="121" t="str">
        <f t="shared" si="72"/>
        <v>237 - TW</v>
      </c>
      <c r="AT239" s="121" t="e">
        <f>IF('Cable Info'!P238="","",CONCATENATE('Cable Info'!P238," - ",'Cable Info'!Q238))</f>
        <v>#N/A</v>
      </c>
      <c r="AU239" s="121" t="s">
        <v>51</v>
      </c>
      <c r="AW239" s="121" t="e">
        <f t="shared" si="73"/>
        <v>#N/A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str">
        <f>IF('Cable Info'!L239="","",CONCATENATE('Cable Info'!L239," - ",'Cable Info'!M239))</f>
        <v>238 - TW</v>
      </c>
      <c r="AM240" s="121" t="str">
        <f t="shared" si="71"/>
        <v>238 - TW</v>
      </c>
      <c r="AO240" s="121" t="str">
        <f>IF('Cable Info'!N239="","",CONCATENATE('Cable Info'!N239," - ",'Cable Info'!O239))</f>
        <v>238 - TW</v>
      </c>
      <c r="AR240" s="121" t="str">
        <f t="shared" si="72"/>
        <v>238 - TW</v>
      </c>
      <c r="AT240" s="121" t="e">
        <f>IF('Cable Info'!P239="","",CONCATENATE('Cable Info'!P239," - ",'Cable Info'!Q239))</f>
        <v>#N/A</v>
      </c>
      <c r="AU240" s="121" t="s">
        <v>51</v>
      </c>
      <c r="AW240" s="121" t="e">
        <f t="shared" si="73"/>
        <v>#N/A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str">
        <f>IF('Cable Info'!L240="","",CONCATENATE('Cable Info'!L240," - ",'Cable Info'!M240))</f>
        <v>239 - TW</v>
      </c>
      <c r="AM241" s="121" t="str">
        <f t="shared" si="71"/>
        <v>239 - TW</v>
      </c>
      <c r="AO241" s="121" t="str">
        <f>IF('Cable Info'!N240="","",CONCATENATE('Cable Info'!N240," - ",'Cable Info'!O240))</f>
        <v>239 - TW</v>
      </c>
      <c r="AR241" s="121" t="str">
        <f t="shared" si="72"/>
        <v>239 - TW</v>
      </c>
      <c r="AT241" s="121" t="e">
        <f>IF('Cable Info'!P240="","",CONCATENATE('Cable Info'!P240," - ",'Cable Info'!Q240))</f>
        <v>#N/A</v>
      </c>
      <c r="AU241" s="121" t="s">
        <v>51</v>
      </c>
      <c r="AW241" s="121" t="e">
        <f t="shared" si="73"/>
        <v>#N/A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str">
        <f>IF('Cable Info'!L241="","",CONCATENATE('Cable Info'!L241," - ",'Cable Info'!M241))</f>
        <v>240 - TW</v>
      </c>
      <c r="AM242" s="121" t="str">
        <f t="shared" si="71"/>
        <v>240 - TW</v>
      </c>
      <c r="AO242" s="121" t="str">
        <f>IF('Cable Info'!N241="","",CONCATENATE('Cable Info'!N241," - ",'Cable Info'!O241))</f>
        <v>240 - TW</v>
      </c>
      <c r="AR242" s="121" t="str">
        <f t="shared" si="72"/>
        <v>240 - TW</v>
      </c>
      <c r="AT242" s="121" t="e">
        <f>IF('Cable Info'!P241="","",CONCATENATE('Cable Info'!P241," - ",'Cable Info'!Q241))</f>
        <v>#N/A</v>
      </c>
      <c r="AU242" s="121" t="s">
        <v>51</v>
      </c>
      <c r="AW242" s="121" t="e">
        <f t="shared" si="73"/>
        <v>#N/A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str">
        <f>IF('Cable Info'!L242="","",CONCATENATE('Cable Info'!L242," - ",'Cable Info'!M242))</f>
        <v>241 - TW</v>
      </c>
      <c r="AM243" s="121" t="str">
        <f t="shared" si="71"/>
        <v>241 - TW</v>
      </c>
      <c r="AO243" s="121" t="str">
        <f>IF('Cable Info'!N242="","",CONCATENATE('Cable Info'!N242," - ",'Cable Info'!O242))</f>
        <v>241 - TW</v>
      </c>
      <c r="AR243" s="121" t="str">
        <f t="shared" si="72"/>
        <v>241 - TW</v>
      </c>
      <c r="AT243" s="121" t="e">
        <f>IF('Cable Info'!P242="","",CONCATENATE('Cable Info'!P242," - ",'Cable Info'!Q242))</f>
        <v>#N/A</v>
      </c>
      <c r="AU243" s="121" t="s">
        <v>51</v>
      </c>
      <c r="AW243" s="121" t="e">
        <f t="shared" si="73"/>
        <v>#N/A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str">
        <f>IF('Cable Info'!L243="","",CONCATENATE('Cable Info'!L243," - ",'Cable Info'!M243))</f>
        <v>242 - TW</v>
      </c>
      <c r="AM244" s="121" t="str">
        <f t="shared" si="71"/>
        <v>242 - TW</v>
      </c>
      <c r="AO244" s="121" t="str">
        <f>IF('Cable Info'!N243="","",CONCATENATE('Cable Info'!N243," - ",'Cable Info'!O243))</f>
        <v>242 - TW</v>
      </c>
      <c r="AR244" s="121" t="str">
        <f t="shared" si="72"/>
        <v>242 - TW</v>
      </c>
      <c r="AT244" s="121" t="e">
        <f>IF('Cable Info'!P243="","",CONCATENATE('Cable Info'!P243," - ",'Cable Info'!Q243))</f>
        <v>#N/A</v>
      </c>
      <c r="AU244" s="121" t="s">
        <v>51</v>
      </c>
      <c r="AW244" s="121" t="e">
        <f t="shared" si="73"/>
        <v>#N/A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str">
        <f>IF('Cable Info'!L244="","",CONCATENATE('Cable Info'!L244," - ",'Cable Info'!M244))</f>
        <v>243 - TW</v>
      </c>
      <c r="AM245" s="121" t="str">
        <f t="shared" si="71"/>
        <v>243 - TW</v>
      </c>
      <c r="AO245" s="121" t="str">
        <f>IF('Cable Info'!N244="","",CONCATENATE('Cable Info'!N244," - ",'Cable Info'!O244))</f>
        <v>243 - TW</v>
      </c>
      <c r="AR245" s="121" t="str">
        <f t="shared" si="72"/>
        <v>243 - TW</v>
      </c>
      <c r="AT245" s="121" t="e">
        <f>IF('Cable Info'!P244="","",CONCATENATE('Cable Info'!P244," - ",'Cable Info'!Q244))</f>
        <v>#N/A</v>
      </c>
      <c r="AU245" s="121" t="s">
        <v>51</v>
      </c>
      <c r="AW245" s="121" t="e">
        <f t="shared" si="73"/>
        <v>#N/A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str">
        <f>IF('Cable Info'!L245="","",CONCATENATE('Cable Info'!L245," - ",'Cable Info'!M245))</f>
        <v>244 - TW</v>
      </c>
      <c r="AM246" s="121" t="str">
        <f t="shared" si="71"/>
        <v>244 - TW</v>
      </c>
      <c r="AO246" s="121" t="str">
        <f>IF('Cable Info'!N245="","",CONCATENATE('Cable Info'!N245," - ",'Cable Info'!O245))</f>
        <v>244 - TW</v>
      </c>
      <c r="AR246" s="121" t="str">
        <f t="shared" si="72"/>
        <v>244 - TW</v>
      </c>
      <c r="AT246" s="121" t="e">
        <f>IF('Cable Info'!P245="","",CONCATENATE('Cable Info'!P245," - ",'Cable Info'!Q245))</f>
        <v>#N/A</v>
      </c>
      <c r="AU246" s="121" t="s">
        <v>51</v>
      </c>
      <c r="AW246" s="121" t="e">
        <f t="shared" si="73"/>
        <v>#N/A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str">
        <f>IF('Cable Info'!L246="","",CONCATENATE('Cable Info'!L246," - ",'Cable Info'!M246))</f>
        <v>245 - TW</v>
      </c>
      <c r="AM247" s="121" t="str">
        <f t="shared" si="71"/>
        <v>245 - TW</v>
      </c>
      <c r="AO247" s="121" t="str">
        <f>IF('Cable Info'!N246="","",CONCATENATE('Cable Info'!N246," - ",'Cable Info'!O246))</f>
        <v>245 - TW</v>
      </c>
      <c r="AR247" s="121" t="str">
        <f t="shared" si="72"/>
        <v>245 - TW</v>
      </c>
      <c r="AT247" s="121" t="e">
        <f>IF('Cable Info'!P246="","",CONCATENATE('Cable Info'!P246," - ",'Cable Info'!Q246))</f>
        <v>#N/A</v>
      </c>
      <c r="AU247" s="121" t="s">
        <v>51</v>
      </c>
      <c r="AW247" s="121" t="e">
        <f t="shared" si="73"/>
        <v>#N/A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str">
        <f>IF('Cable Info'!L247="","",CONCATENATE('Cable Info'!L247," - ",'Cable Info'!M247))</f>
        <v>246 - TW</v>
      </c>
      <c r="AM248" s="121" t="str">
        <f t="shared" si="71"/>
        <v>246 - TW</v>
      </c>
      <c r="AO248" s="121" t="str">
        <f>IF('Cable Info'!N247="","",CONCATENATE('Cable Info'!N247," - ",'Cable Info'!O247))</f>
        <v>246 - TW</v>
      </c>
      <c r="AR248" s="121" t="str">
        <f t="shared" si="72"/>
        <v>246 - TW</v>
      </c>
      <c r="AT248" s="121" t="e">
        <f>IF('Cable Info'!P247="","",CONCATENATE('Cable Info'!P247," - ",'Cable Info'!Q247))</f>
        <v>#N/A</v>
      </c>
      <c r="AU248" s="121" t="s">
        <v>51</v>
      </c>
      <c r="AW248" s="121" t="e">
        <f t="shared" si="73"/>
        <v>#N/A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str">
        <f>IF('Cable Info'!L248="","",CONCATENATE('Cable Info'!L248," - ",'Cable Info'!M248))</f>
        <v>247 - TW</v>
      </c>
      <c r="AM249" s="121" t="str">
        <f t="shared" si="71"/>
        <v>247 - TW</v>
      </c>
      <c r="AO249" s="121" t="str">
        <f>IF('Cable Info'!N248="","",CONCATENATE('Cable Info'!N248," - ",'Cable Info'!O248))</f>
        <v>247 - TW</v>
      </c>
      <c r="AR249" s="121" t="str">
        <f t="shared" si="72"/>
        <v>247 - TW</v>
      </c>
      <c r="AT249" s="121" t="e">
        <f>IF('Cable Info'!P248="","",CONCATENATE('Cable Info'!P248," - ",'Cable Info'!Q248))</f>
        <v>#N/A</v>
      </c>
      <c r="AU249" s="121" t="s">
        <v>51</v>
      </c>
      <c r="AW249" s="121" t="e">
        <f t="shared" si="73"/>
        <v>#N/A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str">
        <f>IF('Cable Info'!L249="","",CONCATENATE('Cable Info'!L249," - ",'Cable Info'!M249))</f>
        <v>248 - TW</v>
      </c>
      <c r="AM250" s="121" t="str">
        <f t="shared" si="71"/>
        <v>248 - TW</v>
      </c>
      <c r="AO250" s="121" t="str">
        <f>IF('Cable Info'!N249="","",CONCATENATE('Cable Info'!N249," - ",'Cable Info'!O249))</f>
        <v>248 - TW</v>
      </c>
      <c r="AR250" s="121" t="str">
        <f t="shared" si="72"/>
        <v>248 - TW</v>
      </c>
      <c r="AT250" s="121" t="e">
        <f>IF('Cable Info'!P249="","",CONCATENATE('Cable Info'!P249," - ",'Cable Info'!Q249))</f>
        <v>#N/A</v>
      </c>
      <c r="AU250" s="121" t="s">
        <v>51</v>
      </c>
      <c r="AW250" s="121" t="e">
        <f t="shared" si="73"/>
        <v>#N/A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str">
        <f>IF('Cable Info'!L250="","",CONCATENATE('Cable Info'!L250," - ",'Cable Info'!M250))</f>
        <v>249 - TW</v>
      </c>
      <c r="AM251" s="121" t="str">
        <f t="shared" si="71"/>
        <v>249 - TW</v>
      </c>
      <c r="AO251" s="121" t="str">
        <f>IF('Cable Info'!N250="","",CONCATENATE('Cable Info'!N250," - ",'Cable Info'!O250))</f>
        <v>249 - TW</v>
      </c>
      <c r="AR251" s="121" t="str">
        <f t="shared" si="72"/>
        <v>249 - TW</v>
      </c>
      <c r="AT251" s="121" t="e">
        <f>IF('Cable Info'!P250="","",CONCATENATE('Cable Info'!P250," - ",'Cable Info'!Q250))</f>
        <v>#N/A</v>
      </c>
      <c r="AU251" s="121" t="s">
        <v>51</v>
      </c>
      <c r="AW251" s="121" t="e">
        <f t="shared" si="73"/>
        <v>#N/A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str">
        <f>IF('Cable Info'!L251="","",CONCATENATE('Cable Info'!L251," - ",'Cable Info'!M251))</f>
        <v>250 - TW</v>
      </c>
      <c r="AM252" s="121" t="str">
        <f t="shared" si="71"/>
        <v>250 - TW</v>
      </c>
      <c r="AO252" s="121" t="str">
        <f>IF('Cable Info'!N251="","",CONCATENATE('Cable Info'!N251," - ",'Cable Info'!O251))</f>
        <v>250 - TW</v>
      </c>
      <c r="AR252" s="121" t="str">
        <f t="shared" si="72"/>
        <v>250 - TW</v>
      </c>
      <c r="AT252" s="121" t="e">
        <f>IF('Cable Info'!P251="","",CONCATENATE('Cable Info'!P251," - ",'Cable Info'!Q251))</f>
        <v>#N/A</v>
      </c>
      <c r="AU252" s="121" t="s">
        <v>51</v>
      </c>
      <c r="AW252" s="121" t="e">
        <f t="shared" si="73"/>
        <v>#N/A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str">
        <f>IF('Cable Info'!L252="","",CONCATENATE('Cable Info'!L252," - ",'Cable Info'!M252))</f>
        <v>251 - TW</v>
      </c>
      <c r="AM253" s="121" t="str">
        <f t="shared" si="71"/>
        <v>251 - TW</v>
      </c>
      <c r="AO253" s="121" t="str">
        <f>IF('Cable Info'!N252="","",CONCATENATE('Cable Info'!N252," - ",'Cable Info'!O252))</f>
        <v>251 - TW</v>
      </c>
      <c r="AR253" s="121" t="str">
        <f t="shared" si="72"/>
        <v>251 - TW</v>
      </c>
      <c r="AT253" s="121" t="e">
        <f>IF('Cable Info'!P252="","",CONCATENATE('Cable Info'!P252," - ",'Cable Info'!Q252))</f>
        <v>#N/A</v>
      </c>
      <c r="AU253" s="121" t="s">
        <v>51</v>
      </c>
      <c r="AW253" s="121" t="e">
        <f t="shared" si="73"/>
        <v>#N/A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str">
        <f>IF('Cable Info'!L253="","",CONCATENATE('Cable Info'!L253," - ",'Cable Info'!M253))</f>
        <v>252 - TW</v>
      </c>
      <c r="AM254" s="121" t="str">
        <f t="shared" si="71"/>
        <v>252 - TW</v>
      </c>
      <c r="AO254" s="121" t="str">
        <f>IF('Cable Info'!N253="","",CONCATENATE('Cable Info'!N253," - ",'Cable Info'!O253))</f>
        <v>252 - TW</v>
      </c>
      <c r="AR254" s="121" t="str">
        <f t="shared" si="72"/>
        <v>252 - TW</v>
      </c>
      <c r="AT254" s="121" t="e">
        <f>IF('Cable Info'!P253="","",CONCATENATE('Cable Info'!P253," - ",'Cable Info'!Q253))</f>
        <v>#N/A</v>
      </c>
      <c r="AU254" s="121" t="s">
        <v>51</v>
      </c>
      <c r="AW254" s="121" t="e">
        <f t="shared" si="73"/>
        <v>#N/A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str">
        <f>IF('Cable Info'!L254="","",CONCATENATE('Cable Info'!L254," - ",'Cable Info'!M254))</f>
        <v>253 - TW</v>
      </c>
      <c r="AM255" s="121" t="str">
        <f t="shared" si="71"/>
        <v>253 - TW</v>
      </c>
      <c r="AO255" s="121" t="str">
        <f>IF('Cable Info'!N254="","",CONCATENATE('Cable Info'!N254," - ",'Cable Info'!O254))</f>
        <v>253 - TW</v>
      </c>
      <c r="AR255" s="121" t="str">
        <f t="shared" si="72"/>
        <v>253 - TW</v>
      </c>
      <c r="AT255" s="121" t="e">
        <f>IF('Cable Info'!P254="","",CONCATENATE('Cable Info'!P254," - ",'Cable Info'!Q254))</f>
        <v>#N/A</v>
      </c>
      <c r="AU255" s="121" t="s">
        <v>51</v>
      </c>
      <c r="AW255" s="121" t="e">
        <f t="shared" si="73"/>
        <v>#N/A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str">
        <f>IF('Cable Info'!L255="","",CONCATENATE('Cable Info'!L255," - ",'Cable Info'!M255))</f>
        <v>254 - TW</v>
      </c>
      <c r="AM256" s="121" t="str">
        <f t="shared" si="71"/>
        <v>254 - TW</v>
      </c>
      <c r="AO256" s="121" t="str">
        <f>IF('Cable Info'!N255="","",CONCATENATE('Cable Info'!N255," - ",'Cable Info'!O255))</f>
        <v>254 - TW</v>
      </c>
      <c r="AR256" s="121" t="str">
        <f t="shared" si="72"/>
        <v>254 - TW</v>
      </c>
      <c r="AT256" s="121" t="e">
        <f>IF('Cable Info'!P255="","",CONCATENATE('Cable Info'!P255," - ",'Cable Info'!Q255))</f>
        <v>#N/A</v>
      </c>
      <c r="AU256" s="121" t="s">
        <v>51</v>
      </c>
      <c r="AW256" s="121" t="e">
        <f t="shared" si="73"/>
        <v>#N/A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str">
        <f>IF('Cable Info'!L256="","",CONCATENATE('Cable Info'!L256," - ",'Cable Info'!M256))</f>
        <v>255 - TW</v>
      </c>
      <c r="AM257" s="121" t="str">
        <f t="shared" si="71"/>
        <v>255 - TW</v>
      </c>
      <c r="AO257" s="121" t="str">
        <f>IF('Cable Info'!N256="","",CONCATENATE('Cable Info'!N256," - ",'Cable Info'!O256))</f>
        <v>255 - TW</v>
      </c>
      <c r="AR257" s="121" t="str">
        <f t="shared" si="72"/>
        <v>255 - TW</v>
      </c>
      <c r="AT257" s="121" t="e">
        <f>IF('Cable Info'!P256="","",CONCATENATE('Cable Info'!P256," - ",'Cable Info'!Q256))</f>
        <v>#N/A</v>
      </c>
      <c r="AU257" s="121" t="s">
        <v>51</v>
      </c>
      <c r="AW257" s="121" t="e">
        <f t="shared" si="73"/>
        <v>#N/A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str">
        <f>IF('Cable Info'!L257="","",CONCATENATE('Cable Info'!L257," - ",'Cable Info'!M257))</f>
        <v>256 - TW</v>
      </c>
      <c r="AM258" s="121" t="str">
        <f t="shared" si="71"/>
        <v>256 - TW</v>
      </c>
      <c r="AO258" s="121" t="str">
        <f>IF('Cable Info'!N257="","",CONCATENATE('Cable Info'!N257," - ",'Cable Info'!O257))</f>
        <v>256 - TW</v>
      </c>
      <c r="AR258" s="121" t="str">
        <f t="shared" si="72"/>
        <v>256 - TW</v>
      </c>
      <c r="AT258" s="121" t="e">
        <f>IF('Cable Info'!P257="","",CONCATENATE('Cable Info'!P257," - ",'Cable Info'!Q257))</f>
        <v>#N/A</v>
      </c>
      <c r="AU258" s="121" t="s">
        <v>51</v>
      </c>
      <c r="AW258" s="121" t="e">
        <f t="shared" si="73"/>
        <v>#N/A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str">
        <f>IF('Cable Info'!L258="","",CONCATENATE('Cable Info'!L258," - ",'Cable Info'!M258))</f>
        <v>257 - TW</v>
      </c>
      <c r="AM259" s="121" t="str">
        <f t="shared" si="71"/>
        <v>257 - TW</v>
      </c>
      <c r="AO259" s="121" t="str">
        <f>IF('Cable Info'!N258="","",CONCATENATE('Cable Info'!N258," - ",'Cable Info'!O258))</f>
        <v>257 - TW</v>
      </c>
      <c r="AR259" s="121" t="str">
        <f t="shared" si="72"/>
        <v>257 - TW</v>
      </c>
      <c r="AT259" s="121" t="e">
        <f>IF('Cable Info'!P258="","",CONCATENATE('Cable Info'!P258," - ",'Cable Info'!Q258))</f>
        <v>#N/A</v>
      </c>
      <c r="AU259" s="121" t="s">
        <v>51</v>
      </c>
      <c r="AW259" s="121" t="e">
        <f t="shared" si="73"/>
        <v>#N/A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str">
        <f>IF('Cable Info'!L259="","",CONCATENATE('Cable Info'!L259," - ",'Cable Info'!M259))</f>
        <v>258 - TW</v>
      </c>
      <c r="AM260" s="121" t="str">
        <f t="shared" si="71"/>
        <v>258 - TW</v>
      </c>
      <c r="AO260" s="121" t="str">
        <f>IF('Cable Info'!N259="","",CONCATENATE('Cable Info'!N259," - ",'Cable Info'!O259))</f>
        <v>258 - TW</v>
      </c>
      <c r="AR260" s="121" t="str">
        <f t="shared" si="72"/>
        <v>258 - TW</v>
      </c>
      <c r="AT260" s="121" t="e">
        <f>IF('Cable Info'!P259="","",CONCATENATE('Cable Info'!P259," - ",'Cable Info'!Q259))</f>
        <v>#N/A</v>
      </c>
      <c r="AU260" s="121" t="s">
        <v>51</v>
      </c>
      <c r="AW260" s="121" t="e">
        <f t="shared" si="73"/>
        <v>#N/A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str">
        <f>IF('Cable Info'!L260="","",CONCATENATE('Cable Info'!L260," - ",'Cable Info'!M260))</f>
        <v>259 - TW</v>
      </c>
      <c r="AM261" s="121" t="str">
        <f t="shared" si="71"/>
        <v>259 - TW</v>
      </c>
      <c r="AO261" s="121" t="str">
        <f>IF('Cable Info'!N260="","",CONCATENATE('Cable Info'!N260," - ",'Cable Info'!O260))</f>
        <v>259 - TW</v>
      </c>
      <c r="AR261" s="121" t="str">
        <f t="shared" si="72"/>
        <v>259 - TW</v>
      </c>
      <c r="AT261" s="121" t="e">
        <f>IF('Cable Info'!P260="","",CONCATENATE('Cable Info'!P260," - ",'Cable Info'!Q260))</f>
        <v>#N/A</v>
      </c>
      <c r="AU261" s="121" t="s">
        <v>51</v>
      </c>
      <c r="AW261" s="121" t="e">
        <f t="shared" si="73"/>
        <v>#N/A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str">
        <f>IF('Cable Info'!L261="","",CONCATENATE('Cable Info'!L261," - ",'Cable Info'!M261))</f>
        <v>260 - TW</v>
      </c>
      <c r="AM262" s="121" t="str">
        <f t="shared" si="71"/>
        <v>260 - TW</v>
      </c>
      <c r="AO262" s="121" t="str">
        <f>IF('Cable Info'!N261="","",CONCATENATE('Cable Info'!N261," - ",'Cable Info'!O261))</f>
        <v>260 - TW</v>
      </c>
      <c r="AR262" s="121" t="str">
        <f t="shared" si="72"/>
        <v>260 - TW</v>
      </c>
      <c r="AT262" s="121" t="e">
        <f>IF('Cable Info'!P261="","",CONCATENATE('Cable Info'!P261," - ",'Cable Info'!Q261))</f>
        <v>#N/A</v>
      </c>
      <c r="AU262" s="121" t="s">
        <v>51</v>
      </c>
      <c r="AW262" s="121" t="e">
        <f t="shared" si="73"/>
        <v>#N/A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str">
        <f>IF('Cable Info'!L262="","",CONCATENATE('Cable Info'!L262," - ",'Cable Info'!M262))</f>
        <v>261 - TW</v>
      </c>
      <c r="AM263" s="121" t="str">
        <f t="shared" si="71"/>
        <v>261 - TW</v>
      </c>
      <c r="AO263" s="121" t="str">
        <f>IF('Cable Info'!N262="","",CONCATENATE('Cable Info'!N262," - ",'Cable Info'!O262))</f>
        <v>261 - TW</v>
      </c>
      <c r="AR263" s="121" t="str">
        <f t="shared" si="72"/>
        <v>261 - TW</v>
      </c>
      <c r="AT263" s="121" t="e">
        <f>IF('Cable Info'!P262="","",CONCATENATE('Cable Info'!P262," - ",'Cable Info'!Q262))</f>
        <v>#N/A</v>
      </c>
      <c r="AU263" s="121" t="s">
        <v>51</v>
      </c>
      <c r="AW263" s="121" t="e">
        <f t="shared" si="73"/>
        <v>#N/A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str">
        <f>IF('Cable Info'!L263="","",CONCATENATE('Cable Info'!L263," - ",'Cable Info'!M263))</f>
        <v>262 - TW</v>
      </c>
      <c r="AM264" s="121" t="str">
        <f t="shared" si="71"/>
        <v>262 - TW</v>
      </c>
      <c r="AO264" s="121" t="str">
        <f>IF('Cable Info'!N263="","",CONCATENATE('Cable Info'!N263," - ",'Cable Info'!O263))</f>
        <v>262 - TW</v>
      </c>
      <c r="AR264" s="121" t="str">
        <f t="shared" si="72"/>
        <v>262 - TW</v>
      </c>
      <c r="AT264" s="121" t="e">
        <f>IF('Cable Info'!P263="","",CONCATENATE('Cable Info'!P263," - ",'Cable Info'!Q263))</f>
        <v>#N/A</v>
      </c>
      <c r="AU264" s="121" t="s">
        <v>51</v>
      </c>
      <c r="AW264" s="121" t="e">
        <f t="shared" si="73"/>
        <v>#N/A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str">
        <f>IF('Cable Info'!L264="","",CONCATENATE('Cable Info'!L264," - ",'Cable Info'!M264))</f>
        <v>263 - TW</v>
      </c>
      <c r="AM265" s="121" t="str">
        <f t="shared" si="71"/>
        <v>263 - TW</v>
      </c>
      <c r="AO265" s="121" t="str">
        <f>IF('Cable Info'!N264="","",CONCATENATE('Cable Info'!N264," - ",'Cable Info'!O264))</f>
        <v>263 - TW</v>
      </c>
      <c r="AR265" s="121" t="str">
        <f t="shared" si="72"/>
        <v>263 - TW</v>
      </c>
      <c r="AT265" s="121" t="e">
        <f>IF('Cable Info'!P264="","",CONCATENATE('Cable Info'!P264," - ",'Cable Info'!Q264))</f>
        <v>#N/A</v>
      </c>
      <c r="AU265" s="121" t="s">
        <v>51</v>
      </c>
      <c r="AW265" s="121" t="e">
        <f t="shared" si="73"/>
        <v>#N/A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str">
        <f>IF('Cable Info'!L265="","",CONCATENATE('Cable Info'!L265," - ",'Cable Info'!M265))</f>
        <v>264 - TW</v>
      </c>
      <c r="AM266" s="121" t="str">
        <f t="shared" si="71"/>
        <v>264 - TW</v>
      </c>
      <c r="AO266" s="121" t="str">
        <f>IF('Cable Info'!N265="","",CONCATENATE('Cable Info'!N265," - ",'Cable Info'!O265))</f>
        <v>264 - TW</v>
      </c>
      <c r="AR266" s="121" t="str">
        <f t="shared" si="72"/>
        <v>264 - TW</v>
      </c>
      <c r="AT266" s="121" t="e">
        <f>IF('Cable Info'!P265="","",CONCATENATE('Cable Info'!P265," - ",'Cable Info'!Q265))</f>
        <v>#N/A</v>
      </c>
      <c r="AU266" s="121" t="s">
        <v>51</v>
      </c>
      <c r="AW266" s="121" t="e">
        <f t="shared" si="73"/>
        <v>#N/A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str">
        <f>IF('Cable Info'!L266="","",CONCATENATE('Cable Info'!L266," - ",'Cable Info'!M266))</f>
        <v>265 - TW</v>
      </c>
      <c r="AM267" s="121" t="str">
        <f t="shared" si="71"/>
        <v>265 - TW</v>
      </c>
      <c r="AO267" s="121" t="str">
        <f>IF('Cable Info'!N266="","",CONCATENATE('Cable Info'!N266," - ",'Cable Info'!O266))</f>
        <v>265 - TW</v>
      </c>
      <c r="AR267" s="121" t="str">
        <f t="shared" si="72"/>
        <v>265 - TW</v>
      </c>
      <c r="AT267" s="121" t="e">
        <f>IF('Cable Info'!P266="","",CONCATENATE('Cable Info'!P266," - ",'Cable Info'!Q266))</f>
        <v>#N/A</v>
      </c>
      <c r="AU267" s="121" t="s">
        <v>51</v>
      </c>
      <c r="AW267" s="121" t="e">
        <f t="shared" si="73"/>
        <v>#N/A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str">
        <f>IF('Cable Info'!L267="","",CONCATENATE('Cable Info'!L267," - ",'Cable Info'!M267))</f>
        <v>266 - TW</v>
      </c>
      <c r="AM268" s="121" t="str">
        <f t="shared" si="71"/>
        <v>266 - TW</v>
      </c>
      <c r="AO268" s="121" t="str">
        <f>IF('Cable Info'!N267="","",CONCATENATE('Cable Info'!N267," - ",'Cable Info'!O267))</f>
        <v>266 - TW</v>
      </c>
      <c r="AR268" s="121" t="str">
        <f t="shared" si="72"/>
        <v>266 - TW</v>
      </c>
      <c r="AT268" s="121" t="e">
        <f>IF('Cable Info'!P267="","",CONCATENATE('Cable Info'!P267," - ",'Cable Info'!Q267))</f>
        <v>#N/A</v>
      </c>
      <c r="AU268" s="121" t="s">
        <v>51</v>
      </c>
      <c r="AW268" s="121" t="e">
        <f t="shared" si="73"/>
        <v>#N/A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str">
        <f>IF('Cable Info'!L268="","",CONCATENATE('Cable Info'!L268," - ",'Cable Info'!M268))</f>
        <v>267 - TW</v>
      </c>
      <c r="AM269" s="121" t="str">
        <f t="shared" ref="AM269:AM332" si="83">IF(AK269="",AJ269,CONCATENATE(AJ269,"  &lt;=&gt; ",AK269," ",AL269))</f>
        <v>267 - TW</v>
      </c>
      <c r="AO269" s="121" t="str">
        <f>IF('Cable Info'!N268="","",CONCATENATE('Cable Info'!N268," - ",'Cable Info'!O268))</f>
        <v>267 - TW</v>
      </c>
      <c r="AR269" s="121" t="str">
        <f t="shared" ref="AR269:AR332" si="84">IF(AP269="",AO269,CONCATENATE(AO269,"  &lt;=&gt; ",AP269," ",AQ269))</f>
        <v>267 - TW</v>
      </c>
      <c r="AT269" s="121" t="e">
        <f>IF('Cable Info'!P268="","",CONCATENATE('Cable Info'!P268," - ",'Cable Info'!Q268))</f>
        <v>#N/A</v>
      </c>
      <c r="AU269" s="121" t="s">
        <v>51</v>
      </c>
      <c r="AW269" s="121" t="e">
        <f t="shared" ref="AW269:AW332" si="85">IF(AU269="",AT269,CONCATENATE(AT269,"  &lt;=&gt; ",AU269," ",AV269))</f>
        <v>#N/A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str">
        <f>IF('Cable Info'!L269="","",CONCATENATE('Cable Info'!L269," - ",'Cable Info'!M269))</f>
        <v>268 - TW</v>
      </c>
      <c r="AM270" s="121" t="str">
        <f t="shared" si="83"/>
        <v>268 - TW</v>
      </c>
      <c r="AO270" s="121" t="str">
        <f>IF('Cable Info'!N269="","",CONCATENATE('Cable Info'!N269," - ",'Cable Info'!O269))</f>
        <v>268 - TW</v>
      </c>
      <c r="AR270" s="121" t="str">
        <f t="shared" si="84"/>
        <v>268 - TW</v>
      </c>
      <c r="AT270" s="121" t="e">
        <f>IF('Cable Info'!P269="","",CONCATENATE('Cable Info'!P269," - ",'Cable Info'!Q269))</f>
        <v>#N/A</v>
      </c>
      <c r="AU270" s="121" t="s">
        <v>51</v>
      </c>
      <c r="AW270" s="121" t="e">
        <f t="shared" si="85"/>
        <v>#N/A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str">
        <f>IF('Cable Info'!L270="","",CONCATENATE('Cable Info'!L270," - ",'Cable Info'!M270))</f>
        <v>269 - TW</v>
      </c>
      <c r="AM271" s="121" t="str">
        <f t="shared" si="83"/>
        <v>269 - TW</v>
      </c>
      <c r="AO271" s="121" t="str">
        <f>IF('Cable Info'!N270="","",CONCATENATE('Cable Info'!N270," - ",'Cable Info'!O270))</f>
        <v>269 - TW</v>
      </c>
      <c r="AR271" s="121" t="str">
        <f t="shared" si="84"/>
        <v>269 - TW</v>
      </c>
      <c r="AT271" s="121" t="e">
        <f>IF('Cable Info'!P270="","",CONCATENATE('Cable Info'!P270," - ",'Cable Info'!Q270))</f>
        <v>#N/A</v>
      </c>
      <c r="AU271" s="121" t="s">
        <v>51</v>
      </c>
      <c r="AW271" s="121" t="e">
        <f t="shared" si="85"/>
        <v>#N/A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str">
        <f>IF('Cable Info'!L271="","",CONCATENATE('Cable Info'!L271," - ",'Cable Info'!M271))</f>
        <v>270 - TW</v>
      </c>
      <c r="AM272" s="121" t="str">
        <f t="shared" si="83"/>
        <v>270 - TW</v>
      </c>
      <c r="AO272" s="121" t="str">
        <f>IF('Cable Info'!N271="","",CONCATENATE('Cable Info'!N271," - ",'Cable Info'!O271))</f>
        <v>270 - TW</v>
      </c>
      <c r="AR272" s="121" t="str">
        <f t="shared" si="84"/>
        <v>270 - TW</v>
      </c>
      <c r="AT272" s="121" t="e">
        <f>IF('Cable Info'!P271="","",CONCATENATE('Cable Info'!P271," - ",'Cable Info'!Q271))</f>
        <v>#N/A</v>
      </c>
      <c r="AU272" s="121" t="s">
        <v>51</v>
      </c>
      <c r="AW272" s="121" t="e">
        <f t="shared" si="85"/>
        <v>#N/A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str">
        <f>IF('Cable Info'!L272="","",CONCATENATE('Cable Info'!L272," - ",'Cable Info'!M272))</f>
        <v>271 - TW</v>
      </c>
      <c r="AM273" s="121" t="str">
        <f t="shared" si="83"/>
        <v>271 - TW</v>
      </c>
      <c r="AO273" s="121" t="str">
        <f>IF('Cable Info'!N272="","",CONCATENATE('Cable Info'!N272," - ",'Cable Info'!O272))</f>
        <v>271 - TW</v>
      </c>
      <c r="AR273" s="121" t="str">
        <f t="shared" si="84"/>
        <v>271 - TW</v>
      </c>
      <c r="AT273" s="121" t="e">
        <f>IF('Cable Info'!P272="","",CONCATENATE('Cable Info'!P272," - ",'Cable Info'!Q272))</f>
        <v>#N/A</v>
      </c>
      <c r="AU273" s="121" t="s">
        <v>51</v>
      </c>
      <c r="AW273" s="121" t="e">
        <f t="shared" si="85"/>
        <v>#N/A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str">
        <f>IF('Cable Info'!L273="","",CONCATENATE('Cable Info'!L273," - ",'Cable Info'!M273))</f>
        <v>272 - TW</v>
      </c>
      <c r="AM274" s="121" t="str">
        <f t="shared" si="83"/>
        <v>272 - TW</v>
      </c>
      <c r="AO274" s="121" t="str">
        <f>IF('Cable Info'!N273="","",CONCATENATE('Cable Info'!N273," - ",'Cable Info'!O273))</f>
        <v>272 - TW</v>
      </c>
      <c r="AR274" s="121" t="str">
        <f t="shared" si="84"/>
        <v>272 - TW</v>
      </c>
      <c r="AT274" s="121" t="e">
        <f>IF('Cable Info'!P273="","",CONCATENATE('Cable Info'!P273," - ",'Cable Info'!Q273))</f>
        <v>#N/A</v>
      </c>
      <c r="AU274" s="121" t="s">
        <v>51</v>
      </c>
      <c r="AW274" s="121" t="e">
        <f t="shared" si="85"/>
        <v>#N/A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str">
        <f>IF('Cable Info'!L274="","",CONCATENATE('Cable Info'!L274," - ",'Cable Info'!M274))</f>
        <v>273 - TW</v>
      </c>
      <c r="AM275" s="121" t="str">
        <f t="shared" si="83"/>
        <v>273 - TW</v>
      </c>
      <c r="AO275" s="121" t="str">
        <f>IF('Cable Info'!N274="","",CONCATENATE('Cable Info'!N274," - ",'Cable Info'!O274))</f>
        <v>273 - TW</v>
      </c>
      <c r="AR275" s="121" t="str">
        <f t="shared" si="84"/>
        <v>273 - TW</v>
      </c>
      <c r="AT275" s="121" t="e">
        <f>IF('Cable Info'!P274="","",CONCATENATE('Cable Info'!P274," - ",'Cable Info'!Q274))</f>
        <v>#N/A</v>
      </c>
      <c r="AU275" s="121" t="s">
        <v>51</v>
      </c>
      <c r="AW275" s="121" t="e">
        <f t="shared" si="85"/>
        <v>#N/A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str">
        <f>IF('Cable Info'!L275="","",CONCATENATE('Cable Info'!L275," - ",'Cable Info'!M275))</f>
        <v>274 - TW</v>
      </c>
      <c r="AM276" s="121" t="str">
        <f t="shared" si="83"/>
        <v>274 - TW</v>
      </c>
      <c r="AO276" s="121" t="str">
        <f>IF('Cable Info'!N275="","",CONCATENATE('Cable Info'!N275," - ",'Cable Info'!O275))</f>
        <v>274 - TW</v>
      </c>
      <c r="AR276" s="121" t="str">
        <f t="shared" si="84"/>
        <v>274 - TW</v>
      </c>
      <c r="AT276" s="121" t="e">
        <f>IF('Cable Info'!P275="","",CONCATENATE('Cable Info'!P275," - ",'Cable Info'!Q275))</f>
        <v>#N/A</v>
      </c>
      <c r="AU276" s="121" t="s">
        <v>51</v>
      </c>
      <c r="AW276" s="121" t="e">
        <f t="shared" si="85"/>
        <v>#N/A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str">
        <f>IF('Cable Info'!L276="","",CONCATENATE('Cable Info'!L276," - ",'Cable Info'!M276))</f>
        <v>275 - TW</v>
      </c>
      <c r="AM277" s="121" t="str">
        <f t="shared" si="83"/>
        <v>275 - TW</v>
      </c>
      <c r="AO277" s="121" t="str">
        <f>IF('Cable Info'!N276="","",CONCATENATE('Cable Info'!N276," - ",'Cable Info'!O276))</f>
        <v>275 - TW</v>
      </c>
      <c r="AR277" s="121" t="str">
        <f t="shared" si="84"/>
        <v>275 - TW</v>
      </c>
      <c r="AT277" s="121" t="e">
        <f>IF('Cable Info'!P276="","",CONCATENATE('Cable Info'!P276," - ",'Cable Info'!Q276))</f>
        <v>#N/A</v>
      </c>
      <c r="AU277" s="121" t="s">
        <v>51</v>
      </c>
      <c r="AW277" s="121" t="e">
        <f t="shared" si="85"/>
        <v>#N/A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str">
        <f>IF('Cable Info'!L277="","",CONCATENATE('Cable Info'!L277," - ",'Cable Info'!M277))</f>
        <v>276 - TW</v>
      </c>
      <c r="AM278" s="121" t="str">
        <f t="shared" si="83"/>
        <v>276 - TW</v>
      </c>
      <c r="AO278" s="121" t="str">
        <f>IF('Cable Info'!N277="","",CONCATENATE('Cable Info'!N277," - ",'Cable Info'!O277))</f>
        <v>276 - TW</v>
      </c>
      <c r="AR278" s="121" t="str">
        <f t="shared" si="84"/>
        <v>276 - TW</v>
      </c>
      <c r="AT278" s="121" t="e">
        <f>IF('Cable Info'!P277="","",CONCATENATE('Cable Info'!P277," - ",'Cable Info'!Q277))</f>
        <v>#N/A</v>
      </c>
      <c r="AU278" s="121" t="s">
        <v>51</v>
      </c>
      <c r="AW278" s="121" t="e">
        <f t="shared" si="85"/>
        <v>#N/A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str">
        <f>IF('Cable Info'!L278="","",CONCATENATE('Cable Info'!L278," - ",'Cable Info'!M278))</f>
        <v>277 - TW</v>
      </c>
      <c r="AM279" s="121" t="str">
        <f t="shared" si="83"/>
        <v>277 - TW</v>
      </c>
      <c r="AO279" s="121" t="str">
        <f>IF('Cable Info'!N278="","",CONCATENATE('Cable Info'!N278," - ",'Cable Info'!O278))</f>
        <v>277 - TW</v>
      </c>
      <c r="AR279" s="121" t="str">
        <f t="shared" si="84"/>
        <v>277 - TW</v>
      </c>
      <c r="AT279" s="121" t="e">
        <f>IF('Cable Info'!P278="","",CONCATENATE('Cable Info'!P278," - ",'Cable Info'!Q278))</f>
        <v>#N/A</v>
      </c>
      <c r="AU279" s="121" t="s">
        <v>51</v>
      </c>
      <c r="AW279" s="121" t="e">
        <f t="shared" si="85"/>
        <v>#N/A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str">
        <f>IF('Cable Info'!L279="","",CONCATENATE('Cable Info'!L279," - ",'Cable Info'!M279))</f>
        <v>278 - TW</v>
      </c>
      <c r="AM280" s="121" t="str">
        <f t="shared" si="83"/>
        <v>278 - TW</v>
      </c>
      <c r="AO280" s="121" t="str">
        <f>IF('Cable Info'!N279="","",CONCATENATE('Cable Info'!N279," - ",'Cable Info'!O279))</f>
        <v>278 - TW</v>
      </c>
      <c r="AR280" s="121" t="str">
        <f t="shared" si="84"/>
        <v>278 - TW</v>
      </c>
      <c r="AT280" s="121" t="e">
        <f>IF('Cable Info'!P279="","",CONCATENATE('Cable Info'!P279," - ",'Cable Info'!Q279))</f>
        <v>#N/A</v>
      </c>
      <c r="AU280" s="121" t="s">
        <v>51</v>
      </c>
      <c r="AW280" s="121" t="e">
        <f t="shared" si="85"/>
        <v>#N/A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str">
        <f>IF('Cable Info'!L280="","",CONCATENATE('Cable Info'!L280," - ",'Cable Info'!M280))</f>
        <v>279 - TW</v>
      </c>
      <c r="AM281" s="121" t="str">
        <f t="shared" si="83"/>
        <v>279 - TW</v>
      </c>
      <c r="AO281" s="121" t="str">
        <f>IF('Cable Info'!N280="","",CONCATENATE('Cable Info'!N280," - ",'Cable Info'!O280))</f>
        <v>279 - TW</v>
      </c>
      <c r="AR281" s="121" t="str">
        <f t="shared" si="84"/>
        <v>279 - TW</v>
      </c>
      <c r="AT281" s="121" t="e">
        <f>IF('Cable Info'!P280="","",CONCATENATE('Cable Info'!P280," - ",'Cable Info'!Q280))</f>
        <v>#N/A</v>
      </c>
      <c r="AU281" s="121" t="s">
        <v>51</v>
      </c>
      <c r="AW281" s="121" t="e">
        <f t="shared" si="85"/>
        <v>#N/A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str">
        <f>IF('Cable Info'!L281="","",CONCATENATE('Cable Info'!L281," - ",'Cable Info'!M281))</f>
        <v>280 - TW</v>
      </c>
      <c r="AM282" s="121" t="str">
        <f t="shared" si="83"/>
        <v>280 - TW</v>
      </c>
      <c r="AO282" s="121" t="str">
        <f>IF('Cable Info'!N281="","",CONCATENATE('Cable Info'!N281," - ",'Cable Info'!O281))</f>
        <v>280 - TW</v>
      </c>
      <c r="AR282" s="121" t="str">
        <f t="shared" si="84"/>
        <v>280 - TW</v>
      </c>
      <c r="AT282" s="121" t="e">
        <f>IF('Cable Info'!P281="","",CONCATENATE('Cable Info'!P281," - ",'Cable Info'!Q281))</f>
        <v>#N/A</v>
      </c>
      <c r="AU282" s="121" t="s">
        <v>51</v>
      </c>
      <c r="AW282" s="121" t="e">
        <f t="shared" si="85"/>
        <v>#N/A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str">
        <f>IF('Cable Info'!L282="","",CONCATENATE('Cable Info'!L282," - ",'Cable Info'!M282))</f>
        <v>281 - TW</v>
      </c>
      <c r="AM283" s="121" t="str">
        <f t="shared" si="83"/>
        <v>281 - TW</v>
      </c>
      <c r="AO283" s="121" t="str">
        <f>IF('Cable Info'!N282="","",CONCATENATE('Cable Info'!N282," - ",'Cable Info'!O282))</f>
        <v>281 - TW</v>
      </c>
      <c r="AR283" s="121" t="str">
        <f t="shared" si="84"/>
        <v>281 - TW</v>
      </c>
      <c r="AT283" s="121" t="e">
        <f>IF('Cable Info'!P282="","",CONCATENATE('Cable Info'!P282," - ",'Cable Info'!Q282))</f>
        <v>#N/A</v>
      </c>
      <c r="AU283" s="121" t="s">
        <v>51</v>
      </c>
      <c r="AW283" s="121" t="e">
        <f t="shared" si="85"/>
        <v>#N/A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str">
        <f>IF('Cable Info'!L283="","",CONCATENATE('Cable Info'!L283," - ",'Cable Info'!M283))</f>
        <v>282 - TW</v>
      </c>
      <c r="AM284" s="121" t="str">
        <f t="shared" si="83"/>
        <v>282 - TW</v>
      </c>
      <c r="AO284" s="121" t="str">
        <f>IF('Cable Info'!N283="","",CONCATENATE('Cable Info'!N283," - ",'Cable Info'!O283))</f>
        <v>282 - TW</v>
      </c>
      <c r="AR284" s="121" t="str">
        <f t="shared" si="84"/>
        <v>282 - TW</v>
      </c>
      <c r="AT284" s="121" t="e">
        <f>IF('Cable Info'!P283="","",CONCATENATE('Cable Info'!P283," - ",'Cable Info'!Q283))</f>
        <v>#N/A</v>
      </c>
      <c r="AU284" s="121" t="s">
        <v>51</v>
      </c>
      <c r="AW284" s="121" t="e">
        <f t="shared" si="85"/>
        <v>#N/A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str">
        <f>IF('Cable Info'!L284="","",CONCATENATE('Cable Info'!L284," - ",'Cable Info'!M284))</f>
        <v>283 - TW</v>
      </c>
      <c r="AM285" s="121" t="str">
        <f t="shared" si="83"/>
        <v>283 - TW</v>
      </c>
      <c r="AO285" s="121" t="str">
        <f>IF('Cable Info'!N284="","",CONCATENATE('Cable Info'!N284," - ",'Cable Info'!O284))</f>
        <v>283 - TW</v>
      </c>
      <c r="AR285" s="121" t="str">
        <f t="shared" si="84"/>
        <v>283 - TW</v>
      </c>
      <c r="AT285" s="121" t="e">
        <f>IF('Cable Info'!P284="","",CONCATENATE('Cable Info'!P284," - ",'Cable Info'!Q284))</f>
        <v>#N/A</v>
      </c>
      <c r="AU285" s="121" t="s">
        <v>51</v>
      </c>
      <c r="AW285" s="121" t="e">
        <f t="shared" si="85"/>
        <v>#N/A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str">
        <f>IF('Cable Info'!L285="","",CONCATENATE('Cable Info'!L285," - ",'Cable Info'!M285))</f>
        <v>284 - TW</v>
      </c>
      <c r="AM286" s="121" t="str">
        <f t="shared" si="83"/>
        <v>284 - TW</v>
      </c>
      <c r="AO286" s="121" t="str">
        <f>IF('Cable Info'!N285="","",CONCATENATE('Cable Info'!N285," - ",'Cable Info'!O285))</f>
        <v>284 - TW</v>
      </c>
      <c r="AR286" s="121" t="str">
        <f t="shared" si="84"/>
        <v>284 - TW</v>
      </c>
      <c r="AT286" s="121" t="e">
        <f>IF('Cable Info'!P285="","",CONCATENATE('Cable Info'!P285," - ",'Cable Info'!Q285))</f>
        <v>#N/A</v>
      </c>
      <c r="AU286" s="121" t="s">
        <v>51</v>
      </c>
      <c r="AW286" s="121" t="e">
        <f t="shared" si="85"/>
        <v>#N/A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str">
        <f>IF('Cable Info'!L286="","",CONCATENATE('Cable Info'!L286," - ",'Cable Info'!M286))</f>
        <v>285 - TW</v>
      </c>
      <c r="AM287" s="121" t="str">
        <f t="shared" si="83"/>
        <v>285 - TW</v>
      </c>
      <c r="AO287" s="121" t="str">
        <f>IF('Cable Info'!N286="","",CONCATENATE('Cable Info'!N286," - ",'Cable Info'!O286))</f>
        <v>285 - TW</v>
      </c>
      <c r="AR287" s="121" t="str">
        <f t="shared" si="84"/>
        <v>285 - TW</v>
      </c>
      <c r="AT287" s="121" t="e">
        <f>IF('Cable Info'!P286="","",CONCATENATE('Cable Info'!P286," - ",'Cable Info'!Q286))</f>
        <v>#N/A</v>
      </c>
      <c r="AU287" s="121" t="s">
        <v>51</v>
      </c>
      <c r="AW287" s="121" t="e">
        <f t="shared" si="85"/>
        <v>#N/A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str">
        <f>IF('Cable Info'!L287="","",CONCATENATE('Cable Info'!L287," - ",'Cable Info'!M287))</f>
        <v>286 - TW</v>
      </c>
      <c r="AM288" s="121" t="str">
        <f t="shared" si="83"/>
        <v>286 - TW</v>
      </c>
      <c r="AO288" s="121" t="str">
        <f>IF('Cable Info'!N287="","",CONCATENATE('Cable Info'!N287," - ",'Cable Info'!O287))</f>
        <v>286 - TW</v>
      </c>
      <c r="AR288" s="121" t="str">
        <f t="shared" si="84"/>
        <v>286 - TW</v>
      </c>
      <c r="AT288" s="121" t="e">
        <f>IF('Cable Info'!P287="","",CONCATENATE('Cable Info'!P287," - ",'Cable Info'!Q287))</f>
        <v>#N/A</v>
      </c>
      <c r="AU288" s="121" t="s">
        <v>51</v>
      </c>
      <c r="AW288" s="121" t="e">
        <f t="shared" si="85"/>
        <v>#N/A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str">
        <f>IF('Cable Info'!L288="","",CONCATENATE('Cable Info'!L288," - ",'Cable Info'!M288))</f>
        <v>287 - TW</v>
      </c>
      <c r="AM289" s="121" t="str">
        <f t="shared" si="83"/>
        <v>287 - TW</v>
      </c>
      <c r="AO289" s="121" t="str">
        <f>IF('Cable Info'!N288="","",CONCATENATE('Cable Info'!N288," - ",'Cable Info'!O288))</f>
        <v>287 - TW</v>
      </c>
      <c r="AR289" s="121" t="str">
        <f t="shared" si="84"/>
        <v>287 - TW</v>
      </c>
      <c r="AT289" s="121" t="e">
        <f>IF('Cable Info'!P288="","",CONCATENATE('Cable Info'!P288," - ",'Cable Info'!Q288))</f>
        <v>#N/A</v>
      </c>
      <c r="AU289" s="121" t="s">
        <v>51</v>
      </c>
      <c r="AW289" s="121" t="e">
        <f t="shared" si="85"/>
        <v>#N/A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str">
        <f>IF('Cable Info'!L289="","",CONCATENATE('Cable Info'!L289," - ",'Cable Info'!M289))</f>
        <v>288 - TW</v>
      </c>
      <c r="AM290" s="121" t="str">
        <f t="shared" si="83"/>
        <v>288 - TW</v>
      </c>
      <c r="AO290" s="121" t="str">
        <f>IF('Cable Info'!N289="","",CONCATENATE('Cable Info'!N289," - ",'Cable Info'!O289))</f>
        <v>288 - TW</v>
      </c>
      <c r="AR290" s="121" t="str">
        <f t="shared" si="84"/>
        <v>288 - TW</v>
      </c>
      <c r="AT290" s="121" t="e">
        <f>IF('Cable Info'!P289="","",CONCATENATE('Cable Info'!P289," - ",'Cable Info'!Q289))</f>
        <v>#N/A</v>
      </c>
      <c r="AU290" s="121" t="s">
        <v>51</v>
      </c>
      <c r="AW290" s="121" t="e">
        <f t="shared" si="85"/>
        <v>#N/A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str">
        <f>IF('Cable Info'!L290="","",CONCATENATE('Cable Info'!L290," - ",'Cable Info'!M290))</f>
        <v>289 - AW</v>
      </c>
      <c r="AM291" s="121" t="str">
        <f t="shared" si="83"/>
        <v>289 - AW</v>
      </c>
      <c r="AO291" s="121" t="str">
        <f>IF('Cable Info'!N290="","",CONCATENATE('Cable Info'!N290," - ",'Cable Info'!O290))</f>
        <v>289 - AW</v>
      </c>
      <c r="AR291" s="121" t="str">
        <f t="shared" si="84"/>
        <v>289 - AW</v>
      </c>
      <c r="AT291" s="121" t="e">
        <f>IF('Cable Info'!P290="","",CONCATENATE('Cable Info'!P290," - ",'Cable Info'!Q290))</f>
        <v>#N/A</v>
      </c>
      <c r="AU291" s="121" t="s">
        <v>51</v>
      </c>
      <c r="AW291" s="121" t="e">
        <f t="shared" si="85"/>
        <v>#N/A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str">
        <f>IF('Cable Info'!L291="","",CONCATENATE('Cable Info'!L291," - ",'Cable Info'!M291))</f>
        <v>290 - AW</v>
      </c>
      <c r="AM292" s="121" t="str">
        <f t="shared" si="83"/>
        <v>290 - AW</v>
      </c>
      <c r="AO292" s="121" t="str">
        <f>IF('Cable Info'!N291="","",CONCATENATE('Cable Info'!N291," - ",'Cable Info'!O291))</f>
        <v>290 - AW</v>
      </c>
      <c r="AR292" s="121" t="str">
        <f t="shared" si="84"/>
        <v>290 - AW</v>
      </c>
      <c r="AT292" s="121" t="e">
        <f>IF('Cable Info'!P291="","",CONCATENATE('Cable Info'!P291," - ",'Cable Info'!Q291))</f>
        <v>#N/A</v>
      </c>
      <c r="AU292" s="121" t="s">
        <v>51</v>
      </c>
      <c r="AW292" s="121" t="e">
        <f t="shared" si="85"/>
        <v>#N/A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str">
        <f>IF('Cable Info'!L292="","",CONCATENATE('Cable Info'!L292," - ",'Cable Info'!M292))</f>
        <v>291 - AW</v>
      </c>
      <c r="AM293" s="121" t="str">
        <f t="shared" si="83"/>
        <v>291 - AW</v>
      </c>
      <c r="AO293" s="121" t="str">
        <f>IF('Cable Info'!N292="","",CONCATENATE('Cable Info'!N292," - ",'Cable Info'!O292))</f>
        <v>291 - AW</v>
      </c>
      <c r="AR293" s="121" t="str">
        <f t="shared" si="84"/>
        <v>291 - AW</v>
      </c>
      <c r="AT293" s="121" t="e">
        <f>IF('Cable Info'!P292="","",CONCATENATE('Cable Info'!P292," - ",'Cable Info'!Q292))</f>
        <v>#N/A</v>
      </c>
      <c r="AU293" s="121" t="s">
        <v>51</v>
      </c>
      <c r="AW293" s="121" t="e">
        <f t="shared" si="85"/>
        <v>#N/A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str">
        <f>IF('Cable Info'!L293="","",CONCATENATE('Cable Info'!L293," - ",'Cable Info'!M293))</f>
        <v>292 - AW</v>
      </c>
      <c r="AM294" s="121" t="str">
        <f t="shared" si="83"/>
        <v>292 - AW</v>
      </c>
      <c r="AO294" s="121" t="str">
        <f>IF('Cable Info'!N293="","",CONCATENATE('Cable Info'!N293," - ",'Cable Info'!O293))</f>
        <v>292 - AW</v>
      </c>
      <c r="AR294" s="121" t="str">
        <f t="shared" si="84"/>
        <v>292 - AW</v>
      </c>
      <c r="AT294" s="121" t="e">
        <f>IF('Cable Info'!P293="","",CONCATENATE('Cable Info'!P293," - ",'Cable Info'!Q293))</f>
        <v>#N/A</v>
      </c>
      <c r="AU294" s="121" t="s">
        <v>51</v>
      </c>
      <c r="AW294" s="121" t="e">
        <f t="shared" si="85"/>
        <v>#N/A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str">
        <f>IF('Cable Info'!L294="","",CONCATENATE('Cable Info'!L294," - ",'Cable Info'!M294))</f>
        <v>293 - AW</v>
      </c>
      <c r="AM295" s="121" t="str">
        <f t="shared" si="83"/>
        <v>293 - AW</v>
      </c>
      <c r="AO295" s="121" t="str">
        <f>IF('Cable Info'!N294="","",CONCATENATE('Cable Info'!N294," - ",'Cable Info'!O294))</f>
        <v>293 - AW</v>
      </c>
      <c r="AR295" s="121" t="str">
        <f t="shared" si="84"/>
        <v>293 - AW</v>
      </c>
      <c r="AT295" s="121" t="e">
        <f>IF('Cable Info'!P294="","",CONCATENATE('Cable Info'!P294," - ",'Cable Info'!Q294))</f>
        <v>#N/A</v>
      </c>
      <c r="AU295" s="121" t="s">
        <v>51</v>
      </c>
      <c r="AW295" s="121" t="e">
        <f t="shared" si="85"/>
        <v>#N/A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str">
        <f>IF('Cable Info'!L295="","",CONCATENATE('Cable Info'!L295," - ",'Cable Info'!M295))</f>
        <v>294 - AW</v>
      </c>
      <c r="AM296" s="121" t="str">
        <f t="shared" si="83"/>
        <v>294 - AW</v>
      </c>
      <c r="AO296" s="121" t="str">
        <f>IF('Cable Info'!N295="","",CONCATENATE('Cable Info'!N295," - ",'Cable Info'!O295))</f>
        <v>294 - AW</v>
      </c>
      <c r="AR296" s="121" t="str">
        <f t="shared" si="84"/>
        <v>294 - AW</v>
      </c>
      <c r="AT296" s="121" t="e">
        <f>IF('Cable Info'!P295="","",CONCATENATE('Cable Info'!P295," - ",'Cable Info'!Q295))</f>
        <v>#N/A</v>
      </c>
      <c r="AU296" s="121" t="s">
        <v>51</v>
      </c>
      <c r="AW296" s="121" t="e">
        <f t="shared" si="85"/>
        <v>#N/A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str">
        <f>IF('Cable Info'!L296="","",CONCATENATE('Cable Info'!L296," - ",'Cable Info'!M296))</f>
        <v>295 - AW</v>
      </c>
      <c r="AM297" s="121" t="str">
        <f t="shared" si="83"/>
        <v>295 - AW</v>
      </c>
      <c r="AO297" s="121" t="str">
        <f>IF('Cable Info'!N296="","",CONCATENATE('Cable Info'!N296," - ",'Cable Info'!O296))</f>
        <v>295 - AW</v>
      </c>
      <c r="AR297" s="121" t="str">
        <f t="shared" si="84"/>
        <v>295 - AW</v>
      </c>
      <c r="AT297" s="121" t="e">
        <f>IF('Cable Info'!P296="","",CONCATENATE('Cable Info'!P296," - ",'Cable Info'!Q296))</f>
        <v>#N/A</v>
      </c>
      <c r="AU297" s="121" t="s">
        <v>51</v>
      </c>
      <c r="AW297" s="121" t="e">
        <f t="shared" si="85"/>
        <v>#N/A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str">
        <f>IF('Cable Info'!L297="","",CONCATENATE('Cable Info'!L297," - ",'Cable Info'!M297))</f>
        <v>296 - AW</v>
      </c>
      <c r="AM298" s="121" t="str">
        <f t="shared" si="83"/>
        <v>296 - AW</v>
      </c>
      <c r="AO298" s="121" t="str">
        <f>IF('Cable Info'!N297="","",CONCATENATE('Cable Info'!N297," - ",'Cable Info'!O297))</f>
        <v>296 - AW</v>
      </c>
      <c r="AR298" s="121" t="str">
        <f t="shared" si="84"/>
        <v>296 - AW</v>
      </c>
      <c r="AT298" s="121" t="e">
        <f>IF('Cable Info'!P297="","",CONCATENATE('Cable Info'!P297," - ",'Cable Info'!Q297))</f>
        <v>#N/A</v>
      </c>
      <c r="AU298" s="121" t="s">
        <v>51</v>
      </c>
      <c r="AW298" s="121" t="e">
        <f t="shared" si="85"/>
        <v>#N/A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str">
        <f>IF('Cable Info'!L298="","",CONCATENATE('Cable Info'!L298," - ",'Cable Info'!M298))</f>
        <v>297 - AW</v>
      </c>
      <c r="AM299" s="121" t="str">
        <f t="shared" si="83"/>
        <v>297 - AW</v>
      </c>
      <c r="AO299" s="121" t="str">
        <f>IF('Cable Info'!N298="","",CONCATENATE('Cable Info'!N298," - ",'Cable Info'!O298))</f>
        <v>297 - AW</v>
      </c>
      <c r="AR299" s="121" t="str">
        <f t="shared" si="84"/>
        <v>297 - AW</v>
      </c>
      <c r="AT299" s="121" t="e">
        <f>IF('Cable Info'!P298="","",CONCATENATE('Cable Info'!P298," - ",'Cable Info'!Q298))</f>
        <v>#N/A</v>
      </c>
      <c r="AU299" s="121" t="s">
        <v>51</v>
      </c>
      <c r="AW299" s="121" t="e">
        <f t="shared" si="85"/>
        <v>#N/A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str">
        <f>IF('Cable Info'!L299="","",CONCATENATE('Cable Info'!L299," - ",'Cable Info'!M299))</f>
        <v>298 - AW</v>
      </c>
      <c r="AM300" s="121" t="str">
        <f t="shared" si="83"/>
        <v>298 - AW</v>
      </c>
      <c r="AO300" s="121" t="str">
        <f>IF('Cable Info'!N299="","",CONCATENATE('Cable Info'!N299," - ",'Cable Info'!O299))</f>
        <v>298 - AW</v>
      </c>
      <c r="AR300" s="121" t="str">
        <f t="shared" si="84"/>
        <v>298 - AW</v>
      </c>
      <c r="AT300" s="121" t="e">
        <f>IF('Cable Info'!P299="","",CONCATENATE('Cable Info'!P299," - ",'Cable Info'!Q299))</f>
        <v>#N/A</v>
      </c>
      <c r="AU300" s="121" t="s">
        <v>51</v>
      </c>
      <c r="AW300" s="121" t="e">
        <f t="shared" si="85"/>
        <v>#N/A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str">
        <f>IF('Cable Info'!L300="","",CONCATENATE('Cable Info'!L300," - ",'Cable Info'!M300))</f>
        <v>299 - AW</v>
      </c>
      <c r="AM301" s="121" t="str">
        <f t="shared" si="83"/>
        <v>299 - AW</v>
      </c>
      <c r="AO301" s="121" t="str">
        <f>IF('Cable Info'!N300="","",CONCATENATE('Cable Info'!N300," - ",'Cable Info'!O300))</f>
        <v>299 - AW</v>
      </c>
      <c r="AR301" s="121" t="str">
        <f t="shared" si="84"/>
        <v>299 - AW</v>
      </c>
      <c r="AT301" s="121" t="e">
        <f>IF('Cable Info'!P300="","",CONCATENATE('Cable Info'!P300," - ",'Cable Info'!Q300))</f>
        <v>#N/A</v>
      </c>
      <c r="AU301" s="121" t="s">
        <v>51</v>
      </c>
      <c r="AW301" s="121" t="e">
        <f t="shared" si="85"/>
        <v>#N/A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str">
        <f>IF('Cable Info'!L301="","",CONCATENATE('Cable Info'!L301," - ",'Cable Info'!M301))</f>
        <v>300 - AW</v>
      </c>
      <c r="AM302" s="121" t="str">
        <f t="shared" si="83"/>
        <v>300 - AW</v>
      </c>
      <c r="AO302" s="121" t="str">
        <f>IF('Cable Info'!N301="","",CONCATENATE('Cable Info'!N301," - ",'Cable Info'!O301))</f>
        <v>300 - AW</v>
      </c>
      <c r="AR302" s="121" t="str">
        <f t="shared" si="84"/>
        <v>300 - AW</v>
      </c>
      <c r="AT302" s="121" t="e">
        <f>IF('Cable Info'!P301="","",CONCATENATE('Cable Info'!P301," - ",'Cable Info'!Q301))</f>
        <v>#N/A</v>
      </c>
      <c r="AU302" s="121" t="s">
        <v>51</v>
      </c>
      <c r="AW302" s="121" t="e">
        <f t="shared" si="85"/>
        <v>#N/A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str">
        <f>IF('Cable Info'!L302="","",CONCATENATE('Cable Info'!L302," - ",'Cable Info'!M302))</f>
        <v>301 - AW</v>
      </c>
      <c r="AM303" s="121" t="str">
        <f t="shared" si="83"/>
        <v>301 - AW</v>
      </c>
      <c r="AO303" s="121" t="str">
        <f>IF('Cable Info'!N302="","",CONCATENATE('Cable Info'!N302," - ",'Cable Info'!O302))</f>
        <v>301 - AW</v>
      </c>
      <c r="AR303" s="121" t="str">
        <f t="shared" si="84"/>
        <v>301 - AW</v>
      </c>
      <c r="AT303" s="121" t="e">
        <f>IF('Cable Info'!P302="","",CONCATENATE('Cable Info'!P302," - ",'Cable Info'!Q302))</f>
        <v>#N/A</v>
      </c>
      <c r="AU303" s="121" t="s">
        <v>51</v>
      </c>
      <c r="AW303" s="121" t="e">
        <f t="shared" si="85"/>
        <v>#N/A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str">
        <f>IF('Cable Info'!L303="","",CONCATENATE('Cable Info'!L303," - ",'Cable Info'!M303))</f>
        <v>302 - AW</v>
      </c>
      <c r="AM304" s="121" t="str">
        <f t="shared" si="83"/>
        <v>302 - AW</v>
      </c>
      <c r="AO304" s="121" t="str">
        <f>IF('Cable Info'!N303="","",CONCATENATE('Cable Info'!N303," - ",'Cable Info'!O303))</f>
        <v>302 - AW</v>
      </c>
      <c r="AR304" s="121" t="str">
        <f t="shared" si="84"/>
        <v>302 - AW</v>
      </c>
      <c r="AT304" s="121" t="e">
        <f>IF('Cable Info'!P303="","",CONCATENATE('Cable Info'!P303," - ",'Cable Info'!Q303))</f>
        <v>#N/A</v>
      </c>
      <c r="AU304" s="121" t="s">
        <v>51</v>
      </c>
      <c r="AW304" s="121" t="e">
        <f t="shared" si="85"/>
        <v>#N/A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str">
        <f>IF('Cable Info'!L304="","",CONCATENATE('Cable Info'!L304," - ",'Cable Info'!M304))</f>
        <v>303 - AW</v>
      </c>
      <c r="AM305" s="121" t="str">
        <f t="shared" si="83"/>
        <v>303 - AW</v>
      </c>
      <c r="AO305" s="121" t="str">
        <f>IF('Cable Info'!N304="","",CONCATENATE('Cable Info'!N304," - ",'Cable Info'!O304))</f>
        <v>303 - AW</v>
      </c>
      <c r="AR305" s="121" t="str">
        <f t="shared" si="84"/>
        <v>303 - AW</v>
      </c>
      <c r="AT305" s="121" t="e">
        <f>IF('Cable Info'!P304="","",CONCATENATE('Cable Info'!P304," - ",'Cable Info'!Q304))</f>
        <v>#N/A</v>
      </c>
      <c r="AU305" s="121" t="s">
        <v>51</v>
      </c>
      <c r="AW305" s="121" t="e">
        <f t="shared" si="85"/>
        <v>#N/A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str">
        <f>IF('Cable Info'!L305="","",CONCATENATE('Cable Info'!L305," - ",'Cable Info'!M305))</f>
        <v>304 - AW</v>
      </c>
      <c r="AM306" s="121" t="str">
        <f t="shared" si="83"/>
        <v>304 - AW</v>
      </c>
      <c r="AO306" s="121" t="str">
        <f>IF('Cable Info'!N305="","",CONCATENATE('Cable Info'!N305," - ",'Cable Info'!O305))</f>
        <v>304 - AW</v>
      </c>
      <c r="AR306" s="121" t="str">
        <f t="shared" si="84"/>
        <v>304 - AW</v>
      </c>
      <c r="AT306" s="121" t="e">
        <f>IF('Cable Info'!P305="","",CONCATENATE('Cable Info'!P305," - ",'Cable Info'!Q305))</f>
        <v>#N/A</v>
      </c>
      <c r="AU306" s="121" t="s">
        <v>51</v>
      </c>
      <c r="AW306" s="121" t="e">
        <f t="shared" si="85"/>
        <v>#N/A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str">
        <f>IF('Cable Info'!L306="","",CONCATENATE('Cable Info'!L306," - ",'Cable Info'!M306))</f>
        <v>305 - AW</v>
      </c>
      <c r="AM307" s="121" t="str">
        <f t="shared" si="83"/>
        <v>305 - AW</v>
      </c>
      <c r="AO307" s="121" t="str">
        <f>IF('Cable Info'!N306="","",CONCATENATE('Cable Info'!N306," - ",'Cable Info'!O306))</f>
        <v>305 - AW</v>
      </c>
      <c r="AR307" s="121" t="str">
        <f t="shared" si="84"/>
        <v>305 - AW</v>
      </c>
      <c r="AT307" s="121" t="e">
        <f>IF('Cable Info'!P306="","",CONCATENATE('Cable Info'!P306," - ",'Cable Info'!Q306))</f>
        <v>#N/A</v>
      </c>
      <c r="AU307" s="121" t="s">
        <v>51</v>
      </c>
      <c r="AW307" s="121" t="e">
        <f t="shared" si="85"/>
        <v>#N/A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str">
        <f>IF('Cable Info'!L307="","",CONCATENATE('Cable Info'!L307," - ",'Cable Info'!M307))</f>
        <v>306 - AW</v>
      </c>
      <c r="AM308" s="121" t="str">
        <f t="shared" si="83"/>
        <v>306 - AW</v>
      </c>
      <c r="AO308" s="121" t="str">
        <f>IF('Cable Info'!N307="","",CONCATENATE('Cable Info'!N307," - ",'Cable Info'!O307))</f>
        <v>306 - AW</v>
      </c>
      <c r="AR308" s="121" t="str">
        <f t="shared" si="84"/>
        <v>306 - AW</v>
      </c>
      <c r="AT308" s="121" t="e">
        <f>IF('Cable Info'!P307="","",CONCATENATE('Cable Info'!P307," - ",'Cable Info'!Q307))</f>
        <v>#N/A</v>
      </c>
      <c r="AU308" s="121" t="s">
        <v>51</v>
      </c>
      <c r="AW308" s="121" t="e">
        <f t="shared" si="85"/>
        <v>#N/A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str">
        <f>IF('Cable Info'!L308="","",CONCATENATE('Cable Info'!L308," - ",'Cable Info'!M308))</f>
        <v>307 - AW</v>
      </c>
      <c r="AM309" s="121" t="str">
        <f t="shared" si="83"/>
        <v>307 - AW</v>
      </c>
      <c r="AO309" s="121" t="str">
        <f>IF('Cable Info'!N308="","",CONCATENATE('Cable Info'!N308," - ",'Cable Info'!O308))</f>
        <v>307 - AW</v>
      </c>
      <c r="AR309" s="121" t="str">
        <f t="shared" si="84"/>
        <v>307 - AW</v>
      </c>
      <c r="AT309" s="121" t="e">
        <f>IF('Cable Info'!P308="","",CONCATENATE('Cable Info'!P308," - ",'Cable Info'!Q308))</f>
        <v>#N/A</v>
      </c>
      <c r="AU309" s="121" t="s">
        <v>51</v>
      </c>
      <c r="AW309" s="121" t="e">
        <f t="shared" si="85"/>
        <v>#N/A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str">
        <f>IF('Cable Info'!L309="","",CONCATENATE('Cable Info'!L309," - ",'Cable Info'!M309))</f>
        <v>308 - AW</v>
      </c>
      <c r="AM310" s="121" t="str">
        <f t="shared" si="83"/>
        <v>308 - AW</v>
      </c>
      <c r="AO310" s="121" t="str">
        <f>IF('Cable Info'!N309="","",CONCATENATE('Cable Info'!N309," - ",'Cable Info'!O309))</f>
        <v>308 - AW</v>
      </c>
      <c r="AR310" s="121" t="str">
        <f t="shared" si="84"/>
        <v>308 - AW</v>
      </c>
      <c r="AT310" s="121" t="e">
        <f>IF('Cable Info'!P309="","",CONCATENATE('Cable Info'!P309," - ",'Cable Info'!Q309))</f>
        <v>#N/A</v>
      </c>
      <c r="AU310" s="121" t="s">
        <v>51</v>
      </c>
      <c r="AW310" s="121" t="e">
        <f t="shared" si="85"/>
        <v>#N/A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str">
        <f>IF('Cable Info'!L310="","",CONCATENATE('Cable Info'!L310," - ",'Cable Info'!M310))</f>
        <v>309 - AW</v>
      </c>
      <c r="AM311" s="121" t="str">
        <f t="shared" si="83"/>
        <v>309 - AW</v>
      </c>
      <c r="AO311" s="121" t="str">
        <f>IF('Cable Info'!N310="","",CONCATENATE('Cable Info'!N310," - ",'Cable Info'!O310))</f>
        <v>309 - AW</v>
      </c>
      <c r="AR311" s="121" t="str">
        <f t="shared" si="84"/>
        <v>309 - AW</v>
      </c>
      <c r="AT311" s="121" t="e">
        <f>IF('Cable Info'!P310="","",CONCATENATE('Cable Info'!P310," - ",'Cable Info'!Q310))</f>
        <v>#N/A</v>
      </c>
      <c r="AU311" s="121" t="s">
        <v>51</v>
      </c>
      <c r="AW311" s="121" t="e">
        <f t="shared" si="85"/>
        <v>#N/A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str">
        <f>IF('Cable Info'!L311="","",CONCATENATE('Cable Info'!L311," - ",'Cable Info'!M311))</f>
        <v>310 - AW</v>
      </c>
      <c r="AM312" s="121" t="str">
        <f t="shared" si="83"/>
        <v>310 - AW</v>
      </c>
      <c r="AO312" s="121" t="str">
        <f>IF('Cable Info'!N311="","",CONCATENATE('Cable Info'!N311," - ",'Cable Info'!O311))</f>
        <v>310 - AW</v>
      </c>
      <c r="AR312" s="121" t="str">
        <f t="shared" si="84"/>
        <v>310 - AW</v>
      </c>
      <c r="AT312" s="121" t="e">
        <f>IF('Cable Info'!P311="","",CONCATENATE('Cable Info'!P311," - ",'Cable Info'!Q311))</f>
        <v>#N/A</v>
      </c>
      <c r="AU312" s="121" t="s">
        <v>51</v>
      </c>
      <c r="AW312" s="121" t="e">
        <f t="shared" si="85"/>
        <v>#N/A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str">
        <f>IF('Cable Info'!L312="","",CONCATENATE('Cable Info'!L312," - ",'Cable Info'!M312))</f>
        <v>311 - AW</v>
      </c>
      <c r="AM313" s="121" t="str">
        <f t="shared" si="83"/>
        <v>311 - AW</v>
      </c>
      <c r="AO313" s="121" t="str">
        <f>IF('Cable Info'!N312="","",CONCATENATE('Cable Info'!N312," - ",'Cable Info'!O312))</f>
        <v>311 - AW</v>
      </c>
      <c r="AR313" s="121" t="str">
        <f t="shared" si="84"/>
        <v>311 - AW</v>
      </c>
      <c r="AT313" s="121" t="e">
        <f>IF('Cable Info'!P312="","",CONCATENATE('Cable Info'!P312," - ",'Cable Info'!Q312))</f>
        <v>#N/A</v>
      </c>
      <c r="AU313" s="121" t="s">
        <v>51</v>
      </c>
      <c r="AW313" s="121" t="e">
        <f t="shared" si="85"/>
        <v>#N/A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str">
        <f>IF('Cable Info'!L313="","",CONCATENATE('Cable Info'!L313," - ",'Cable Info'!M313))</f>
        <v>312 - AW</v>
      </c>
      <c r="AM314" s="121" t="str">
        <f t="shared" si="83"/>
        <v>312 - AW</v>
      </c>
      <c r="AO314" s="121" t="str">
        <f>IF('Cable Info'!N313="","",CONCATENATE('Cable Info'!N313," - ",'Cable Info'!O313))</f>
        <v>312 - AW</v>
      </c>
      <c r="AR314" s="121" t="str">
        <f t="shared" si="84"/>
        <v>312 - AW</v>
      </c>
      <c r="AT314" s="121" t="e">
        <f>IF('Cable Info'!P313="","",CONCATENATE('Cable Info'!P313," - ",'Cable Info'!Q313))</f>
        <v>#N/A</v>
      </c>
      <c r="AU314" s="121" t="s">
        <v>51</v>
      </c>
      <c r="AW314" s="121" t="e">
        <f t="shared" si="85"/>
        <v>#N/A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str">
        <f>IF('Cable Info'!L314="","",CONCATENATE('Cable Info'!L314," - ",'Cable Info'!M314))</f>
        <v>313 - AW</v>
      </c>
      <c r="AM315" s="121" t="str">
        <f t="shared" si="83"/>
        <v>313 - AW</v>
      </c>
      <c r="AO315" s="121" t="str">
        <f>IF('Cable Info'!N314="","",CONCATENATE('Cable Info'!N314," - ",'Cable Info'!O314))</f>
        <v>313 - AW</v>
      </c>
      <c r="AR315" s="121" t="str">
        <f t="shared" si="84"/>
        <v>313 - AW</v>
      </c>
      <c r="AT315" s="121" t="e">
        <f>IF('Cable Info'!P314="","",CONCATENATE('Cable Info'!P314," - ",'Cable Info'!Q314))</f>
        <v>#N/A</v>
      </c>
      <c r="AU315" s="121" t="s">
        <v>51</v>
      </c>
      <c r="AW315" s="121" t="e">
        <f t="shared" si="85"/>
        <v>#N/A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str">
        <f>IF('Cable Info'!L315="","",CONCATENATE('Cable Info'!L315," - ",'Cable Info'!M315))</f>
        <v>314 - AW</v>
      </c>
      <c r="AM316" s="121" t="str">
        <f t="shared" si="83"/>
        <v>314 - AW</v>
      </c>
      <c r="AO316" s="121" t="str">
        <f>IF('Cable Info'!N315="","",CONCATENATE('Cable Info'!N315," - ",'Cable Info'!O315))</f>
        <v>314 - AW</v>
      </c>
      <c r="AR316" s="121" t="str">
        <f t="shared" si="84"/>
        <v>314 - AW</v>
      </c>
      <c r="AT316" s="121" t="e">
        <f>IF('Cable Info'!P315="","",CONCATENATE('Cable Info'!P315," - ",'Cable Info'!Q315))</f>
        <v>#N/A</v>
      </c>
      <c r="AU316" s="121" t="s">
        <v>51</v>
      </c>
      <c r="AW316" s="121" t="e">
        <f t="shared" si="85"/>
        <v>#N/A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str">
        <f>IF('Cable Info'!L316="","",CONCATENATE('Cable Info'!L316," - ",'Cable Info'!M316))</f>
        <v>315 - AW</v>
      </c>
      <c r="AM317" s="121" t="str">
        <f t="shared" si="83"/>
        <v>315 - AW</v>
      </c>
      <c r="AO317" s="121" t="str">
        <f>IF('Cable Info'!N316="","",CONCATENATE('Cable Info'!N316," - ",'Cable Info'!O316))</f>
        <v>315 - AW</v>
      </c>
      <c r="AR317" s="121" t="str">
        <f t="shared" si="84"/>
        <v>315 - AW</v>
      </c>
      <c r="AT317" s="121" t="e">
        <f>IF('Cable Info'!P316="","",CONCATENATE('Cable Info'!P316," - ",'Cable Info'!Q316))</f>
        <v>#N/A</v>
      </c>
      <c r="AU317" s="121" t="s">
        <v>51</v>
      </c>
      <c r="AW317" s="121" t="e">
        <f t="shared" si="85"/>
        <v>#N/A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str">
        <f>IF('Cable Info'!L317="","",CONCATENATE('Cable Info'!L317," - ",'Cable Info'!M317))</f>
        <v>316 - AW</v>
      </c>
      <c r="AM318" s="121" t="str">
        <f t="shared" si="83"/>
        <v>316 - AW</v>
      </c>
      <c r="AO318" s="121" t="str">
        <f>IF('Cable Info'!N317="","",CONCATENATE('Cable Info'!N317," - ",'Cable Info'!O317))</f>
        <v>316 - AW</v>
      </c>
      <c r="AR318" s="121" t="str">
        <f t="shared" si="84"/>
        <v>316 - AW</v>
      </c>
      <c r="AT318" s="121" t="e">
        <f>IF('Cable Info'!P317="","",CONCATENATE('Cable Info'!P317," - ",'Cable Info'!Q317))</f>
        <v>#N/A</v>
      </c>
      <c r="AU318" s="121" t="s">
        <v>51</v>
      </c>
      <c r="AW318" s="121" t="e">
        <f t="shared" si="85"/>
        <v>#N/A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str">
        <f>IF('Cable Info'!L318="","",CONCATENATE('Cable Info'!L318," - ",'Cable Info'!M318))</f>
        <v>317 - AW</v>
      </c>
      <c r="AM319" s="121" t="str">
        <f t="shared" si="83"/>
        <v>317 - AW</v>
      </c>
      <c r="AO319" s="121" t="str">
        <f>IF('Cable Info'!N318="","",CONCATENATE('Cable Info'!N318," - ",'Cable Info'!O318))</f>
        <v>317 - AW</v>
      </c>
      <c r="AR319" s="121" t="str">
        <f t="shared" si="84"/>
        <v>317 - AW</v>
      </c>
      <c r="AT319" s="121" t="e">
        <f>IF('Cable Info'!P318="","",CONCATENATE('Cable Info'!P318," - ",'Cable Info'!Q318))</f>
        <v>#N/A</v>
      </c>
      <c r="AU319" s="121" t="s">
        <v>51</v>
      </c>
      <c r="AW319" s="121" t="e">
        <f t="shared" si="85"/>
        <v>#N/A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str">
        <f>IF('Cable Info'!L319="","",CONCATENATE('Cable Info'!L319," - ",'Cable Info'!M319))</f>
        <v>318 - AW</v>
      </c>
      <c r="AM320" s="121" t="str">
        <f t="shared" si="83"/>
        <v>318 - AW</v>
      </c>
      <c r="AO320" s="121" t="str">
        <f>IF('Cable Info'!N319="","",CONCATENATE('Cable Info'!N319," - ",'Cable Info'!O319))</f>
        <v>318 - AW</v>
      </c>
      <c r="AR320" s="121" t="str">
        <f t="shared" si="84"/>
        <v>318 - AW</v>
      </c>
      <c r="AT320" s="121" t="e">
        <f>IF('Cable Info'!P319="","",CONCATENATE('Cable Info'!P319," - ",'Cable Info'!Q319))</f>
        <v>#N/A</v>
      </c>
      <c r="AU320" s="121" t="s">
        <v>51</v>
      </c>
      <c r="AW320" s="121" t="e">
        <f t="shared" si="85"/>
        <v>#N/A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str">
        <f>IF('Cable Info'!L320="","",CONCATENATE('Cable Info'!L320," - ",'Cable Info'!M320))</f>
        <v>319 - AW</v>
      </c>
      <c r="AM321" s="121" t="str">
        <f t="shared" si="83"/>
        <v>319 - AW</v>
      </c>
      <c r="AO321" s="121" t="str">
        <f>IF('Cable Info'!N320="","",CONCATENATE('Cable Info'!N320," - ",'Cable Info'!O320))</f>
        <v>319 - AW</v>
      </c>
      <c r="AR321" s="121" t="str">
        <f t="shared" si="84"/>
        <v>319 - AW</v>
      </c>
      <c r="AT321" s="121" t="e">
        <f>IF('Cable Info'!P320="","",CONCATENATE('Cable Info'!P320," - ",'Cable Info'!Q320))</f>
        <v>#N/A</v>
      </c>
      <c r="AU321" s="121" t="s">
        <v>51</v>
      </c>
      <c r="AW321" s="121" t="e">
        <f t="shared" si="85"/>
        <v>#N/A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str">
        <f>IF('Cable Info'!L321="","",CONCATENATE('Cable Info'!L321," - ",'Cable Info'!M321))</f>
        <v>320 - AW</v>
      </c>
      <c r="AM322" s="121" t="str">
        <f t="shared" si="83"/>
        <v>320 - AW</v>
      </c>
      <c r="AO322" s="121" t="str">
        <f>IF('Cable Info'!N321="","",CONCATENATE('Cable Info'!N321," - ",'Cable Info'!O321))</f>
        <v>320 - AW</v>
      </c>
      <c r="AR322" s="121" t="str">
        <f t="shared" si="84"/>
        <v>320 - AW</v>
      </c>
      <c r="AT322" s="121" t="e">
        <f>IF('Cable Info'!P321="","",CONCATENATE('Cable Info'!P321," - ",'Cable Info'!Q321))</f>
        <v>#N/A</v>
      </c>
      <c r="AU322" s="121" t="s">
        <v>51</v>
      </c>
      <c r="AW322" s="121" t="e">
        <f t="shared" si="85"/>
        <v>#N/A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str">
        <f>IF('Cable Info'!L322="","",CONCATENATE('Cable Info'!L322," - ",'Cable Info'!M322))</f>
        <v>321 - AW</v>
      </c>
      <c r="AM323" s="121" t="str">
        <f t="shared" si="83"/>
        <v>321 - AW</v>
      </c>
      <c r="AO323" s="121" t="str">
        <f>IF('Cable Info'!N322="","",CONCATENATE('Cable Info'!N322," - ",'Cable Info'!O322))</f>
        <v>321 - AW</v>
      </c>
      <c r="AR323" s="121" t="str">
        <f t="shared" si="84"/>
        <v>321 - AW</v>
      </c>
      <c r="AT323" s="121" t="e">
        <f>IF('Cable Info'!P322="","",CONCATENATE('Cable Info'!P322," - ",'Cable Info'!Q322))</f>
        <v>#N/A</v>
      </c>
      <c r="AU323" s="121" t="s">
        <v>51</v>
      </c>
      <c r="AW323" s="121" t="e">
        <f t="shared" si="85"/>
        <v>#N/A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str">
        <f>IF('Cable Info'!L323="","",CONCATENATE('Cable Info'!L323," - ",'Cable Info'!M323))</f>
        <v>322 - AW</v>
      </c>
      <c r="AM324" s="121" t="str">
        <f t="shared" si="83"/>
        <v>322 - AW</v>
      </c>
      <c r="AO324" s="121" t="str">
        <f>IF('Cable Info'!N323="","",CONCATENATE('Cable Info'!N323," - ",'Cable Info'!O323))</f>
        <v>322 - AW</v>
      </c>
      <c r="AR324" s="121" t="str">
        <f t="shared" si="84"/>
        <v>322 - AW</v>
      </c>
      <c r="AT324" s="121" t="e">
        <f>IF('Cable Info'!P323="","",CONCATENATE('Cable Info'!P323," - ",'Cable Info'!Q323))</f>
        <v>#N/A</v>
      </c>
      <c r="AU324" s="121" t="s">
        <v>51</v>
      </c>
      <c r="AW324" s="121" t="e">
        <f t="shared" si="85"/>
        <v>#N/A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str">
        <f>IF('Cable Info'!L324="","",CONCATENATE('Cable Info'!L324," - ",'Cable Info'!M324))</f>
        <v>323 - AW</v>
      </c>
      <c r="AM325" s="121" t="str">
        <f t="shared" si="83"/>
        <v>323 - AW</v>
      </c>
      <c r="AO325" s="121" t="str">
        <f>IF('Cable Info'!N324="","",CONCATENATE('Cable Info'!N324," - ",'Cable Info'!O324))</f>
        <v>323 - AW</v>
      </c>
      <c r="AR325" s="121" t="str">
        <f t="shared" si="84"/>
        <v>323 - AW</v>
      </c>
      <c r="AT325" s="121" t="e">
        <f>IF('Cable Info'!P324="","",CONCATENATE('Cable Info'!P324," - ",'Cable Info'!Q324))</f>
        <v>#N/A</v>
      </c>
      <c r="AU325" s="121" t="s">
        <v>51</v>
      </c>
      <c r="AW325" s="121" t="e">
        <f t="shared" si="85"/>
        <v>#N/A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str">
        <f>IF('Cable Info'!L325="","",CONCATENATE('Cable Info'!L325," - ",'Cable Info'!M325))</f>
        <v>324 - AW</v>
      </c>
      <c r="AM326" s="121" t="str">
        <f t="shared" si="83"/>
        <v>324 - AW</v>
      </c>
      <c r="AO326" s="121" t="str">
        <f>IF('Cable Info'!N325="","",CONCATENATE('Cable Info'!N325," - ",'Cable Info'!O325))</f>
        <v>324 - AW</v>
      </c>
      <c r="AR326" s="121" t="str">
        <f t="shared" si="84"/>
        <v>324 - AW</v>
      </c>
      <c r="AT326" s="121" t="e">
        <f>IF('Cable Info'!P325="","",CONCATENATE('Cable Info'!P325," - ",'Cable Info'!Q325))</f>
        <v>#N/A</v>
      </c>
      <c r="AU326" s="121" t="s">
        <v>51</v>
      </c>
      <c r="AW326" s="121" t="e">
        <f t="shared" si="85"/>
        <v>#N/A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str">
        <f>IF('Cable Info'!L326="","",CONCATENATE('Cable Info'!L326," - ",'Cable Info'!M326))</f>
        <v>325 - AW</v>
      </c>
      <c r="AM327" s="121" t="str">
        <f t="shared" si="83"/>
        <v>325 - AW</v>
      </c>
      <c r="AO327" s="121" t="str">
        <f>IF('Cable Info'!N326="","",CONCATENATE('Cable Info'!N326," - ",'Cable Info'!O326))</f>
        <v>325 - AW</v>
      </c>
      <c r="AR327" s="121" t="str">
        <f t="shared" si="84"/>
        <v>325 - AW</v>
      </c>
      <c r="AT327" s="121" t="e">
        <f>IF('Cable Info'!P326="","",CONCATENATE('Cable Info'!P326," - ",'Cable Info'!Q326))</f>
        <v>#N/A</v>
      </c>
      <c r="AU327" s="121" t="s">
        <v>51</v>
      </c>
      <c r="AW327" s="121" t="e">
        <f t="shared" si="85"/>
        <v>#N/A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str">
        <f>IF('Cable Info'!L327="","",CONCATENATE('Cable Info'!L327," - ",'Cable Info'!M327))</f>
        <v>326 - AW</v>
      </c>
      <c r="AM328" s="121" t="str">
        <f t="shared" si="83"/>
        <v>326 - AW</v>
      </c>
      <c r="AO328" s="121" t="str">
        <f>IF('Cable Info'!N327="","",CONCATENATE('Cable Info'!N327," - ",'Cable Info'!O327))</f>
        <v>326 - AW</v>
      </c>
      <c r="AR328" s="121" t="str">
        <f t="shared" si="84"/>
        <v>326 - AW</v>
      </c>
      <c r="AT328" s="121" t="e">
        <f>IF('Cable Info'!P327="","",CONCATENATE('Cable Info'!P327," - ",'Cable Info'!Q327))</f>
        <v>#N/A</v>
      </c>
      <c r="AU328" s="121" t="s">
        <v>51</v>
      </c>
      <c r="AW328" s="121" t="e">
        <f t="shared" si="85"/>
        <v>#N/A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str">
        <f>IF('Cable Info'!L328="","",CONCATENATE('Cable Info'!L328," - ",'Cable Info'!M328))</f>
        <v>327 - AW</v>
      </c>
      <c r="AM329" s="121" t="str">
        <f t="shared" si="83"/>
        <v>327 - AW</v>
      </c>
      <c r="AO329" s="121" t="str">
        <f>IF('Cable Info'!N328="","",CONCATENATE('Cable Info'!N328," - ",'Cable Info'!O328))</f>
        <v>327 - AW</v>
      </c>
      <c r="AR329" s="121" t="str">
        <f t="shared" si="84"/>
        <v>327 - AW</v>
      </c>
      <c r="AT329" s="121" t="e">
        <f>IF('Cable Info'!P328="","",CONCATENATE('Cable Info'!P328," - ",'Cable Info'!Q328))</f>
        <v>#N/A</v>
      </c>
      <c r="AU329" s="121" t="s">
        <v>51</v>
      </c>
      <c r="AW329" s="121" t="e">
        <f t="shared" si="85"/>
        <v>#N/A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str">
        <f>IF('Cable Info'!L329="","",CONCATENATE('Cable Info'!L329," - ",'Cable Info'!M329))</f>
        <v>328 - AW</v>
      </c>
      <c r="AM330" s="121" t="str">
        <f t="shared" si="83"/>
        <v>328 - AW</v>
      </c>
      <c r="AO330" s="121" t="str">
        <f>IF('Cable Info'!N329="","",CONCATENATE('Cable Info'!N329," - ",'Cable Info'!O329))</f>
        <v>328 - AW</v>
      </c>
      <c r="AR330" s="121" t="str">
        <f t="shared" si="84"/>
        <v>328 - AW</v>
      </c>
      <c r="AT330" s="121" t="e">
        <f>IF('Cable Info'!P329="","",CONCATENATE('Cable Info'!P329," - ",'Cable Info'!Q329))</f>
        <v>#N/A</v>
      </c>
      <c r="AU330" s="121" t="s">
        <v>51</v>
      </c>
      <c r="AW330" s="121" t="e">
        <f t="shared" si="85"/>
        <v>#N/A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str">
        <f>IF('Cable Info'!L330="","",CONCATENATE('Cable Info'!L330," - ",'Cable Info'!M330))</f>
        <v>329 - AW</v>
      </c>
      <c r="AM331" s="121" t="str">
        <f t="shared" si="83"/>
        <v>329 - AW</v>
      </c>
      <c r="AO331" s="121" t="str">
        <f>IF('Cable Info'!N330="","",CONCATENATE('Cable Info'!N330," - ",'Cable Info'!O330))</f>
        <v>329 - AW</v>
      </c>
      <c r="AR331" s="121" t="str">
        <f t="shared" si="84"/>
        <v>329 - AW</v>
      </c>
      <c r="AT331" s="121" t="e">
        <f>IF('Cable Info'!P330="","",CONCATENATE('Cable Info'!P330," - ",'Cable Info'!Q330))</f>
        <v>#N/A</v>
      </c>
      <c r="AU331" s="121" t="s">
        <v>51</v>
      </c>
      <c r="AW331" s="121" t="e">
        <f t="shared" si="85"/>
        <v>#N/A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str">
        <f>IF('Cable Info'!L331="","",CONCATENATE('Cable Info'!L331," - ",'Cable Info'!M331))</f>
        <v>330 - AW</v>
      </c>
      <c r="AM332" s="121" t="str">
        <f t="shared" si="83"/>
        <v>330 - AW</v>
      </c>
      <c r="AO332" s="121" t="str">
        <f>IF('Cable Info'!N331="","",CONCATENATE('Cable Info'!N331," - ",'Cable Info'!O331))</f>
        <v>330 - AW</v>
      </c>
      <c r="AR332" s="121" t="str">
        <f t="shared" si="84"/>
        <v>330 - AW</v>
      </c>
      <c r="AT332" s="121" t="e">
        <f>IF('Cable Info'!P331="","",CONCATENATE('Cable Info'!P331," - ",'Cable Info'!Q331))</f>
        <v>#N/A</v>
      </c>
      <c r="AU332" s="121" t="s">
        <v>51</v>
      </c>
      <c r="AW332" s="121" t="e">
        <f t="shared" si="85"/>
        <v>#N/A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str">
        <f>IF('Cable Info'!L332="","",CONCATENATE('Cable Info'!L332," - ",'Cable Info'!M332))</f>
        <v>331 - AW</v>
      </c>
      <c r="AM333" s="121" t="str">
        <f t="shared" ref="AM333:AM368" si="95">IF(AK333="",AJ333,CONCATENATE(AJ333,"  &lt;=&gt; ",AK333," ",AL333))</f>
        <v>331 - AW</v>
      </c>
      <c r="AO333" s="121" t="str">
        <f>IF('Cable Info'!N332="","",CONCATENATE('Cable Info'!N332," - ",'Cable Info'!O332))</f>
        <v>331 - AW</v>
      </c>
      <c r="AR333" s="121" t="str">
        <f t="shared" ref="AR333:AR368" si="96">IF(AP333="",AO333,CONCATENATE(AO333,"  &lt;=&gt; ",AP333," ",AQ333))</f>
        <v>331 - AW</v>
      </c>
      <c r="AT333" s="121" t="e">
        <f>IF('Cable Info'!P332="","",CONCATENATE('Cable Info'!P332," - ",'Cable Info'!Q332))</f>
        <v>#N/A</v>
      </c>
      <c r="AU333" s="121" t="s">
        <v>51</v>
      </c>
      <c r="AW333" s="121" t="e">
        <f t="shared" ref="AW333:AW368" si="97">IF(AU333="",AT333,CONCATENATE(AT333,"  &lt;=&gt; ",AU333," ",AV333))</f>
        <v>#N/A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str">
        <f>IF('Cable Info'!L333="","",CONCATENATE('Cable Info'!L333," - ",'Cable Info'!M333))</f>
        <v>332 - AW</v>
      </c>
      <c r="AM334" s="121" t="str">
        <f t="shared" si="95"/>
        <v>332 - AW</v>
      </c>
      <c r="AO334" s="121" t="str">
        <f>IF('Cable Info'!N333="","",CONCATENATE('Cable Info'!N333," - ",'Cable Info'!O333))</f>
        <v>332 - AW</v>
      </c>
      <c r="AR334" s="121" t="str">
        <f t="shared" si="96"/>
        <v>332 - AW</v>
      </c>
      <c r="AT334" s="121" t="e">
        <f>IF('Cable Info'!P333="","",CONCATENATE('Cable Info'!P333," - ",'Cable Info'!Q333))</f>
        <v>#N/A</v>
      </c>
      <c r="AU334" s="121" t="s">
        <v>51</v>
      </c>
      <c r="AW334" s="121" t="e">
        <f t="shared" si="97"/>
        <v>#N/A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str">
        <f>IF('Cable Info'!L334="","",CONCATENATE('Cable Info'!L334," - ",'Cable Info'!M334))</f>
        <v>333 - AW</v>
      </c>
      <c r="AM335" s="121" t="str">
        <f t="shared" si="95"/>
        <v>333 - AW</v>
      </c>
      <c r="AO335" s="121" t="str">
        <f>IF('Cable Info'!N334="","",CONCATENATE('Cable Info'!N334," - ",'Cable Info'!O334))</f>
        <v>333 - AW</v>
      </c>
      <c r="AR335" s="121" t="str">
        <f t="shared" si="96"/>
        <v>333 - AW</v>
      </c>
      <c r="AT335" s="121" t="e">
        <f>IF('Cable Info'!P334="","",CONCATENATE('Cable Info'!P334," - ",'Cable Info'!Q334))</f>
        <v>#N/A</v>
      </c>
      <c r="AU335" s="121" t="s">
        <v>51</v>
      </c>
      <c r="AW335" s="121" t="e">
        <f t="shared" si="97"/>
        <v>#N/A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str">
        <f>IF('Cable Info'!L335="","",CONCATENATE('Cable Info'!L335," - ",'Cable Info'!M335))</f>
        <v>334 - AW</v>
      </c>
      <c r="AM336" s="121" t="str">
        <f t="shared" si="95"/>
        <v>334 - AW</v>
      </c>
      <c r="AO336" s="121" t="str">
        <f>IF('Cable Info'!N335="","",CONCATENATE('Cable Info'!N335," - ",'Cable Info'!O335))</f>
        <v>334 - AW</v>
      </c>
      <c r="AR336" s="121" t="str">
        <f t="shared" si="96"/>
        <v>334 - AW</v>
      </c>
      <c r="AT336" s="121" t="e">
        <f>IF('Cable Info'!P335="","",CONCATENATE('Cable Info'!P335," - ",'Cable Info'!Q335))</f>
        <v>#N/A</v>
      </c>
      <c r="AU336" s="121" t="s">
        <v>51</v>
      </c>
      <c r="AW336" s="121" t="e">
        <f t="shared" si="97"/>
        <v>#N/A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str">
        <f>IF('Cable Info'!L336="","",CONCATENATE('Cable Info'!L336," - ",'Cable Info'!M336))</f>
        <v>335 - AW</v>
      </c>
      <c r="AM337" s="121" t="str">
        <f t="shared" si="95"/>
        <v>335 - AW</v>
      </c>
      <c r="AO337" s="121" t="str">
        <f>IF('Cable Info'!N336="","",CONCATENATE('Cable Info'!N336," - ",'Cable Info'!O336))</f>
        <v>335 - AW</v>
      </c>
      <c r="AR337" s="121" t="str">
        <f t="shared" si="96"/>
        <v>335 - AW</v>
      </c>
      <c r="AT337" s="121" t="e">
        <f>IF('Cable Info'!P336="","",CONCATENATE('Cable Info'!P336," - ",'Cable Info'!Q336))</f>
        <v>#N/A</v>
      </c>
      <c r="AU337" s="121" t="s">
        <v>51</v>
      </c>
      <c r="AW337" s="121" t="e">
        <f t="shared" si="97"/>
        <v>#N/A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str">
        <f>IF('Cable Info'!L337="","",CONCATENATE('Cable Info'!L337," - ",'Cable Info'!M337))</f>
        <v>336 - AW</v>
      </c>
      <c r="AM338" s="121" t="str">
        <f t="shared" si="95"/>
        <v>336 - AW</v>
      </c>
      <c r="AO338" s="121" t="str">
        <f>IF('Cable Info'!N337="","",CONCATENATE('Cable Info'!N337," - ",'Cable Info'!O337))</f>
        <v>336 - AW</v>
      </c>
      <c r="AR338" s="121" t="str">
        <f t="shared" si="96"/>
        <v>336 - AW</v>
      </c>
      <c r="AT338" s="121" t="e">
        <f>IF('Cable Info'!P337="","",CONCATENATE('Cable Info'!P337," - ",'Cable Info'!Q337))</f>
        <v>#N/A</v>
      </c>
      <c r="AU338" s="121" t="s">
        <v>51</v>
      </c>
      <c r="AW338" s="121" t="e">
        <f t="shared" si="97"/>
        <v>#N/A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str">
        <f>IF('Cable Info'!L338="","",CONCATENATE('Cable Info'!L338," - ",'Cable Info'!M338))</f>
        <v>337 - AW</v>
      </c>
      <c r="AM339" s="121" t="str">
        <f t="shared" si="95"/>
        <v>337 - AW</v>
      </c>
      <c r="AO339" s="121" t="str">
        <f>IF('Cable Info'!N338="","",CONCATENATE('Cable Info'!N338," - ",'Cable Info'!O338))</f>
        <v>337 - AW</v>
      </c>
      <c r="AR339" s="121" t="str">
        <f t="shared" si="96"/>
        <v>337 - AW</v>
      </c>
      <c r="AT339" s="121" t="e">
        <f>IF('Cable Info'!P338="","",CONCATENATE('Cable Info'!P338," - ",'Cable Info'!Q338))</f>
        <v>#N/A</v>
      </c>
      <c r="AU339" s="121" t="s">
        <v>51</v>
      </c>
      <c r="AW339" s="121" t="e">
        <f t="shared" si="97"/>
        <v>#N/A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str">
        <f>IF('Cable Info'!L339="","",CONCATENATE('Cable Info'!L339," - ",'Cable Info'!M339))</f>
        <v>338 - AW</v>
      </c>
      <c r="AM340" s="121" t="str">
        <f t="shared" si="95"/>
        <v>338 - AW</v>
      </c>
      <c r="AO340" s="121" t="str">
        <f>IF('Cable Info'!N339="","",CONCATENATE('Cable Info'!N339," - ",'Cable Info'!O339))</f>
        <v>338 - AW</v>
      </c>
      <c r="AR340" s="121" t="str">
        <f t="shared" si="96"/>
        <v>338 - AW</v>
      </c>
      <c r="AT340" s="121" t="e">
        <f>IF('Cable Info'!P339="","",CONCATENATE('Cable Info'!P339," - ",'Cable Info'!Q339))</f>
        <v>#N/A</v>
      </c>
      <c r="AU340" s="121" t="s">
        <v>51</v>
      </c>
      <c r="AW340" s="121" t="e">
        <f t="shared" si="97"/>
        <v>#N/A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str">
        <f>IF('Cable Info'!L340="","",CONCATENATE('Cable Info'!L340," - ",'Cable Info'!M340))</f>
        <v>339 - AW</v>
      </c>
      <c r="AM341" s="121" t="str">
        <f t="shared" si="95"/>
        <v>339 - AW</v>
      </c>
      <c r="AO341" s="121" t="str">
        <f>IF('Cable Info'!N340="","",CONCATENATE('Cable Info'!N340," - ",'Cable Info'!O340))</f>
        <v>339 - AW</v>
      </c>
      <c r="AR341" s="121" t="str">
        <f t="shared" si="96"/>
        <v>339 - AW</v>
      </c>
      <c r="AT341" s="121" t="e">
        <f>IF('Cable Info'!P340="","",CONCATENATE('Cable Info'!P340," - ",'Cable Info'!Q340))</f>
        <v>#N/A</v>
      </c>
      <c r="AU341" s="121" t="s">
        <v>51</v>
      </c>
      <c r="AW341" s="121" t="e">
        <f t="shared" si="97"/>
        <v>#N/A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str">
        <f>IF('Cable Info'!L341="","",CONCATENATE('Cable Info'!L341," - ",'Cable Info'!M341))</f>
        <v>340 - AW</v>
      </c>
      <c r="AM342" s="121" t="str">
        <f t="shared" si="95"/>
        <v>340 - AW</v>
      </c>
      <c r="AO342" s="121" t="str">
        <f>IF('Cable Info'!N341="","",CONCATENATE('Cable Info'!N341," - ",'Cable Info'!O341))</f>
        <v>340 - AW</v>
      </c>
      <c r="AR342" s="121" t="str">
        <f t="shared" si="96"/>
        <v>340 - AW</v>
      </c>
      <c r="AT342" s="121" t="e">
        <f>IF('Cable Info'!P341="","",CONCATENATE('Cable Info'!P341," - ",'Cable Info'!Q341))</f>
        <v>#N/A</v>
      </c>
      <c r="AU342" s="121" t="s">
        <v>51</v>
      </c>
      <c r="AW342" s="121" t="e">
        <f t="shared" si="97"/>
        <v>#N/A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str">
        <f>IF('Cable Info'!L342="","",CONCATENATE('Cable Info'!L342," - ",'Cable Info'!M342))</f>
        <v>341 - AW</v>
      </c>
      <c r="AM343" s="121" t="str">
        <f t="shared" si="95"/>
        <v>341 - AW</v>
      </c>
      <c r="AO343" s="121" t="str">
        <f>IF('Cable Info'!N342="","",CONCATENATE('Cable Info'!N342," - ",'Cable Info'!O342))</f>
        <v>341 - AW</v>
      </c>
      <c r="AR343" s="121" t="str">
        <f t="shared" si="96"/>
        <v>341 - AW</v>
      </c>
      <c r="AT343" s="121" t="e">
        <f>IF('Cable Info'!P342="","",CONCATENATE('Cable Info'!P342," - ",'Cable Info'!Q342))</f>
        <v>#N/A</v>
      </c>
      <c r="AU343" s="121" t="s">
        <v>51</v>
      </c>
      <c r="AW343" s="121" t="e">
        <f t="shared" si="97"/>
        <v>#N/A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str">
        <f>IF('Cable Info'!L343="","",CONCATENATE('Cable Info'!L343," - ",'Cable Info'!M343))</f>
        <v>342 - AW</v>
      </c>
      <c r="AM344" s="121" t="str">
        <f t="shared" si="95"/>
        <v>342 - AW</v>
      </c>
      <c r="AO344" s="121" t="str">
        <f>IF('Cable Info'!N343="","",CONCATENATE('Cable Info'!N343," - ",'Cable Info'!O343))</f>
        <v>342 - AW</v>
      </c>
      <c r="AR344" s="121" t="str">
        <f t="shared" si="96"/>
        <v>342 - AW</v>
      </c>
      <c r="AT344" s="121" t="e">
        <f>IF('Cable Info'!P343="","",CONCATENATE('Cable Info'!P343," - ",'Cable Info'!Q343))</f>
        <v>#N/A</v>
      </c>
      <c r="AU344" s="121" t="s">
        <v>51</v>
      </c>
      <c r="AW344" s="121" t="e">
        <f t="shared" si="97"/>
        <v>#N/A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str">
        <f>IF('Cable Info'!L344="","",CONCATENATE('Cable Info'!L344," - ",'Cable Info'!M344))</f>
        <v>343 - AW</v>
      </c>
      <c r="AM345" s="121" t="str">
        <f t="shared" si="95"/>
        <v>343 - AW</v>
      </c>
      <c r="AO345" s="121" t="str">
        <f>IF('Cable Info'!N344="","",CONCATENATE('Cable Info'!N344," - ",'Cable Info'!O344))</f>
        <v>343 - AW</v>
      </c>
      <c r="AR345" s="121" t="str">
        <f t="shared" si="96"/>
        <v>343 - AW</v>
      </c>
      <c r="AT345" s="121" t="e">
        <f>IF('Cable Info'!P344="","",CONCATENATE('Cable Info'!P344," - ",'Cable Info'!Q344))</f>
        <v>#N/A</v>
      </c>
      <c r="AU345" s="121" t="s">
        <v>51</v>
      </c>
      <c r="AW345" s="121" t="e">
        <f t="shared" si="97"/>
        <v>#N/A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str">
        <f>IF('Cable Info'!L345="","",CONCATENATE('Cable Info'!L345," - ",'Cable Info'!M345))</f>
        <v>344 - AW</v>
      </c>
      <c r="AM346" s="121" t="str">
        <f t="shared" si="95"/>
        <v>344 - AW</v>
      </c>
      <c r="AO346" s="121" t="str">
        <f>IF('Cable Info'!N345="","",CONCATENATE('Cable Info'!N345," - ",'Cable Info'!O345))</f>
        <v>344 - AW</v>
      </c>
      <c r="AR346" s="121" t="str">
        <f t="shared" si="96"/>
        <v>344 - AW</v>
      </c>
      <c r="AT346" s="121" t="e">
        <f>IF('Cable Info'!P345="","",CONCATENATE('Cable Info'!P345," - ",'Cable Info'!Q345))</f>
        <v>#N/A</v>
      </c>
      <c r="AU346" s="121" t="s">
        <v>51</v>
      </c>
      <c r="AW346" s="121" t="e">
        <f t="shared" si="97"/>
        <v>#N/A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str">
        <f>IF('Cable Info'!L346="","",CONCATENATE('Cable Info'!L346," - ",'Cable Info'!M346))</f>
        <v>345 - AW</v>
      </c>
      <c r="AM347" s="121" t="str">
        <f t="shared" si="95"/>
        <v>345 - AW</v>
      </c>
      <c r="AO347" s="121" t="str">
        <f>IF('Cable Info'!N346="","",CONCATENATE('Cable Info'!N346," - ",'Cable Info'!O346))</f>
        <v>345 - AW</v>
      </c>
      <c r="AR347" s="121" t="str">
        <f t="shared" si="96"/>
        <v>345 - AW</v>
      </c>
      <c r="AT347" s="121" t="e">
        <f>IF('Cable Info'!P346="","",CONCATENATE('Cable Info'!P346," - ",'Cable Info'!Q346))</f>
        <v>#N/A</v>
      </c>
      <c r="AU347" s="121" t="s">
        <v>51</v>
      </c>
      <c r="AW347" s="121" t="e">
        <f t="shared" si="97"/>
        <v>#N/A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str">
        <f>IF('Cable Info'!L347="","",CONCATENATE('Cable Info'!L347," - ",'Cable Info'!M347))</f>
        <v>346 - AW</v>
      </c>
      <c r="AM348" s="121" t="str">
        <f t="shared" si="95"/>
        <v>346 - AW</v>
      </c>
      <c r="AO348" s="121" t="str">
        <f>IF('Cable Info'!N347="","",CONCATENATE('Cable Info'!N347," - ",'Cable Info'!O347))</f>
        <v>346 - AW</v>
      </c>
      <c r="AR348" s="121" t="str">
        <f t="shared" si="96"/>
        <v>346 - AW</v>
      </c>
      <c r="AT348" s="121" t="e">
        <f>IF('Cable Info'!P347="","",CONCATENATE('Cable Info'!P347," - ",'Cable Info'!Q347))</f>
        <v>#N/A</v>
      </c>
      <c r="AU348" s="121" t="s">
        <v>51</v>
      </c>
      <c r="AW348" s="121" t="e">
        <f t="shared" si="97"/>
        <v>#N/A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str">
        <f>IF('Cable Info'!L348="","",CONCATENATE('Cable Info'!L348," - ",'Cable Info'!M348))</f>
        <v>347 - AW</v>
      </c>
      <c r="AM349" s="121" t="str">
        <f t="shared" si="95"/>
        <v>347 - AW</v>
      </c>
      <c r="AO349" s="121" t="str">
        <f>IF('Cable Info'!N348="","",CONCATENATE('Cable Info'!N348," - ",'Cable Info'!O348))</f>
        <v>347 - AW</v>
      </c>
      <c r="AR349" s="121" t="str">
        <f t="shared" si="96"/>
        <v>347 - AW</v>
      </c>
      <c r="AT349" s="121" t="e">
        <f>IF('Cable Info'!P348="","",CONCATENATE('Cable Info'!P348," - ",'Cable Info'!Q348))</f>
        <v>#N/A</v>
      </c>
      <c r="AU349" s="121" t="s">
        <v>51</v>
      </c>
      <c r="AW349" s="121" t="e">
        <f t="shared" si="97"/>
        <v>#N/A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str">
        <f>IF('Cable Info'!L349="","",CONCATENATE('Cable Info'!L349," - ",'Cable Info'!M349))</f>
        <v>348 - AW</v>
      </c>
      <c r="AM350" s="121" t="str">
        <f t="shared" si="95"/>
        <v>348 - AW</v>
      </c>
      <c r="AO350" s="121" t="str">
        <f>IF('Cable Info'!N349="","",CONCATENATE('Cable Info'!N349," - ",'Cable Info'!O349))</f>
        <v>348 - AW</v>
      </c>
      <c r="AR350" s="121" t="str">
        <f t="shared" si="96"/>
        <v>348 - AW</v>
      </c>
      <c r="AT350" s="121" t="e">
        <f>IF('Cable Info'!P349="","",CONCATENATE('Cable Info'!P349," - ",'Cable Info'!Q349))</f>
        <v>#N/A</v>
      </c>
      <c r="AU350" s="121" t="s">
        <v>51</v>
      </c>
      <c r="AW350" s="121" t="e">
        <f t="shared" si="97"/>
        <v>#N/A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str">
        <f>IF('Cable Info'!L350="","",CONCATENATE('Cable Info'!L350," - ",'Cable Info'!M350))</f>
        <v>349 - AW</v>
      </c>
      <c r="AM351" s="121" t="str">
        <f t="shared" si="95"/>
        <v>349 - AW</v>
      </c>
      <c r="AO351" s="121" t="str">
        <f>IF('Cable Info'!N350="","",CONCATENATE('Cable Info'!N350," - ",'Cable Info'!O350))</f>
        <v>349 - AW</v>
      </c>
      <c r="AR351" s="121" t="str">
        <f t="shared" si="96"/>
        <v>349 - AW</v>
      </c>
      <c r="AT351" s="121" t="e">
        <f>IF('Cable Info'!P350="","",CONCATENATE('Cable Info'!P350," - ",'Cable Info'!Q350))</f>
        <v>#N/A</v>
      </c>
      <c r="AU351" s="121" t="s">
        <v>51</v>
      </c>
      <c r="AW351" s="121" t="e">
        <f t="shared" si="97"/>
        <v>#N/A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str">
        <f>IF('Cable Info'!L351="","",CONCATENATE('Cable Info'!L351," - ",'Cable Info'!M351))</f>
        <v>350 - AW</v>
      </c>
      <c r="AM352" s="121" t="str">
        <f t="shared" si="95"/>
        <v>350 - AW</v>
      </c>
      <c r="AO352" s="121" t="str">
        <f>IF('Cable Info'!N351="","",CONCATENATE('Cable Info'!N351," - ",'Cable Info'!O351))</f>
        <v>350 - AW</v>
      </c>
      <c r="AR352" s="121" t="str">
        <f t="shared" si="96"/>
        <v>350 - AW</v>
      </c>
      <c r="AT352" s="121" t="e">
        <f>IF('Cable Info'!P351="","",CONCATENATE('Cable Info'!P351," - ",'Cable Info'!Q351))</f>
        <v>#N/A</v>
      </c>
      <c r="AU352" s="121" t="s">
        <v>51</v>
      </c>
      <c r="AW352" s="121" t="e">
        <f t="shared" si="97"/>
        <v>#N/A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str">
        <f>IF('Cable Info'!L352="","",CONCATENATE('Cable Info'!L352," - ",'Cable Info'!M352))</f>
        <v>351 - AW</v>
      </c>
      <c r="AM353" s="121" t="str">
        <f t="shared" si="95"/>
        <v>351 - AW</v>
      </c>
      <c r="AO353" s="121" t="str">
        <f>IF('Cable Info'!N352="","",CONCATENATE('Cable Info'!N352," - ",'Cable Info'!O352))</f>
        <v>351 - AW</v>
      </c>
      <c r="AR353" s="121" t="str">
        <f t="shared" si="96"/>
        <v>351 - AW</v>
      </c>
      <c r="AT353" s="121" t="e">
        <f>IF('Cable Info'!P352="","",CONCATENATE('Cable Info'!P352," - ",'Cable Info'!Q352))</f>
        <v>#N/A</v>
      </c>
      <c r="AU353" s="121" t="s">
        <v>51</v>
      </c>
      <c r="AW353" s="121" t="e">
        <f t="shared" si="97"/>
        <v>#N/A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str">
        <f>IF('Cable Info'!L353="","",CONCATENATE('Cable Info'!L353," - ",'Cable Info'!M353))</f>
        <v>352 - AW</v>
      </c>
      <c r="AM354" s="121" t="str">
        <f t="shared" si="95"/>
        <v>352 - AW</v>
      </c>
      <c r="AO354" s="121" t="str">
        <f>IF('Cable Info'!N353="","",CONCATENATE('Cable Info'!N353," - ",'Cable Info'!O353))</f>
        <v>352 - AW</v>
      </c>
      <c r="AR354" s="121" t="str">
        <f t="shared" si="96"/>
        <v>352 - AW</v>
      </c>
      <c r="AT354" s="121" t="e">
        <f>IF('Cable Info'!P353="","",CONCATENATE('Cable Info'!P353," - ",'Cable Info'!Q353))</f>
        <v>#N/A</v>
      </c>
      <c r="AU354" s="121" t="s">
        <v>51</v>
      </c>
      <c r="AW354" s="121" t="e">
        <f t="shared" si="97"/>
        <v>#N/A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str">
        <f>IF('Cable Info'!L354="","",CONCATENATE('Cable Info'!L354," - ",'Cable Info'!M354))</f>
        <v>353 - AW</v>
      </c>
      <c r="AM355" s="121" t="str">
        <f t="shared" si="95"/>
        <v>353 - AW</v>
      </c>
      <c r="AO355" s="121" t="str">
        <f>IF('Cable Info'!N354="","",CONCATENATE('Cable Info'!N354," - ",'Cable Info'!O354))</f>
        <v>353 - AW</v>
      </c>
      <c r="AR355" s="121" t="str">
        <f t="shared" si="96"/>
        <v>353 - AW</v>
      </c>
      <c r="AT355" s="121" t="e">
        <f>IF('Cable Info'!P354="","",CONCATENATE('Cable Info'!P354," - ",'Cable Info'!Q354))</f>
        <v>#N/A</v>
      </c>
      <c r="AU355" s="121" t="s">
        <v>51</v>
      </c>
      <c r="AW355" s="121" t="e">
        <f t="shared" si="97"/>
        <v>#N/A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str">
        <f>IF('Cable Info'!L355="","",CONCATENATE('Cable Info'!L355," - ",'Cable Info'!M355))</f>
        <v>354 - AW</v>
      </c>
      <c r="AM356" s="121" t="str">
        <f t="shared" si="95"/>
        <v>354 - AW</v>
      </c>
      <c r="AO356" s="121" t="str">
        <f>IF('Cable Info'!N355="","",CONCATENATE('Cable Info'!N355," - ",'Cable Info'!O355))</f>
        <v>354 - AW</v>
      </c>
      <c r="AR356" s="121" t="str">
        <f t="shared" si="96"/>
        <v>354 - AW</v>
      </c>
      <c r="AT356" s="121" t="e">
        <f>IF('Cable Info'!P355="","",CONCATENATE('Cable Info'!P355," - ",'Cable Info'!Q355))</f>
        <v>#N/A</v>
      </c>
      <c r="AU356" s="121" t="s">
        <v>51</v>
      </c>
      <c r="AW356" s="121" t="e">
        <f t="shared" si="97"/>
        <v>#N/A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str">
        <f>IF('Cable Info'!L356="","",CONCATENATE('Cable Info'!L356," - ",'Cable Info'!M356))</f>
        <v>355 - AW</v>
      </c>
      <c r="AM357" s="121" t="str">
        <f t="shared" si="95"/>
        <v>355 - AW</v>
      </c>
      <c r="AO357" s="121" t="str">
        <f>IF('Cable Info'!N356="","",CONCATENATE('Cable Info'!N356," - ",'Cable Info'!O356))</f>
        <v>355 - AW</v>
      </c>
      <c r="AR357" s="121" t="str">
        <f t="shared" si="96"/>
        <v>355 - AW</v>
      </c>
      <c r="AT357" s="121" t="e">
        <f>IF('Cable Info'!P356="","",CONCATENATE('Cable Info'!P356," - ",'Cable Info'!Q356))</f>
        <v>#N/A</v>
      </c>
      <c r="AU357" s="121" t="s">
        <v>51</v>
      </c>
      <c r="AW357" s="121" t="e">
        <f t="shared" si="97"/>
        <v>#N/A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str">
        <f>IF('Cable Info'!L357="","",CONCATENATE('Cable Info'!L357," - ",'Cable Info'!M357))</f>
        <v>356 - AW</v>
      </c>
      <c r="AM358" s="121" t="str">
        <f t="shared" si="95"/>
        <v>356 - AW</v>
      </c>
      <c r="AO358" s="121" t="str">
        <f>IF('Cable Info'!N357="","",CONCATENATE('Cable Info'!N357," - ",'Cable Info'!O357))</f>
        <v>356 - AW</v>
      </c>
      <c r="AR358" s="121" t="str">
        <f t="shared" si="96"/>
        <v>356 - AW</v>
      </c>
      <c r="AT358" s="121" t="e">
        <f>IF('Cable Info'!P357="","",CONCATENATE('Cable Info'!P357," - ",'Cable Info'!Q357))</f>
        <v>#N/A</v>
      </c>
      <c r="AU358" s="121" t="s">
        <v>51</v>
      </c>
      <c r="AW358" s="121" t="e">
        <f t="shared" si="97"/>
        <v>#N/A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str">
        <f>IF('Cable Info'!L358="","",CONCATENATE('Cable Info'!L358," - ",'Cable Info'!M358))</f>
        <v>357 - AW</v>
      </c>
      <c r="AM359" s="121" t="str">
        <f t="shared" si="95"/>
        <v>357 - AW</v>
      </c>
      <c r="AO359" s="121" t="str">
        <f>IF('Cable Info'!N358="","",CONCATENATE('Cable Info'!N358," - ",'Cable Info'!O358))</f>
        <v>357 - AW</v>
      </c>
      <c r="AR359" s="121" t="str">
        <f t="shared" si="96"/>
        <v>357 - AW</v>
      </c>
      <c r="AT359" s="121" t="e">
        <f>IF('Cable Info'!P358="","",CONCATENATE('Cable Info'!P358," - ",'Cable Info'!Q358))</f>
        <v>#N/A</v>
      </c>
      <c r="AU359" s="121" t="s">
        <v>51</v>
      </c>
      <c r="AW359" s="121" t="e">
        <f t="shared" si="97"/>
        <v>#N/A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str">
        <f>IF('Cable Info'!L359="","",CONCATENATE('Cable Info'!L359," - ",'Cable Info'!M359))</f>
        <v>358 - AW</v>
      </c>
      <c r="AM360" s="121" t="str">
        <f t="shared" si="95"/>
        <v>358 - AW</v>
      </c>
      <c r="AO360" s="121" t="str">
        <f>IF('Cable Info'!N359="","",CONCATENATE('Cable Info'!N359," - ",'Cable Info'!O359))</f>
        <v>358 - AW</v>
      </c>
      <c r="AR360" s="121" t="str">
        <f t="shared" si="96"/>
        <v>358 - AW</v>
      </c>
      <c r="AT360" s="121" t="e">
        <f>IF('Cable Info'!P359="","",CONCATENATE('Cable Info'!P359," - ",'Cable Info'!Q359))</f>
        <v>#N/A</v>
      </c>
      <c r="AU360" s="121" t="s">
        <v>51</v>
      </c>
      <c r="AW360" s="121" t="e">
        <f t="shared" si="97"/>
        <v>#N/A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str">
        <f>IF('Cable Info'!L360="","",CONCATENATE('Cable Info'!L360," - ",'Cable Info'!M360))</f>
        <v>359 - AW</v>
      </c>
      <c r="AM361" s="121" t="str">
        <f t="shared" si="95"/>
        <v>359 - AW</v>
      </c>
      <c r="AO361" s="121" t="str">
        <f>IF('Cable Info'!N360="","",CONCATENATE('Cable Info'!N360," - ",'Cable Info'!O360))</f>
        <v>359 - AW</v>
      </c>
      <c r="AR361" s="121" t="str">
        <f t="shared" si="96"/>
        <v>359 - AW</v>
      </c>
      <c r="AT361" s="121" t="e">
        <f>IF('Cable Info'!P360="","",CONCATENATE('Cable Info'!P360," - ",'Cable Info'!Q360))</f>
        <v>#N/A</v>
      </c>
      <c r="AU361" s="121" t="s">
        <v>51</v>
      </c>
      <c r="AW361" s="121" t="e">
        <f t="shared" si="97"/>
        <v>#N/A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str">
        <f>IF('Cable Info'!L361="","",CONCATENATE('Cable Info'!L361," - ",'Cable Info'!M361))</f>
        <v>360 - AW</v>
      </c>
      <c r="AM362" s="121" t="str">
        <f t="shared" si="95"/>
        <v>360 - AW</v>
      </c>
      <c r="AO362" s="121" t="str">
        <f>IF('Cable Info'!N361="","",CONCATENATE('Cable Info'!N361," - ",'Cable Info'!O361))</f>
        <v>360 - AW</v>
      </c>
      <c r="AR362" s="121" t="str">
        <f t="shared" si="96"/>
        <v>360 - AW</v>
      </c>
      <c r="AT362" s="121" t="e">
        <f>IF('Cable Info'!P361="","",CONCATENATE('Cable Info'!P361," - ",'Cable Info'!Q361))</f>
        <v>#N/A</v>
      </c>
      <c r="AU362" s="121" t="s">
        <v>51</v>
      </c>
      <c r="AW362" s="121" t="e">
        <f t="shared" si="97"/>
        <v>#N/A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str">
        <f>IF('Cable Info'!L362="","",CONCATENATE('Cable Info'!L362," - ",'Cable Info'!M362))</f>
        <v>361 - AW</v>
      </c>
      <c r="AM363" s="121" t="str">
        <f t="shared" si="95"/>
        <v>361 - AW</v>
      </c>
      <c r="AO363" s="121" t="str">
        <f>IF('Cable Info'!N362="","",CONCATENATE('Cable Info'!N362," - ",'Cable Info'!O362))</f>
        <v>361 - AW</v>
      </c>
      <c r="AR363" s="121" t="str">
        <f t="shared" si="96"/>
        <v>361 - AW</v>
      </c>
      <c r="AT363" s="121" t="e">
        <f>IF('Cable Info'!P362="","",CONCATENATE('Cable Info'!P362," - ",'Cable Info'!Q362))</f>
        <v>#N/A</v>
      </c>
      <c r="AU363" s="121" t="s">
        <v>51</v>
      </c>
      <c r="AW363" s="121" t="e">
        <f t="shared" si="97"/>
        <v>#N/A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str">
        <f>IF('Cable Info'!L363="","",CONCATENATE('Cable Info'!L363," - ",'Cable Info'!M363))</f>
        <v>362 - AW</v>
      </c>
      <c r="AM364" s="121" t="str">
        <f t="shared" si="95"/>
        <v>362 - AW</v>
      </c>
      <c r="AO364" s="121" t="str">
        <f>IF('Cable Info'!N363="","",CONCATENATE('Cable Info'!N363," - ",'Cable Info'!O363))</f>
        <v>362 - AW</v>
      </c>
      <c r="AR364" s="121" t="str">
        <f t="shared" si="96"/>
        <v>362 - AW</v>
      </c>
      <c r="AT364" s="121" t="e">
        <f>IF('Cable Info'!P363="","",CONCATENATE('Cable Info'!P363," - ",'Cable Info'!Q363))</f>
        <v>#N/A</v>
      </c>
      <c r="AU364" s="121" t="s">
        <v>51</v>
      </c>
      <c r="AW364" s="121" t="e">
        <f t="shared" si="97"/>
        <v>#N/A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str">
        <f>IF('Cable Info'!L364="","",CONCATENATE('Cable Info'!L364," - ",'Cable Info'!M364))</f>
        <v>363 - AW</v>
      </c>
      <c r="AM365" s="121" t="str">
        <f t="shared" si="95"/>
        <v>363 - AW</v>
      </c>
      <c r="AO365" s="121" t="str">
        <f>IF('Cable Info'!N364="","",CONCATENATE('Cable Info'!N364," - ",'Cable Info'!O364))</f>
        <v>363 - AW</v>
      </c>
      <c r="AR365" s="121" t="str">
        <f t="shared" si="96"/>
        <v>363 - AW</v>
      </c>
      <c r="AT365" s="121" t="e">
        <f>IF('Cable Info'!P364="","",CONCATENATE('Cable Info'!P364," - ",'Cable Info'!Q364))</f>
        <v>#N/A</v>
      </c>
      <c r="AU365" s="121" t="s">
        <v>51</v>
      </c>
      <c r="AW365" s="121" t="e">
        <f t="shared" si="97"/>
        <v>#N/A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str">
        <f>IF('Cable Info'!L365="","",CONCATENATE('Cable Info'!L365," - ",'Cable Info'!M365))</f>
        <v>364 - AW</v>
      </c>
      <c r="AM366" s="121" t="str">
        <f t="shared" si="95"/>
        <v>364 - AW</v>
      </c>
      <c r="AO366" s="121" t="str">
        <f>IF('Cable Info'!N365="","",CONCATENATE('Cable Info'!N365," - ",'Cable Info'!O365))</f>
        <v>364 - AW</v>
      </c>
      <c r="AR366" s="121" t="str">
        <f t="shared" si="96"/>
        <v>364 - AW</v>
      </c>
      <c r="AT366" s="121" t="e">
        <f>IF('Cable Info'!P365="","",CONCATENATE('Cable Info'!P365," - ",'Cable Info'!Q365))</f>
        <v>#N/A</v>
      </c>
      <c r="AU366" s="121" t="s">
        <v>51</v>
      </c>
      <c r="AW366" s="121" t="e">
        <f t="shared" si="97"/>
        <v>#N/A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str">
        <f>IF('Cable Info'!L366="","",CONCATENATE('Cable Info'!L366," - ",'Cable Info'!M366))</f>
        <v>365 - AW</v>
      </c>
      <c r="AM367" s="121" t="str">
        <f t="shared" si="95"/>
        <v>365 - AW</v>
      </c>
      <c r="AO367" s="121" t="str">
        <f>IF('Cable Info'!N366="","",CONCATENATE('Cable Info'!N366," - ",'Cable Info'!O366))</f>
        <v>365 - AW</v>
      </c>
      <c r="AR367" s="121" t="str">
        <f t="shared" si="96"/>
        <v>365 - AW</v>
      </c>
      <c r="AT367" s="121" t="e">
        <f>IF('Cable Info'!P366="","",CONCATENATE('Cable Info'!P366," - ",'Cable Info'!Q366))</f>
        <v>#N/A</v>
      </c>
      <c r="AU367" s="121" t="s">
        <v>51</v>
      </c>
      <c r="AW367" s="121" t="e">
        <f t="shared" si="97"/>
        <v>#N/A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str">
        <f>IF('Cable Info'!L367="","",CONCATENATE('Cable Info'!L367," - ",'Cable Info'!M367))</f>
        <v>366 - AW</v>
      </c>
      <c r="AM368" s="121" t="str">
        <f t="shared" si="95"/>
        <v>366 - AW</v>
      </c>
      <c r="AO368" s="121" t="str">
        <f>IF('Cable Info'!N367="","",CONCATENATE('Cable Info'!N367," - ",'Cable Info'!O367))</f>
        <v>366 - AW</v>
      </c>
      <c r="AR368" s="121" t="str">
        <f t="shared" si="96"/>
        <v>366 - AW</v>
      </c>
      <c r="AT368" s="121" t="e">
        <f>IF('Cable Info'!P367="","",CONCATENATE('Cable Info'!P367," - ",'Cable Info'!Q367))</f>
        <v>#N/A</v>
      </c>
      <c r="AU368" s="121" t="s">
        <v>51</v>
      </c>
      <c r="AW368" s="121" t="e">
        <f t="shared" si="97"/>
        <v>#N/A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str">
        <f>IF('Cable Info'!L186="","",CONCATENATE('Cable Info'!L186," - ",'Cable Info'!M186))</f>
        <v>185 - TW</v>
      </c>
      <c r="AM369" s="121" t="str">
        <f t="shared" ref="AM369:AM379" si="107">IF(AK369="",AJ369,CONCATENATE(AJ369,"  &lt;=&gt; ",AK369," ",AL369))</f>
        <v>185 - TW</v>
      </c>
      <c r="AO369" s="121" t="str">
        <f>IF('Cable Info'!N186="","",CONCATENATE('Cable Info'!N186," - ",'Cable Info'!O186))</f>
        <v>185 - TW</v>
      </c>
      <c r="AR369" s="121" t="str">
        <f t="shared" ref="AR369:AR379" si="108">IF(AP369="",AO369,CONCATENATE(AO369,"  &lt;=&gt; ",AP369," ",AQ369))</f>
        <v>185 - TW</v>
      </c>
      <c r="AT369" s="121" t="e">
        <f>IF('Cable Info'!P186="","",CONCATENATE('Cable Info'!P186," - ",'Cable Info'!Q186))</f>
        <v>#N/A</v>
      </c>
      <c r="AU369" s="121" t="s">
        <v>51</v>
      </c>
      <c r="AW369" s="121" t="e">
        <f t="shared" ref="AW369:AW379" si="109">IF(AU369="",AT369,CONCATENATE(AT369,"  &lt;=&gt; ",AU369," ",AV369))</f>
        <v>#N/A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str">
        <f>IF('Cable Info'!L187="","",CONCATENATE('Cable Info'!L187," - ",'Cable Info'!M187))</f>
        <v>186 - TW</v>
      </c>
      <c r="AM370" s="121" t="str">
        <f t="shared" si="107"/>
        <v>186 - TW</v>
      </c>
      <c r="AO370" s="121" t="str">
        <f>IF('Cable Info'!N187="","",CONCATENATE('Cable Info'!N187," - ",'Cable Info'!O187))</f>
        <v>186 - TW</v>
      </c>
      <c r="AR370" s="121" t="str">
        <f t="shared" si="108"/>
        <v>186 - TW</v>
      </c>
      <c r="AT370" s="121" t="e">
        <f>IF('Cable Info'!P187="","",CONCATENATE('Cable Info'!P187," - ",'Cable Info'!Q187))</f>
        <v>#N/A</v>
      </c>
      <c r="AU370" s="121" t="s">
        <v>51</v>
      </c>
      <c r="AW370" s="121" t="e">
        <f t="shared" si="109"/>
        <v>#N/A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str">
        <f>IF('Cable Info'!L188="","",CONCATENATE('Cable Info'!L188," - ",'Cable Info'!M188))</f>
        <v>187 - TW</v>
      </c>
      <c r="AM371" s="121" t="str">
        <f t="shared" si="107"/>
        <v>187 - TW</v>
      </c>
      <c r="AO371" s="121" t="str">
        <f>IF('Cable Info'!N188="","",CONCATENATE('Cable Info'!N188," - ",'Cable Info'!O188))</f>
        <v>187 - TW</v>
      </c>
      <c r="AR371" s="121" t="str">
        <f t="shared" si="108"/>
        <v>187 - TW</v>
      </c>
      <c r="AT371" s="121" t="e">
        <f>IF('Cable Info'!P188="","",CONCATENATE('Cable Info'!P188," - ",'Cable Info'!Q188))</f>
        <v>#N/A</v>
      </c>
      <c r="AU371" s="121" t="s">
        <v>51</v>
      </c>
      <c r="AW371" s="121" t="e">
        <f t="shared" si="109"/>
        <v>#N/A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str">
        <f>IF('Cable Info'!L189="","",CONCATENATE('Cable Info'!L189," - ",'Cable Info'!M189))</f>
        <v>188 - TW</v>
      </c>
      <c r="AM372" s="121" t="str">
        <f t="shared" si="107"/>
        <v>188 - TW</v>
      </c>
      <c r="AO372" s="121" t="str">
        <f>IF('Cable Info'!N189="","",CONCATENATE('Cable Info'!N189," - ",'Cable Info'!O189))</f>
        <v>188 - TW</v>
      </c>
      <c r="AR372" s="121" t="str">
        <f t="shared" si="108"/>
        <v>188 - TW</v>
      </c>
      <c r="AT372" s="121" t="e">
        <f>IF('Cable Info'!P189="","",CONCATENATE('Cable Info'!P189," - ",'Cable Info'!Q189))</f>
        <v>#N/A</v>
      </c>
      <c r="AU372" s="121" t="s">
        <v>51</v>
      </c>
      <c r="AW372" s="121" t="e">
        <f t="shared" si="109"/>
        <v>#N/A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str">
        <f>IF('Cable Info'!L190="","",CONCATENATE('Cable Info'!L190," - ",'Cable Info'!M190))</f>
        <v>189 - TW</v>
      </c>
      <c r="AM373" s="121" t="str">
        <f t="shared" si="107"/>
        <v>189 - TW</v>
      </c>
      <c r="AO373" s="121" t="str">
        <f>IF('Cable Info'!N190="","",CONCATENATE('Cable Info'!N190," - ",'Cable Info'!O190))</f>
        <v>189 - TW</v>
      </c>
      <c r="AR373" s="121" t="str">
        <f t="shared" si="108"/>
        <v>189 - TW</v>
      </c>
      <c r="AT373" s="121" t="e">
        <f>IF('Cable Info'!P190="","",CONCATENATE('Cable Info'!P190," - ",'Cable Info'!Q190))</f>
        <v>#N/A</v>
      </c>
      <c r="AU373" s="121" t="s">
        <v>51</v>
      </c>
      <c r="AW373" s="121" t="e">
        <f t="shared" si="109"/>
        <v>#N/A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str">
        <f>IF('Cable Info'!L191="","",CONCATENATE('Cable Info'!L191," - ",'Cable Info'!M191))</f>
        <v>190 - TW</v>
      </c>
      <c r="AM374" s="121" t="str">
        <f t="shared" si="107"/>
        <v>190 - TW</v>
      </c>
      <c r="AO374" s="121" t="str">
        <f>IF('Cable Info'!N191="","",CONCATENATE('Cable Info'!N191," - ",'Cable Info'!O191))</f>
        <v>190 - TW</v>
      </c>
      <c r="AR374" s="121" t="str">
        <f t="shared" si="108"/>
        <v>190 - TW</v>
      </c>
      <c r="AT374" s="121" t="e">
        <f>IF('Cable Info'!P191="","",CONCATENATE('Cable Info'!P191," - ",'Cable Info'!Q191))</f>
        <v>#N/A</v>
      </c>
      <c r="AU374" s="121" t="s">
        <v>51</v>
      </c>
      <c r="AW374" s="121" t="e">
        <f t="shared" si="109"/>
        <v>#N/A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str">
        <f>IF('Cable Info'!L192="","",CONCATENATE('Cable Info'!L192," - ",'Cable Info'!M192))</f>
        <v>191 - TW</v>
      </c>
      <c r="AM375" s="121" t="str">
        <f t="shared" si="107"/>
        <v>191 - TW</v>
      </c>
      <c r="AO375" s="121" t="str">
        <f>IF('Cable Info'!N192="","",CONCATENATE('Cable Info'!N192," - ",'Cable Info'!O192))</f>
        <v>191 - TW</v>
      </c>
      <c r="AR375" s="121" t="str">
        <f t="shared" si="108"/>
        <v>191 - TW</v>
      </c>
      <c r="AT375" s="121" t="e">
        <f>IF('Cable Info'!P192="","",CONCATENATE('Cable Info'!P192," - ",'Cable Info'!Q192))</f>
        <v>#N/A</v>
      </c>
      <c r="AU375" s="121" t="s">
        <v>51</v>
      </c>
      <c r="AW375" s="121" t="e">
        <f t="shared" si="109"/>
        <v>#N/A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str">
        <f>IF('Cable Info'!L193="","",CONCATENATE('Cable Info'!L193," - ",'Cable Info'!M193))</f>
        <v>192 - TW</v>
      </c>
      <c r="AM376" s="121" t="str">
        <f t="shared" si="107"/>
        <v>192 - TW</v>
      </c>
      <c r="AO376" s="121" t="str">
        <f>IF('Cable Info'!N193="","",CONCATENATE('Cable Info'!N193," - ",'Cable Info'!O193))</f>
        <v>192 - TW</v>
      </c>
      <c r="AR376" s="121" t="str">
        <f t="shared" si="108"/>
        <v>192 - TW</v>
      </c>
      <c r="AT376" s="121" t="e">
        <f>IF('Cable Info'!P193="","",CONCATENATE('Cable Info'!P193," - ",'Cable Info'!Q193))</f>
        <v>#N/A</v>
      </c>
      <c r="AU376" s="121" t="s">
        <v>51</v>
      </c>
      <c r="AW376" s="121" t="e">
        <f t="shared" si="109"/>
        <v>#N/A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str">
        <f>IF('Cable Info'!L194="","",CONCATENATE('Cable Info'!L194," - ",'Cable Info'!M194))</f>
        <v>193 - TW</v>
      </c>
      <c r="AM377" s="121" t="str">
        <f t="shared" si="107"/>
        <v>193 - TW</v>
      </c>
      <c r="AO377" s="121" t="str">
        <f>IF('Cable Info'!N194="","",CONCATENATE('Cable Info'!N194," - ",'Cable Info'!O194))</f>
        <v>193 - TW</v>
      </c>
      <c r="AR377" s="121" t="str">
        <f t="shared" si="108"/>
        <v>193 - TW</v>
      </c>
      <c r="AT377" s="121" t="e">
        <f>IF('Cable Info'!P194="","",CONCATENATE('Cable Info'!P194," - ",'Cable Info'!Q194))</f>
        <v>#N/A</v>
      </c>
      <c r="AU377" s="121" t="s">
        <v>51</v>
      </c>
      <c r="AW377" s="121" t="e">
        <f t="shared" si="109"/>
        <v>#N/A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str">
        <f>IF('Cable Info'!L195="","",CONCATENATE('Cable Info'!L195," - ",'Cable Info'!M195))</f>
        <v>194 - TW</v>
      </c>
      <c r="AM378" s="121" t="str">
        <f t="shared" si="107"/>
        <v>194 - TW</v>
      </c>
      <c r="AO378" s="121" t="str">
        <f>IF('Cable Info'!N195="","",CONCATENATE('Cable Info'!N195," - ",'Cable Info'!O195))</f>
        <v>194 - TW</v>
      </c>
      <c r="AR378" s="121" t="str">
        <f t="shared" si="108"/>
        <v>194 - TW</v>
      </c>
      <c r="AT378" s="121" t="e">
        <f>IF('Cable Info'!P195="","",CONCATENATE('Cable Info'!P195," - ",'Cable Info'!Q195))</f>
        <v>#N/A</v>
      </c>
      <c r="AU378" s="121" t="s">
        <v>51</v>
      </c>
      <c r="AW378" s="121" t="e">
        <f t="shared" si="109"/>
        <v>#N/A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str">
        <f>IF('Cable Info'!L196="","",CONCATENATE('Cable Info'!L196," - ",'Cable Info'!M196))</f>
        <v>195 - TW</v>
      </c>
      <c r="AM379" s="121" t="str">
        <f t="shared" si="107"/>
        <v>195 - TW</v>
      </c>
      <c r="AO379" s="121" t="str">
        <f>IF('Cable Info'!N196="","",CONCATENATE('Cable Info'!N196," - ",'Cable Info'!O196))</f>
        <v>195 - TW</v>
      </c>
      <c r="AR379" s="121" t="str">
        <f t="shared" si="108"/>
        <v>195 - TW</v>
      </c>
      <c r="AT379" s="121" t="e">
        <f>IF('Cable Info'!P196="","",CONCATENATE('Cable Info'!P196," - ",'Cable Info'!Q196))</f>
        <v>#N/A</v>
      </c>
      <c r="AU379" s="121" t="s">
        <v>51</v>
      </c>
      <c r="AW379" s="121" t="e">
        <f t="shared" si="109"/>
        <v>#N/A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str">
        <f>IF('Cable Info'!L84="","",CONCATENATE('Cable Info'!L84," - ",'Cable Info'!M84))</f>
        <v>83 - TW</v>
      </c>
      <c r="AM380" s="121" t="str">
        <f t="shared" ref="AM380:AM426" si="119">IF(AK380="",AJ380,CONCATENATE(AJ380,"  &lt;=&gt; ",AK380," ",AL380))</f>
        <v>83 - TW</v>
      </c>
      <c r="AO380" s="121" t="str">
        <f>IF('Cable Info'!N84="","",CONCATENATE('Cable Info'!N84," - ",'Cable Info'!O84))</f>
        <v>83 - TW</v>
      </c>
      <c r="AR380" s="121" t="str">
        <f t="shared" ref="AR380:AR426" si="120">IF(AP380="",AO380,CONCATENATE(AO380,"  &lt;=&gt; ",AP380," ",AQ380))</f>
        <v>83 - TW</v>
      </c>
      <c r="AT380" s="121" t="e">
        <f>IF('Cable Info'!P84="","",CONCATENATE('Cable Info'!P84," - ",'Cable Info'!Q84))</f>
        <v>#N/A</v>
      </c>
      <c r="AW380" s="121" t="e">
        <f t="shared" ref="AW380:AW426" si="121">IF(AU380="",AT380,CONCATENATE(AT380,"  &lt;=&gt; ",AU380," ",AV380))</f>
        <v>#N/A</v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str">
        <f>IF('Cable Info'!L85="","",CONCATENATE('Cable Info'!L85," - ",'Cable Info'!M85))</f>
        <v>84 - TW</v>
      </c>
      <c r="AM381" s="121" t="str">
        <f t="shared" si="119"/>
        <v>84 - TW</v>
      </c>
      <c r="AO381" s="121" t="str">
        <f>IF('Cable Info'!N85="","",CONCATENATE('Cable Info'!N85," - ",'Cable Info'!O85))</f>
        <v>84 - TW</v>
      </c>
      <c r="AR381" s="121" t="str">
        <f t="shared" si="120"/>
        <v>84 - TW</v>
      </c>
      <c r="AT381" s="121" t="e">
        <f>IF('Cable Info'!P85="","",CONCATENATE('Cable Info'!P85," - ",'Cable Info'!Q85))</f>
        <v>#N/A</v>
      </c>
      <c r="AW381" s="121" t="e">
        <f t="shared" si="121"/>
        <v>#N/A</v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str">
        <f>IF('Cable Info'!L86="","",CONCATENATE('Cable Info'!L86," - ",'Cable Info'!M86))</f>
        <v>85 - TW</v>
      </c>
      <c r="AK382" s="164"/>
      <c r="AL382" s="164"/>
      <c r="AM382" s="164" t="str">
        <f t="shared" si="119"/>
        <v>85 - TW</v>
      </c>
      <c r="AN382" s="164"/>
      <c r="AO382" s="164" t="str">
        <f>IF('Cable Info'!N86="","",CONCATENATE('Cable Info'!N86," - ",'Cable Info'!O86))</f>
        <v>85 - TW</v>
      </c>
      <c r="AP382" s="164"/>
      <c r="AQ382" s="164"/>
      <c r="AR382" s="164" t="str">
        <f t="shared" si="120"/>
        <v>85 - TW</v>
      </c>
      <c r="AS382" s="164"/>
      <c r="AT382" s="164" t="e">
        <f>IF('Cable Info'!P86="","",CONCATENATE('Cable Info'!P86," - ",'Cable Info'!Q86))</f>
        <v>#N/A</v>
      </c>
      <c r="AU382" s="164"/>
      <c r="AV382" s="164"/>
      <c r="AW382" s="164" t="e">
        <f t="shared" si="121"/>
        <v>#N/A</v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str">
        <f>IF('Cable Info'!L87="","",CONCATENATE('Cable Info'!L87," - ",'Cable Info'!M87))</f>
        <v>86 - TW</v>
      </c>
      <c r="AK383" s="160"/>
      <c r="AL383" s="160"/>
      <c r="AM383" s="160" t="str">
        <f t="shared" si="119"/>
        <v>86 - TW</v>
      </c>
      <c r="AN383" s="160"/>
      <c r="AO383" s="160" t="str">
        <f>IF('Cable Info'!N87="","",CONCATENATE('Cable Info'!N87," - ",'Cable Info'!O87))</f>
        <v>86 - TW</v>
      </c>
      <c r="AP383" s="160"/>
      <c r="AQ383" s="160"/>
      <c r="AR383" s="160" t="str">
        <f t="shared" si="120"/>
        <v>86 - TW</v>
      </c>
      <c r="AS383" s="160"/>
      <c r="AT383" s="160" t="e">
        <f>IF('Cable Info'!P87="","",CONCATENATE('Cable Info'!P87," - ",'Cable Info'!Q87))</f>
        <v>#N/A</v>
      </c>
      <c r="AU383" s="160"/>
      <c r="AV383" s="160"/>
      <c r="AW383" s="160" t="e">
        <f t="shared" si="121"/>
        <v>#N/A</v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str">
        <f>IF('Cable Info'!L88="","",CONCATENATE('Cable Info'!L88," - ",'Cable Info'!M88))</f>
        <v>87 - TW</v>
      </c>
      <c r="AM384" s="121" t="str">
        <f t="shared" si="119"/>
        <v>87 - TW</v>
      </c>
      <c r="AO384" s="121" t="str">
        <f>IF('Cable Info'!N88="","",CONCATENATE('Cable Info'!N88," - ",'Cable Info'!O88))</f>
        <v>87 - TW</v>
      </c>
      <c r="AR384" s="121" t="str">
        <f t="shared" si="120"/>
        <v>87 - TW</v>
      </c>
      <c r="AT384" s="121" t="e">
        <f>IF('Cable Info'!P88="","",CONCATENATE('Cable Info'!P88," - ",'Cable Info'!Q88))</f>
        <v>#N/A</v>
      </c>
      <c r="AW384" s="121" t="e">
        <f t="shared" si="121"/>
        <v>#N/A</v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str">
        <f>IF('Cable Info'!L89="","",CONCATENATE('Cable Info'!L89," - ",'Cable Info'!M89))</f>
        <v>88 - TW</v>
      </c>
      <c r="AM385" s="121" t="str">
        <f t="shared" si="119"/>
        <v>88 - TW</v>
      </c>
      <c r="AO385" s="121" t="str">
        <f>IF('Cable Info'!N89="","",CONCATENATE('Cable Info'!N89," - ",'Cable Info'!O89))</f>
        <v>88 - TW</v>
      </c>
      <c r="AR385" s="121" t="str">
        <f t="shared" si="120"/>
        <v>88 - TW</v>
      </c>
      <c r="AT385" s="121" t="e">
        <f>IF('Cable Info'!P89="","",CONCATENATE('Cable Info'!P89," - ",'Cable Info'!Q89))</f>
        <v>#N/A</v>
      </c>
      <c r="AW385" s="121" t="e">
        <f t="shared" si="121"/>
        <v>#N/A</v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str">
        <f>IF('Cable Info'!L90="","",CONCATENATE('Cable Info'!L90," - ",'Cable Info'!M90))</f>
        <v>89 - TW</v>
      </c>
      <c r="AM386" s="121" t="str">
        <f t="shared" si="119"/>
        <v>89 - TW</v>
      </c>
      <c r="AO386" s="121" t="str">
        <f>IF('Cable Info'!N90="","",CONCATENATE('Cable Info'!N90," - ",'Cable Info'!O90))</f>
        <v>89 - TW</v>
      </c>
      <c r="AR386" s="121" t="str">
        <f t="shared" si="120"/>
        <v>89 - TW</v>
      </c>
      <c r="AT386" s="121" t="e">
        <f>IF('Cable Info'!P90="","",CONCATENATE('Cable Info'!P90," - ",'Cable Info'!Q90))</f>
        <v>#N/A</v>
      </c>
      <c r="AW386" s="121" t="e">
        <f t="shared" si="121"/>
        <v>#N/A</v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str">
        <f>IF('Cable Info'!L91="","",CONCATENATE('Cable Info'!L91," - ",'Cable Info'!M91))</f>
        <v>90 - TW</v>
      </c>
      <c r="AM387" s="121" t="str">
        <f t="shared" si="119"/>
        <v>90 - TW</v>
      </c>
      <c r="AO387" s="121" t="str">
        <f>IF('Cable Info'!N91="","",CONCATENATE('Cable Info'!N91," - ",'Cable Info'!O91))</f>
        <v>90 - TW</v>
      </c>
      <c r="AR387" s="121" t="str">
        <f t="shared" si="120"/>
        <v>90 - TW</v>
      </c>
      <c r="AT387" s="121" t="e">
        <f>IF('Cable Info'!P91="","",CONCATENATE('Cable Info'!P91," - ",'Cable Info'!Q91))</f>
        <v>#N/A</v>
      </c>
      <c r="AW387" s="121" t="e">
        <f t="shared" si="121"/>
        <v>#N/A</v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str">
        <f>IF('Cable Info'!L92="","",CONCATENATE('Cable Info'!L92," - ",'Cable Info'!M92))</f>
        <v>91 - TW</v>
      </c>
      <c r="AM388" s="121" t="str">
        <f t="shared" si="119"/>
        <v>91 - TW</v>
      </c>
      <c r="AO388" s="121" t="str">
        <f>IF('Cable Info'!N92="","",CONCATENATE('Cable Info'!N92," - ",'Cable Info'!O92))</f>
        <v>91 - TW</v>
      </c>
      <c r="AR388" s="121" t="str">
        <f t="shared" si="120"/>
        <v>91 - TW</v>
      </c>
      <c r="AT388" s="121" t="e">
        <f>IF('Cable Info'!P92="","",CONCATENATE('Cable Info'!P92," - ",'Cable Info'!Q92))</f>
        <v>#N/A</v>
      </c>
      <c r="AW388" s="121" t="e">
        <f t="shared" si="121"/>
        <v>#N/A</v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str">
        <f>IF('Cable Info'!L93="","",CONCATENATE('Cable Info'!L93," - ",'Cable Info'!M93))</f>
        <v>92 - TW</v>
      </c>
      <c r="AM389" s="121" t="str">
        <f t="shared" si="119"/>
        <v>92 - TW</v>
      </c>
      <c r="AO389" s="121" t="str">
        <f>IF('Cable Info'!N93="","",CONCATENATE('Cable Info'!N93," - ",'Cable Info'!O93))</f>
        <v>92 - TW</v>
      </c>
      <c r="AR389" s="121" t="str">
        <f t="shared" si="120"/>
        <v>92 - TW</v>
      </c>
      <c r="AT389" s="121" t="e">
        <f>IF('Cable Info'!P93="","",CONCATENATE('Cable Info'!P93," - ",'Cable Info'!Q93))</f>
        <v>#N/A</v>
      </c>
      <c r="AW389" s="121" t="e">
        <f t="shared" si="121"/>
        <v>#N/A</v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str">
        <f>IF('Cable Info'!L94="","",CONCATENATE('Cable Info'!L94," - ",'Cable Info'!M94))</f>
        <v>93 - TW</v>
      </c>
      <c r="AM390" s="121" t="str">
        <f t="shared" si="119"/>
        <v>93 - TW</v>
      </c>
      <c r="AO390" s="121" t="str">
        <f>IF('Cable Info'!N94="","",CONCATENATE('Cable Info'!N94," - ",'Cable Info'!O94))</f>
        <v>93 - TW</v>
      </c>
      <c r="AR390" s="121" t="str">
        <f t="shared" si="120"/>
        <v>93 - TW</v>
      </c>
      <c r="AT390" s="121" t="e">
        <f>IF('Cable Info'!P94="","",CONCATENATE('Cable Info'!P94," - ",'Cable Info'!Q94))</f>
        <v>#N/A</v>
      </c>
      <c r="AW390" s="121" t="e">
        <f t="shared" si="121"/>
        <v>#N/A</v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str">
        <f>IF('Cable Info'!L95="","",CONCATENATE('Cable Info'!L95," - ",'Cable Info'!M95))</f>
        <v>94 - TW</v>
      </c>
      <c r="AM391" s="121" t="str">
        <f t="shared" si="119"/>
        <v>94 - TW</v>
      </c>
      <c r="AO391" s="121" t="str">
        <f>IF('Cable Info'!N95="","",CONCATENATE('Cable Info'!N95," - ",'Cable Info'!O95))</f>
        <v>94 - TW</v>
      </c>
      <c r="AR391" s="121" t="str">
        <f t="shared" si="120"/>
        <v>94 - TW</v>
      </c>
      <c r="AT391" s="121" t="e">
        <f>IF('Cable Info'!P95="","",CONCATENATE('Cable Info'!P95," - ",'Cable Info'!Q95))</f>
        <v>#N/A</v>
      </c>
      <c r="AW391" s="121" t="e">
        <f t="shared" si="121"/>
        <v>#N/A</v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str">
        <f>IF('Cable Info'!L96="","",CONCATENATE('Cable Info'!L96," - ",'Cable Info'!M96))</f>
        <v>95 - TW</v>
      </c>
      <c r="AM392" s="121" t="str">
        <f t="shared" si="119"/>
        <v>95 - TW</v>
      </c>
      <c r="AO392" s="121" t="str">
        <f>IF('Cable Info'!N96="","",CONCATENATE('Cable Info'!N96," - ",'Cable Info'!O96))</f>
        <v>95 - TW</v>
      </c>
      <c r="AR392" s="121" t="str">
        <f t="shared" si="120"/>
        <v>95 - TW</v>
      </c>
      <c r="AT392" s="121" t="e">
        <f>IF('Cable Info'!P96="","",CONCATENATE('Cable Info'!P96," - ",'Cable Info'!Q96))</f>
        <v>#N/A</v>
      </c>
      <c r="AW392" s="121" t="e">
        <f t="shared" si="121"/>
        <v>#N/A</v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str">
        <f>IF('Cable Info'!L97="","",CONCATENATE('Cable Info'!L97," - ",'Cable Info'!M97))</f>
        <v>96 - TW</v>
      </c>
      <c r="AM393" s="121" t="str">
        <f t="shared" si="119"/>
        <v>96 - TW</v>
      </c>
      <c r="AO393" s="121" t="str">
        <f>IF('Cable Info'!N97="","",CONCATENATE('Cable Info'!N97," - ",'Cable Info'!O97))</f>
        <v>96 - TW</v>
      </c>
      <c r="AR393" s="121" t="str">
        <f t="shared" si="120"/>
        <v>96 - TW</v>
      </c>
      <c r="AT393" s="121" t="e">
        <f>IF('Cable Info'!P97="","",CONCATENATE('Cable Info'!P97," - ",'Cable Info'!Q97))</f>
        <v>#N/A</v>
      </c>
      <c r="AW393" s="121" t="e">
        <f t="shared" si="121"/>
        <v>#N/A</v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str">
        <f>IF('Cable Info'!L98="","",CONCATENATE('Cable Info'!L98," - ",'Cable Info'!M98))</f>
        <v>97 - TW</v>
      </c>
      <c r="AM394" s="121" t="str">
        <f t="shared" si="119"/>
        <v>97 - TW</v>
      </c>
      <c r="AO394" s="121" t="str">
        <f>IF('Cable Info'!N98="","",CONCATENATE('Cable Info'!N98," - ",'Cable Info'!O98))</f>
        <v>97 - TW</v>
      </c>
      <c r="AR394" s="121" t="str">
        <f t="shared" si="120"/>
        <v>97 - TW</v>
      </c>
      <c r="AT394" s="121" t="e">
        <f>IF('Cable Info'!P98="","",CONCATENATE('Cable Info'!P98," - ",'Cable Info'!Q98))</f>
        <v>#N/A</v>
      </c>
      <c r="AW394" s="121" t="e">
        <f t="shared" si="121"/>
        <v>#N/A</v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str">
        <f>IF('Cable Info'!L99="","",CONCATENATE('Cable Info'!L99," - ",'Cable Info'!M99))</f>
        <v>98 - TW</v>
      </c>
      <c r="AM395" s="121" t="str">
        <f t="shared" si="119"/>
        <v>98 - TW</v>
      </c>
      <c r="AO395" s="121" t="str">
        <f>IF('Cable Info'!N99="","",CONCATENATE('Cable Info'!N99," - ",'Cable Info'!O99))</f>
        <v>98 - TW</v>
      </c>
      <c r="AR395" s="121" t="str">
        <f t="shared" si="120"/>
        <v>98 - TW</v>
      </c>
      <c r="AT395" s="121" t="e">
        <f>IF('Cable Info'!P99="","",CONCATENATE('Cable Info'!P99," - ",'Cable Info'!Q99))</f>
        <v>#N/A</v>
      </c>
      <c r="AW395" s="121" t="e">
        <f t="shared" si="121"/>
        <v>#N/A</v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str">
        <f>IF('Cable Info'!L100="","",CONCATENATE('Cable Info'!L100," - ",'Cable Info'!M100))</f>
        <v>99 - TW</v>
      </c>
      <c r="AM396" s="121" t="str">
        <f t="shared" si="119"/>
        <v>99 - TW</v>
      </c>
      <c r="AO396" s="121" t="str">
        <f>IF('Cable Info'!N100="","",CONCATENATE('Cable Info'!N100," - ",'Cable Info'!O100))</f>
        <v>99 - TW</v>
      </c>
      <c r="AR396" s="121" t="str">
        <f t="shared" si="120"/>
        <v>99 - TW</v>
      </c>
      <c r="AT396" s="121" t="e">
        <f>IF('Cable Info'!P100="","",CONCATENATE('Cable Info'!P100," - ",'Cable Info'!Q100))</f>
        <v>#N/A</v>
      </c>
      <c r="AW396" s="121" t="e">
        <f t="shared" si="121"/>
        <v>#N/A</v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str">
        <f>IF('Cable Info'!L101="","",CONCATENATE('Cable Info'!L101," - ",'Cable Info'!M101))</f>
        <v>100 - TW</v>
      </c>
      <c r="AM397" s="121" t="str">
        <f t="shared" si="119"/>
        <v>100 - TW</v>
      </c>
      <c r="AO397" s="121" t="str">
        <f>IF('Cable Info'!N101="","",CONCATENATE('Cable Info'!N101," - ",'Cable Info'!O101))</f>
        <v>100 - TW</v>
      </c>
      <c r="AR397" s="121" t="str">
        <f t="shared" si="120"/>
        <v>100 - TW</v>
      </c>
      <c r="AT397" s="121" t="e">
        <f>IF('Cable Info'!P101="","",CONCATENATE('Cable Info'!P101," - ",'Cable Info'!Q101))</f>
        <v>#N/A</v>
      </c>
      <c r="AW397" s="121" t="e">
        <f t="shared" si="121"/>
        <v>#N/A</v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str">
        <f>IF('Cable Info'!L102="","",CONCATENATE('Cable Info'!L102," - ",'Cable Info'!M102))</f>
        <v>101 - TW</v>
      </c>
      <c r="AM398" s="121" t="str">
        <f t="shared" si="119"/>
        <v>101 - TW</v>
      </c>
      <c r="AO398" s="121" t="str">
        <f>IF('Cable Info'!N102="","",CONCATENATE('Cable Info'!N102," - ",'Cable Info'!O102))</f>
        <v>101 - TW</v>
      </c>
      <c r="AR398" s="121" t="str">
        <f t="shared" si="120"/>
        <v>101 - TW</v>
      </c>
      <c r="AT398" s="121" t="e">
        <f>IF('Cable Info'!P102="","",CONCATENATE('Cable Info'!P102," - ",'Cable Info'!Q102))</f>
        <v>#N/A</v>
      </c>
      <c r="AW398" s="121" t="e">
        <f t="shared" si="121"/>
        <v>#N/A</v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str">
        <f>IF('Cable Info'!L103="","",CONCATENATE('Cable Info'!L103," - ",'Cable Info'!M103))</f>
        <v>102 - TW</v>
      </c>
      <c r="AM399" s="121" t="str">
        <f t="shared" si="119"/>
        <v>102 - TW</v>
      </c>
      <c r="AO399" s="121" t="str">
        <f>IF('Cable Info'!N103="","",CONCATENATE('Cable Info'!N103," - ",'Cable Info'!O103))</f>
        <v>102 - TW</v>
      </c>
      <c r="AR399" s="121" t="str">
        <f t="shared" si="120"/>
        <v>102 - TW</v>
      </c>
      <c r="AT399" s="121" t="e">
        <f>IF('Cable Info'!P103="","",CONCATENATE('Cable Info'!P103," - ",'Cable Info'!Q103))</f>
        <v>#N/A</v>
      </c>
      <c r="AW399" s="121" t="e">
        <f t="shared" si="121"/>
        <v>#N/A</v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str">
        <f>IF('Cable Info'!L104="","",CONCATENATE('Cable Info'!L104," - ",'Cable Info'!M104))</f>
        <v>103 - TW</v>
      </c>
      <c r="AM400" s="121" t="str">
        <f t="shared" si="119"/>
        <v>103 - TW</v>
      </c>
      <c r="AO400" s="121" t="str">
        <f>IF('Cable Info'!N104="","",CONCATENATE('Cable Info'!N104," - ",'Cable Info'!O104))</f>
        <v>103 - TW</v>
      </c>
      <c r="AR400" s="121" t="str">
        <f t="shared" si="120"/>
        <v>103 - TW</v>
      </c>
      <c r="AT400" s="121" t="e">
        <f>IF('Cable Info'!P104="","",CONCATENATE('Cable Info'!P104," - ",'Cable Info'!Q104))</f>
        <v>#N/A</v>
      </c>
      <c r="AW400" s="121" t="e">
        <f t="shared" si="121"/>
        <v>#N/A</v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str">
        <f>IF('Cable Info'!L105="","",CONCATENATE('Cable Info'!L105," - ",'Cable Info'!M105))</f>
        <v>104 - TW</v>
      </c>
      <c r="AM401" s="121" t="str">
        <f t="shared" si="119"/>
        <v>104 - TW</v>
      </c>
      <c r="AO401" s="121" t="str">
        <f>IF('Cable Info'!N105="","",CONCATENATE('Cable Info'!N105," - ",'Cable Info'!O105))</f>
        <v>104 - TW</v>
      </c>
      <c r="AR401" s="121" t="str">
        <f t="shared" si="120"/>
        <v>104 - TW</v>
      </c>
      <c r="AT401" s="121" t="e">
        <f>IF('Cable Info'!P105="","",CONCATENATE('Cable Info'!P105," - ",'Cable Info'!Q105))</f>
        <v>#N/A</v>
      </c>
      <c r="AW401" s="121" t="e">
        <f t="shared" si="121"/>
        <v>#N/A</v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str">
        <f>IF('Cable Info'!L106="","",CONCATENATE('Cable Info'!L106," - ",'Cable Info'!M106))</f>
        <v>105 - TW</v>
      </c>
      <c r="AM402" s="121" t="str">
        <f t="shared" si="119"/>
        <v>105 - TW</v>
      </c>
      <c r="AO402" s="121" t="str">
        <f>IF('Cable Info'!N106="","",CONCATENATE('Cable Info'!N106," - ",'Cable Info'!O106))</f>
        <v>105 - TW</v>
      </c>
      <c r="AR402" s="121" t="str">
        <f t="shared" si="120"/>
        <v>105 - TW</v>
      </c>
      <c r="AT402" s="121" t="e">
        <f>IF('Cable Info'!P106="","",CONCATENATE('Cable Info'!P106," - ",'Cable Info'!Q106))</f>
        <v>#N/A</v>
      </c>
      <c r="AW402" s="121" t="e">
        <f t="shared" si="121"/>
        <v>#N/A</v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str">
        <f>IF('Cable Info'!L107="","",CONCATENATE('Cable Info'!L107," - ",'Cable Info'!M107))</f>
        <v>106 - TW</v>
      </c>
      <c r="AM403" s="121" t="str">
        <f t="shared" si="119"/>
        <v>106 - TW</v>
      </c>
      <c r="AO403" s="121" t="str">
        <f>IF('Cable Info'!N107="","",CONCATENATE('Cable Info'!N107," - ",'Cable Info'!O107))</f>
        <v>106 - TW</v>
      </c>
      <c r="AR403" s="121" t="str">
        <f t="shared" si="120"/>
        <v>106 - TW</v>
      </c>
      <c r="AT403" s="121" t="e">
        <f>IF('Cable Info'!P107="","",CONCATENATE('Cable Info'!P107," - ",'Cable Info'!Q107))</f>
        <v>#N/A</v>
      </c>
      <c r="AW403" s="121" t="e">
        <f t="shared" si="121"/>
        <v>#N/A</v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str">
        <f>IF('Cable Info'!L108="","",CONCATENATE('Cable Info'!L108," - ",'Cable Info'!M108))</f>
        <v>107 - TW</v>
      </c>
      <c r="AM404" s="121" t="str">
        <f t="shared" si="119"/>
        <v>107 - TW</v>
      </c>
      <c r="AO404" s="121" t="str">
        <f>IF('Cable Info'!N108="","",CONCATENATE('Cable Info'!N108," - ",'Cable Info'!O108))</f>
        <v>107 - TW</v>
      </c>
      <c r="AR404" s="121" t="str">
        <f t="shared" si="120"/>
        <v>107 - TW</v>
      </c>
      <c r="AT404" s="121" t="e">
        <f>IF('Cable Info'!P108="","",CONCATENATE('Cable Info'!P108," - ",'Cable Info'!Q108))</f>
        <v>#N/A</v>
      </c>
      <c r="AW404" s="121" t="e">
        <f t="shared" si="121"/>
        <v>#N/A</v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str">
        <f>IF('Cable Info'!L109="","",CONCATENATE('Cable Info'!L109," - ",'Cable Info'!M109))</f>
        <v>108 - TW</v>
      </c>
      <c r="AM405" s="121" t="str">
        <f t="shared" si="119"/>
        <v>108 - TW</v>
      </c>
      <c r="AO405" s="121" t="str">
        <f>IF('Cable Info'!N109="","",CONCATENATE('Cable Info'!N109," - ",'Cable Info'!O109))</f>
        <v>108 - TW</v>
      </c>
      <c r="AR405" s="121" t="str">
        <f t="shared" si="120"/>
        <v>108 - TW</v>
      </c>
      <c r="AT405" s="121" t="e">
        <f>IF('Cable Info'!P109="","",CONCATENATE('Cable Info'!P109," - ",'Cable Info'!Q109))</f>
        <v>#N/A</v>
      </c>
      <c r="AW405" s="121" t="e">
        <f t="shared" si="121"/>
        <v>#N/A</v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str">
        <f>IF('Cable Info'!L110="","",CONCATENATE('Cable Info'!L110," - ",'Cable Info'!M110))</f>
        <v>109 - TW</v>
      </c>
      <c r="AM406" s="121" t="str">
        <f t="shared" si="119"/>
        <v>109 - TW</v>
      </c>
      <c r="AO406" s="121" t="str">
        <f>IF('Cable Info'!N110="","",CONCATENATE('Cable Info'!N110," - ",'Cable Info'!O110))</f>
        <v>109 - TW</v>
      </c>
      <c r="AR406" s="121" t="str">
        <f t="shared" si="120"/>
        <v>109 - TW</v>
      </c>
      <c r="AT406" s="121" t="e">
        <f>IF('Cable Info'!P110="","",CONCATENATE('Cable Info'!P110," - ",'Cable Info'!Q110))</f>
        <v>#N/A</v>
      </c>
      <c r="AW406" s="121" t="e">
        <f t="shared" si="121"/>
        <v>#N/A</v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str">
        <f>IF('Cable Info'!L111="","",CONCATENATE('Cable Info'!L111," - ",'Cable Info'!M111))</f>
        <v>110 - TW</v>
      </c>
      <c r="AM407" s="121" t="str">
        <f t="shared" si="119"/>
        <v>110 - TW</v>
      </c>
      <c r="AO407" s="121" t="str">
        <f>IF('Cable Info'!N111="","",CONCATENATE('Cable Info'!N111," - ",'Cable Info'!O111))</f>
        <v>110 - TW</v>
      </c>
      <c r="AR407" s="121" t="str">
        <f t="shared" si="120"/>
        <v>110 - TW</v>
      </c>
      <c r="AT407" s="121" t="e">
        <f>IF('Cable Info'!P111="","",CONCATENATE('Cable Info'!P111," - ",'Cable Info'!Q111))</f>
        <v>#N/A</v>
      </c>
      <c r="AW407" s="121" t="e">
        <f t="shared" si="121"/>
        <v>#N/A</v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str">
        <f>IF('Cable Info'!L112="","",CONCATENATE('Cable Info'!L112," - ",'Cable Info'!M112))</f>
        <v>111 - TW</v>
      </c>
      <c r="AM408" s="121" t="str">
        <f t="shared" si="119"/>
        <v>111 - TW</v>
      </c>
      <c r="AO408" s="121" t="str">
        <f>IF('Cable Info'!N112="","",CONCATENATE('Cable Info'!N112," - ",'Cable Info'!O112))</f>
        <v>111 - TW</v>
      </c>
      <c r="AR408" s="121" t="str">
        <f t="shared" si="120"/>
        <v>111 - TW</v>
      </c>
      <c r="AT408" s="121" t="e">
        <f>IF('Cable Info'!P112="","",CONCATENATE('Cable Info'!P112," - ",'Cable Info'!Q112))</f>
        <v>#N/A</v>
      </c>
      <c r="AW408" s="121" t="e">
        <f t="shared" si="121"/>
        <v>#N/A</v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str">
        <f>IF('Cable Info'!L113="","",CONCATENATE('Cable Info'!L113," - ",'Cable Info'!M113))</f>
        <v>112 - TW</v>
      </c>
      <c r="AM409" s="121" t="str">
        <f t="shared" si="119"/>
        <v>112 - TW</v>
      </c>
      <c r="AO409" s="121" t="str">
        <f>IF('Cable Info'!N113="","",CONCATENATE('Cable Info'!N113," - ",'Cable Info'!O113))</f>
        <v>112 - TW</v>
      </c>
      <c r="AR409" s="121" t="str">
        <f t="shared" si="120"/>
        <v>112 - TW</v>
      </c>
      <c r="AT409" s="121" t="e">
        <f>IF('Cable Info'!P113="","",CONCATENATE('Cable Info'!P113," - ",'Cable Info'!Q113))</f>
        <v>#N/A</v>
      </c>
      <c r="AW409" s="121" t="e">
        <f t="shared" si="121"/>
        <v>#N/A</v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str">
        <f>IF('Cable Info'!L114="","",CONCATENATE('Cable Info'!L114," - ",'Cable Info'!M114))</f>
        <v>113 - TW</v>
      </c>
      <c r="AM410" s="121" t="str">
        <f t="shared" si="119"/>
        <v>113 - TW</v>
      </c>
      <c r="AO410" s="121" t="str">
        <f>IF('Cable Info'!N114="","",CONCATENATE('Cable Info'!N114," - ",'Cable Info'!O114))</f>
        <v>113 - TW</v>
      </c>
      <c r="AR410" s="121" t="str">
        <f t="shared" si="120"/>
        <v>113 - TW</v>
      </c>
      <c r="AT410" s="121" t="e">
        <f>IF('Cable Info'!P114="","",CONCATENATE('Cable Info'!P114," - ",'Cable Info'!Q114))</f>
        <v>#N/A</v>
      </c>
      <c r="AW410" s="121" t="e">
        <f t="shared" si="121"/>
        <v>#N/A</v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str">
        <f>IF('Cable Info'!L115="","",CONCATENATE('Cable Info'!L115," - ",'Cable Info'!M115))</f>
        <v>114 - TW</v>
      </c>
      <c r="AM411" s="121" t="str">
        <f t="shared" si="119"/>
        <v>114 - TW</v>
      </c>
      <c r="AO411" s="121" t="str">
        <f>IF('Cable Info'!N115="","",CONCATENATE('Cable Info'!N115," - ",'Cable Info'!O115))</f>
        <v>114 - TW</v>
      </c>
      <c r="AR411" s="121" t="str">
        <f t="shared" si="120"/>
        <v>114 - TW</v>
      </c>
      <c r="AT411" s="121" t="e">
        <f>IF('Cable Info'!P115="","",CONCATENATE('Cable Info'!P115," - ",'Cable Info'!Q115))</f>
        <v>#N/A</v>
      </c>
      <c r="AW411" s="121" t="e">
        <f t="shared" si="121"/>
        <v>#N/A</v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str">
        <f>IF('Cable Info'!L116="","",CONCATENATE('Cable Info'!L116," - ",'Cable Info'!M116))</f>
        <v>115 - TW</v>
      </c>
      <c r="AM412" s="121" t="str">
        <f t="shared" si="119"/>
        <v>115 - TW</v>
      </c>
      <c r="AO412" s="121" t="str">
        <f>IF('Cable Info'!N116="","",CONCATENATE('Cable Info'!N116," - ",'Cable Info'!O116))</f>
        <v>115 - TW</v>
      </c>
      <c r="AR412" s="121" t="str">
        <f t="shared" si="120"/>
        <v>115 - TW</v>
      </c>
      <c r="AT412" s="121" t="e">
        <f>IF('Cable Info'!P116="","",CONCATENATE('Cable Info'!P116," - ",'Cable Info'!Q116))</f>
        <v>#N/A</v>
      </c>
      <c r="AW412" s="121" t="e">
        <f t="shared" si="121"/>
        <v>#N/A</v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str">
        <f>IF('Cable Info'!L117="","",CONCATENATE('Cable Info'!L117," - ",'Cable Info'!M117))</f>
        <v>116 - TW</v>
      </c>
      <c r="AM413" s="121" t="str">
        <f t="shared" si="119"/>
        <v>116 - TW</v>
      </c>
      <c r="AO413" s="121" t="str">
        <f>IF('Cable Info'!N117="","",CONCATENATE('Cable Info'!N117," - ",'Cable Info'!O117))</f>
        <v>116 - TW</v>
      </c>
      <c r="AR413" s="121" t="str">
        <f t="shared" si="120"/>
        <v>116 - TW</v>
      </c>
      <c r="AT413" s="121" t="e">
        <f>IF('Cable Info'!P117="","",CONCATENATE('Cable Info'!P117," - ",'Cable Info'!Q117))</f>
        <v>#N/A</v>
      </c>
      <c r="AW413" s="121" t="e">
        <f t="shared" si="121"/>
        <v>#N/A</v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str">
        <f>IF('Cable Info'!L118="","",CONCATENATE('Cable Info'!L118," - ",'Cable Info'!M118))</f>
        <v>117 - TW</v>
      </c>
      <c r="AM414" s="121" t="str">
        <f t="shared" si="119"/>
        <v>117 - TW</v>
      </c>
      <c r="AO414" s="121" t="str">
        <f>IF('Cable Info'!N118="","",CONCATENATE('Cable Info'!N118," - ",'Cable Info'!O118))</f>
        <v>117 - TW</v>
      </c>
      <c r="AR414" s="121" t="str">
        <f t="shared" si="120"/>
        <v>117 - TW</v>
      </c>
      <c r="AT414" s="121" t="e">
        <f>IF('Cable Info'!P118="","",CONCATENATE('Cable Info'!P118," - ",'Cable Info'!Q118))</f>
        <v>#N/A</v>
      </c>
      <c r="AW414" s="121" t="e">
        <f t="shared" si="121"/>
        <v>#N/A</v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str">
        <f>IF('Cable Info'!L119="","",CONCATENATE('Cable Info'!L119," - ",'Cable Info'!M119))</f>
        <v>118 - TW</v>
      </c>
      <c r="AM415" s="121" t="str">
        <f t="shared" si="119"/>
        <v>118 - TW</v>
      </c>
      <c r="AO415" s="121" t="str">
        <f>IF('Cable Info'!N119="","",CONCATENATE('Cable Info'!N119," - ",'Cable Info'!O119))</f>
        <v>118 - TW</v>
      </c>
      <c r="AR415" s="121" t="str">
        <f t="shared" si="120"/>
        <v>118 - TW</v>
      </c>
      <c r="AT415" s="121" t="e">
        <f>IF('Cable Info'!P119="","",CONCATENATE('Cable Info'!P119," - ",'Cable Info'!Q119))</f>
        <v>#N/A</v>
      </c>
      <c r="AW415" s="121" t="e">
        <f t="shared" si="121"/>
        <v>#N/A</v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str">
        <f>IF('Cable Info'!L120="","",CONCATENATE('Cable Info'!L120," - ",'Cable Info'!M120))</f>
        <v>119 - TW</v>
      </c>
      <c r="AM416" s="121" t="str">
        <f t="shared" si="119"/>
        <v>119 - TW</v>
      </c>
      <c r="AO416" s="121" t="str">
        <f>IF('Cable Info'!N120="","",CONCATENATE('Cable Info'!N120," - ",'Cable Info'!O120))</f>
        <v>119 - TW</v>
      </c>
      <c r="AR416" s="121" t="str">
        <f t="shared" si="120"/>
        <v>119 - TW</v>
      </c>
      <c r="AT416" s="121" t="e">
        <f>IF('Cable Info'!P120="","",CONCATENATE('Cable Info'!P120," - ",'Cable Info'!Q120))</f>
        <v>#N/A</v>
      </c>
      <c r="AW416" s="121" t="e">
        <f t="shared" si="121"/>
        <v>#N/A</v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str">
        <f>IF('Cable Info'!L121="","",CONCATENATE('Cable Info'!L121," - ",'Cable Info'!M121))</f>
        <v>120 - TW</v>
      </c>
      <c r="AM417" s="121" t="str">
        <f t="shared" si="119"/>
        <v>120 - TW</v>
      </c>
      <c r="AO417" s="121" t="str">
        <f>IF('Cable Info'!N121="","",CONCATENATE('Cable Info'!N121," - ",'Cable Info'!O121))</f>
        <v>120 - TW</v>
      </c>
      <c r="AR417" s="121" t="str">
        <f t="shared" si="120"/>
        <v>120 - TW</v>
      </c>
      <c r="AT417" s="121" t="e">
        <f>IF('Cable Info'!P121="","",CONCATENATE('Cable Info'!P121," - ",'Cable Info'!Q121))</f>
        <v>#N/A</v>
      </c>
      <c r="AW417" s="121" t="e">
        <f t="shared" si="121"/>
        <v>#N/A</v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str">
        <f>IF('Cable Info'!L122="","",CONCATENATE('Cable Info'!L122," - ",'Cable Info'!M122))</f>
        <v>121 - TW</v>
      </c>
      <c r="AM418" s="121" t="str">
        <f t="shared" si="119"/>
        <v>121 - TW</v>
      </c>
      <c r="AO418" s="121" t="str">
        <f>IF('Cable Info'!N122="","",CONCATENATE('Cable Info'!N122," - ",'Cable Info'!O122))</f>
        <v>121 - TW</v>
      </c>
      <c r="AR418" s="121" t="str">
        <f t="shared" si="120"/>
        <v>121 - TW</v>
      </c>
      <c r="AT418" s="121" t="e">
        <f>IF('Cable Info'!P122="","",CONCATENATE('Cable Info'!P122," - ",'Cable Info'!Q122))</f>
        <v>#N/A</v>
      </c>
      <c r="AW418" s="121" t="e">
        <f t="shared" si="121"/>
        <v>#N/A</v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str">
        <f>IF('Cable Info'!L123="","",CONCATENATE('Cable Info'!L123," - ",'Cable Info'!M123))</f>
        <v>122 - TW</v>
      </c>
      <c r="AM419" s="121" t="str">
        <f t="shared" si="119"/>
        <v>122 - TW</v>
      </c>
      <c r="AO419" s="121" t="str">
        <f>IF('Cable Info'!N123="","",CONCATENATE('Cable Info'!N123," - ",'Cable Info'!O123))</f>
        <v>122 - TW</v>
      </c>
      <c r="AR419" s="121" t="str">
        <f t="shared" si="120"/>
        <v>122 - TW</v>
      </c>
      <c r="AT419" s="121" t="e">
        <f>IF('Cable Info'!P123="","",CONCATENATE('Cable Info'!P123," - ",'Cable Info'!Q123))</f>
        <v>#N/A</v>
      </c>
      <c r="AW419" s="121" t="e">
        <f t="shared" si="121"/>
        <v>#N/A</v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str">
        <f>IF('Cable Info'!L124="","",CONCATENATE('Cable Info'!L124," - ",'Cable Info'!M124))</f>
        <v>123 - TW</v>
      </c>
      <c r="AM420" s="121" t="str">
        <f t="shared" si="119"/>
        <v>123 - TW</v>
      </c>
      <c r="AO420" s="121" t="str">
        <f>IF('Cable Info'!N124="","",CONCATENATE('Cable Info'!N124," - ",'Cable Info'!O124))</f>
        <v>123 - TW</v>
      </c>
      <c r="AR420" s="121" t="str">
        <f t="shared" si="120"/>
        <v>123 - TW</v>
      </c>
      <c r="AT420" s="121" t="e">
        <f>IF('Cable Info'!P124="","",CONCATENATE('Cable Info'!P124," - ",'Cable Info'!Q124))</f>
        <v>#N/A</v>
      </c>
      <c r="AW420" s="121" t="e">
        <f t="shared" si="121"/>
        <v>#N/A</v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str">
        <f>IF('Cable Info'!L125="","",CONCATENATE('Cable Info'!L125," - ",'Cable Info'!M125))</f>
        <v>124 - TW</v>
      </c>
      <c r="AM421" s="121" t="str">
        <f t="shared" si="119"/>
        <v>124 - TW</v>
      </c>
      <c r="AO421" s="121" t="str">
        <f>IF('Cable Info'!N125="","",CONCATENATE('Cable Info'!N125," - ",'Cable Info'!O125))</f>
        <v>124 - TW</v>
      </c>
      <c r="AR421" s="121" t="str">
        <f t="shared" si="120"/>
        <v>124 - TW</v>
      </c>
      <c r="AT421" s="121" t="e">
        <f>IF('Cable Info'!P125="","",CONCATENATE('Cable Info'!P125," - ",'Cable Info'!Q125))</f>
        <v>#N/A</v>
      </c>
      <c r="AW421" s="121" t="e">
        <f t="shared" si="121"/>
        <v>#N/A</v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str">
        <f>IF('Cable Info'!L126="","",CONCATENATE('Cable Info'!L126," - ",'Cable Info'!M126))</f>
        <v>125 - TW</v>
      </c>
      <c r="AM422" s="121" t="str">
        <f t="shared" si="119"/>
        <v>125 - TW</v>
      </c>
      <c r="AO422" s="121" t="str">
        <f>IF('Cable Info'!N126="","",CONCATENATE('Cable Info'!N126," - ",'Cable Info'!O126))</f>
        <v>125 - TW</v>
      </c>
      <c r="AR422" s="121" t="str">
        <f t="shared" si="120"/>
        <v>125 - TW</v>
      </c>
      <c r="AT422" s="121" t="e">
        <f>IF('Cable Info'!P126="","",CONCATENATE('Cable Info'!P126," - ",'Cable Info'!Q126))</f>
        <v>#N/A</v>
      </c>
      <c r="AW422" s="121" t="e">
        <f t="shared" si="121"/>
        <v>#N/A</v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str">
        <f>IF('Cable Info'!L127="","",CONCATENATE('Cable Info'!L127," - ",'Cable Info'!M127))</f>
        <v>126 - TW</v>
      </c>
      <c r="AM423" s="121" t="str">
        <f t="shared" si="119"/>
        <v>126 - TW</v>
      </c>
      <c r="AO423" s="121" t="str">
        <f>IF('Cable Info'!N127="","",CONCATENATE('Cable Info'!N127," - ",'Cable Info'!O127))</f>
        <v>126 - TW</v>
      </c>
      <c r="AR423" s="121" t="str">
        <f t="shared" si="120"/>
        <v>126 - TW</v>
      </c>
      <c r="AT423" s="121" t="e">
        <f>IF('Cable Info'!P127="","",CONCATENATE('Cable Info'!P127," - ",'Cable Info'!Q127))</f>
        <v>#N/A</v>
      </c>
      <c r="AW423" s="121" t="e">
        <f t="shared" si="121"/>
        <v>#N/A</v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str">
        <f>IF('Cable Info'!L128="","",CONCATENATE('Cable Info'!L128," - ",'Cable Info'!M128))</f>
        <v>127 - TW</v>
      </c>
      <c r="AM424" s="121" t="str">
        <f t="shared" si="119"/>
        <v>127 - TW</v>
      </c>
      <c r="AO424" s="121" t="str">
        <f>IF('Cable Info'!N128="","",CONCATENATE('Cable Info'!N128," - ",'Cable Info'!O128))</f>
        <v>127 - TW</v>
      </c>
      <c r="AR424" s="121" t="str">
        <f t="shared" si="120"/>
        <v>127 - TW</v>
      </c>
      <c r="AT424" s="121" t="e">
        <f>IF('Cable Info'!P128="","",CONCATENATE('Cable Info'!P128," - ",'Cable Info'!Q128))</f>
        <v>#N/A</v>
      </c>
      <c r="AW424" s="121" t="e">
        <f t="shared" si="121"/>
        <v>#N/A</v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str">
        <f>IF('Cable Info'!L129="","",CONCATENATE('Cable Info'!L129," - ",'Cable Info'!M129))</f>
        <v>128 - TW</v>
      </c>
      <c r="AM425" s="121" t="str">
        <f t="shared" si="119"/>
        <v>128 - TW</v>
      </c>
      <c r="AO425" s="121" t="str">
        <f>IF('Cable Info'!N129="","",CONCATENATE('Cable Info'!N129," - ",'Cable Info'!O129))</f>
        <v>128 - TW</v>
      </c>
      <c r="AR425" s="121" t="str">
        <f t="shared" si="120"/>
        <v>128 - TW</v>
      </c>
      <c r="AT425" s="121" t="e">
        <f>IF('Cable Info'!P129="","",CONCATENATE('Cable Info'!P129," - ",'Cable Info'!Q129))</f>
        <v>#N/A</v>
      </c>
      <c r="AW425" s="121" t="e">
        <f t="shared" si="121"/>
        <v>#N/A</v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str">
        <f>IF('Cable Info'!L130="","",CONCATENATE('Cable Info'!L130," - ",'Cable Info'!M130))</f>
        <v>129 - TW</v>
      </c>
      <c r="AM426" s="121" t="str">
        <f t="shared" si="119"/>
        <v>129 - TW</v>
      </c>
      <c r="AO426" s="121" t="str">
        <f>IF('Cable Info'!N130="","",CONCATENATE('Cable Info'!N130," - ",'Cable Info'!O130))</f>
        <v>129 - TW</v>
      </c>
      <c r="AR426" s="121" t="str">
        <f t="shared" si="120"/>
        <v>129 - TW</v>
      </c>
      <c r="AT426" s="121" t="e">
        <f>IF('Cable Info'!P130="","",CONCATENATE('Cable Info'!P130," - ",'Cable Info'!Q130))</f>
        <v>#N/A</v>
      </c>
      <c r="AW426" s="121" t="e">
        <f t="shared" si="121"/>
        <v>#N/A</v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str">
        <f>IF('Cable Info'!L131="","",CONCATENATE('Cable Info'!L131," - ",'Cable Info'!M131))</f>
        <v>130 - TW</v>
      </c>
      <c r="AM427" s="121" t="str">
        <f t="shared" ref="AM427:AM490" si="125">IF(AK427="",AJ427,CONCATENATE(AJ427,"  &lt;=&gt; ",AK427," ",AL427))</f>
        <v>130 - TW</v>
      </c>
      <c r="AO427" s="121" t="str">
        <f>IF('Cable Info'!N131="","",CONCATENATE('Cable Info'!N131," - ",'Cable Info'!O131))</f>
        <v>130 - TW</v>
      </c>
      <c r="AR427" s="121" t="str">
        <f t="shared" ref="AR427:AR490" si="126">IF(AP427="",AO427,CONCATENATE(AO427,"  &lt;=&gt; ",AP427," ",AQ427))</f>
        <v>130 - TW</v>
      </c>
      <c r="AT427" s="121" t="e">
        <f>IF('Cable Info'!P131="","",CONCATENATE('Cable Info'!P131," - ",'Cable Info'!Q131))</f>
        <v>#N/A</v>
      </c>
      <c r="AW427" s="121" t="e">
        <f t="shared" ref="AW427:AW490" si="127">IF(AU427="",AT427,CONCATENATE(AT427,"  &lt;=&gt; ",AU427," ",AV427))</f>
        <v>#N/A</v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str">
        <f>IF('Cable Info'!L132="","",CONCATENATE('Cable Info'!L132," - ",'Cable Info'!M132))</f>
        <v>131 - TW</v>
      </c>
      <c r="AM428" s="121" t="str">
        <f t="shared" si="125"/>
        <v>131 - TW</v>
      </c>
      <c r="AO428" s="121" t="str">
        <f>IF('Cable Info'!N132="","",CONCATENATE('Cable Info'!N132," - ",'Cable Info'!O132))</f>
        <v>131 - TW</v>
      </c>
      <c r="AR428" s="121" t="str">
        <f t="shared" si="126"/>
        <v>131 - TW</v>
      </c>
      <c r="AT428" s="121" t="e">
        <f>IF('Cable Info'!P132="","",CONCATENATE('Cable Info'!P132," - ",'Cable Info'!Q132))</f>
        <v>#N/A</v>
      </c>
      <c r="AW428" s="121" t="e">
        <f t="shared" si="127"/>
        <v>#N/A</v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str">
        <f>IF('Cable Info'!L133="","",CONCATENATE('Cable Info'!L133," - ",'Cable Info'!M133))</f>
        <v>132 - TW</v>
      </c>
      <c r="AM429" s="121" t="str">
        <f t="shared" si="125"/>
        <v>132 - TW</v>
      </c>
      <c r="AO429" s="121" t="str">
        <f>IF('Cable Info'!N133="","",CONCATENATE('Cable Info'!N133," - ",'Cable Info'!O133))</f>
        <v>132 - TW</v>
      </c>
      <c r="AR429" s="121" t="str">
        <f t="shared" si="126"/>
        <v>132 - TW</v>
      </c>
      <c r="AT429" s="121" t="e">
        <f>IF('Cable Info'!P133="","",CONCATENATE('Cable Info'!P133," - ",'Cable Info'!Q133))</f>
        <v>#N/A</v>
      </c>
      <c r="AW429" s="121" t="e">
        <f t="shared" si="127"/>
        <v>#N/A</v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str">
        <f>IF('Cable Info'!L134="","",CONCATENATE('Cable Info'!L134," - ",'Cable Info'!M134))</f>
        <v>133 - TW</v>
      </c>
      <c r="AM430" s="121" t="str">
        <f t="shared" si="125"/>
        <v>133 - TW</v>
      </c>
      <c r="AO430" s="121" t="str">
        <f>IF('Cable Info'!N134="","",CONCATENATE('Cable Info'!N134," - ",'Cable Info'!O134))</f>
        <v>133 - TW</v>
      </c>
      <c r="AR430" s="121" t="str">
        <f t="shared" si="126"/>
        <v>133 - TW</v>
      </c>
      <c r="AT430" s="121" t="e">
        <f>IF('Cable Info'!P134="","",CONCATENATE('Cable Info'!P134," - ",'Cable Info'!Q134))</f>
        <v>#N/A</v>
      </c>
      <c r="AW430" s="121" t="e">
        <f t="shared" si="127"/>
        <v>#N/A</v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str">
        <f>IF('Cable Info'!L135="","",CONCATENATE('Cable Info'!L135," - ",'Cable Info'!M135))</f>
        <v>134 - TW</v>
      </c>
      <c r="AM431" s="121" t="str">
        <f t="shared" si="125"/>
        <v>134 - TW</v>
      </c>
      <c r="AO431" s="121" t="str">
        <f>IF('Cable Info'!N135="","",CONCATENATE('Cable Info'!N135," - ",'Cable Info'!O135))</f>
        <v>134 - TW</v>
      </c>
      <c r="AR431" s="121" t="str">
        <f t="shared" si="126"/>
        <v>134 - TW</v>
      </c>
      <c r="AT431" s="121" t="e">
        <f>IF('Cable Info'!P135="","",CONCATENATE('Cable Info'!P135," - ",'Cable Info'!Q135))</f>
        <v>#N/A</v>
      </c>
      <c r="AW431" s="121" t="e">
        <f t="shared" si="127"/>
        <v>#N/A</v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str">
        <f>IF('Cable Info'!L136="","",CONCATENATE('Cable Info'!L136," - ",'Cable Info'!M136))</f>
        <v>135 - TW</v>
      </c>
      <c r="AM432" s="121" t="str">
        <f t="shared" si="125"/>
        <v>135 - TW</v>
      </c>
      <c r="AO432" s="121" t="str">
        <f>IF('Cable Info'!N136="","",CONCATENATE('Cable Info'!N136," - ",'Cable Info'!O136))</f>
        <v>135 - TW</v>
      </c>
      <c r="AR432" s="121" t="str">
        <f t="shared" si="126"/>
        <v>135 - TW</v>
      </c>
      <c r="AT432" s="121" t="e">
        <f>IF('Cable Info'!P136="","",CONCATENATE('Cable Info'!P136," - ",'Cable Info'!Q136))</f>
        <v>#N/A</v>
      </c>
      <c r="AW432" s="121" t="e">
        <f t="shared" si="127"/>
        <v>#N/A</v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str">
        <f>IF('Cable Info'!L137="","",CONCATENATE('Cable Info'!L137," - ",'Cable Info'!M137))</f>
        <v>136 - TW</v>
      </c>
      <c r="AM433" s="121" t="str">
        <f t="shared" si="125"/>
        <v>136 - TW</v>
      </c>
      <c r="AO433" s="121" t="str">
        <f>IF('Cable Info'!N137="","",CONCATENATE('Cable Info'!N137," - ",'Cable Info'!O137))</f>
        <v>136 - TW</v>
      </c>
      <c r="AR433" s="121" t="str">
        <f t="shared" si="126"/>
        <v>136 - TW</v>
      </c>
      <c r="AT433" s="121" t="e">
        <f>IF('Cable Info'!P137="","",CONCATENATE('Cable Info'!P137," - ",'Cable Info'!Q137))</f>
        <v>#N/A</v>
      </c>
      <c r="AW433" s="121" t="e">
        <f t="shared" si="127"/>
        <v>#N/A</v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str">
        <f>IF('Cable Info'!L138="","",CONCATENATE('Cable Info'!L138," - ",'Cable Info'!M138))</f>
        <v>137 - TW</v>
      </c>
      <c r="AM434" s="121" t="str">
        <f t="shared" si="125"/>
        <v>137 - TW</v>
      </c>
      <c r="AO434" s="121" t="str">
        <f>IF('Cable Info'!N138="","",CONCATENATE('Cable Info'!N138," - ",'Cable Info'!O138))</f>
        <v>137 - TW</v>
      </c>
      <c r="AR434" s="121" t="str">
        <f t="shared" si="126"/>
        <v>137 - TW</v>
      </c>
      <c r="AT434" s="121" t="e">
        <f>IF('Cable Info'!P138="","",CONCATENATE('Cable Info'!P138," - ",'Cable Info'!Q138))</f>
        <v>#N/A</v>
      </c>
      <c r="AW434" s="121" t="e">
        <f t="shared" si="127"/>
        <v>#N/A</v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str">
        <f>IF('Cable Info'!L139="","",CONCATENATE('Cable Info'!L139," - ",'Cable Info'!M139))</f>
        <v>138 - TW</v>
      </c>
      <c r="AM435" s="121" t="str">
        <f t="shared" si="125"/>
        <v>138 - TW</v>
      </c>
      <c r="AO435" s="121" t="str">
        <f>IF('Cable Info'!N139="","",CONCATENATE('Cable Info'!N139," - ",'Cable Info'!O139))</f>
        <v>138 - TW</v>
      </c>
      <c r="AR435" s="121" t="str">
        <f t="shared" si="126"/>
        <v>138 - TW</v>
      </c>
      <c r="AT435" s="121" t="e">
        <f>IF('Cable Info'!P139="","",CONCATENATE('Cable Info'!P139," - ",'Cable Info'!Q139))</f>
        <v>#N/A</v>
      </c>
      <c r="AW435" s="121" t="e">
        <f t="shared" si="127"/>
        <v>#N/A</v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str">
        <f>IF('Cable Info'!L140="","",CONCATENATE('Cable Info'!L140," - ",'Cable Info'!M140))</f>
        <v>139 - TW</v>
      </c>
      <c r="AM436" s="121" t="str">
        <f t="shared" si="125"/>
        <v>139 - TW</v>
      </c>
      <c r="AO436" s="121" t="str">
        <f>IF('Cable Info'!N140="","",CONCATENATE('Cable Info'!N140," - ",'Cable Info'!O140))</f>
        <v>139 - TW</v>
      </c>
      <c r="AR436" s="121" t="str">
        <f t="shared" si="126"/>
        <v>139 - TW</v>
      </c>
      <c r="AT436" s="121" t="e">
        <f>IF('Cable Info'!P140="","",CONCATENATE('Cable Info'!P140," - ",'Cable Info'!Q140))</f>
        <v>#N/A</v>
      </c>
      <c r="AW436" s="121" t="e">
        <f t="shared" si="127"/>
        <v>#N/A</v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str">
        <f>IF('Cable Info'!L141="","",CONCATENATE('Cable Info'!L141," - ",'Cable Info'!M141))</f>
        <v>140 - TW</v>
      </c>
      <c r="AM437" s="121" t="str">
        <f t="shared" si="125"/>
        <v>140 - TW</v>
      </c>
      <c r="AO437" s="121" t="str">
        <f>IF('Cable Info'!N141="","",CONCATENATE('Cable Info'!N141," - ",'Cable Info'!O141))</f>
        <v>140 - TW</v>
      </c>
      <c r="AR437" s="121" t="str">
        <f t="shared" si="126"/>
        <v>140 - TW</v>
      </c>
      <c r="AT437" s="121" t="e">
        <f>IF('Cable Info'!P141="","",CONCATENATE('Cable Info'!P141," - ",'Cable Info'!Q141))</f>
        <v>#N/A</v>
      </c>
      <c r="AW437" s="121" t="e">
        <f t="shared" si="127"/>
        <v>#N/A</v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str">
        <f>IF('Cable Info'!L142="","",CONCATENATE('Cable Info'!L142," - ",'Cable Info'!M142))</f>
        <v>141 - TW</v>
      </c>
      <c r="AM438" s="121" t="str">
        <f t="shared" si="125"/>
        <v>141 - TW</v>
      </c>
      <c r="AO438" s="121" t="str">
        <f>IF('Cable Info'!N142="","",CONCATENATE('Cable Info'!N142," - ",'Cable Info'!O142))</f>
        <v>141 - TW</v>
      </c>
      <c r="AR438" s="121" t="str">
        <f t="shared" si="126"/>
        <v>141 - TW</v>
      </c>
      <c r="AT438" s="121" t="e">
        <f>IF('Cable Info'!P142="","",CONCATENATE('Cable Info'!P142," - ",'Cable Info'!Q142))</f>
        <v>#N/A</v>
      </c>
      <c r="AW438" s="121" t="e">
        <f t="shared" si="127"/>
        <v>#N/A</v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str">
        <f>IF('Cable Info'!L143="","",CONCATENATE('Cable Info'!L143," - ",'Cable Info'!M143))</f>
        <v>142 - TW</v>
      </c>
      <c r="AM439" s="121" t="str">
        <f t="shared" si="125"/>
        <v>142 - TW</v>
      </c>
      <c r="AO439" s="121" t="str">
        <f>IF('Cable Info'!N143="","",CONCATENATE('Cable Info'!N143," - ",'Cable Info'!O143))</f>
        <v>142 - TW</v>
      </c>
      <c r="AR439" s="121" t="str">
        <f t="shared" si="126"/>
        <v>142 - TW</v>
      </c>
      <c r="AT439" s="121" t="e">
        <f>IF('Cable Info'!P143="","",CONCATENATE('Cable Info'!P143," - ",'Cable Info'!Q143))</f>
        <v>#N/A</v>
      </c>
      <c r="AW439" s="121" t="e">
        <f t="shared" si="127"/>
        <v>#N/A</v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str">
        <f>IF('Cable Info'!L144="","",CONCATENATE('Cable Info'!L144," - ",'Cable Info'!M144))</f>
        <v>143 - TW</v>
      </c>
      <c r="AM440" s="121" t="str">
        <f t="shared" si="125"/>
        <v>143 - TW</v>
      </c>
      <c r="AO440" s="121" t="str">
        <f>IF('Cable Info'!N144="","",CONCATENATE('Cable Info'!N144," - ",'Cable Info'!O144))</f>
        <v>143 - TW</v>
      </c>
      <c r="AR440" s="121" t="str">
        <f t="shared" si="126"/>
        <v>143 - TW</v>
      </c>
      <c r="AT440" s="121" t="e">
        <f>IF('Cable Info'!P144="","",CONCATENATE('Cable Info'!P144," - ",'Cable Info'!Q144))</f>
        <v>#N/A</v>
      </c>
      <c r="AW440" s="121" t="e">
        <f t="shared" si="127"/>
        <v>#N/A</v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str">
        <f>IF('Cable Info'!L145="","",CONCATENATE('Cable Info'!L145," - ",'Cable Info'!M145))</f>
        <v>144 - TW</v>
      </c>
      <c r="AM441" s="121" t="str">
        <f t="shared" si="125"/>
        <v>144 - TW</v>
      </c>
      <c r="AO441" s="121" t="str">
        <f>IF('Cable Info'!N145="","",CONCATENATE('Cable Info'!N145," - ",'Cable Info'!O145))</f>
        <v>144 - TW</v>
      </c>
      <c r="AR441" s="121" t="str">
        <f t="shared" si="126"/>
        <v>144 - TW</v>
      </c>
      <c r="AT441" s="121" t="e">
        <f>IF('Cable Info'!P145="","",CONCATENATE('Cable Info'!P145," - ",'Cable Info'!Q145))</f>
        <v>#N/A</v>
      </c>
      <c r="AW441" s="121" t="e">
        <f t="shared" si="127"/>
        <v>#N/A</v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str">
        <f>IF('Cable Info'!L146="","",CONCATENATE('Cable Info'!L146," - ",'Cable Info'!M146))</f>
        <v>145 - TW</v>
      </c>
      <c r="AM442" s="121" t="str">
        <f t="shared" si="125"/>
        <v>145 - TW</v>
      </c>
      <c r="AO442" s="121" t="str">
        <f>IF('Cable Info'!N146="","",CONCATENATE('Cable Info'!N146," - ",'Cable Info'!O146))</f>
        <v>145 - TW</v>
      </c>
      <c r="AR442" s="121" t="str">
        <f t="shared" si="126"/>
        <v>145 - TW</v>
      </c>
      <c r="AT442" s="121" t="e">
        <f>IF('Cable Info'!P146="","",CONCATENATE('Cable Info'!P146," - ",'Cable Info'!Q146))</f>
        <v>#N/A</v>
      </c>
      <c r="AW442" s="121" t="e">
        <f t="shared" si="127"/>
        <v>#N/A</v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str">
        <f>IF('Cable Info'!L147="","",CONCATENATE('Cable Info'!L147," - ",'Cable Info'!M147))</f>
        <v>146 - TW</v>
      </c>
      <c r="AM443" s="121" t="str">
        <f t="shared" si="125"/>
        <v>146 - TW</v>
      </c>
      <c r="AO443" s="121" t="str">
        <f>IF('Cable Info'!N147="","",CONCATENATE('Cable Info'!N147," - ",'Cable Info'!O147))</f>
        <v>146 - TW</v>
      </c>
      <c r="AR443" s="121" t="str">
        <f t="shared" si="126"/>
        <v>146 - TW</v>
      </c>
      <c r="AT443" s="121" t="e">
        <f>IF('Cable Info'!P147="","",CONCATENATE('Cable Info'!P147," - ",'Cable Info'!Q147))</f>
        <v>#N/A</v>
      </c>
      <c r="AW443" s="121" t="e">
        <f t="shared" si="127"/>
        <v>#N/A</v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str">
        <f>IF('Cable Info'!L148="","",CONCATENATE('Cable Info'!L148," - ",'Cable Info'!M148))</f>
        <v>147 - TW</v>
      </c>
      <c r="AM444" s="121" t="str">
        <f t="shared" si="125"/>
        <v>147 - TW</v>
      </c>
      <c r="AO444" s="121" t="str">
        <f>IF('Cable Info'!N148="","",CONCATENATE('Cable Info'!N148," - ",'Cable Info'!O148))</f>
        <v>147 - TW</v>
      </c>
      <c r="AR444" s="121" t="str">
        <f t="shared" si="126"/>
        <v>147 - TW</v>
      </c>
      <c r="AT444" s="121" t="e">
        <f>IF('Cable Info'!P148="","",CONCATENATE('Cable Info'!P148," - ",'Cable Info'!Q148))</f>
        <v>#N/A</v>
      </c>
      <c r="AW444" s="121" t="e">
        <f t="shared" si="127"/>
        <v>#N/A</v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str">
        <f>IF('Cable Info'!L149="","",CONCATENATE('Cable Info'!L149," - ",'Cable Info'!M149))</f>
        <v>148 - TW</v>
      </c>
      <c r="AM445" s="121" t="str">
        <f t="shared" si="125"/>
        <v>148 - TW</v>
      </c>
      <c r="AO445" s="121" t="str">
        <f>IF('Cable Info'!N149="","",CONCATENATE('Cable Info'!N149," - ",'Cable Info'!O149))</f>
        <v>148 - TW</v>
      </c>
      <c r="AR445" s="121" t="str">
        <f t="shared" si="126"/>
        <v>148 - TW</v>
      </c>
      <c r="AT445" s="121" t="e">
        <f>IF('Cable Info'!P149="","",CONCATENATE('Cable Info'!P149," - ",'Cable Info'!Q149))</f>
        <v>#N/A</v>
      </c>
      <c r="AW445" s="121" t="e">
        <f t="shared" si="127"/>
        <v>#N/A</v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str">
        <f>IF('Cable Info'!L150="","",CONCATENATE('Cable Info'!L150," - ",'Cable Info'!M150))</f>
        <v>149 - TW</v>
      </c>
      <c r="AM446" s="121" t="str">
        <f t="shared" si="125"/>
        <v>149 - TW</v>
      </c>
      <c r="AO446" s="121" t="str">
        <f>IF('Cable Info'!N150="","",CONCATENATE('Cable Info'!N150," - ",'Cable Info'!O150))</f>
        <v>149 - TW</v>
      </c>
      <c r="AR446" s="121" t="str">
        <f t="shared" si="126"/>
        <v>149 - TW</v>
      </c>
      <c r="AT446" s="121" t="e">
        <f>IF('Cable Info'!P150="","",CONCATENATE('Cable Info'!P150," - ",'Cable Info'!Q150))</f>
        <v>#N/A</v>
      </c>
      <c r="AW446" s="121" t="e">
        <f t="shared" si="127"/>
        <v>#N/A</v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str">
        <f>IF('Cable Info'!L151="","",CONCATENATE('Cable Info'!L151," - ",'Cable Info'!M151))</f>
        <v>150 - TW</v>
      </c>
      <c r="AM447" s="121" t="str">
        <f t="shared" si="125"/>
        <v>150 - TW</v>
      </c>
      <c r="AO447" s="121" t="str">
        <f>IF('Cable Info'!N151="","",CONCATENATE('Cable Info'!N151," - ",'Cable Info'!O151))</f>
        <v>150 - TW</v>
      </c>
      <c r="AR447" s="121" t="str">
        <f t="shared" si="126"/>
        <v>150 - TW</v>
      </c>
      <c r="AT447" s="121" t="e">
        <f>IF('Cable Info'!P151="","",CONCATENATE('Cable Info'!P151," - ",'Cable Info'!Q151))</f>
        <v>#N/A</v>
      </c>
      <c r="AW447" s="121" t="e">
        <f t="shared" si="127"/>
        <v>#N/A</v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str">
        <f>IF('Cable Info'!L152="","",CONCATENATE('Cable Info'!L152," - ",'Cable Info'!M152))</f>
        <v>151 - TW</v>
      </c>
      <c r="AM448" s="121" t="str">
        <f t="shared" si="125"/>
        <v>151 - TW</v>
      </c>
      <c r="AO448" s="121" t="str">
        <f>IF('Cable Info'!N152="","",CONCATENATE('Cable Info'!N152," - ",'Cable Info'!O152))</f>
        <v>151 - TW</v>
      </c>
      <c r="AR448" s="121" t="str">
        <f t="shared" si="126"/>
        <v>151 - TW</v>
      </c>
      <c r="AT448" s="121" t="e">
        <f>IF('Cable Info'!P152="","",CONCATENATE('Cable Info'!P152," - ",'Cable Info'!Q152))</f>
        <v>#N/A</v>
      </c>
      <c r="AW448" s="121" t="e">
        <f t="shared" si="127"/>
        <v>#N/A</v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str">
        <f>IF('Cable Info'!L153="","",CONCATENATE('Cable Info'!L153," - ",'Cable Info'!M153))</f>
        <v>152 - TW</v>
      </c>
      <c r="AM449" s="121" t="str">
        <f t="shared" si="125"/>
        <v>152 - TW</v>
      </c>
      <c r="AO449" s="121" t="str">
        <f>IF('Cable Info'!N153="","",CONCATENATE('Cable Info'!N153," - ",'Cable Info'!O153))</f>
        <v>152 - TW</v>
      </c>
      <c r="AR449" s="121" t="str">
        <f t="shared" si="126"/>
        <v>152 - TW</v>
      </c>
      <c r="AT449" s="121" t="e">
        <f>IF('Cable Info'!P153="","",CONCATENATE('Cable Info'!P153," - ",'Cable Info'!Q153))</f>
        <v>#N/A</v>
      </c>
      <c r="AW449" s="121" t="e">
        <f t="shared" si="127"/>
        <v>#N/A</v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str">
        <f>IF('Cable Info'!L154="","",CONCATENATE('Cable Info'!L154," - ",'Cable Info'!M154))</f>
        <v>153 - TW</v>
      </c>
      <c r="AM450" s="121" t="str">
        <f t="shared" si="125"/>
        <v>153 - TW</v>
      </c>
      <c r="AO450" s="121" t="str">
        <f>IF('Cable Info'!N154="","",CONCATENATE('Cable Info'!N154," - ",'Cable Info'!O154))</f>
        <v>153 - TW</v>
      </c>
      <c r="AR450" s="121" t="str">
        <f t="shared" si="126"/>
        <v>153 - TW</v>
      </c>
      <c r="AT450" s="121" t="e">
        <f>IF('Cable Info'!P154="","",CONCATENATE('Cable Info'!P154," - ",'Cable Info'!Q154))</f>
        <v>#N/A</v>
      </c>
      <c r="AW450" s="121" t="e">
        <f t="shared" si="127"/>
        <v>#N/A</v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str">
        <f>IF('Cable Info'!L155="","",CONCATENATE('Cable Info'!L155," - ",'Cable Info'!M155))</f>
        <v>154 - TW</v>
      </c>
      <c r="AM451" s="121" t="str">
        <f t="shared" si="125"/>
        <v>154 - TW</v>
      </c>
      <c r="AO451" s="121" t="str">
        <f>IF('Cable Info'!N155="","",CONCATENATE('Cable Info'!N155," - ",'Cable Info'!O155))</f>
        <v>154 - TW</v>
      </c>
      <c r="AR451" s="121" t="str">
        <f t="shared" si="126"/>
        <v>154 - TW</v>
      </c>
      <c r="AT451" s="121" t="e">
        <f>IF('Cable Info'!P155="","",CONCATENATE('Cable Info'!P155," - ",'Cable Info'!Q155))</f>
        <v>#N/A</v>
      </c>
      <c r="AW451" s="121" t="e">
        <f t="shared" si="127"/>
        <v>#N/A</v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str">
        <f>IF('Cable Info'!L156="","",CONCATENATE('Cable Info'!L156," - ",'Cable Info'!M156))</f>
        <v>155 - TW</v>
      </c>
      <c r="AM452" s="121" t="str">
        <f t="shared" si="125"/>
        <v>155 - TW</v>
      </c>
      <c r="AO452" s="121" t="str">
        <f>IF('Cable Info'!N156="","",CONCATENATE('Cable Info'!N156," - ",'Cable Info'!O156))</f>
        <v>155 - TW</v>
      </c>
      <c r="AR452" s="121" t="str">
        <f t="shared" si="126"/>
        <v>155 - TW</v>
      </c>
      <c r="AT452" s="121" t="e">
        <f>IF('Cable Info'!P156="","",CONCATENATE('Cable Info'!P156," - ",'Cable Info'!Q156))</f>
        <v>#N/A</v>
      </c>
      <c r="AW452" s="121" t="e">
        <f t="shared" si="127"/>
        <v>#N/A</v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str">
        <f>IF('Cable Info'!L157="","",CONCATENATE('Cable Info'!L157," - ",'Cable Info'!M157))</f>
        <v>156 - TW</v>
      </c>
      <c r="AM453" s="121" t="str">
        <f t="shared" si="125"/>
        <v>156 - TW</v>
      </c>
      <c r="AO453" s="121" t="str">
        <f>IF('Cable Info'!N157="","",CONCATENATE('Cable Info'!N157," - ",'Cable Info'!O157))</f>
        <v>156 - TW</v>
      </c>
      <c r="AR453" s="121" t="str">
        <f t="shared" si="126"/>
        <v>156 - TW</v>
      </c>
      <c r="AT453" s="121" t="e">
        <f>IF('Cable Info'!P157="","",CONCATENATE('Cable Info'!P157," - ",'Cable Info'!Q157))</f>
        <v>#N/A</v>
      </c>
      <c r="AW453" s="121" t="e">
        <f t="shared" si="127"/>
        <v>#N/A</v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str">
        <f>IF('Cable Info'!L158="","",CONCATENATE('Cable Info'!L158," - ",'Cable Info'!M158))</f>
        <v>157 - TW</v>
      </c>
      <c r="AM454" s="121" t="str">
        <f t="shared" si="125"/>
        <v>157 - TW</v>
      </c>
      <c r="AO454" s="121" t="str">
        <f>IF('Cable Info'!N158="","",CONCATENATE('Cable Info'!N158," - ",'Cable Info'!O158))</f>
        <v>157 - TW</v>
      </c>
      <c r="AR454" s="121" t="str">
        <f t="shared" si="126"/>
        <v>157 - TW</v>
      </c>
      <c r="AT454" s="121" t="e">
        <f>IF('Cable Info'!P158="","",CONCATENATE('Cable Info'!P158," - ",'Cable Info'!Q158))</f>
        <v>#N/A</v>
      </c>
      <c r="AW454" s="121" t="e">
        <f t="shared" si="127"/>
        <v>#N/A</v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str">
        <f>IF('Cable Info'!L159="","",CONCATENATE('Cable Info'!L159," - ",'Cable Info'!M159))</f>
        <v>158 - TW</v>
      </c>
      <c r="AM455" s="121" t="str">
        <f t="shared" si="125"/>
        <v>158 - TW</v>
      </c>
      <c r="AO455" s="121" t="str">
        <f>IF('Cable Info'!N159="","",CONCATENATE('Cable Info'!N159," - ",'Cable Info'!O159))</f>
        <v>158 - TW</v>
      </c>
      <c r="AR455" s="121" t="str">
        <f t="shared" si="126"/>
        <v>158 - TW</v>
      </c>
      <c r="AT455" s="121" t="e">
        <f>IF('Cable Info'!P159="","",CONCATENATE('Cable Info'!P159," - ",'Cable Info'!Q159))</f>
        <v>#N/A</v>
      </c>
      <c r="AW455" s="121" t="e">
        <f t="shared" si="127"/>
        <v>#N/A</v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str">
        <f>IF('Cable Info'!L160="","",CONCATENATE('Cable Info'!L160," - ",'Cable Info'!M160))</f>
        <v>159 - TW</v>
      </c>
      <c r="AM456" s="121" t="str">
        <f t="shared" si="125"/>
        <v>159 - TW</v>
      </c>
      <c r="AO456" s="121" t="str">
        <f>IF('Cable Info'!N160="","",CONCATENATE('Cable Info'!N160," - ",'Cable Info'!O160))</f>
        <v>159 - TW</v>
      </c>
      <c r="AR456" s="121" t="str">
        <f t="shared" si="126"/>
        <v>159 - TW</v>
      </c>
      <c r="AT456" s="121" t="e">
        <f>IF('Cable Info'!P160="","",CONCATENATE('Cable Info'!P160," - ",'Cable Info'!Q160))</f>
        <v>#N/A</v>
      </c>
      <c r="AW456" s="121" t="e">
        <f t="shared" si="127"/>
        <v>#N/A</v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str">
        <f>IF('Cable Info'!L161="","",CONCATENATE('Cable Info'!L161," - ",'Cable Info'!M161))</f>
        <v>160 - TW</v>
      </c>
      <c r="AM457" s="121" t="str">
        <f t="shared" si="125"/>
        <v>160 - TW</v>
      </c>
      <c r="AO457" s="121" t="str">
        <f>IF('Cable Info'!N161="","",CONCATENATE('Cable Info'!N161," - ",'Cable Info'!O161))</f>
        <v>160 - TW</v>
      </c>
      <c r="AR457" s="121" t="str">
        <f t="shared" si="126"/>
        <v>160 - TW</v>
      </c>
      <c r="AT457" s="121" t="e">
        <f>IF('Cable Info'!P161="","",CONCATENATE('Cable Info'!P161," - ",'Cable Info'!Q161))</f>
        <v>#N/A</v>
      </c>
      <c r="AW457" s="121" t="e">
        <f t="shared" si="127"/>
        <v>#N/A</v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str">
        <f>IF('Cable Info'!L162="","",CONCATENATE('Cable Info'!L162," - ",'Cable Info'!M162))</f>
        <v>161 - TW</v>
      </c>
      <c r="AM458" s="121" t="str">
        <f t="shared" si="125"/>
        <v>161 - TW</v>
      </c>
      <c r="AO458" s="121" t="str">
        <f>IF('Cable Info'!N162="","",CONCATENATE('Cable Info'!N162," - ",'Cable Info'!O162))</f>
        <v>161 - TW</v>
      </c>
      <c r="AR458" s="121" t="str">
        <f t="shared" si="126"/>
        <v>161 - TW</v>
      </c>
      <c r="AT458" s="121" t="e">
        <f>IF('Cable Info'!P162="","",CONCATENATE('Cable Info'!P162," - ",'Cable Info'!Q162))</f>
        <v>#N/A</v>
      </c>
      <c r="AW458" s="121" t="e">
        <f t="shared" si="127"/>
        <v>#N/A</v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str">
        <f>IF('Cable Info'!L163="","",CONCATENATE('Cable Info'!L163," - ",'Cable Info'!M163))</f>
        <v>162 - TW</v>
      </c>
      <c r="AM459" s="121" t="str">
        <f t="shared" si="125"/>
        <v>162 - TW</v>
      </c>
      <c r="AO459" s="121" t="str">
        <f>IF('Cable Info'!N163="","",CONCATENATE('Cable Info'!N163," - ",'Cable Info'!O163))</f>
        <v>162 - TW</v>
      </c>
      <c r="AR459" s="121" t="str">
        <f t="shared" si="126"/>
        <v>162 - TW</v>
      </c>
      <c r="AT459" s="121" t="e">
        <f>IF('Cable Info'!P163="","",CONCATENATE('Cable Info'!P163," - ",'Cable Info'!Q163))</f>
        <v>#N/A</v>
      </c>
      <c r="AW459" s="121" t="e">
        <f t="shared" si="127"/>
        <v>#N/A</v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str">
        <f>IF('Cable Info'!L164="","",CONCATENATE('Cable Info'!L164," - ",'Cable Info'!M164))</f>
        <v>163 - TW</v>
      </c>
      <c r="AM460" s="121" t="str">
        <f t="shared" si="125"/>
        <v>163 - TW</v>
      </c>
      <c r="AO460" s="121" t="str">
        <f>IF('Cable Info'!N164="","",CONCATENATE('Cable Info'!N164," - ",'Cable Info'!O164))</f>
        <v>163 - TW</v>
      </c>
      <c r="AR460" s="121" t="str">
        <f t="shared" si="126"/>
        <v>163 - TW</v>
      </c>
      <c r="AT460" s="121" t="e">
        <f>IF('Cable Info'!P164="","",CONCATENATE('Cable Info'!P164," - ",'Cable Info'!Q164))</f>
        <v>#N/A</v>
      </c>
      <c r="AW460" s="121" t="e">
        <f t="shared" si="127"/>
        <v>#N/A</v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str">
        <f>IF('Cable Info'!L165="","",CONCATENATE('Cable Info'!L165," - ",'Cable Info'!M165))</f>
        <v>164 - TW</v>
      </c>
      <c r="AM461" s="121" t="str">
        <f t="shared" si="125"/>
        <v>164 - TW</v>
      </c>
      <c r="AO461" s="121" t="str">
        <f>IF('Cable Info'!N165="","",CONCATENATE('Cable Info'!N165," - ",'Cable Info'!O165))</f>
        <v>164 - TW</v>
      </c>
      <c r="AR461" s="121" t="str">
        <f t="shared" si="126"/>
        <v>164 - TW</v>
      </c>
      <c r="AT461" s="121" t="e">
        <f>IF('Cable Info'!P165="","",CONCATENATE('Cable Info'!P165," - ",'Cable Info'!Q165))</f>
        <v>#N/A</v>
      </c>
      <c r="AW461" s="121" t="e">
        <f t="shared" si="127"/>
        <v>#N/A</v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str">
        <f>IF('Cable Info'!L166="","",CONCATENATE('Cable Info'!L166," - ",'Cable Info'!M166))</f>
        <v>165 - TW</v>
      </c>
      <c r="AM462" s="121" t="str">
        <f t="shared" si="125"/>
        <v>165 - TW</v>
      </c>
      <c r="AO462" s="121" t="str">
        <f>IF('Cable Info'!N166="","",CONCATENATE('Cable Info'!N166," - ",'Cable Info'!O166))</f>
        <v>165 - TW</v>
      </c>
      <c r="AR462" s="121" t="str">
        <f t="shared" si="126"/>
        <v>165 - TW</v>
      </c>
      <c r="AT462" s="121" t="e">
        <f>IF('Cable Info'!P166="","",CONCATENATE('Cable Info'!P166," - ",'Cable Info'!Q166))</f>
        <v>#N/A</v>
      </c>
      <c r="AW462" s="121" t="e">
        <f t="shared" si="127"/>
        <v>#N/A</v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str">
        <f>IF('Cable Info'!L167="","",CONCATENATE('Cable Info'!L167," - ",'Cable Info'!M167))</f>
        <v>166 - TW</v>
      </c>
      <c r="AM463" s="121" t="str">
        <f t="shared" si="125"/>
        <v>166 - TW</v>
      </c>
      <c r="AO463" s="121" t="str">
        <f>IF('Cable Info'!N167="","",CONCATENATE('Cable Info'!N167," - ",'Cable Info'!O167))</f>
        <v>166 - TW</v>
      </c>
      <c r="AR463" s="121" t="str">
        <f t="shared" si="126"/>
        <v>166 - TW</v>
      </c>
      <c r="AT463" s="121" t="e">
        <f>IF('Cable Info'!P167="","",CONCATENATE('Cable Info'!P167," - ",'Cable Info'!Q167))</f>
        <v>#N/A</v>
      </c>
      <c r="AW463" s="121" t="e">
        <f t="shared" si="127"/>
        <v>#N/A</v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str">
        <f>IF('Cable Info'!L168="","",CONCATENATE('Cable Info'!L168," - ",'Cable Info'!M168))</f>
        <v>167 - TW</v>
      </c>
      <c r="AM464" s="121" t="str">
        <f t="shared" si="125"/>
        <v>167 - TW</v>
      </c>
      <c r="AO464" s="121" t="str">
        <f>IF('Cable Info'!N168="","",CONCATENATE('Cable Info'!N168," - ",'Cable Info'!O168))</f>
        <v>167 - TW</v>
      </c>
      <c r="AR464" s="121" t="str">
        <f t="shared" si="126"/>
        <v>167 - TW</v>
      </c>
      <c r="AT464" s="121" t="e">
        <f>IF('Cable Info'!P168="","",CONCATENATE('Cable Info'!P168," - ",'Cable Info'!Q168))</f>
        <v>#N/A</v>
      </c>
      <c r="AW464" s="121" t="e">
        <f t="shared" si="127"/>
        <v>#N/A</v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str">
        <f>IF('Cable Info'!L169="","",CONCATENATE('Cable Info'!L169," - ",'Cable Info'!M169))</f>
        <v>168 - TW</v>
      </c>
      <c r="AM465" s="121" t="str">
        <f t="shared" si="125"/>
        <v>168 - TW</v>
      </c>
      <c r="AO465" s="121" t="str">
        <f>IF('Cable Info'!N169="","",CONCATENATE('Cable Info'!N169," - ",'Cable Info'!O169))</f>
        <v>168 - TW</v>
      </c>
      <c r="AR465" s="121" t="str">
        <f t="shared" si="126"/>
        <v>168 - TW</v>
      </c>
      <c r="AT465" s="121" t="e">
        <f>IF('Cable Info'!P169="","",CONCATENATE('Cable Info'!P169," - ",'Cable Info'!Q169))</f>
        <v>#N/A</v>
      </c>
      <c r="AW465" s="121" t="e">
        <f t="shared" si="127"/>
        <v>#N/A</v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str">
        <f>IF('Cable Info'!L170="","",CONCATENATE('Cable Info'!L170," - ",'Cable Info'!M170))</f>
        <v>169 - TW</v>
      </c>
      <c r="AM466" s="121" t="str">
        <f t="shared" si="125"/>
        <v>169 - TW</v>
      </c>
      <c r="AO466" s="121" t="str">
        <f>IF('Cable Info'!N170="","",CONCATENATE('Cable Info'!N170," - ",'Cable Info'!O170))</f>
        <v>169 - TW</v>
      </c>
      <c r="AR466" s="121" t="str">
        <f t="shared" si="126"/>
        <v>169 - TW</v>
      </c>
      <c r="AT466" s="121" t="e">
        <f>IF('Cable Info'!P170="","",CONCATENATE('Cable Info'!P170," - ",'Cable Info'!Q170))</f>
        <v>#N/A</v>
      </c>
      <c r="AW466" s="121" t="e">
        <f t="shared" si="127"/>
        <v>#N/A</v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str">
        <f>IF('Cable Info'!L171="","",CONCATENATE('Cable Info'!L171," - ",'Cable Info'!M171))</f>
        <v>170 - TW</v>
      </c>
      <c r="AM467" s="121" t="str">
        <f t="shared" si="125"/>
        <v>170 - TW</v>
      </c>
      <c r="AO467" s="121" t="str">
        <f>IF('Cable Info'!N171="","",CONCATENATE('Cable Info'!N171," - ",'Cable Info'!O171))</f>
        <v>170 - TW</v>
      </c>
      <c r="AR467" s="121" t="str">
        <f t="shared" si="126"/>
        <v>170 - TW</v>
      </c>
      <c r="AT467" s="121" t="e">
        <f>IF('Cable Info'!P171="","",CONCATENATE('Cable Info'!P171," - ",'Cable Info'!Q171))</f>
        <v>#N/A</v>
      </c>
      <c r="AW467" s="121" t="e">
        <f t="shared" si="127"/>
        <v>#N/A</v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str">
        <f>IF('Cable Info'!L172="","",CONCATENATE('Cable Info'!L172," - ",'Cable Info'!M172))</f>
        <v>171 - TW</v>
      </c>
      <c r="AM468" s="121" t="str">
        <f t="shared" si="125"/>
        <v>171 - TW</v>
      </c>
      <c r="AO468" s="121" t="str">
        <f>IF('Cable Info'!N172="","",CONCATENATE('Cable Info'!N172," - ",'Cable Info'!O172))</f>
        <v>171 - TW</v>
      </c>
      <c r="AR468" s="121" t="str">
        <f t="shared" si="126"/>
        <v>171 - TW</v>
      </c>
      <c r="AT468" s="121" t="e">
        <f>IF('Cable Info'!P172="","",CONCATENATE('Cable Info'!P172," - ",'Cable Info'!Q172))</f>
        <v>#N/A</v>
      </c>
      <c r="AW468" s="121" t="e">
        <f t="shared" si="127"/>
        <v>#N/A</v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str">
        <f>IF('Cable Info'!L173="","",CONCATENATE('Cable Info'!L173," - ",'Cable Info'!M173))</f>
        <v>172 - TW</v>
      </c>
      <c r="AM469" s="121" t="str">
        <f t="shared" si="125"/>
        <v>172 - TW</v>
      </c>
      <c r="AO469" s="121" t="str">
        <f>IF('Cable Info'!N173="","",CONCATENATE('Cable Info'!N173," - ",'Cable Info'!O173))</f>
        <v>172 - TW</v>
      </c>
      <c r="AR469" s="121" t="str">
        <f t="shared" si="126"/>
        <v>172 - TW</v>
      </c>
      <c r="AT469" s="121" t="e">
        <f>IF('Cable Info'!P173="","",CONCATENATE('Cable Info'!P173," - ",'Cable Info'!Q173))</f>
        <v>#N/A</v>
      </c>
      <c r="AW469" s="121" t="e">
        <f t="shared" si="127"/>
        <v>#N/A</v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str">
        <f>IF('Cable Info'!L174="","",CONCATENATE('Cable Info'!L174," - ",'Cable Info'!M174))</f>
        <v>173 - TW</v>
      </c>
      <c r="AM470" s="121" t="str">
        <f t="shared" si="125"/>
        <v>173 - TW</v>
      </c>
      <c r="AO470" s="121" t="str">
        <f>IF('Cable Info'!N174="","",CONCATENATE('Cable Info'!N174," - ",'Cable Info'!O174))</f>
        <v>173 - TW</v>
      </c>
      <c r="AR470" s="121" t="str">
        <f t="shared" si="126"/>
        <v>173 - TW</v>
      </c>
      <c r="AT470" s="121" t="e">
        <f>IF('Cable Info'!P174="","",CONCATENATE('Cable Info'!P174," - ",'Cable Info'!Q174))</f>
        <v>#N/A</v>
      </c>
      <c r="AW470" s="121" t="e">
        <f t="shared" si="127"/>
        <v>#N/A</v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str">
        <f>IF('Cable Info'!L175="","",CONCATENATE('Cable Info'!L175," - ",'Cable Info'!M175))</f>
        <v>174 - TW</v>
      </c>
      <c r="AM471" s="121" t="str">
        <f t="shared" si="125"/>
        <v>174 - TW</v>
      </c>
      <c r="AO471" s="121" t="str">
        <f>IF('Cable Info'!N175="","",CONCATENATE('Cable Info'!N175," - ",'Cable Info'!O175))</f>
        <v>174 - TW</v>
      </c>
      <c r="AR471" s="121" t="str">
        <f t="shared" si="126"/>
        <v>174 - TW</v>
      </c>
      <c r="AT471" s="121" t="e">
        <f>IF('Cable Info'!P175="","",CONCATENATE('Cable Info'!P175," - ",'Cable Info'!Q175))</f>
        <v>#N/A</v>
      </c>
      <c r="AW471" s="121" t="e">
        <f t="shared" si="127"/>
        <v>#N/A</v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str">
        <f>IF('Cable Info'!L176="","",CONCATENATE('Cable Info'!L176," - ",'Cable Info'!M176))</f>
        <v>175 - TW</v>
      </c>
      <c r="AM472" s="121" t="str">
        <f t="shared" si="125"/>
        <v>175 - TW</v>
      </c>
      <c r="AO472" s="121" t="str">
        <f>IF('Cable Info'!N176="","",CONCATENATE('Cable Info'!N176," - ",'Cable Info'!O176))</f>
        <v>175 - TW</v>
      </c>
      <c r="AR472" s="121" t="str">
        <f t="shared" si="126"/>
        <v>175 - TW</v>
      </c>
      <c r="AT472" s="121" t="e">
        <f>IF('Cable Info'!P176="","",CONCATENATE('Cable Info'!P176," - ",'Cable Info'!Q176))</f>
        <v>#N/A</v>
      </c>
      <c r="AW472" s="121" t="e">
        <f t="shared" si="127"/>
        <v>#N/A</v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str">
        <f>IF('Cable Info'!L177="","",CONCATENATE('Cable Info'!L177," - ",'Cable Info'!M177))</f>
        <v>176 - TW</v>
      </c>
      <c r="AM473" s="121" t="str">
        <f t="shared" si="125"/>
        <v>176 - TW</v>
      </c>
      <c r="AO473" s="121" t="str">
        <f>IF('Cable Info'!N177="","",CONCATENATE('Cable Info'!N177," - ",'Cable Info'!O177))</f>
        <v>176 - TW</v>
      </c>
      <c r="AR473" s="121" t="str">
        <f t="shared" si="126"/>
        <v>176 - TW</v>
      </c>
      <c r="AT473" s="121" t="e">
        <f>IF('Cable Info'!P177="","",CONCATENATE('Cable Info'!P177," - ",'Cable Info'!Q177))</f>
        <v>#N/A</v>
      </c>
      <c r="AW473" s="121" t="e">
        <f t="shared" si="127"/>
        <v>#N/A</v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str">
        <f>IF('Cable Info'!L178="","",CONCATENATE('Cable Info'!L178," - ",'Cable Info'!M178))</f>
        <v>177 - TW</v>
      </c>
      <c r="AM474" s="121" t="str">
        <f t="shared" si="125"/>
        <v>177 - TW</v>
      </c>
      <c r="AO474" s="121" t="str">
        <f>IF('Cable Info'!N178="","",CONCATENATE('Cable Info'!N178," - ",'Cable Info'!O178))</f>
        <v>177 - TW</v>
      </c>
      <c r="AR474" s="121" t="str">
        <f t="shared" si="126"/>
        <v>177 - TW</v>
      </c>
      <c r="AT474" s="121" t="e">
        <f>IF('Cable Info'!P178="","",CONCATENATE('Cable Info'!P178," - ",'Cable Info'!Q178))</f>
        <v>#N/A</v>
      </c>
      <c r="AW474" s="121" t="e">
        <f t="shared" si="127"/>
        <v>#N/A</v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str">
        <f>IF('Cable Info'!L179="","",CONCATENATE('Cable Info'!L179," - ",'Cable Info'!M179))</f>
        <v>178 - TW</v>
      </c>
      <c r="AM475" s="121" t="str">
        <f t="shared" si="125"/>
        <v>178 - TW</v>
      </c>
      <c r="AO475" s="121" t="str">
        <f>IF('Cable Info'!N179="","",CONCATENATE('Cable Info'!N179," - ",'Cable Info'!O179))</f>
        <v>178 - TW</v>
      </c>
      <c r="AR475" s="121" t="str">
        <f t="shared" si="126"/>
        <v>178 - TW</v>
      </c>
      <c r="AT475" s="121" t="e">
        <f>IF('Cable Info'!P179="","",CONCATENATE('Cable Info'!P179," - ",'Cable Info'!Q179))</f>
        <v>#N/A</v>
      </c>
      <c r="AW475" s="121" t="e">
        <f t="shared" si="127"/>
        <v>#N/A</v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str">
        <f>IF('Cable Info'!L180="","",CONCATENATE('Cable Info'!L180," - ",'Cable Info'!M180))</f>
        <v>179 - TW</v>
      </c>
      <c r="AM476" s="121" t="str">
        <f t="shared" si="125"/>
        <v>179 - TW</v>
      </c>
      <c r="AO476" s="121" t="str">
        <f>IF('Cable Info'!N180="","",CONCATENATE('Cable Info'!N180," - ",'Cable Info'!O180))</f>
        <v>179 - TW</v>
      </c>
      <c r="AR476" s="121" t="str">
        <f t="shared" si="126"/>
        <v>179 - TW</v>
      </c>
      <c r="AT476" s="121" t="e">
        <f>IF('Cable Info'!P180="","",CONCATENATE('Cable Info'!P180," - ",'Cable Info'!Q180))</f>
        <v>#N/A</v>
      </c>
      <c r="AW476" s="121" t="e">
        <f t="shared" si="127"/>
        <v>#N/A</v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str">
        <f>IF('Cable Info'!L181="","",CONCATENATE('Cable Info'!L181," - ",'Cable Info'!M181))</f>
        <v>180 - TW</v>
      </c>
      <c r="AM477" s="121" t="str">
        <f t="shared" si="125"/>
        <v>180 - TW</v>
      </c>
      <c r="AO477" s="121" t="str">
        <f>IF('Cable Info'!N181="","",CONCATENATE('Cable Info'!N181," - ",'Cable Info'!O181))</f>
        <v>180 - TW</v>
      </c>
      <c r="AR477" s="121" t="str">
        <f t="shared" si="126"/>
        <v>180 - TW</v>
      </c>
      <c r="AT477" s="121" t="e">
        <f>IF('Cable Info'!P181="","",CONCATENATE('Cable Info'!P181," - ",'Cable Info'!Q181))</f>
        <v>#N/A</v>
      </c>
      <c r="AW477" s="121" t="e">
        <f t="shared" si="127"/>
        <v>#N/A</v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str">
        <f>IF('Cable Info'!L182="","",CONCATENATE('Cable Info'!L182," - ",'Cable Info'!M182))</f>
        <v>181 - TW</v>
      </c>
      <c r="AM478" s="121" t="str">
        <f t="shared" si="125"/>
        <v>181 - TW</v>
      </c>
      <c r="AO478" s="121" t="str">
        <f>IF('Cable Info'!N182="","",CONCATENATE('Cable Info'!N182," - ",'Cable Info'!O182))</f>
        <v>181 - TW</v>
      </c>
      <c r="AR478" s="121" t="str">
        <f t="shared" si="126"/>
        <v>181 - TW</v>
      </c>
      <c r="AT478" s="121" t="e">
        <f>IF('Cable Info'!P182="","",CONCATENATE('Cable Info'!P182," - ",'Cable Info'!Q182))</f>
        <v>#N/A</v>
      </c>
      <c r="AW478" s="121" t="e">
        <f t="shared" si="127"/>
        <v>#N/A</v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str">
        <f>IF('Cable Info'!L183="","",CONCATENATE('Cable Info'!L183," - ",'Cable Info'!M183))</f>
        <v>182 - TW</v>
      </c>
      <c r="AM479" s="121" t="str">
        <f t="shared" si="125"/>
        <v>182 - TW</v>
      </c>
      <c r="AO479" s="121" t="str">
        <f>IF('Cable Info'!N183="","",CONCATENATE('Cable Info'!N183," - ",'Cable Info'!O183))</f>
        <v>182 - TW</v>
      </c>
      <c r="AR479" s="121" t="str">
        <f t="shared" si="126"/>
        <v>182 - TW</v>
      </c>
      <c r="AT479" s="121" t="e">
        <f>IF('Cable Info'!P183="","",CONCATENATE('Cable Info'!P183," - ",'Cable Info'!Q183))</f>
        <v>#N/A</v>
      </c>
      <c r="AW479" s="121" t="e">
        <f t="shared" si="127"/>
        <v>#N/A</v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str">
        <f>IF('Cable Info'!L184="","",CONCATENATE('Cable Info'!L184," - ",'Cable Info'!M184))</f>
        <v>183 - TW</v>
      </c>
      <c r="AM480" s="121" t="str">
        <f t="shared" si="125"/>
        <v>183 - TW</v>
      </c>
      <c r="AO480" s="121" t="str">
        <f>IF('Cable Info'!N184="","",CONCATENATE('Cable Info'!N184," - ",'Cable Info'!O184))</f>
        <v>183 - TW</v>
      </c>
      <c r="AR480" s="121" t="str">
        <f t="shared" si="126"/>
        <v>183 - TW</v>
      </c>
      <c r="AT480" s="121" t="e">
        <f>IF('Cable Info'!P184="","",CONCATENATE('Cable Info'!P184," - ",'Cable Info'!Q184))</f>
        <v>#N/A</v>
      </c>
      <c r="AW480" s="121" t="e">
        <f t="shared" si="127"/>
        <v>#N/A</v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str">
        <f>IF('Cable Info'!L185="","",CONCATENATE('Cable Info'!L185," - ",'Cable Info'!M185))</f>
        <v>184 - TW</v>
      </c>
      <c r="AM481" s="121" t="str">
        <f t="shared" si="125"/>
        <v>184 - TW</v>
      </c>
      <c r="AO481" s="121" t="str">
        <f>IF('Cable Info'!N185="","",CONCATENATE('Cable Info'!N185," - ",'Cable Info'!O185))</f>
        <v>184 - TW</v>
      </c>
      <c r="AR481" s="121" t="str">
        <f t="shared" si="126"/>
        <v>184 - TW</v>
      </c>
      <c r="AT481" s="121" t="e">
        <f>IF('Cable Info'!P185="","",CONCATENATE('Cable Info'!P185," - ",'Cable Info'!Q185))</f>
        <v>#N/A</v>
      </c>
      <c r="AW481" s="121" t="e">
        <f t="shared" si="127"/>
        <v>#N/A</v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str">
        <f>IF('Cable Info'!L186="","",CONCATENATE('Cable Info'!L186," - ",'Cable Info'!M186))</f>
        <v>185 - TW</v>
      </c>
      <c r="AM482" s="121" t="str">
        <f t="shared" si="125"/>
        <v>185 - TW</v>
      </c>
      <c r="AO482" s="121" t="str">
        <f>IF('Cable Info'!N186="","",CONCATENATE('Cable Info'!N186," - ",'Cable Info'!O186))</f>
        <v>185 - TW</v>
      </c>
      <c r="AR482" s="121" t="str">
        <f t="shared" si="126"/>
        <v>185 - TW</v>
      </c>
      <c r="AT482" s="121" t="e">
        <f>IF('Cable Info'!P186="","",CONCATENATE('Cable Info'!P186," - ",'Cable Info'!Q186))</f>
        <v>#N/A</v>
      </c>
      <c r="AW482" s="121" t="e">
        <f t="shared" si="127"/>
        <v>#N/A</v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str">
        <f>IF('Cable Info'!L187="","",CONCATENATE('Cable Info'!L187," - ",'Cable Info'!M187))</f>
        <v>186 - TW</v>
      </c>
      <c r="AM483" s="121" t="str">
        <f t="shared" si="125"/>
        <v>186 - TW</v>
      </c>
      <c r="AO483" s="121" t="str">
        <f>IF('Cable Info'!N187="","",CONCATENATE('Cable Info'!N187," - ",'Cable Info'!O187))</f>
        <v>186 - TW</v>
      </c>
      <c r="AR483" s="121" t="str">
        <f t="shared" si="126"/>
        <v>186 - TW</v>
      </c>
      <c r="AT483" s="121" t="e">
        <f>IF('Cable Info'!P187="","",CONCATENATE('Cable Info'!P187," - ",'Cable Info'!Q187))</f>
        <v>#N/A</v>
      </c>
      <c r="AW483" s="121" t="e">
        <f t="shared" si="127"/>
        <v>#N/A</v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str">
        <f>IF('Cable Info'!L188="","",CONCATENATE('Cable Info'!L188," - ",'Cable Info'!M188))</f>
        <v>187 - TW</v>
      </c>
      <c r="AM484" s="121" t="str">
        <f t="shared" si="125"/>
        <v>187 - TW</v>
      </c>
      <c r="AO484" s="121" t="str">
        <f>IF('Cable Info'!N188="","",CONCATENATE('Cable Info'!N188," - ",'Cable Info'!O188))</f>
        <v>187 - TW</v>
      </c>
      <c r="AR484" s="121" t="str">
        <f t="shared" si="126"/>
        <v>187 - TW</v>
      </c>
      <c r="AT484" s="121" t="e">
        <f>IF('Cable Info'!P188="","",CONCATENATE('Cable Info'!P188," - ",'Cable Info'!Q188))</f>
        <v>#N/A</v>
      </c>
      <c r="AW484" s="121" t="e">
        <f t="shared" si="127"/>
        <v>#N/A</v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str">
        <f>IF('Cable Info'!L189="","",CONCATENATE('Cable Info'!L189," - ",'Cable Info'!M189))</f>
        <v>188 - TW</v>
      </c>
      <c r="AM485" s="121" t="str">
        <f t="shared" si="125"/>
        <v>188 - TW</v>
      </c>
      <c r="AO485" s="121" t="str">
        <f>IF('Cable Info'!N189="","",CONCATENATE('Cable Info'!N189," - ",'Cable Info'!O189))</f>
        <v>188 - TW</v>
      </c>
      <c r="AR485" s="121" t="str">
        <f t="shared" si="126"/>
        <v>188 - TW</v>
      </c>
      <c r="AT485" s="121" t="e">
        <f>IF('Cable Info'!P189="","",CONCATENATE('Cable Info'!P189," - ",'Cable Info'!Q189))</f>
        <v>#N/A</v>
      </c>
      <c r="AW485" s="121" t="e">
        <f t="shared" si="127"/>
        <v>#N/A</v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str">
        <f>IF('Cable Info'!L190="","",CONCATENATE('Cable Info'!L190," - ",'Cable Info'!M190))</f>
        <v>189 - TW</v>
      </c>
      <c r="AM486" s="121" t="str">
        <f t="shared" si="125"/>
        <v>189 - TW</v>
      </c>
      <c r="AO486" s="121" t="str">
        <f>IF('Cable Info'!N190="","",CONCATENATE('Cable Info'!N190," - ",'Cable Info'!O190))</f>
        <v>189 - TW</v>
      </c>
      <c r="AR486" s="121" t="str">
        <f t="shared" si="126"/>
        <v>189 - TW</v>
      </c>
      <c r="AT486" s="121" t="e">
        <f>IF('Cable Info'!P190="","",CONCATENATE('Cable Info'!P190," - ",'Cable Info'!Q190))</f>
        <v>#N/A</v>
      </c>
      <c r="AW486" s="121" t="e">
        <f t="shared" si="127"/>
        <v>#N/A</v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str">
        <f>IF('Cable Info'!L191="","",CONCATENATE('Cable Info'!L191," - ",'Cable Info'!M191))</f>
        <v>190 - TW</v>
      </c>
      <c r="AM487" s="121" t="str">
        <f t="shared" si="125"/>
        <v>190 - TW</v>
      </c>
      <c r="AO487" s="121" t="str">
        <f>IF('Cable Info'!N191="","",CONCATENATE('Cable Info'!N191," - ",'Cable Info'!O191))</f>
        <v>190 - TW</v>
      </c>
      <c r="AR487" s="121" t="str">
        <f t="shared" si="126"/>
        <v>190 - TW</v>
      </c>
      <c r="AT487" s="121" t="e">
        <f>IF('Cable Info'!P191="","",CONCATENATE('Cable Info'!P191," - ",'Cable Info'!Q191))</f>
        <v>#N/A</v>
      </c>
      <c r="AW487" s="121" t="e">
        <f t="shared" si="127"/>
        <v>#N/A</v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str">
        <f>IF('Cable Info'!L192="","",CONCATENATE('Cable Info'!L192," - ",'Cable Info'!M192))</f>
        <v>191 - TW</v>
      </c>
      <c r="AM488" s="121" t="str">
        <f t="shared" si="125"/>
        <v>191 - TW</v>
      </c>
      <c r="AO488" s="121" t="str">
        <f>IF('Cable Info'!N192="","",CONCATENATE('Cable Info'!N192," - ",'Cable Info'!O192))</f>
        <v>191 - TW</v>
      </c>
      <c r="AR488" s="121" t="str">
        <f t="shared" si="126"/>
        <v>191 - TW</v>
      </c>
      <c r="AT488" s="121" t="e">
        <f>IF('Cable Info'!P192="","",CONCATENATE('Cable Info'!P192," - ",'Cable Info'!Q192))</f>
        <v>#N/A</v>
      </c>
      <c r="AW488" s="121" t="e">
        <f t="shared" si="127"/>
        <v>#N/A</v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str">
        <f>IF('Cable Info'!L193="","",CONCATENATE('Cable Info'!L193," - ",'Cable Info'!M193))</f>
        <v>192 - TW</v>
      </c>
      <c r="AM489" s="121" t="str">
        <f t="shared" si="125"/>
        <v>192 - TW</v>
      </c>
      <c r="AO489" s="121" t="str">
        <f>IF('Cable Info'!N193="","",CONCATENATE('Cable Info'!N193," - ",'Cable Info'!O193))</f>
        <v>192 - TW</v>
      </c>
      <c r="AR489" s="121" t="str">
        <f t="shared" si="126"/>
        <v>192 - TW</v>
      </c>
      <c r="AT489" s="121" t="e">
        <f>IF('Cable Info'!P193="","",CONCATENATE('Cable Info'!P193," - ",'Cable Info'!Q193))</f>
        <v>#N/A</v>
      </c>
      <c r="AW489" s="121" t="e">
        <f t="shared" si="127"/>
        <v>#N/A</v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str">
        <f>IF('Cable Info'!L194="","",CONCATENATE('Cable Info'!L194," - ",'Cable Info'!M194))</f>
        <v>193 - TW</v>
      </c>
      <c r="AM490" s="121" t="str">
        <f t="shared" si="125"/>
        <v>193 - TW</v>
      </c>
      <c r="AO490" s="121" t="str">
        <f>IF('Cable Info'!N194="","",CONCATENATE('Cable Info'!N194," - ",'Cable Info'!O194))</f>
        <v>193 - TW</v>
      </c>
      <c r="AR490" s="121" t="str">
        <f t="shared" si="126"/>
        <v>193 - TW</v>
      </c>
      <c r="AT490" s="121" t="e">
        <f>IF('Cable Info'!P194="","",CONCATENATE('Cable Info'!P194," - ",'Cable Info'!Q194))</f>
        <v>#N/A</v>
      </c>
      <c r="AW490" s="121" t="e">
        <f t="shared" si="127"/>
        <v>#N/A</v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str">
        <f>IF('Cable Info'!L195="","",CONCATENATE('Cable Info'!L195," - ",'Cable Info'!M195))</f>
        <v>194 - TW</v>
      </c>
      <c r="AM491" s="121" t="str">
        <f t="shared" ref="AM491:AM554" si="131">IF(AK491="",AJ491,CONCATENATE(AJ491,"  &lt;=&gt; ",AK491," ",AL491))</f>
        <v>194 - TW</v>
      </c>
      <c r="AO491" s="121" t="str">
        <f>IF('Cable Info'!N195="","",CONCATENATE('Cable Info'!N195," - ",'Cable Info'!O195))</f>
        <v>194 - TW</v>
      </c>
      <c r="AR491" s="121" t="str">
        <f t="shared" ref="AR491:AR554" si="132">IF(AP491="",AO491,CONCATENATE(AO491,"  &lt;=&gt; ",AP491," ",AQ491))</f>
        <v>194 - TW</v>
      </c>
      <c r="AT491" s="121" t="e">
        <f>IF('Cable Info'!P195="","",CONCATENATE('Cable Info'!P195," - ",'Cable Info'!Q195))</f>
        <v>#N/A</v>
      </c>
      <c r="AW491" s="121" t="e">
        <f t="shared" ref="AW491:AW554" si="133">IF(AU491="",AT491,CONCATENATE(AT491,"  &lt;=&gt; ",AU491," ",AV491))</f>
        <v>#N/A</v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str">
        <f>IF('Cable Info'!L196="","",CONCATENATE('Cable Info'!L196," - ",'Cable Info'!M196))</f>
        <v>195 - TW</v>
      </c>
      <c r="AM492" s="121" t="str">
        <f t="shared" si="131"/>
        <v>195 - TW</v>
      </c>
      <c r="AO492" s="121" t="str">
        <f>IF('Cable Info'!N196="","",CONCATENATE('Cable Info'!N196," - ",'Cable Info'!O196))</f>
        <v>195 - TW</v>
      </c>
      <c r="AR492" s="121" t="str">
        <f t="shared" si="132"/>
        <v>195 - TW</v>
      </c>
      <c r="AT492" s="121" t="e">
        <f>IF('Cable Info'!P196="","",CONCATENATE('Cable Info'!P196," - ",'Cable Info'!Q196))</f>
        <v>#N/A</v>
      </c>
      <c r="AW492" s="121" t="e">
        <f t="shared" si="133"/>
        <v>#N/A</v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str">
        <f>IF('Cable Info'!L197="","",CONCATENATE('Cable Info'!L197," - ",'Cable Info'!M197))</f>
        <v>196 - TW</v>
      </c>
      <c r="AM493" s="121" t="str">
        <f t="shared" si="131"/>
        <v>196 - TW</v>
      </c>
      <c r="AO493" s="121" t="str">
        <f>IF('Cable Info'!N197="","",CONCATENATE('Cable Info'!N197," - ",'Cable Info'!O197))</f>
        <v>196 - TW</v>
      </c>
      <c r="AR493" s="121" t="str">
        <f t="shared" si="132"/>
        <v>196 - TW</v>
      </c>
      <c r="AT493" s="121" t="e">
        <f>IF('Cable Info'!P197="","",CONCATENATE('Cable Info'!P197," - ",'Cable Info'!Q197))</f>
        <v>#N/A</v>
      </c>
      <c r="AW493" s="121" t="e">
        <f t="shared" si="133"/>
        <v>#N/A</v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str">
        <f>IF('Cable Info'!L198="","",CONCATENATE('Cable Info'!L198," - ",'Cable Info'!M198))</f>
        <v>197 - TW</v>
      </c>
      <c r="AM494" s="121" t="str">
        <f t="shared" si="131"/>
        <v>197 - TW</v>
      </c>
      <c r="AO494" s="121" t="str">
        <f>IF('Cable Info'!N198="","",CONCATENATE('Cable Info'!N198," - ",'Cable Info'!O198))</f>
        <v>197 - TW</v>
      </c>
      <c r="AR494" s="121" t="str">
        <f t="shared" si="132"/>
        <v>197 - TW</v>
      </c>
      <c r="AT494" s="121" t="e">
        <f>IF('Cable Info'!P198="","",CONCATENATE('Cable Info'!P198," - ",'Cable Info'!Q198))</f>
        <v>#N/A</v>
      </c>
      <c r="AW494" s="121" t="e">
        <f t="shared" si="133"/>
        <v>#N/A</v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str">
        <f>IF('Cable Info'!L199="","",CONCATENATE('Cable Info'!L199," - ",'Cable Info'!M199))</f>
        <v>198 - TW</v>
      </c>
      <c r="AM495" s="121" t="str">
        <f t="shared" si="131"/>
        <v>198 - TW</v>
      </c>
      <c r="AO495" s="121" t="str">
        <f>IF('Cable Info'!N199="","",CONCATENATE('Cable Info'!N199," - ",'Cable Info'!O199))</f>
        <v>198 - TW</v>
      </c>
      <c r="AR495" s="121" t="str">
        <f t="shared" si="132"/>
        <v>198 - TW</v>
      </c>
      <c r="AT495" s="121" t="e">
        <f>IF('Cable Info'!P199="","",CONCATENATE('Cable Info'!P199," - ",'Cable Info'!Q199))</f>
        <v>#N/A</v>
      </c>
      <c r="AW495" s="121" t="e">
        <f t="shared" si="133"/>
        <v>#N/A</v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str">
        <f>IF('Cable Info'!L200="","",CONCATENATE('Cable Info'!L200," - ",'Cable Info'!M200))</f>
        <v>199 - TW</v>
      </c>
      <c r="AM496" s="121" t="str">
        <f t="shared" si="131"/>
        <v>199 - TW</v>
      </c>
      <c r="AO496" s="121" t="str">
        <f>IF('Cable Info'!N200="","",CONCATENATE('Cable Info'!N200," - ",'Cable Info'!O200))</f>
        <v>199 - TW</v>
      </c>
      <c r="AR496" s="121" t="str">
        <f t="shared" si="132"/>
        <v>199 - TW</v>
      </c>
      <c r="AT496" s="121" t="e">
        <f>IF('Cable Info'!P200="","",CONCATENATE('Cable Info'!P200," - ",'Cable Info'!Q200))</f>
        <v>#N/A</v>
      </c>
      <c r="AW496" s="121" t="e">
        <f t="shared" si="133"/>
        <v>#N/A</v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str">
        <f>IF('Cable Info'!L201="","",CONCATENATE('Cable Info'!L201," - ",'Cable Info'!M201))</f>
        <v>200 - TW</v>
      </c>
      <c r="AM497" s="121" t="str">
        <f t="shared" si="131"/>
        <v>200 - TW</v>
      </c>
      <c r="AO497" s="121" t="str">
        <f>IF('Cable Info'!N201="","",CONCATENATE('Cable Info'!N201," - ",'Cable Info'!O201))</f>
        <v>200 - TW</v>
      </c>
      <c r="AR497" s="121" t="str">
        <f t="shared" si="132"/>
        <v>200 - TW</v>
      </c>
      <c r="AT497" s="121" t="e">
        <f>IF('Cable Info'!P201="","",CONCATENATE('Cable Info'!P201," - ",'Cable Info'!Q201))</f>
        <v>#N/A</v>
      </c>
      <c r="AW497" s="121" t="e">
        <f t="shared" si="133"/>
        <v>#N/A</v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str">
        <f>IF('Cable Info'!L202="","",CONCATENATE('Cable Info'!L202," - ",'Cable Info'!M202))</f>
        <v>201 - TW</v>
      </c>
      <c r="AM498" s="121" t="str">
        <f t="shared" si="131"/>
        <v>201 - TW</v>
      </c>
      <c r="AO498" s="121" t="str">
        <f>IF('Cable Info'!N202="","",CONCATENATE('Cable Info'!N202," - ",'Cable Info'!O202))</f>
        <v>201 - TW</v>
      </c>
      <c r="AR498" s="121" t="str">
        <f t="shared" si="132"/>
        <v>201 - TW</v>
      </c>
      <c r="AT498" s="121" t="e">
        <f>IF('Cable Info'!P202="","",CONCATENATE('Cable Info'!P202," - ",'Cable Info'!Q202))</f>
        <v>#N/A</v>
      </c>
      <c r="AW498" s="121" t="e">
        <f t="shared" si="133"/>
        <v>#N/A</v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str">
        <f>IF('Cable Info'!L203="","",CONCATENATE('Cable Info'!L203," - ",'Cable Info'!M203))</f>
        <v>202 - TW</v>
      </c>
      <c r="AM499" s="121" t="str">
        <f t="shared" si="131"/>
        <v>202 - TW</v>
      </c>
      <c r="AO499" s="121" t="str">
        <f>IF('Cable Info'!N203="","",CONCATENATE('Cable Info'!N203," - ",'Cable Info'!O203))</f>
        <v>202 - TW</v>
      </c>
      <c r="AR499" s="121" t="str">
        <f t="shared" si="132"/>
        <v>202 - TW</v>
      </c>
      <c r="AT499" s="121" t="e">
        <f>IF('Cable Info'!P203="","",CONCATENATE('Cable Info'!P203," - ",'Cable Info'!Q203))</f>
        <v>#N/A</v>
      </c>
      <c r="AW499" s="121" t="e">
        <f t="shared" si="133"/>
        <v>#N/A</v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str">
        <f>IF('Cable Info'!L204="","",CONCATENATE('Cable Info'!L204," - ",'Cable Info'!M204))</f>
        <v>203 - TW</v>
      </c>
      <c r="AM500" s="121" t="str">
        <f t="shared" si="131"/>
        <v>203 - TW</v>
      </c>
      <c r="AO500" s="121" t="str">
        <f>IF('Cable Info'!N204="","",CONCATENATE('Cable Info'!N204," - ",'Cable Info'!O204))</f>
        <v>203 - TW</v>
      </c>
      <c r="AR500" s="121" t="str">
        <f t="shared" si="132"/>
        <v>203 - TW</v>
      </c>
      <c r="AT500" s="121" t="e">
        <f>IF('Cable Info'!P204="","",CONCATENATE('Cable Info'!P204," - ",'Cable Info'!Q204))</f>
        <v>#N/A</v>
      </c>
      <c r="AW500" s="121" t="e">
        <f t="shared" si="133"/>
        <v>#N/A</v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str">
        <f>IF('Cable Info'!L205="","",CONCATENATE('Cable Info'!L205," - ",'Cable Info'!M205))</f>
        <v>204 - TW</v>
      </c>
      <c r="AM501" s="121" t="str">
        <f t="shared" si="131"/>
        <v>204 - TW</v>
      </c>
      <c r="AO501" s="121" t="str">
        <f>IF('Cable Info'!N205="","",CONCATENATE('Cable Info'!N205," - ",'Cable Info'!O205))</f>
        <v>204 - TW</v>
      </c>
      <c r="AR501" s="121" t="str">
        <f t="shared" si="132"/>
        <v>204 - TW</v>
      </c>
      <c r="AT501" s="121" t="e">
        <f>IF('Cable Info'!P205="","",CONCATENATE('Cable Info'!P205," - ",'Cable Info'!Q205))</f>
        <v>#N/A</v>
      </c>
      <c r="AW501" s="121" t="e">
        <f t="shared" si="133"/>
        <v>#N/A</v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str">
        <f>IF('Cable Info'!L206="","",CONCATENATE('Cable Info'!L206," - ",'Cable Info'!M206))</f>
        <v>205 - TW</v>
      </c>
      <c r="AM502" s="121" t="str">
        <f t="shared" si="131"/>
        <v>205 - TW</v>
      </c>
      <c r="AO502" s="121" t="str">
        <f>IF('Cable Info'!N206="","",CONCATENATE('Cable Info'!N206," - ",'Cable Info'!O206))</f>
        <v>205 - TW</v>
      </c>
      <c r="AR502" s="121" t="str">
        <f t="shared" si="132"/>
        <v>205 - TW</v>
      </c>
      <c r="AT502" s="121" t="e">
        <f>IF('Cable Info'!P206="","",CONCATENATE('Cable Info'!P206," - ",'Cable Info'!Q206))</f>
        <v>#N/A</v>
      </c>
      <c r="AW502" s="121" t="e">
        <f t="shared" si="133"/>
        <v>#N/A</v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str">
        <f>IF('Cable Info'!L207="","",CONCATENATE('Cable Info'!L207," - ",'Cable Info'!M207))</f>
        <v>206 - TW</v>
      </c>
      <c r="AM503" s="121" t="str">
        <f t="shared" si="131"/>
        <v>206 - TW</v>
      </c>
      <c r="AO503" s="121" t="str">
        <f>IF('Cable Info'!N207="","",CONCATENATE('Cable Info'!N207," - ",'Cable Info'!O207))</f>
        <v>206 - TW</v>
      </c>
      <c r="AR503" s="121" t="str">
        <f t="shared" si="132"/>
        <v>206 - TW</v>
      </c>
      <c r="AT503" s="121" t="e">
        <f>IF('Cable Info'!P207="","",CONCATENATE('Cable Info'!P207," - ",'Cable Info'!Q207))</f>
        <v>#N/A</v>
      </c>
      <c r="AW503" s="121" t="e">
        <f t="shared" si="133"/>
        <v>#N/A</v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str">
        <f>IF('Cable Info'!L208="","",CONCATENATE('Cable Info'!L208," - ",'Cable Info'!M208))</f>
        <v>207 - TW</v>
      </c>
      <c r="AM504" s="121" t="str">
        <f t="shared" si="131"/>
        <v>207 - TW</v>
      </c>
      <c r="AO504" s="121" t="str">
        <f>IF('Cable Info'!N208="","",CONCATENATE('Cable Info'!N208," - ",'Cable Info'!O208))</f>
        <v>207 - TW</v>
      </c>
      <c r="AR504" s="121" t="str">
        <f t="shared" si="132"/>
        <v>207 - TW</v>
      </c>
      <c r="AT504" s="121" t="e">
        <f>IF('Cable Info'!P208="","",CONCATENATE('Cable Info'!P208," - ",'Cable Info'!Q208))</f>
        <v>#N/A</v>
      </c>
      <c r="AW504" s="121" t="e">
        <f t="shared" si="133"/>
        <v>#N/A</v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str">
        <f>IF('Cable Info'!L209="","",CONCATENATE('Cable Info'!L209," - ",'Cable Info'!M209))</f>
        <v>208 - TW</v>
      </c>
      <c r="AM505" s="121" t="str">
        <f t="shared" si="131"/>
        <v>208 - TW</v>
      </c>
      <c r="AO505" s="121" t="str">
        <f>IF('Cable Info'!N209="","",CONCATENATE('Cable Info'!N209," - ",'Cable Info'!O209))</f>
        <v>208 - TW</v>
      </c>
      <c r="AR505" s="121" t="str">
        <f t="shared" si="132"/>
        <v>208 - TW</v>
      </c>
      <c r="AT505" s="121" t="e">
        <f>IF('Cable Info'!P209="","",CONCATENATE('Cable Info'!P209," - ",'Cable Info'!Q209))</f>
        <v>#N/A</v>
      </c>
      <c r="AW505" s="121" t="e">
        <f t="shared" si="133"/>
        <v>#N/A</v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str">
        <f>IF('Cable Info'!L210="","",CONCATENATE('Cable Info'!L210," - ",'Cable Info'!M210))</f>
        <v>209 - TW</v>
      </c>
      <c r="AM506" s="121" t="str">
        <f t="shared" si="131"/>
        <v>209 - TW</v>
      </c>
      <c r="AO506" s="121" t="str">
        <f>IF('Cable Info'!N210="","",CONCATENATE('Cable Info'!N210," - ",'Cable Info'!O210))</f>
        <v>209 - TW</v>
      </c>
      <c r="AR506" s="121" t="str">
        <f t="shared" si="132"/>
        <v>209 - TW</v>
      </c>
      <c r="AT506" s="121" t="e">
        <f>IF('Cable Info'!P210="","",CONCATENATE('Cable Info'!P210," - ",'Cable Info'!Q210))</f>
        <v>#N/A</v>
      </c>
      <c r="AW506" s="121" t="e">
        <f t="shared" si="133"/>
        <v>#N/A</v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str">
        <f>IF('Cable Info'!L211="","",CONCATENATE('Cable Info'!L211," - ",'Cable Info'!M211))</f>
        <v>210 - TW</v>
      </c>
      <c r="AM507" s="121" t="str">
        <f t="shared" si="131"/>
        <v>210 - TW</v>
      </c>
      <c r="AO507" s="121" t="str">
        <f>IF('Cable Info'!N211="","",CONCATENATE('Cable Info'!N211," - ",'Cable Info'!O211))</f>
        <v>210 - TW</v>
      </c>
      <c r="AR507" s="121" t="str">
        <f t="shared" si="132"/>
        <v>210 - TW</v>
      </c>
      <c r="AT507" s="121" t="e">
        <f>IF('Cable Info'!P211="","",CONCATENATE('Cable Info'!P211," - ",'Cable Info'!Q211))</f>
        <v>#N/A</v>
      </c>
      <c r="AW507" s="121" t="e">
        <f t="shared" si="133"/>
        <v>#N/A</v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str">
        <f>IF('Cable Info'!L212="","",CONCATENATE('Cable Info'!L212," - ",'Cable Info'!M212))</f>
        <v>211 - TW</v>
      </c>
      <c r="AM508" s="121" t="str">
        <f t="shared" si="131"/>
        <v>211 - TW</v>
      </c>
      <c r="AO508" s="121" t="str">
        <f>IF('Cable Info'!N212="","",CONCATENATE('Cable Info'!N212," - ",'Cable Info'!O212))</f>
        <v>211 - TW</v>
      </c>
      <c r="AR508" s="121" t="str">
        <f t="shared" si="132"/>
        <v>211 - TW</v>
      </c>
      <c r="AT508" s="121" t="e">
        <f>IF('Cable Info'!P212="","",CONCATENATE('Cable Info'!P212," - ",'Cable Info'!Q212))</f>
        <v>#N/A</v>
      </c>
      <c r="AW508" s="121" t="e">
        <f t="shared" si="133"/>
        <v>#N/A</v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str">
        <f>IF('Cable Info'!L213="","",CONCATENATE('Cable Info'!L213," - ",'Cable Info'!M213))</f>
        <v>212 - TW</v>
      </c>
      <c r="AM509" s="121" t="str">
        <f t="shared" si="131"/>
        <v>212 - TW</v>
      </c>
      <c r="AO509" s="121" t="str">
        <f>IF('Cable Info'!N213="","",CONCATENATE('Cable Info'!N213," - ",'Cable Info'!O213))</f>
        <v>212 - TW</v>
      </c>
      <c r="AR509" s="121" t="str">
        <f t="shared" si="132"/>
        <v>212 - TW</v>
      </c>
      <c r="AT509" s="121" t="e">
        <f>IF('Cable Info'!P213="","",CONCATENATE('Cable Info'!P213," - ",'Cable Info'!Q213))</f>
        <v>#N/A</v>
      </c>
      <c r="AW509" s="121" t="e">
        <f t="shared" si="133"/>
        <v>#N/A</v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str">
        <f>IF('Cable Info'!L214="","",CONCATENATE('Cable Info'!L214," - ",'Cable Info'!M214))</f>
        <v>213 - TW</v>
      </c>
      <c r="AM510" s="121" t="str">
        <f t="shared" si="131"/>
        <v>213 - TW</v>
      </c>
      <c r="AO510" s="121" t="str">
        <f>IF('Cable Info'!N214="","",CONCATENATE('Cable Info'!N214," - ",'Cable Info'!O214))</f>
        <v>213 - TW</v>
      </c>
      <c r="AR510" s="121" t="str">
        <f t="shared" si="132"/>
        <v>213 - TW</v>
      </c>
      <c r="AT510" s="121" t="e">
        <f>IF('Cable Info'!P214="","",CONCATENATE('Cable Info'!P214," - ",'Cable Info'!Q214))</f>
        <v>#N/A</v>
      </c>
      <c r="AW510" s="121" t="e">
        <f t="shared" si="133"/>
        <v>#N/A</v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str">
        <f>IF('Cable Info'!L215="","",CONCATENATE('Cable Info'!L215," - ",'Cable Info'!M215))</f>
        <v>214 - TW</v>
      </c>
      <c r="AM511" s="121" t="str">
        <f t="shared" si="131"/>
        <v>214 - TW</v>
      </c>
      <c r="AO511" s="121" t="str">
        <f>IF('Cable Info'!N215="","",CONCATENATE('Cable Info'!N215," - ",'Cable Info'!O215))</f>
        <v>214 - TW</v>
      </c>
      <c r="AR511" s="121" t="str">
        <f t="shared" si="132"/>
        <v>214 - TW</v>
      </c>
      <c r="AT511" s="121" t="e">
        <f>IF('Cable Info'!P215="","",CONCATENATE('Cable Info'!P215," - ",'Cable Info'!Q215))</f>
        <v>#N/A</v>
      </c>
      <c r="AW511" s="121" t="e">
        <f t="shared" si="133"/>
        <v>#N/A</v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str">
        <f>IF('Cable Info'!L216="","",CONCATENATE('Cable Info'!L216," - ",'Cable Info'!M216))</f>
        <v>215 - TW</v>
      </c>
      <c r="AM512" s="121" t="str">
        <f t="shared" si="131"/>
        <v>215 - TW</v>
      </c>
      <c r="AO512" s="121" t="str">
        <f>IF('Cable Info'!N216="","",CONCATENATE('Cable Info'!N216," - ",'Cable Info'!O216))</f>
        <v>215 - TW</v>
      </c>
      <c r="AR512" s="121" t="str">
        <f t="shared" si="132"/>
        <v>215 - TW</v>
      </c>
      <c r="AT512" s="121" t="e">
        <f>IF('Cable Info'!P216="","",CONCATENATE('Cable Info'!P216," - ",'Cable Info'!Q216))</f>
        <v>#N/A</v>
      </c>
      <c r="AW512" s="121" t="e">
        <f t="shared" si="133"/>
        <v>#N/A</v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str">
        <f>IF('Cable Info'!L217="","",CONCATENATE('Cable Info'!L217," - ",'Cable Info'!M217))</f>
        <v>216 - TW</v>
      </c>
      <c r="AM513" s="121" t="str">
        <f t="shared" si="131"/>
        <v>216 - TW</v>
      </c>
      <c r="AO513" s="121" t="str">
        <f>IF('Cable Info'!N217="","",CONCATENATE('Cable Info'!N217," - ",'Cable Info'!O217))</f>
        <v>216 - TW</v>
      </c>
      <c r="AR513" s="121" t="str">
        <f t="shared" si="132"/>
        <v>216 - TW</v>
      </c>
      <c r="AT513" s="121" t="e">
        <f>IF('Cable Info'!P217="","",CONCATENATE('Cable Info'!P217," - ",'Cable Info'!Q217))</f>
        <v>#N/A</v>
      </c>
      <c r="AW513" s="121" t="e">
        <f t="shared" si="133"/>
        <v>#N/A</v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str">
        <f>IF('Cable Info'!L218="","",CONCATENATE('Cable Info'!L218," - ",'Cable Info'!M218))</f>
        <v>217 - TW</v>
      </c>
      <c r="AM514" s="121" t="str">
        <f t="shared" si="131"/>
        <v>217 - TW</v>
      </c>
      <c r="AO514" s="121" t="str">
        <f>IF('Cable Info'!N218="","",CONCATENATE('Cable Info'!N218," - ",'Cable Info'!O218))</f>
        <v>217 - TW</v>
      </c>
      <c r="AR514" s="121" t="str">
        <f t="shared" si="132"/>
        <v>217 - TW</v>
      </c>
      <c r="AT514" s="121" t="e">
        <f>IF('Cable Info'!P218="","",CONCATENATE('Cable Info'!P218," - ",'Cable Info'!Q218))</f>
        <v>#N/A</v>
      </c>
      <c r="AW514" s="121" t="e">
        <f t="shared" si="133"/>
        <v>#N/A</v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str">
        <f>IF('Cable Info'!L219="","",CONCATENATE('Cable Info'!L219," - ",'Cable Info'!M219))</f>
        <v>218 - TW</v>
      </c>
      <c r="AM515" s="121" t="str">
        <f t="shared" si="131"/>
        <v>218 - TW</v>
      </c>
      <c r="AO515" s="121" t="str">
        <f>IF('Cable Info'!N219="","",CONCATENATE('Cable Info'!N219," - ",'Cable Info'!O219))</f>
        <v>218 - TW</v>
      </c>
      <c r="AR515" s="121" t="str">
        <f t="shared" si="132"/>
        <v>218 - TW</v>
      </c>
      <c r="AT515" s="121" t="e">
        <f>IF('Cable Info'!P219="","",CONCATENATE('Cable Info'!P219," - ",'Cable Info'!Q219))</f>
        <v>#N/A</v>
      </c>
      <c r="AW515" s="121" t="e">
        <f t="shared" si="133"/>
        <v>#N/A</v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str">
        <f>IF('Cable Info'!L220="","",CONCATENATE('Cable Info'!L220," - ",'Cable Info'!M220))</f>
        <v>219 - TW</v>
      </c>
      <c r="AM516" s="121" t="str">
        <f t="shared" si="131"/>
        <v>219 - TW</v>
      </c>
      <c r="AO516" s="121" t="str">
        <f>IF('Cable Info'!N220="","",CONCATENATE('Cable Info'!N220," - ",'Cable Info'!O220))</f>
        <v>219 - TW</v>
      </c>
      <c r="AR516" s="121" t="str">
        <f t="shared" si="132"/>
        <v>219 - TW</v>
      </c>
      <c r="AT516" s="121" t="e">
        <f>IF('Cable Info'!P220="","",CONCATENATE('Cable Info'!P220," - ",'Cable Info'!Q220))</f>
        <v>#N/A</v>
      </c>
      <c r="AW516" s="121" t="e">
        <f t="shared" si="133"/>
        <v>#N/A</v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str">
        <f>IF('Cable Info'!L221="","",CONCATENATE('Cable Info'!L221," - ",'Cable Info'!M221))</f>
        <v>220 - TW</v>
      </c>
      <c r="AM517" s="121" t="str">
        <f t="shared" si="131"/>
        <v>220 - TW</v>
      </c>
      <c r="AO517" s="121" t="str">
        <f>IF('Cable Info'!N221="","",CONCATENATE('Cable Info'!N221," - ",'Cable Info'!O221))</f>
        <v>220 - TW</v>
      </c>
      <c r="AR517" s="121" t="str">
        <f t="shared" si="132"/>
        <v>220 - TW</v>
      </c>
      <c r="AT517" s="121" t="e">
        <f>IF('Cable Info'!P221="","",CONCATENATE('Cable Info'!P221," - ",'Cable Info'!Q221))</f>
        <v>#N/A</v>
      </c>
      <c r="AW517" s="121" t="e">
        <f t="shared" si="133"/>
        <v>#N/A</v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str">
        <f>IF('Cable Info'!L222="","",CONCATENATE('Cable Info'!L222," - ",'Cable Info'!M222))</f>
        <v>221 - TW</v>
      </c>
      <c r="AM518" s="121" t="str">
        <f t="shared" si="131"/>
        <v>221 - TW</v>
      </c>
      <c r="AO518" s="121" t="str">
        <f>IF('Cable Info'!N222="","",CONCATENATE('Cable Info'!N222," - ",'Cable Info'!O222))</f>
        <v>221 - TW</v>
      </c>
      <c r="AR518" s="121" t="str">
        <f t="shared" si="132"/>
        <v>221 - TW</v>
      </c>
      <c r="AT518" s="121" t="e">
        <f>IF('Cable Info'!P222="","",CONCATENATE('Cable Info'!P222," - ",'Cable Info'!Q222))</f>
        <v>#N/A</v>
      </c>
      <c r="AW518" s="121" t="e">
        <f t="shared" si="133"/>
        <v>#N/A</v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str">
        <f>IF('Cable Info'!L223="","",CONCATENATE('Cable Info'!L223," - ",'Cable Info'!M223))</f>
        <v>222 - TW</v>
      </c>
      <c r="AM519" s="121" t="str">
        <f t="shared" si="131"/>
        <v>222 - TW</v>
      </c>
      <c r="AO519" s="121" t="str">
        <f>IF('Cable Info'!N223="","",CONCATENATE('Cable Info'!N223," - ",'Cable Info'!O223))</f>
        <v>222 - TW</v>
      </c>
      <c r="AR519" s="121" t="str">
        <f t="shared" si="132"/>
        <v>222 - TW</v>
      </c>
      <c r="AT519" s="121" t="e">
        <f>IF('Cable Info'!P223="","",CONCATENATE('Cable Info'!P223," - ",'Cable Info'!Q223))</f>
        <v>#N/A</v>
      </c>
      <c r="AW519" s="121" t="e">
        <f t="shared" si="133"/>
        <v>#N/A</v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str">
        <f>IF('Cable Info'!L224="","",CONCATENATE('Cable Info'!L224," - ",'Cable Info'!M224))</f>
        <v>223 - TW</v>
      </c>
      <c r="AM520" s="121" t="str">
        <f t="shared" si="131"/>
        <v>223 - TW</v>
      </c>
      <c r="AO520" s="121" t="str">
        <f>IF('Cable Info'!N224="","",CONCATENATE('Cable Info'!N224," - ",'Cable Info'!O224))</f>
        <v>223 - TW</v>
      </c>
      <c r="AR520" s="121" t="str">
        <f t="shared" si="132"/>
        <v>223 - TW</v>
      </c>
      <c r="AT520" s="121" t="e">
        <f>IF('Cable Info'!P224="","",CONCATENATE('Cable Info'!P224," - ",'Cable Info'!Q224))</f>
        <v>#N/A</v>
      </c>
      <c r="AW520" s="121" t="e">
        <f t="shared" si="133"/>
        <v>#N/A</v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str">
        <f>IF('Cable Info'!L225="","",CONCATENATE('Cable Info'!L225," - ",'Cable Info'!M225))</f>
        <v>224 - TW</v>
      </c>
      <c r="AM521" s="121" t="str">
        <f t="shared" si="131"/>
        <v>224 - TW</v>
      </c>
      <c r="AO521" s="121" t="str">
        <f>IF('Cable Info'!N225="","",CONCATENATE('Cable Info'!N225," - ",'Cable Info'!O225))</f>
        <v>224 - TW</v>
      </c>
      <c r="AR521" s="121" t="str">
        <f t="shared" si="132"/>
        <v>224 - TW</v>
      </c>
      <c r="AT521" s="121" t="e">
        <f>IF('Cable Info'!P225="","",CONCATENATE('Cable Info'!P225," - ",'Cable Info'!Q225))</f>
        <v>#N/A</v>
      </c>
      <c r="AW521" s="121" t="e">
        <f t="shared" si="133"/>
        <v>#N/A</v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str">
        <f>IF('Cable Info'!L226="","",CONCATENATE('Cable Info'!L226," - ",'Cable Info'!M226))</f>
        <v>225 - TW</v>
      </c>
      <c r="AM522" s="121" t="str">
        <f t="shared" si="131"/>
        <v>225 - TW</v>
      </c>
      <c r="AO522" s="121" t="str">
        <f>IF('Cable Info'!N226="","",CONCATENATE('Cable Info'!N226," - ",'Cable Info'!O226))</f>
        <v>225 - TW</v>
      </c>
      <c r="AR522" s="121" t="str">
        <f t="shared" si="132"/>
        <v>225 - TW</v>
      </c>
      <c r="AT522" s="121" t="e">
        <f>IF('Cable Info'!P226="","",CONCATENATE('Cable Info'!P226," - ",'Cable Info'!Q226))</f>
        <v>#N/A</v>
      </c>
      <c r="AW522" s="121" t="e">
        <f t="shared" si="133"/>
        <v>#N/A</v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str">
        <f>IF('Cable Info'!L227="","",CONCATENATE('Cable Info'!L227," - ",'Cable Info'!M227))</f>
        <v>226 - TW</v>
      </c>
      <c r="AM523" s="121" t="str">
        <f t="shared" si="131"/>
        <v>226 - TW</v>
      </c>
      <c r="AO523" s="121" t="str">
        <f>IF('Cable Info'!N227="","",CONCATENATE('Cable Info'!N227," - ",'Cable Info'!O227))</f>
        <v>226 - TW</v>
      </c>
      <c r="AR523" s="121" t="str">
        <f t="shared" si="132"/>
        <v>226 - TW</v>
      </c>
      <c r="AT523" s="121" t="e">
        <f>IF('Cable Info'!P227="","",CONCATENATE('Cable Info'!P227," - ",'Cable Info'!Q227))</f>
        <v>#N/A</v>
      </c>
      <c r="AW523" s="121" t="e">
        <f t="shared" si="133"/>
        <v>#N/A</v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str">
        <f>IF('Cable Info'!L228="","",CONCATENATE('Cable Info'!L228," - ",'Cable Info'!M228))</f>
        <v>227 - TW</v>
      </c>
      <c r="AM524" s="121" t="str">
        <f t="shared" si="131"/>
        <v>227 - TW</v>
      </c>
      <c r="AO524" s="121" t="str">
        <f>IF('Cable Info'!N228="","",CONCATENATE('Cable Info'!N228," - ",'Cable Info'!O228))</f>
        <v>227 - TW</v>
      </c>
      <c r="AR524" s="121" t="str">
        <f t="shared" si="132"/>
        <v>227 - TW</v>
      </c>
      <c r="AT524" s="121" t="e">
        <f>IF('Cable Info'!P228="","",CONCATENATE('Cable Info'!P228," - ",'Cable Info'!Q228))</f>
        <v>#N/A</v>
      </c>
      <c r="AW524" s="121" t="e">
        <f t="shared" si="133"/>
        <v>#N/A</v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str">
        <f>IF('Cable Info'!L229="","",CONCATENATE('Cable Info'!L229," - ",'Cable Info'!M229))</f>
        <v>228 - TW</v>
      </c>
      <c r="AM525" s="121" t="str">
        <f t="shared" si="131"/>
        <v>228 - TW</v>
      </c>
      <c r="AO525" s="121" t="str">
        <f>IF('Cable Info'!N229="","",CONCATENATE('Cable Info'!N229," - ",'Cable Info'!O229))</f>
        <v>228 - TW</v>
      </c>
      <c r="AR525" s="121" t="str">
        <f t="shared" si="132"/>
        <v>228 - TW</v>
      </c>
      <c r="AT525" s="121" t="e">
        <f>IF('Cable Info'!P229="","",CONCATENATE('Cable Info'!P229," - ",'Cable Info'!Q229))</f>
        <v>#N/A</v>
      </c>
      <c r="AW525" s="121" t="e">
        <f t="shared" si="133"/>
        <v>#N/A</v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str">
        <f>IF('Cable Info'!L230="","",CONCATENATE('Cable Info'!L230," - ",'Cable Info'!M230))</f>
        <v>229 - TW</v>
      </c>
      <c r="AM526" s="121" t="str">
        <f t="shared" si="131"/>
        <v>229 - TW</v>
      </c>
      <c r="AO526" s="121" t="str">
        <f>IF('Cable Info'!N230="","",CONCATENATE('Cable Info'!N230," - ",'Cable Info'!O230))</f>
        <v>229 - TW</v>
      </c>
      <c r="AR526" s="121" t="str">
        <f t="shared" si="132"/>
        <v>229 - TW</v>
      </c>
      <c r="AT526" s="121" t="e">
        <f>IF('Cable Info'!P230="","",CONCATENATE('Cable Info'!P230," - ",'Cable Info'!Q230))</f>
        <v>#N/A</v>
      </c>
      <c r="AW526" s="121" t="e">
        <f t="shared" si="133"/>
        <v>#N/A</v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str">
        <f>IF('Cable Info'!L231="","",CONCATENATE('Cable Info'!L231," - ",'Cable Info'!M231))</f>
        <v>230 - TW</v>
      </c>
      <c r="AM527" s="121" t="str">
        <f t="shared" si="131"/>
        <v>230 - TW</v>
      </c>
      <c r="AO527" s="121" t="str">
        <f>IF('Cable Info'!N231="","",CONCATENATE('Cable Info'!N231," - ",'Cable Info'!O231))</f>
        <v>230 - TW</v>
      </c>
      <c r="AR527" s="121" t="str">
        <f t="shared" si="132"/>
        <v>230 - TW</v>
      </c>
      <c r="AT527" s="121" t="e">
        <f>IF('Cable Info'!P231="","",CONCATENATE('Cable Info'!P231," - ",'Cable Info'!Q231))</f>
        <v>#N/A</v>
      </c>
      <c r="AW527" s="121" t="e">
        <f t="shared" si="133"/>
        <v>#N/A</v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str">
        <f>IF('Cable Info'!L232="","",CONCATENATE('Cable Info'!L232," - ",'Cable Info'!M232))</f>
        <v>231 - TW</v>
      </c>
      <c r="AM528" s="121" t="str">
        <f t="shared" si="131"/>
        <v>231 - TW</v>
      </c>
      <c r="AO528" s="121" t="str">
        <f>IF('Cable Info'!N232="","",CONCATENATE('Cable Info'!N232," - ",'Cable Info'!O232))</f>
        <v>231 - TW</v>
      </c>
      <c r="AR528" s="121" t="str">
        <f t="shared" si="132"/>
        <v>231 - TW</v>
      </c>
      <c r="AT528" s="121" t="e">
        <f>IF('Cable Info'!P232="","",CONCATENATE('Cable Info'!P232," - ",'Cable Info'!Q232))</f>
        <v>#N/A</v>
      </c>
      <c r="AW528" s="121" t="e">
        <f t="shared" si="133"/>
        <v>#N/A</v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str">
        <f>IF('Cable Info'!L233="","",CONCATENATE('Cable Info'!L233," - ",'Cable Info'!M233))</f>
        <v>232 - TW</v>
      </c>
      <c r="AM529" s="121" t="str">
        <f t="shared" si="131"/>
        <v>232 - TW</v>
      </c>
      <c r="AO529" s="121" t="str">
        <f>IF('Cable Info'!N233="","",CONCATENATE('Cable Info'!N233," - ",'Cable Info'!O233))</f>
        <v>232 - TW</v>
      </c>
      <c r="AR529" s="121" t="str">
        <f t="shared" si="132"/>
        <v>232 - TW</v>
      </c>
      <c r="AT529" s="121" t="e">
        <f>IF('Cable Info'!P233="","",CONCATENATE('Cable Info'!P233," - ",'Cable Info'!Q233))</f>
        <v>#N/A</v>
      </c>
      <c r="AW529" s="121" t="e">
        <f t="shared" si="133"/>
        <v>#N/A</v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str">
        <f>IF('Cable Info'!L234="","",CONCATENATE('Cable Info'!L234," - ",'Cable Info'!M234))</f>
        <v>233 - TW</v>
      </c>
      <c r="AM530" s="121" t="str">
        <f t="shared" si="131"/>
        <v>233 - TW</v>
      </c>
      <c r="AO530" s="121" t="str">
        <f>IF('Cable Info'!N234="","",CONCATENATE('Cable Info'!N234," - ",'Cable Info'!O234))</f>
        <v>233 - TW</v>
      </c>
      <c r="AR530" s="121" t="str">
        <f t="shared" si="132"/>
        <v>233 - TW</v>
      </c>
      <c r="AT530" s="121" t="e">
        <f>IF('Cable Info'!P234="","",CONCATENATE('Cable Info'!P234," - ",'Cable Info'!Q234))</f>
        <v>#N/A</v>
      </c>
      <c r="AW530" s="121" t="e">
        <f t="shared" si="133"/>
        <v>#N/A</v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str">
        <f>IF('Cable Info'!L235="","",CONCATENATE('Cable Info'!L235," - ",'Cable Info'!M235))</f>
        <v>234 - TW</v>
      </c>
      <c r="AM531" s="121" t="str">
        <f t="shared" si="131"/>
        <v>234 - TW</v>
      </c>
      <c r="AO531" s="121" t="str">
        <f>IF('Cable Info'!N235="","",CONCATENATE('Cable Info'!N235," - ",'Cable Info'!O235))</f>
        <v>234 - TW</v>
      </c>
      <c r="AR531" s="121" t="str">
        <f t="shared" si="132"/>
        <v>234 - TW</v>
      </c>
      <c r="AT531" s="121" t="e">
        <f>IF('Cable Info'!P235="","",CONCATENATE('Cable Info'!P235," - ",'Cable Info'!Q235))</f>
        <v>#N/A</v>
      </c>
      <c r="AW531" s="121" t="e">
        <f t="shared" si="133"/>
        <v>#N/A</v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str">
        <f>IF('Cable Info'!L236="","",CONCATENATE('Cable Info'!L236," - ",'Cable Info'!M236))</f>
        <v>235 - TW</v>
      </c>
      <c r="AM532" s="121" t="str">
        <f t="shared" si="131"/>
        <v>235 - TW</v>
      </c>
      <c r="AO532" s="121" t="str">
        <f>IF('Cable Info'!N236="","",CONCATENATE('Cable Info'!N236," - ",'Cable Info'!O236))</f>
        <v>235 - TW</v>
      </c>
      <c r="AR532" s="121" t="str">
        <f t="shared" si="132"/>
        <v>235 - TW</v>
      </c>
      <c r="AT532" s="121" t="e">
        <f>IF('Cable Info'!P236="","",CONCATENATE('Cable Info'!P236," - ",'Cable Info'!Q236))</f>
        <v>#N/A</v>
      </c>
      <c r="AW532" s="121" t="e">
        <f t="shared" si="133"/>
        <v>#N/A</v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str">
        <f>IF('Cable Info'!L237="","",CONCATENATE('Cable Info'!L237," - ",'Cable Info'!M237))</f>
        <v>236 - TW</v>
      </c>
      <c r="AM533" s="121" t="str">
        <f t="shared" si="131"/>
        <v>236 - TW</v>
      </c>
      <c r="AO533" s="121" t="str">
        <f>IF('Cable Info'!N237="","",CONCATENATE('Cable Info'!N237," - ",'Cable Info'!O237))</f>
        <v>236 - TW</v>
      </c>
      <c r="AR533" s="121" t="str">
        <f t="shared" si="132"/>
        <v>236 - TW</v>
      </c>
      <c r="AT533" s="121" t="e">
        <f>IF('Cable Info'!P237="","",CONCATENATE('Cable Info'!P237," - ",'Cable Info'!Q237))</f>
        <v>#N/A</v>
      </c>
      <c r="AW533" s="121" t="e">
        <f t="shared" si="133"/>
        <v>#N/A</v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str">
        <f>IF('Cable Info'!L238="","",CONCATENATE('Cable Info'!L238," - ",'Cable Info'!M238))</f>
        <v>237 - TW</v>
      </c>
      <c r="AM534" s="121" t="str">
        <f t="shared" si="131"/>
        <v>237 - TW</v>
      </c>
      <c r="AO534" s="121" t="str">
        <f>IF('Cable Info'!N238="","",CONCATENATE('Cable Info'!N238," - ",'Cable Info'!O238))</f>
        <v>237 - TW</v>
      </c>
      <c r="AR534" s="121" t="str">
        <f t="shared" si="132"/>
        <v>237 - TW</v>
      </c>
      <c r="AT534" s="121" t="e">
        <f>IF('Cable Info'!P238="","",CONCATENATE('Cable Info'!P238," - ",'Cable Info'!Q238))</f>
        <v>#N/A</v>
      </c>
      <c r="AW534" s="121" t="e">
        <f t="shared" si="133"/>
        <v>#N/A</v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str">
        <f>IF('Cable Info'!L239="","",CONCATENATE('Cable Info'!L239," - ",'Cable Info'!M239))</f>
        <v>238 - TW</v>
      </c>
      <c r="AM535" s="121" t="str">
        <f t="shared" si="131"/>
        <v>238 - TW</v>
      </c>
      <c r="AO535" s="121" t="str">
        <f>IF('Cable Info'!N239="","",CONCATENATE('Cable Info'!N239," - ",'Cable Info'!O239))</f>
        <v>238 - TW</v>
      </c>
      <c r="AR535" s="121" t="str">
        <f t="shared" si="132"/>
        <v>238 - TW</v>
      </c>
      <c r="AT535" s="121" t="e">
        <f>IF('Cable Info'!P239="","",CONCATENATE('Cable Info'!P239," - ",'Cable Info'!Q239))</f>
        <v>#N/A</v>
      </c>
      <c r="AW535" s="121" t="e">
        <f t="shared" si="133"/>
        <v>#N/A</v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str">
        <f>IF('Cable Info'!L240="","",CONCATENATE('Cable Info'!L240," - ",'Cable Info'!M240))</f>
        <v>239 - TW</v>
      </c>
      <c r="AM536" s="121" t="str">
        <f t="shared" si="131"/>
        <v>239 - TW</v>
      </c>
      <c r="AO536" s="121" t="str">
        <f>IF('Cable Info'!N240="","",CONCATENATE('Cable Info'!N240," - ",'Cable Info'!O240))</f>
        <v>239 - TW</v>
      </c>
      <c r="AR536" s="121" t="str">
        <f t="shared" si="132"/>
        <v>239 - TW</v>
      </c>
      <c r="AT536" s="121" t="e">
        <f>IF('Cable Info'!P240="","",CONCATENATE('Cable Info'!P240," - ",'Cable Info'!Q240))</f>
        <v>#N/A</v>
      </c>
      <c r="AW536" s="121" t="e">
        <f t="shared" si="133"/>
        <v>#N/A</v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str">
        <f>IF('Cable Info'!L241="","",CONCATENATE('Cable Info'!L241," - ",'Cable Info'!M241))</f>
        <v>240 - TW</v>
      </c>
      <c r="AM537" s="121" t="str">
        <f t="shared" si="131"/>
        <v>240 - TW</v>
      </c>
      <c r="AO537" s="121" t="str">
        <f>IF('Cable Info'!N241="","",CONCATENATE('Cable Info'!N241," - ",'Cable Info'!O241))</f>
        <v>240 - TW</v>
      </c>
      <c r="AR537" s="121" t="str">
        <f t="shared" si="132"/>
        <v>240 - TW</v>
      </c>
      <c r="AT537" s="121" t="e">
        <f>IF('Cable Info'!P241="","",CONCATENATE('Cable Info'!P241," - ",'Cable Info'!Q241))</f>
        <v>#N/A</v>
      </c>
      <c r="AW537" s="121" t="e">
        <f t="shared" si="133"/>
        <v>#N/A</v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str">
        <f>IF('Cable Info'!L242="","",CONCATENATE('Cable Info'!L242," - ",'Cable Info'!M242))</f>
        <v>241 - TW</v>
      </c>
      <c r="AM538" s="121" t="str">
        <f t="shared" si="131"/>
        <v>241 - TW</v>
      </c>
      <c r="AO538" s="121" t="str">
        <f>IF('Cable Info'!N242="","",CONCATENATE('Cable Info'!N242," - ",'Cable Info'!O242))</f>
        <v>241 - TW</v>
      </c>
      <c r="AR538" s="121" t="str">
        <f t="shared" si="132"/>
        <v>241 - TW</v>
      </c>
      <c r="AT538" s="121" t="e">
        <f>IF('Cable Info'!P242="","",CONCATENATE('Cable Info'!P242," - ",'Cable Info'!Q242))</f>
        <v>#N/A</v>
      </c>
      <c r="AW538" s="121" t="e">
        <f t="shared" si="133"/>
        <v>#N/A</v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str">
        <f>IF('Cable Info'!L243="","",CONCATENATE('Cable Info'!L243," - ",'Cable Info'!M243))</f>
        <v>242 - TW</v>
      </c>
      <c r="AM539" s="121" t="str">
        <f t="shared" si="131"/>
        <v>242 - TW</v>
      </c>
      <c r="AO539" s="121" t="str">
        <f>IF('Cable Info'!N243="","",CONCATENATE('Cable Info'!N243," - ",'Cable Info'!O243))</f>
        <v>242 - TW</v>
      </c>
      <c r="AR539" s="121" t="str">
        <f t="shared" si="132"/>
        <v>242 - TW</v>
      </c>
      <c r="AT539" s="121" t="e">
        <f>IF('Cable Info'!P243="","",CONCATENATE('Cable Info'!P243," - ",'Cable Info'!Q243))</f>
        <v>#N/A</v>
      </c>
      <c r="AW539" s="121" t="e">
        <f t="shared" si="133"/>
        <v>#N/A</v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str">
        <f>IF('Cable Info'!L244="","",CONCATENATE('Cable Info'!L244," - ",'Cable Info'!M244))</f>
        <v>243 - TW</v>
      </c>
      <c r="AM540" s="121" t="str">
        <f t="shared" si="131"/>
        <v>243 - TW</v>
      </c>
      <c r="AO540" s="121" t="str">
        <f>IF('Cable Info'!N244="","",CONCATENATE('Cable Info'!N244," - ",'Cable Info'!O244))</f>
        <v>243 - TW</v>
      </c>
      <c r="AR540" s="121" t="str">
        <f t="shared" si="132"/>
        <v>243 - TW</v>
      </c>
      <c r="AT540" s="121" t="e">
        <f>IF('Cable Info'!P244="","",CONCATENATE('Cable Info'!P244," - ",'Cable Info'!Q244))</f>
        <v>#N/A</v>
      </c>
      <c r="AW540" s="121" t="e">
        <f t="shared" si="133"/>
        <v>#N/A</v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str">
        <f>IF('Cable Info'!L245="","",CONCATENATE('Cable Info'!L245," - ",'Cable Info'!M245))</f>
        <v>244 - TW</v>
      </c>
      <c r="AM541" s="121" t="str">
        <f t="shared" si="131"/>
        <v>244 - TW</v>
      </c>
      <c r="AO541" s="121" t="str">
        <f>IF('Cable Info'!N245="","",CONCATENATE('Cable Info'!N245," - ",'Cable Info'!O245))</f>
        <v>244 - TW</v>
      </c>
      <c r="AR541" s="121" t="str">
        <f t="shared" si="132"/>
        <v>244 - TW</v>
      </c>
      <c r="AT541" s="121" t="e">
        <f>IF('Cable Info'!P245="","",CONCATENATE('Cable Info'!P245," - ",'Cable Info'!Q245))</f>
        <v>#N/A</v>
      </c>
      <c r="AW541" s="121" t="e">
        <f t="shared" si="133"/>
        <v>#N/A</v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str">
        <f>IF('Cable Info'!L246="","",CONCATENATE('Cable Info'!L246," - ",'Cable Info'!M246))</f>
        <v>245 - TW</v>
      </c>
      <c r="AM542" s="121" t="str">
        <f t="shared" si="131"/>
        <v>245 - TW</v>
      </c>
      <c r="AO542" s="121" t="str">
        <f>IF('Cable Info'!N246="","",CONCATENATE('Cable Info'!N246," - ",'Cable Info'!O246))</f>
        <v>245 - TW</v>
      </c>
      <c r="AR542" s="121" t="str">
        <f t="shared" si="132"/>
        <v>245 - TW</v>
      </c>
      <c r="AT542" s="121" t="e">
        <f>IF('Cable Info'!P246="","",CONCATENATE('Cable Info'!P246," - ",'Cable Info'!Q246))</f>
        <v>#N/A</v>
      </c>
      <c r="AW542" s="121" t="e">
        <f t="shared" si="133"/>
        <v>#N/A</v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str">
        <f>IF('Cable Info'!L247="","",CONCATENATE('Cable Info'!L247," - ",'Cable Info'!M247))</f>
        <v>246 - TW</v>
      </c>
      <c r="AM543" s="121" t="str">
        <f t="shared" si="131"/>
        <v>246 - TW</v>
      </c>
      <c r="AO543" s="121" t="str">
        <f>IF('Cable Info'!N247="","",CONCATENATE('Cable Info'!N247," - ",'Cable Info'!O247))</f>
        <v>246 - TW</v>
      </c>
      <c r="AR543" s="121" t="str">
        <f t="shared" si="132"/>
        <v>246 - TW</v>
      </c>
      <c r="AT543" s="121" t="e">
        <f>IF('Cable Info'!P247="","",CONCATENATE('Cable Info'!P247," - ",'Cable Info'!Q247))</f>
        <v>#N/A</v>
      </c>
      <c r="AW543" s="121" t="e">
        <f t="shared" si="133"/>
        <v>#N/A</v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str">
        <f>IF('Cable Info'!L248="","",CONCATENATE('Cable Info'!L248," - ",'Cable Info'!M248))</f>
        <v>247 - TW</v>
      </c>
      <c r="AM544" s="121" t="str">
        <f t="shared" si="131"/>
        <v>247 - TW</v>
      </c>
      <c r="AO544" s="121" t="str">
        <f>IF('Cable Info'!N248="","",CONCATENATE('Cable Info'!N248," - ",'Cable Info'!O248))</f>
        <v>247 - TW</v>
      </c>
      <c r="AR544" s="121" t="str">
        <f t="shared" si="132"/>
        <v>247 - TW</v>
      </c>
      <c r="AT544" s="121" t="e">
        <f>IF('Cable Info'!P248="","",CONCATENATE('Cable Info'!P248," - ",'Cable Info'!Q248))</f>
        <v>#N/A</v>
      </c>
      <c r="AW544" s="121" t="e">
        <f t="shared" si="133"/>
        <v>#N/A</v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str">
        <f>IF('Cable Info'!L249="","",CONCATENATE('Cable Info'!L249," - ",'Cable Info'!M249))</f>
        <v>248 - TW</v>
      </c>
      <c r="AM545" s="121" t="str">
        <f t="shared" si="131"/>
        <v>248 - TW</v>
      </c>
      <c r="AO545" s="121" t="str">
        <f>IF('Cable Info'!N249="","",CONCATENATE('Cable Info'!N249," - ",'Cable Info'!O249))</f>
        <v>248 - TW</v>
      </c>
      <c r="AR545" s="121" t="str">
        <f t="shared" si="132"/>
        <v>248 - TW</v>
      </c>
      <c r="AT545" s="121" t="e">
        <f>IF('Cable Info'!P249="","",CONCATENATE('Cable Info'!P249," - ",'Cable Info'!Q249))</f>
        <v>#N/A</v>
      </c>
      <c r="AW545" s="121" t="e">
        <f t="shared" si="133"/>
        <v>#N/A</v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str">
        <f>IF('Cable Info'!L250="","",CONCATENATE('Cable Info'!L250," - ",'Cable Info'!M250))</f>
        <v>249 - TW</v>
      </c>
      <c r="AM546" s="121" t="str">
        <f t="shared" si="131"/>
        <v>249 - TW</v>
      </c>
      <c r="AO546" s="121" t="str">
        <f>IF('Cable Info'!N250="","",CONCATENATE('Cable Info'!N250," - ",'Cable Info'!O250))</f>
        <v>249 - TW</v>
      </c>
      <c r="AR546" s="121" t="str">
        <f t="shared" si="132"/>
        <v>249 - TW</v>
      </c>
      <c r="AT546" s="121" t="e">
        <f>IF('Cable Info'!P250="","",CONCATENATE('Cable Info'!P250," - ",'Cable Info'!Q250))</f>
        <v>#N/A</v>
      </c>
      <c r="AW546" s="121" t="e">
        <f t="shared" si="133"/>
        <v>#N/A</v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str">
        <f>IF('Cable Info'!L251="","",CONCATENATE('Cable Info'!L251," - ",'Cable Info'!M251))</f>
        <v>250 - TW</v>
      </c>
      <c r="AM547" s="121" t="str">
        <f t="shared" si="131"/>
        <v>250 - TW</v>
      </c>
      <c r="AO547" s="121" t="str">
        <f>IF('Cable Info'!N251="","",CONCATENATE('Cable Info'!N251," - ",'Cable Info'!O251))</f>
        <v>250 - TW</v>
      </c>
      <c r="AR547" s="121" t="str">
        <f t="shared" si="132"/>
        <v>250 - TW</v>
      </c>
      <c r="AT547" s="121" t="e">
        <f>IF('Cable Info'!P251="","",CONCATENATE('Cable Info'!P251," - ",'Cable Info'!Q251))</f>
        <v>#N/A</v>
      </c>
      <c r="AW547" s="121" t="e">
        <f t="shared" si="133"/>
        <v>#N/A</v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str">
        <f>IF('Cable Info'!L252="","",CONCATENATE('Cable Info'!L252," - ",'Cable Info'!M252))</f>
        <v>251 - TW</v>
      </c>
      <c r="AM548" s="121" t="str">
        <f t="shared" si="131"/>
        <v>251 - TW</v>
      </c>
      <c r="AO548" s="121" t="str">
        <f>IF('Cable Info'!N252="","",CONCATENATE('Cable Info'!N252," - ",'Cable Info'!O252))</f>
        <v>251 - TW</v>
      </c>
      <c r="AR548" s="121" t="str">
        <f t="shared" si="132"/>
        <v>251 - TW</v>
      </c>
      <c r="AT548" s="121" t="e">
        <f>IF('Cable Info'!P252="","",CONCATENATE('Cable Info'!P252," - ",'Cable Info'!Q252))</f>
        <v>#N/A</v>
      </c>
      <c r="AW548" s="121" t="e">
        <f t="shared" si="133"/>
        <v>#N/A</v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str">
        <f>IF('Cable Info'!L253="","",CONCATENATE('Cable Info'!L253," - ",'Cable Info'!M253))</f>
        <v>252 - TW</v>
      </c>
      <c r="AM549" s="121" t="str">
        <f t="shared" si="131"/>
        <v>252 - TW</v>
      </c>
      <c r="AO549" s="121" t="str">
        <f>IF('Cable Info'!N253="","",CONCATENATE('Cable Info'!N253," - ",'Cable Info'!O253))</f>
        <v>252 - TW</v>
      </c>
      <c r="AR549" s="121" t="str">
        <f t="shared" si="132"/>
        <v>252 - TW</v>
      </c>
      <c r="AT549" s="121" t="e">
        <f>IF('Cable Info'!P253="","",CONCATENATE('Cable Info'!P253," - ",'Cable Info'!Q253))</f>
        <v>#N/A</v>
      </c>
      <c r="AW549" s="121" t="e">
        <f t="shared" si="133"/>
        <v>#N/A</v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str">
        <f>IF('Cable Info'!L254="","",CONCATENATE('Cable Info'!L254," - ",'Cable Info'!M254))</f>
        <v>253 - TW</v>
      </c>
      <c r="AM550" s="121" t="str">
        <f t="shared" si="131"/>
        <v>253 - TW</v>
      </c>
      <c r="AO550" s="121" t="str">
        <f>IF('Cable Info'!N254="","",CONCATENATE('Cable Info'!N254," - ",'Cable Info'!O254))</f>
        <v>253 - TW</v>
      </c>
      <c r="AR550" s="121" t="str">
        <f t="shared" si="132"/>
        <v>253 - TW</v>
      </c>
      <c r="AT550" s="121" t="e">
        <f>IF('Cable Info'!P254="","",CONCATENATE('Cable Info'!P254," - ",'Cable Info'!Q254))</f>
        <v>#N/A</v>
      </c>
      <c r="AW550" s="121" t="e">
        <f t="shared" si="133"/>
        <v>#N/A</v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str">
        <f>IF('Cable Info'!L255="","",CONCATENATE('Cable Info'!L255," - ",'Cable Info'!M255))</f>
        <v>254 - TW</v>
      </c>
      <c r="AM551" s="121" t="str">
        <f t="shared" si="131"/>
        <v>254 - TW</v>
      </c>
      <c r="AO551" s="121" t="str">
        <f>IF('Cable Info'!N255="","",CONCATENATE('Cable Info'!N255," - ",'Cable Info'!O255))</f>
        <v>254 - TW</v>
      </c>
      <c r="AR551" s="121" t="str">
        <f t="shared" si="132"/>
        <v>254 - TW</v>
      </c>
      <c r="AT551" s="121" t="e">
        <f>IF('Cable Info'!P255="","",CONCATENATE('Cable Info'!P255," - ",'Cable Info'!Q255))</f>
        <v>#N/A</v>
      </c>
      <c r="AW551" s="121" t="e">
        <f t="shared" si="133"/>
        <v>#N/A</v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str">
        <f>IF('Cable Info'!L256="","",CONCATENATE('Cable Info'!L256," - ",'Cable Info'!M256))</f>
        <v>255 - TW</v>
      </c>
      <c r="AM552" s="121" t="str">
        <f t="shared" si="131"/>
        <v>255 - TW</v>
      </c>
      <c r="AO552" s="121" t="str">
        <f>IF('Cable Info'!N256="","",CONCATENATE('Cable Info'!N256," - ",'Cable Info'!O256))</f>
        <v>255 - TW</v>
      </c>
      <c r="AR552" s="121" t="str">
        <f t="shared" si="132"/>
        <v>255 - TW</v>
      </c>
      <c r="AT552" s="121" t="e">
        <f>IF('Cable Info'!P256="","",CONCATENATE('Cable Info'!P256," - ",'Cable Info'!Q256))</f>
        <v>#N/A</v>
      </c>
      <c r="AW552" s="121" t="e">
        <f t="shared" si="133"/>
        <v>#N/A</v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str">
        <f>IF('Cable Info'!L257="","",CONCATENATE('Cable Info'!L257," - ",'Cable Info'!M257))</f>
        <v>256 - TW</v>
      </c>
      <c r="AM553" s="121" t="str">
        <f t="shared" si="131"/>
        <v>256 - TW</v>
      </c>
      <c r="AO553" s="121" t="str">
        <f>IF('Cable Info'!N257="","",CONCATENATE('Cable Info'!N257," - ",'Cable Info'!O257))</f>
        <v>256 - TW</v>
      </c>
      <c r="AR553" s="121" t="str">
        <f t="shared" si="132"/>
        <v>256 - TW</v>
      </c>
      <c r="AT553" s="121" t="e">
        <f>IF('Cable Info'!P257="","",CONCATENATE('Cable Info'!P257," - ",'Cable Info'!Q257))</f>
        <v>#N/A</v>
      </c>
      <c r="AW553" s="121" t="e">
        <f t="shared" si="133"/>
        <v>#N/A</v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str">
        <f>IF('Cable Info'!L258="","",CONCATENATE('Cable Info'!L258," - ",'Cable Info'!M258))</f>
        <v>257 - TW</v>
      </c>
      <c r="AM554" s="121" t="str">
        <f t="shared" si="131"/>
        <v>257 - TW</v>
      </c>
      <c r="AO554" s="121" t="str">
        <f>IF('Cable Info'!N258="","",CONCATENATE('Cable Info'!N258," - ",'Cable Info'!O258))</f>
        <v>257 - TW</v>
      </c>
      <c r="AR554" s="121" t="str">
        <f t="shared" si="132"/>
        <v>257 - TW</v>
      </c>
      <c r="AT554" s="121" t="e">
        <f>IF('Cable Info'!P258="","",CONCATENATE('Cable Info'!P258," - ",'Cable Info'!Q258))</f>
        <v>#N/A</v>
      </c>
      <c r="AW554" s="121" t="e">
        <f t="shared" si="133"/>
        <v>#N/A</v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str">
        <f>IF('Cable Info'!L259="","",CONCATENATE('Cable Info'!L259," - ",'Cable Info'!M259))</f>
        <v>258 - TW</v>
      </c>
      <c r="AM555" s="121" t="str">
        <f t="shared" ref="AM555:AM618" si="137">IF(AK555="",AJ555,CONCATENATE(AJ555,"  &lt;=&gt; ",AK555," ",AL555))</f>
        <v>258 - TW</v>
      </c>
      <c r="AO555" s="121" t="str">
        <f>IF('Cable Info'!N259="","",CONCATENATE('Cable Info'!N259," - ",'Cable Info'!O259))</f>
        <v>258 - TW</v>
      </c>
      <c r="AR555" s="121" t="str">
        <f t="shared" ref="AR555:AR618" si="138">IF(AP555="",AO555,CONCATENATE(AO555,"  &lt;=&gt; ",AP555," ",AQ555))</f>
        <v>258 - TW</v>
      </c>
      <c r="AT555" s="121" t="e">
        <f>IF('Cable Info'!P259="","",CONCATENATE('Cable Info'!P259," - ",'Cable Info'!Q259))</f>
        <v>#N/A</v>
      </c>
      <c r="AW555" s="121" t="e">
        <f t="shared" ref="AW555:AW618" si="139">IF(AU555="",AT555,CONCATENATE(AT555,"  &lt;=&gt; ",AU555," ",AV555))</f>
        <v>#N/A</v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str">
        <f>IF('Cable Info'!L260="","",CONCATENATE('Cable Info'!L260," - ",'Cable Info'!M260))</f>
        <v>259 - TW</v>
      </c>
      <c r="AM556" s="121" t="str">
        <f t="shared" si="137"/>
        <v>259 - TW</v>
      </c>
      <c r="AO556" s="121" t="str">
        <f>IF('Cable Info'!N260="","",CONCATENATE('Cable Info'!N260," - ",'Cable Info'!O260))</f>
        <v>259 - TW</v>
      </c>
      <c r="AR556" s="121" t="str">
        <f t="shared" si="138"/>
        <v>259 - TW</v>
      </c>
      <c r="AT556" s="121" t="e">
        <f>IF('Cable Info'!P260="","",CONCATENATE('Cable Info'!P260," - ",'Cable Info'!Q260))</f>
        <v>#N/A</v>
      </c>
      <c r="AW556" s="121" t="e">
        <f t="shared" si="139"/>
        <v>#N/A</v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str">
        <f>IF('Cable Info'!L261="","",CONCATENATE('Cable Info'!L261," - ",'Cable Info'!M261))</f>
        <v>260 - TW</v>
      </c>
      <c r="AM557" s="121" t="str">
        <f t="shared" si="137"/>
        <v>260 - TW</v>
      </c>
      <c r="AO557" s="121" t="str">
        <f>IF('Cable Info'!N261="","",CONCATENATE('Cable Info'!N261," - ",'Cable Info'!O261))</f>
        <v>260 - TW</v>
      </c>
      <c r="AR557" s="121" t="str">
        <f t="shared" si="138"/>
        <v>260 - TW</v>
      </c>
      <c r="AT557" s="121" t="e">
        <f>IF('Cable Info'!P261="","",CONCATENATE('Cable Info'!P261," - ",'Cable Info'!Q261))</f>
        <v>#N/A</v>
      </c>
      <c r="AW557" s="121" t="e">
        <f t="shared" si="139"/>
        <v>#N/A</v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str">
        <f>IF('Cable Info'!L262="","",CONCATENATE('Cable Info'!L262," - ",'Cable Info'!M262))</f>
        <v>261 - TW</v>
      </c>
      <c r="AM558" s="121" t="str">
        <f t="shared" si="137"/>
        <v>261 - TW</v>
      </c>
      <c r="AO558" s="121" t="str">
        <f>IF('Cable Info'!N262="","",CONCATENATE('Cable Info'!N262," - ",'Cable Info'!O262))</f>
        <v>261 - TW</v>
      </c>
      <c r="AR558" s="121" t="str">
        <f t="shared" si="138"/>
        <v>261 - TW</v>
      </c>
      <c r="AT558" s="121" t="e">
        <f>IF('Cable Info'!P262="","",CONCATENATE('Cable Info'!P262," - ",'Cable Info'!Q262))</f>
        <v>#N/A</v>
      </c>
      <c r="AW558" s="121" t="e">
        <f t="shared" si="139"/>
        <v>#N/A</v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str">
        <f>IF('Cable Info'!L263="","",CONCATENATE('Cable Info'!L263," - ",'Cable Info'!M263))</f>
        <v>262 - TW</v>
      </c>
      <c r="AM559" s="121" t="str">
        <f t="shared" si="137"/>
        <v>262 - TW</v>
      </c>
      <c r="AO559" s="121" t="str">
        <f>IF('Cable Info'!N263="","",CONCATENATE('Cable Info'!N263," - ",'Cable Info'!O263))</f>
        <v>262 - TW</v>
      </c>
      <c r="AR559" s="121" t="str">
        <f t="shared" si="138"/>
        <v>262 - TW</v>
      </c>
      <c r="AT559" s="121" t="e">
        <f>IF('Cable Info'!P263="","",CONCATENATE('Cable Info'!P263," - ",'Cable Info'!Q263))</f>
        <v>#N/A</v>
      </c>
      <c r="AW559" s="121" t="e">
        <f t="shared" si="139"/>
        <v>#N/A</v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str">
        <f>IF('Cable Info'!L264="","",CONCATENATE('Cable Info'!L264," - ",'Cable Info'!M264))</f>
        <v>263 - TW</v>
      </c>
      <c r="AM560" s="121" t="str">
        <f t="shared" si="137"/>
        <v>263 - TW</v>
      </c>
      <c r="AO560" s="121" t="str">
        <f>IF('Cable Info'!N264="","",CONCATENATE('Cable Info'!N264," - ",'Cable Info'!O264))</f>
        <v>263 - TW</v>
      </c>
      <c r="AR560" s="121" t="str">
        <f t="shared" si="138"/>
        <v>263 - TW</v>
      </c>
      <c r="AT560" s="121" t="e">
        <f>IF('Cable Info'!P264="","",CONCATENATE('Cable Info'!P264," - ",'Cable Info'!Q264))</f>
        <v>#N/A</v>
      </c>
      <c r="AW560" s="121" t="e">
        <f t="shared" si="139"/>
        <v>#N/A</v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str">
        <f>IF('Cable Info'!L265="","",CONCATENATE('Cable Info'!L265," - ",'Cable Info'!M265))</f>
        <v>264 - TW</v>
      </c>
      <c r="AM561" s="121" t="str">
        <f t="shared" si="137"/>
        <v>264 - TW</v>
      </c>
      <c r="AO561" s="121" t="str">
        <f>IF('Cable Info'!N265="","",CONCATENATE('Cable Info'!N265," - ",'Cable Info'!O265))</f>
        <v>264 - TW</v>
      </c>
      <c r="AR561" s="121" t="str">
        <f t="shared" si="138"/>
        <v>264 - TW</v>
      </c>
      <c r="AT561" s="121" t="e">
        <f>IF('Cable Info'!P265="","",CONCATENATE('Cable Info'!P265," - ",'Cable Info'!Q265))</f>
        <v>#N/A</v>
      </c>
      <c r="AW561" s="121" t="e">
        <f t="shared" si="139"/>
        <v>#N/A</v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str">
        <f>IF('Cable Info'!L266="","",CONCATENATE('Cable Info'!L266," - ",'Cable Info'!M266))</f>
        <v>265 - TW</v>
      </c>
      <c r="AM562" s="121" t="str">
        <f t="shared" si="137"/>
        <v>265 - TW</v>
      </c>
      <c r="AO562" s="121" t="str">
        <f>IF('Cable Info'!N266="","",CONCATENATE('Cable Info'!N266," - ",'Cable Info'!O266))</f>
        <v>265 - TW</v>
      </c>
      <c r="AR562" s="121" t="str">
        <f t="shared" si="138"/>
        <v>265 - TW</v>
      </c>
      <c r="AT562" s="121" t="e">
        <f>IF('Cable Info'!P266="","",CONCATENATE('Cable Info'!P266," - ",'Cable Info'!Q266))</f>
        <v>#N/A</v>
      </c>
      <c r="AW562" s="121" t="e">
        <f t="shared" si="139"/>
        <v>#N/A</v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str">
        <f>IF('Cable Info'!L267="","",CONCATENATE('Cable Info'!L267," - ",'Cable Info'!M267))</f>
        <v>266 - TW</v>
      </c>
      <c r="AM563" s="121" t="str">
        <f t="shared" si="137"/>
        <v>266 - TW</v>
      </c>
      <c r="AO563" s="121" t="str">
        <f>IF('Cable Info'!N267="","",CONCATENATE('Cable Info'!N267," - ",'Cable Info'!O267))</f>
        <v>266 - TW</v>
      </c>
      <c r="AR563" s="121" t="str">
        <f t="shared" si="138"/>
        <v>266 - TW</v>
      </c>
      <c r="AT563" s="121" t="e">
        <f>IF('Cable Info'!P267="","",CONCATENATE('Cable Info'!P267," - ",'Cable Info'!Q267))</f>
        <v>#N/A</v>
      </c>
      <c r="AW563" s="121" t="e">
        <f t="shared" si="139"/>
        <v>#N/A</v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str">
        <f>IF('Cable Info'!L268="","",CONCATENATE('Cable Info'!L268," - ",'Cable Info'!M268))</f>
        <v>267 - TW</v>
      </c>
      <c r="AM564" s="121" t="str">
        <f t="shared" si="137"/>
        <v>267 - TW</v>
      </c>
      <c r="AO564" s="121" t="str">
        <f>IF('Cable Info'!N268="","",CONCATENATE('Cable Info'!N268," - ",'Cable Info'!O268))</f>
        <v>267 - TW</v>
      </c>
      <c r="AR564" s="121" t="str">
        <f t="shared" si="138"/>
        <v>267 - TW</v>
      </c>
      <c r="AT564" s="121" t="e">
        <f>IF('Cable Info'!P268="","",CONCATENATE('Cable Info'!P268," - ",'Cable Info'!Q268))</f>
        <v>#N/A</v>
      </c>
      <c r="AW564" s="121" t="e">
        <f t="shared" si="139"/>
        <v>#N/A</v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str">
        <f>IF('Cable Info'!L269="","",CONCATENATE('Cable Info'!L269," - ",'Cable Info'!M269))</f>
        <v>268 - TW</v>
      </c>
      <c r="AM565" s="121" t="str">
        <f t="shared" si="137"/>
        <v>268 - TW</v>
      </c>
      <c r="AO565" s="121" t="str">
        <f>IF('Cable Info'!N269="","",CONCATENATE('Cable Info'!N269," - ",'Cable Info'!O269))</f>
        <v>268 - TW</v>
      </c>
      <c r="AR565" s="121" t="str">
        <f t="shared" si="138"/>
        <v>268 - TW</v>
      </c>
      <c r="AT565" s="121" t="e">
        <f>IF('Cable Info'!P269="","",CONCATENATE('Cable Info'!P269," - ",'Cable Info'!Q269))</f>
        <v>#N/A</v>
      </c>
      <c r="AW565" s="121" t="e">
        <f t="shared" si="139"/>
        <v>#N/A</v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str">
        <f>IF('Cable Info'!L270="","",CONCATENATE('Cable Info'!L270," - ",'Cable Info'!M270))</f>
        <v>269 - TW</v>
      </c>
      <c r="AM566" s="121" t="str">
        <f t="shared" si="137"/>
        <v>269 - TW</v>
      </c>
      <c r="AO566" s="121" t="str">
        <f>IF('Cable Info'!N270="","",CONCATENATE('Cable Info'!N270," - ",'Cable Info'!O270))</f>
        <v>269 - TW</v>
      </c>
      <c r="AR566" s="121" t="str">
        <f t="shared" si="138"/>
        <v>269 - TW</v>
      </c>
      <c r="AT566" s="121" t="e">
        <f>IF('Cable Info'!P270="","",CONCATENATE('Cable Info'!P270," - ",'Cable Info'!Q270))</f>
        <v>#N/A</v>
      </c>
      <c r="AW566" s="121" t="e">
        <f t="shared" si="139"/>
        <v>#N/A</v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str">
        <f>IF('Cable Info'!L271="","",CONCATENATE('Cable Info'!L271," - ",'Cable Info'!M271))</f>
        <v>270 - TW</v>
      </c>
      <c r="AM567" s="121" t="str">
        <f t="shared" si="137"/>
        <v>270 - TW</v>
      </c>
      <c r="AO567" s="121" t="str">
        <f>IF('Cable Info'!N271="","",CONCATENATE('Cable Info'!N271," - ",'Cable Info'!O271))</f>
        <v>270 - TW</v>
      </c>
      <c r="AR567" s="121" t="str">
        <f t="shared" si="138"/>
        <v>270 - TW</v>
      </c>
      <c r="AT567" s="121" t="e">
        <f>IF('Cable Info'!P271="","",CONCATENATE('Cable Info'!P271," - ",'Cable Info'!Q271))</f>
        <v>#N/A</v>
      </c>
      <c r="AW567" s="121" t="e">
        <f t="shared" si="139"/>
        <v>#N/A</v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str">
        <f>IF('Cable Info'!L272="","",CONCATENATE('Cable Info'!L272," - ",'Cable Info'!M272))</f>
        <v>271 - TW</v>
      </c>
      <c r="AM568" s="121" t="str">
        <f t="shared" si="137"/>
        <v>271 - TW</v>
      </c>
      <c r="AO568" s="121" t="str">
        <f>IF('Cable Info'!N272="","",CONCATENATE('Cable Info'!N272," - ",'Cable Info'!O272))</f>
        <v>271 - TW</v>
      </c>
      <c r="AR568" s="121" t="str">
        <f t="shared" si="138"/>
        <v>271 - TW</v>
      </c>
      <c r="AT568" s="121" t="e">
        <f>IF('Cable Info'!P272="","",CONCATENATE('Cable Info'!P272," - ",'Cable Info'!Q272))</f>
        <v>#N/A</v>
      </c>
      <c r="AW568" s="121" t="e">
        <f t="shared" si="139"/>
        <v>#N/A</v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str">
        <f>IF('Cable Info'!L273="","",CONCATENATE('Cable Info'!L273," - ",'Cable Info'!M273))</f>
        <v>272 - TW</v>
      </c>
      <c r="AM569" s="121" t="str">
        <f t="shared" si="137"/>
        <v>272 - TW</v>
      </c>
      <c r="AO569" s="121" t="str">
        <f>IF('Cable Info'!N273="","",CONCATENATE('Cable Info'!N273," - ",'Cable Info'!O273))</f>
        <v>272 - TW</v>
      </c>
      <c r="AR569" s="121" t="str">
        <f t="shared" si="138"/>
        <v>272 - TW</v>
      </c>
      <c r="AT569" s="121" t="e">
        <f>IF('Cable Info'!P273="","",CONCATENATE('Cable Info'!P273," - ",'Cable Info'!Q273))</f>
        <v>#N/A</v>
      </c>
      <c r="AW569" s="121" t="e">
        <f t="shared" si="139"/>
        <v>#N/A</v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str">
        <f>IF('Cable Info'!L274="","",CONCATENATE('Cable Info'!L274," - ",'Cable Info'!M274))</f>
        <v>273 - TW</v>
      </c>
      <c r="AM570" s="121" t="str">
        <f t="shared" si="137"/>
        <v>273 - TW</v>
      </c>
      <c r="AO570" s="121" t="str">
        <f>IF('Cable Info'!N274="","",CONCATENATE('Cable Info'!N274," - ",'Cable Info'!O274))</f>
        <v>273 - TW</v>
      </c>
      <c r="AR570" s="121" t="str">
        <f t="shared" si="138"/>
        <v>273 - TW</v>
      </c>
      <c r="AT570" s="121" t="e">
        <f>IF('Cable Info'!P274="","",CONCATENATE('Cable Info'!P274," - ",'Cable Info'!Q274))</f>
        <v>#N/A</v>
      </c>
      <c r="AW570" s="121" t="e">
        <f t="shared" si="139"/>
        <v>#N/A</v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str">
        <f>IF('Cable Info'!L275="","",CONCATENATE('Cable Info'!L275," - ",'Cable Info'!M275))</f>
        <v>274 - TW</v>
      </c>
      <c r="AM571" s="121" t="str">
        <f t="shared" si="137"/>
        <v>274 - TW</v>
      </c>
      <c r="AO571" s="121" t="str">
        <f>IF('Cable Info'!N275="","",CONCATENATE('Cable Info'!N275," - ",'Cable Info'!O275))</f>
        <v>274 - TW</v>
      </c>
      <c r="AR571" s="121" t="str">
        <f t="shared" si="138"/>
        <v>274 - TW</v>
      </c>
      <c r="AT571" s="121" t="e">
        <f>IF('Cable Info'!P275="","",CONCATENATE('Cable Info'!P275," - ",'Cable Info'!Q275))</f>
        <v>#N/A</v>
      </c>
      <c r="AW571" s="121" t="e">
        <f t="shared" si="139"/>
        <v>#N/A</v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str">
        <f>IF('Cable Info'!L276="","",CONCATENATE('Cable Info'!L276," - ",'Cable Info'!M276))</f>
        <v>275 - TW</v>
      </c>
      <c r="AM572" s="121" t="str">
        <f t="shared" si="137"/>
        <v>275 - TW</v>
      </c>
      <c r="AO572" s="121" t="str">
        <f>IF('Cable Info'!N276="","",CONCATENATE('Cable Info'!N276," - ",'Cable Info'!O276))</f>
        <v>275 - TW</v>
      </c>
      <c r="AR572" s="121" t="str">
        <f t="shared" si="138"/>
        <v>275 - TW</v>
      </c>
      <c r="AT572" s="121" t="e">
        <f>IF('Cable Info'!P276="","",CONCATENATE('Cable Info'!P276," - ",'Cable Info'!Q276))</f>
        <v>#N/A</v>
      </c>
      <c r="AW572" s="121" t="e">
        <f t="shared" si="139"/>
        <v>#N/A</v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str">
        <f>IF('Cable Info'!L277="","",CONCATENATE('Cable Info'!L277," - ",'Cable Info'!M277))</f>
        <v>276 - TW</v>
      </c>
      <c r="AM573" s="121" t="str">
        <f t="shared" si="137"/>
        <v>276 - TW</v>
      </c>
      <c r="AO573" s="121" t="str">
        <f>IF('Cable Info'!N277="","",CONCATENATE('Cable Info'!N277," - ",'Cable Info'!O277))</f>
        <v>276 - TW</v>
      </c>
      <c r="AR573" s="121" t="str">
        <f t="shared" si="138"/>
        <v>276 - TW</v>
      </c>
      <c r="AT573" s="121" t="e">
        <f>IF('Cable Info'!P277="","",CONCATENATE('Cable Info'!P277," - ",'Cable Info'!Q277))</f>
        <v>#N/A</v>
      </c>
      <c r="AW573" s="121" t="e">
        <f t="shared" si="139"/>
        <v>#N/A</v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str">
        <f>IF('Cable Info'!L278="","",CONCATENATE('Cable Info'!L278," - ",'Cable Info'!M278))</f>
        <v>277 - TW</v>
      </c>
      <c r="AM574" s="121" t="str">
        <f t="shared" si="137"/>
        <v>277 - TW</v>
      </c>
      <c r="AO574" s="121" t="str">
        <f>IF('Cable Info'!N278="","",CONCATENATE('Cable Info'!N278," - ",'Cable Info'!O278))</f>
        <v>277 - TW</v>
      </c>
      <c r="AR574" s="121" t="str">
        <f t="shared" si="138"/>
        <v>277 - TW</v>
      </c>
      <c r="AT574" s="121" t="e">
        <f>IF('Cable Info'!P278="","",CONCATENATE('Cable Info'!P278," - ",'Cable Info'!Q278))</f>
        <v>#N/A</v>
      </c>
      <c r="AW574" s="121" t="e">
        <f t="shared" si="139"/>
        <v>#N/A</v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str">
        <f>IF('Cable Info'!L279="","",CONCATENATE('Cable Info'!L279," - ",'Cable Info'!M279))</f>
        <v>278 - TW</v>
      </c>
      <c r="AM575" s="121" t="str">
        <f t="shared" si="137"/>
        <v>278 - TW</v>
      </c>
      <c r="AO575" s="121" t="str">
        <f>IF('Cable Info'!N279="","",CONCATENATE('Cable Info'!N279," - ",'Cable Info'!O279))</f>
        <v>278 - TW</v>
      </c>
      <c r="AR575" s="121" t="str">
        <f t="shared" si="138"/>
        <v>278 - TW</v>
      </c>
      <c r="AT575" s="121" t="e">
        <f>IF('Cable Info'!P279="","",CONCATENATE('Cable Info'!P279," - ",'Cable Info'!Q279))</f>
        <v>#N/A</v>
      </c>
      <c r="AW575" s="121" t="e">
        <f t="shared" si="139"/>
        <v>#N/A</v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str">
        <f>IF('Cable Info'!L280="","",CONCATENATE('Cable Info'!L280," - ",'Cable Info'!M280))</f>
        <v>279 - TW</v>
      </c>
      <c r="AM576" s="121" t="str">
        <f t="shared" si="137"/>
        <v>279 - TW</v>
      </c>
      <c r="AO576" s="121" t="str">
        <f>IF('Cable Info'!N280="","",CONCATENATE('Cable Info'!N280," - ",'Cable Info'!O280))</f>
        <v>279 - TW</v>
      </c>
      <c r="AR576" s="121" t="str">
        <f t="shared" si="138"/>
        <v>279 - TW</v>
      </c>
      <c r="AT576" s="121" t="e">
        <f>IF('Cable Info'!P280="","",CONCATENATE('Cable Info'!P280," - ",'Cable Info'!Q280))</f>
        <v>#N/A</v>
      </c>
      <c r="AW576" s="121" t="e">
        <f t="shared" si="139"/>
        <v>#N/A</v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str">
        <f>IF('Cable Info'!L281="","",CONCATENATE('Cable Info'!L281," - ",'Cable Info'!M281))</f>
        <v>280 - TW</v>
      </c>
      <c r="AM577" s="121" t="str">
        <f t="shared" si="137"/>
        <v>280 - TW</v>
      </c>
      <c r="AO577" s="121" t="str">
        <f>IF('Cable Info'!N281="","",CONCATENATE('Cable Info'!N281," - ",'Cable Info'!O281))</f>
        <v>280 - TW</v>
      </c>
      <c r="AR577" s="121" t="str">
        <f t="shared" si="138"/>
        <v>280 - TW</v>
      </c>
      <c r="AT577" s="121" t="e">
        <f>IF('Cable Info'!P281="","",CONCATENATE('Cable Info'!P281," - ",'Cable Info'!Q281))</f>
        <v>#N/A</v>
      </c>
      <c r="AW577" s="121" t="e">
        <f t="shared" si="139"/>
        <v>#N/A</v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str">
        <f>IF('Cable Info'!L282="","",CONCATENATE('Cable Info'!L282," - ",'Cable Info'!M282))</f>
        <v>281 - TW</v>
      </c>
      <c r="AM578" s="121" t="str">
        <f t="shared" si="137"/>
        <v>281 - TW</v>
      </c>
      <c r="AO578" s="121" t="str">
        <f>IF('Cable Info'!N282="","",CONCATENATE('Cable Info'!N282," - ",'Cable Info'!O282))</f>
        <v>281 - TW</v>
      </c>
      <c r="AR578" s="121" t="str">
        <f t="shared" si="138"/>
        <v>281 - TW</v>
      </c>
      <c r="AT578" s="121" t="e">
        <f>IF('Cable Info'!P282="","",CONCATENATE('Cable Info'!P282," - ",'Cable Info'!Q282))</f>
        <v>#N/A</v>
      </c>
      <c r="AW578" s="121" t="e">
        <f t="shared" si="139"/>
        <v>#N/A</v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str">
        <f>IF('Cable Info'!L283="","",CONCATENATE('Cable Info'!L283," - ",'Cable Info'!M283))</f>
        <v>282 - TW</v>
      </c>
      <c r="AM579" s="121" t="str">
        <f t="shared" si="137"/>
        <v>282 - TW</v>
      </c>
      <c r="AO579" s="121" t="str">
        <f>IF('Cable Info'!N283="","",CONCATENATE('Cable Info'!N283," - ",'Cable Info'!O283))</f>
        <v>282 - TW</v>
      </c>
      <c r="AR579" s="121" t="str">
        <f t="shared" si="138"/>
        <v>282 - TW</v>
      </c>
      <c r="AT579" s="121" t="e">
        <f>IF('Cable Info'!P283="","",CONCATENATE('Cable Info'!P283," - ",'Cable Info'!Q283))</f>
        <v>#N/A</v>
      </c>
      <c r="AW579" s="121" t="e">
        <f t="shared" si="139"/>
        <v>#N/A</v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str">
        <f>IF('Cable Info'!L284="","",CONCATENATE('Cable Info'!L284," - ",'Cable Info'!M284))</f>
        <v>283 - TW</v>
      </c>
      <c r="AM580" s="121" t="str">
        <f t="shared" si="137"/>
        <v>283 - TW</v>
      </c>
      <c r="AO580" s="121" t="str">
        <f>IF('Cable Info'!N284="","",CONCATENATE('Cable Info'!N284," - ",'Cable Info'!O284))</f>
        <v>283 - TW</v>
      </c>
      <c r="AR580" s="121" t="str">
        <f t="shared" si="138"/>
        <v>283 - TW</v>
      </c>
      <c r="AT580" s="121" t="e">
        <f>IF('Cable Info'!P284="","",CONCATENATE('Cable Info'!P284," - ",'Cable Info'!Q284))</f>
        <v>#N/A</v>
      </c>
      <c r="AW580" s="121" t="e">
        <f t="shared" si="139"/>
        <v>#N/A</v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str">
        <f>IF('Cable Info'!L285="","",CONCATENATE('Cable Info'!L285," - ",'Cable Info'!M285))</f>
        <v>284 - TW</v>
      </c>
      <c r="AM581" s="121" t="str">
        <f t="shared" si="137"/>
        <v>284 - TW</v>
      </c>
      <c r="AO581" s="121" t="str">
        <f>IF('Cable Info'!N285="","",CONCATENATE('Cable Info'!N285," - ",'Cable Info'!O285))</f>
        <v>284 - TW</v>
      </c>
      <c r="AR581" s="121" t="str">
        <f t="shared" si="138"/>
        <v>284 - TW</v>
      </c>
      <c r="AT581" s="121" t="e">
        <f>IF('Cable Info'!P285="","",CONCATENATE('Cable Info'!P285," - ",'Cable Info'!Q285))</f>
        <v>#N/A</v>
      </c>
      <c r="AW581" s="121" t="e">
        <f t="shared" si="139"/>
        <v>#N/A</v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str">
        <f>IF('Cable Info'!L286="","",CONCATENATE('Cable Info'!L286," - ",'Cable Info'!M286))</f>
        <v>285 - TW</v>
      </c>
      <c r="AM582" s="121" t="str">
        <f t="shared" si="137"/>
        <v>285 - TW</v>
      </c>
      <c r="AO582" s="121" t="str">
        <f>IF('Cable Info'!N286="","",CONCATENATE('Cable Info'!N286," - ",'Cable Info'!O286))</f>
        <v>285 - TW</v>
      </c>
      <c r="AR582" s="121" t="str">
        <f t="shared" si="138"/>
        <v>285 - TW</v>
      </c>
      <c r="AT582" s="121" t="e">
        <f>IF('Cable Info'!P286="","",CONCATENATE('Cable Info'!P286," - ",'Cable Info'!Q286))</f>
        <v>#N/A</v>
      </c>
      <c r="AW582" s="121" t="e">
        <f t="shared" si="139"/>
        <v>#N/A</v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str">
        <f>IF('Cable Info'!L287="","",CONCATENATE('Cable Info'!L287," - ",'Cable Info'!M287))</f>
        <v>286 - TW</v>
      </c>
      <c r="AM583" s="121" t="str">
        <f t="shared" si="137"/>
        <v>286 - TW</v>
      </c>
      <c r="AO583" s="121" t="str">
        <f>IF('Cable Info'!N287="","",CONCATENATE('Cable Info'!N287," - ",'Cable Info'!O287))</f>
        <v>286 - TW</v>
      </c>
      <c r="AR583" s="121" t="str">
        <f t="shared" si="138"/>
        <v>286 - TW</v>
      </c>
      <c r="AT583" s="121" t="e">
        <f>IF('Cable Info'!P287="","",CONCATENATE('Cable Info'!P287," - ",'Cable Info'!Q287))</f>
        <v>#N/A</v>
      </c>
      <c r="AW583" s="121" t="e">
        <f t="shared" si="139"/>
        <v>#N/A</v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str">
        <f>IF('Cable Info'!L288="","",CONCATENATE('Cable Info'!L288," - ",'Cable Info'!M288))</f>
        <v>287 - TW</v>
      </c>
      <c r="AM584" s="121" t="str">
        <f t="shared" si="137"/>
        <v>287 - TW</v>
      </c>
      <c r="AO584" s="121" t="str">
        <f>IF('Cable Info'!N288="","",CONCATENATE('Cable Info'!N288," - ",'Cable Info'!O288))</f>
        <v>287 - TW</v>
      </c>
      <c r="AR584" s="121" t="str">
        <f t="shared" si="138"/>
        <v>287 - TW</v>
      </c>
      <c r="AT584" s="121" t="e">
        <f>IF('Cable Info'!P288="","",CONCATENATE('Cable Info'!P288," - ",'Cable Info'!Q288))</f>
        <v>#N/A</v>
      </c>
      <c r="AW584" s="121" t="e">
        <f t="shared" si="139"/>
        <v>#N/A</v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str">
        <f>IF('Cable Info'!L289="","",CONCATENATE('Cable Info'!L289," - ",'Cable Info'!M289))</f>
        <v>288 - TW</v>
      </c>
      <c r="AM585" s="121" t="str">
        <f t="shared" si="137"/>
        <v>288 - TW</v>
      </c>
      <c r="AO585" s="121" t="str">
        <f>IF('Cable Info'!N289="","",CONCATENATE('Cable Info'!N289," - ",'Cable Info'!O289))</f>
        <v>288 - TW</v>
      </c>
      <c r="AR585" s="121" t="str">
        <f t="shared" si="138"/>
        <v>288 - TW</v>
      </c>
      <c r="AT585" s="121" t="e">
        <f>IF('Cable Info'!P289="","",CONCATENATE('Cable Info'!P289," - ",'Cable Info'!Q289))</f>
        <v>#N/A</v>
      </c>
      <c r="AW585" s="121" t="e">
        <f t="shared" si="139"/>
        <v>#N/A</v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str">
        <f>IF('Cable Info'!L290="","",CONCATENATE('Cable Info'!L290," - ",'Cable Info'!M290))</f>
        <v>289 - AW</v>
      </c>
      <c r="AM586" s="121" t="str">
        <f t="shared" si="137"/>
        <v>289 - AW</v>
      </c>
      <c r="AO586" s="121" t="str">
        <f>IF('Cable Info'!N290="","",CONCATENATE('Cable Info'!N290," - ",'Cable Info'!O290))</f>
        <v>289 - AW</v>
      </c>
      <c r="AR586" s="121" t="str">
        <f t="shared" si="138"/>
        <v>289 - AW</v>
      </c>
      <c r="AT586" s="121" t="e">
        <f>IF('Cable Info'!P290="","",CONCATENATE('Cable Info'!P290," - ",'Cable Info'!Q290))</f>
        <v>#N/A</v>
      </c>
      <c r="AW586" s="121" t="e">
        <f t="shared" si="139"/>
        <v>#N/A</v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str">
        <f>IF('Cable Info'!L291="","",CONCATENATE('Cable Info'!L291," - ",'Cable Info'!M291))</f>
        <v>290 - AW</v>
      </c>
      <c r="AM587" s="121" t="str">
        <f t="shared" si="137"/>
        <v>290 - AW</v>
      </c>
      <c r="AO587" s="121" t="str">
        <f>IF('Cable Info'!N291="","",CONCATENATE('Cable Info'!N291," - ",'Cable Info'!O291))</f>
        <v>290 - AW</v>
      </c>
      <c r="AR587" s="121" t="str">
        <f t="shared" si="138"/>
        <v>290 - AW</v>
      </c>
      <c r="AT587" s="121" t="e">
        <f>IF('Cable Info'!P291="","",CONCATENATE('Cable Info'!P291," - ",'Cable Info'!Q291))</f>
        <v>#N/A</v>
      </c>
      <c r="AW587" s="121" t="e">
        <f t="shared" si="139"/>
        <v>#N/A</v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str">
        <f>IF('Cable Info'!L292="","",CONCATENATE('Cable Info'!L292," - ",'Cable Info'!M292))</f>
        <v>291 - AW</v>
      </c>
      <c r="AM588" s="121" t="str">
        <f t="shared" si="137"/>
        <v>291 - AW</v>
      </c>
      <c r="AO588" s="121" t="str">
        <f>IF('Cable Info'!N292="","",CONCATENATE('Cable Info'!N292," - ",'Cable Info'!O292))</f>
        <v>291 - AW</v>
      </c>
      <c r="AR588" s="121" t="str">
        <f t="shared" si="138"/>
        <v>291 - AW</v>
      </c>
      <c r="AT588" s="121" t="e">
        <f>IF('Cable Info'!P292="","",CONCATENATE('Cable Info'!P292," - ",'Cable Info'!Q292))</f>
        <v>#N/A</v>
      </c>
      <c r="AW588" s="121" t="e">
        <f t="shared" si="139"/>
        <v>#N/A</v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str">
        <f>IF('Cable Info'!L293="","",CONCATENATE('Cable Info'!L293," - ",'Cable Info'!M293))</f>
        <v>292 - AW</v>
      </c>
      <c r="AM589" s="121" t="str">
        <f t="shared" si="137"/>
        <v>292 - AW</v>
      </c>
      <c r="AO589" s="121" t="str">
        <f>IF('Cable Info'!N293="","",CONCATENATE('Cable Info'!N293," - ",'Cable Info'!O293))</f>
        <v>292 - AW</v>
      </c>
      <c r="AR589" s="121" t="str">
        <f t="shared" si="138"/>
        <v>292 - AW</v>
      </c>
      <c r="AT589" s="121" t="e">
        <f>IF('Cable Info'!P293="","",CONCATENATE('Cable Info'!P293," - ",'Cable Info'!Q293))</f>
        <v>#N/A</v>
      </c>
      <c r="AW589" s="121" t="e">
        <f t="shared" si="139"/>
        <v>#N/A</v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str">
        <f>IF('Cable Info'!L294="","",CONCATENATE('Cable Info'!L294," - ",'Cable Info'!M294))</f>
        <v>293 - AW</v>
      </c>
      <c r="AM590" s="121" t="str">
        <f t="shared" si="137"/>
        <v>293 - AW</v>
      </c>
      <c r="AO590" s="121" t="str">
        <f>IF('Cable Info'!N294="","",CONCATENATE('Cable Info'!N294," - ",'Cable Info'!O294))</f>
        <v>293 - AW</v>
      </c>
      <c r="AR590" s="121" t="str">
        <f t="shared" si="138"/>
        <v>293 - AW</v>
      </c>
      <c r="AT590" s="121" t="e">
        <f>IF('Cable Info'!P294="","",CONCATENATE('Cable Info'!P294," - ",'Cable Info'!Q294))</f>
        <v>#N/A</v>
      </c>
      <c r="AW590" s="121" t="e">
        <f t="shared" si="139"/>
        <v>#N/A</v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str">
        <f>IF('Cable Info'!L295="","",CONCATENATE('Cable Info'!L295," - ",'Cable Info'!M295))</f>
        <v>294 - AW</v>
      </c>
      <c r="AM591" s="121" t="str">
        <f t="shared" si="137"/>
        <v>294 - AW</v>
      </c>
      <c r="AO591" s="121" t="str">
        <f>IF('Cable Info'!N295="","",CONCATENATE('Cable Info'!N295," - ",'Cable Info'!O295))</f>
        <v>294 - AW</v>
      </c>
      <c r="AR591" s="121" t="str">
        <f t="shared" si="138"/>
        <v>294 - AW</v>
      </c>
      <c r="AT591" s="121" t="e">
        <f>IF('Cable Info'!P295="","",CONCATENATE('Cable Info'!P295," - ",'Cable Info'!Q295))</f>
        <v>#N/A</v>
      </c>
      <c r="AW591" s="121" t="e">
        <f t="shared" si="139"/>
        <v>#N/A</v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str">
        <f>IF('Cable Info'!L296="","",CONCATENATE('Cable Info'!L296," - ",'Cable Info'!M296))</f>
        <v>295 - AW</v>
      </c>
      <c r="AM592" s="121" t="str">
        <f t="shared" si="137"/>
        <v>295 - AW</v>
      </c>
      <c r="AO592" s="121" t="str">
        <f>IF('Cable Info'!N296="","",CONCATENATE('Cable Info'!N296," - ",'Cable Info'!O296))</f>
        <v>295 - AW</v>
      </c>
      <c r="AR592" s="121" t="str">
        <f t="shared" si="138"/>
        <v>295 - AW</v>
      </c>
      <c r="AT592" s="121" t="e">
        <f>IF('Cable Info'!P296="","",CONCATENATE('Cable Info'!P296," - ",'Cable Info'!Q296))</f>
        <v>#N/A</v>
      </c>
      <c r="AW592" s="121" t="e">
        <f t="shared" si="139"/>
        <v>#N/A</v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str">
        <f>IF('Cable Info'!L297="","",CONCATENATE('Cable Info'!L297," - ",'Cable Info'!M297))</f>
        <v>296 - AW</v>
      </c>
      <c r="AM593" s="121" t="str">
        <f t="shared" si="137"/>
        <v>296 - AW</v>
      </c>
      <c r="AO593" s="121" t="str">
        <f>IF('Cable Info'!N297="","",CONCATENATE('Cable Info'!N297," - ",'Cable Info'!O297))</f>
        <v>296 - AW</v>
      </c>
      <c r="AR593" s="121" t="str">
        <f t="shared" si="138"/>
        <v>296 - AW</v>
      </c>
      <c r="AT593" s="121" t="e">
        <f>IF('Cable Info'!P297="","",CONCATENATE('Cable Info'!P297," - ",'Cable Info'!Q297))</f>
        <v>#N/A</v>
      </c>
      <c r="AW593" s="121" t="e">
        <f t="shared" si="139"/>
        <v>#N/A</v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str">
        <f>IF('Cable Info'!L298="","",CONCATENATE('Cable Info'!L298," - ",'Cable Info'!M298))</f>
        <v>297 - AW</v>
      </c>
      <c r="AM594" s="121" t="str">
        <f t="shared" si="137"/>
        <v>297 - AW</v>
      </c>
      <c r="AO594" s="121" t="str">
        <f>IF('Cable Info'!N298="","",CONCATENATE('Cable Info'!N298," - ",'Cable Info'!O298))</f>
        <v>297 - AW</v>
      </c>
      <c r="AR594" s="121" t="str">
        <f t="shared" si="138"/>
        <v>297 - AW</v>
      </c>
      <c r="AT594" s="121" t="e">
        <f>IF('Cable Info'!P298="","",CONCATENATE('Cable Info'!P298," - ",'Cable Info'!Q298))</f>
        <v>#N/A</v>
      </c>
      <c r="AW594" s="121" t="e">
        <f t="shared" si="139"/>
        <v>#N/A</v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str">
        <f>IF('Cable Info'!L299="","",CONCATENATE('Cable Info'!L299," - ",'Cable Info'!M299))</f>
        <v>298 - AW</v>
      </c>
      <c r="AM595" s="121" t="str">
        <f t="shared" si="137"/>
        <v>298 - AW</v>
      </c>
      <c r="AO595" s="121" t="str">
        <f>IF('Cable Info'!N299="","",CONCATENATE('Cable Info'!N299," - ",'Cable Info'!O299))</f>
        <v>298 - AW</v>
      </c>
      <c r="AR595" s="121" t="str">
        <f t="shared" si="138"/>
        <v>298 - AW</v>
      </c>
      <c r="AT595" s="121" t="e">
        <f>IF('Cable Info'!P299="","",CONCATENATE('Cable Info'!P299," - ",'Cable Info'!Q299))</f>
        <v>#N/A</v>
      </c>
      <c r="AW595" s="121" t="e">
        <f t="shared" si="139"/>
        <v>#N/A</v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str">
        <f>IF('Cable Info'!L300="","",CONCATENATE('Cable Info'!L300," - ",'Cable Info'!M300))</f>
        <v>299 - AW</v>
      </c>
      <c r="AM596" s="121" t="str">
        <f t="shared" si="137"/>
        <v>299 - AW</v>
      </c>
      <c r="AO596" s="121" t="str">
        <f>IF('Cable Info'!N300="","",CONCATENATE('Cable Info'!N300," - ",'Cable Info'!O300))</f>
        <v>299 - AW</v>
      </c>
      <c r="AR596" s="121" t="str">
        <f t="shared" si="138"/>
        <v>299 - AW</v>
      </c>
      <c r="AT596" s="121" t="e">
        <f>IF('Cable Info'!P300="","",CONCATENATE('Cable Info'!P300," - ",'Cable Info'!Q300))</f>
        <v>#N/A</v>
      </c>
      <c r="AW596" s="121" t="e">
        <f t="shared" si="139"/>
        <v>#N/A</v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str">
        <f>IF('Cable Info'!L301="","",CONCATENATE('Cable Info'!L301," - ",'Cable Info'!M301))</f>
        <v>300 - AW</v>
      </c>
      <c r="AM597" s="121" t="str">
        <f t="shared" si="137"/>
        <v>300 - AW</v>
      </c>
      <c r="AO597" s="121" t="str">
        <f>IF('Cable Info'!N301="","",CONCATENATE('Cable Info'!N301," - ",'Cable Info'!O301))</f>
        <v>300 - AW</v>
      </c>
      <c r="AR597" s="121" t="str">
        <f t="shared" si="138"/>
        <v>300 - AW</v>
      </c>
      <c r="AT597" s="121" t="e">
        <f>IF('Cable Info'!P301="","",CONCATENATE('Cable Info'!P301," - ",'Cable Info'!Q301))</f>
        <v>#N/A</v>
      </c>
      <c r="AW597" s="121" t="e">
        <f t="shared" si="139"/>
        <v>#N/A</v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str">
        <f>IF('Cable Info'!L302="","",CONCATENATE('Cable Info'!L302," - ",'Cable Info'!M302))</f>
        <v>301 - AW</v>
      </c>
      <c r="AM598" s="121" t="str">
        <f t="shared" si="137"/>
        <v>301 - AW</v>
      </c>
      <c r="AO598" s="121" t="str">
        <f>IF('Cable Info'!N302="","",CONCATENATE('Cable Info'!N302," - ",'Cable Info'!O302))</f>
        <v>301 - AW</v>
      </c>
      <c r="AR598" s="121" t="str">
        <f t="shared" si="138"/>
        <v>301 - AW</v>
      </c>
      <c r="AT598" s="121" t="e">
        <f>IF('Cable Info'!P302="","",CONCATENATE('Cable Info'!P302," - ",'Cable Info'!Q302))</f>
        <v>#N/A</v>
      </c>
      <c r="AW598" s="121" t="e">
        <f t="shared" si="139"/>
        <v>#N/A</v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str">
        <f>IF('Cable Info'!L303="","",CONCATENATE('Cable Info'!L303," - ",'Cable Info'!M303))</f>
        <v>302 - AW</v>
      </c>
      <c r="AM599" s="121" t="str">
        <f t="shared" si="137"/>
        <v>302 - AW</v>
      </c>
      <c r="AO599" s="121" t="str">
        <f>IF('Cable Info'!N303="","",CONCATENATE('Cable Info'!N303," - ",'Cable Info'!O303))</f>
        <v>302 - AW</v>
      </c>
      <c r="AR599" s="121" t="str">
        <f t="shared" si="138"/>
        <v>302 - AW</v>
      </c>
      <c r="AT599" s="121" t="e">
        <f>IF('Cable Info'!P303="","",CONCATENATE('Cable Info'!P303," - ",'Cable Info'!Q303))</f>
        <v>#N/A</v>
      </c>
      <c r="AW599" s="121" t="e">
        <f t="shared" si="139"/>
        <v>#N/A</v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str">
        <f>IF('Cable Info'!L304="","",CONCATENATE('Cable Info'!L304," - ",'Cable Info'!M304))</f>
        <v>303 - AW</v>
      </c>
      <c r="AM600" s="121" t="str">
        <f t="shared" si="137"/>
        <v>303 - AW</v>
      </c>
      <c r="AO600" s="121" t="str">
        <f>IF('Cable Info'!N304="","",CONCATENATE('Cable Info'!N304," - ",'Cable Info'!O304))</f>
        <v>303 - AW</v>
      </c>
      <c r="AR600" s="121" t="str">
        <f t="shared" si="138"/>
        <v>303 - AW</v>
      </c>
      <c r="AT600" s="121" t="e">
        <f>IF('Cable Info'!P304="","",CONCATENATE('Cable Info'!P304," - ",'Cable Info'!Q304))</f>
        <v>#N/A</v>
      </c>
      <c r="AW600" s="121" t="e">
        <f t="shared" si="139"/>
        <v>#N/A</v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str">
        <f>IF('Cable Info'!L305="","",CONCATENATE('Cable Info'!L305," - ",'Cable Info'!M305))</f>
        <v>304 - AW</v>
      </c>
      <c r="AM601" s="121" t="str">
        <f t="shared" si="137"/>
        <v>304 - AW</v>
      </c>
      <c r="AO601" s="121" t="str">
        <f>IF('Cable Info'!N305="","",CONCATENATE('Cable Info'!N305," - ",'Cable Info'!O305))</f>
        <v>304 - AW</v>
      </c>
      <c r="AR601" s="121" t="str">
        <f t="shared" si="138"/>
        <v>304 - AW</v>
      </c>
      <c r="AT601" s="121" t="e">
        <f>IF('Cable Info'!P305="","",CONCATENATE('Cable Info'!P305," - ",'Cable Info'!Q305))</f>
        <v>#N/A</v>
      </c>
      <c r="AW601" s="121" t="e">
        <f t="shared" si="139"/>
        <v>#N/A</v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str">
        <f>IF('Cable Info'!L306="","",CONCATENATE('Cable Info'!L306," - ",'Cable Info'!M306))</f>
        <v>305 - AW</v>
      </c>
      <c r="AM602" s="121" t="str">
        <f t="shared" si="137"/>
        <v>305 - AW</v>
      </c>
      <c r="AO602" s="121" t="str">
        <f>IF('Cable Info'!N306="","",CONCATENATE('Cable Info'!N306," - ",'Cable Info'!O306))</f>
        <v>305 - AW</v>
      </c>
      <c r="AR602" s="121" t="str">
        <f t="shared" si="138"/>
        <v>305 - AW</v>
      </c>
      <c r="AT602" s="121" t="e">
        <f>IF('Cable Info'!P306="","",CONCATENATE('Cable Info'!P306," - ",'Cable Info'!Q306))</f>
        <v>#N/A</v>
      </c>
      <c r="AW602" s="121" t="e">
        <f t="shared" si="139"/>
        <v>#N/A</v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str">
        <f>IF('Cable Info'!L307="","",CONCATENATE('Cable Info'!L307," - ",'Cable Info'!M307))</f>
        <v>306 - AW</v>
      </c>
      <c r="AM603" s="121" t="str">
        <f t="shared" si="137"/>
        <v>306 - AW</v>
      </c>
      <c r="AO603" s="121" t="str">
        <f>IF('Cable Info'!N307="","",CONCATENATE('Cable Info'!N307," - ",'Cable Info'!O307))</f>
        <v>306 - AW</v>
      </c>
      <c r="AR603" s="121" t="str">
        <f t="shared" si="138"/>
        <v>306 - AW</v>
      </c>
      <c r="AT603" s="121" t="e">
        <f>IF('Cable Info'!P307="","",CONCATENATE('Cable Info'!P307," - ",'Cable Info'!Q307))</f>
        <v>#N/A</v>
      </c>
      <c r="AW603" s="121" t="e">
        <f t="shared" si="139"/>
        <v>#N/A</v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str">
        <f>IF('Cable Info'!L308="","",CONCATENATE('Cable Info'!L308," - ",'Cable Info'!M308))</f>
        <v>307 - AW</v>
      </c>
      <c r="AM604" s="121" t="str">
        <f t="shared" si="137"/>
        <v>307 - AW</v>
      </c>
      <c r="AO604" s="121" t="str">
        <f>IF('Cable Info'!N308="","",CONCATENATE('Cable Info'!N308," - ",'Cable Info'!O308))</f>
        <v>307 - AW</v>
      </c>
      <c r="AR604" s="121" t="str">
        <f t="shared" si="138"/>
        <v>307 - AW</v>
      </c>
      <c r="AT604" s="121" t="e">
        <f>IF('Cable Info'!P308="","",CONCATENATE('Cable Info'!P308," - ",'Cable Info'!Q308))</f>
        <v>#N/A</v>
      </c>
      <c r="AW604" s="121" t="e">
        <f t="shared" si="139"/>
        <v>#N/A</v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str">
        <f>IF('Cable Info'!L309="","",CONCATENATE('Cable Info'!L309," - ",'Cable Info'!M309))</f>
        <v>308 - AW</v>
      </c>
      <c r="AM605" s="121" t="str">
        <f t="shared" si="137"/>
        <v>308 - AW</v>
      </c>
      <c r="AO605" s="121" t="str">
        <f>IF('Cable Info'!N309="","",CONCATENATE('Cable Info'!N309," - ",'Cable Info'!O309))</f>
        <v>308 - AW</v>
      </c>
      <c r="AR605" s="121" t="str">
        <f t="shared" si="138"/>
        <v>308 - AW</v>
      </c>
      <c r="AT605" s="121" t="e">
        <f>IF('Cable Info'!P309="","",CONCATENATE('Cable Info'!P309," - ",'Cable Info'!Q309))</f>
        <v>#N/A</v>
      </c>
      <c r="AW605" s="121" t="e">
        <f t="shared" si="139"/>
        <v>#N/A</v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str">
        <f>IF('Cable Info'!L310="","",CONCATENATE('Cable Info'!L310," - ",'Cable Info'!M310))</f>
        <v>309 - AW</v>
      </c>
      <c r="AM606" s="121" t="str">
        <f t="shared" si="137"/>
        <v>309 - AW</v>
      </c>
      <c r="AO606" s="121" t="str">
        <f>IF('Cable Info'!N310="","",CONCATENATE('Cable Info'!N310," - ",'Cable Info'!O310))</f>
        <v>309 - AW</v>
      </c>
      <c r="AR606" s="121" t="str">
        <f t="shared" si="138"/>
        <v>309 - AW</v>
      </c>
      <c r="AT606" s="121" t="e">
        <f>IF('Cable Info'!P310="","",CONCATENATE('Cable Info'!P310," - ",'Cable Info'!Q310))</f>
        <v>#N/A</v>
      </c>
      <c r="AW606" s="121" t="e">
        <f t="shared" si="139"/>
        <v>#N/A</v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str">
        <f>IF('Cable Info'!L311="","",CONCATENATE('Cable Info'!L311," - ",'Cable Info'!M311))</f>
        <v>310 - AW</v>
      </c>
      <c r="AM607" s="121" t="str">
        <f t="shared" si="137"/>
        <v>310 - AW</v>
      </c>
      <c r="AO607" s="121" t="str">
        <f>IF('Cable Info'!N311="","",CONCATENATE('Cable Info'!N311," - ",'Cable Info'!O311))</f>
        <v>310 - AW</v>
      </c>
      <c r="AR607" s="121" t="str">
        <f t="shared" si="138"/>
        <v>310 - AW</v>
      </c>
      <c r="AT607" s="121" t="e">
        <f>IF('Cable Info'!P311="","",CONCATENATE('Cable Info'!P311," - ",'Cable Info'!Q311))</f>
        <v>#N/A</v>
      </c>
      <c r="AW607" s="121" t="e">
        <f t="shared" si="139"/>
        <v>#N/A</v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str">
        <f>IF('Cable Info'!L312="","",CONCATENATE('Cable Info'!L312," - ",'Cable Info'!M312))</f>
        <v>311 - AW</v>
      </c>
      <c r="AM608" s="121" t="str">
        <f t="shared" si="137"/>
        <v>311 - AW</v>
      </c>
      <c r="AO608" s="121" t="str">
        <f>IF('Cable Info'!N312="","",CONCATENATE('Cable Info'!N312," - ",'Cable Info'!O312))</f>
        <v>311 - AW</v>
      </c>
      <c r="AR608" s="121" t="str">
        <f t="shared" si="138"/>
        <v>311 - AW</v>
      </c>
      <c r="AT608" s="121" t="e">
        <f>IF('Cable Info'!P312="","",CONCATENATE('Cable Info'!P312," - ",'Cable Info'!Q312))</f>
        <v>#N/A</v>
      </c>
      <c r="AW608" s="121" t="e">
        <f t="shared" si="139"/>
        <v>#N/A</v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str">
        <f>IF('Cable Info'!L313="","",CONCATENATE('Cable Info'!L313," - ",'Cable Info'!M313))</f>
        <v>312 - AW</v>
      </c>
      <c r="AM609" s="121" t="str">
        <f t="shared" si="137"/>
        <v>312 - AW</v>
      </c>
      <c r="AO609" s="121" t="str">
        <f>IF('Cable Info'!N313="","",CONCATENATE('Cable Info'!N313," - ",'Cable Info'!O313))</f>
        <v>312 - AW</v>
      </c>
      <c r="AR609" s="121" t="str">
        <f t="shared" si="138"/>
        <v>312 - AW</v>
      </c>
      <c r="AT609" s="121" t="e">
        <f>IF('Cable Info'!P313="","",CONCATENATE('Cable Info'!P313," - ",'Cable Info'!Q313))</f>
        <v>#N/A</v>
      </c>
      <c r="AW609" s="121" t="e">
        <f t="shared" si="139"/>
        <v>#N/A</v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str">
        <f>IF('Cable Info'!L314="","",CONCATENATE('Cable Info'!L314," - ",'Cable Info'!M314))</f>
        <v>313 - AW</v>
      </c>
      <c r="AM610" s="121" t="str">
        <f t="shared" si="137"/>
        <v>313 - AW</v>
      </c>
      <c r="AO610" s="121" t="str">
        <f>IF('Cable Info'!N314="","",CONCATENATE('Cable Info'!N314," - ",'Cable Info'!O314))</f>
        <v>313 - AW</v>
      </c>
      <c r="AR610" s="121" t="str">
        <f t="shared" si="138"/>
        <v>313 - AW</v>
      </c>
      <c r="AT610" s="121" t="e">
        <f>IF('Cable Info'!P314="","",CONCATENATE('Cable Info'!P314," - ",'Cable Info'!Q314))</f>
        <v>#N/A</v>
      </c>
      <c r="AW610" s="121" t="e">
        <f t="shared" si="139"/>
        <v>#N/A</v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str">
        <f>IF('Cable Info'!L315="","",CONCATENATE('Cable Info'!L315," - ",'Cable Info'!M315))</f>
        <v>314 - AW</v>
      </c>
      <c r="AM611" s="121" t="str">
        <f t="shared" si="137"/>
        <v>314 - AW</v>
      </c>
      <c r="AO611" s="121" t="str">
        <f>IF('Cable Info'!N315="","",CONCATENATE('Cable Info'!N315," - ",'Cable Info'!O315))</f>
        <v>314 - AW</v>
      </c>
      <c r="AR611" s="121" t="str">
        <f t="shared" si="138"/>
        <v>314 - AW</v>
      </c>
      <c r="AT611" s="121" t="e">
        <f>IF('Cable Info'!P315="","",CONCATENATE('Cable Info'!P315," - ",'Cable Info'!Q315))</f>
        <v>#N/A</v>
      </c>
      <c r="AW611" s="121" t="e">
        <f t="shared" si="139"/>
        <v>#N/A</v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str">
        <f>IF('Cable Info'!L316="","",CONCATENATE('Cable Info'!L316," - ",'Cable Info'!M316))</f>
        <v>315 - AW</v>
      </c>
      <c r="AM612" s="121" t="str">
        <f t="shared" si="137"/>
        <v>315 - AW</v>
      </c>
      <c r="AO612" s="121" t="str">
        <f>IF('Cable Info'!N316="","",CONCATENATE('Cable Info'!N316," - ",'Cable Info'!O316))</f>
        <v>315 - AW</v>
      </c>
      <c r="AR612" s="121" t="str">
        <f t="shared" si="138"/>
        <v>315 - AW</v>
      </c>
      <c r="AT612" s="121" t="e">
        <f>IF('Cable Info'!P316="","",CONCATENATE('Cable Info'!P316," - ",'Cable Info'!Q316))</f>
        <v>#N/A</v>
      </c>
      <c r="AW612" s="121" t="e">
        <f t="shared" si="139"/>
        <v>#N/A</v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str">
        <f>IF('Cable Info'!L317="","",CONCATENATE('Cable Info'!L317," - ",'Cable Info'!M317))</f>
        <v>316 - AW</v>
      </c>
      <c r="AM613" s="121" t="str">
        <f t="shared" si="137"/>
        <v>316 - AW</v>
      </c>
      <c r="AO613" s="121" t="str">
        <f>IF('Cable Info'!N317="","",CONCATENATE('Cable Info'!N317," - ",'Cable Info'!O317))</f>
        <v>316 - AW</v>
      </c>
      <c r="AR613" s="121" t="str">
        <f t="shared" si="138"/>
        <v>316 - AW</v>
      </c>
      <c r="AT613" s="121" t="e">
        <f>IF('Cable Info'!P317="","",CONCATENATE('Cable Info'!P317," - ",'Cable Info'!Q317))</f>
        <v>#N/A</v>
      </c>
      <c r="AW613" s="121" t="e">
        <f t="shared" si="139"/>
        <v>#N/A</v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str">
        <f>IF('Cable Info'!L318="","",CONCATENATE('Cable Info'!L318," - ",'Cable Info'!M318))</f>
        <v>317 - AW</v>
      </c>
      <c r="AM614" s="121" t="str">
        <f t="shared" si="137"/>
        <v>317 - AW</v>
      </c>
      <c r="AO614" s="121" t="str">
        <f>IF('Cable Info'!N318="","",CONCATENATE('Cable Info'!N318," - ",'Cable Info'!O318))</f>
        <v>317 - AW</v>
      </c>
      <c r="AR614" s="121" t="str">
        <f t="shared" si="138"/>
        <v>317 - AW</v>
      </c>
      <c r="AT614" s="121" t="e">
        <f>IF('Cable Info'!P318="","",CONCATENATE('Cable Info'!P318," - ",'Cable Info'!Q318))</f>
        <v>#N/A</v>
      </c>
      <c r="AW614" s="121" t="e">
        <f t="shared" si="139"/>
        <v>#N/A</v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str">
        <f>IF('Cable Info'!L319="","",CONCATENATE('Cable Info'!L319," - ",'Cable Info'!M319))</f>
        <v>318 - AW</v>
      </c>
      <c r="AM615" s="121" t="str">
        <f t="shared" si="137"/>
        <v>318 - AW</v>
      </c>
      <c r="AO615" s="121" t="str">
        <f>IF('Cable Info'!N319="","",CONCATENATE('Cable Info'!N319," - ",'Cable Info'!O319))</f>
        <v>318 - AW</v>
      </c>
      <c r="AR615" s="121" t="str">
        <f t="shared" si="138"/>
        <v>318 - AW</v>
      </c>
      <c r="AT615" s="121" t="e">
        <f>IF('Cable Info'!P319="","",CONCATENATE('Cable Info'!P319," - ",'Cable Info'!Q319))</f>
        <v>#N/A</v>
      </c>
      <c r="AW615" s="121" t="e">
        <f t="shared" si="139"/>
        <v>#N/A</v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str">
        <f>IF('Cable Info'!L320="","",CONCATENATE('Cable Info'!L320," - ",'Cable Info'!M320))</f>
        <v>319 - AW</v>
      </c>
      <c r="AM616" s="121" t="str">
        <f t="shared" si="137"/>
        <v>319 - AW</v>
      </c>
      <c r="AO616" s="121" t="str">
        <f>IF('Cable Info'!N320="","",CONCATENATE('Cable Info'!N320," - ",'Cable Info'!O320))</f>
        <v>319 - AW</v>
      </c>
      <c r="AR616" s="121" t="str">
        <f t="shared" si="138"/>
        <v>319 - AW</v>
      </c>
      <c r="AT616" s="121" t="e">
        <f>IF('Cable Info'!P320="","",CONCATENATE('Cable Info'!P320," - ",'Cable Info'!Q320))</f>
        <v>#N/A</v>
      </c>
      <c r="AW616" s="121" t="e">
        <f t="shared" si="139"/>
        <v>#N/A</v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str">
        <f>IF('Cable Info'!L321="","",CONCATENATE('Cable Info'!L321," - ",'Cable Info'!M321))</f>
        <v>320 - AW</v>
      </c>
      <c r="AM617" s="121" t="str">
        <f t="shared" si="137"/>
        <v>320 - AW</v>
      </c>
      <c r="AO617" s="121" t="str">
        <f>IF('Cable Info'!N321="","",CONCATENATE('Cable Info'!N321," - ",'Cable Info'!O321))</f>
        <v>320 - AW</v>
      </c>
      <c r="AR617" s="121" t="str">
        <f t="shared" si="138"/>
        <v>320 - AW</v>
      </c>
      <c r="AT617" s="121" t="e">
        <f>IF('Cable Info'!P321="","",CONCATENATE('Cable Info'!P321," - ",'Cable Info'!Q321))</f>
        <v>#N/A</v>
      </c>
      <c r="AW617" s="121" t="e">
        <f t="shared" si="139"/>
        <v>#N/A</v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str">
        <f>IF('Cable Info'!L322="","",CONCATENATE('Cable Info'!L322," - ",'Cable Info'!M322))</f>
        <v>321 - AW</v>
      </c>
      <c r="AM618" s="121" t="str">
        <f t="shared" si="137"/>
        <v>321 - AW</v>
      </c>
      <c r="AO618" s="121" t="str">
        <f>IF('Cable Info'!N322="","",CONCATENATE('Cable Info'!N322," - ",'Cable Info'!O322))</f>
        <v>321 - AW</v>
      </c>
      <c r="AR618" s="121" t="str">
        <f t="shared" si="138"/>
        <v>321 - AW</v>
      </c>
      <c r="AT618" s="121" t="e">
        <f>IF('Cable Info'!P322="","",CONCATENATE('Cable Info'!P322," - ",'Cable Info'!Q322))</f>
        <v>#N/A</v>
      </c>
      <c r="AW618" s="121" t="e">
        <f t="shared" si="139"/>
        <v>#N/A</v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str">
        <f>IF('Cable Info'!L323="","",CONCATENATE('Cable Info'!L323," - ",'Cable Info'!M323))</f>
        <v>322 - AW</v>
      </c>
      <c r="AM619" s="121" t="str">
        <f t="shared" ref="AM619:AM682" si="143">IF(AK619="",AJ619,CONCATENATE(AJ619,"  &lt;=&gt; ",AK619," ",AL619))</f>
        <v>322 - AW</v>
      </c>
      <c r="AO619" s="121" t="str">
        <f>IF('Cable Info'!N323="","",CONCATENATE('Cable Info'!N323," - ",'Cable Info'!O323))</f>
        <v>322 - AW</v>
      </c>
      <c r="AR619" s="121" t="str">
        <f t="shared" ref="AR619:AR682" si="144">IF(AP619="",AO619,CONCATENATE(AO619,"  &lt;=&gt; ",AP619," ",AQ619))</f>
        <v>322 - AW</v>
      </c>
      <c r="AT619" s="121" t="e">
        <f>IF('Cable Info'!P323="","",CONCATENATE('Cable Info'!P323," - ",'Cable Info'!Q323))</f>
        <v>#N/A</v>
      </c>
      <c r="AW619" s="121" t="e">
        <f t="shared" ref="AW619:AW682" si="145">IF(AU619="",AT619,CONCATENATE(AT619,"  &lt;=&gt; ",AU619," ",AV619))</f>
        <v>#N/A</v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str">
        <f>IF('Cable Info'!L324="","",CONCATENATE('Cable Info'!L324," - ",'Cable Info'!M324))</f>
        <v>323 - AW</v>
      </c>
      <c r="AM620" s="121" t="str">
        <f t="shared" si="143"/>
        <v>323 - AW</v>
      </c>
      <c r="AO620" s="121" t="str">
        <f>IF('Cable Info'!N324="","",CONCATENATE('Cable Info'!N324," - ",'Cable Info'!O324))</f>
        <v>323 - AW</v>
      </c>
      <c r="AR620" s="121" t="str">
        <f t="shared" si="144"/>
        <v>323 - AW</v>
      </c>
      <c r="AT620" s="121" t="e">
        <f>IF('Cable Info'!P324="","",CONCATENATE('Cable Info'!P324," - ",'Cable Info'!Q324))</f>
        <v>#N/A</v>
      </c>
      <c r="AW620" s="121" t="e">
        <f t="shared" si="145"/>
        <v>#N/A</v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str">
        <f>IF('Cable Info'!L325="","",CONCATENATE('Cable Info'!L325," - ",'Cable Info'!M325))</f>
        <v>324 - AW</v>
      </c>
      <c r="AM621" s="121" t="str">
        <f t="shared" si="143"/>
        <v>324 - AW</v>
      </c>
      <c r="AO621" s="121" t="str">
        <f>IF('Cable Info'!N325="","",CONCATENATE('Cable Info'!N325," - ",'Cable Info'!O325))</f>
        <v>324 - AW</v>
      </c>
      <c r="AR621" s="121" t="str">
        <f t="shared" si="144"/>
        <v>324 - AW</v>
      </c>
      <c r="AT621" s="121" t="e">
        <f>IF('Cable Info'!P325="","",CONCATENATE('Cable Info'!P325," - ",'Cable Info'!Q325))</f>
        <v>#N/A</v>
      </c>
      <c r="AW621" s="121" t="e">
        <f t="shared" si="145"/>
        <v>#N/A</v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str">
        <f>IF('Cable Info'!L326="","",CONCATENATE('Cable Info'!L326," - ",'Cable Info'!M326))</f>
        <v>325 - AW</v>
      </c>
      <c r="AM622" s="121" t="str">
        <f t="shared" si="143"/>
        <v>325 - AW</v>
      </c>
      <c r="AO622" s="121" t="str">
        <f>IF('Cable Info'!N326="","",CONCATENATE('Cable Info'!N326," - ",'Cable Info'!O326))</f>
        <v>325 - AW</v>
      </c>
      <c r="AR622" s="121" t="str">
        <f t="shared" si="144"/>
        <v>325 - AW</v>
      </c>
      <c r="AT622" s="121" t="e">
        <f>IF('Cable Info'!P326="","",CONCATENATE('Cable Info'!P326," - ",'Cable Info'!Q326))</f>
        <v>#N/A</v>
      </c>
      <c r="AW622" s="121" t="e">
        <f t="shared" si="145"/>
        <v>#N/A</v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str">
        <f>IF('Cable Info'!L327="","",CONCATENATE('Cable Info'!L327," - ",'Cable Info'!M327))</f>
        <v>326 - AW</v>
      </c>
      <c r="AM623" s="121" t="str">
        <f t="shared" si="143"/>
        <v>326 - AW</v>
      </c>
      <c r="AO623" s="121" t="str">
        <f>IF('Cable Info'!N327="","",CONCATENATE('Cable Info'!N327," - ",'Cable Info'!O327))</f>
        <v>326 - AW</v>
      </c>
      <c r="AR623" s="121" t="str">
        <f t="shared" si="144"/>
        <v>326 - AW</v>
      </c>
      <c r="AT623" s="121" t="e">
        <f>IF('Cable Info'!P327="","",CONCATENATE('Cable Info'!P327," - ",'Cable Info'!Q327))</f>
        <v>#N/A</v>
      </c>
      <c r="AW623" s="121" t="e">
        <f t="shared" si="145"/>
        <v>#N/A</v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str">
        <f>IF('Cable Info'!L328="","",CONCATENATE('Cable Info'!L328," - ",'Cable Info'!M328))</f>
        <v>327 - AW</v>
      </c>
      <c r="AM624" s="121" t="str">
        <f t="shared" si="143"/>
        <v>327 - AW</v>
      </c>
      <c r="AO624" s="121" t="str">
        <f>IF('Cable Info'!N328="","",CONCATENATE('Cable Info'!N328," - ",'Cable Info'!O328))</f>
        <v>327 - AW</v>
      </c>
      <c r="AR624" s="121" t="str">
        <f t="shared" si="144"/>
        <v>327 - AW</v>
      </c>
      <c r="AT624" s="121" t="e">
        <f>IF('Cable Info'!P328="","",CONCATENATE('Cable Info'!P328," - ",'Cable Info'!Q328))</f>
        <v>#N/A</v>
      </c>
      <c r="AW624" s="121" t="e">
        <f t="shared" si="145"/>
        <v>#N/A</v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str">
        <f>IF('Cable Info'!L329="","",CONCATENATE('Cable Info'!L329," - ",'Cable Info'!M329))</f>
        <v>328 - AW</v>
      </c>
      <c r="AM625" s="121" t="str">
        <f t="shared" si="143"/>
        <v>328 - AW</v>
      </c>
      <c r="AO625" s="121" t="str">
        <f>IF('Cable Info'!N329="","",CONCATENATE('Cable Info'!N329," - ",'Cable Info'!O329))</f>
        <v>328 - AW</v>
      </c>
      <c r="AR625" s="121" t="str">
        <f t="shared" si="144"/>
        <v>328 - AW</v>
      </c>
      <c r="AT625" s="121" t="e">
        <f>IF('Cable Info'!P329="","",CONCATENATE('Cable Info'!P329," - ",'Cable Info'!Q329))</f>
        <v>#N/A</v>
      </c>
      <c r="AW625" s="121" t="e">
        <f t="shared" si="145"/>
        <v>#N/A</v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str">
        <f>IF('Cable Info'!L330="","",CONCATENATE('Cable Info'!L330," - ",'Cable Info'!M330))</f>
        <v>329 - AW</v>
      </c>
      <c r="AM626" s="121" t="str">
        <f t="shared" si="143"/>
        <v>329 - AW</v>
      </c>
      <c r="AO626" s="121" t="str">
        <f>IF('Cable Info'!N330="","",CONCATENATE('Cable Info'!N330," - ",'Cable Info'!O330))</f>
        <v>329 - AW</v>
      </c>
      <c r="AR626" s="121" t="str">
        <f t="shared" si="144"/>
        <v>329 - AW</v>
      </c>
      <c r="AT626" s="121" t="e">
        <f>IF('Cable Info'!P330="","",CONCATENATE('Cable Info'!P330," - ",'Cable Info'!Q330))</f>
        <v>#N/A</v>
      </c>
      <c r="AW626" s="121" t="e">
        <f t="shared" si="145"/>
        <v>#N/A</v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str">
        <f>IF('Cable Info'!L331="","",CONCATENATE('Cable Info'!L331," - ",'Cable Info'!M331))</f>
        <v>330 - AW</v>
      </c>
      <c r="AM627" s="121" t="str">
        <f t="shared" si="143"/>
        <v>330 - AW</v>
      </c>
      <c r="AO627" s="121" t="str">
        <f>IF('Cable Info'!N331="","",CONCATENATE('Cable Info'!N331," - ",'Cable Info'!O331))</f>
        <v>330 - AW</v>
      </c>
      <c r="AR627" s="121" t="str">
        <f t="shared" si="144"/>
        <v>330 - AW</v>
      </c>
      <c r="AT627" s="121" t="e">
        <f>IF('Cable Info'!P331="","",CONCATENATE('Cable Info'!P331," - ",'Cable Info'!Q331))</f>
        <v>#N/A</v>
      </c>
      <c r="AW627" s="121" t="e">
        <f t="shared" si="145"/>
        <v>#N/A</v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str">
        <f>IF('Cable Info'!L332="","",CONCATENATE('Cable Info'!L332," - ",'Cable Info'!M332))</f>
        <v>331 - AW</v>
      </c>
      <c r="AM628" s="121" t="str">
        <f t="shared" si="143"/>
        <v>331 - AW</v>
      </c>
      <c r="AO628" s="121" t="str">
        <f>IF('Cable Info'!N332="","",CONCATENATE('Cable Info'!N332," - ",'Cable Info'!O332))</f>
        <v>331 - AW</v>
      </c>
      <c r="AR628" s="121" t="str">
        <f t="shared" si="144"/>
        <v>331 - AW</v>
      </c>
      <c r="AT628" s="121" t="e">
        <f>IF('Cable Info'!P332="","",CONCATENATE('Cable Info'!P332," - ",'Cable Info'!Q332))</f>
        <v>#N/A</v>
      </c>
      <c r="AW628" s="121" t="e">
        <f t="shared" si="145"/>
        <v>#N/A</v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str">
        <f>IF('Cable Info'!L333="","",CONCATENATE('Cable Info'!L333," - ",'Cable Info'!M333))</f>
        <v>332 - AW</v>
      </c>
      <c r="AM629" s="121" t="str">
        <f t="shared" si="143"/>
        <v>332 - AW</v>
      </c>
      <c r="AO629" s="121" t="str">
        <f>IF('Cable Info'!N333="","",CONCATENATE('Cable Info'!N333," - ",'Cable Info'!O333))</f>
        <v>332 - AW</v>
      </c>
      <c r="AR629" s="121" t="str">
        <f t="shared" si="144"/>
        <v>332 - AW</v>
      </c>
      <c r="AT629" s="121" t="e">
        <f>IF('Cable Info'!P333="","",CONCATENATE('Cable Info'!P333," - ",'Cable Info'!Q333))</f>
        <v>#N/A</v>
      </c>
      <c r="AW629" s="121" t="e">
        <f t="shared" si="145"/>
        <v>#N/A</v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str">
        <f>IF('Cable Info'!L334="","",CONCATENATE('Cable Info'!L334," - ",'Cable Info'!M334))</f>
        <v>333 - AW</v>
      </c>
      <c r="AM630" s="121" t="str">
        <f t="shared" si="143"/>
        <v>333 - AW</v>
      </c>
      <c r="AO630" s="121" t="str">
        <f>IF('Cable Info'!N334="","",CONCATENATE('Cable Info'!N334," - ",'Cable Info'!O334))</f>
        <v>333 - AW</v>
      </c>
      <c r="AR630" s="121" t="str">
        <f t="shared" si="144"/>
        <v>333 - AW</v>
      </c>
      <c r="AT630" s="121" t="e">
        <f>IF('Cable Info'!P334="","",CONCATENATE('Cable Info'!P334," - ",'Cable Info'!Q334))</f>
        <v>#N/A</v>
      </c>
      <c r="AW630" s="121" t="e">
        <f t="shared" si="145"/>
        <v>#N/A</v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str">
        <f>IF('Cable Info'!L335="","",CONCATENATE('Cable Info'!L335," - ",'Cable Info'!M335))</f>
        <v>334 - AW</v>
      </c>
      <c r="AM631" s="121" t="str">
        <f t="shared" si="143"/>
        <v>334 - AW</v>
      </c>
      <c r="AO631" s="121" t="str">
        <f>IF('Cable Info'!N335="","",CONCATENATE('Cable Info'!N335," - ",'Cable Info'!O335))</f>
        <v>334 - AW</v>
      </c>
      <c r="AR631" s="121" t="str">
        <f t="shared" si="144"/>
        <v>334 - AW</v>
      </c>
      <c r="AT631" s="121" t="e">
        <f>IF('Cable Info'!P335="","",CONCATENATE('Cable Info'!P335," - ",'Cable Info'!Q335))</f>
        <v>#N/A</v>
      </c>
      <c r="AW631" s="121" t="e">
        <f t="shared" si="145"/>
        <v>#N/A</v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str">
        <f>IF('Cable Info'!L336="","",CONCATENATE('Cable Info'!L336," - ",'Cable Info'!M336))</f>
        <v>335 - AW</v>
      </c>
      <c r="AM632" s="121" t="str">
        <f t="shared" si="143"/>
        <v>335 - AW</v>
      </c>
      <c r="AO632" s="121" t="str">
        <f>IF('Cable Info'!N336="","",CONCATENATE('Cable Info'!N336," - ",'Cable Info'!O336))</f>
        <v>335 - AW</v>
      </c>
      <c r="AR632" s="121" t="str">
        <f t="shared" si="144"/>
        <v>335 - AW</v>
      </c>
      <c r="AT632" s="121" t="e">
        <f>IF('Cable Info'!P336="","",CONCATENATE('Cable Info'!P336," - ",'Cable Info'!Q336))</f>
        <v>#N/A</v>
      </c>
      <c r="AW632" s="121" t="e">
        <f t="shared" si="145"/>
        <v>#N/A</v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str">
        <f>IF('Cable Info'!L337="","",CONCATENATE('Cable Info'!L337," - ",'Cable Info'!M337))</f>
        <v>336 - AW</v>
      </c>
      <c r="AM633" s="121" t="str">
        <f t="shared" si="143"/>
        <v>336 - AW</v>
      </c>
      <c r="AO633" s="121" t="str">
        <f>IF('Cable Info'!N337="","",CONCATENATE('Cable Info'!N337," - ",'Cable Info'!O337))</f>
        <v>336 - AW</v>
      </c>
      <c r="AR633" s="121" t="str">
        <f t="shared" si="144"/>
        <v>336 - AW</v>
      </c>
      <c r="AT633" s="121" t="e">
        <f>IF('Cable Info'!P337="","",CONCATENATE('Cable Info'!P337," - ",'Cable Info'!Q337))</f>
        <v>#N/A</v>
      </c>
      <c r="AW633" s="121" t="e">
        <f t="shared" si="145"/>
        <v>#N/A</v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str">
        <f>IF('Cable Info'!L338="","",CONCATENATE('Cable Info'!L338," - ",'Cable Info'!M338))</f>
        <v>337 - AW</v>
      </c>
      <c r="AM634" s="121" t="str">
        <f t="shared" si="143"/>
        <v>337 - AW</v>
      </c>
      <c r="AO634" s="121" t="str">
        <f>IF('Cable Info'!N338="","",CONCATENATE('Cable Info'!N338," - ",'Cable Info'!O338))</f>
        <v>337 - AW</v>
      </c>
      <c r="AR634" s="121" t="str">
        <f t="shared" si="144"/>
        <v>337 - AW</v>
      </c>
      <c r="AT634" s="121" t="e">
        <f>IF('Cable Info'!P338="","",CONCATENATE('Cable Info'!P338," - ",'Cable Info'!Q338))</f>
        <v>#N/A</v>
      </c>
      <c r="AW634" s="121" t="e">
        <f t="shared" si="145"/>
        <v>#N/A</v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str">
        <f>IF('Cable Info'!L339="","",CONCATENATE('Cable Info'!L339," - ",'Cable Info'!M339))</f>
        <v>338 - AW</v>
      </c>
      <c r="AM635" s="121" t="str">
        <f t="shared" si="143"/>
        <v>338 - AW</v>
      </c>
      <c r="AO635" s="121" t="str">
        <f>IF('Cable Info'!N339="","",CONCATENATE('Cable Info'!N339," - ",'Cable Info'!O339))</f>
        <v>338 - AW</v>
      </c>
      <c r="AR635" s="121" t="str">
        <f t="shared" si="144"/>
        <v>338 - AW</v>
      </c>
      <c r="AT635" s="121" t="e">
        <f>IF('Cable Info'!P339="","",CONCATENATE('Cable Info'!P339," - ",'Cable Info'!Q339))</f>
        <v>#N/A</v>
      </c>
      <c r="AW635" s="121" t="e">
        <f t="shared" si="145"/>
        <v>#N/A</v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str">
        <f>IF('Cable Info'!L340="","",CONCATENATE('Cable Info'!L340," - ",'Cable Info'!M340))</f>
        <v>339 - AW</v>
      </c>
      <c r="AM636" s="121" t="str">
        <f t="shared" si="143"/>
        <v>339 - AW</v>
      </c>
      <c r="AO636" s="121" t="str">
        <f>IF('Cable Info'!N340="","",CONCATENATE('Cable Info'!N340," - ",'Cable Info'!O340))</f>
        <v>339 - AW</v>
      </c>
      <c r="AR636" s="121" t="str">
        <f t="shared" si="144"/>
        <v>339 - AW</v>
      </c>
      <c r="AT636" s="121" t="e">
        <f>IF('Cable Info'!P340="","",CONCATENATE('Cable Info'!P340," - ",'Cable Info'!Q340))</f>
        <v>#N/A</v>
      </c>
      <c r="AW636" s="121" t="e">
        <f t="shared" si="145"/>
        <v>#N/A</v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str">
        <f>IF('Cable Info'!L341="","",CONCATENATE('Cable Info'!L341," - ",'Cable Info'!M341))</f>
        <v>340 - AW</v>
      </c>
      <c r="AM637" s="121" t="str">
        <f t="shared" si="143"/>
        <v>340 - AW</v>
      </c>
      <c r="AO637" s="121" t="str">
        <f>IF('Cable Info'!N341="","",CONCATENATE('Cable Info'!N341," - ",'Cable Info'!O341))</f>
        <v>340 - AW</v>
      </c>
      <c r="AR637" s="121" t="str">
        <f t="shared" si="144"/>
        <v>340 - AW</v>
      </c>
      <c r="AT637" s="121" t="e">
        <f>IF('Cable Info'!P341="","",CONCATENATE('Cable Info'!P341," - ",'Cable Info'!Q341))</f>
        <v>#N/A</v>
      </c>
      <c r="AW637" s="121" t="e">
        <f t="shared" si="145"/>
        <v>#N/A</v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str">
        <f>IF('Cable Info'!L342="","",CONCATENATE('Cable Info'!L342," - ",'Cable Info'!M342))</f>
        <v>341 - AW</v>
      </c>
      <c r="AM638" s="121" t="str">
        <f t="shared" si="143"/>
        <v>341 - AW</v>
      </c>
      <c r="AO638" s="121" t="str">
        <f>IF('Cable Info'!N342="","",CONCATENATE('Cable Info'!N342," - ",'Cable Info'!O342))</f>
        <v>341 - AW</v>
      </c>
      <c r="AR638" s="121" t="str">
        <f t="shared" si="144"/>
        <v>341 - AW</v>
      </c>
      <c r="AT638" s="121" t="e">
        <f>IF('Cable Info'!P342="","",CONCATENATE('Cable Info'!P342," - ",'Cable Info'!Q342))</f>
        <v>#N/A</v>
      </c>
      <c r="AW638" s="121" t="e">
        <f t="shared" si="145"/>
        <v>#N/A</v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str">
        <f>IF('Cable Info'!L343="","",CONCATENATE('Cable Info'!L343," - ",'Cable Info'!M343))</f>
        <v>342 - AW</v>
      </c>
      <c r="AM639" s="121" t="str">
        <f t="shared" si="143"/>
        <v>342 - AW</v>
      </c>
      <c r="AO639" s="121" t="str">
        <f>IF('Cable Info'!N343="","",CONCATENATE('Cable Info'!N343," - ",'Cable Info'!O343))</f>
        <v>342 - AW</v>
      </c>
      <c r="AR639" s="121" t="str">
        <f t="shared" si="144"/>
        <v>342 - AW</v>
      </c>
      <c r="AT639" s="121" t="e">
        <f>IF('Cable Info'!P343="","",CONCATENATE('Cable Info'!P343," - ",'Cable Info'!Q343))</f>
        <v>#N/A</v>
      </c>
      <c r="AW639" s="121" t="e">
        <f t="shared" si="145"/>
        <v>#N/A</v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str">
        <f>IF('Cable Info'!L344="","",CONCATENATE('Cable Info'!L344," - ",'Cable Info'!M344))</f>
        <v>343 - AW</v>
      </c>
      <c r="AM640" s="121" t="str">
        <f t="shared" si="143"/>
        <v>343 - AW</v>
      </c>
      <c r="AO640" s="121" t="str">
        <f>IF('Cable Info'!N344="","",CONCATENATE('Cable Info'!N344," - ",'Cable Info'!O344))</f>
        <v>343 - AW</v>
      </c>
      <c r="AR640" s="121" t="str">
        <f t="shared" si="144"/>
        <v>343 - AW</v>
      </c>
      <c r="AT640" s="121" t="e">
        <f>IF('Cable Info'!P344="","",CONCATENATE('Cable Info'!P344," - ",'Cable Info'!Q344))</f>
        <v>#N/A</v>
      </c>
      <c r="AW640" s="121" t="e">
        <f t="shared" si="145"/>
        <v>#N/A</v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str">
        <f>IF('Cable Info'!L345="","",CONCATENATE('Cable Info'!L345," - ",'Cable Info'!M345))</f>
        <v>344 - AW</v>
      </c>
      <c r="AM641" s="121" t="str">
        <f t="shared" si="143"/>
        <v>344 - AW</v>
      </c>
      <c r="AO641" s="121" t="str">
        <f>IF('Cable Info'!N345="","",CONCATENATE('Cable Info'!N345," - ",'Cable Info'!O345))</f>
        <v>344 - AW</v>
      </c>
      <c r="AR641" s="121" t="str">
        <f t="shared" si="144"/>
        <v>344 - AW</v>
      </c>
      <c r="AT641" s="121" t="e">
        <f>IF('Cable Info'!P345="","",CONCATENATE('Cable Info'!P345," - ",'Cable Info'!Q345))</f>
        <v>#N/A</v>
      </c>
      <c r="AW641" s="121" t="e">
        <f t="shared" si="145"/>
        <v>#N/A</v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str">
        <f>IF('Cable Info'!L346="","",CONCATENATE('Cable Info'!L346," - ",'Cable Info'!M346))</f>
        <v>345 - AW</v>
      </c>
      <c r="AM642" s="121" t="str">
        <f t="shared" si="143"/>
        <v>345 - AW</v>
      </c>
      <c r="AO642" s="121" t="str">
        <f>IF('Cable Info'!N346="","",CONCATENATE('Cable Info'!N346," - ",'Cable Info'!O346))</f>
        <v>345 - AW</v>
      </c>
      <c r="AR642" s="121" t="str">
        <f t="shared" si="144"/>
        <v>345 - AW</v>
      </c>
      <c r="AT642" s="121" t="e">
        <f>IF('Cable Info'!P346="","",CONCATENATE('Cable Info'!P346," - ",'Cable Info'!Q346))</f>
        <v>#N/A</v>
      </c>
      <c r="AW642" s="121" t="e">
        <f t="shared" si="145"/>
        <v>#N/A</v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str">
        <f>IF('Cable Info'!L347="","",CONCATENATE('Cable Info'!L347," - ",'Cable Info'!M347))</f>
        <v>346 - AW</v>
      </c>
      <c r="AM643" s="121" t="str">
        <f t="shared" si="143"/>
        <v>346 - AW</v>
      </c>
      <c r="AO643" s="121" t="str">
        <f>IF('Cable Info'!N347="","",CONCATENATE('Cable Info'!N347," - ",'Cable Info'!O347))</f>
        <v>346 - AW</v>
      </c>
      <c r="AR643" s="121" t="str">
        <f t="shared" si="144"/>
        <v>346 - AW</v>
      </c>
      <c r="AT643" s="121" t="e">
        <f>IF('Cable Info'!P347="","",CONCATENATE('Cable Info'!P347," - ",'Cable Info'!Q347))</f>
        <v>#N/A</v>
      </c>
      <c r="AW643" s="121" t="e">
        <f t="shared" si="145"/>
        <v>#N/A</v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str">
        <f>IF('Cable Info'!L348="","",CONCATENATE('Cable Info'!L348," - ",'Cable Info'!M348))</f>
        <v>347 - AW</v>
      </c>
      <c r="AM644" s="121" t="str">
        <f t="shared" si="143"/>
        <v>347 - AW</v>
      </c>
      <c r="AO644" s="121" t="str">
        <f>IF('Cable Info'!N348="","",CONCATENATE('Cable Info'!N348," - ",'Cable Info'!O348))</f>
        <v>347 - AW</v>
      </c>
      <c r="AR644" s="121" t="str">
        <f t="shared" si="144"/>
        <v>347 - AW</v>
      </c>
      <c r="AT644" s="121" t="e">
        <f>IF('Cable Info'!P348="","",CONCATENATE('Cable Info'!P348," - ",'Cable Info'!Q348))</f>
        <v>#N/A</v>
      </c>
      <c r="AW644" s="121" t="e">
        <f t="shared" si="145"/>
        <v>#N/A</v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str">
        <f>IF('Cable Info'!L349="","",CONCATENATE('Cable Info'!L349," - ",'Cable Info'!M349))</f>
        <v>348 - AW</v>
      </c>
      <c r="AM645" s="121" t="str">
        <f t="shared" si="143"/>
        <v>348 - AW</v>
      </c>
      <c r="AO645" s="121" t="str">
        <f>IF('Cable Info'!N349="","",CONCATENATE('Cable Info'!N349," - ",'Cable Info'!O349))</f>
        <v>348 - AW</v>
      </c>
      <c r="AR645" s="121" t="str">
        <f t="shared" si="144"/>
        <v>348 - AW</v>
      </c>
      <c r="AT645" s="121" t="e">
        <f>IF('Cable Info'!P349="","",CONCATENATE('Cable Info'!P349," - ",'Cable Info'!Q349))</f>
        <v>#N/A</v>
      </c>
      <c r="AW645" s="121" t="e">
        <f t="shared" si="145"/>
        <v>#N/A</v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str">
        <f>IF('Cable Info'!L350="","",CONCATENATE('Cable Info'!L350," - ",'Cable Info'!M350))</f>
        <v>349 - AW</v>
      </c>
      <c r="AM646" s="121" t="str">
        <f t="shared" si="143"/>
        <v>349 - AW</v>
      </c>
      <c r="AO646" s="121" t="str">
        <f>IF('Cable Info'!N350="","",CONCATENATE('Cable Info'!N350," - ",'Cable Info'!O350))</f>
        <v>349 - AW</v>
      </c>
      <c r="AR646" s="121" t="str">
        <f t="shared" si="144"/>
        <v>349 - AW</v>
      </c>
      <c r="AT646" s="121" t="e">
        <f>IF('Cable Info'!P350="","",CONCATENATE('Cable Info'!P350," - ",'Cable Info'!Q350))</f>
        <v>#N/A</v>
      </c>
      <c r="AW646" s="121" t="e">
        <f t="shared" si="145"/>
        <v>#N/A</v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str">
        <f>IF('Cable Info'!L351="","",CONCATENATE('Cable Info'!L351," - ",'Cable Info'!M351))</f>
        <v>350 - AW</v>
      </c>
      <c r="AM647" s="121" t="str">
        <f t="shared" si="143"/>
        <v>350 - AW</v>
      </c>
      <c r="AO647" s="121" t="str">
        <f>IF('Cable Info'!N351="","",CONCATENATE('Cable Info'!N351," - ",'Cable Info'!O351))</f>
        <v>350 - AW</v>
      </c>
      <c r="AR647" s="121" t="str">
        <f t="shared" si="144"/>
        <v>350 - AW</v>
      </c>
      <c r="AT647" s="121" t="e">
        <f>IF('Cable Info'!P351="","",CONCATENATE('Cable Info'!P351," - ",'Cable Info'!Q351))</f>
        <v>#N/A</v>
      </c>
      <c r="AW647" s="121" t="e">
        <f t="shared" si="145"/>
        <v>#N/A</v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str">
        <f>IF('Cable Info'!L352="","",CONCATENATE('Cable Info'!L352," - ",'Cable Info'!M352))</f>
        <v>351 - AW</v>
      </c>
      <c r="AM648" s="121" t="str">
        <f t="shared" si="143"/>
        <v>351 - AW</v>
      </c>
      <c r="AO648" s="121" t="str">
        <f>IF('Cable Info'!N352="","",CONCATENATE('Cable Info'!N352," - ",'Cable Info'!O352))</f>
        <v>351 - AW</v>
      </c>
      <c r="AR648" s="121" t="str">
        <f t="shared" si="144"/>
        <v>351 - AW</v>
      </c>
      <c r="AT648" s="121" t="e">
        <f>IF('Cable Info'!P352="","",CONCATENATE('Cable Info'!P352," - ",'Cable Info'!Q352))</f>
        <v>#N/A</v>
      </c>
      <c r="AW648" s="121" t="e">
        <f t="shared" si="145"/>
        <v>#N/A</v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str">
        <f>IF('Cable Info'!L353="","",CONCATENATE('Cable Info'!L353," - ",'Cable Info'!M353))</f>
        <v>352 - AW</v>
      </c>
      <c r="AM649" s="121" t="str">
        <f t="shared" si="143"/>
        <v>352 - AW</v>
      </c>
      <c r="AO649" s="121" t="str">
        <f>IF('Cable Info'!N353="","",CONCATENATE('Cable Info'!N353," - ",'Cable Info'!O353))</f>
        <v>352 - AW</v>
      </c>
      <c r="AR649" s="121" t="str">
        <f t="shared" si="144"/>
        <v>352 - AW</v>
      </c>
      <c r="AT649" s="121" t="e">
        <f>IF('Cable Info'!P353="","",CONCATENATE('Cable Info'!P353," - ",'Cable Info'!Q353))</f>
        <v>#N/A</v>
      </c>
      <c r="AW649" s="121" t="e">
        <f t="shared" si="145"/>
        <v>#N/A</v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str">
        <f>IF('Cable Info'!L354="","",CONCATENATE('Cable Info'!L354," - ",'Cable Info'!M354))</f>
        <v>353 - AW</v>
      </c>
      <c r="AM650" s="121" t="str">
        <f t="shared" si="143"/>
        <v>353 - AW</v>
      </c>
      <c r="AO650" s="121" t="str">
        <f>IF('Cable Info'!N354="","",CONCATENATE('Cable Info'!N354," - ",'Cable Info'!O354))</f>
        <v>353 - AW</v>
      </c>
      <c r="AR650" s="121" t="str">
        <f t="shared" si="144"/>
        <v>353 - AW</v>
      </c>
      <c r="AT650" s="121" t="e">
        <f>IF('Cable Info'!P354="","",CONCATENATE('Cable Info'!P354," - ",'Cable Info'!Q354))</f>
        <v>#N/A</v>
      </c>
      <c r="AW650" s="121" t="e">
        <f t="shared" si="145"/>
        <v>#N/A</v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str">
        <f>IF('Cable Info'!L355="","",CONCATENATE('Cable Info'!L355," - ",'Cable Info'!M355))</f>
        <v>354 - AW</v>
      </c>
      <c r="AM651" s="121" t="str">
        <f t="shared" si="143"/>
        <v>354 - AW</v>
      </c>
      <c r="AO651" s="121" t="str">
        <f>IF('Cable Info'!N355="","",CONCATENATE('Cable Info'!N355," - ",'Cable Info'!O355))</f>
        <v>354 - AW</v>
      </c>
      <c r="AR651" s="121" t="str">
        <f t="shared" si="144"/>
        <v>354 - AW</v>
      </c>
      <c r="AT651" s="121" t="e">
        <f>IF('Cable Info'!P355="","",CONCATENATE('Cable Info'!P355," - ",'Cable Info'!Q355))</f>
        <v>#N/A</v>
      </c>
      <c r="AW651" s="121" t="e">
        <f t="shared" si="145"/>
        <v>#N/A</v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str">
        <f>IF('Cable Info'!L356="","",CONCATENATE('Cable Info'!L356," - ",'Cable Info'!M356))</f>
        <v>355 - AW</v>
      </c>
      <c r="AM652" s="121" t="str">
        <f t="shared" si="143"/>
        <v>355 - AW</v>
      </c>
      <c r="AO652" s="121" t="str">
        <f>IF('Cable Info'!N356="","",CONCATENATE('Cable Info'!N356," - ",'Cable Info'!O356))</f>
        <v>355 - AW</v>
      </c>
      <c r="AR652" s="121" t="str">
        <f t="shared" si="144"/>
        <v>355 - AW</v>
      </c>
      <c r="AT652" s="121" t="e">
        <f>IF('Cable Info'!P356="","",CONCATENATE('Cable Info'!P356," - ",'Cable Info'!Q356))</f>
        <v>#N/A</v>
      </c>
      <c r="AW652" s="121" t="e">
        <f t="shared" si="145"/>
        <v>#N/A</v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str">
        <f>IF('Cable Info'!L357="","",CONCATENATE('Cable Info'!L357," - ",'Cable Info'!M357))</f>
        <v>356 - AW</v>
      </c>
      <c r="AM653" s="121" t="str">
        <f t="shared" si="143"/>
        <v>356 - AW</v>
      </c>
      <c r="AO653" s="121" t="str">
        <f>IF('Cable Info'!N357="","",CONCATENATE('Cable Info'!N357," - ",'Cable Info'!O357))</f>
        <v>356 - AW</v>
      </c>
      <c r="AR653" s="121" t="str">
        <f t="shared" si="144"/>
        <v>356 - AW</v>
      </c>
      <c r="AT653" s="121" t="e">
        <f>IF('Cable Info'!P357="","",CONCATENATE('Cable Info'!P357," - ",'Cable Info'!Q357))</f>
        <v>#N/A</v>
      </c>
      <c r="AW653" s="121" t="e">
        <f t="shared" si="145"/>
        <v>#N/A</v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str">
        <f>IF('Cable Info'!L358="","",CONCATENATE('Cable Info'!L358," - ",'Cable Info'!M358))</f>
        <v>357 - AW</v>
      </c>
      <c r="AM654" s="121" t="str">
        <f t="shared" si="143"/>
        <v>357 - AW</v>
      </c>
      <c r="AO654" s="121" t="str">
        <f>IF('Cable Info'!N358="","",CONCATENATE('Cable Info'!N358," - ",'Cable Info'!O358))</f>
        <v>357 - AW</v>
      </c>
      <c r="AR654" s="121" t="str">
        <f t="shared" si="144"/>
        <v>357 - AW</v>
      </c>
      <c r="AT654" s="121" t="e">
        <f>IF('Cable Info'!P358="","",CONCATENATE('Cable Info'!P358," - ",'Cable Info'!Q358))</f>
        <v>#N/A</v>
      </c>
      <c r="AW654" s="121" t="e">
        <f t="shared" si="145"/>
        <v>#N/A</v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str">
        <f>IF('Cable Info'!L359="","",CONCATENATE('Cable Info'!L359," - ",'Cable Info'!M359))</f>
        <v>358 - AW</v>
      </c>
      <c r="AM655" s="121" t="str">
        <f t="shared" si="143"/>
        <v>358 - AW</v>
      </c>
      <c r="AO655" s="121" t="str">
        <f>IF('Cable Info'!N359="","",CONCATENATE('Cable Info'!N359," - ",'Cable Info'!O359))</f>
        <v>358 - AW</v>
      </c>
      <c r="AR655" s="121" t="str">
        <f t="shared" si="144"/>
        <v>358 - AW</v>
      </c>
      <c r="AT655" s="121" t="e">
        <f>IF('Cable Info'!P359="","",CONCATENATE('Cable Info'!P359," - ",'Cable Info'!Q359))</f>
        <v>#N/A</v>
      </c>
      <c r="AW655" s="121" t="e">
        <f t="shared" si="145"/>
        <v>#N/A</v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str">
        <f>IF('Cable Info'!L360="","",CONCATENATE('Cable Info'!L360," - ",'Cable Info'!M360))</f>
        <v>359 - AW</v>
      </c>
      <c r="AM656" s="121" t="str">
        <f t="shared" si="143"/>
        <v>359 - AW</v>
      </c>
      <c r="AO656" s="121" t="str">
        <f>IF('Cable Info'!N360="","",CONCATENATE('Cable Info'!N360," - ",'Cable Info'!O360))</f>
        <v>359 - AW</v>
      </c>
      <c r="AR656" s="121" t="str">
        <f t="shared" si="144"/>
        <v>359 - AW</v>
      </c>
      <c r="AT656" s="121" t="e">
        <f>IF('Cable Info'!P360="","",CONCATENATE('Cable Info'!P360," - ",'Cable Info'!Q360))</f>
        <v>#N/A</v>
      </c>
      <c r="AW656" s="121" t="e">
        <f t="shared" si="145"/>
        <v>#N/A</v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str">
        <f>IF('Cable Info'!L361="","",CONCATENATE('Cable Info'!L361," - ",'Cable Info'!M361))</f>
        <v>360 - AW</v>
      </c>
      <c r="AM657" s="121" t="str">
        <f t="shared" si="143"/>
        <v>360 - AW</v>
      </c>
      <c r="AO657" s="121" t="str">
        <f>IF('Cable Info'!N361="","",CONCATENATE('Cable Info'!N361," - ",'Cable Info'!O361))</f>
        <v>360 - AW</v>
      </c>
      <c r="AR657" s="121" t="str">
        <f t="shared" si="144"/>
        <v>360 - AW</v>
      </c>
      <c r="AT657" s="121" t="e">
        <f>IF('Cable Info'!P361="","",CONCATENATE('Cable Info'!P361," - ",'Cable Info'!Q361))</f>
        <v>#N/A</v>
      </c>
      <c r="AW657" s="121" t="e">
        <f t="shared" si="145"/>
        <v>#N/A</v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str">
        <f>IF('Cable Info'!L362="","",CONCATENATE('Cable Info'!L362," - ",'Cable Info'!M362))</f>
        <v>361 - AW</v>
      </c>
      <c r="AM658" s="121" t="str">
        <f t="shared" si="143"/>
        <v>361 - AW</v>
      </c>
      <c r="AO658" s="121" t="str">
        <f>IF('Cable Info'!N362="","",CONCATENATE('Cable Info'!N362," - ",'Cable Info'!O362))</f>
        <v>361 - AW</v>
      </c>
      <c r="AR658" s="121" t="str">
        <f t="shared" si="144"/>
        <v>361 - AW</v>
      </c>
      <c r="AT658" s="121" t="e">
        <f>IF('Cable Info'!P362="","",CONCATENATE('Cable Info'!P362," - ",'Cable Info'!Q362))</f>
        <v>#N/A</v>
      </c>
      <c r="AW658" s="121" t="e">
        <f t="shared" si="145"/>
        <v>#N/A</v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str">
        <f>IF('Cable Info'!L363="","",CONCATENATE('Cable Info'!L363," - ",'Cable Info'!M363))</f>
        <v>362 - AW</v>
      </c>
      <c r="AM659" s="121" t="str">
        <f t="shared" si="143"/>
        <v>362 - AW</v>
      </c>
      <c r="AO659" s="121" t="str">
        <f>IF('Cable Info'!N363="","",CONCATENATE('Cable Info'!N363," - ",'Cable Info'!O363))</f>
        <v>362 - AW</v>
      </c>
      <c r="AR659" s="121" t="str">
        <f t="shared" si="144"/>
        <v>362 - AW</v>
      </c>
      <c r="AT659" s="121" t="e">
        <f>IF('Cable Info'!P363="","",CONCATENATE('Cable Info'!P363," - ",'Cable Info'!Q363))</f>
        <v>#N/A</v>
      </c>
      <c r="AW659" s="121" t="e">
        <f t="shared" si="145"/>
        <v>#N/A</v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str">
        <f>IF('Cable Info'!L364="","",CONCATENATE('Cable Info'!L364," - ",'Cable Info'!M364))</f>
        <v>363 - AW</v>
      </c>
      <c r="AM660" s="121" t="str">
        <f t="shared" si="143"/>
        <v>363 - AW</v>
      </c>
      <c r="AO660" s="121" t="str">
        <f>IF('Cable Info'!N364="","",CONCATENATE('Cable Info'!N364," - ",'Cable Info'!O364))</f>
        <v>363 - AW</v>
      </c>
      <c r="AR660" s="121" t="str">
        <f t="shared" si="144"/>
        <v>363 - AW</v>
      </c>
      <c r="AT660" s="121" t="e">
        <f>IF('Cable Info'!P364="","",CONCATENATE('Cable Info'!P364," - ",'Cable Info'!Q364))</f>
        <v>#N/A</v>
      </c>
      <c r="AW660" s="121" t="e">
        <f t="shared" si="145"/>
        <v>#N/A</v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str">
        <f>IF('Cable Info'!L365="","",CONCATENATE('Cable Info'!L365," - ",'Cable Info'!M365))</f>
        <v>364 - AW</v>
      </c>
      <c r="AM661" s="121" t="str">
        <f t="shared" si="143"/>
        <v>364 - AW</v>
      </c>
      <c r="AO661" s="121" t="str">
        <f>IF('Cable Info'!N365="","",CONCATENATE('Cable Info'!N365," - ",'Cable Info'!O365))</f>
        <v>364 - AW</v>
      </c>
      <c r="AR661" s="121" t="str">
        <f t="shared" si="144"/>
        <v>364 - AW</v>
      </c>
      <c r="AT661" s="121" t="e">
        <f>IF('Cable Info'!P365="","",CONCATENATE('Cable Info'!P365," - ",'Cable Info'!Q365))</f>
        <v>#N/A</v>
      </c>
      <c r="AW661" s="121" t="e">
        <f t="shared" si="145"/>
        <v>#N/A</v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str">
        <f>IF('Cable Info'!L366="","",CONCATENATE('Cable Info'!L366," - ",'Cable Info'!M366))</f>
        <v>365 - AW</v>
      </c>
      <c r="AM662" s="121" t="str">
        <f t="shared" si="143"/>
        <v>365 - AW</v>
      </c>
      <c r="AO662" s="121" t="str">
        <f>IF('Cable Info'!N366="","",CONCATENATE('Cable Info'!N366," - ",'Cable Info'!O366))</f>
        <v>365 - AW</v>
      </c>
      <c r="AR662" s="121" t="str">
        <f t="shared" si="144"/>
        <v>365 - AW</v>
      </c>
      <c r="AT662" s="121" t="e">
        <f>IF('Cable Info'!P366="","",CONCATENATE('Cable Info'!P366," - ",'Cable Info'!Q366))</f>
        <v>#N/A</v>
      </c>
      <c r="AW662" s="121" t="e">
        <f t="shared" si="145"/>
        <v>#N/A</v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str">
        <f>IF('Cable Info'!L367="","",CONCATENATE('Cable Info'!L367," - ",'Cable Info'!M367))</f>
        <v>366 - AW</v>
      </c>
      <c r="AM663" s="121" t="str">
        <f t="shared" si="143"/>
        <v>366 - AW</v>
      </c>
      <c r="AO663" s="121" t="str">
        <f>IF('Cable Info'!N367="","",CONCATENATE('Cable Info'!N367," - ",'Cable Info'!O367))</f>
        <v>366 - AW</v>
      </c>
      <c r="AR663" s="121" t="str">
        <f t="shared" si="144"/>
        <v>366 - AW</v>
      </c>
      <c r="AT663" s="121" t="e">
        <f>IF('Cable Info'!P367="","",CONCATENATE('Cable Info'!P367," - ",'Cable Info'!Q367))</f>
        <v>#N/A</v>
      </c>
      <c r="AW663" s="121" t="e">
        <f t="shared" si="145"/>
        <v>#N/A</v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str">
        <f>IF('Cable Info'!L368="","",CONCATENATE('Cable Info'!L368," - ",'Cable Info'!M368))</f>
        <v>367 - AW</v>
      </c>
      <c r="AM664" s="121" t="str">
        <f t="shared" si="143"/>
        <v>367 - AW</v>
      </c>
      <c r="AO664" s="121" t="str">
        <f>IF('Cable Info'!N368="","",CONCATENATE('Cable Info'!N368," - ",'Cable Info'!O368))</f>
        <v>367 - AW</v>
      </c>
      <c r="AR664" s="121" t="str">
        <f t="shared" si="144"/>
        <v>367 - AW</v>
      </c>
      <c r="AT664" s="121" t="e">
        <f>IF('Cable Info'!P368="","",CONCATENATE('Cable Info'!P368," - ",'Cable Info'!Q368))</f>
        <v>#N/A</v>
      </c>
      <c r="AW664" s="121" t="e">
        <f t="shared" si="145"/>
        <v>#N/A</v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str">
        <f>IF('Cable Info'!L369="","",CONCATENATE('Cable Info'!L369," - ",'Cable Info'!M369))</f>
        <v>368 - AW</v>
      </c>
      <c r="AM665" s="121" t="str">
        <f t="shared" si="143"/>
        <v>368 - AW</v>
      </c>
      <c r="AO665" s="121" t="str">
        <f>IF('Cable Info'!N369="","",CONCATENATE('Cable Info'!N369," - ",'Cable Info'!O369))</f>
        <v>368 - AW</v>
      </c>
      <c r="AR665" s="121" t="str">
        <f t="shared" si="144"/>
        <v>368 - AW</v>
      </c>
      <c r="AT665" s="121" t="e">
        <f>IF('Cable Info'!P369="","",CONCATENATE('Cable Info'!P369," - ",'Cable Info'!Q369))</f>
        <v>#N/A</v>
      </c>
      <c r="AW665" s="121" t="e">
        <f t="shared" si="145"/>
        <v>#N/A</v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str">
        <f>IF('Cable Info'!L370="","",CONCATENATE('Cable Info'!L370," - ",'Cable Info'!M370))</f>
        <v>369 - AW</v>
      </c>
      <c r="AM666" s="121" t="str">
        <f t="shared" si="143"/>
        <v>369 - AW</v>
      </c>
      <c r="AO666" s="121" t="str">
        <f>IF('Cable Info'!N370="","",CONCATENATE('Cable Info'!N370," - ",'Cable Info'!O370))</f>
        <v>369 - AW</v>
      </c>
      <c r="AR666" s="121" t="str">
        <f t="shared" si="144"/>
        <v>369 - AW</v>
      </c>
      <c r="AT666" s="121" t="e">
        <f>IF('Cable Info'!P370="","",CONCATENATE('Cable Info'!P370," - ",'Cable Info'!Q370))</f>
        <v>#N/A</v>
      </c>
      <c r="AW666" s="121" t="e">
        <f t="shared" si="145"/>
        <v>#N/A</v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str">
        <f>IF('Cable Info'!L371="","",CONCATENATE('Cable Info'!L371," - ",'Cable Info'!M371))</f>
        <v>370 - AW</v>
      </c>
      <c r="AM667" s="121" t="str">
        <f t="shared" si="143"/>
        <v>370 - AW</v>
      </c>
      <c r="AO667" s="121" t="str">
        <f>IF('Cable Info'!N371="","",CONCATENATE('Cable Info'!N371," - ",'Cable Info'!O371))</f>
        <v>370 - AW</v>
      </c>
      <c r="AR667" s="121" t="str">
        <f t="shared" si="144"/>
        <v>370 - AW</v>
      </c>
      <c r="AT667" s="121" t="e">
        <f>IF('Cable Info'!P371="","",CONCATENATE('Cable Info'!P371," - ",'Cable Info'!Q371))</f>
        <v>#N/A</v>
      </c>
      <c r="AW667" s="121" t="e">
        <f t="shared" si="145"/>
        <v>#N/A</v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str">
        <f>IF('Cable Info'!L372="","",CONCATENATE('Cable Info'!L372," - ",'Cable Info'!M372))</f>
        <v>371 - AW</v>
      </c>
      <c r="AM668" s="121" t="str">
        <f t="shared" si="143"/>
        <v>371 - AW</v>
      </c>
      <c r="AO668" s="121" t="str">
        <f>IF('Cable Info'!N372="","",CONCATENATE('Cable Info'!N372," - ",'Cable Info'!O372))</f>
        <v>371 - AW</v>
      </c>
      <c r="AR668" s="121" t="str">
        <f t="shared" si="144"/>
        <v>371 - AW</v>
      </c>
      <c r="AT668" s="121" t="e">
        <f>IF('Cable Info'!P372="","",CONCATENATE('Cable Info'!P372," - ",'Cable Info'!Q372))</f>
        <v>#N/A</v>
      </c>
      <c r="AW668" s="121" t="e">
        <f t="shared" si="145"/>
        <v>#N/A</v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str">
        <f>IF('Cable Info'!L373="","",CONCATENATE('Cable Info'!L373," - ",'Cable Info'!M373))</f>
        <v>372 - AW</v>
      </c>
      <c r="AM669" s="121" t="str">
        <f t="shared" si="143"/>
        <v>372 - AW</v>
      </c>
      <c r="AO669" s="121" t="str">
        <f>IF('Cable Info'!N373="","",CONCATENATE('Cable Info'!N373," - ",'Cable Info'!O373))</f>
        <v>372 - AW</v>
      </c>
      <c r="AR669" s="121" t="str">
        <f t="shared" si="144"/>
        <v>372 - AW</v>
      </c>
      <c r="AT669" s="121" t="e">
        <f>IF('Cable Info'!P373="","",CONCATENATE('Cable Info'!P373," - ",'Cable Info'!Q373))</f>
        <v>#N/A</v>
      </c>
      <c r="AW669" s="121" t="e">
        <f t="shared" si="145"/>
        <v>#N/A</v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str">
        <f>IF('Cable Info'!L374="","",CONCATENATE('Cable Info'!L374," - ",'Cable Info'!M374))</f>
        <v>373 - AW</v>
      </c>
      <c r="AM670" s="121" t="str">
        <f t="shared" si="143"/>
        <v>373 - AW</v>
      </c>
      <c r="AO670" s="121" t="str">
        <f>IF('Cable Info'!N374="","",CONCATENATE('Cable Info'!N374," - ",'Cable Info'!O374))</f>
        <v>373 - AW</v>
      </c>
      <c r="AR670" s="121" t="str">
        <f t="shared" si="144"/>
        <v>373 - AW</v>
      </c>
      <c r="AT670" s="121" t="e">
        <f>IF('Cable Info'!P374="","",CONCATENATE('Cable Info'!P374," - ",'Cable Info'!Q374))</f>
        <v>#N/A</v>
      </c>
      <c r="AW670" s="121" t="e">
        <f t="shared" si="145"/>
        <v>#N/A</v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str">
        <f>IF('Cable Info'!L375="","",CONCATENATE('Cable Info'!L375," - ",'Cable Info'!M375))</f>
        <v>374 - AW</v>
      </c>
      <c r="AM671" s="121" t="str">
        <f t="shared" si="143"/>
        <v>374 - AW</v>
      </c>
      <c r="AO671" s="121" t="str">
        <f>IF('Cable Info'!N375="","",CONCATENATE('Cable Info'!N375," - ",'Cable Info'!O375))</f>
        <v>374 - AW</v>
      </c>
      <c r="AR671" s="121" t="str">
        <f t="shared" si="144"/>
        <v>374 - AW</v>
      </c>
      <c r="AT671" s="121" t="e">
        <f>IF('Cable Info'!P375="","",CONCATENATE('Cable Info'!P375," - ",'Cable Info'!Q375))</f>
        <v>#N/A</v>
      </c>
      <c r="AW671" s="121" t="e">
        <f t="shared" si="145"/>
        <v>#N/A</v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str">
        <f>IF('Cable Info'!L376="","",CONCATENATE('Cable Info'!L376," - ",'Cable Info'!M376))</f>
        <v>375 - AW</v>
      </c>
      <c r="AM672" s="121" t="str">
        <f t="shared" si="143"/>
        <v>375 - AW</v>
      </c>
      <c r="AO672" s="121" t="str">
        <f>IF('Cable Info'!N376="","",CONCATENATE('Cable Info'!N376," - ",'Cable Info'!O376))</f>
        <v>375 - AW</v>
      </c>
      <c r="AR672" s="121" t="str">
        <f t="shared" si="144"/>
        <v>375 - AW</v>
      </c>
      <c r="AT672" s="121" t="e">
        <f>IF('Cable Info'!P376="","",CONCATENATE('Cable Info'!P376," - ",'Cable Info'!Q376))</f>
        <v>#N/A</v>
      </c>
      <c r="AW672" s="121" t="e">
        <f t="shared" si="145"/>
        <v>#N/A</v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str">
        <f>IF('Cable Info'!L377="","",CONCATENATE('Cable Info'!L377," - ",'Cable Info'!M377))</f>
        <v>376 - AW</v>
      </c>
      <c r="AM673" s="121" t="str">
        <f t="shared" si="143"/>
        <v>376 - AW</v>
      </c>
      <c r="AO673" s="121" t="str">
        <f>IF('Cable Info'!N377="","",CONCATENATE('Cable Info'!N377," - ",'Cable Info'!O377))</f>
        <v>376 - AW</v>
      </c>
      <c r="AR673" s="121" t="str">
        <f t="shared" si="144"/>
        <v>376 - AW</v>
      </c>
      <c r="AT673" s="121" t="e">
        <f>IF('Cable Info'!P377="","",CONCATENATE('Cable Info'!P377," - ",'Cable Info'!Q377))</f>
        <v>#N/A</v>
      </c>
      <c r="AW673" s="121" t="e">
        <f t="shared" si="145"/>
        <v>#N/A</v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str">
        <f>IF('Cable Info'!L378="","",CONCATENATE('Cable Info'!L378," - ",'Cable Info'!M378))</f>
        <v>377 - AW</v>
      </c>
      <c r="AM674" s="121" t="str">
        <f t="shared" si="143"/>
        <v>377 - AW</v>
      </c>
      <c r="AO674" s="121" t="str">
        <f>IF('Cable Info'!N378="","",CONCATENATE('Cable Info'!N378," - ",'Cable Info'!O378))</f>
        <v>377 - AW</v>
      </c>
      <c r="AR674" s="121" t="str">
        <f t="shared" si="144"/>
        <v>377 - AW</v>
      </c>
      <c r="AT674" s="121" t="e">
        <f>IF('Cable Info'!P378="","",CONCATENATE('Cable Info'!P378," - ",'Cable Info'!Q378))</f>
        <v>#N/A</v>
      </c>
      <c r="AW674" s="121" t="e">
        <f t="shared" si="145"/>
        <v>#N/A</v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str">
        <f>IF('Cable Info'!L379="","",CONCATENATE('Cable Info'!L379," - ",'Cable Info'!M379))</f>
        <v>378 - AW</v>
      </c>
      <c r="AM675" s="121" t="str">
        <f t="shared" si="143"/>
        <v>378 - AW</v>
      </c>
      <c r="AO675" s="121" t="str">
        <f>IF('Cable Info'!N379="","",CONCATENATE('Cable Info'!N379," - ",'Cable Info'!O379))</f>
        <v>378 - AW</v>
      </c>
      <c r="AR675" s="121" t="str">
        <f t="shared" si="144"/>
        <v>378 - AW</v>
      </c>
      <c r="AT675" s="121" t="e">
        <f>IF('Cable Info'!P379="","",CONCATENATE('Cable Info'!P379," - ",'Cable Info'!Q379))</f>
        <v>#N/A</v>
      </c>
      <c r="AW675" s="121" t="e">
        <f t="shared" si="145"/>
        <v>#N/A</v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str">
        <f>IF('Cable Info'!L380="","",CONCATENATE('Cable Info'!L380," - ",'Cable Info'!M380))</f>
        <v>379 - AW</v>
      </c>
      <c r="AM676" s="121" t="str">
        <f t="shared" si="143"/>
        <v>379 - AW</v>
      </c>
      <c r="AO676" s="121" t="str">
        <f>IF('Cable Info'!N380="","",CONCATENATE('Cable Info'!N380," - ",'Cable Info'!O380))</f>
        <v>379 - AW</v>
      </c>
      <c r="AR676" s="121" t="str">
        <f t="shared" si="144"/>
        <v>379 - AW</v>
      </c>
      <c r="AT676" s="121" t="e">
        <f>IF('Cable Info'!P380="","",CONCATENATE('Cable Info'!P380," - ",'Cable Info'!Q380))</f>
        <v>#N/A</v>
      </c>
      <c r="AW676" s="121" t="e">
        <f t="shared" si="145"/>
        <v>#N/A</v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str">
        <f>IF('Cable Info'!L381="","",CONCATENATE('Cable Info'!L381," - ",'Cable Info'!M381))</f>
        <v>380 - AW</v>
      </c>
      <c r="AM677" s="121" t="str">
        <f t="shared" si="143"/>
        <v>380 - AW</v>
      </c>
      <c r="AO677" s="121" t="str">
        <f>IF('Cable Info'!N381="","",CONCATENATE('Cable Info'!N381," - ",'Cable Info'!O381))</f>
        <v>380 - AW</v>
      </c>
      <c r="AR677" s="121" t="str">
        <f t="shared" si="144"/>
        <v>380 - AW</v>
      </c>
      <c r="AT677" s="121" t="e">
        <f>IF('Cable Info'!P381="","",CONCATENATE('Cable Info'!P381," - ",'Cable Info'!Q381))</f>
        <v>#N/A</v>
      </c>
      <c r="AW677" s="121" t="e">
        <f t="shared" si="145"/>
        <v>#N/A</v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str">
        <f>IF('Cable Info'!L382="","",CONCATENATE('Cable Info'!L382," - ",'Cable Info'!M382))</f>
        <v>381 - AW</v>
      </c>
      <c r="AM678" s="121" t="str">
        <f t="shared" si="143"/>
        <v>381 - AW</v>
      </c>
      <c r="AO678" s="121" t="str">
        <f>IF('Cable Info'!N382="","",CONCATENATE('Cable Info'!N382," - ",'Cable Info'!O382))</f>
        <v>381 - AW</v>
      </c>
      <c r="AR678" s="121" t="str">
        <f t="shared" si="144"/>
        <v>381 - AW</v>
      </c>
      <c r="AT678" s="121" t="e">
        <f>IF('Cable Info'!P382="","",CONCATENATE('Cable Info'!P382," - ",'Cable Info'!Q382))</f>
        <v>#N/A</v>
      </c>
      <c r="AW678" s="121" t="e">
        <f t="shared" si="145"/>
        <v>#N/A</v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str">
        <f>IF('Cable Info'!L383="","",CONCATENATE('Cable Info'!L383," - ",'Cable Info'!M383))</f>
        <v>382 - AW</v>
      </c>
      <c r="AM679" s="121" t="str">
        <f t="shared" si="143"/>
        <v>382 - AW</v>
      </c>
      <c r="AO679" s="121" t="str">
        <f>IF('Cable Info'!N383="","",CONCATENATE('Cable Info'!N383," - ",'Cable Info'!O383))</f>
        <v>382 - AW</v>
      </c>
      <c r="AR679" s="121" t="str">
        <f t="shared" si="144"/>
        <v>382 - AW</v>
      </c>
      <c r="AT679" s="121" t="e">
        <f>IF('Cable Info'!P383="","",CONCATENATE('Cable Info'!P383," - ",'Cable Info'!Q383))</f>
        <v>#N/A</v>
      </c>
      <c r="AW679" s="121" t="e">
        <f t="shared" si="145"/>
        <v>#N/A</v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str">
        <f>IF('Cable Info'!L384="","",CONCATENATE('Cable Info'!L384," - ",'Cable Info'!M384))</f>
        <v>383 - AW</v>
      </c>
      <c r="AM680" s="121" t="str">
        <f t="shared" si="143"/>
        <v>383 - AW</v>
      </c>
      <c r="AO680" s="121" t="str">
        <f>IF('Cable Info'!N384="","",CONCATENATE('Cable Info'!N384," - ",'Cable Info'!O384))</f>
        <v>383 - AW</v>
      </c>
      <c r="AR680" s="121" t="str">
        <f t="shared" si="144"/>
        <v>383 - AW</v>
      </c>
      <c r="AT680" s="121" t="e">
        <f>IF('Cable Info'!P384="","",CONCATENATE('Cable Info'!P384," - ",'Cable Info'!Q384))</f>
        <v>#N/A</v>
      </c>
      <c r="AW680" s="121" t="e">
        <f t="shared" si="145"/>
        <v>#N/A</v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str">
        <f>IF('Cable Info'!L385="","",CONCATENATE('Cable Info'!L385," - ",'Cable Info'!M385))</f>
        <v>384 - AW</v>
      </c>
      <c r="AM681" s="121" t="str">
        <f t="shared" si="143"/>
        <v>384 - AW</v>
      </c>
      <c r="AO681" s="121" t="str">
        <f>IF('Cable Info'!N385="","",CONCATENATE('Cable Info'!N385," - ",'Cable Info'!O385))</f>
        <v>384 - AW</v>
      </c>
      <c r="AR681" s="121" t="str">
        <f t="shared" si="144"/>
        <v>384 - AW</v>
      </c>
      <c r="AT681" s="121" t="e">
        <f>IF('Cable Info'!P385="","",CONCATENATE('Cable Info'!P385," - ",'Cable Info'!Q385))</f>
        <v>#N/A</v>
      </c>
      <c r="AW681" s="121" t="e">
        <f t="shared" si="145"/>
        <v>#N/A</v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str">
        <f>IF('Cable Info'!L386="","",CONCATENATE('Cable Info'!L386," - ",'Cable Info'!M386))</f>
        <v>385 - AW</v>
      </c>
      <c r="AM682" s="121" t="str">
        <f t="shared" si="143"/>
        <v>385 - AW</v>
      </c>
      <c r="AO682" s="121" t="str">
        <f>IF('Cable Info'!N386="","",CONCATENATE('Cable Info'!N386," - ",'Cable Info'!O386))</f>
        <v>385 - AW</v>
      </c>
      <c r="AR682" s="121" t="str">
        <f t="shared" si="144"/>
        <v>385 - AW</v>
      </c>
      <c r="AT682" s="121" t="e">
        <f>IF('Cable Info'!P386="","",CONCATENATE('Cable Info'!P386," - ",'Cable Info'!Q386))</f>
        <v>#N/A</v>
      </c>
      <c r="AW682" s="121" t="e">
        <f t="shared" si="145"/>
        <v>#N/A</v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str">
        <f>IF('Cable Info'!L387="","",CONCATENATE('Cable Info'!L387," - ",'Cable Info'!M387))</f>
        <v>386 - AW</v>
      </c>
      <c r="AM683" s="121" t="str">
        <f t="shared" ref="AM683:AM746" si="149">IF(AK683="",AJ683,CONCATENATE(AJ683,"  &lt;=&gt; ",AK683," ",AL683))</f>
        <v>386 - AW</v>
      </c>
      <c r="AO683" s="121" t="str">
        <f>IF('Cable Info'!N387="","",CONCATENATE('Cable Info'!N387," - ",'Cable Info'!O387))</f>
        <v>386 - AW</v>
      </c>
      <c r="AR683" s="121" t="str">
        <f t="shared" ref="AR683:AR746" si="150">IF(AP683="",AO683,CONCATENATE(AO683,"  &lt;=&gt; ",AP683," ",AQ683))</f>
        <v>386 - AW</v>
      </c>
      <c r="AT683" s="121" t="e">
        <f>IF('Cable Info'!P387="","",CONCATENATE('Cable Info'!P387," - ",'Cable Info'!Q387))</f>
        <v>#N/A</v>
      </c>
      <c r="AW683" s="121" t="e">
        <f t="shared" ref="AW683:AW746" si="151">IF(AU683="",AT683,CONCATENATE(AT683,"  &lt;=&gt; ",AU683," ",AV683))</f>
        <v>#N/A</v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str">
        <f>IF('Cable Info'!L388="","",CONCATENATE('Cable Info'!L388," - ",'Cable Info'!M388))</f>
        <v>387 - AW</v>
      </c>
      <c r="AM684" s="121" t="str">
        <f t="shared" si="149"/>
        <v>387 - AW</v>
      </c>
      <c r="AO684" s="121" t="str">
        <f>IF('Cable Info'!N388="","",CONCATENATE('Cable Info'!N388," - ",'Cable Info'!O388))</f>
        <v>387 - AW</v>
      </c>
      <c r="AR684" s="121" t="str">
        <f t="shared" si="150"/>
        <v>387 - AW</v>
      </c>
      <c r="AT684" s="121" t="e">
        <f>IF('Cable Info'!P388="","",CONCATENATE('Cable Info'!P388," - ",'Cable Info'!Q388))</f>
        <v>#N/A</v>
      </c>
      <c r="AW684" s="121" t="e">
        <f t="shared" si="151"/>
        <v>#N/A</v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str">
        <f>IF('Cable Info'!L389="","",CONCATENATE('Cable Info'!L389," - ",'Cable Info'!M389))</f>
        <v>388 - AW</v>
      </c>
      <c r="AM685" s="121" t="str">
        <f t="shared" si="149"/>
        <v>388 - AW</v>
      </c>
      <c r="AO685" s="121" t="str">
        <f>IF('Cable Info'!N389="","",CONCATENATE('Cable Info'!N389," - ",'Cable Info'!O389))</f>
        <v>388 - AW</v>
      </c>
      <c r="AR685" s="121" t="str">
        <f t="shared" si="150"/>
        <v>388 - AW</v>
      </c>
      <c r="AT685" s="121" t="e">
        <f>IF('Cable Info'!P389="","",CONCATENATE('Cable Info'!P389," - ",'Cable Info'!Q389))</f>
        <v>#N/A</v>
      </c>
      <c r="AW685" s="121" t="e">
        <f t="shared" si="151"/>
        <v>#N/A</v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str">
        <f>IF('Cable Info'!L390="","",CONCATENATE('Cable Info'!L390," - ",'Cable Info'!M390))</f>
        <v>389 - AW</v>
      </c>
      <c r="AM686" s="121" t="str">
        <f t="shared" si="149"/>
        <v>389 - AW</v>
      </c>
      <c r="AO686" s="121" t="str">
        <f>IF('Cable Info'!N390="","",CONCATENATE('Cable Info'!N390," - ",'Cable Info'!O390))</f>
        <v>389 - AW</v>
      </c>
      <c r="AR686" s="121" t="str">
        <f t="shared" si="150"/>
        <v>389 - AW</v>
      </c>
      <c r="AT686" s="121" t="e">
        <f>IF('Cable Info'!P390="","",CONCATENATE('Cable Info'!P390," - ",'Cable Info'!Q390))</f>
        <v>#N/A</v>
      </c>
      <c r="AW686" s="121" t="e">
        <f t="shared" si="151"/>
        <v>#N/A</v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str">
        <f>IF('Cable Info'!L391="","",CONCATENATE('Cable Info'!L391," - ",'Cable Info'!M391))</f>
        <v>390 - AW</v>
      </c>
      <c r="AM687" s="121" t="str">
        <f t="shared" si="149"/>
        <v>390 - AW</v>
      </c>
      <c r="AO687" s="121" t="str">
        <f>IF('Cable Info'!N391="","",CONCATENATE('Cable Info'!N391," - ",'Cable Info'!O391))</f>
        <v>390 - AW</v>
      </c>
      <c r="AR687" s="121" t="str">
        <f t="shared" si="150"/>
        <v>390 - AW</v>
      </c>
      <c r="AT687" s="121" t="e">
        <f>IF('Cable Info'!P391="","",CONCATENATE('Cable Info'!P391," - ",'Cable Info'!Q391))</f>
        <v>#N/A</v>
      </c>
      <c r="AW687" s="121" t="e">
        <f t="shared" si="151"/>
        <v>#N/A</v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str">
        <f>IF('Cable Info'!L392="","",CONCATENATE('Cable Info'!L392," - ",'Cable Info'!M392))</f>
        <v>391 - AW</v>
      </c>
      <c r="AM688" s="121" t="str">
        <f t="shared" si="149"/>
        <v>391 - AW</v>
      </c>
      <c r="AO688" s="121" t="str">
        <f>IF('Cable Info'!N392="","",CONCATENATE('Cable Info'!N392," - ",'Cable Info'!O392))</f>
        <v>391 - AW</v>
      </c>
      <c r="AR688" s="121" t="str">
        <f t="shared" si="150"/>
        <v>391 - AW</v>
      </c>
      <c r="AT688" s="121" t="e">
        <f>IF('Cable Info'!P392="","",CONCATENATE('Cable Info'!P392," - ",'Cable Info'!Q392))</f>
        <v>#N/A</v>
      </c>
      <c r="AW688" s="121" t="e">
        <f t="shared" si="151"/>
        <v>#N/A</v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str">
        <f>IF('Cable Info'!L393="","",CONCATENATE('Cable Info'!L393," - ",'Cable Info'!M393))</f>
        <v>392 - AW</v>
      </c>
      <c r="AM689" s="121" t="str">
        <f t="shared" si="149"/>
        <v>392 - AW</v>
      </c>
      <c r="AO689" s="121" t="str">
        <f>IF('Cable Info'!N393="","",CONCATENATE('Cable Info'!N393," - ",'Cable Info'!O393))</f>
        <v>392 - AW</v>
      </c>
      <c r="AR689" s="121" t="str">
        <f t="shared" si="150"/>
        <v>392 - AW</v>
      </c>
      <c r="AT689" s="121" t="e">
        <f>IF('Cable Info'!P393="","",CONCATENATE('Cable Info'!P393," - ",'Cable Info'!Q393))</f>
        <v>#N/A</v>
      </c>
      <c r="AW689" s="121" t="e">
        <f t="shared" si="151"/>
        <v>#N/A</v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str">
        <f>IF('Cable Info'!L394="","",CONCATENATE('Cable Info'!L394," - ",'Cable Info'!M394))</f>
        <v>393 - AW</v>
      </c>
      <c r="AM690" s="121" t="str">
        <f t="shared" si="149"/>
        <v>393 - AW</v>
      </c>
      <c r="AO690" s="121" t="str">
        <f>IF('Cable Info'!N394="","",CONCATENATE('Cable Info'!N394," - ",'Cable Info'!O394))</f>
        <v>393 - AW</v>
      </c>
      <c r="AR690" s="121" t="str">
        <f t="shared" si="150"/>
        <v>393 - AW</v>
      </c>
      <c r="AT690" s="121" t="e">
        <f>IF('Cable Info'!P394="","",CONCATENATE('Cable Info'!P394," - ",'Cable Info'!Q394))</f>
        <v>#N/A</v>
      </c>
      <c r="AW690" s="121" t="e">
        <f t="shared" si="151"/>
        <v>#N/A</v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str">
        <f>IF('Cable Info'!L395="","",CONCATENATE('Cable Info'!L395," - ",'Cable Info'!M395))</f>
        <v>394 - AW</v>
      </c>
      <c r="AM691" s="121" t="str">
        <f t="shared" si="149"/>
        <v>394 - AW</v>
      </c>
      <c r="AO691" s="121" t="str">
        <f>IF('Cable Info'!N395="","",CONCATENATE('Cable Info'!N395," - ",'Cable Info'!O395))</f>
        <v>394 - AW</v>
      </c>
      <c r="AR691" s="121" t="str">
        <f t="shared" si="150"/>
        <v>394 - AW</v>
      </c>
      <c r="AT691" s="121" t="e">
        <f>IF('Cable Info'!P395="","",CONCATENATE('Cable Info'!P395," - ",'Cable Info'!Q395))</f>
        <v>#N/A</v>
      </c>
      <c r="AW691" s="121" t="e">
        <f t="shared" si="151"/>
        <v>#N/A</v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str">
        <f>IF('Cable Info'!L396="","",CONCATENATE('Cable Info'!L396," - ",'Cable Info'!M396))</f>
        <v>395 - AW</v>
      </c>
      <c r="AM692" s="121" t="str">
        <f t="shared" si="149"/>
        <v>395 - AW</v>
      </c>
      <c r="AO692" s="121" t="str">
        <f>IF('Cable Info'!N396="","",CONCATENATE('Cable Info'!N396," - ",'Cable Info'!O396))</f>
        <v>395 - AW</v>
      </c>
      <c r="AR692" s="121" t="str">
        <f t="shared" si="150"/>
        <v>395 - AW</v>
      </c>
      <c r="AT692" s="121" t="e">
        <f>IF('Cable Info'!P396="","",CONCATENATE('Cable Info'!P396," - ",'Cable Info'!Q396))</f>
        <v>#N/A</v>
      </c>
      <c r="AW692" s="121" t="e">
        <f t="shared" si="151"/>
        <v>#N/A</v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str">
        <f>IF('Cable Info'!L397="","",CONCATENATE('Cable Info'!L397," - ",'Cable Info'!M397))</f>
        <v>396 - AW</v>
      </c>
      <c r="AM693" s="121" t="str">
        <f t="shared" si="149"/>
        <v>396 - AW</v>
      </c>
      <c r="AO693" s="121" t="str">
        <f>IF('Cable Info'!N397="","",CONCATENATE('Cable Info'!N397," - ",'Cable Info'!O397))</f>
        <v>396 - AW</v>
      </c>
      <c r="AR693" s="121" t="str">
        <f t="shared" si="150"/>
        <v>396 - AW</v>
      </c>
      <c r="AT693" s="121" t="e">
        <f>IF('Cable Info'!P397="","",CONCATENATE('Cable Info'!P397," - ",'Cable Info'!Q397))</f>
        <v>#N/A</v>
      </c>
      <c r="AW693" s="121" t="e">
        <f t="shared" si="151"/>
        <v>#N/A</v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str">
        <f>IF('Cable Info'!L398="","",CONCATENATE('Cable Info'!L398," - ",'Cable Info'!M398))</f>
        <v>397 - AW</v>
      </c>
      <c r="AM694" s="121" t="str">
        <f t="shared" si="149"/>
        <v>397 - AW</v>
      </c>
      <c r="AO694" s="121" t="str">
        <f>IF('Cable Info'!N398="","",CONCATENATE('Cable Info'!N398," - ",'Cable Info'!O398))</f>
        <v>397 - AW</v>
      </c>
      <c r="AR694" s="121" t="str">
        <f t="shared" si="150"/>
        <v>397 - AW</v>
      </c>
      <c r="AT694" s="121" t="e">
        <f>IF('Cable Info'!P398="","",CONCATENATE('Cable Info'!P398," - ",'Cable Info'!Q398))</f>
        <v>#N/A</v>
      </c>
      <c r="AW694" s="121" t="e">
        <f t="shared" si="151"/>
        <v>#N/A</v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str">
        <f>IF('Cable Info'!L399="","",CONCATENATE('Cable Info'!L399," - ",'Cable Info'!M399))</f>
        <v>398 - AW</v>
      </c>
      <c r="AM695" s="121" t="str">
        <f t="shared" si="149"/>
        <v>398 - AW</v>
      </c>
      <c r="AO695" s="121" t="str">
        <f>IF('Cable Info'!N399="","",CONCATENATE('Cable Info'!N399," - ",'Cable Info'!O399))</f>
        <v>398 - AW</v>
      </c>
      <c r="AR695" s="121" t="str">
        <f t="shared" si="150"/>
        <v>398 - AW</v>
      </c>
      <c r="AT695" s="121" t="e">
        <f>IF('Cable Info'!P399="","",CONCATENATE('Cable Info'!P399," - ",'Cable Info'!Q399))</f>
        <v>#N/A</v>
      </c>
      <c r="AW695" s="121" t="e">
        <f t="shared" si="151"/>
        <v>#N/A</v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str">
        <f>IF('Cable Info'!L400="","",CONCATENATE('Cable Info'!L400," - ",'Cable Info'!M400))</f>
        <v>399 - AW</v>
      </c>
      <c r="AM696" s="121" t="str">
        <f t="shared" si="149"/>
        <v>399 - AW</v>
      </c>
      <c r="AO696" s="121" t="str">
        <f>IF('Cable Info'!N400="","",CONCATENATE('Cable Info'!N400," - ",'Cable Info'!O400))</f>
        <v>399 - AW</v>
      </c>
      <c r="AR696" s="121" t="str">
        <f t="shared" si="150"/>
        <v>399 - AW</v>
      </c>
      <c r="AT696" s="121" t="e">
        <f>IF('Cable Info'!P400="","",CONCATENATE('Cable Info'!P400," - ",'Cable Info'!Q400))</f>
        <v>#N/A</v>
      </c>
      <c r="AW696" s="121" t="e">
        <f t="shared" si="151"/>
        <v>#N/A</v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str">
        <f>IF('Cable Info'!L401="","",CONCATENATE('Cable Info'!L401," - ",'Cable Info'!M401))</f>
        <v>400 - AW</v>
      </c>
      <c r="AM697" s="121" t="str">
        <f t="shared" si="149"/>
        <v>400 - AW</v>
      </c>
      <c r="AO697" s="121" t="str">
        <f>IF('Cable Info'!N401="","",CONCATENATE('Cable Info'!N401," - ",'Cable Info'!O401))</f>
        <v>400 - AW</v>
      </c>
      <c r="AR697" s="121" t="str">
        <f t="shared" si="150"/>
        <v>400 - AW</v>
      </c>
      <c r="AT697" s="121" t="e">
        <f>IF('Cable Info'!P401="","",CONCATENATE('Cable Info'!P401," - ",'Cable Info'!Q401))</f>
        <v>#N/A</v>
      </c>
      <c r="AW697" s="121" t="e">
        <f t="shared" si="151"/>
        <v>#N/A</v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str">
        <f>IF('Cable Info'!L402="","",CONCATENATE('Cable Info'!L402," - ",'Cable Info'!M402))</f>
        <v>401 - AW</v>
      </c>
      <c r="AM698" s="121" t="str">
        <f t="shared" si="149"/>
        <v>401 - AW</v>
      </c>
      <c r="AO698" s="121" t="str">
        <f>IF('Cable Info'!N402="","",CONCATENATE('Cable Info'!N402," - ",'Cable Info'!O402))</f>
        <v>401 - AW</v>
      </c>
      <c r="AR698" s="121" t="str">
        <f t="shared" si="150"/>
        <v>401 - AW</v>
      </c>
      <c r="AT698" s="121" t="e">
        <f>IF('Cable Info'!P402="","",CONCATENATE('Cable Info'!P402," - ",'Cable Info'!Q402))</f>
        <v>#N/A</v>
      </c>
      <c r="AW698" s="121" t="e">
        <f t="shared" si="151"/>
        <v>#N/A</v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str">
        <f>IF('Cable Info'!L403="","",CONCATENATE('Cable Info'!L403," - ",'Cable Info'!M403))</f>
        <v>402 - AW</v>
      </c>
      <c r="AM699" s="121" t="str">
        <f t="shared" si="149"/>
        <v>402 - AW</v>
      </c>
      <c r="AO699" s="121" t="str">
        <f>IF('Cable Info'!N403="","",CONCATENATE('Cable Info'!N403," - ",'Cable Info'!O403))</f>
        <v>402 - AW</v>
      </c>
      <c r="AR699" s="121" t="str">
        <f t="shared" si="150"/>
        <v>402 - AW</v>
      </c>
      <c r="AT699" s="121" t="e">
        <f>IF('Cable Info'!P403="","",CONCATENATE('Cable Info'!P403," - ",'Cable Info'!Q403))</f>
        <v>#N/A</v>
      </c>
      <c r="AW699" s="121" t="e">
        <f t="shared" si="151"/>
        <v>#N/A</v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str">
        <f>IF('Cable Info'!L404="","",CONCATENATE('Cable Info'!L404," - ",'Cable Info'!M404))</f>
        <v>403 - AW</v>
      </c>
      <c r="AM700" s="121" t="str">
        <f t="shared" si="149"/>
        <v>403 - AW</v>
      </c>
      <c r="AO700" s="121" t="str">
        <f>IF('Cable Info'!N404="","",CONCATENATE('Cable Info'!N404," - ",'Cable Info'!O404))</f>
        <v>403 - AW</v>
      </c>
      <c r="AR700" s="121" t="str">
        <f t="shared" si="150"/>
        <v>403 - AW</v>
      </c>
      <c r="AT700" s="121" t="e">
        <f>IF('Cable Info'!P404="","",CONCATENATE('Cable Info'!P404," - ",'Cable Info'!Q404))</f>
        <v>#N/A</v>
      </c>
      <c r="AW700" s="121" t="e">
        <f t="shared" si="151"/>
        <v>#N/A</v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str">
        <f>IF('Cable Info'!L405="","",CONCATENATE('Cable Info'!L405," - ",'Cable Info'!M405))</f>
        <v>404 - AW</v>
      </c>
      <c r="AM701" s="121" t="str">
        <f t="shared" si="149"/>
        <v>404 - AW</v>
      </c>
      <c r="AO701" s="121" t="str">
        <f>IF('Cable Info'!N405="","",CONCATENATE('Cable Info'!N405," - ",'Cable Info'!O405))</f>
        <v>404 - AW</v>
      </c>
      <c r="AR701" s="121" t="str">
        <f t="shared" si="150"/>
        <v>404 - AW</v>
      </c>
      <c r="AT701" s="121" t="e">
        <f>IF('Cable Info'!P405="","",CONCATENATE('Cable Info'!P405," - ",'Cable Info'!Q405))</f>
        <v>#N/A</v>
      </c>
      <c r="AW701" s="121" t="e">
        <f t="shared" si="151"/>
        <v>#N/A</v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str">
        <f>IF('Cable Info'!L406="","",CONCATENATE('Cable Info'!L406," - ",'Cable Info'!M406))</f>
        <v>405 - AW</v>
      </c>
      <c r="AM702" s="121" t="str">
        <f t="shared" si="149"/>
        <v>405 - AW</v>
      </c>
      <c r="AO702" s="121" t="str">
        <f>IF('Cable Info'!N406="","",CONCATENATE('Cable Info'!N406," - ",'Cable Info'!O406))</f>
        <v>405 - AW</v>
      </c>
      <c r="AR702" s="121" t="str">
        <f t="shared" si="150"/>
        <v>405 - AW</v>
      </c>
      <c r="AT702" s="121" t="e">
        <f>IF('Cable Info'!P406="","",CONCATENATE('Cable Info'!P406," - ",'Cable Info'!Q406))</f>
        <v>#N/A</v>
      </c>
      <c r="AW702" s="121" t="e">
        <f t="shared" si="151"/>
        <v>#N/A</v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str">
        <f>IF('Cable Info'!L407="","",CONCATENATE('Cable Info'!L407," - ",'Cable Info'!M407))</f>
        <v>406 - AW</v>
      </c>
      <c r="AM703" s="121" t="str">
        <f t="shared" si="149"/>
        <v>406 - AW</v>
      </c>
      <c r="AO703" s="121" t="str">
        <f>IF('Cable Info'!N407="","",CONCATENATE('Cable Info'!N407," - ",'Cable Info'!O407))</f>
        <v>406 - AW</v>
      </c>
      <c r="AR703" s="121" t="str">
        <f t="shared" si="150"/>
        <v>406 - AW</v>
      </c>
      <c r="AT703" s="121" t="e">
        <f>IF('Cable Info'!P407="","",CONCATENATE('Cable Info'!P407," - ",'Cable Info'!Q407))</f>
        <v>#N/A</v>
      </c>
      <c r="AW703" s="121" t="e">
        <f t="shared" si="151"/>
        <v>#N/A</v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str">
        <f>IF('Cable Info'!L408="","",CONCATENATE('Cable Info'!L408," - ",'Cable Info'!M408))</f>
        <v>407 - AW</v>
      </c>
      <c r="AM704" s="121" t="str">
        <f t="shared" si="149"/>
        <v>407 - AW</v>
      </c>
      <c r="AO704" s="121" t="str">
        <f>IF('Cable Info'!N408="","",CONCATENATE('Cable Info'!N408," - ",'Cable Info'!O408))</f>
        <v>407 - AW</v>
      </c>
      <c r="AR704" s="121" t="str">
        <f t="shared" si="150"/>
        <v>407 - AW</v>
      </c>
      <c r="AT704" s="121" t="e">
        <f>IF('Cable Info'!P408="","",CONCATENATE('Cable Info'!P408," - ",'Cable Info'!Q408))</f>
        <v>#N/A</v>
      </c>
      <c r="AW704" s="121" t="e">
        <f t="shared" si="151"/>
        <v>#N/A</v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str">
        <f>IF('Cable Info'!L409="","",CONCATENATE('Cable Info'!L409," - ",'Cable Info'!M409))</f>
        <v>408 - AW</v>
      </c>
      <c r="AM705" s="121" t="str">
        <f t="shared" si="149"/>
        <v>408 - AW</v>
      </c>
      <c r="AO705" s="121" t="str">
        <f>IF('Cable Info'!N409="","",CONCATENATE('Cable Info'!N409," - ",'Cable Info'!O409))</f>
        <v>408 - AW</v>
      </c>
      <c r="AR705" s="121" t="str">
        <f t="shared" si="150"/>
        <v>408 - AW</v>
      </c>
      <c r="AT705" s="121" t="e">
        <f>IF('Cable Info'!P409="","",CONCATENATE('Cable Info'!P409," - ",'Cable Info'!Q409))</f>
        <v>#N/A</v>
      </c>
      <c r="AW705" s="121" t="e">
        <f t="shared" si="151"/>
        <v>#N/A</v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str">
        <f>IF('Cable Info'!L410="","",CONCATENATE('Cable Info'!L410," - ",'Cable Info'!M410))</f>
        <v>409 - AW</v>
      </c>
      <c r="AM706" s="121" t="str">
        <f t="shared" si="149"/>
        <v>409 - AW</v>
      </c>
      <c r="AO706" s="121" t="str">
        <f>IF('Cable Info'!N410="","",CONCATENATE('Cable Info'!N410," - ",'Cable Info'!O410))</f>
        <v>409 - AW</v>
      </c>
      <c r="AR706" s="121" t="str">
        <f t="shared" si="150"/>
        <v>409 - AW</v>
      </c>
      <c r="AT706" s="121" t="e">
        <f>IF('Cable Info'!P410="","",CONCATENATE('Cable Info'!P410," - ",'Cable Info'!Q410))</f>
        <v>#N/A</v>
      </c>
      <c r="AW706" s="121" t="e">
        <f t="shared" si="151"/>
        <v>#N/A</v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str">
        <f>IF('Cable Info'!L411="","",CONCATENATE('Cable Info'!L411," - ",'Cable Info'!M411))</f>
        <v>410 - AW</v>
      </c>
      <c r="AM707" s="121" t="str">
        <f t="shared" si="149"/>
        <v>410 - AW</v>
      </c>
      <c r="AO707" s="121" t="str">
        <f>IF('Cable Info'!N411="","",CONCATENATE('Cable Info'!N411," - ",'Cable Info'!O411))</f>
        <v>410 - AW</v>
      </c>
      <c r="AR707" s="121" t="str">
        <f t="shared" si="150"/>
        <v>410 - AW</v>
      </c>
      <c r="AT707" s="121" t="e">
        <f>IF('Cable Info'!P411="","",CONCATENATE('Cable Info'!P411," - ",'Cable Info'!Q411))</f>
        <v>#N/A</v>
      </c>
      <c r="AW707" s="121" t="e">
        <f t="shared" si="151"/>
        <v>#N/A</v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str">
        <f>IF('Cable Info'!L412="","",CONCATENATE('Cable Info'!L412," - ",'Cable Info'!M412))</f>
        <v>411 - AW</v>
      </c>
      <c r="AM708" s="121" t="str">
        <f t="shared" si="149"/>
        <v>411 - AW</v>
      </c>
      <c r="AO708" s="121" t="str">
        <f>IF('Cable Info'!N412="","",CONCATENATE('Cable Info'!N412," - ",'Cable Info'!O412))</f>
        <v>411 - AW</v>
      </c>
      <c r="AR708" s="121" t="str">
        <f t="shared" si="150"/>
        <v>411 - AW</v>
      </c>
      <c r="AT708" s="121" t="e">
        <f>IF('Cable Info'!P412="","",CONCATENATE('Cable Info'!P412," - ",'Cable Info'!Q412))</f>
        <v>#N/A</v>
      </c>
      <c r="AW708" s="121" t="e">
        <f t="shared" si="151"/>
        <v>#N/A</v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str">
        <f>IF('Cable Info'!L413="","",CONCATENATE('Cable Info'!L413," - ",'Cable Info'!M413))</f>
        <v>412 - AW</v>
      </c>
      <c r="AM709" s="121" t="str">
        <f t="shared" si="149"/>
        <v>412 - AW</v>
      </c>
      <c r="AO709" s="121" t="str">
        <f>IF('Cable Info'!N413="","",CONCATENATE('Cable Info'!N413," - ",'Cable Info'!O413))</f>
        <v>412 - AW</v>
      </c>
      <c r="AR709" s="121" t="str">
        <f t="shared" si="150"/>
        <v>412 - AW</v>
      </c>
      <c r="AT709" s="121" t="e">
        <f>IF('Cable Info'!P413="","",CONCATENATE('Cable Info'!P413," - ",'Cable Info'!Q413))</f>
        <v>#N/A</v>
      </c>
      <c r="AW709" s="121" t="e">
        <f t="shared" si="151"/>
        <v>#N/A</v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str">
        <f>IF('Cable Info'!L414="","",CONCATENATE('Cable Info'!L414," - ",'Cable Info'!M414))</f>
        <v>413 - AW</v>
      </c>
      <c r="AM710" s="121" t="str">
        <f t="shared" si="149"/>
        <v>413 - AW</v>
      </c>
      <c r="AO710" s="121" t="str">
        <f>IF('Cable Info'!N414="","",CONCATENATE('Cable Info'!N414," - ",'Cable Info'!O414))</f>
        <v>413 - AW</v>
      </c>
      <c r="AR710" s="121" t="str">
        <f t="shared" si="150"/>
        <v>413 - AW</v>
      </c>
      <c r="AT710" s="121" t="e">
        <f>IF('Cable Info'!P414="","",CONCATENATE('Cable Info'!P414," - ",'Cable Info'!Q414))</f>
        <v>#N/A</v>
      </c>
      <c r="AW710" s="121" t="e">
        <f t="shared" si="151"/>
        <v>#N/A</v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str">
        <f>IF('Cable Info'!L415="","",CONCATENATE('Cable Info'!L415," - ",'Cable Info'!M415))</f>
        <v>414 - AW</v>
      </c>
      <c r="AM711" s="121" t="str">
        <f t="shared" si="149"/>
        <v>414 - AW</v>
      </c>
      <c r="AO711" s="121" t="str">
        <f>IF('Cable Info'!N415="","",CONCATENATE('Cable Info'!N415," - ",'Cable Info'!O415))</f>
        <v>414 - AW</v>
      </c>
      <c r="AR711" s="121" t="str">
        <f t="shared" si="150"/>
        <v>414 - AW</v>
      </c>
      <c r="AT711" s="121" t="e">
        <f>IF('Cable Info'!P415="","",CONCATENATE('Cable Info'!P415," - ",'Cable Info'!Q415))</f>
        <v>#N/A</v>
      </c>
      <c r="AW711" s="121" t="e">
        <f t="shared" si="151"/>
        <v>#N/A</v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str">
        <f>IF('Cable Info'!L416="","",CONCATENATE('Cable Info'!L416," - ",'Cable Info'!M416))</f>
        <v>415 - AW</v>
      </c>
      <c r="AM712" s="121" t="str">
        <f t="shared" si="149"/>
        <v>415 - AW</v>
      </c>
      <c r="AO712" s="121" t="str">
        <f>IF('Cable Info'!N416="","",CONCATENATE('Cable Info'!N416," - ",'Cable Info'!O416))</f>
        <v>415 - AW</v>
      </c>
      <c r="AR712" s="121" t="str">
        <f t="shared" si="150"/>
        <v>415 - AW</v>
      </c>
      <c r="AT712" s="121" t="e">
        <f>IF('Cable Info'!P416="","",CONCATENATE('Cable Info'!P416," - ",'Cable Info'!Q416))</f>
        <v>#N/A</v>
      </c>
      <c r="AW712" s="121" t="e">
        <f t="shared" si="151"/>
        <v>#N/A</v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str">
        <f>IF('Cable Info'!L417="","",CONCATENATE('Cable Info'!L417," - ",'Cable Info'!M417))</f>
        <v>416 - AW</v>
      </c>
      <c r="AM713" s="121" t="str">
        <f t="shared" si="149"/>
        <v>416 - AW</v>
      </c>
      <c r="AO713" s="121" t="str">
        <f>IF('Cable Info'!N417="","",CONCATENATE('Cable Info'!N417," - ",'Cable Info'!O417))</f>
        <v>416 - AW</v>
      </c>
      <c r="AR713" s="121" t="str">
        <f t="shared" si="150"/>
        <v>416 - AW</v>
      </c>
      <c r="AT713" s="121" t="e">
        <f>IF('Cable Info'!P417="","",CONCATENATE('Cable Info'!P417," - ",'Cable Info'!Q417))</f>
        <v>#N/A</v>
      </c>
      <c r="AW713" s="121" t="e">
        <f t="shared" si="151"/>
        <v>#N/A</v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str">
        <f>IF('Cable Info'!L418="","",CONCATENATE('Cable Info'!L418," - ",'Cable Info'!M418))</f>
        <v>417 - AW</v>
      </c>
      <c r="AM714" s="121" t="str">
        <f t="shared" si="149"/>
        <v>417 - AW</v>
      </c>
      <c r="AO714" s="121" t="str">
        <f>IF('Cable Info'!N418="","",CONCATENATE('Cable Info'!N418," - ",'Cable Info'!O418))</f>
        <v>417 - AW</v>
      </c>
      <c r="AR714" s="121" t="str">
        <f t="shared" si="150"/>
        <v>417 - AW</v>
      </c>
      <c r="AT714" s="121" t="e">
        <f>IF('Cable Info'!P418="","",CONCATENATE('Cable Info'!P418," - ",'Cable Info'!Q418))</f>
        <v>#N/A</v>
      </c>
      <c r="AW714" s="121" t="e">
        <f t="shared" si="151"/>
        <v>#N/A</v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str">
        <f>IF('Cable Info'!L419="","",CONCATENATE('Cable Info'!L419," - ",'Cable Info'!M419))</f>
        <v>418 - AW</v>
      </c>
      <c r="AM715" s="121" t="str">
        <f t="shared" si="149"/>
        <v>418 - AW</v>
      </c>
      <c r="AO715" s="121" t="str">
        <f>IF('Cable Info'!N419="","",CONCATENATE('Cable Info'!N419," - ",'Cable Info'!O419))</f>
        <v>418 - AW</v>
      </c>
      <c r="AR715" s="121" t="str">
        <f t="shared" si="150"/>
        <v>418 - AW</v>
      </c>
      <c r="AT715" s="121" t="e">
        <f>IF('Cable Info'!P419="","",CONCATENATE('Cable Info'!P419," - ",'Cable Info'!Q419))</f>
        <v>#N/A</v>
      </c>
      <c r="AW715" s="121" t="e">
        <f t="shared" si="151"/>
        <v>#N/A</v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str">
        <f>IF('Cable Info'!L420="","",CONCATENATE('Cable Info'!L420," - ",'Cable Info'!M420))</f>
        <v>419 - AW</v>
      </c>
      <c r="AM716" s="121" t="str">
        <f t="shared" si="149"/>
        <v>419 - AW</v>
      </c>
      <c r="AO716" s="121" t="str">
        <f>IF('Cable Info'!N420="","",CONCATENATE('Cable Info'!N420," - ",'Cable Info'!O420))</f>
        <v>419 - AW</v>
      </c>
      <c r="AR716" s="121" t="str">
        <f t="shared" si="150"/>
        <v>419 - AW</v>
      </c>
      <c r="AT716" s="121" t="e">
        <f>IF('Cable Info'!P420="","",CONCATENATE('Cable Info'!P420," - ",'Cable Info'!Q420))</f>
        <v>#N/A</v>
      </c>
      <c r="AW716" s="121" t="e">
        <f t="shared" si="151"/>
        <v>#N/A</v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str">
        <f>IF('Cable Info'!L421="","",CONCATENATE('Cable Info'!L421," - ",'Cable Info'!M421))</f>
        <v>420 - AW</v>
      </c>
      <c r="AM717" s="121" t="str">
        <f t="shared" si="149"/>
        <v>420 - AW</v>
      </c>
      <c r="AO717" s="121" t="str">
        <f>IF('Cable Info'!N421="","",CONCATENATE('Cable Info'!N421," - ",'Cable Info'!O421))</f>
        <v>420 - AW</v>
      </c>
      <c r="AR717" s="121" t="str">
        <f t="shared" si="150"/>
        <v>420 - AW</v>
      </c>
      <c r="AT717" s="121" t="e">
        <f>IF('Cable Info'!P421="","",CONCATENATE('Cable Info'!P421," - ",'Cable Info'!Q421))</f>
        <v>#N/A</v>
      </c>
      <c r="AW717" s="121" t="e">
        <f t="shared" si="151"/>
        <v>#N/A</v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str">
        <f>IF('Cable Info'!L422="","",CONCATENATE('Cable Info'!L422," - ",'Cable Info'!M422))</f>
        <v>421 - AW</v>
      </c>
      <c r="AM718" s="121" t="str">
        <f t="shared" si="149"/>
        <v>421 - AW</v>
      </c>
      <c r="AO718" s="121" t="str">
        <f>IF('Cable Info'!N422="","",CONCATENATE('Cable Info'!N422," - ",'Cable Info'!O422))</f>
        <v>421 - AW</v>
      </c>
      <c r="AR718" s="121" t="str">
        <f t="shared" si="150"/>
        <v>421 - AW</v>
      </c>
      <c r="AT718" s="121" t="e">
        <f>IF('Cable Info'!P422="","",CONCATENATE('Cable Info'!P422," - ",'Cable Info'!Q422))</f>
        <v>#N/A</v>
      </c>
      <c r="AW718" s="121" t="e">
        <f t="shared" si="151"/>
        <v>#N/A</v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str">
        <f>IF('Cable Info'!L423="","",CONCATENATE('Cable Info'!L423," - ",'Cable Info'!M423))</f>
        <v>422 - AW</v>
      </c>
      <c r="AM719" s="121" t="str">
        <f t="shared" si="149"/>
        <v>422 - AW</v>
      </c>
      <c r="AO719" s="121" t="str">
        <f>IF('Cable Info'!N423="","",CONCATENATE('Cable Info'!N423," - ",'Cable Info'!O423))</f>
        <v>422 - AW</v>
      </c>
      <c r="AR719" s="121" t="str">
        <f t="shared" si="150"/>
        <v>422 - AW</v>
      </c>
      <c r="AT719" s="121" t="e">
        <f>IF('Cable Info'!P423="","",CONCATENATE('Cable Info'!P423," - ",'Cable Info'!Q423))</f>
        <v>#N/A</v>
      </c>
      <c r="AW719" s="121" t="e">
        <f t="shared" si="151"/>
        <v>#N/A</v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str">
        <f>IF('Cable Info'!L424="","",CONCATENATE('Cable Info'!L424," - ",'Cable Info'!M424))</f>
        <v>423 - AW</v>
      </c>
      <c r="AM720" s="121" t="str">
        <f t="shared" si="149"/>
        <v>423 - AW</v>
      </c>
      <c r="AO720" s="121" t="str">
        <f>IF('Cable Info'!N424="","",CONCATENATE('Cable Info'!N424," - ",'Cable Info'!O424))</f>
        <v>423 - AW</v>
      </c>
      <c r="AR720" s="121" t="str">
        <f t="shared" si="150"/>
        <v>423 - AW</v>
      </c>
      <c r="AT720" s="121" t="e">
        <f>IF('Cable Info'!P424="","",CONCATENATE('Cable Info'!P424," - ",'Cable Info'!Q424))</f>
        <v>#N/A</v>
      </c>
      <c r="AW720" s="121" t="e">
        <f t="shared" si="151"/>
        <v>#N/A</v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str">
        <f>IF('Cable Info'!L425="","",CONCATENATE('Cable Info'!L425," - ",'Cable Info'!M425))</f>
        <v>424 - AW</v>
      </c>
      <c r="AM721" s="121" t="str">
        <f t="shared" si="149"/>
        <v>424 - AW</v>
      </c>
      <c r="AO721" s="121" t="str">
        <f>IF('Cable Info'!N425="","",CONCATENATE('Cable Info'!N425," - ",'Cable Info'!O425))</f>
        <v>424 - AW</v>
      </c>
      <c r="AR721" s="121" t="str">
        <f t="shared" si="150"/>
        <v>424 - AW</v>
      </c>
      <c r="AT721" s="121" t="e">
        <f>IF('Cable Info'!P425="","",CONCATENATE('Cable Info'!P425," - ",'Cable Info'!Q425))</f>
        <v>#N/A</v>
      </c>
      <c r="AW721" s="121" t="e">
        <f t="shared" si="151"/>
        <v>#N/A</v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str">
        <f>IF('Cable Info'!L426="","",CONCATENATE('Cable Info'!L426," - ",'Cable Info'!M426))</f>
        <v>425 - AW</v>
      </c>
      <c r="AM722" s="121" t="str">
        <f t="shared" si="149"/>
        <v>425 - AW</v>
      </c>
      <c r="AO722" s="121" t="str">
        <f>IF('Cable Info'!N426="","",CONCATENATE('Cable Info'!N426," - ",'Cable Info'!O426))</f>
        <v>425 - AW</v>
      </c>
      <c r="AR722" s="121" t="str">
        <f t="shared" si="150"/>
        <v>425 - AW</v>
      </c>
      <c r="AT722" s="121" t="e">
        <f>IF('Cable Info'!P426="","",CONCATENATE('Cable Info'!P426," - ",'Cable Info'!Q426))</f>
        <v>#N/A</v>
      </c>
      <c r="AW722" s="121" t="e">
        <f t="shared" si="151"/>
        <v>#N/A</v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str">
        <f>IF('Cable Info'!L427="","",CONCATENATE('Cable Info'!L427," - ",'Cable Info'!M427))</f>
        <v>426 - AW</v>
      </c>
      <c r="AM723" s="121" t="str">
        <f t="shared" si="149"/>
        <v>426 - AW</v>
      </c>
      <c r="AO723" s="121" t="str">
        <f>IF('Cable Info'!N427="","",CONCATENATE('Cable Info'!N427," - ",'Cable Info'!O427))</f>
        <v>426 - AW</v>
      </c>
      <c r="AR723" s="121" t="str">
        <f t="shared" si="150"/>
        <v>426 - AW</v>
      </c>
      <c r="AT723" s="121" t="e">
        <f>IF('Cable Info'!P427="","",CONCATENATE('Cable Info'!P427," - ",'Cable Info'!Q427))</f>
        <v>#N/A</v>
      </c>
      <c r="AW723" s="121" t="e">
        <f t="shared" si="151"/>
        <v>#N/A</v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str">
        <f>IF('Cable Info'!L428="","",CONCATENATE('Cable Info'!L428," - ",'Cable Info'!M428))</f>
        <v>427 - AW</v>
      </c>
      <c r="AM724" s="121" t="str">
        <f t="shared" si="149"/>
        <v>427 - AW</v>
      </c>
      <c r="AO724" s="121" t="str">
        <f>IF('Cable Info'!N428="","",CONCATENATE('Cable Info'!N428," - ",'Cable Info'!O428))</f>
        <v>427 - AW</v>
      </c>
      <c r="AR724" s="121" t="str">
        <f t="shared" si="150"/>
        <v>427 - AW</v>
      </c>
      <c r="AT724" s="121" t="e">
        <f>IF('Cable Info'!P428="","",CONCATENATE('Cable Info'!P428," - ",'Cable Info'!Q428))</f>
        <v>#N/A</v>
      </c>
      <c r="AW724" s="121" t="e">
        <f t="shared" si="151"/>
        <v>#N/A</v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str">
        <f>IF('Cable Info'!L429="","",CONCATENATE('Cable Info'!L429," - ",'Cable Info'!M429))</f>
        <v>428 - AW</v>
      </c>
      <c r="AM725" s="121" t="str">
        <f t="shared" si="149"/>
        <v>428 - AW</v>
      </c>
      <c r="AO725" s="121" t="str">
        <f>IF('Cable Info'!N429="","",CONCATENATE('Cable Info'!N429," - ",'Cable Info'!O429))</f>
        <v>428 - AW</v>
      </c>
      <c r="AR725" s="121" t="str">
        <f t="shared" si="150"/>
        <v>428 - AW</v>
      </c>
      <c r="AT725" s="121" t="e">
        <f>IF('Cable Info'!P429="","",CONCATENATE('Cable Info'!P429," - ",'Cable Info'!Q429))</f>
        <v>#N/A</v>
      </c>
      <c r="AW725" s="121" t="e">
        <f t="shared" si="151"/>
        <v>#N/A</v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str">
        <f>IF('Cable Info'!L430="","",CONCATENATE('Cable Info'!L430," - ",'Cable Info'!M430))</f>
        <v>429 - AW</v>
      </c>
      <c r="AM726" s="121" t="str">
        <f t="shared" si="149"/>
        <v>429 - AW</v>
      </c>
      <c r="AO726" s="121" t="str">
        <f>IF('Cable Info'!N430="","",CONCATENATE('Cable Info'!N430," - ",'Cable Info'!O430))</f>
        <v>429 - AW</v>
      </c>
      <c r="AR726" s="121" t="str">
        <f t="shared" si="150"/>
        <v>429 - AW</v>
      </c>
      <c r="AT726" s="121" t="e">
        <f>IF('Cable Info'!P430="","",CONCATENATE('Cable Info'!P430," - ",'Cable Info'!Q430))</f>
        <v>#N/A</v>
      </c>
      <c r="AW726" s="121" t="e">
        <f t="shared" si="151"/>
        <v>#N/A</v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str">
        <f>IF('Cable Info'!L431="","",CONCATENATE('Cable Info'!L431," - ",'Cable Info'!M431))</f>
        <v>430 - AW</v>
      </c>
      <c r="AM727" s="121" t="str">
        <f t="shared" si="149"/>
        <v>430 - AW</v>
      </c>
      <c r="AO727" s="121" t="str">
        <f>IF('Cable Info'!N431="","",CONCATENATE('Cable Info'!N431," - ",'Cable Info'!O431))</f>
        <v>430 - AW</v>
      </c>
      <c r="AR727" s="121" t="str">
        <f t="shared" si="150"/>
        <v>430 - AW</v>
      </c>
      <c r="AT727" s="121" t="e">
        <f>IF('Cable Info'!P431="","",CONCATENATE('Cable Info'!P431," - ",'Cable Info'!Q431))</f>
        <v>#N/A</v>
      </c>
      <c r="AW727" s="121" t="e">
        <f t="shared" si="151"/>
        <v>#N/A</v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str">
        <f>IF('Cable Info'!L432="","",CONCATENATE('Cable Info'!L432," - ",'Cable Info'!M432))</f>
        <v>431 - AW</v>
      </c>
      <c r="AM728" s="121" t="str">
        <f t="shared" si="149"/>
        <v>431 - AW</v>
      </c>
      <c r="AO728" s="121" t="str">
        <f>IF('Cable Info'!N432="","",CONCATENATE('Cable Info'!N432," - ",'Cable Info'!O432))</f>
        <v>431 - AW</v>
      </c>
      <c r="AR728" s="121" t="str">
        <f t="shared" si="150"/>
        <v>431 - AW</v>
      </c>
      <c r="AT728" s="121" t="e">
        <f>IF('Cable Info'!P432="","",CONCATENATE('Cable Info'!P432," - ",'Cable Info'!Q432))</f>
        <v>#N/A</v>
      </c>
      <c r="AW728" s="121" t="e">
        <f t="shared" si="151"/>
        <v>#N/A</v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str">
        <f>IF('Cable Info'!L433="","",CONCATENATE('Cable Info'!L433," - ",'Cable Info'!M433))</f>
        <v>432 - AW</v>
      </c>
      <c r="AM729" s="121" t="str">
        <f t="shared" si="149"/>
        <v>432 - AW</v>
      </c>
      <c r="AO729" s="121" t="str">
        <f>IF('Cable Info'!N433="","",CONCATENATE('Cable Info'!N433," - ",'Cable Info'!O433))</f>
        <v>432 - AW</v>
      </c>
      <c r="AR729" s="121" t="str">
        <f t="shared" si="150"/>
        <v>432 - AW</v>
      </c>
      <c r="AT729" s="121" t="e">
        <f>IF('Cable Info'!P433="","",CONCATENATE('Cable Info'!P433," - ",'Cable Info'!Q433))</f>
        <v>#N/A</v>
      </c>
      <c r="AW729" s="121" t="e">
        <f t="shared" si="151"/>
        <v>#N/A</v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str">
        <f>IF('Cable Info'!L434="","",CONCATENATE('Cable Info'!L434," - ",'Cable Info'!M434))</f>
        <v>433 - AW</v>
      </c>
      <c r="AM730" s="121" t="str">
        <f t="shared" si="149"/>
        <v>433 - AW</v>
      </c>
      <c r="AO730" s="121" t="str">
        <f>IF('Cable Info'!N434="","",CONCATENATE('Cable Info'!N434," - ",'Cable Info'!O434))</f>
        <v>433 - AW</v>
      </c>
      <c r="AR730" s="121" t="str">
        <f t="shared" si="150"/>
        <v>433 - AW</v>
      </c>
      <c r="AT730" s="121" t="e">
        <f>IF('Cable Info'!P434="","",CONCATENATE('Cable Info'!P434," - ",'Cable Info'!Q434))</f>
        <v>#N/A</v>
      </c>
      <c r="AW730" s="121" t="e">
        <f t="shared" si="151"/>
        <v>#N/A</v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str">
        <f>IF('Cable Info'!L435="","",CONCATENATE('Cable Info'!L435," - ",'Cable Info'!M435))</f>
        <v>434 - AW</v>
      </c>
      <c r="AM731" s="121" t="str">
        <f t="shared" si="149"/>
        <v>434 - AW</v>
      </c>
      <c r="AO731" s="121" t="str">
        <f>IF('Cable Info'!N435="","",CONCATENATE('Cable Info'!N435," - ",'Cable Info'!O435))</f>
        <v>434 - AW</v>
      </c>
      <c r="AR731" s="121" t="str">
        <f t="shared" si="150"/>
        <v>434 - AW</v>
      </c>
      <c r="AT731" s="121" t="e">
        <f>IF('Cable Info'!P435="","",CONCATENATE('Cable Info'!P435," - ",'Cable Info'!Q435))</f>
        <v>#N/A</v>
      </c>
      <c r="AW731" s="121" t="e">
        <f t="shared" si="151"/>
        <v>#N/A</v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str">
        <f>IF('Cable Info'!L436="","",CONCATENATE('Cable Info'!L436," - ",'Cable Info'!M436))</f>
        <v>435 - AW</v>
      </c>
      <c r="AM732" s="121" t="str">
        <f t="shared" si="149"/>
        <v>435 - AW</v>
      </c>
      <c r="AO732" s="121" t="str">
        <f>IF('Cable Info'!N436="","",CONCATENATE('Cable Info'!N436," - ",'Cable Info'!O436))</f>
        <v>435 - AW</v>
      </c>
      <c r="AR732" s="121" t="str">
        <f t="shared" si="150"/>
        <v>435 - AW</v>
      </c>
      <c r="AT732" s="121" t="e">
        <f>IF('Cable Info'!P436="","",CONCATENATE('Cable Info'!P436," - ",'Cable Info'!Q436))</f>
        <v>#N/A</v>
      </c>
      <c r="AW732" s="121" t="e">
        <f t="shared" si="151"/>
        <v>#N/A</v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str">
        <f>IF('Cable Info'!L437="","",CONCATENATE('Cable Info'!L437," - ",'Cable Info'!M437))</f>
        <v>436 - AW</v>
      </c>
      <c r="AM733" s="121" t="str">
        <f t="shared" si="149"/>
        <v>436 - AW</v>
      </c>
      <c r="AO733" s="121" t="str">
        <f>IF('Cable Info'!N437="","",CONCATENATE('Cable Info'!N437," - ",'Cable Info'!O437))</f>
        <v>436 - AW</v>
      </c>
      <c r="AR733" s="121" t="str">
        <f t="shared" si="150"/>
        <v>436 - AW</v>
      </c>
      <c r="AT733" s="121" t="e">
        <f>IF('Cable Info'!P437="","",CONCATENATE('Cable Info'!P437," - ",'Cable Info'!Q437))</f>
        <v>#N/A</v>
      </c>
      <c r="AW733" s="121" t="e">
        <f t="shared" si="151"/>
        <v>#N/A</v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str">
        <f>IF('Cable Info'!L438="","",CONCATENATE('Cable Info'!L438," - ",'Cable Info'!M438))</f>
        <v>437 - AW</v>
      </c>
      <c r="AM734" s="121" t="str">
        <f t="shared" si="149"/>
        <v>437 - AW</v>
      </c>
      <c r="AO734" s="121" t="str">
        <f>IF('Cable Info'!N438="","",CONCATENATE('Cable Info'!N438," - ",'Cable Info'!O438))</f>
        <v>437 - AW</v>
      </c>
      <c r="AR734" s="121" t="str">
        <f t="shared" si="150"/>
        <v>437 - AW</v>
      </c>
      <c r="AT734" s="121" t="e">
        <f>IF('Cable Info'!P438="","",CONCATENATE('Cable Info'!P438," - ",'Cable Info'!Q438))</f>
        <v>#N/A</v>
      </c>
      <c r="AW734" s="121" t="e">
        <f t="shared" si="151"/>
        <v>#N/A</v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str">
        <f>IF('Cable Info'!L439="","",CONCATENATE('Cable Info'!L439," - ",'Cable Info'!M439))</f>
        <v>438 - AW</v>
      </c>
      <c r="AM735" s="121" t="str">
        <f t="shared" si="149"/>
        <v>438 - AW</v>
      </c>
      <c r="AO735" s="121" t="str">
        <f>IF('Cable Info'!N439="","",CONCATENATE('Cable Info'!N439," - ",'Cable Info'!O439))</f>
        <v>438 - AW</v>
      </c>
      <c r="AR735" s="121" t="str">
        <f t="shared" si="150"/>
        <v>438 - AW</v>
      </c>
      <c r="AT735" s="121" t="e">
        <f>IF('Cable Info'!P439="","",CONCATENATE('Cable Info'!P439," - ",'Cable Info'!Q439))</f>
        <v>#N/A</v>
      </c>
      <c r="AW735" s="121" t="e">
        <f t="shared" si="151"/>
        <v>#N/A</v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str">
        <f>IF('Cable Info'!L440="","",CONCATENATE('Cable Info'!L440," - ",'Cable Info'!M440))</f>
        <v>439 - AW</v>
      </c>
      <c r="AM736" s="121" t="str">
        <f t="shared" si="149"/>
        <v>439 - AW</v>
      </c>
      <c r="AO736" s="121" t="str">
        <f>IF('Cable Info'!N440="","",CONCATENATE('Cable Info'!N440," - ",'Cable Info'!O440))</f>
        <v>439 - AW</v>
      </c>
      <c r="AR736" s="121" t="str">
        <f t="shared" si="150"/>
        <v>439 - AW</v>
      </c>
      <c r="AT736" s="121" t="e">
        <f>IF('Cable Info'!P440="","",CONCATENATE('Cable Info'!P440," - ",'Cable Info'!Q440))</f>
        <v>#N/A</v>
      </c>
      <c r="AW736" s="121" t="e">
        <f t="shared" si="151"/>
        <v>#N/A</v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str">
        <f>IF('Cable Info'!L441="","",CONCATENATE('Cable Info'!L441," - ",'Cable Info'!M441))</f>
        <v>440 - AW</v>
      </c>
      <c r="AM737" s="121" t="str">
        <f t="shared" si="149"/>
        <v>440 - AW</v>
      </c>
      <c r="AO737" s="121" t="str">
        <f>IF('Cable Info'!N441="","",CONCATENATE('Cable Info'!N441," - ",'Cable Info'!O441))</f>
        <v>440 - AW</v>
      </c>
      <c r="AR737" s="121" t="str">
        <f t="shared" si="150"/>
        <v>440 - AW</v>
      </c>
      <c r="AT737" s="121" t="e">
        <f>IF('Cable Info'!P441="","",CONCATENATE('Cable Info'!P441," - ",'Cable Info'!Q441))</f>
        <v>#N/A</v>
      </c>
      <c r="AW737" s="121" t="e">
        <f t="shared" si="151"/>
        <v>#N/A</v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str">
        <f>IF('Cable Info'!L442="","",CONCATENATE('Cable Info'!L442," - ",'Cable Info'!M442))</f>
        <v>441 - AW</v>
      </c>
      <c r="AM738" s="121" t="str">
        <f t="shared" si="149"/>
        <v>441 - AW</v>
      </c>
      <c r="AO738" s="121" t="str">
        <f>IF('Cable Info'!N442="","",CONCATENATE('Cable Info'!N442," - ",'Cable Info'!O442))</f>
        <v>441 - AW</v>
      </c>
      <c r="AR738" s="121" t="str">
        <f t="shared" si="150"/>
        <v>441 - AW</v>
      </c>
      <c r="AT738" s="121" t="e">
        <f>IF('Cable Info'!P442="","",CONCATENATE('Cable Info'!P442," - ",'Cable Info'!Q442))</f>
        <v>#N/A</v>
      </c>
      <c r="AW738" s="121" t="e">
        <f t="shared" si="151"/>
        <v>#N/A</v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str">
        <f>IF('Cable Info'!L443="","",CONCATENATE('Cable Info'!L443," - ",'Cable Info'!M443))</f>
        <v>442 - AW</v>
      </c>
      <c r="AM739" s="121" t="str">
        <f t="shared" si="149"/>
        <v>442 - AW</v>
      </c>
      <c r="AO739" s="121" t="str">
        <f>IF('Cable Info'!N443="","",CONCATENATE('Cable Info'!N443," - ",'Cable Info'!O443))</f>
        <v>442 - AW</v>
      </c>
      <c r="AR739" s="121" t="str">
        <f t="shared" si="150"/>
        <v>442 - AW</v>
      </c>
      <c r="AT739" s="121" t="e">
        <f>IF('Cable Info'!P443="","",CONCATENATE('Cable Info'!P443," - ",'Cable Info'!Q443))</f>
        <v>#N/A</v>
      </c>
      <c r="AW739" s="121" t="e">
        <f t="shared" si="151"/>
        <v>#N/A</v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str">
        <f>IF('Cable Info'!L444="","",CONCATENATE('Cable Info'!L444," - ",'Cable Info'!M444))</f>
        <v>443 - AW</v>
      </c>
      <c r="AM740" s="121" t="str">
        <f t="shared" si="149"/>
        <v>443 - AW</v>
      </c>
      <c r="AO740" s="121" t="str">
        <f>IF('Cable Info'!N444="","",CONCATENATE('Cable Info'!N444," - ",'Cable Info'!O444))</f>
        <v>443 - AW</v>
      </c>
      <c r="AR740" s="121" t="str">
        <f t="shared" si="150"/>
        <v>443 - AW</v>
      </c>
      <c r="AT740" s="121" t="e">
        <f>IF('Cable Info'!P444="","",CONCATENATE('Cable Info'!P444," - ",'Cable Info'!Q444))</f>
        <v>#N/A</v>
      </c>
      <c r="AW740" s="121" t="e">
        <f t="shared" si="151"/>
        <v>#N/A</v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str">
        <f>IF('Cable Info'!L445="","",CONCATENATE('Cable Info'!L445," - ",'Cable Info'!M445))</f>
        <v>444 - AW</v>
      </c>
      <c r="AM741" s="121" t="str">
        <f t="shared" si="149"/>
        <v>444 - AW</v>
      </c>
      <c r="AO741" s="121" t="str">
        <f>IF('Cable Info'!N445="","",CONCATENATE('Cable Info'!N445," - ",'Cable Info'!O445))</f>
        <v>444 - AW</v>
      </c>
      <c r="AR741" s="121" t="str">
        <f t="shared" si="150"/>
        <v>444 - AW</v>
      </c>
      <c r="AT741" s="121" t="e">
        <f>IF('Cable Info'!P445="","",CONCATENATE('Cable Info'!P445," - ",'Cable Info'!Q445))</f>
        <v>#N/A</v>
      </c>
      <c r="AW741" s="121" t="e">
        <f t="shared" si="151"/>
        <v>#N/A</v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str">
        <f>IF('Cable Info'!L446="","",CONCATENATE('Cable Info'!L446," - ",'Cable Info'!M446))</f>
        <v>445 - AW</v>
      </c>
      <c r="AM742" s="121" t="str">
        <f t="shared" si="149"/>
        <v>445 - AW</v>
      </c>
      <c r="AO742" s="121" t="str">
        <f>IF('Cable Info'!N446="","",CONCATENATE('Cable Info'!N446," - ",'Cable Info'!O446))</f>
        <v>445 - AW</v>
      </c>
      <c r="AR742" s="121" t="str">
        <f t="shared" si="150"/>
        <v>445 - AW</v>
      </c>
      <c r="AT742" s="121" t="e">
        <f>IF('Cable Info'!P446="","",CONCATENATE('Cable Info'!P446," - ",'Cable Info'!Q446))</f>
        <v>#N/A</v>
      </c>
      <c r="AW742" s="121" t="e">
        <f t="shared" si="151"/>
        <v>#N/A</v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str">
        <f>IF('Cable Info'!L447="","",CONCATENATE('Cable Info'!L447," - ",'Cable Info'!M447))</f>
        <v>446 - AW</v>
      </c>
      <c r="AM743" s="121" t="str">
        <f t="shared" si="149"/>
        <v>446 - AW</v>
      </c>
      <c r="AO743" s="121" t="str">
        <f>IF('Cable Info'!N447="","",CONCATENATE('Cable Info'!N447," - ",'Cable Info'!O447))</f>
        <v>446 - AW</v>
      </c>
      <c r="AR743" s="121" t="str">
        <f t="shared" si="150"/>
        <v>446 - AW</v>
      </c>
      <c r="AT743" s="121" t="e">
        <f>IF('Cable Info'!P447="","",CONCATENATE('Cable Info'!P447," - ",'Cable Info'!Q447))</f>
        <v>#N/A</v>
      </c>
      <c r="AW743" s="121" t="e">
        <f t="shared" si="151"/>
        <v>#N/A</v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str">
        <f>IF('Cable Info'!L448="","",CONCATENATE('Cable Info'!L448," - ",'Cable Info'!M448))</f>
        <v>447 - AW</v>
      </c>
      <c r="AM744" s="121" t="str">
        <f t="shared" si="149"/>
        <v>447 - AW</v>
      </c>
      <c r="AO744" s="121" t="str">
        <f>IF('Cable Info'!N448="","",CONCATENATE('Cable Info'!N448," - ",'Cable Info'!O448))</f>
        <v>447 - AW</v>
      </c>
      <c r="AR744" s="121" t="str">
        <f t="shared" si="150"/>
        <v>447 - AW</v>
      </c>
      <c r="AT744" s="121" t="e">
        <f>IF('Cable Info'!P448="","",CONCATENATE('Cable Info'!P448," - ",'Cable Info'!Q448))</f>
        <v>#N/A</v>
      </c>
      <c r="AW744" s="121" t="e">
        <f t="shared" si="151"/>
        <v>#N/A</v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str">
        <f>IF('Cable Info'!L449="","",CONCATENATE('Cable Info'!L449," - ",'Cable Info'!M449))</f>
        <v>448 - AW</v>
      </c>
      <c r="AM745" s="121" t="str">
        <f t="shared" si="149"/>
        <v>448 - AW</v>
      </c>
      <c r="AO745" s="121" t="str">
        <f>IF('Cable Info'!N449="","",CONCATENATE('Cable Info'!N449," - ",'Cable Info'!O449))</f>
        <v>448 - AW</v>
      </c>
      <c r="AR745" s="121" t="str">
        <f t="shared" si="150"/>
        <v>448 - AW</v>
      </c>
      <c r="AT745" s="121" t="e">
        <f>IF('Cable Info'!P449="","",CONCATENATE('Cable Info'!P449," - ",'Cable Info'!Q449))</f>
        <v>#N/A</v>
      </c>
      <c r="AW745" s="121" t="e">
        <f t="shared" si="151"/>
        <v>#N/A</v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str">
        <f>IF('Cable Info'!L450="","",CONCATENATE('Cable Info'!L450," - ",'Cable Info'!M450))</f>
        <v>449 - AW</v>
      </c>
      <c r="AM746" s="121" t="str">
        <f t="shared" si="149"/>
        <v>449 - AW</v>
      </c>
      <c r="AO746" s="121" t="str">
        <f>IF('Cable Info'!N450="","",CONCATENATE('Cable Info'!N450," - ",'Cable Info'!O450))</f>
        <v>449 - AW</v>
      </c>
      <c r="AR746" s="121" t="str">
        <f t="shared" si="150"/>
        <v>449 - AW</v>
      </c>
      <c r="AT746" s="121" t="e">
        <f>IF('Cable Info'!P450="","",CONCATENATE('Cable Info'!P450," - ",'Cable Info'!Q450))</f>
        <v>#N/A</v>
      </c>
      <c r="AW746" s="121" t="e">
        <f t="shared" si="151"/>
        <v>#N/A</v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str">
        <f>IF('Cable Info'!L451="","",CONCATENATE('Cable Info'!L451," - ",'Cable Info'!M451))</f>
        <v>450 - AW</v>
      </c>
      <c r="AM747" s="121" t="str">
        <f t="shared" ref="AM747:AM810" si="155">IF(AK747="",AJ747,CONCATENATE(AJ747,"  &lt;=&gt; ",AK747," ",AL747))</f>
        <v>450 - AW</v>
      </c>
      <c r="AO747" s="121" t="str">
        <f>IF('Cable Info'!N451="","",CONCATENATE('Cable Info'!N451," - ",'Cable Info'!O451))</f>
        <v>450 - AW</v>
      </c>
      <c r="AR747" s="121" t="str">
        <f t="shared" ref="AR747:AR810" si="156">IF(AP747="",AO747,CONCATENATE(AO747,"  &lt;=&gt; ",AP747," ",AQ747))</f>
        <v>450 - AW</v>
      </c>
      <c r="AT747" s="121" t="e">
        <f>IF('Cable Info'!P451="","",CONCATENATE('Cable Info'!P451," - ",'Cable Info'!Q451))</f>
        <v>#N/A</v>
      </c>
      <c r="AW747" s="121" t="e">
        <f t="shared" ref="AW747:AW810" si="157">IF(AU747="",AT747,CONCATENATE(AT747,"  &lt;=&gt; ",AU747," ",AV747))</f>
        <v>#N/A</v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str">
        <f>IF('Cable Info'!L452="","",CONCATENATE('Cable Info'!L452," - ",'Cable Info'!M452))</f>
        <v>451 - AW</v>
      </c>
      <c r="AM748" s="121" t="str">
        <f t="shared" si="155"/>
        <v>451 - AW</v>
      </c>
      <c r="AO748" s="121" t="str">
        <f>IF('Cable Info'!N452="","",CONCATENATE('Cable Info'!N452," - ",'Cable Info'!O452))</f>
        <v>451 - AW</v>
      </c>
      <c r="AR748" s="121" t="str">
        <f t="shared" si="156"/>
        <v>451 - AW</v>
      </c>
      <c r="AT748" s="121" t="e">
        <f>IF('Cable Info'!P452="","",CONCATENATE('Cable Info'!P452," - ",'Cable Info'!Q452))</f>
        <v>#N/A</v>
      </c>
      <c r="AW748" s="121" t="e">
        <f t="shared" si="157"/>
        <v>#N/A</v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str">
        <f>IF('Cable Info'!L453="","",CONCATENATE('Cable Info'!L453," - ",'Cable Info'!M453))</f>
        <v>452 - AW</v>
      </c>
      <c r="AM749" s="121" t="str">
        <f t="shared" si="155"/>
        <v>452 - AW</v>
      </c>
      <c r="AO749" s="121" t="str">
        <f>IF('Cable Info'!N453="","",CONCATENATE('Cable Info'!N453," - ",'Cable Info'!O453))</f>
        <v>452 - AW</v>
      </c>
      <c r="AR749" s="121" t="str">
        <f t="shared" si="156"/>
        <v>452 - AW</v>
      </c>
      <c r="AT749" s="121" t="e">
        <f>IF('Cable Info'!P453="","",CONCATENATE('Cable Info'!P453," - ",'Cable Info'!Q453))</f>
        <v>#N/A</v>
      </c>
      <c r="AW749" s="121" t="e">
        <f t="shared" si="157"/>
        <v>#N/A</v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str">
        <f>IF('Cable Info'!L454="","",CONCATENATE('Cable Info'!L454," - ",'Cable Info'!M454))</f>
        <v>453 - AW</v>
      </c>
      <c r="AM750" s="121" t="str">
        <f t="shared" si="155"/>
        <v>453 - AW</v>
      </c>
      <c r="AO750" s="121" t="str">
        <f>IF('Cable Info'!N454="","",CONCATENATE('Cable Info'!N454," - ",'Cable Info'!O454))</f>
        <v>453 - AW</v>
      </c>
      <c r="AR750" s="121" t="str">
        <f t="shared" si="156"/>
        <v>453 - AW</v>
      </c>
      <c r="AT750" s="121" t="e">
        <f>IF('Cable Info'!P454="","",CONCATENATE('Cable Info'!P454," - ",'Cable Info'!Q454))</f>
        <v>#N/A</v>
      </c>
      <c r="AW750" s="121" t="e">
        <f t="shared" si="157"/>
        <v>#N/A</v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str">
        <f>IF('Cable Info'!L455="","",CONCATENATE('Cable Info'!L455," - ",'Cable Info'!M455))</f>
        <v>454 - AW</v>
      </c>
      <c r="AM751" s="121" t="str">
        <f t="shared" si="155"/>
        <v>454 - AW</v>
      </c>
      <c r="AO751" s="121" t="str">
        <f>IF('Cable Info'!N455="","",CONCATENATE('Cable Info'!N455," - ",'Cable Info'!O455))</f>
        <v>454 - AW</v>
      </c>
      <c r="AR751" s="121" t="str">
        <f t="shared" si="156"/>
        <v>454 - AW</v>
      </c>
      <c r="AT751" s="121" t="e">
        <f>IF('Cable Info'!P455="","",CONCATENATE('Cable Info'!P455," - ",'Cable Info'!Q455))</f>
        <v>#N/A</v>
      </c>
      <c r="AW751" s="121" t="e">
        <f t="shared" si="157"/>
        <v>#N/A</v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str">
        <f>IF('Cable Info'!L456="","",CONCATENATE('Cable Info'!L456," - ",'Cable Info'!M456))</f>
        <v>455 - AW</v>
      </c>
      <c r="AM752" s="121" t="str">
        <f t="shared" si="155"/>
        <v>455 - AW</v>
      </c>
      <c r="AO752" s="121" t="str">
        <f>IF('Cable Info'!N456="","",CONCATENATE('Cable Info'!N456," - ",'Cable Info'!O456))</f>
        <v>455 - AW</v>
      </c>
      <c r="AR752" s="121" t="str">
        <f t="shared" si="156"/>
        <v>455 - AW</v>
      </c>
      <c r="AT752" s="121" t="e">
        <f>IF('Cable Info'!P456="","",CONCATENATE('Cable Info'!P456," - ",'Cable Info'!Q456))</f>
        <v>#N/A</v>
      </c>
      <c r="AW752" s="121" t="e">
        <f t="shared" si="157"/>
        <v>#N/A</v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str">
        <f>IF('Cable Info'!L457="","",CONCATENATE('Cable Info'!L457," - ",'Cable Info'!M457))</f>
        <v>456 - AW</v>
      </c>
      <c r="AM753" s="121" t="str">
        <f t="shared" si="155"/>
        <v>456 - AW</v>
      </c>
      <c r="AO753" s="121" t="str">
        <f>IF('Cable Info'!N457="","",CONCATENATE('Cable Info'!N457," - ",'Cable Info'!O457))</f>
        <v>456 - AW</v>
      </c>
      <c r="AR753" s="121" t="str">
        <f t="shared" si="156"/>
        <v>456 - AW</v>
      </c>
      <c r="AT753" s="121" t="e">
        <f>IF('Cable Info'!P457="","",CONCATENATE('Cable Info'!P457," - ",'Cable Info'!Q457))</f>
        <v>#N/A</v>
      </c>
      <c r="AW753" s="121" t="e">
        <f t="shared" si="157"/>
        <v>#N/A</v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str">
        <f>IF('Cable Info'!L458="","",CONCATENATE('Cable Info'!L458," - ",'Cable Info'!M458))</f>
        <v>457 - AW</v>
      </c>
      <c r="AM754" s="121" t="str">
        <f t="shared" si="155"/>
        <v>457 - AW</v>
      </c>
      <c r="AO754" s="121" t="str">
        <f>IF('Cable Info'!N458="","",CONCATENATE('Cable Info'!N458," - ",'Cable Info'!O458))</f>
        <v>457 - AW</v>
      </c>
      <c r="AR754" s="121" t="str">
        <f t="shared" si="156"/>
        <v>457 - AW</v>
      </c>
      <c r="AT754" s="121" t="e">
        <f>IF('Cable Info'!P458="","",CONCATENATE('Cable Info'!P458," - ",'Cable Info'!Q458))</f>
        <v>#N/A</v>
      </c>
      <c r="AW754" s="121" t="e">
        <f t="shared" si="157"/>
        <v>#N/A</v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str">
        <f>IF('Cable Info'!L459="","",CONCATENATE('Cable Info'!L459," - ",'Cable Info'!M459))</f>
        <v>458 - AW</v>
      </c>
      <c r="AM755" s="121" t="str">
        <f t="shared" si="155"/>
        <v>458 - AW</v>
      </c>
      <c r="AO755" s="121" t="str">
        <f>IF('Cable Info'!N459="","",CONCATENATE('Cable Info'!N459," - ",'Cable Info'!O459))</f>
        <v>458 - AW</v>
      </c>
      <c r="AR755" s="121" t="str">
        <f t="shared" si="156"/>
        <v>458 - AW</v>
      </c>
      <c r="AT755" s="121" t="e">
        <f>IF('Cable Info'!P459="","",CONCATENATE('Cable Info'!P459," - ",'Cable Info'!Q459))</f>
        <v>#N/A</v>
      </c>
      <c r="AW755" s="121" t="e">
        <f t="shared" si="157"/>
        <v>#N/A</v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str">
        <f>IF('Cable Info'!L460="","",CONCATENATE('Cable Info'!L460," - ",'Cable Info'!M460))</f>
        <v>459 - AW</v>
      </c>
      <c r="AM756" s="121" t="str">
        <f t="shared" si="155"/>
        <v>459 - AW</v>
      </c>
      <c r="AO756" s="121" t="str">
        <f>IF('Cable Info'!N460="","",CONCATENATE('Cable Info'!N460," - ",'Cable Info'!O460))</f>
        <v>459 - AW</v>
      </c>
      <c r="AR756" s="121" t="str">
        <f t="shared" si="156"/>
        <v>459 - AW</v>
      </c>
      <c r="AT756" s="121" t="e">
        <f>IF('Cable Info'!P460="","",CONCATENATE('Cable Info'!P460," - ",'Cable Info'!Q460))</f>
        <v>#N/A</v>
      </c>
      <c r="AW756" s="121" t="e">
        <f t="shared" si="157"/>
        <v>#N/A</v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str">
        <f>IF('Cable Info'!L461="","",CONCATENATE('Cable Info'!L461," - ",'Cable Info'!M461))</f>
        <v>460 - AW</v>
      </c>
      <c r="AM757" s="121" t="str">
        <f t="shared" si="155"/>
        <v>460 - AW</v>
      </c>
      <c r="AO757" s="121" t="str">
        <f>IF('Cable Info'!N461="","",CONCATENATE('Cable Info'!N461," - ",'Cable Info'!O461))</f>
        <v>460 - AW</v>
      </c>
      <c r="AR757" s="121" t="str">
        <f t="shared" si="156"/>
        <v>460 - AW</v>
      </c>
      <c r="AT757" s="121" t="e">
        <f>IF('Cable Info'!P461="","",CONCATENATE('Cable Info'!P461," - ",'Cable Info'!Q461))</f>
        <v>#N/A</v>
      </c>
      <c r="AW757" s="121" t="e">
        <f t="shared" si="157"/>
        <v>#N/A</v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str">
        <f>IF('Cable Info'!L462="","",CONCATENATE('Cable Info'!L462," - ",'Cable Info'!M462))</f>
        <v>461 - AW</v>
      </c>
      <c r="AM758" s="121" t="str">
        <f t="shared" si="155"/>
        <v>461 - AW</v>
      </c>
      <c r="AO758" s="121" t="str">
        <f>IF('Cable Info'!N462="","",CONCATENATE('Cable Info'!N462," - ",'Cable Info'!O462))</f>
        <v>461 - AW</v>
      </c>
      <c r="AR758" s="121" t="str">
        <f t="shared" si="156"/>
        <v>461 - AW</v>
      </c>
      <c r="AT758" s="121" t="e">
        <f>IF('Cable Info'!P462="","",CONCATENATE('Cable Info'!P462," - ",'Cable Info'!Q462))</f>
        <v>#N/A</v>
      </c>
      <c r="AW758" s="121" t="e">
        <f t="shared" si="157"/>
        <v>#N/A</v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str">
        <f>IF('Cable Info'!L463="","",CONCATENATE('Cable Info'!L463," - ",'Cable Info'!M463))</f>
        <v>462 - AW</v>
      </c>
      <c r="AM759" s="121" t="str">
        <f t="shared" si="155"/>
        <v>462 - AW</v>
      </c>
      <c r="AO759" s="121" t="str">
        <f>IF('Cable Info'!N463="","",CONCATENATE('Cable Info'!N463," - ",'Cable Info'!O463))</f>
        <v>462 - AW</v>
      </c>
      <c r="AR759" s="121" t="str">
        <f t="shared" si="156"/>
        <v>462 - AW</v>
      </c>
      <c r="AT759" s="121" t="e">
        <f>IF('Cable Info'!P463="","",CONCATENATE('Cable Info'!P463," - ",'Cable Info'!Q463))</f>
        <v>#N/A</v>
      </c>
      <c r="AW759" s="121" t="e">
        <f t="shared" si="157"/>
        <v>#N/A</v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str">
        <f>IF('Cable Info'!L464="","",CONCATENATE('Cable Info'!L464," - ",'Cable Info'!M464))</f>
        <v>463 - AW</v>
      </c>
      <c r="AM760" s="121" t="str">
        <f t="shared" si="155"/>
        <v>463 - AW</v>
      </c>
      <c r="AO760" s="121" t="str">
        <f>IF('Cable Info'!N464="","",CONCATENATE('Cable Info'!N464," - ",'Cable Info'!O464))</f>
        <v>463 - AW</v>
      </c>
      <c r="AR760" s="121" t="str">
        <f t="shared" si="156"/>
        <v>463 - AW</v>
      </c>
      <c r="AT760" s="121" t="e">
        <f>IF('Cable Info'!P464="","",CONCATENATE('Cable Info'!P464," - ",'Cable Info'!Q464))</f>
        <v>#N/A</v>
      </c>
      <c r="AW760" s="121" t="e">
        <f t="shared" si="157"/>
        <v>#N/A</v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str">
        <f>IF('Cable Info'!L465="","",CONCATENATE('Cable Info'!L465," - ",'Cable Info'!M465))</f>
        <v>464 - AW</v>
      </c>
      <c r="AM761" s="121" t="str">
        <f t="shared" si="155"/>
        <v>464 - AW</v>
      </c>
      <c r="AO761" s="121" t="str">
        <f>IF('Cable Info'!N465="","",CONCATENATE('Cable Info'!N465," - ",'Cable Info'!O465))</f>
        <v>464 - AW</v>
      </c>
      <c r="AR761" s="121" t="str">
        <f t="shared" si="156"/>
        <v>464 - AW</v>
      </c>
      <c r="AT761" s="121" t="e">
        <f>IF('Cable Info'!P465="","",CONCATENATE('Cable Info'!P465," - ",'Cable Info'!Q465))</f>
        <v>#N/A</v>
      </c>
      <c r="AW761" s="121" t="e">
        <f t="shared" si="157"/>
        <v>#N/A</v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str">
        <f>IF('Cable Info'!L466="","",CONCATENATE('Cable Info'!L466," - ",'Cable Info'!M466))</f>
        <v>465 - AW</v>
      </c>
      <c r="AM762" s="121" t="str">
        <f t="shared" si="155"/>
        <v>465 - AW</v>
      </c>
      <c r="AO762" s="121" t="str">
        <f>IF('Cable Info'!N466="","",CONCATENATE('Cable Info'!N466," - ",'Cable Info'!O466))</f>
        <v>465 - AW</v>
      </c>
      <c r="AR762" s="121" t="str">
        <f t="shared" si="156"/>
        <v>465 - AW</v>
      </c>
      <c r="AT762" s="121" t="e">
        <f>IF('Cable Info'!P466="","",CONCATENATE('Cable Info'!P466," - ",'Cable Info'!Q466))</f>
        <v>#N/A</v>
      </c>
      <c r="AW762" s="121" t="e">
        <f t="shared" si="157"/>
        <v>#N/A</v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str">
        <f>IF('Cable Info'!L467="","",CONCATENATE('Cable Info'!L467," - ",'Cable Info'!M467))</f>
        <v>466 - AW</v>
      </c>
      <c r="AM763" s="121" t="str">
        <f t="shared" si="155"/>
        <v>466 - AW</v>
      </c>
      <c r="AO763" s="121" t="str">
        <f>IF('Cable Info'!N467="","",CONCATENATE('Cable Info'!N467," - ",'Cable Info'!O467))</f>
        <v>466 - AW</v>
      </c>
      <c r="AR763" s="121" t="str">
        <f t="shared" si="156"/>
        <v>466 - AW</v>
      </c>
      <c r="AT763" s="121" t="e">
        <f>IF('Cable Info'!P467="","",CONCATENATE('Cable Info'!P467," - ",'Cable Info'!Q467))</f>
        <v>#N/A</v>
      </c>
      <c r="AW763" s="121" t="e">
        <f t="shared" si="157"/>
        <v>#N/A</v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str">
        <f>IF('Cable Info'!L468="","",CONCATENATE('Cable Info'!L468," - ",'Cable Info'!M468))</f>
        <v>467 - AW</v>
      </c>
      <c r="AM764" s="121" t="str">
        <f t="shared" si="155"/>
        <v>467 - AW</v>
      </c>
      <c r="AO764" s="121" t="str">
        <f>IF('Cable Info'!N468="","",CONCATENATE('Cable Info'!N468," - ",'Cable Info'!O468))</f>
        <v>467 - AW</v>
      </c>
      <c r="AR764" s="121" t="str">
        <f t="shared" si="156"/>
        <v>467 - AW</v>
      </c>
      <c r="AT764" s="121" t="e">
        <f>IF('Cable Info'!P468="","",CONCATENATE('Cable Info'!P468," - ",'Cable Info'!Q468))</f>
        <v>#N/A</v>
      </c>
      <c r="AW764" s="121" t="e">
        <f t="shared" si="157"/>
        <v>#N/A</v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str">
        <f>IF('Cable Info'!L469="","",CONCATENATE('Cable Info'!L469," - ",'Cable Info'!M469))</f>
        <v>468 - AW</v>
      </c>
      <c r="AM765" s="121" t="str">
        <f t="shared" si="155"/>
        <v>468 - AW</v>
      </c>
      <c r="AO765" s="121" t="str">
        <f>IF('Cable Info'!N469="","",CONCATENATE('Cable Info'!N469," - ",'Cable Info'!O469))</f>
        <v>468 - AW</v>
      </c>
      <c r="AR765" s="121" t="str">
        <f t="shared" si="156"/>
        <v>468 - AW</v>
      </c>
      <c r="AT765" s="121" t="e">
        <f>IF('Cable Info'!P469="","",CONCATENATE('Cable Info'!P469," - ",'Cable Info'!Q469))</f>
        <v>#N/A</v>
      </c>
      <c r="AW765" s="121" t="e">
        <f t="shared" si="157"/>
        <v>#N/A</v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str">
        <f>IF('Cable Info'!L470="","",CONCATENATE('Cable Info'!L470," - ",'Cable Info'!M470))</f>
        <v>469 - AW</v>
      </c>
      <c r="AM766" s="121" t="str">
        <f t="shared" si="155"/>
        <v>469 - AW</v>
      </c>
      <c r="AO766" s="121" t="str">
        <f>IF('Cable Info'!N470="","",CONCATENATE('Cable Info'!N470," - ",'Cable Info'!O470))</f>
        <v>469 - AW</v>
      </c>
      <c r="AR766" s="121" t="str">
        <f t="shared" si="156"/>
        <v>469 - AW</v>
      </c>
      <c r="AT766" s="121" t="e">
        <f>IF('Cable Info'!P470="","",CONCATENATE('Cable Info'!P470," - ",'Cable Info'!Q470))</f>
        <v>#N/A</v>
      </c>
      <c r="AW766" s="121" t="e">
        <f t="shared" si="157"/>
        <v>#N/A</v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str">
        <f>IF('Cable Info'!L471="","",CONCATENATE('Cable Info'!L471," - ",'Cable Info'!M471))</f>
        <v>470 - AW</v>
      </c>
      <c r="AM767" s="121" t="str">
        <f t="shared" si="155"/>
        <v>470 - AW</v>
      </c>
      <c r="AO767" s="121" t="str">
        <f>IF('Cable Info'!N471="","",CONCATENATE('Cable Info'!N471," - ",'Cable Info'!O471))</f>
        <v>470 - AW</v>
      </c>
      <c r="AR767" s="121" t="str">
        <f t="shared" si="156"/>
        <v>470 - AW</v>
      </c>
      <c r="AT767" s="121" t="e">
        <f>IF('Cable Info'!P471="","",CONCATENATE('Cable Info'!P471," - ",'Cable Info'!Q471))</f>
        <v>#N/A</v>
      </c>
      <c r="AW767" s="121" t="e">
        <f t="shared" si="157"/>
        <v>#N/A</v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str">
        <f>IF('Cable Info'!L472="","",CONCATENATE('Cable Info'!L472," - ",'Cable Info'!M472))</f>
        <v>471 - AW</v>
      </c>
      <c r="AM768" s="121" t="str">
        <f t="shared" si="155"/>
        <v>471 - AW</v>
      </c>
      <c r="AO768" s="121" t="str">
        <f>IF('Cable Info'!N472="","",CONCATENATE('Cable Info'!N472," - ",'Cable Info'!O472))</f>
        <v>471 - AW</v>
      </c>
      <c r="AR768" s="121" t="str">
        <f t="shared" si="156"/>
        <v>471 - AW</v>
      </c>
      <c r="AT768" s="121" t="e">
        <f>IF('Cable Info'!P472="","",CONCATENATE('Cable Info'!P472," - ",'Cable Info'!Q472))</f>
        <v>#N/A</v>
      </c>
      <c r="AW768" s="121" t="e">
        <f t="shared" si="157"/>
        <v>#N/A</v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str">
        <f>IF('Cable Info'!L473="","",CONCATENATE('Cable Info'!L473," - ",'Cable Info'!M473))</f>
        <v>472 - AW</v>
      </c>
      <c r="AM769" s="121" t="str">
        <f t="shared" si="155"/>
        <v>472 - AW</v>
      </c>
      <c r="AO769" s="121" t="str">
        <f>IF('Cable Info'!N473="","",CONCATENATE('Cable Info'!N473," - ",'Cable Info'!O473))</f>
        <v>472 - AW</v>
      </c>
      <c r="AR769" s="121" t="str">
        <f t="shared" si="156"/>
        <v>472 - AW</v>
      </c>
      <c r="AT769" s="121" t="e">
        <f>IF('Cable Info'!P473="","",CONCATENATE('Cable Info'!P473," - ",'Cable Info'!Q473))</f>
        <v>#N/A</v>
      </c>
      <c r="AW769" s="121" t="e">
        <f t="shared" si="157"/>
        <v>#N/A</v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str">
        <f>IF('Cable Info'!L474="","",CONCATENATE('Cable Info'!L474," - ",'Cable Info'!M474))</f>
        <v>473 - AW</v>
      </c>
      <c r="AM770" s="121" t="str">
        <f t="shared" si="155"/>
        <v>473 - AW</v>
      </c>
      <c r="AO770" s="121" t="str">
        <f>IF('Cable Info'!N474="","",CONCATENATE('Cable Info'!N474," - ",'Cable Info'!O474))</f>
        <v>473 - AW</v>
      </c>
      <c r="AR770" s="121" t="str">
        <f t="shared" si="156"/>
        <v>473 - AW</v>
      </c>
      <c r="AT770" s="121" t="e">
        <f>IF('Cable Info'!P474="","",CONCATENATE('Cable Info'!P474," - ",'Cable Info'!Q474))</f>
        <v>#N/A</v>
      </c>
      <c r="AW770" s="121" t="e">
        <f t="shared" si="157"/>
        <v>#N/A</v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str">
        <f>IF('Cable Info'!L475="","",CONCATENATE('Cable Info'!L475," - ",'Cable Info'!M475))</f>
        <v>474 - AW</v>
      </c>
      <c r="AM771" s="121" t="str">
        <f t="shared" si="155"/>
        <v>474 - AW</v>
      </c>
      <c r="AO771" s="121" t="str">
        <f>IF('Cable Info'!N475="","",CONCATENATE('Cable Info'!N475," - ",'Cable Info'!O475))</f>
        <v>474 - AW</v>
      </c>
      <c r="AR771" s="121" t="str">
        <f t="shared" si="156"/>
        <v>474 - AW</v>
      </c>
      <c r="AT771" s="121" t="e">
        <f>IF('Cable Info'!P475="","",CONCATENATE('Cable Info'!P475," - ",'Cable Info'!Q475))</f>
        <v>#N/A</v>
      </c>
      <c r="AW771" s="121" t="e">
        <f t="shared" si="157"/>
        <v>#N/A</v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str">
        <f>IF('Cable Info'!L476="","",CONCATENATE('Cable Info'!L476," - ",'Cable Info'!M476))</f>
        <v>475 - AW</v>
      </c>
      <c r="AM772" s="121" t="str">
        <f t="shared" si="155"/>
        <v>475 - AW</v>
      </c>
      <c r="AO772" s="121" t="str">
        <f>IF('Cable Info'!N476="","",CONCATENATE('Cable Info'!N476," - ",'Cable Info'!O476))</f>
        <v>475 - AW</v>
      </c>
      <c r="AR772" s="121" t="str">
        <f t="shared" si="156"/>
        <v>475 - AW</v>
      </c>
      <c r="AT772" s="121" t="e">
        <f>IF('Cable Info'!P476="","",CONCATENATE('Cable Info'!P476," - ",'Cable Info'!Q476))</f>
        <v>#N/A</v>
      </c>
      <c r="AW772" s="121" t="e">
        <f t="shared" si="157"/>
        <v>#N/A</v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str">
        <f>IF('Cable Info'!L477="","",CONCATENATE('Cable Info'!L477," - ",'Cable Info'!M477))</f>
        <v>476 - AW</v>
      </c>
      <c r="AM773" s="121" t="str">
        <f t="shared" si="155"/>
        <v>476 - AW</v>
      </c>
      <c r="AO773" s="121" t="str">
        <f>IF('Cable Info'!N477="","",CONCATENATE('Cable Info'!N477," - ",'Cable Info'!O477))</f>
        <v>476 - AW</v>
      </c>
      <c r="AR773" s="121" t="str">
        <f t="shared" si="156"/>
        <v>476 - AW</v>
      </c>
      <c r="AT773" s="121" t="e">
        <f>IF('Cable Info'!P477="","",CONCATENATE('Cable Info'!P477," - ",'Cable Info'!Q477))</f>
        <v>#N/A</v>
      </c>
      <c r="AW773" s="121" t="e">
        <f t="shared" si="157"/>
        <v>#N/A</v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str">
        <f>IF('Cable Info'!L478="","",CONCATENATE('Cable Info'!L478," - ",'Cable Info'!M478))</f>
        <v>477 - AW</v>
      </c>
      <c r="AM774" s="121" t="str">
        <f t="shared" si="155"/>
        <v>477 - AW</v>
      </c>
      <c r="AO774" s="121" t="str">
        <f>IF('Cable Info'!N478="","",CONCATENATE('Cable Info'!N478," - ",'Cable Info'!O478))</f>
        <v>477 - AW</v>
      </c>
      <c r="AR774" s="121" t="str">
        <f t="shared" si="156"/>
        <v>477 - AW</v>
      </c>
      <c r="AT774" s="121" t="e">
        <f>IF('Cable Info'!P478="","",CONCATENATE('Cable Info'!P478," - ",'Cable Info'!Q478))</f>
        <v>#N/A</v>
      </c>
      <c r="AW774" s="121" t="e">
        <f t="shared" si="157"/>
        <v>#N/A</v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str">
        <f>IF('Cable Info'!L479="","",CONCATENATE('Cable Info'!L479," - ",'Cable Info'!M479))</f>
        <v>478 - AW</v>
      </c>
      <c r="AM775" s="121" t="str">
        <f t="shared" si="155"/>
        <v>478 - AW</v>
      </c>
      <c r="AO775" s="121" t="str">
        <f>IF('Cable Info'!N479="","",CONCATENATE('Cable Info'!N479," - ",'Cable Info'!O479))</f>
        <v>478 - AW</v>
      </c>
      <c r="AR775" s="121" t="str">
        <f t="shared" si="156"/>
        <v>478 - AW</v>
      </c>
      <c r="AT775" s="121" t="e">
        <f>IF('Cable Info'!P479="","",CONCATENATE('Cable Info'!P479," - ",'Cable Info'!Q479))</f>
        <v>#N/A</v>
      </c>
      <c r="AW775" s="121" t="e">
        <f t="shared" si="157"/>
        <v>#N/A</v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str">
        <f>IF('Cable Info'!L480="","",CONCATENATE('Cable Info'!L480," - ",'Cable Info'!M480))</f>
        <v>479 - AW</v>
      </c>
      <c r="AM776" s="121" t="str">
        <f t="shared" si="155"/>
        <v>479 - AW</v>
      </c>
      <c r="AO776" s="121" t="str">
        <f>IF('Cable Info'!N480="","",CONCATENATE('Cable Info'!N480," - ",'Cable Info'!O480))</f>
        <v>479 - AW</v>
      </c>
      <c r="AR776" s="121" t="str">
        <f t="shared" si="156"/>
        <v>479 - AW</v>
      </c>
      <c r="AT776" s="121" t="e">
        <f>IF('Cable Info'!P480="","",CONCATENATE('Cable Info'!P480," - ",'Cable Info'!Q480))</f>
        <v>#N/A</v>
      </c>
      <c r="AW776" s="121" t="e">
        <f t="shared" si="157"/>
        <v>#N/A</v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str">
        <f>IF('Cable Info'!L481="","",CONCATENATE('Cable Info'!L481," - ",'Cable Info'!M481))</f>
        <v>480 - AW</v>
      </c>
      <c r="AM777" s="121" t="str">
        <f t="shared" si="155"/>
        <v>480 - AW</v>
      </c>
      <c r="AO777" s="121" t="str">
        <f>IF('Cable Info'!N481="","",CONCATENATE('Cable Info'!N481," - ",'Cable Info'!O481))</f>
        <v>480 - AW</v>
      </c>
      <c r="AR777" s="121" t="str">
        <f t="shared" si="156"/>
        <v>480 - AW</v>
      </c>
      <c r="AT777" s="121" t="e">
        <f>IF('Cable Info'!P481="","",CONCATENATE('Cable Info'!P481," - ",'Cable Info'!Q481))</f>
        <v>#N/A</v>
      </c>
      <c r="AW777" s="121" t="e">
        <f t="shared" si="157"/>
        <v>#N/A</v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str">
        <f>IF('Cable Info'!L482="","",CONCATENATE('Cable Info'!L482," - ",'Cable Info'!M482))</f>
        <v>481 - AW</v>
      </c>
      <c r="AM778" s="121" t="str">
        <f t="shared" si="155"/>
        <v>481 - AW</v>
      </c>
      <c r="AO778" s="121" t="str">
        <f>IF('Cable Info'!N482="","",CONCATENATE('Cable Info'!N482," - ",'Cable Info'!O482))</f>
        <v>481 - AW</v>
      </c>
      <c r="AR778" s="121" t="str">
        <f t="shared" si="156"/>
        <v>481 - AW</v>
      </c>
      <c r="AT778" s="121" t="e">
        <f>IF('Cable Info'!P482="","",CONCATENATE('Cable Info'!P482," - ",'Cable Info'!Q482))</f>
        <v>#N/A</v>
      </c>
      <c r="AW778" s="121" t="e">
        <f t="shared" si="157"/>
        <v>#N/A</v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str">
        <f>IF('Cable Info'!L483="","",CONCATENATE('Cable Info'!L483," - ",'Cable Info'!M483))</f>
        <v>482 - AW</v>
      </c>
      <c r="AM779" s="121" t="str">
        <f t="shared" si="155"/>
        <v>482 - AW</v>
      </c>
      <c r="AO779" s="121" t="str">
        <f>IF('Cable Info'!N483="","",CONCATENATE('Cable Info'!N483," - ",'Cable Info'!O483))</f>
        <v>482 - AW</v>
      </c>
      <c r="AR779" s="121" t="str">
        <f t="shared" si="156"/>
        <v>482 - AW</v>
      </c>
      <c r="AT779" s="121" t="e">
        <f>IF('Cable Info'!P483="","",CONCATENATE('Cable Info'!P483," - ",'Cable Info'!Q483))</f>
        <v>#N/A</v>
      </c>
      <c r="AW779" s="121" t="e">
        <f t="shared" si="157"/>
        <v>#N/A</v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str">
        <f>IF('Cable Info'!L484="","",CONCATENATE('Cable Info'!L484," - ",'Cable Info'!M484))</f>
        <v>483 - AW</v>
      </c>
      <c r="AM780" s="121" t="str">
        <f t="shared" si="155"/>
        <v>483 - AW</v>
      </c>
      <c r="AO780" s="121" t="str">
        <f>IF('Cable Info'!N484="","",CONCATENATE('Cable Info'!N484," - ",'Cable Info'!O484))</f>
        <v>483 - AW</v>
      </c>
      <c r="AR780" s="121" t="str">
        <f t="shared" si="156"/>
        <v>483 - AW</v>
      </c>
      <c r="AT780" s="121" t="e">
        <f>IF('Cable Info'!P484="","",CONCATENATE('Cable Info'!P484," - ",'Cable Info'!Q484))</f>
        <v>#N/A</v>
      </c>
      <c r="AW780" s="121" t="e">
        <f t="shared" si="157"/>
        <v>#N/A</v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str">
        <f>IF('Cable Info'!L485="","",CONCATENATE('Cable Info'!L485," - ",'Cable Info'!M485))</f>
        <v>484 - AW</v>
      </c>
      <c r="AM781" s="121" t="str">
        <f t="shared" si="155"/>
        <v>484 - AW</v>
      </c>
      <c r="AO781" s="121" t="str">
        <f>IF('Cable Info'!N485="","",CONCATENATE('Cable Info'!N485," - ",'Cable Info'!O485))</f>
        <v>484 - AW</v>
      </c>
      <c r="AR781" s="121" t="str">
        <f t="shared" si="156"/>
        <v>484 - AW</v>
      </c>
      <c r="AT781" s="121" t="e">
        <f>IF('Cable Info'!P485="","",CONCATENATE('Cable Info'!P485," - ",'Cable Info'!Q485))</f>
        <v>#N/A</v>
      </c>
      <c r="AW781" s="121" t="e">
        <f t="shared" si="157"/>
        <v>#N/A</v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str">
        <f>IF('Cable Info'!L486="","",CONCATENATE('Cable Info'!L486," - ",'Cable Info'!M486))</f>
        <v>485 - AW</v>
      </c>
      <c r="AM782" s="121" t="str">
        <f t="shared" si="155"/>
        <v>485 - AW</v>
      </c>
      <c r="AO782" s="121" t="str">
        <f>IF('Cable Info'!N486="","",CONCATENATE('Cable Info'!N486," - ",'Cable Info'!O486))</f>
        <v>485 - AW</v>
      </c>
      <c r="AR782" s="121" t="str">
        <f t="shared" si="156"/>
        <v>485 - AW</v>
      </c>
      <c r="AT782" s="121" t="e">
        <f>IF('Cable Info'!P486="","",CONCATENATE('Cable Info'!P486," - ",'Cable Info'!Q486))</f>
        <v>#N/A</v>
      </c>
      <c r="AW782" s="121" t="e">
        <f t="shared" si="157"/>
        <v>#N/A</v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str">
        <f>IF('Cable Info'!L487="","",CONCATENATE('Cable Info'!L487," - ",'Cable Info'!M487))</f>
        <v>486 - AW</v>
      </c>
      <c r="AM783" s="121" t="str">
        <f t="shared" si="155"/>
        <v>486 - AW</v>
      </c>
      <c r="AO783" s="121" t="str">
        <f>IF('Cable Info'!N487="","",CONCATENATE('Cable Info'!N487," - ",'Cable Info'!O487))</f>
        <v>486 - AW</v>
      </c>
      <c r="AR783" s="121" t="str">
        <f t="shared" si="156"/>
        <v>486 - AW</v>
      </c>
      <c r="AT783" s="121" t="e">
        <f>IF('Cable Info'!P487="","",CONCATENATE('Cable Info'!P487," - ",'Cable Info'!Q487))</f>
        <v>#N/A</v>
      </c>
      <c r="AW783" s="121" t="e">
        <f t="shared" si="157"/>
        <v>#N/A</v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str">
        <f>IF('Cable Info'!L488="","",CONCATENATE('Cable Info'!L488," - ",'Cable Info'!M488))</f>
        <v>487 - AW</v>
      </c>
      <c r="AM784" s="121" t="str">
        <f t="shared" si="155"/>
        <v>487 - AW</v>
      </c>
      <c r="AO784" s="121" t="str">
        <f>IF('Cable Info'!N488="","",CONCATENATE('Cable Info'!N488," - ",'Cable Info'!O488))</f>
        <v>487 - AW</v>
      </c>
      <c r="AR784" s="121" t="str">
        <f t="shared" si="156"/>
        <v>487 - AW</v>
      </c>
      <c r="AT784" s="121" t="e">
        <f>IF('Cable Info'!P488="","",CONCATENATE('Cable Info'!P488," - ",'Cable Info'!Q488))</f>
        <v>#N/A</v>
      </c>
      <c r="AW784" s="121" t="e">
        <f t="shared" si="157"/>
        <v>#N/A</v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str">
        <f>IF('Cable Info'!L489="","",CONCATENATE('Cable Info'!L489," - ",'Cable Info'!M489))</f>
        <v>488 - AW</v>
      </c>
      <c r="AM785" s="121" t="str">
        <f t="shared" si="155"/>
        <v>488 - AW</v>
      </c>
      <c r="AO785" s="121" t="str">
        <f>IF('Cable Info'!N489="","",CONCATENATE('Cable Info'!N489," - ",'Cable Info'!O489))</f>
        <v>488 - AW</v>
      </c>
      <c r="AR785" s="121" t="str">
        <f t="shared" si="156"/>
        <v>488 - AW</v>
      </c>
      <c r="AT785" s="121" t="e">
        <f>IF('Cable Info'!P489="","",CONCATENATE('Cable Info'!P489," - ",'Cable Info'!Q489))</f>
        <v>#N/A</v>
      </c>
      <c r="AW785" s="121" t="e">
        <f t="shared" si="157"/>
        <v>#N/A</v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str">
        <f>IF('Cable Info'!L490="","",CONCATENATE('Cable Info'!L490," - ",'Cable Info'!M490))</f>
        <v>489 - AW</v>
      </c>
      <c r="AM786" s="121" t="str">
        <f t="shared" si="155"/>
        <v>489 - AW</v>
      </c>
      <c r="AO786" s="121" t="str">
        <f>IF('Cable Info'!N490="","",CONCATENATE('Cable Info'!N490," - ",'Cable Info'!O490))</f>
        <v>489 - AW</v>
      </c>
      <c r="AR786" s="121" t="str">
        <f t="shared" si="156"/>
        <v>489 - AW</v>
      </c>
      <c r="AT786" s="121" t="e">
        <f>IF('Cable Info'!P490="","",CONCATENATE('Cable Info'!P490," - ",'Cable Info'!Q490))</f>
        <v>#N/A</v>
      </c>
      <c r="AW786" s="121" t="e">
        <f t="shared" si="157"/>
        <v>#N/A</v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str">
        <f>IF('Cable Info'!L491="","",CONCATENATE('Cable Info'!L491," - ",'Cable Info'!M491))</f>
        <v>490 - AW</v>
      </c>
      <c r="AM787" s="121" t="str">
        <f t="shared" si="155"/>
        <v>490 - AW</v>
      </c>
      <c r="AO787" s="121" t="str">
        <f>IF('Cable Info'!N491="","",CONCATENATE('Cable Info'!N491," - ",'Cable Info'!O491))</f>
        <v>490 - AW</v>
      </c>
      <c r="AR787" s="121" t="str">
        <f t="shared" si="156"/>
        <v>490 - AW</v>
      </c>
      <c r="AT787" s="121" t="e">
        <f>IF('Cable Info'!P491="","",CONCATENATE('Cable Info'!P491," - ",'Cable Info'!Q491))</f>
        <v>#N/A</v>
      </c>
      <c r="AW787" s="121" t="e">
        <f t="shared" si="157"/>
        <v>#N/A</v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str">
        <f>IF('Cable Info'!L492="","",CONCATENATE('Cable Info'!L492," - ",'Cable Info'!M492))</f>
        <v>491 - AW</v>
      </c>
      <c r="AM788" s="121" t="str">
        <f t="shared" si="155"/>
        <v>491 - AW</v>
      </c>
      <c r="AO788" s="121" t="str">
        <f>IF('Cable Info'!N492="","",CONCATENATE('Cable Info'!N492," - ",'Cable Info'!O492))</f>
        <v>491 - AW</v>
      </c>
      <c r="AR788" s="121" t="str">
        <f t="shared" si="156"/>
        <v>491 - AW</v>
      </c>
      <c r="AT788" s="121" t="e">
        <f>IF('Cable Info'!P492="","",CONCATENATE('Cable Info'!P492," - ",'Cable Info'!Q492))</f>
        <v>#N/A</v>
      </c>
      <c r="AW788" s="121" t="e">
        <f t="shared" si="157"/>
        <v>#N/A</v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str">
        <f>IF('Cable Info'!L493="","",CONCATENATE('Cable Info'!L493," - ",'Cable Info'!M493))</f>
        <v>492 - AW</v>
      </c>
      <c r="AM789" s="121" t="str">
        <f t="shared" si="155"/>
        <v>492 - AW</v>
      </c>
      <c r="AO789" s="121" t="str">
        <f>IF('Cable Info'!N493="","",CONCATENATE('Cable Info'!N493," - ",'Cable Info'!O493))</f>
        <v>492 - AW</v>
      </c>
      <c r="AR789" s="121" t="str">
        <f t="shared" si="156"/>
        <v>492 - AW</v>
      </c>
      <c r="AT789" s="121" t="e">
        <f>IF('Cable Info'!P493="","",CONCATENATE('Cable Info'!P493," - ",'Cable Info'!Q493))</f>
        <v>#N/A</v>
      </c>
      <c r="AW789" s="121" t="e">
        <f t="shared" si="157"/>
        <v>#N/A</v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str">
        <f>IF('Cable Info'!L494="","",CONCATENATE('Cable Info'!L494," - ",'Cable Info'!M494))</f>
        <v>493 - AW</v>
      </c>
      <c r="AM790" s="121" t="str">
        <f t="shared" si="155"/>
        <v>493 - AW</v>
      </c>
      <c r="AO790" s="121" t="str">
        <f>IF('Cable Info'!N494="","",CONCATENATE('Cable Info'!N494," - ",'Cable Info'!O494))</f>
        <v>493 - AW</v>
      </c>
      <c r="AR790" s="121" t="str">
        <f t="shared" si="156"/>
        <v>493 - AW</v>
      </c>
      <c r="AT790" s="121" t="e">
        <f>IF('Cable Info'!P494="","",CONCATENATE('Cable Info'!P494," - ",'Cable Info'!Q494))</f>
        <v>#N/A</v>
      </c>
      <c r="AW790" s="121" t="e">
        <f t="shared" si="157"/>
        <v>#N/A</v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str">
        <f>IF('Cable Info'!L495="","",CONCATENATE('Cable Info'!L495," - ",'Cable Info'!M495))</f>
        <v>494 - AW</v>
      </c>
      <c r="AM791" s="121" t="str">
        <f t="shared" si="155"/>
        <v>494 - AW</v>
      </c>
      <c r="AO791" s="121" t="str">
        <f>IF('Cable Info'!N495="","",CONCATENATE('Cable Info'!N495," - ",'Cable Info'!O495))</f>
        <v>494 - AW</v>
      </c>
      <c r="AR791" s="121" t="str">
        <f t="shared" si="156"/>
        <v>494 - AW</v>
      </c>
      <c r="AT791" s="121" t="e">
        <f>IF('Cable Info'!P495="","",CONCATENATE('Cable Info'!P495," - ",'Cable Info'!Q495))</f>
        <v>#N/A</v>
      </c>
      <c r="AW791" s="121" t="e">
        <f t="shared" si="157"/>
        <v>#N/A</v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str">
        <f>IF('Cable Info'!L496="","",CONCATENATE('Cable Info'!L496," - ",'Cable Info'!M496))</f>
        <v>495 - AW</v>
      </c>
      <c r="AM792" s="121" t="str">
        <f t="shared" si="155"/>
        <v>495 - AW</v>
      </c>
      <c r="AO792" s="121" t="str">
        <f>IF('Cable Info'!N496="","",CONCATENATE('Cable Info'!N496," - ",'Cable Info'!O496))</f>
        <v>495 - AW</v>
      </c>
      <c r="AR792" s="121" t="str">
        <f t="shared" si="156"/>
        <v>495 - AW</v>
      </c>
      <c r="AT792" s="121" t="e">
        <f>IF('Cable Info'!P496="","",CONCATENATE('Cable Info'!P496," - ",'Cable Info'!Q496))</f>
        <v>#N/A</v>
      </c>
      <c r="AW792" s="121" t="e">
        <f t="shared" si="157"/>
        <v>#N/A</v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str">
        <f>IF('Cable Info'!L497="","",CONCATENATE('Cable Info'!L497," - ",'Cable Info'!M497))</f>
        <v>496 - AW</v>
      </c>
      <c r="AM793" s="121" t="str">
        <f t="shared" si="155"/>
        <v>496 - AW</v>
      </c>
      <c r="AO793" s="121" t="str">
        <f>IF('Cable Info'!N497="","",CONCATENATE('Cable Info'!N497," - ",'Cable Info'!O497))</f>
        <v>496 - AW</v>
      </c>
      <c r="AR793" s="121" t="str">
        <f t="shared" si="156"/>
        <v>496 - AW</v>
      </c>
      <c r="AT793" s="121" t="e">
        <f>IF('Cable Info'!P497="","",CONCATENATE('Cable Info'!P497," - ",'Cable Info'!Q497))</f>
        <v>#N/A</v>
      </c>
      <c r="AW793" s="121" t="e">
        <f t="shared" si="157"/>
        <v>#N/A</v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str">
        <f>IF('Cable Info'!L498="","",CONCATENATE('Cable Info'!L498," - ",'Cable Info'!M498))</f>
        <v>497 - AW</v>
      </c>
      <c r="AM794" s="121" t="str">
        <f t="shared" si="155"/>
        <v>497 - AW</v>
      </c>
      <c r="AO794" s="121" t="str">
        <f>IF('Cable Info'!N498="","",CONCATENATE('Cable Info'!N498," - ",'Cable Info'!O498))</f>
        <v>497 - AW</v>
      </c>
      <c r="AR794" s="121" t="str">
        <f t="shared" si="156"/>
        <v>497 - AW</v>
      </c>
      <c r="AT794" s="121" t="e">
        <f>IF('Cable Info'!P498="","",CONCATENATE('Cable Info'!P498," - ",'Cable Info'!Q498))</f>
        <v>#N/A</v>
      </c>
      <c r="AW794" s="121" t="e">
        <f t="shared" si="157"/>
        <v>#N/A</v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str">
        <f>IF('Cable Info'!L499="","",CONCATENATE('Cable Info'!L499," - ",'Cable Info'!M499))</f>
        <v>498 - AW</v>
      </c>
      <c r="AM795" s="121" t="str">
        <f t="shared" si="155"/>
        <v>498 - AW</v>
      </c>
      <c r="AO795" s="121" t="str">
        <f>IF('Cable Info'!N499="","",CONCATENATE('Cable Info'!N499," - ",'Cable Info'!O499))</f>
        <v>498 - AW</v>
      </c>
      <c r="AR795" s="121" t="str">
        <f t="shared" si="156"/>
        <v>498 - AW</v>
      </c>
      <c r="AT795" s="121" t="e">
        <f>IF('Cable Info'!P499="","",CONCATENATE('Cable Info'!P499," - ",'Cable Info'!Q499))</f>
        <v>#N/A</v>
      </c>
      <c r="AW795" s="121" t="e">
        <f t="shared" si="157"/>
        <v>#N/A</v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str">
        <f>IF('Cable Info'!L500="","",CONCATENATE('Cable Info'!L500," - ",'Cable Info'!M500))</f>
        <v>499 - AW</v>
      </c>
      <c r="AM796" s="121" t="str">
        <f t="shared" si="155"/>
        <v>499 - AW</v>
      </c>
      <c r="AO796" s="121" t="str">
        <f>IF('Cable Info'!N500="","",CONCATENATE('Cable Info'!N500," - ",'Cable Info'!O500))</f>
        <v>499 - AW</v>
      </c>
      <c r="AR796" s="121" t="str">
        <f t="shared" si="156"/>
        <v>499 - AW</v>
      </c>
      <c r="AT796" s="121" t="e">
        <f>IF('Cable Info'!P500="","",CONCATENATE('Cable Info'!P500," - ",'Cable Info'!Q500))</f>
        <v>#N/A</v>
      </c>
      <c r="AW796" s="121" t="e">
        <f t="shared" si="157"/>
        <v>#N/A</v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str">
        <f>IF('Cable Info'!L501="","",CONCATENATE('Cable Info'!L501," - ",'Cable Info'!M501))</f>
        <v>500 - AW</v>
      </c>
      <c r="AM797" s="121" t="str">
        <f t="shared" si="155"/>
        <v>500 - AW</v>
      </c>
      <c r="AO797" s="121" t="str">
        <f>IF('Cable Info'!N501="","",CONCATENATE('Cable Info'!N501," - ",'Cable Info'!O501))</f>
        <v>500 - AW</v>
      </c>
      <c r="AR797" s="121" t="str">
        <f t="shared" si="156"/>
        <v>500 - AW</v>
      </c>
      <c r="AT797" s="121" t="e">
        <f>IF('Cable Info'!P501="","",CONCATENATE('Cable Info'!P501," - ",'Cable Info'!Q501))</f>
        <v>#N/A</v>
      </c>
      <c r="AW797" s="121" t="e">
        <f t="shared" si="157"/>
        <v>#N/A</v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str">
        <f>IF('Cable Info'!L502="","",CONCATENATE('Cable Info'!L502," - ",'Cable Info'!M502))</f>
        <v>501 - AW</v>
      </c>
      <c r="AM798" s="121" t="str">
        <f t="shared" si="155"/>
        <v>501 - AW</v>
      </c>
      <c r="AO798" s="121" t="str">
        <f>IF('Cable Info'!N502="","",CONCATENATE('Cable Info'!N502," - ",'Cable Info'!O502))</f>
        <v>501 - AW</v>
      </c>
      <c r="AR798" s="121" t="str">
        <f t="shared" si="156"/>
        <v>501 - AW</v>
      </c>
      <c r="AT798" s="121" t="e">
        <f>IF('Cable Info'!P502="","",CONCATENATE('Cable Info'!P502," - ",'Cable Info'!Q502))</f>
        <v>#N/A</v>
      </c>
      <c r="AW798" s="121" t="e">
        <f t="shared" si="157"/>
        <v>#N/A</v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str">
        <f>IF('Cable Info'!L503="","",CONCATENATE('Cable Info'!L503," - ",'Cable Info'!M503))</f>
        <v>502 - AW</v>
      </c>
      <c r="AM799" s="121" t="str">
        <f t="shared" si="155"/>
        <v>502 - AW</v>
      </c>
      <c r="AO799" s="121" t="str">
        <f>IF('Cable Info'!N503="","",CONCATENATE('Cable Info'!N503," - ",'Cable Info'!O503))</f>
        <v>502 - AW</v>
      </c>
      <c r="AR799" s="121" t="str">
        <f t="shared" si="156"/>
        <v>502 - AW</v>
      </c>
      <c r="AT799" s="121" t="e">
        <f>IF('Cable Info'!P503="","",CONCATENATE('Cable Info'!P503," - ",'Cable Info'!Q503))</f>
        <v>#N/A</v>
      </c>
      <c r="AW799" s="121" t="e">
        <f t="shared" si="157"/>
        <v>#N/A</v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str">
        <f>IF('Cable Info'!L504="","",CONCATENATE('Cable Info'!L504," - ",'Cable Info'!M504))</f>
        <v>503 - AW</v>
      </c>
      <c r="AM800" s="121" t="str">
        <f t="shared" si="155"/>
        <v>503 - AW</v>
      </c>
      <c r="AO800" s="121" t="str">
        <f>IF('Cable Info'!N504="","",CONCATENATE('Cable Info'!N504," - ",'Cable Info'!O504))</f>
        <v>503 - AW</v>
      </c>
      <c r="AR800" s="121" t="str">
        <f t="shared" si="156"/>
        <v>503 - AW</v>
      </c>
      <c r="AT800" s="121" t="e">
        <f>IF('Cable Info'!P504="","",CONCATENATE('Cable Info'!P504," - ",'Cable Info'!Q504))</f>
        <v>#N/A</v>
      </c>
      <c r="AW800" s="121" t="e">
        <f t="shared" si="157"/>
        <v>#N/A</v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str">
        <f>IF('Cable Info'!L505="","",CONCATENATE('Cable Info'!L505," - ",'Cable Info'!M505))</f>
        <v>504 - AW</v>
      </c>
      <c r="AM801" s="121" t="str">
        <f t="shared" si="155"/>
        <v>504 - AW</v>
      </c>
      <c r="AO801" s="121" t="str">
        <f>IF('Cable Info'!N505="","",CONCATENATE('Cable Info'!N505," - ",'Cable Info'!O505))</f>
        <v>504 - AW</v>
      </c>
      <c r="AR801" s="121" t="str">
        <f t="shared" si="156"/>
        <v>504 - AW</v>
      </c>
      <c r="AT801" s="121" t="e">
        <f>IF('Cable Info'!P505="","",CONCATENATE('Cable Info'!P505," - ",'Cable Info'!Q505))</f>
        <v>#N/A</v>
      </c>
      <c r="AW801" s="121" t="e">
        <f t="shared" si="157"/>
        <v>#N/A</v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str">
        <f>IF('Cable Info'!L506="","",CONCATENATE('Cable Info'!L506," - ",'Cable Info'!M506))</f>
        <v>505 - AW</v>
      </c>
      <c r="AM802" s="121" t="str">
        <f t="shared" si="155"/>
        <v>505 - AW</v>
      </c>
      <c r="AO802" s="121" t="str">
        <f>IF('Cable Info'!N506="","",CONCATENATE('Cable Info'!N506," - ",'Cable Info'!O506))</f>
        <v>505 - AW</v>
      </c>
      <c r="AR802" s="121" t="str">
        <f t="shared" si="156"/>
        <v>505 - AW</v>
      </c>
      <c r="AT802" s="121" t="e">
        <f>IF('Cable Info'!P506="","",CONCATENATE('Cable Info'!P506," - ",'Cable Info'!Q506))</f>
        <v>#N/A</v>
      </c>
      <c r="AW802" s="121" t="e">
        <f t="shared" si="157"/>
        <v>#N/A</v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str">
        <f>IF('Cable Info'!L507="","",CONCATENATE('Cable Info'!L507," - ",'Cable Info'!M507))</f>
        <v>506 - AW</v>
      </c>
      <c r="AM803" s="121" t="str">
        <f t="shared" si="155"/>
        <v>506 - AW</v>
      </c>
      <c r="AO803" s="121" t="str">
        <f>IF('Cable Info'!N507="","",CONCATENATE('Cable Info'!N507," - ",'Cable Info'!O507))</f>
        <v>506 - AW</v>
      </c>
      <c r="AR803" s="121" t="str">
        <f t="shared" si="156"/>
        <v>506 - AW</v>
      </c>
      <c r="AT803" s="121" t="e">
        <f>IF('Cable Info'!P507="","",CONCATENATE('Cable Info'!P507," - ",'Cable Info'!Q507))</f>
        <v>#N/A</v>
      </c>
      <c r="AW803" s="121" t="e">
        <f t="shared" si="157"/>
        <v>#N/A</v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str">
        <f>IF('Cable Info'!L508="","",CONCATENATE('Cable Info'!L508," - ",'Cable Info'!M508))</f>
        <v>507 - AW</v>
      </c>
      <c r="AM804" s="121" t="str">
        <f t="shared" si="155"/>
        <v>507 - AW</v>
      </c>
      <c r="AO804" s="121" t="str">
        <f>IF('Cable Info'!N508="","",CONCATENATE('Cable Info'!N508," - ",'Cable Info'!O508))</f>
        <v>507 - AW</v>
      </c>
      <c r="AR804" s="121" t="str">
        <f t="shared" si="156"/>
        <v>507 - AW</v>
      </c>
      <c r="AT804" s="121" t="e">
        <f>IF('Cable Info'!P508="","",CONCATENATE('Cable Info'!P508," - ",'Cable Info'!Q508))</f>
        <v>#N/A</v>
      </c>
      <c r="AW804" s="121" t="e">
        <f t="shared" si="157"/>
        <v>#N/A</v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str">
        <f>IF('Cable Info'!L509="","",CONCATENATE('Cable Info'!L509," - ",'Cable Info'!M509))</f>
        <v>508 - AW</v>
      </c>
      <c r="AM805" s="121" t="str">
        <f t="shared" si="155"/>
        <v>508 - AW</v>
      </c>
      <c r="AO805" s="121" t="str">
        <f>IF('Cable Info'!N509="","",CONCATENATE('Cable Info'!N509," - ",'Cable Info'!O509))</f>
        <v>508 - AW</v>
      </c>
      <c r="AR805" s="121" t="str">
        <f t="shared" si="156"/>
        <v>508 - AW</v>
      </c>
      <c r="AT805" s="121" t="e">
        <f>IF('Cable Info'!P509="","",CONCATENATE('Cable Info'!P509," - ",'Cable Info'!Q509))</f>
        <v>#N/A</v>
      </c>
      <c r="AW805" s="121" t="e">
        <f t="shared" si="157"/>
        <v>#N/A</v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str">
        <f>IF('Cable Info'!L510="","",CONCATENATE('Cable Info'!L510," - ",'Cable Info'!M510))</f>
        <v>509 - AW</v>
      </c>
      <c r="AM806" s="121" t="str">
        <f t="shared" si="155"/>
        <v>509 - AW</v>
      </c>
      <c r="AO806" s="121" t="str">
        <f>IF('Cable Info'!N510="","",CONCATENATE('Cable Info'!N510," - ",'Cable Info'!O510))</f>
        <v>509 - AW</v>
      </c>
      <c r="AR806" s="121" t="str">
        <f t="shared" si="156"/>
        <v>509 - AW</v>
      </c>
      <c r="AT806" s="121" t="e">
        <f>IF('Cable Info'!P510="","",CONCATENATE('Cable Info'!P510," - ",'Cable Info'!Q510))</f>
        <v>#N/A</v>
      </c>
      <c r="AW806" s="121" t="e">
        <f t="shared" si="157"/>
        <v>#N/A</v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str">
        <f>IF('Cable Info'!L511="","",CONCATENATE('Cable Info'!L511," - ",'Cable Info'!M511))</f>
        <v>510 - AW</v>
      </c>
      <c r="AM807" s="121" t="str">
        <f t="shared" si="155"/>
        <v>510 - AW</v>
      </c>
      <c r="AO807" s="121" t="str">
        <f>IF('Cable Info'!N511="","",CONCATENATE('Cable Info'!N511," - ",'Cable Info'!O511))</f>
        <v>510 - AW</v>
      </c>
      <c r="AR807" s="121" t="str">
        <f t="shared" si="156"/>
        <v>510 - AW</v>
      </c>
      <c r="AT807" s="121" t="e">
        <f>IF('Cable Info'!P511="","",CONCATENATE('Cable Info'!P511," - ",'Cable Info'!Q511))</f>
        <v>#N/A</v>
      </c>
      <c r="AW807" s="121" t="e">
        <f t="shared" si="157"/>
        <v>#N/A</v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str">
        <f>IF('Cable Info'!L512="","",CONCATENATE('Cable Info'!L512," - ",'Cable Info'!M512))</f>
        <v>511 - AW</v>
      </c>
      <c r="AM808" s="121" t="str">
        <f t="shared" si="155"/>
        <v>511 - AW</v>
      </c>
      <c r="AO808" s="121" t="str">
        <f>IF('Cable Info'!N512="","",CONCATENATE('Cable Info'!N512," - ",'Cable Info'!O512))</f>
        <v>511 - AW</v>
      </c>
      <c r="AR808" s="121" t="str">
        <f t="shared" si="156"/>
        <v>511 - AW</v>
      </c>
      <c r="AT808" s="121" t="e">
        <f>IF('Cable Info'!P512="","",CONCATENATE('Cable Info'!P512," - ",'Cable Info'!Q512))</f>
        <v>#N/A</v>
      </c>
      <c r="AW808" s="121" t="e">
        <f t="shared" si="157"/>
        <v>#N/A</v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str">
        <f>IF('Cable Info'!L513="","",CONCATENATE('Cable Info'!L513," - ",'Cable Info'!M513))</f>
        <v>512 - AW</v>
      </c>
      <c r="AM809" s="121" t="str">
        <f t="shared" si="155"/>
        <v>512 - AW</v>
      </c>
      <c r="AO809" s="121" t="str">
        <f>IF('Cable Info'!N513="","",CONCATENATE('Cable Info'!N513," - ",'Cable Info'!O513))</f>
        <v>512 - AW</v>
      </c>
      <c r="AR809" s="121" t="str">
        <f t="shared" si="156"/>
        <v>512 - AW</v>
      </c>
      <c r="AT809" s="121" t="e">
        <f>IF('Cable Info'!P513="","",CONCATENATE('Cable Info'!P513," - ",'Cable Info'!Q513))</f>
        <v>#N/A</v>
      </c>
      <c r="AW809" s="121" t="e">
        <f t="shared" si="157"/>
        <v>#N/A</v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str">
        <f>IF('Cable Info'!L514="","",CONCATENATE('Cable Info'!L514," - ",'Cable Info'!M514))</f>
        <v>513 - AW</v>
      </c>
      <c r="AM810" s="121" t="str">
        <f t="shared" si="155"/>
        <v>513 - AW</v>
      </c>
      <c r="AO810" s="121" t="str">
        <f>IF('Cable Info'!N514="","",CONCATENATE('Cable Info'!N514," - ",'Cable Info'!O514))</f>
        <v>513 - AW</v>
      </c>
      <c r="AR810" s="121" t="str">
        <f t="shared" si="156"/>
        <v>513 - AW</v>
      </c>
      <c r="AT810" s="121" t="e">
        <f>IF('Cable Info'!P514="","",CONCATENATE('Cable Info'!P514," - ",'Cable Info'!Q514))</f>
        <v>#N/A</v>
      </c>
      <c r="AW810" s="121" t="e">
        <f t="shared" si="157"/>
        <v>#N/A</v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str">
        <f>IF('Cable Info'!L515="","",CONCATENATE('Cable Info'!L515," - ",'Cable Info'!M515))</f>
        <v>514 - AW</v>
      </c>
      <c r="AM811" s="121" t="str">
        <f t="shared" ref="AM811:AM874" si="161">IF(AK811="",AJ811,CONCATENATE(AJ811,"  &lt;=&gt; ",AK811," ",AL811))</f>
        <v>514 - AW</v>
      </c>
      <c r="AO811" s="121" t="str">
        <f>IF('Cable Info'!N515="","",CONCATENATE('Cable Info'!N515," - ",'Cable Info'!O515))</f>
        <v>514 - AW</v>
      </c>
      <c r="AR811" s="121" t="str">
        <f t="shared" ref="AR811:AR874" si="162">IF(AP811="",AO811,CONCATENATE(AO811,"  &lt;=&gt; ",AP811," ",AQ811))</f>
        <v>514 - AW</v>
      </c>
      <c r="AT811" s="121" t="e">
        <f>IF('Cable Info'!P515="","",CONCATENATE('Cable Info'!P515," - ",'Cable Info'!Q515))</f>
        <v>#N/A</v>
      </c>
      <c r="AW811" s="121" t="e">
        <f t="shared" ref="AW811:AW874" si="163">IF(AU811="",AT811,CONCATENATE(AT811,"  &lt;=&gt; ",AU811," ",AV811))</f>
        <v>#N/A</v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str">
        <f>IF('Cable Info'!L516="","",CONCATENATE('Cable Info'!L516," - ",'Cable Info'!M516))</f>
        <v>515 - AW</v>
      </c>
      <c r="AM812" s="121" t="str">
        <f t="shared" si="161"/>
        <v>515 - AW</v>
      </c>
      <c r="AO812" s="121" t="str">
        <f>IF('Cable Info'!N516="","",CONCATENATE('Cable Info'!N516," - ",'Cable Info'!O516))</f>
        <v>515 - AW</v>
      </c>
      <c r="AR812" s="121" t="str">
        <f t="shared" si="162"/>
        <v>515 - AW</v>
      </c>
      <c r="AT812" s="121" t="e">
        <f>IF('Cable Info'!P516="","",CONCATENATE('Cable Info'!P516," - ",'Cable Info'!Q516))</f>
        <v>#N/A</v>
      </c>
      <c r="AW812" s="121" t="e">
        <f t="shared" si="163"/>
        <v>#N/A</v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str">
        <f>IF('Cable Info'!L517="","",CONCATENATE('Cable Info'!L517," - ",'Cable Info'!M517))</f>
        <v>516 - AW</v>
      </c>
      <c r="AM813" s="121" t="str">
        <f t="shared" si="161"/>
        <v>516 - AW</v>
      </c>
      <c r="AO813" s="121" t="str">
        <f>IF('Cable Info'!N517="","",CONCATENATE('Cable Info'!N517," - ",'Cable Info'!O517))</f>
        <v>516 - AW</v>
      </c>
      <c r="AR813" s="121" t="str">
        <f t="shared" si="162"/>
        <v>516 - AW</v>
      </c>
      <c r="AT813" s="121" t="e">
        <f>IF('Cable Info'!P517="","",CONCATENATE('Cable Info'!P517," - ",'Cable Info'!Q517))</f>
        <v>#N/A</v>
      </c>
      <c r="AW813" s="121" t="e">
        <f t="shared" si="163"/>
        <v>#N/A</v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str">
        <f>IF('Cable Info'!L518="","",CONCATENATE('Cable Info'!L518," - ",'Cable Info'!M518))</f>
        <v>517 - AW</v>
      </c>
      <c r="AM814" s="121" t="str">
        <f t="shared" si="161"/>
        <v>517 - AW</v>
      </c>
      <c r="AO814" s="121" t="str">
        <f>IF('Cable Info'!N518="","",CONCATENATE('Cable Info'!N518," - ",'Cable Info'!O518))</f>
        <v>517 - AW</v>
      </c>
      <c r="AR814" s="121" t="str">
        <f t="shared" si="162"/>
        <v>517 - AW</v>
      </c>
      <c r="AT814" s="121" t="e">
        <f>IF('Cable Info'!P518="","",CONCATENATE('Cable Info'!P518," - ",'Cable Info'!Q518))</f>
        <v>#N/A</v>
      </c>
      <c r="AW814" s="121" t="e">
        <f t="shared" si="163"/>
        <v>#N/A</v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str">
        <f>IF('Cable Info'!L519="","",CONCATENATE('Cable Info'!L519," - ",'Cable Info'!M519))</f>
        <v>518 - AW</v>
      </c>
      <c r="AM815" s="121" t="str">
        <f t="shared" si="161"/>
        <v>518 - AW</v>
      </c>
      <c r="AO815" s="121" t="str">
        <f>IF('Cable Info'!N519="","",CONCATENATE('Cable Info'!N519," - ",'Cable Info'!O519))</f>
        <v>518 - AW</v>
      </c>
      <c r="AR815" s="121" t="str">
        <f t="shared" si="162"/>
        <v>518 - AW</v>
      </c>
      <c r="AT815" s="121" t="e">
        <f>IF('Cable Info'!P519="","",CONCATENATE('Cable Info'!P519," - ",'Cable Info'!Q519))</f>
        <v>#N/A</v>
      </c>
      <c r="AW815" s="121" t="e">
        <f t="shared" si="163"/>
        <v>#N/A</v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str">
        <f>IF('Cable Info'!L520="","",CONCATENATE('Cable Info'!L520," - ",'Cable Info'!M520))</f>
        <v>519 - AW</v>
      </c>
      <c r="AM816" s="121" t="str">
        <f t="shared" si="161"/>
        <v>519 - AW</v>
      </c>
      <c r="AO816" s="121" t="str">
        <f>IF('Cable Info'!N520="","",CONCATENATE('Cable Info'!N520," - ",'Cable Info'!O520))</f>
        <v>519 - AW</v>
      </c>
      <c r="AR816" s="121" t="str">
        <f t="shared" si="162"/>
        <v>519 - AW</v>
      </c>
      <c r="AT816" s="121" t="e">
        <f>IF('Cable Info'!P520="","",CONCATENATE('Cable Info'!P520," - ",'Cable Info'!Q520))</f>
        <v>#N/A</v>
      </c>
      <c r="AW816" s="121" t="e">
        <f t="shared" si="163"/>
        <v>#N/A</v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str">
        <f>IF('Cable Info'!L521="","",CONCATENATE('Cable Info'!L521," - ",'Cable Info'!M521))</f>
        <v>520 - AW</v>
      </c>
      <c r="AM817" s="121" t="str">
        <f t="shared" si="161"/>
        <v>520 - AW</v>
      </c>
      <c r="AO817" s="121" t="str">
        <f>IF('Cable Info'!N521="","",CONCATENATE('Cable Info'!N521," - ",'Cable Info'!O521))</f>
        <v>520 - AW</v>
      </c>
      <c r="AR817" s="121" t="str">
        <f t="shared" si="162"/>
        <v>520 - AW</v>
      </c>
      <c r="AT817" s="121" t="e">
        <f>IF('Cable Info'!P521="","",CONCATENATE('Cable Info'!P521," - ",'Cable Info'!Q521))</f>
        <v>#N/A</v>
      </c>
      <c r="AW817" s="121" t="e">
        <f t="shared" si="163"/>
        <v>#N/A</v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str">
        <f>IF('Cable Info'!L522="","",CONCATENATE('Cable Info'!L522," - ",'Cable Info'!M522))</f>
        <v>521 - AW</v>
      </c>
      <c r="AM818" s="121" t="str">
        <f t="shared" si="161"/>
        <v>521 - AW</v>
      </c>
      <c r="AO818" s="121" t="str">
        <f>IF('Cable Info'!N522="","",CONCATENATE('Cable Info'!N522," - ",'Cable Info'!O522))</f>
        <v>521 - AW</v>
      </c>
      <c r="AR818" s="121" t="str">
        <f t="shared" si="162"/>
        <v>521 - AW</v>
      </c>
      <c r="AT818" s="121" t="e">
        <f>IF('Cable Info'!P522="","",CONCATENATE('Cable Info'!P522," - ",'Cable Info'!Q522))</f>
        <v>#N/A</v>
      </c>
      <c r="AW818" s="121" t="e">
        <f t="shared" si="163"/>
        <v>#N/A</v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str">
        <f>IF('Cable Info'!L523="","",CONCATENATE('Cable Info'!L523," - ",'Cable Info'!M523))</f>
        <v>522 - AW</v>
      </c>
      <c r="AM819" s="121" t="str">
        <f t="shared" si="161"/>
        <v>522 - AW</v>
      </c>
      <c r="AO819" s="121" t="str">
        <f>IF('Cable Info'!N523="","",CONCATENATE('Cable Info'!N523," - ",'Cable Info'!O523))</f>
        <v>522 - AW</v>
      </c>
      <c r="AR819" s="121" t="str">
        <f t="shared" si="162"/>
        <v>522 - AW</v>
      </c>
      <c r="AT819" s="121" t="e">
        <f>IF('Cable Info'!P523="","",CONCATENATE('Cable Info'!P523," - ",'Cable Info'!Q523))</f>
        <v>#N/A</v>
      </c>
      <c r="AW819" s="121" t="e">
        <f t="shared" si="163"/>
        <v>#N/A</v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str">
        <f>IF('Cable Info'!L524="","",CONCATENATE('Cable Info'!L524," - ",'Cable Info'!M524))</f>
        <v>523 - AW</v>
      </c>
      <c r="AM820" s="121" t="str">
        <f t="shared" si="161"/>
        <v>523 - AW</v>
      </c>
      <c r="AO820" s="121" t="str">
        <f>IF('Cable Info'!N524="","",CONCATENATE('Cable Info'!N524," - ",'Cable Info'!O524))</f>
        <v>523 - AW</v>
      </c>
      <c r="AR820" s="121" t="str">
        <f t="shared" si="162"/>
        <v>523 - AW</v>
      </c>
      <c r="AT820" s="121" t="e">
        <f>IF('Cable Info'!P524="","",CONCATENATE('Cable Info'!P524," - ",'Cable Info'!Q524))</f>
        <v>#N/A</v>
      </c>
      <c r="AW820" s="121" t="e">
        <f t="shared" si="163"/>
        <v>#N/A</v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str">
        <f>IF('Cable Info'!L525="","",CONCATENATE('Cable Info'!L525," - ",'Cable Info'!M525))</f>
        <v>524 - AW</v>
      </c>
      <c r="AM821" s="121" t="str">
        <f t="shared" si="161"/>
        <v>524 - AW</v>
      </c>
      <c r="AO821" s="121" t="str">
        <f>IF('Cable Info'!N525="","",CONCATENATE('Cable Info'!N525," - ",'Cable Info'!O525))</f>
        <v>524 - AW</v>
      </c>
      <c r="AR821" s="121" t="str">
        <f t="shared" si="162"/>
        <v>524 - AW</v>
      </c>
      <c r="AT821" s="121" t="e">
        <f>IF('Cable Info'!P525="","",CONCATENATE('Cable Info'!P525," - ",'Cable Info'!Q525))</f>
        <v>#N/A</v>
      </c>
      <c r="AW821" s="121" t="e">
        <f t="shared" si="163"/>
        <v>#N/A</v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str">
        <f>IF('Cable Info'!L526="","",CONCATENATE('Cable Info'!L526," - ",'Cable Info'!M526))</f>
        <v>525 - AW</v>
      </c>
      <c r="AM822" s="121" t="str">
        <f t="shared" si="161"/>
        <v>525 - AW</v>
      </c>
      <c r="AO822" s="121" t="str">
        <f>IF('Cable Info'!N526="","",CONCATENATE('Cable Info'!N526," - ",'Cable Info'!O526))</f>
        <v>525 - AW</v>
      </c>
      <c r="AR822" s="121" t="str">
        <f t="shared" si="162"/>
        <v>525 - AW</v>
      </c>
      <c r="AT822" s="121" t="e">
        <f>IF('Cable Info'!P526="","",CONCATENATE('Cable Info'!P526," - ",'Cable Info'!Q526))</f>
        <v>#N/A</v>
      </c>
      <c r="AW822" s="121" t="e">
        <f t="shared" si="163"/>
        <v>#N/A</v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str">
        <f>IF('Cable Info'!L527="","",CONCATENATE('Cable Info'!L527," - ",'Cable Info'!M527))</f>
        <v>526 - AW</v>
      </c>
      <c r="AM823" s="121" t="str">
        <f t="shared" si="161"/>
        <v>526 - AW</v>
      </c>
      <c r="AO823" s="121" t="str">
        <f>IF('Cable Info'!N527="","",CONCATENATE('Cable Info'!N527," - ",'Cable Info'!O527))</f>
        <v>526 - AW</v>
      </c>
      <c r="AR823" s="121" t="str">
        <f t="shared" si="162"/>
        <v>526 - AW</v>
      </c>
      <c r="AT823" s="121" t="e">
        <f>IF('Cable Info'!P527="","",CONCATENATE('Cable Info'!P527," - ",'Cable Info'!Q527))</f>
        <v>#N/A</v>
      </c>
      <c r="AW823" s="121" t="e">
        <f t="shared" si="163"/>
        <v>#N/A</v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str">
        <f>IF('Cable Info'!L528="","",CONCATENATE('Cable Info'!L528," - ",'Cable Info'!M528))</f>
        <v>527 - AW</v>
      </c>
      <c r="AM824" s="121" t="str">
        <f t="shared" si="161"/>
        <v>527 - AW</v>
      </c>
      <c r="AO824" s="121" t="str">
        <f>IF('Cable Info'!N528="","",CONCATENATE('Cable Info'!N528," - ",'Cable Info'!O528))</f>
        <v>527 - AW</v>
      </c>
      <c r="AR824" s="121" t="str">
        <f t="shared" si="162"/>
        <v>527 - AW</v>
      </c>
      <c r="AT824" s="121" t="e">
        <f>IF('Cable Info'!P528="","",CONCATENATE('Cable Info'!P528," - ",'Cable Info'!Q528))</f>
        <v>#N/A</v>
      </c>
      <c r="AW824" s="121" t="e">
        <f t="shared" si="163"/>
        <v>#N/A</v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str">
        <f>IF('Cable Info'!L529="","",CONCATENATE('Cable Info'!L529," - ",'Cable Info'!M529))</f>
        <v>528 - AW</v>
      </c>
      <c r="AM825" s="121" t="str">
        <f t="shared" si="161"/>
        <v>528 - AW</v>
      </c>
      <c r="AO825" s="121" t="str">
        <f>IF('Cable Info'!N529="","",CONCATENATE('Cable Info'!N529," - ",'Cable Info'!O529))</f>
        <v>528 - AW</v>
      </c>
      <c r="AR825" s="121" t="str">
        <f t="shared" si="162"/>
        <v>528 - AW</v>
      </c>
      <c r="AT825" s="121" t="e">
        <f>IF('Cable Info'!P529="","",CONCATENATE('Cable Info'!P529," - ",'Cable Info'!Q529))</f>
        <v>#N/A</v>
      </c>
      <c r="AW825" s="121" t="e">
        <f t="shared" si="163"/>
        <v>#N/A</v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str">
        <f>IF('Cable Info'!L530="","",CONCATENATE('Cable Info'!L530," - ",'Cable Info'!M530))</f>
        <v>529 - AW</v>
      </c>
      <c r="AM826" s="121" t="str">
        <f t="shared" si="161"/>
        <v>529 - AW</v>
      </c>
      <c r="AO826" s="121" t="str">
        <f>IF('Cable Info'!N530="","",CONCATENATE('Cable Info'!N530," - ",'Cable Info'!O530))</f>
        <v>529 - AW</v>
      </c>
      <c r="AR826" s="121" t="str">
        <f t="shared" si="162"/>
        <v>529 - AW</v>
      </c>
      <c r="AT826" s="121" t="e">
        <f>IF('Cable Info'!P530="","",CONCATENATE('Cable Info'!P530," - ",'Cable Info'!Q530))</f>
        <v>#N/A</v>
      </c>
      <c r="AW826" s="121" t="e">
        <f t="shared" si="163"/>
        <v>#N/A</v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str">
        <f>IF('Cable Info'!L531="","",CONCATENATE('Cable Info'!L531," - ",'Cable Info'!M531))</f>
        <v>530 - AW</v>
      </c>
      <c r="AM827" s="121" t="str">
        <f t="shared" si="161"/>
        <v>530 - AW</v>
      </c>
      <c r="AO827" s="121" t="str">
        <f>IF('Cable Info'!N531="","",CONCATENATE('Cable Info'!N531," - ",'Cable Info'!O531))</f>
        <v>530 - AW</v>
      </c>
      <c r="AR827" s="121" t="str">
        <f t="shared" si="162"/>
        <v>530 - AW</v>
      </c>
      <c r="AT827" s="121" t="e">
        <f>IF('Cable Info'!P531="","",CONCATENATE('Cable Info'!P531," - ",'Cable Info'!Q531))</f>
        <v>#N/A</v>
      </c>
      <c r="AW827" s="121" t="e">
        <f t="shared" si="163"/>
        <v>#N/A</v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str">
        <f>IF('Cable Info'!L532="","",CONCATENATE('Cable Info'!L532," - ",'Cable Info'!M532))</f>
        <v>531 - AW</v>
      </c>
      <c r="AM828" s="121" t="str">
        <f t="shared" si="161"/>
        <v>531 - AW</v>
      </c>
      <c r="AO828" s="121" t="str">
        <f>IF('Cable Info'!N532="","",CONCATENATE('Cable Info'!N532," - ",'Cable Info'!O532))</f>
        <v>531 - AW</v>
      </c>
      <c r="AR828" s="121" t="str">
        <f t="shared" si="162"/>
        <v>531 - AW</v>
      </c>
      <c r="AT828" s="121" t="e">
        <f>IF('Cable Info'!P532="","",CONCATENATE('Cable Info'!P532," - ",'Cable Info'!Q532))</f>
        <v>#N/A</v>
      </c>
      <c r="AW828" s="121" t="e">
        <f t="shared" si="163"/>
        <v>#N/A</v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str">
        <f>IF('Cable Info'!L533="","",CONCATENATE('Cable Info'!L533," - ",'Cable Info'!M533))</f>
        <v>532 - AW</v>
      </c>
      <c r="AM829" s="121" t="str">
        <f t="shared" si="161"/>
        <v>532 - AW</v>
      </c>
      <c r="AO829" s="121" t="str">
        <f>IF('Cable Info'!N533="","",CONCATENATE('Cable Info'!N533," - ",'Cable Info'!O533))</f>
        <v>532 - AW</v>
      </c>
      <c r="AR829" s="121" t="str">
        <f t="shared" si="162"/>
        <v>532 - AW</v>
      </c>
      <c r="AT829" s="121" t="e">
        <f>IF('Cable Info'!P533="","",CONCATENATE('Cable Info'!P533," - ",'Cable Info'!Q533))</f>
        <v>#N/A</v>
      </c>
      <c r="AW829" s="121" t="e">
        <f t="shared" si="163"/>
        <v>#N/A</v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str">
        <f>IF('Cable Info'!L534="","",CONCATENATE('Cable Info'!L534," - ",'Cable Info'!M534))</f>
        <v>533 - AW</v>
      </c>
      <c r="AM830" s="121" t="str">
        <f t="shared" si="161"/>
        <v>533 - AW</v>
      </c>
      <c r="AO830" s="121" t="str">
        <f>IF('Cable Info'!N534="","",CONCATENATE('Cable Info'!N534," - ",'Cable Info'!O534))</f>
        <v>533 - AW</v>
      </c>
      <c r="AR830" s="121" t="str">
        <f t="shared" si="162"/>
        <v>533 - AW</v>
      </c>
      <c r="AT830" s="121" t="e">
        <f>IF('Cable Info'!P534="","",CONCATENATE('Cable Info'!P534," - ",'Cable Info'!Q534))</f>
        <v>#N/A</v>
      </c>
      <c r="AW830" s="121" t="e">
        <f t="shared" si="163"/>
        <v>#N/A</v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str">
        <f>IF('Cable Info'!L535="","",CONCATENATE('Cable Info'!L535," - ",'Cable Info'!M535))</f>
        <v>534 - AW</v>
      </c>
      <c r="AM831" s="121" t="str">
        <f t="shared" si="161"/>
        <v>534 - AW</v>
      </c>
      <c r="AO831" s="121" t="str">
        <f>IF('Cable Info'!N535="","",CONCATENATE('Cable Info'!N535," - ",'Cable Info'!O535))</f>
        <v>534 - AW</v>
      </c>
      <c r="AR831" s="121" t="str">
        <f t="shared" si="162"/>
        <v>534 - AW</v>
      </c>
      <c r="AT831" s="121" t="e">
        <f>IF('Cable Info'!P535="","",CONCATENATE('Cable Info'!P535," - ",'Cable Info'!Q535))</f>
        <v>#N/A</v>
      </c>
      <c r="AW831" s="121" t="e">
        <f t="shared" si="163"/>
        <v>#N/A</v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str">
        <f>IF('Cable Info'!L536="","",CONCATENATE('Cable Info'!L536," - ",'Cable Info'!M536))</f>
        <v>535 - AW</v>
      </c>
      <c r="AM832" s="121" t="str">
        <f t="shared" si="161"/>
        <v>535 - AW</v>
      </c>
      <c r="AO832" s="121" t="str">
        <f>IF('Cable Info'!N536="","",CONCATENATE('Cable Info'!N536," - ",'Cable Info'!O536))</f>
        <v>535 - AW</v>
      </c>
      <c r="AR832" s="121" t="str">
        <f t="shared" si="162"/>
        <v>535 - AW</v>
      </c>
      <c r="AT832" s="121" t="e">
        <f>IF('Cable Info'!P536="","",CONCATENATE('Cable Info'!P536," - ",'Cable Info'!Q536))</f>
        <v>#N/A</v>
      </c>
      <c r="AW832" s="121" t="e">
        <f t="shared" si="163"/>
        <v>#N/A</v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str">
        <f>IF('Cable Info'!L537="","",CONCATENATE('Cable Info'!L537," - ",'Cable Info'!M537))</f>
        <v>536 - AW</v>
      </c>
      <c r="AM833" s="121" t="str">
        <f t="shared" si="161"/>
        <v>536 - AW</v>
      </c>
      <c r="AO833" s="121" t="str">
        <f>IF('Cable Info'!N537="","",CONCATENATE('Cable Info'!N537," - ",'Cable Info'!O537))</f>
        <v>536 - AW</v>
      </c>
      <c r="AR833" s="121" t="str">
        <f t="shared" si="162"/>
        <v>536 - AW</v>
      </c>
      <c r="AT833" s="121" t="e">
        <f>IF('Cable Info'!P537="","",CONCATENATE('Cable Info'!P537," - ",'Cable Info'!Q537))</f>
        <v>#N/A</v>
      </c>
      <c r="AW833" s="121" t="e">
        <f t="shared" si="163"/>
        <v>#N/A</v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str">
        <f>IF('Cable Info'!L538="","",CONCATENATE('Cable Info'!L538," - ",'Cable Info'!M538))</f>
        <v>537 - AW</v>
      </c>
      <c r="AM834" s="121" t="str">
        <f t="shared" si="161"/>
        <v>537 - AW</v>
      </c>
      <c r="AO834" s="121" t="str">
        <f>IF('Cable Info'!N538="","",CONCATENATE('Cable Info'!N538," - ",'Cable Info'!O538))</f>
        <v>537 - AW</v>
      </c>
      <c r="AR834" s="121" t="str">
        <f t="shared" si="162"/>
        <v>537 - AW</v>
      </c>
      <c r="AT834" s="121" t="e">
        <f>IF('Cable Info'!P538="","",CONCATENATE('Cable Info'!P538," - ",'Cable Info'!Q538))</f>
        <v>#N/A</v>
      </c>
      <c r="AW834" s="121" t="e">
        <f t="shared" si="163"/>
        <v>#N/A</v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str">
        <f>IF('Cable Info'!L539="","",CONCATENATE('Cable Info'!L539," - ",'Cable Info'!M539))</f>
        <v>538 - AW</v>
      </c>
      <c r="AM835" s="121" t="str">
        <f t="shared" si="161"/>
        <v>538 - AW</v>
      </c>
      <c r="AO835" s="121" t="str">
        <f>IF('Cable Info'!N539="","",CONCATENATE('Cable Info'!N539," - ",'Cable Info'!O539))</f>
        <v>538 - AW</v>
      </c>
      <c r="AR835" s="121" t="str">
        <f t="shared" si="162"/>
        <v>538 - AW</v>
      </c>
      <c r="AT835" s="121" t="e">
        <f>IF('Cable Info'!P539="","",CONCATENATE('Cable Info'!P539," - ",'Cable Info'!Q539))</f>
        <v>#N/A</v>
      </c>
      <c r="AW835" s="121" t="e">
        <f t="shared" si="163"/>
        <v>#N/A</v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str">
        <f>IF('Cable Info'!L540="","",CONCATENATE('Cable Info'!L540," - ",'Cable Info'!M540))</f>
        <v>539 - AW</v>
      </c>
      <c r="AM836" s="121" t="str">
        <f t="shared" si="161"/>
        <v>539 - AW</v>
      </c>
      <c r="AO836" s="121" t="str">
        <f>IF('Cable Info'!N540="","",CONCATENATE('Cable Info'!N540," - ",'Cable Info'!O540))</f>
        <v>539 - AW</v>
      </c>
      <c r="AR836" s="121" t="str">
        <f t="shared" si="162"/>
        <v>539 - AW</v>
      </c>
      <c r="AT836" s="121" t="e">
        <f>IF('Cable Info'!P540="","",CONCATENATE('Cable Info'!P540," - ",'Cable Info'!Q540))</f>
        <v>#N/A</v>
      </c>
      <c r="AW836" s="121" t="e">
        <f t="shared" si="163"/>
        <v>#N/A</v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str">
        <f>IF('Cable Info'!L541="","",CONCATENATE('Cable Info'!L541," - ",'Cable Info'!M541))</f>
        <v>540 - AW</v>
      </c>
      <c r="AM837" s="121" t="str">
        <f t="shared" si="161"/>
        <v>540 - AW</v>
      </c>
      <c r="AO837" s="121" t="str">
        <f>IF('Cable Info'!N541="","",CONCATENATE('Cable Info'!N541," - ",'Cable Info'!O541))</f>
        <v>540 - AW</v>
      </c>
      <c r="AR837" s="121" t="str">
        <f t="shared" si="162"/>
        <v>540 - AW</v>
      </c>
      <c r="AT837" s="121" t="e">
        <f>IF('Cable Info'!P541="","",CONCATENATE('Cable Info'!P541," - ",'Cable Info'!Q541))</f>
        <v>#N/A</v>
      </c>
      <c r="AW837" s="121" t="e">
        <f t="shared" si="163"/>
        <v>#N/A</v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str">
        <f>IF('Cable Info'!L542="","",CONCATENATE('Cable Info'!L542," - ",'Cable Info'!M542))</f>
        <v>541 - AW</v>
      </c>
      <c r="AM838" s="121" t="str">
        <f t="shared" si="161"/>
        <v>541 - AW</v>
      </c>
      <c r="AO838" s="121" t="str">
        <f>IF('Cable Info'!N542="","",CONCATENATE('Cable Info'!N542," - ",'Cable Info'!O542))</f>
        <v>541 - AW</v>
      </c>
      <c r="AR838" s="121" t="str">
        <f t="shared" si="162"/>
        <v>541 - AW</v>
      </c>
      <c r="AT838" s="121" t="e">
        <f>IF('Cable Info'!P542="","",CONCATENATE('Cable Info'!P542," - ",'Cable Info'!Q542))</f>
        <v>#N/A</v>
      </c>
      <c r="AW838" s="121" t="e">
        <f t="shared" si="163"/>
        <v>#N/A</v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str">
        <f>IF('Cable Info'!L543="","",CONCATENATE('Cable Info'!L543," - ",'Cable Info'!M543))</f>
        <v>542 - AW</v>
      </c>
      <c r="AM839" s="121" t="str">
        <f t="shared" si="161"/>
        <v>542 - AW</v>
      </c>
      <c r="AO839" s="121" t="str">
        <f>IF('Cable Info'!N543="","",CONCATENATE('Cable Info'!N543," - ",'Cable Info'!O543))</f>
        <v>542 - AW</v>
      </c>
      <c r="AR839" s="121" t="str">
        <f t="shared" si="162"/>
        <v>542 - AW</v>
      </c>
      <c r="AT839" s="121" t="e">
        <f>IF('Cable Info'!P543="","",CONCATENATE('Cable Info'!P543," - ",'Cable Info'!Q543))</f>
        <v>#N/A</v>
      </c>
      <c r="AW839" s="121" t="e">
        <f t="shared" si="163"/>
        <v>#N/A</v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str">
        <f>IF('Cable Info'!L544="","",CONCATENATE('Cable Info'!L544," - ",'Cable Info'!M544))</f>
        <v>543 - AW</v>
      </c>
      <c r="AM840" s="121" t="str">
        <f t="shared" si="161"/>
        <v>543 - AW</v>
      </c>
      <c r="AO840" s="121" t="str">
        <f>IF('Cable Info'!N544="","",CONCATENATE('Cable Info'!N544," - ",'Cable Info'!O544))</f>
        <v>543 - AW</v>
      </c>
      <c r="AR840" s="121" t="str">
        <f t="shared" si="162"/>
        <v>543 - AW</v>
      </c>
      <c r="AT840" s="121" t="e">
        <f>IF('Cable Info'!P544="","",CONCATENATE('Cable Info'!P544," - ",'Cable Info'!Q544))</f>
        <v>#N/A</v>
      </c>
      <c r="AW840" s="121" t="e">
        <f t="shared" si="163"/>
        <v>#N/A</v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str">
        <f>IF('Cable Info'!L545="","",CONCATENATE('Cable Info'!L545," - ",'Cable Info'!M545))</f>
        <v>544 - AW</v>
      </c>
      <c r="AM841" s="121" t="str">
        <f t="shared" si="161"/>
        <v>544 - AW</v>
      </c>
      <c r="AO841" s="121" t="str">
        <f>IF('Cable Info'!N545="","",CONCATENATE('Cable Info'!N545," - ",'Cable Info'!O545))</f>
        <v>544 - AW</v>
      </c>
      <c r="AR841" s="121" t="str">
        <f t="shared" si="162"/>
        <v>544 - AW</v>
      </c>
      <c r="AT841" s="121" t="e">
        <f>IF('Cable Info'!P545="","",CONCATENATE('Cable Info'!P545," - ",'Cable Info'!Q545))</f>
        <v>#N/A</v>
      </c>
      <c r="AW841" s="121" t="e">
        <f t="shared" si="163"/>
        <v>#N/A</v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str">
        <f>IF('Cable Info'!L546="","",CONCATENATE('Cable Info'!L546," - ",'Cable Info'!M546))</f>
        <v>545 - AW</v>
      </c>
      <c r="AM842" s="121" t="str">
        <f t="shared" si="161"/>
        <v>545 - AW</v>
      </c>
      <c r="AO842" s="121" t="str">
        <f>IF('Cable Info'!N546="","",CONCATENATE('Cable Info'!N546," - ",'Cable Info'!O546))</f>
        <v>545 - AW</v>
      </c>
      <c r="AR842" s="121" t="str">
        <f t="shared" si="162"/>
        <v>545 - AW</v>
      </c>
      <c r="AT842" s="121" t="e">
        <f>IF('Cable Info'!P546="","",CONCATENATE('Cable Info'!P546," - ",'Cable Info'!Q546))</f>
        <v>#N/A</v>
      </c>
      <c r="AW842" s="121" t="e">
        <f t="shared" si="163"/>
        <v>#N/A</v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str">
        <f>IF('Cable Info'!L547="","",CONCATENATE('Cable Info'!L547," - ",'Cable Info'!M547))</f>
        <v>546 - AW</v>
      </c>
      <c r="AM843" s="121" t="str">
        <f t="shared" si="161"/>
        <v>546 - AW</v>
      </c>
      <c r="AO843" s="121" t="str">
        <f>IF('Cable Info'!N547="","",CONCATENATE('Cable Info'!N547," - ",'Cable Info'!O547))</f>
        <v>546 - AW</v>
      </c>
      <c r="AR843" s="121" t="str">
        <f t="shared" si="162"/>
        <v>546 - AW</v>
      </c>
      <c r="AT843" s="121" t="e">
        <f>IF('Cable Info'!P547="","",CONCATENATE('Cable Info'!P547," - ",'Cable Info'!Q547))</f>
        <v>#N/A</v>
      </c>
      <c r="AW843" s="121" t="e">
        <f t="shared" si="163"/>
        <v>#N/A</v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str">
        <f>IF('Cable Info'!L548="","",CONCATENATE('Cable Info'!L548," - ",'Cable Info'!M548))</f>
        <v>547 - AW</v>
      </c>
      <c r="AM844" s="121" t="str">
        <f t="shared" si="161"/>
        <v>547 - AW</v>
      </c>
      <c r="AO844" s="121" t="str">
        <f>IF('Cable Info'!N548="","",CONCATENATE('Cable Info'!N548," - ",'Cable Info'!O548))</f>
        <v>547 - AW</v>
      </c>
      <c r="AR844" s="121" t="str">
        <f t="shared" si="162"/>
        <v>547 - AW</v>
      </c>
      <c r="AT844" s="121" t="e">
        <f>IF('Cable Info'!P548="","",CONCATENATE('Cable Info'!P548," - ",'Cable Info'!Q548))</f>
        <v>#N/A</v>
      </c>
      <c r="AW844" s="121" t="e">
        <f t="shared" si="163"/>
        <v>#N/A</v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str">
        <f>IF('Cable Info'!L549="","",CONCATENATE('Cable Info'!L549," - ",'Cable Info'!M549))</f>
        <v>548 - AW</v>
      </c>
      <c r="AM845" s="121" t="str">
        <f t="shared" si="161"/>
        <v>548 - AW</v>
      </c>
      <c r="AO845" s="121" t="str">
        <f>IF('Cable Info'!N549="","",CONCATENATE('Cable Info'!N549," - ",'Cable Info'!O549))</f>
        <v>548 - AW</v>
      </c>
      <c r="AR845" s="121" t="str">
        <f t="shared" si="162"/>
        <v>548 - AW</v>
      </c>
      <c r="AT845" s="121" t="e">
        <f>IF('Cable Info'!P549="","",CONCATENATE('Cable Info'!P549," - ",'Cable Info'!Q549))</f>
        <v>#N/A</v>
      </c>
      <c r="AW845" s="121" t="e">
        <f t="shared" si="163"/>
        <v>#N/A</v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str">
        <f>IF('Cable Info'!L550="","",CONCATENATE('Cable Info'!L550," - ",'Cable Info'!M550))</f>
        <v>549 - AW</v>
      </c>
      <c r="AM846" s="121" t="str">
        <f t="shared" si="161"/>
        <v>549 - AW</v>
      </c>
      <c r="AO846" s="121" t="str">
        <f>IF('Cable Info'!N550="","",CONCATENATE('Cable Info'!N550," - ",'Cable Info'!O550))</f>
        <v>549 - AW</v>
      </c>
      <c r="AR846" s="121" t="str">
        <f t="shared" si="162"/>
        <v>549 - AW</v>
      </c>
      <c r="AT846" s="121" t="e">
        <f>IF('Cable Info'!P550="","",CONCATENATE('Cable Info'!P550," - ",'Cable Info'!Q550))</f>
        <v>#N/A</v>
      </c>
      <c r="AW846" s="121" t="e">
        <f t="shared" si="163"/>
        <v>#N/A</v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str">
        <f>IF('Cable Info'!L551="","",CONCATENATE('Cable Info'!L551," - ",'Cable Info'!M551))</f>
        <v>550 - AW</v>
      </c>
      <c r="AM847" s="121" t="str">
        <f t="shared" si="161"/>
        <v>550 - AW</v>
      </c>
      <c r="AO847" s="121" t="str">
        <f>IF('Cable Info'!N551="","",CONCATENATE('Cable Info'!N551," - ",'Cable Info'!O551))</f>
        <v>550 - AW</v>
      </c>
      <c r="AR847" s="121" t="str">
        <f t="shared" si="162"/>
        <v>550 - AW</v>
      </c>
      <c r="AT847" s="121" t="e">
        <f>IF('Cable Info'!P551="","",CONCATENATE('Cable Info'!P551," - ",'Cable Info'!Q551))</f>
        <v>#N/A</v>
      </c>
      <c r="AW847" s="121" t="e">
        <f t="shared" si="163"/>
        <v>#N/A</v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str">
        <f>IF('Cable Info'!L552="","",CONCATENATE('Cable Info'!L552," - ",'Cable Info'!M552))</f>
        <v>551 - AW</v>
      </c>
      <c r="AM848" s="121" t="str">
        <f t="shared" si="161"/>
        <v>551 - AW</v>
      </c>
      <c r="AO848" s="121" t="str">
        <f>IF('Cable Info'!N552="","",CONCATENATE('Cable Info'!N552," - ",'Cable Info'!O552))</f>
        <v>551 - AW</v>
      </c>
      <c r="AR848" s="121" t="str">
        <f t="shared" si="162"/>
        <v>551 - AW</v>
      </c>
      <c r="AT848" s="121" t="e">
        <f>IF('Cable Info'!P552="","",CONCATENATE('Cable Info'!P552," - ",'Cable Info'!Q552))</f>
        <v>#N/A</v>
      </c>
      <c r="AW848" s="121" t="e">
        <f t="shared" si="163"/>
        <v>#N/A</v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str">
        <f>IF('Cable Info'!L553="","",CONCATENATE('Cable Info'!L553," - ",'Cable Info'!M553))</f>
        <v>552 - AW</v>
      </c>
      <c r="AM849" s="121" t="str">
        <f t="shared" si="161"/>
        <v>552 - AW</v>
      </c>
      <c r="AO849" s="121" t="str">
        <f>IF('Cable Info'!N553="","",CONCATENATE('Cable Info'!N553," - ",'Cable Info'!O553))</f>
        <v>552 - AW</v>
      </c>
      <c r="AR849" s="121" t="str">
        <f t="shared" si="162"/>
        <v>552 - AW</v>
      </c>
      <c r="AT849" s="121" t="e">
        <f>IF('Cable Info'!P553="","",CONCATENATE('Cable Info'!P553," - ",'Cable Info'!Q553))</f>
        <v>#N/A</v>
      </c>
      <c r="AW849" s="121" t="e">
        <f t="shared" si="163"/>
        <v>#N/A</v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str">
        <f>IF('Cable Info'!L554="","",CONCATENATE('Cable Info'!L554," - ",'Cable Info'!M554))</f>
        <v>553 - AW</v>
      </c>
      <c r="AM850" s="121" t="str">
        <f t="shared" si="161"/>
        <v>553 - AW</v>
      </c>
      <c r="AO850" s="121" t="str">
        <f>IF('Cable Info'!N554="","",CONCATENATE('Cable Info'!N554," - ",'Cable Info'!O554))</f>
        <v>553 - AW</v>
      </c>
      <c r="AR850" s="121" t="str">
        <f t="shared" si="162"/>
        <v>553 - AW</v>
      </c>
      <c r="AT850" s="121" t="e">
        <f>IF('Cable Info'!P554="","",CONCATENATE('Cable Info'!P554," - ",'Cable Info'!Q554))</f>
        <v>#N/A</v>
      </c>
      <c r="AW850" s="121" t="e">
        <f t="shared" si="163"/>
        <v>#N/A</v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str">
        <f>IF('Cable Info'!L555="","",CONCATENATE('Cable Info'!L555," - ",'Cable Info'!M555))</f>
        <v>554 - AW</v>
      </c>
      <c r="AM851" s="121" t="str">
        <f t="shared" si="161"/>
        <v>554 - AW</v>
      </c>
      <c r="AO851" s="121" t="str">
        <f>IF('Cable Info'!N555="","",CONCATENATE('Cable Info'!N555," - ",'Cable Info'!O555))</f>
        <v>554 - AW</v>
      </c>
      <c r="AR851" s="121" t="str">
        <f t="shared" si="162"/>
        <v>554 - AW</v>
      </c>
      <c r="AT851" s="121" t="e">
        <f>IF('Cable Info'!P555="","",CONCATENATE('Cable Info'!P555," - ",'Cable Info'!Q555))</f>
        <v>#N/A</v>
      </c>
      <c r="AW851" s="121" t="e">
        <f t="shared" si="163"/>
        <v>#N/A</v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str">
        <f>IF('Cable Info'!L556="","",CONCATENATE('Cable Info'!L556," - ",'Cable Info'!M556))</f>
        <v>555 - AW</v>
      </c>
      <c r="AM852" s="121" t="str">
        <f t="shared" si="161"/>
        <v>555 - AW</v>
      </c>
      <c r="AO852" s="121" t="str">
        <f>IF('Cable Info'!N556="","",CONCATENATE('Cable Info'!N556," - ",'Cable Info'!O556))</f>
        <v>555 - AW</v>
      </c>
      <c r="AR852" s="121" t="str">
        <f t="shared" si="162"/>
        <v>555 - AW</v>
      </c>
      <c r="AT852" s="121" t="e">
        <f>IF('Cable Info'!P556="","",CONCATENATE('Cable Info'!P556," - ",'Cable Info'!Q556))</f>
        <v>#N/A</v>
      </c>
      <c r="AW852" s="121" t="e">
        <f t="shared" si="163"/>
        <v>#N/A</v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str">
        <f>IF('Cable Info'!L557="","",CONCATENATE('Cable Info'!L557," - ",'Cable Info'!M557))</f>
        <v>556 - AW</v>
      </c>
      <c r="AM853" s="121" t="str">
        <f t="shared" si="161"/>
        <v>556 - AW</v>
      </c>
      <c r="AO853" s="121" t="str">
        <f>IF('Cable Info'!N557="","",CONCATENATE('Cable Info'!N557," - ",'Cable Info'!O557))</f>
        <v>556 - AW</v>
      </c>
      <c r="AR853" s="121" t="str">
        <f t="shared" si="162"/>
        <v>556 - AW</v>
      </c>
      <c r="AT853" s="121" t="e">
        <f>IF('Cable Info'!P557="","",CONCATENATE('Cable Info'!P557," - ",'Cable Info'!Q557))</f>
        <v>#N/A</v>
      </c>
      <c r="AW853" s="121" t="e">
        <f t="shared" si="163"/>
        <v>#N/A</v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str">
        <f>IF('Cable Info'!L558="","",CONCATENATE('Cable Info'!L558," - ",'Cable Info'!M558))</f>
        <v>557 - AW</v>
      </c>
      <c r="AM854" s="121" t="str">
        <f t="shared" si="161"/>
        <v>557 - AW</v>
      </c>
      <c r="AO854" s="121" t="str">
        <f>IF('Cable Info'!N558="","",CONCATENATE('Cable Info'!N558," - ",'Cable Info'!O558))</f>
        <v>557 - AW</v>
      </c>
      <c r="AR854" s="121" t="str">
        <f t="shared" si="162"/>
        <v>557 - AW</v>
      </c>
      <c r="AT854" s="121" t="e">
        <f>IF('Cable Info'!P558="","",CONCATENATE('Cable Info'!P558," - ",'Cable Info'!Q558))</f>
        <v>#N/A</v>
      </c>
      <c r="AW854" s="121" t="e">
        <f t="shared" si="163"/>
        <v>#N/A</v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str">
        <f>IF('Cable Info'!L559="","",CONCATENATE('Cable Info'!L559," - ",'Cable Info'!M559))</f>
        <v>558 - AW</v>
      </c>
      <c r="AM855" s="121" t="str">
        <f t="shared" si="161"/>
        <v>558 - AW</v>
      </c>
      <c r="AO855" s="121" t="str">
        <f>IF('Cable Info'!N559="","",CONCATENATE('Cable Info'!N559," - ",'Cable Info'!O559))</f>
        <v>558 - AW</v>
      </c>
      <c r="AR855" s="121" t="str">
        <f t="shared" si="162"/>
        <v>558 - AW</v>
      </c>
      <c r="AT855" s="121" t="e">
        <f>IF('Cable Info'!P559="","",CONCATENATE('Cable Info'!P559," - ",'Cable Info'!Q559))</f>
        <v>#N/A</v>
      </c>
      <c r="AW855" s="121" t="e">
        <f t="shared" si="163"/>
        <v>#N/A</v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str">
        <f>IF('Cable Info'!L560="","",CONCATENATE('Cable Info'!L560," - ",'Cable Info'!M560))</f>
        <v>559 - AW</v>
      </c>
      <c r="AM856" s="121" t="str">
        <f t="shared" si="161"/>
        <v>559 - AW</v>
      </c>
      <c r="AO856" s="121" t="str">
        <f>IF('Cable Info'!N560="","",CONCATENATE('Cable Info'!N560," - ",'Cable Info'!O560))</f>
        <v>559 - AW</v>
      </c>
      <c r="AR856" s="121" t="str">
        <f t="shared" si="162"/>
        <v>559 - AW</v>
      </c>
      <c r="AT856" s="121" t="e">
        <f>IF('Cable Info'!P560="","",CONCATENATE('Cable Info'!P560," - ",'Cable Info'!Q560))</f>
        <v>#N/A</v>
      </c>
      <c r="AW856" s="121" t="e">
        <f t="shared" si="163"/>
        <v>#N/A</v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str">
        <f>IF('Cable Info'!L561="","",CONCATENATE('Cable Info'!L561," - ",'Cable Info'!M561))</f>
        <v>560 - AW</v>
      </c>
      <c r="AM857" s="121" t="str">
        <f t="shared" si="161"/>
        <v>560 - AW</v>
      </c>
      <c r="AO857" s="121" t="str">
        <f>IF('Cable Info'!N561="","",CONCATENATE('Cable Info'!N561," - ",'Cable Info'!O561))</f>
        <v>560 - AW</v>
      </c>
      <c r="AR857" s="121" t="str">
        <f t="shared" si="162"/>
        <v>560 - AW</v>
      </c>
      <c r="AT857" s="121" t="e">
        <f>IF('Cable Info'!P561="","",CONCATENATE('Cable Info'!P561," - ",'Cable Info'!Q561))</f>
        <v>#N/A</v>
      </c>
      <c r="AW857" s="121" t="e">
        <f t="shared" si="163"/>
        <v>#N/A</v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str">
        <f>IF('Cable Info'!L562="","",CONCATENATE('Cable Info'!L562," - ",'Cable Info'!M562))</f>
        <v>561 - AW</v>
      </c>
      <c r="AM858" s="121" t="str">
        <f t="shared" si="161"/>
        <v>561 - AW</v>
      </c>
      <c r="AO858" s="121" t="str">
        <f>IF('Cable Info'!N562="","",CONCATENATE('Cable Info'!N562," - ",'Cable Info'!O562))</f>
        <v>561 - AW</v>
      </c>
      <c r="AR858" s="121" t="str">
        <f t="shared" si="162"/>
        <v>561 - AW</v>
      </c>
      <c r="AT858" s="121" t="e">
        <f>IF('Cable Info'!P562="","",CONCATENATE('Cable Info'!P562," - ",'Cable Info'!Q562))</f>
        <v>#N/A</v>
      </c>
      <c r="AW858" s="121" t="e">
        <f t="shared" si="163"/>
        <v>#N/A</v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str">
        <f>IF('Cable Info'!L563="","",CONCATENATE('Cable Info'!L563," - ",'Cable Info'!M563))</f>
        <v>562 - AW</v>
      </c>
      <c r="AM859" s="121" t="str">
        <f t="shared" si="161"/>
        <v>562 - AW</v>
      </c>
      <c r="AO859" s="121" t="str">
        <f>IF('Cable Info'!N563="","",CONCATENATE('Cable Info'!N563," - ",'Cable Info'!O563))</f>
        <v>562 - AW</v>
      </c>
      <c r="AR859" s="121" t="str">
        <f t="shared" si="162"/>
        <v>562 - AW</v>
      </c>
      <c r="AT859" s="121" t="e">
        <f>IF('Cable Info'!P563="","",CONCATENATE('Cable Info'!P563," - ",'Cable Info'!Q563))</f>
        <v>#N/A</v>
      </c>
      <c r="AW859" s="121" t="e">
        <f t="shared" si="163"/>
        <v>#N/A</v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str">
        <f>IF('Cable Info'!L564="","",CONCATENATE('Cable Info'!L564," - ",'Cable Info'!M564))</f>
        <v>563 - AW</v>
      </c>
      <c r="AM860" s="121" t="str">
        <f t="shared" si="161"/>
        <v>563 - AW</v>
      </c>
      <c r="AO860" s="121" t="str">
        <f>IF('Cable Info'!N564="","",CONCATENATE('Cable Info'!N564," - ",'Cable Info'!O564))</f>
        <v>563 - AW</v>
      </c>
      <c r="AR860" s="121" t="str">
        <f t="shared" si="162"/>
        <v>563 - AW</v>
      </c>
      <c r="AT860" s="121" t="e">
        <f>IF('Cable Info'!P564="","",CONCATENATE('Cable Info'!P564," - ",'Cable Info'!Q564))</f>
        <v>#N/A</v>
      </c>
      <c r="AW860" s="121" t="e">
        <f t="shared" si="163"/>
        <v>#N/A</v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str">
        <f>IF('Cable Info'!L565="","",CONCATENATE('Cable Info'!L565," - ",'Cable Info'!M565))</f>
        <v>564 - AW</v>
      </c>
      <c r="AM861" s="121" t="str">
        <f t="shared" si="161"/>
        <v>564 - AW</v>
      </c>
      <c r="AO861" s="121" t="str">
        <f>IF('Cable Info'!N565="","",CONCATENATE('Cable Info'!N565," - ",'Cable Info'!O565))</f>
        <v>564 - AW</v>
      </c>
      <c r="AR861" s="121" t="str">
        <f t="shared" si="162"/>
        <v>564 - AW</v>
      </c>
      <c r="AT861" s="121" t="e">
        <f>IF('Cable Info'!P565="","",CONCATENATE('Cable Info'!P565," - ",'Cable Info'!Q565))</f>
        <v>#N/A</v>
      </c>
      <c r="AW861" s="121" t="e">
        <f t="shared" si="163"/>
        <v>#N/A</v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str">
        <f>IF('Cable Info'!L566="","",CONCATENATE('Cable Info'!L566," - ",'Cable Info'!M566))</f>
        <v>565 - AW</v>
      </c>
      <c r="AM862" s="121" t="str">
        <f t="shared" si="161"/>
        <v>565 - AW</v>
      </c>
      <c r="AO862" s="121" t="str">
        <f>IF('Cable Info'!N566="","",CONCATENATE('Cable Info'!N566," - ",'Cable Info'!O566))</f>
        <v>565 - AW</v>
      </c>
      <c r="AR862" s="121" t="str">
        <f t="shared" si="162"/>
        <v>565 - AW</v>
      </c>
      <c r="AT862" s="121" t="e">
        <f>IF('Cable Info'!P566="","",CONCATENATE('Cable Info'!P566," - ",'Cable Info'!Q566))</f>
        <v>#N/A</v>
      </c>
      <c r="AW862" s="121" t="e">
        <f t="shared" si="163"/>
        <v>#N/A</v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str">
        <f>IF('Cable Info'!L567="","",CONCATENATE('Cable Info'!L567," - ",'Cable Info'!M567))</f>
        <v>566 - AW</v>
      </c>
      <c r="AM863" s="121" t="str">
        <f t="shared" si="161"/>
        <v>566 - AW</v>
      </c>
      <c r="AO863" s="121" t="str">
        <f>IF('Cable Info'!N567="","",CONCATENATE('Cable Info'!N567," - ",'Cable Info'!O567))</f>
        <v>566 - AW</v>
      </c>
      <c r="AR863" s="121" t="str">
        <f t="shared" si="162"/>
        <v>566 - AW</v>
      </c>
      <c r="AT863" s="121" t="e">
        <f>IF('Cable Info'!P567="","",CONCATENATE('Cable Info'!P567," - ",'Cable Info'!Q567))</f>
        <v>#N/A</v>
      </c>
      <c r="AW863" s="121" t="e">
        <f t="shared" si="163"/>
        <v>#N/A</v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str">
        <f>IF('Cable Info'!L568="","",CONCATENATE('Cable Info'!L568," - ",'Cable Info'!M568))</f>
        <v>567 - AW</v>
      </c>
      <c r="AM864" s="121" t="str">
        <f t="shared" si="161"/>
        <v>567 - AW</v>
      </c>
      <c r="AO864" s="121" t="str">
        <f>IF('Cable Info'!N568="","",CONCATENATE('Cable Info'!N568," - ",'Cable Info'!O568))</f>
        <v>567 - AW</v>
      </c>
      <c r="AR864" s="121" t="str">
        <f t="shared" si="162"/>
        <v>567 - AW</v>
      </c>
      <c r="AT864" s="121" t="e">
        <f>IF('Cable Info'!P568="","",CONCATENATE('Cable Info'!P568," - ",'Cable Info'!Q568))</f>
        <v>#N/A</v>
      </c>
      <c r="AW864" s="121" t="e">
        <f t="shared" si="163"/>
        <v>#N/A</v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str">
        <f>IF('Cable Info'!L569="","",CONCATENATE('Cable Info'!L569," - ",'Cable Info'!M569))</f>
        <v>568 - AW</v>
      </c>
      <c r="AM865" s="121" t="str">
        <f t="shared" si="161"/>
        <v>568 - AW</v>
      </c>
      <c r="AO865" s="121" t="str">
        <f>IF('Cable Info'!N569="","",CONCATENATE('Cable Info'!N569," - ",'Cable Info'!O569))</f>
        <v>568 - AW</v>
      </c>
      <c r="AR865" s="121" t="str">
        <f t="shared" si="162"/>
        <v>568 - AW</v>
      </c>
      <c r="AT865" s="121" t="e">
        <f>IF('Cable Info'!P569="","",CONCATENATE('Cable Info'!P569," - ",'Cable Info'!Q569))</f>
        <v>#N/A</v>
      </c>
      <c r="AW865" s="121" t="e">
        <f t="shared" si="163"/>
        <v>#N/A</v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str">
        <f>IF('Cable Info'!L570="","",CONCATENATE('Cable Info'!L570," - ",'Cable Info'!M570))</f>
        <v>569 - AW</v>
      </c>
      <c r="AM866" s="121" t="str">
        <f t="shared" si="161"/>
        <v>569 - AW</v>
      </c>
      <c r="AO866" s="121" t="str">
        <f>IF('Cable Info'!N570="","",CONCATENATE('Cable Info'!N570," - ",'Cable Info'!O570))</f>
        <v>569 - AW</v>
      </c>
      <c r="AR866" s="121" t="str">
        <f t="shared" si="162"/>
        <v>569 - AW</v>
      </c>
      <c r="AT866" s="121" t="e">
        <f>IF('Cable Info'!P570="","",CONCATENATE('Cable Info'!P570," - ",'Cable Info'!Q570))</f>
        <v>#N/A</v>
      </c>
      <c r="AW866" s="121" t="e">
        <f t="shared" si="163"/>
        <v>#N/A</v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str">
        <f>IF('Cable Info'!L571="","",CONCATENATE('Cable Info'!L571," - ",'Cable Info'!M571))</f>
        <v>570 - AW</v>
      </c>
      <c r="AM867" s="121" t="str">
        <f t="shared" si="161"/>
        <v>570 - AW</v>
      </c>
      <c r="AO867" s="121" t="str">
        <f>IF('Cable Info'!N571="","",CONCATENATE('Cable Info'!N571," - ",'Cable Info'!O571))</f>
        <v>570 - AW</v>
      </c>
      <c r="AR867" s="121" t="str">
        <f t="shared" si="162"/>
        <v>570 - AW</v>
      </c>
      <c r="AT867" s="121" t="e">
        <f>IF('Cable Info'!P571="","",CONCATENATE('Cable Info'!P571," - ",'Cable Info'!Q571))</f>
        <v>#N/A</v>
      </c>
      <c r="AW867" s="121" t="e">
        <f t="shared" si="163"/>
        <v>#N/A</v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str">
        <f>IF('Cable Info'!L572="","",CONCATENATE('Cable Info'!L572," - ",'Cable Info'!M572))</f>
        <v>571 - AW</v>
      </c>
      <c r="AM868" s="121" t="str">
        <f t="shared" si="161"/>
        <v>571 - AW</v>
      </c>
      <c r="AO868" s="121" t="str">
        <f>IF('Cable Info'!N572="","",CONCATENATE('Cable Info'!N572," - ",'Cable Info'!O572))</f>
        <v>571 - AW</v>
      </c>
      <c r="AR868" s="121" t="str">
        <f t="shared" si="162"/>
        <v>571 - AW</v>
      </c>
      <c r="AT868" s="121" t="e">
        <f>IF('Cable Info'!P572="","",CONCATENATE('Cable Info'!P572," - ",'Cable Info'!Q572))</f>
        <v>#N/A</v>
      </c>
      <c r="AW868" s="121" t="e">
        <f t="shared" si="163"/>
        <v>#N/A</v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str">
        <f>IF('Cable Info'!L573="","",CONCATENATE('Cable Info'!L573," - ",'Cable Info'!M573))</f>
        <v>572 - AW</v>
      </c>
      <c r="AM869" s="121" t="str">
        <f t="shared" si="161"/>
        <v>572 - AW</v>
      </c>
      <c r="AO869" s="121" t="str">
        <f>IF('Cable Info'!N573="","",CONCATENATE('Cable Info'!N573," - ",'Cable Info'!O573))</f>
        <v>572 - AW</v>
      </c>
      <c r="AR869" s="121" t="str">
        <f t="shared" si="162"/>
        <v>572 - AW</v>
      </c>
      <c r="AT869" s="121" t="e">
        <f>IF('Cable Info'!P573="","",CONCATENATE('Cable Info'!P573," - ",'Cable Info'!Q573))</f>
        <v>#N/A</v>
      </c>
      <c r="AW869" s="121" t="e">
        <f t="shared" si="163"/>
        <v>#N/A</v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str">
        <f>IF('Cable Info'!L574="","",CONCATENATE('Cable Info'!L574," - ",'Cable Info'!M574))</f>
        <v>573 - AW</v>
      </c>
      <c r="AM870" s="121" t="str">
        <f t="shared" si="161"/>
        <v>573 - AW</v>
      </c>
      <c r="AO870" s="121" t="str">
        <f>IF('Cable Info'!N574="","",CONCATENATE('Cable Info'!N574," - ",'Cable Info'!O574))</f>
        <v>573 - AW</v>
      </c>
      <c r="AR870" s="121" t="str">
        <f t="shared" si="162"/>
        <v>573 - AW</v>
      </c>
      <c r="AT870" s="121" t="e">
        <f>IF('Cable Info'!P574="","",CONCATENATE('Cable Info'!P574," - ",'Cable Info'!Q574))</f>
        <v>#N/A</v>
      </c>
      <c r="AW870" s="121" t="e">
        <f t="shared" si="163"/>
        <v>#N/A</v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str">
        <f>IF('Cable Info'!L575="","",CONCATENATE('Cable Info'!L575," - ",'Cable Info'!M575))</f>
        <v>574 - AW</v>
      </c>
      <c r="AM871" s="121" t="str">
        <f t="shared" si="161"/>
        <v>574 - AW</v>
      </c>
      <c r="AO871" s="121" t="str">
        <f>IF('Cable Info'!N575="","",CONCATENATE('Cable Info'!N575," - ",'Cable Info'!O575))</f>
        <v>574 - AW</v>
      </c>
      <c r="AR871" s="121" t="str">
        <f t="shared" si="162"/>
        <v>574 - AW</v>
      </c>
      <c r="AT871" s="121" t="e">
        <f>IF('Cable Info'!P575="","",CONCATENATE('Cable Info'!P575," - ",'Cable Info'!Q575))</f>
        <v>#N/A</v>
      </c>
      <c r="AW871" s="121" t="e">
        <f t="shared" si="163"/>
        <v>#N/A</v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str">
        <f>IF('Cable Info'!L576="","",CONCATENATE('Cable Info'!L576," - ",'Cable Info'!M576))</f>
        <v>575 - AW</v>
      </c>
      <c r="AM872" s="121" t="str">
        <f t="shared" si="161"/>
        <v>575 - AW</v>
      </c>
      <c r="AO872" s="121" t="str">
        <f>IF('Cable Info'!N576="","",CONCATENATE('Cable Info'!N576," - ",'Cable Info'!O576))</f>
        <v>575 - AW</v>
      </c>
      <c r="AR872" s="121" t="str">
        <f t="shared" si="162"/>
        <v>575 - AW</v>
      </c>
      <c r="AT872" s="121" t="e">
        <f>IF('Cable Info'!P576="","",CONCATENATE('Cable Info'!P576," - ",'Cable Info'!Q576))</f>
        <v>#N/A</v>
      </c>
      <c r="AW872" s="121" t="e">
        <f t="shared" si="163"/>
        <v>#N/A</v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str">
        <f>IF('Cable Info'!L577="","",CONCATENATE('Cable Info'!L577," - ",'Cable Info'!M577))</f>
        <v>576 - AW</v>
      </c>
      <c r="AM873" s="121" t="str">
        <f t="shared" si="161"/>
        <v>576 - AW</v>
      </c>
      <c r="AO873" s="121" t="str">
        <f>IF('Cable Info'!N577="","",CONCATENATE('Cable Info'!N577," - ",'Cable Info'!O577))</f>
        <v>576 - AW</v>
      </c>
      <c r="AR873" s="121" t="str">
        <f t="shared" si="162"/>
        <v>576 - AW</v>
      </c>
      <c r="AT873" s="121" t="e">
        <f>IF('Cable Info'!P577="","",CONCATENATE('Cable Info'!P577," - ",'Cable Info'!Q577))</f>
        <v>#N/A</v>
      </c>
      <c r="AW873" s="121" t="e">
        <f t="shared" si="163"/>
        <v>#N/A</v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str">
        <f>IF('Cable Info'!L578="","",CONCATENATE('Cable Info'!L578," - ",'Cable Info'!M578))</f>
        <v>577 - AW</v>
      </c>
      <c r="AM874" s="121" t="str">
        <f t="shared" si="161"/>
        <v>577 - AW</v>
      </c>
      <c r="AO874" s="121" t="str">
        <f>IF('Cable Info'!N578="","",CONCATENATE('Cable Info'!N578," - ",'Cable Info'!O578))</f>
        <v>577 - AW</v>
      </c>
      <c r="AR874" s="121" t="str">
        <f t="shared" si="162"/>
        <v>577 - AW</v>
      </c>
      <c r="AT874" s="121" t="e">
        <f>IF('Cable Info'!P578="","",CONCATENATE('Cable Info'!P578," - ",'Cable Info'!Q578))</f>
        <v>#N/A</v>
      </c>
      <c r="AW874" s="121" t="e">
        <f t="shared" si="163"/>
        <v>#N/A</v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str">
        <f>IF('Cable Info'!L579="","",CONCATENATE('Cable Info'!L579," - ",'Cable Info'!M579))</f>
        <v>578 - AW</v>
      </c>
      <c r="AM875" s="121" t="str">
        <f t="shared" ref="AM875:AM938" si="167">IF(AK875="",AJ875,CONCATENATE(AJ875,"  &lt;=&gt; ",AK875," ",AL875))</f>
        <v>578 - AW</v>
      </c>
      <c r="AO875" s="121" t="str">
        <f>IF('Cable Info'!N579="","",CONCATENATE('Cable Info'!N579," - ",'Cable Info'!O579))</f>
        <v>578 - AW</v>
      </c>
      <c r="AR875" s="121" t="str">
        <f t="shared" ref="AR875:AR938" si="168">IF(AP875="",AO875,CONCATENATE(AO875,"  &lt;=&gt; ",AP875," ",AQ875))</f>
        <v>578 - AW</v>
      </c>
      <c r="AT875" s="121" t="e">
        <f>IF('Cable Info'!P579="","",CONCATENATE('Cable Info'!P579," - ",'Cable Info'!Q579))</f>
        <v>#N/A</v>
      </c>
      <c r="AW875" s="121" t="e">
        <f t="shared" ref="AW875:AW938" si="169">IF(AU875="",AT875,CONCATENATE(AT875,"  &lt;=&gt; ",AU875," ",AV875))</f>
        <v>#N/A</v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str">
        <f>IF('Cable Info'!L580="","",CONCATENATE('Cable Info'!L580," - ",'Cable Info'!M580))</f>
        <v>579 - AW</v>
      </c>
      <c r="AM876" s="121" t="str">
        <f t="shared" si="167"/>
        <v>579 - AW</v>
      </c>
      <c r="AO876" s="121" t="str">
        <f>IF('Cable Info'!N580="","",CONCATENATE('Cable Info'!N580," - ",'Cable Info'!O580))</f>
        <v>579 - AW</v>
      </c>
      <c r="AR876" s="121" t="str">
        <f t="shared" si="168"/>
        <v>579 - AW</v>
      </c>
      <c r="AT876" s="121" t="e">
        <f>IF('Cable Info'!P580="","",CONCATENATE('Cable Info'!P580," - ",'Cable Info'!Q580))</f>
        <v>#N/A</v>
      </c>
      <c r="AW876" s="121" t="e">
        <f t="shared" si="169"/>
        <v>#N/A</v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str">
        <f>IF('Cable Info'!L581="","",CONCATENATE('Cable Info'!L581," - ",'Cable Info'!M581))</f>
        <v>580 - AW</v>
      </c>
      <c r="AM877" s="121" t="str">
        <f t="shared" si="167"/>
        <v>580 - AW</v>
      </c>
      <c r="AO877" s="121" t="str">
        <f>IF('Cable Info'!N581="","",CONCATENATE('Cable Info'!N581," - ",'Cable Info'!O581))</f>
        <v>580 - AW</v>
      </c>
      <c r="AR877" s="121" t="str">
        <f t="shared" si="168"/>
        <v>580 - AW</v>
      </c>
      <c r="AT877" s="121" t="e">
        <f>IF('Cable Info'!P581="","",CONCATENATE('Cable Info'!P581," - ",'Cable Info'!Q581))</f>
        <v>#N/A</v>
      </c>
      <c r="AW877" s="121" t="e">
        <f t="shared" si="169"/>
        <v>#N/A</v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str">
        <f>IF('Cable Info'!L582="","",CONCATENATE('Cable Info'!L582," - ",'Cable Info'!M582))</f>
        <v>581 - AW</v>
      </c>
      <c r="AM878" s="121" t="str">
        <f t="shared" si="167"/>
        <v>581 - AW</v>
      </c>
      <c r="AO878" s="121" t="str">
        <f>IF('Cable Info'!N582="","",CONCATENATE('Cable Info'!N582," - ",'Cable Info'!O582))</f>
        <v>581 - AW</v>
      </c>
      <c r="AR878" s="121" t="str">
        <f t="shared" si="168"/>
        <v>581 - AW</v>
      </c>
      <c r="AT878" s="121" t="e">
        <f>IF('Cable Info'!P582="","",CONCATENATE('Cable Info'!P582," - ",'Cable Info'!Q582))</f>
        <v>#N/A</v>
      </c>
      <c r="AW878" s="121" t="e">
        <f t="shared" si="169"/>
        <v>#N/A</v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str">
        <f>IF('Cable Info'!L583="","",CONCATENATE('Cable Info'!L583," - ",'Cable Info'!M583))</f>
        <v>582 - AW</v>
      </c>
      <c r="AM879" s="121" t="str">
        <f t="shared" si="167"/>
        <v>582 - AW</v>
      </c>
      <c r="AO879" s="121" t="str">
        <f>IF('Cable Info'!N583="","",CONCATENATE('Cable Info'!N583," - ",'Cable Info'!O583))</f>
        <v>582 - AW</v>
      </c>
      <c r="AR879" s="121" t="str">
        <f t="shared" si="168"/>
        <v>582 - AW</v>
      </c>
      <c r="AT879" s="121" t="e">
        <f>IF('Cable Info'!P583="","",CONCATENATE('Cable Info'!P583," - ",'Cable Info'!Q583))</f>
        <v>#N/A</v>
      </c>
      <c r="AW879" s="121" t="e">
        <f t="shared" si="169"/>
        <v>#N/A</v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str">
        <f>IF('Cable Info'!L584="","",CONCATENATE('Cable Info'!L584," - ",'Cable Info'!M584))</f>
        <v>583 - AW</v>
      </c>
      <c r="AM880" s="121" t="str">
        <f t="shared" si="167"/>
        <v>583 - AW</v>
      </c>
      <c r="AO880" s="121" t="str">
        <f>IF('Cable Info'!N584="","",CONCATENATE('Cable Info'!N584," - ",'Cable Info'!O584))</f>
        <v>583 - AW</v>
      </c>
      <c r="AR880" s="121" t="str">
        <f t="shared" si="168"/>
        <v>583 - AW</v>
      </c>
      <c r="AT880" s="121" t="e">
        <f>IF('Cable Info'!P584="","",CONCATENATE('Cable Info'!P584," - ",'Cable Info'!Q584))</f>
        <v>#N/A</v>
      </c>
      <c r="AW880" s="121" t="e">
        <f t="shared" si="169"/>
        <v>#N/A</v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str">
        <f>IF('Cable Info'!L585="","",CONCATENATE('Cable Info'!L585," - ",'Cable Info'!M585))</f>
        <v>584 - AW</v>
      </c>
      <c r="AM881" s="121" t="str">
        <f t="shared" si="167"/>
        <v>584 - AW</v>
      </c>
      <c r="AO881" s="121" t="str">
        <f>IF('Cable Info'!N585="","",CONCATENATE('Cable Info'!N585," - ",'Cable Info'!O585))</f>
        <v>584 - AW</v>
      </c>
      <c r="AR881" s="121" t="str">
        <f t="shared" si="168"/>
        <v>584 - AW</v>
      </c>
      <c r="AT881" s="121" t="e">
        <f>IF('Cable Info'!P585="","",CONCATENATE('Cable Info'!P585," - ",'Cable Info'!Q585))</f>
        <v>#N/A</v>
      </c>
      <c r="AW881" s="121" t="e">
        <f t="shared" si="169"/>
        <v>#N/A</v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str">
        <f>IF('Cable Info'!L586="","",CONCATENATE('Cable Info'!L586," - ",'Cable Info'!M586))</f>
        <v>585 - AW</v>
      </c>
      <c r="AM882" s="121" t="str">
        <f t="shared" si="167"/>
        <v>585 - AW</v>
      </c>
      <c r="AO882" s="121" t="str">
        <f>IF('Cable Info'!N586="","",CONCATENATE('Cable Info'!N586," - ",'Cable Info'!O586))</f>
        <v>585 - AW</v>
      </c>
      <c r="AR882" s="121" t="str">
        <f t="shared" si="168"/>
        <v>585 - AW</v>
      </c>
      <c r="AT882" s="121" t="e">
        <f>IF('Cable Info'!P586="","",CONCATENATE('Cable Info'!P586," - ",'Cable Info'!Q586))</f>
        <v>#N/A</v>
      </c>
      <c r="AW882" s="121" t="e">
        <f t="shared" si="169"/>
        <v>#N/A</v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str">
        <f>IF('Cable Info'!L587="","",CONCATENATE('Cable Info'!L587," - ",'Cable Info'!M587))</f>
        <v>586 - AW</v>
      </c>
      <c r="AM883" s="121" t="str">
        <f t="shared" si="167"/>
        <v>586 - AW</v>
      </c>
      <c r="AO883" s="121" t="str">
        <f>IF('Cable Info'!N587="","",CONCATENATE('Cable Info'!N587," - ",'Cable Info'!O587))</f>
        <v>586 - AW</v>
      </c>
      <c r="AR883" s="121" t="str">
        <f t="shared" si="168"/>
        <v>586 - AW</v>
      </c>
      <c r="AT883" s="121" t="e">
        <f>IF('Cable Info'!P587="","",CONCATENATE('Cable Info'!P587," - ",'Cable Info'!Q587))</f>
        <v>#N/A</v>
      </c>
      <c r="AW883" s="121" t="e">
        <f t="shared" si="169"/>
        <v>#N/A</v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str">
        <f>IF('Cable Info'!L588="","",CONCATENATE('Cable Info'!L588," - ",'Cable Info'!M588))</f>
        <v>587 - AW</v>
      </c>
      <c r="AM884" s="121" t="str">
        <f t="shared" si="167"/>
        <v>587 - AW</v>
      </c>
      <c r="AO884" s="121" t="str">
        <f>IF('Cable Info'!N588="","",CONCATENATE('Cable Info'!N588," - ",'Cable Info'!O588))</f>
        <v>587 - AW</v>
      </c>
      <c r="AR884" s="121" t="str">
        <f t="shared" si="168"/>
        <v>587 - AW</v>
      </c>
      <c r="AT884" s="121" t="e">
        <f>IF('Cable Info'!P588="","",CONCATENATE('Cable Info'!P588," - ",'Cable Info'!Q588))</f>
        <v>#N/A</v>
      </c>
      <c r="AW884" s="121" t="e">
        <f t="shared" si="169"/>
        <v>#N/A</v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str">
        <f>IF('Cable Info'!L589="","",CONCATENATE('Cable Info'!L589," - ",'Cable Info'!M589))</f>
        <v>588 - AW</v>
      </c>
      <c r="AM885" s="121" t="str">
        <f t="shared" si="167"/>
        <v>588 - AW</v>
      </c>
      <c r="AO885" s="121" t="str">
        <f>IF('Cable Info'!N589="","",CONCATENATE('Cable Info'!N589," - ",'Cable Info'!O589))</f>
        <v>588 - AW</v>
      </c>
      <c r="AR885" s="121" t="str">
        <f t="shared" si="168"/>
        <v>588 - AW</v>
      </c>
      <c r="AT885" s="121" t="e">
        <f>IF('Cable Info'!P589="","",CONCATENATE('Cable Info'!P589," - ",'Cable Info'!Q589))</f>
        <v>#N/A</v>
      </c>
      <c r="AW885" s="121" t="e">
        <f t="shared" si="169"/>
        <v>#N/A</v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str">
        <f>IF('Cable Info'!L590="","",CONCATENATE('Cable Info'!L590," - ",'Cable Info'!M590))</f>
        <v>589 - AW</v>
      </c>
      <c r="AM886" s="121" t="str">
        <f t="shared" si="167"/>
        <v>589 - AW</v>
      </c>
      <c r="AO886" s="121" t="str">
        <f>IF('Cable Info'!N590="","",CONCATENATE('Cable Info'!N590," - ",'Cable Info'!O590))</f>
        <v>589 - AW</v>
      </c>
      <c r="AR886" s="121" t="str">
        <f t="shared" si="168"/>
        <v>589 - AW</v>
      </c>
      <c r="AT886" s="121" t="e">
        <f>IF('Cable Info'!P590="","",CONCATENATE('Cable Info'!P590," - ",'Cable Info'!Q590))</f>
        <v>#N/A</v>
      </c>
      <c r="AW886" s="121" t="e">
        <f t="shared" si="169"/>
        <v>#N/A</v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str">
        <f>IF('Cable Info'!L591="","",CONCATENATE('Cable Info'!L591," - ",'Cable Info'!M591))</f>
        <v>590 - AW</v>
      </c>
      <c r="AM887" s="121" t="str">
        <f t="shared" si="167"/>
        <v>590 - AW</v>
      </c>
      <c r="AO887" s="121" t="str">
        <f>IF('Cable Info'!N591="","",CONCATENATE('Cable Info'!N591," - ",'Cable Info'!O591))</f>
        <v>590 - AW</v>
      </c>
      <c r="AR887" s="121" t="str">
        <f t="shared" si="168"/>
        <v>590 - AW</v>
      </c>
      <c r="AT887" s="121" t="e">
        <f>IF('Cable Info'!P591="","",CONCATENATE('Cable Info'!P591," - ",'Cable Info'!Q591))</f>
        <v>#N/A</v>
      </c>
      <c r="AW887" s="121" t="e">
        <f t="shared" si="169"/>
        <v>#N/A</v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str">
        <f>IF('Cable Info'!L592="","",CONCATENATE('Cable Info'!L592," - ",'Cable Info'!M592))</f>
        <v>591 - AW</v>
      </c>
      <c r="AM888" s="121" t="str">
        <f t="shared" si="167"/>
        <v>591 - AW</v>
      </c>
      <c r="AO888" s="121" t="str">
        <f>IF('Cable Info'!N592="","",CONCATENATE('Cable Info'!N592," - ",'Cable Info'!O592))</f>
        <v>591 - AW</v>
      </c>
      <c r="AR888" s="121" t="str">
        <f t="shared" si="168"/>
        <v>591 - AW</v>
      </c>
      <c r="AT888" s="121" t="e">
        <f>IF('Cable Info'!P592="","",CONCATENATE('Cable Info'!P592," - ",'Cable Info'!Q592))</f>
        <v>#N/A</v>
      </c>
      <c r="AW888" s="121" t="e">
        <f t="shared" si="169"/>
        <v>#N/A</v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str">
        <f>IF('Cable Info'!L593="","",CONCATENATE('Cable Info'!L593," - ",'Cable Info'!M593))</f>
        <v>592 - AW</v>
      </c>
      <c r="AM889" s="121" t="str">
        <f t="shared" si="167"/>
        <v>592 - AW</v>
      </c>
      <c r="AO889" s="121" t="str">
        <f>IF('Cable Info'!N593="","",CONCATENATE('Cable Info'!N593," - ",'Cable Info'!O593))</f>
        <v>592 - AW</v>
      </c>
      <c r="AR889" s="121" t="str">
        <f t="shared" si="168"/>
        <v>592 - AW</v>
      </c>
      <c r="AT889" s="121" t="e">
        <f>IF('Cable Info'!P593="","",CONCATENATE('Cable Info'!P593," - ",'Cable Info'!Q593))</f>
        <v>#N/A</v>
      </c>
      <c r="AW889" s="121" t="e">
        <f t="shared" si="169"/>
        <v>#N/A</v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str">
        <f>IF('Cable Info'!L594="","",CONCATENATE('Cable Info'!L594," - ",'Cable Info'!M594))</f>
        <v>593 - AW</v>
      </c>
      <c r="AM890" s="121" t="str">
        <f t="shared" si="167"/>
        <v>593 - AW</v>
      </c>
      <c r="AO890" s="121" t="str">
        <f>IF('Cable Info'!N594="","",CONCATENATE('Cable Info'!N594," - ",'Cable Info'!O594))</f>
        <v>593 - AW</v>
      </c>
      <c r="AR890" s="121" t="str">
        <f t="shared" si="168"/>
        <v>593 - AW</v>
      </c>
      <c r="AT890" s="121" t="e">
        <f>IF('Cable Info'!P594="","",CONCATENATE('Cable Info'!P594," - ",'Cable Info'!Q594))</f>
        <v>#N/A</v>
      </c>
      <c r="AW890" s="121" t="e">
        <f t="shared" si="169"/>
        <v>#N/A</v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str">
        <f>IF('Cable Info'!L595="","",CONCATENATE('Cable Info'!L595," - ",'Cable Info'!M595))</f>
        <v>594 - AW</v>
      </c>
      <c r="AM891" s="121" t="str">
        <f t="shared" si="167"/>
        <v>594 - AW</v>
      </c>
      <c r="AO891" s="121" t="str">
        <f>IF('Cable Info'!N595="","",CONCATENATE('Cable Info'!N595," - ",'Cable Info'!O595))</f>
        <v>594 - AW</v>
      </c>
      <c r="AR891" s="121" t="str">
        <f t="shared" si="168"/>
        <v>594 - AW</v>
      </c>
      <c r="AT891" s="121" t="e">
        <f>IF('Cable Info'!P595="","",CONCATENATE('Cable Info'!P595," - ",'Cable Info'!Q595))</f>
        <v>#N/A</v>
      </c>
      <c r="AW891" s="121" t="e">
        <f t="shared" si="169"/>
        <v>#N/A</v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str">
        <f>IF('Cable Info'!L596="","",CONCATENATE('Cable Info'!L596," - ",'Cable Info'!M596))</f>
        <v>595 - AW</v>
      </c>
      <c r="AM892" s="121" t="str">
        <f t="shared" si="167"/>
        <v>595 - AW</v>
      </c>
      <c r="AO892" s="121" t="str">
        <f>IF('Cable Info'!N596="","",CONCATENATE('Cable Info'!N596," - ",'Cable Info'!O596))</f>
        <v>595 - AW</v>
      </c>
      <c r="AR892" s="121" t="str">
        <f t="shared" si="168"/>
        <v>595 - AW</v>
      </c>
      <c r="AT892" s="121" t="e">
        <f>IF('Cable Info'!P596="","",CONCATENATE('Cable Info'!P596," - ",'Cable Info'!Q596))</f>
        <v>#N/A</v>
      </c>
      <c r="AW892" s="121" t="e">
        <f t="shared" si="169"/>
        <v>#N/A</v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str">
        <f>IF('Cable Info'!L597="","",CONCATENATE('Cable Info'!L597," - ",'Cable Info'!M597))</f>
        <v>596 - AW</v>
      </c>
      <c r="AM893" s="121" t="str">
        <f t="shared" si="167"/>
        <v>596 - AW</v>
      </c>
      <c r="AO893" s="121" t="str">
        <f>IF('Cable Info'!N597="","",CONCATENATE('Cable Info'!N597," - ",'Cable Info'!O597))</f>
        <v>596 - AW</v>
      </c>
      <c r="AR893" s="121" t="str">
        <f t="shared" si="168"/>
        <v>596 - AW</v>
      </c>
      <c r="AT893" s="121" t="e">
        <f>IF('Cable Info'!P597="","",CONCATENATE('Cable Info'!P597," - ",'Cable Info'!Q597))</f>
        <v>#N/A</v>
      </c>
      <c r="AW893" s="121" t="e">
        <f t="shared" si="169"/>
        <v>#N/A</v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str">
        <f>IF('Cable Info'!L598="","",CONCATENATE('Cable Info'!L598," - ",'Cable Info'!M598))</f>
        <v>597 - AW</v>
      </c>
      <c r="AM894" s="121" t="str">
        <f t="shared" si="167"/>
        <v>597 - AW</v>
      </c>
      <c r="AO894" s="121" t="str">
        <f>IF('Cable Info'!N598="","",CONCATENATE('Cable Info'!N598," - ",'Cable Info'!O598))</f>
        <v>597 - AW</v>
      </c>
      <c r="AR894" s="121" t="str">
        <f t="shared" si="168"/>
        <v>597 - AW</v>
      </c>
      <c r="AT894" s="121" t="e">
        <f>IF('Cable Info'!P598="","",CONCATENATE('Cable Info'!P598," - ",'Cable Info'!Q598))</f>
        <v>#N/A</v>
      </c>
      <c r="AW894" s="121" t="e">
        <f t="shared" si="169"/>
        <v>#N/A</v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str">
        <f>IF('Cable Info'!L599="","",CONCATENATE('Cable Info'!L599," - ",'Cable Info'!M599))</f>
        <v>598 - AW</v>
      </c>
      <c r="AM895" s="121" t="str">
        <f t="shared" si="167"/>
        <v>598 - AW</v>
      </c>
      <c r="AO895" s="121" t="str">
        <f>IF('Cable Info'!N599="","",CONCATENATE('Cable Info'!N599," - ",'Cable Info'!O599))</f>
        <v>598 - AW</v>
      </c>
      <c r="AR895" s="121" t="str">
        <f t="shared" si="168"/>
        <v>598 - AW</v>
      </c>
      <c r="AT895" s="121" t="e">
        <f>IF('Cable Info'!P599="","",CONCATENATE('Cable Info'!P599," - ",'Cable Info'!Q599))</f>
        <v>#N/A</v>
      </c>
      <c r="AW895" s="121" t="e">
        <f t="shared" si="169"/>
        <v>#N/A</v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str">
        <f>IF('Cable Info'!L600="","",CONCATENATE('Cable Info'!L600," - ",'Cable Info'!M600))</f>
        <v>599 - AW</v>
      </c>
      <c r="AM896" s="121" t="str">
        <f t="shared" si="167"/>
        <v>599 - AW</v>
      </c>
      <c r="AO896" s="121" t="str">
        <f>IF('Cable Info'!N600="","",CONCATENATE('Cable Info'!N600," - ",'Cable Info'!O600))</f>
        <v>599 - AW</v>
      </c>
      <c r="AR896" s="121" t="str">
        <f t="shared" si="168"/>
        <v>599 - AW</v>
      </c>
      <c r="AT896" s="121" t="e">
        <f>IF('Cable Info'!P600="","",CONCATENATE('Cable Info'!P600," - ",'Cable Info'!Q600))</f>
        <v>#N/A</v>
      </c>
      <c r="AW896" s="121" t="e">
        <f t="shared" si="169"/>
        <v>#N/A</v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str">
        <f>IF('Cable Info'!L601="","",CONCATENATE('Cable Info'!L601," - ",'Cable Info'!M601))</f>
        <v>600 - AW</v>
      </c>
      <c r="AM897" s="121" t="str">
        <f t="shared" si="167"/>
        <v>600 - AW</v>
      </c>
      <c r="AO897" s="121" t="str">
        <f>IF('Cable Info'!N601="","",CONCATENATE('Cable Info'!N601," - ",'Cable Info'!O601))</f>
        <v>600 - AW</v>
      </c>
      <c r="AR897" s="121" t="str">
        <f t="shared" si="168"/>
        <v>600 - AW</v>
      </c>
      <c r="AT897" s="121" t="e">
        <f>IF('Cable Info'!P601="","",CONCATENATE('Cable Info'!P601," - ",'Cable Info'!Q601))</f>
        <v>#N/A</v>
      </c>
      <c r="AW897" s="121" t="e">
        <f t="shared" si="169"/>
        <v>#N/A</v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str">
        <f>IF('Cable Info'!L602="","",CONCATENATE('Cable Info'!L602," - ",'Cable Info'!M602))</f>
        <v>601 - AW</v>
      </c>
      <c r="AM898" s="121" t="str">
        <f t="shared" si="167"/>
        <v>601 - AW</v>
      </c>
      <c r="AO898" s="121" t="str">
        <f>IF('Cable Info'!N602="","",CONCATENATE('Cable Info'!N602," - ",'Cable Info'!O602))</f>
        <v>601 - AW</v>
      </c>
      <c r="AR898" s="121" t="str">
        <f t="shared" si="168"/>
        <v>601 - AW</v>
      </c>
      <c r="AT898" s="121" t="e">
        <f>IF('Cable Info'!P602="","",CONCATENATE('Cable Info'!P602," - ",'Cable Info'!Q602))</f>
        <v>#N/A</v>
      </c>
      <c r="AW898" s="121" t="e">
        <f t="shared" si="169"/>
        <v>#N/A</v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str">
        <f>IF('Cable Info'!L603="","",CONCATENATE('Cable Info'!L603," - ",'Cable Info'!M603))</f>
        <v>602 - AW</v>
      </c>
      <c r="AM899" s="121" t="str">
        <f t="shared" si="167"/>
        <v>602 - AW</v>
      </c>
      <c r="AO899" s="121" t="str">
        <f>IF('Cable Info'!N603="","",CONCATENATE('Cable Info'!N603," - ",'Cable Info'!O603))</f>
        <v>602 - AW</v>
      </c>
      <c r="AR899" s="121" t="str">
        <f t="shared" si="168"/>
        <v>602 - AW</v>
      </c>
      <c r="AT899" s="121" t="e">
        <f>IF('Cable Info'!P603="","",CONCATENATE('Cable Info'!P603," - ",'Cable Info'!Q603))</f>
        <v>#N/A</v>
      </c>
      <c r="AW899" s="121" t="e">
        <f t="shared" si="169"/>
        <v>#N/A</v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str">
        <f>IF('Cable Info'!L604="","",CONCATENATE('Cable Info'!L604," - ",'Cable Info'!M604))</f>
        <v>603 - AW</v>
      </c>
      <c r="AM900" s="121" t="str">
        <f t="shared" si="167"/>
        <v>603 - AW</v>
      </c>
      <c r="AO900" s="121" t="str">
        <f>IF('Cable Info'!N604="","",CONCATENATE('Cable Info'!N604," - ",'Cable Info'!O604))</f>
        <v>603 - AW</v>
      </c>
      <c r="AR900" s="121" t="str">
        <f t="shared" si="168"/>
        <v>603 - AW</v>
      </c>
      <c r="AT900" s="121" t="e">
        <f>IF('Cable Info'!P604="","",CONCATENATE('Cable Info'!P604," - ",'Cable Info'!Q604))</f>
        <v>#N/A</v>
      </c>
      <c r="AW900" s="121" t="e">
        <f t="shared" si="169"/>
        <v>#N/A</v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str">
        <f>IF('Cable Info'!L605="","",CONCATENATE('Cable Info'!L605," - ",'Cable Info'!M605))</f>
        <v>604 - AW</v>
      </c>
      <c r="AM901" s="121" t="str">
        <f t="shared" si="167"/>
        <v>604 - AW</v>
      </c>
      <c r="AO901" s="121" t="str">
        <f>IF('Cable Info'!N605="","",CONCATENATE('Cable Info'!N605," - ",'Cable Info'!O605))</f>
        <v>604 - AW</v>
      </c>
      <c r="AR901" s="121" t="str">
        <f t="shared" si="168"/>
        <v>604 - AW</v>
      </c>
      <c r="AT901" s="121" t="e">
        <f>IF('Cable Info'!P605="","",CONCATENATE('Cable Info'!P605," - ",'Cable Info'!Q605))</f>
        <v>#N/A</v>
      </c>
      <c r="AW901" s="121" t="e">
        <f t="shared" si="169"/>
        <v>#N/A</v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str">
        <f>IF('Cable Info'!L606="","",CONCATENATE('Cable Info'!L606," - ",'Cable Info'!M606))</f>
        <v>605 - AW</v>
      </c>
      <c r="AM902" s="121" t="str">
        <f t="shared" si="167"/>
        <v>605 - AW</v>
      </c>
      <c r="AO902" s="121" t="str">
        <f>IF('Cable Info'!N606="","",CONCATENATE('Cable Info'!N606," - ",'Cable Info'!O606))</f>
        <v>605 - AW</v>
      </c>
      <c r="AR902" s="121" t="str">
        <f t="shared" si="168"/>
        <v>605 - AW</v>
      </c>
      <c r="AT902" s="121" t="e">
        <f>IF('Cable Info'!P606="","",CONCATENATE('Cable Info'!P606," - ",'Cable Info'!Q606))</f>
        <v>#N/A</v>
      </c>
      <c r="AW902" s="121" t="e">
        <f t="shared" si="169"/>
        <v>#N/A</v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str">
        <f>IF('Cable Info'!L607="","",CONCATENATE('Cable Info'!L607," - ",'Cable Info'!M607))</f>
        <v>606 - AW</v>
      </c>
      <c r="AM903" s="121" t="str">
        <f t="shared" si="167"/>
        <v>606 - AW</v>
      </c>
      <c r="AO903" s="121" t="str">
        <f>IF('Cable Info'!N607="","",CONCATENATE('Cable Info'!N607," - ",'Cable Info'!O607))</f>
        <v>606 - AW</v>
      </c>
      <c r="AR903" s="121" t="str">
        <f t="shared" si="168"/>
        <v>606 - AW</v>
      </c>
      <c r="AT903" s="121" t="e">
        <f>IF('Cable Info'!P607="","",CONCATENATE('Cable Info'!P607," - ",'Cable Info'!Q607))</f>
        <v>#N/A</v>
      </c>
      <c r="AW903" s="121" t="e">
        <f t="shared" si="169"/>
        <v>#N/A</v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str">
        <f>IF('Cable Info'!L608="","",CONCATENATE('Cable Info'!L608," - ",'Cable Info'!M608))</f>
        <v>607 - AW</v>
      </c>
      <c r="AM904" s="121" t="str">
        <f t="shared" si="167"/>
        <v>607 - AW</v>
      </c>
      <c r="AO904" s="121" t="str">
        <f>IF('Cable Info'!N608="","",CONCATENATE('Cable Info'!N608," - ",'Cable Info'!O608))</f>
        <v>607 - AW</v>
      </c>
      <c r="AR904" s="121" t="str">
        <f t="shared" si="168"/>
        <v>607 - AW</v>
      </c>
      <c r="AT904" s="121" t="e">
        <f>IF('Cable Info'!P608="","",CONCATENATE('Cable Info'!P608," - ",'Cable Info'!Q608))</f>
        <v>#N/A</v>
      </c>
      <c r="AW904" s="121" t="e">
        <f t="shared" si="169"/>
        <v>#N/A</v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str">
        <f>IF('Cable Info'!L609="","",CONCATENATE('Cable Info'!L609," - ",'Cable Info'!M609))</f>
        <v>608 - AW</v>
      </c>
      <c r="AM905" s="121" t="str">
        <f t="shared" si="167"/>
        <v>608 - AW</v>
      </c>
      <c r="AO905" s="121" t="str">
        <f>IF('Cable Info'!N609="","",CONCATENATE('Cable Info'!N609," - ",'Cable Info'!O609))</f>
        <v>608 - AW</v>
      </c>
      <c r="AR905" s="121" t="str">
        <f t="shared" si="168"/>
        <v>608 - AW</v>
      </c>
      <c r="AT905" s="121" t="e">
        <f>IF('Cable Info'!P609="","",CONCATENATE('Cable Info'!P609," - ",'Cable Info'!Q609))</f>
        <v>#N/A</v>
      </c>
      <c r="AW905" s="121" t="e">
        <f t="shared" si="169"/>
        <v>#N/A</v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str">
        <f>IF('Cable Info'!L610="","",CONCATENATE('Cable Info'!L610," - ",'Cable Info'!M610))</f>
        <v>609 - AW</v>
      </c>
      <c r="AM906" s="121" t="str">
        <f t="shared" si="167"/>
        <v>609 - AW</v>
      </c>
      <c r="AO906" s="121" t="str">
        <f>IF('Cable Info'!N610="","",CONCATENATE('Cable Info'!N610," - ",'Cable Info'!O610))</f>
        <v>609 - AW</v>
      </c>
      <c r="AR906" s="121" t="str">
        <f t="shared" si="168"/>
        <v>609 - AW</v>
      </c>
      <c r="AT906" s="121" t="e">
        <f>IF('Cable Info'!P610="","",CONCATENATE('Cable Info'!P610," - ",'Cable Info'!Q610))</f>
        <v>#N/A</v>
      </c>
      <c r="AW906" s="121" t="e">
        <f t="shared" si="169"/>
        <v>#N/A</v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str">
        <f>IF('Cable Info'!L611="","",CONCATENATE('Cable Info'!L611," - ",'Cable Info'!M611))</f>
        <v>610 - AW</v>
      </c>
      <c r="AM907" s="121" t="str">
        <f t="shared" si="167"/>
        <v>610 - AW</v>
      </c>
      <c r="AO907" s="121" t="str">
        <f>IF('Cable Info'!N611="","",CONCATENATE('Cable Info'!N611," - ",'Cable Info'!O611))</f>
        <v>610 - AW</v>
      </c>
      <c r="AR907" s="121" t="str">
        <f t="shared" si="168"/>
        <v>610 - AW</v>
      </c>
      <c r="AT907" s="121" t="e">
        <f>IF('Cable Info'!P611="","",CONCATENATE('Cable Info'!P611," - ",'Cable Info'!Q611))</f>
        <v>#N/A</v>
      </c>
      <c r="AW907" s="121" t="e">
        <f t="shared" si="169"/>
        <v>#N/A</v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str">
        <f>IF('Cable Info'!L612="","",CONCATENATE('Cable Info'!L612," - ",'Cable Info'!M612))</f>
        <v>611 - AW</v>
      </c>
      <c r="AM908" s="121" t="str">
        <f t="shared" si="167"/>
        <v>611 - AW</v>
      </c>
      <c r="AO908" s="121" t="str">
        <f>IF('Cable Info'!N612="","",CONCATENATE('Cable Info'!N612," - ",'Cable Info'!O612))</f>
        <v>611 - AW</v>
      </c>
      <c r="AR908" s="121" t="str">
        <f t="shared" si="168"/>
        <v>611 - AW</v>
      </c>
      <c r="AT908" s="121" t="e">
        <f>IF('Cable Info'!P612="","",CONCATENATE('Cable Info'!P612," - ",'Cable Info'!Q612))</f>
        <v>#N/A</v>
      </c>
      <c r="AW908" s="121" t="e">
        <f t="shared" si="169"/>
        <v>#N/A</v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str">
        <f>IF('Cable Info'!L613="","",CONCATENATE('Cable Info'!L613," - ",'Cable Info'!M613))</f>
        <v>612 - AW</v>
      </c>
      <c r="AM909" s="121" t="str">
        <f t="shared" si="167"/>
        <v>612 - AW</v>
      </c>
      <c r="AO909" s="121" t="str">
        <f>IF('Cable Info'!N613="","",CONCATENATE('Cable Info'!N613," - ",'Cable Info'!O613))</f>
        <v>612 - AW</v>
      </c>
      <c r="AR909" s="121" t="str">
        <f t="shared" si="168"/>
        <v>612 - AW</v>
      </c>
      <c r="AT909" s="121" t="e">
        <f>IF('Cable Info'!P613="","",CONCATENATE('Cable Info'!P613," - ",'Cable Info'!Q613))</f>
        <v>#N/A</v>
      </c>
      <c r="AW909" s="121" t="e">
        <f t="shared" si="169"/>
        <v>#N/A</v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str">
        <f>IF('Cable Info'!L614="","",CONCATENATE('Cable Info'!L614," - ",'Cable Info'!M614))</f>
        <v>613 - AW</v>
      </c>
      <c r="AM910" s="121" t="str">
        <f t="shared" si="167"/>
        <v>613 - AW</v>
      </c>
      <c r="AO910" s="121" t="str">
        <f>IF('Cable Info'!N614="","",CONCATENATE('Cable Info'!N614," - ",'Cable Info'!O614))</f>
        <v>613 - AW</v>
      </c>
      <c r="AR910" s="121" t="str">
        <f t="shared" si="168"/>
        <v>613 - AW</v>
      </c>
      <c r="AT910" s="121" t="e">
        <f>IF('Cable Info'!P614="","",CONCATENATE('Cable Info'!P614," - ",'Cable Info'!Q614))</f>
        <v>#N/A</v>
      </c>
      <c r="AW910" s="121" t="e">
        <f t="shared" si="169"/>
        <v>#N/A</v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str">
        <f>IF('Cable Info'!L615="","",CONCATENATE('Cable Info'!L615," - ",'Cable Info'!M615))</f>
        <v>614 - AW</v>
      </c>
      <c r="AM911" s="121" t="str">
        <f t="shared" si="167"/>
        <v>614 - AW</v>
      </c>
      <c r="AO911" s="121" t="str">
        <f>IF('Cable Info'!N615="","",CONCATENATE('Cable Info'!N615," - ",'Cable Info'!O615))</f>
        <v>614 - AW</v>
      </c>
      <c r="AR911" s="121" t="str">
        <f t="shared" si="168"/>
        <v>614 - AW</v>
      </c>
      <c r="AT911" s="121" t="e">
        <f>IF('Cable Info'!P615="","",CONCATENATE('Cable Info'!P615," - ",'Cable Info'!Q615))</f>
        <v>#N/A</v>
      </c>
      <c r="AW911" s="121" t="e">
        <f t="shared" si="169"/>
        <v>#N/A</v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str">
        <f>IF('Cable Info'!L616="","",CONCATENATE('Cable Info'!L616," - ",'Cable Info'!M616))</f>
        <v>615 - AW</v>
      </c>
      <c r="AM912" s="121" t="str">
        <f t="shared" si="167"/>
        <v>615 - AW</v>
      </c>
      <c r="AO912" s="121" t="str">
        <f>IF('Cable Info'!N616="","",CONCATENATE('Cable Info'!N616," - ",'Cable Info'!O616))</f>
        <v>615 - AW</v>
      </c>
      <c r="AR912" s="121" t="str">
        <f t="shared" si="168"/>
        <v>615 - AW</v>
      </c>
      <c r="AT912" s="121" t="e">
        <f>IF('Cable Info'!P616="","",CONCATENATE('Cable Info'!P616," - ",'Cable Info'!Q616))</f>
        <v>#N/A</v>
      </c>
      <c r="AW912" s="121" t="e">
        <f t="shared" si="169"/>
        <v>#N/A</v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str">
        <f>IF('Cable Info'!L617="","",CONCATENATE('Cable Info'!L617," - ",'Cable Info'!M617))</f>
        <v>616 - AW</v>
      </c>
      <c r="AM913" s="121" t="str">
        <f t="shared" si="167"/>
        <v>616 - AW</v>
      </c>
      <c r="AO913" s="121" t="str">
        <f>IF('Cable Info'!N617="","",CONCATENATE('Cable Info'!N617," - ",'Cable Info'!O617))</f>
        <v>616 - AW</v>
      </c>
      <c r="AR913" s="121" t="str">
        <f t="shared" si="168"/>
        <v>616 - AW</v>
      </c>
      <c r="AT913" s="121" t="e">
        <f>IF('Cable Info'!P617="","",CONCATENATE('Cable Info'!P617," - ",'Cable Info'!Q617))</f>
        <v>#N/A</v>
      </c>
      <c r="AW913" s="121" t="e">
        <f t="shared" si="169"/>
        <v>#N/A</v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str">
        <f>IF('Cable Info'!L618="","",CONCATENATE('Cable Info'!L618," - ",'Cable Info'!M618))</f>
        <v>617 - AW</v>
      </c>
      <c r="AM914" s="121" t="str">
        <f t="shared" si="167"/>
        <v>617 - AW</v>
      </c>
      <c r="AO914" s="121" t="str">
        <f>IF('Cable Info'!N618="","",CONCATENATE('Cable Info'!N618," - ",'Cable Info'!O618))</f>
        <v>617 - AW</v>
      </c>
      <c r="AR914" s="121" t="str">
        <f t="shared" si="168"/>
        <v>617 - AW</v>
      </c>
      <c r="AT914" s="121" t="e">
        <f>IF('Cable Info'!P618="","",CONCATENATE('Cable Info'!P618," - ",'Cable Info'!Q618))</f>
        <v>#N/A</v>
      </c>
      <c r="AW914" s="121" t="e">
        <f t="shared" si="169"/>
        <v>#N/A</v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str">
        <f>IF('Cable Info'!L619="","",CONCATENATE('Cable Info'!L619," - ",'Cable Info'!M619))</f>
        <v>618 - AW</v>
      </c>
      <c r="AM915" s="121" t="str">
        <f t="shared" si="167"/>
        <v>618 - AW</v>
      </c>
      <c r="AO915" s="121" t="str">
        <f>IF('Cable Info'!N619="","",CONCATENATE('Cable Info'!N619," - ",'Cable Info'!O619))</f>
        <v>618 - AW</v>
      </c>
      <c r="AR915" s="121" t="str">
        <f t="shared" si="168"/>
        <v>618 - AW</v>
      </c>
      <c r="AT915" s="121" t="e">
        <f>IF('Cable Info'!P619="","",CONCATENATE('Cable Info'!P619," - ",'Cable Info'!Q619))</f>
        <v>#N/A</v>
      </c>
      <c r="AW915" s="121" t="e">
        <f t="shared" si="169"/>
        <v>#N/A</v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str">
        <f>IF('Cable Info'!L620="","",CONCATENATE('Cable Info'!L620," - ",'Cable Info'!M620))</f>
        <v>619 - AW</v>
      </c>
      <c r="AM916" s="121" t="str">
        <f t="shared" si="167"/>
        <v>619 - AW</v>
      </c>
      <c r="AO916" s="121" t="str">
        <f>IF('Cable Info'!N620="","",CONCATENATE('Cable Info'!N620," - ",'Cable Info'!O620))</f>
        <v>619 - AW</v>
      </c>
      <c r="AR916" s="121" t="str">
        <f t="shared" si="168"/>
        <v>619 - AW</v>
      </c>
      <c r="AT916" s="121" t="e">
        <f>IF('Cable Info'!P620="","",CONCATENATE('Cable Info'!P620," - ",'Cable Info'!Q620))</f>
        <v>#N/A</v>
      </c>
      <c r="AW916" s="121" t="e">
        <f t="shared" si="169"/>
        <v>#N/A</v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str">
        <f>IF('Cable Info'!L621="","",CONCATENATE('Cable Info'!L621," - ",'Cable Info'!M621))</f>
        <v>620 - AW</v>
      </c>
      <c r="AM917" s="121" t="str">
        <f t="shared" si="167"/>
        <v>620 - AW</v>
      </c>
      <c r="AO917" s="121" t="str">
        <f>IF('Cable Info'!N621="","",CONCATENATE('Cable Info'!N621," - ",'Cable Info'!O621))</f>
        <v>620 - AW</v>
      </c>
      <c r="AR917" s="121" t="str">
        <f t="shared" si="168"/>
        <v>620 - AW</v>
      </c>
      <c r="AT917" s="121" t="e">
        <f>IF('Cable Info'!P621="","",CONCATENATE('Cable Info'!P621," - ",'Cable Info'!Q621))</f>
        <v>#N/A</v>
      </c>
      <c r="AW917" s="121" t="e">
        <f t="shared" si="169"/>
        <v>#N/A</v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str">
        <f>IF('Cable Info'!L622="","",CONCATENATE('Cable Info'!L622," - ",'Cable Info'!M622))</f>
        <v>621 - AW</v>
      </c>
      <c r="AM918" s="121" t="str">
        <f t="shared" si="167"/>
        <v>621 - AW</v>
      </c>
      <c r="AO918" s="121" t="str">
        <f>IF('Cable Info'!N622="","",CONCATENATE('Cable Info'!N622," - ",'Cable Info'!O622))</f>
        <v>621 - AW</v>
      </c>
      <c r="AR918" s="121" t="str">
        <f t="shared" si="168"/>
        <v>621 - AW</v>
      </c>
      <c r="AT918" s="121" t="e">
        <f>IF('Cable Info'!P622="","",CONCATENATE('Cable Info'!P622," - ",'Cable Info'!Q622))</f>
        <v>#N/A</v>
      </c>
      <c r="AW918" s="121" t="e">
        <f t="shared" si="169"/>
        <v>#N/A</v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str">
        <f>IF('Cable Info'!L623="","",CONCATENATE('Cable Info'!L623," - ",'Cable Info'!M623))</f>
        <v>622 - AW</v>
      </c>
      <c r="AM919" s="121" t="str">
        <f t="shared" si="167"/>
        <v>622 - AW</v>
      </c>
      <c r="AO919" s="121" t="str">
        <f>IF('Cable Info'!N623="","",CONCATENATE('Cable Info'!N623," - ",'Cable Info'!O623))</f>
        <v>622 - AW</v>
      </c>
      <c r="AR919" s="121" t="str">
        <f t="shared" si="168"/>
        <v>622 - AW</v>
      </c>
      <c r="AT919" s="121" t="e">
        <f>IF('Cable Info'!P623="","",CONCATENATE('Cable Info'!P623," - ",'Cable Info'!Q623))</f>
        <v>#N/A</v>
      </c>
      <c r="AW919" s="121" t="e">
        <f t="shared" si="169"/>
        <v>#N/A</v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str">
        <f>IF('Cable Info'!L624="","",CONCATENATE('Cable Info'!L624," - ",'Cable Info'!M624))</f>
        <v>623 - AW</v>
      </c>
      <c r="AM920" s="121" t="str">
        <f t="shared" si="167"/>
        <v>623 - AW</v>
      </c>
      <c r="AO920" s="121" t="str">
        <f>IF('Cable Info'!N624="","",CONCATENATE('Cable Info'!N624," - ",'Cable Info'!O624))</f>
        <v>623 - AW</v>
      </c>
      <c r="AR920" s="121" t="str">
        <f t="shared" si="168"/>
        <v>623 - AW</v>
      </c>
      <c r="AT920" s="121" t="e">
        <f>IF('Cable Info'!P624="","",CONCATENATE('Cable Info'!P624," - ",'Cable Info'!Q624))</f>
        <v>#N/A</v>
      </c>
      <c r="AW920" s="121" t="e">
        <f t="shared" si="169"/>
        <v>#N/A</v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str">
        <f>IF('Cable Info'!L625="","",CONCATENATE('Cable Info'!L625," - ",'Cable Info'!M625))</f>
        <v>624 - AW</v>
      </c>
      <c r="AM921" s="121" t="str">
        <f t="shared" si="167"/>
        <v>624 - AW</v>
      </c>
      <c r="AO921" s="121" t="str">
        <f>IF('Cable Info'!N625="","",CONCATENATE('Cable Info'!N625," - ",'Cable Info'!O625))</f>
        <v>624 - AW</v>
      </c>
      <c r="AR921" s="121" t="str">
        <f t="shared" si="168"/>
        <v>624 - AW</v>
      </c>
      <c r="AT921" s="121" t="e">
        <f>IF('Cable Info'!P625="","",CONCATENATE('Cable Info'!P625," - ",'Cable Info'!Q625))</f>
        <v>#N/A</v>
      </c>
      <c r="AW921" s="121" t="e">
        <f t="shared" si="169"/>
        <v>#N/A</v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str">
        <f>IF('Cable Info'!L626="","",CONCATENATE('Cable Info'!L626," - ",'Cable Info'!M626))</f>
        <v>625 - AW</v>
      </c>
      <c r="AM922" s="121" t="str">
        <f t="shared" si="167"/>
        <v>625 - AW</v>
      </c>
      <c r="AO922" s="121" t="str">
        <f>IF('Cable Info'!N626="","",CONCATENATE('Cable Info'!N626," - ",'Cable Info'!O626))</f>
        <v>625 - AW</v>
      </c>
      <c r="AR922" s="121" t="str">
        <f t="shared" si="168"/>
        <v>625 - AW</v>
      </c>
      <c r="AT922" s="121" t="e">
        <f>IF('Cable Info'!P626="","",CONCATENATE('Cable Info'!P626," - ",'Cable Info'!Q626))</f>
        <v>#N/A</v>
      </c>
      <c r="AW922" s="121" t="e">
        <f t="shared" si="169"/>
        <v>#N/A</v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str">
        <f>IF('Cable Info'!L627="","",CONCATENATE('Cable Info'!L627," - ",'Cable Info'!M627))</f>
        <v>626 - AW</v>
      </c>
      <c r="AM923" s="121" t="str">
        <f t="shared" si="167"/>
        <v>626 - AW</v>
      </c>
      <c r="AO923" s="121" t="str">
        <f>IF('Cable Info'!N627="","",CONCATENATE('Cable Info'!N627," - ",'Cable Info'!O627))</f>
        <v>626 - AW</v>
      </c>
      <c r="AR923" s="121" t="str">
        <f t="shared" si="168"/>
        <v>626 - AW</v>
      </c>
      <c r="AT923" s="121" t="e">
        <f>IF('Cable Info'!P627="","",CONCATENATE('Cable Info'!P627," - ",'Cable Info'!Q627))</f>
        <v>#N/A</v>
      </c>
      <c r="AW923" s="121" t="e">
        <f t="shared" si="169"/>
        <v>#N/A</v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str">
        <f>IF('Cable Info'!L628="","",CONCATENATE('Cable Info'!L628," - ",'Cable Info'!M628))</f>
        <v>627 - AW</v>
      </c>
      <c r="AM924" s="121" t="str">
        <f t="shared" si="167"/>
        <v>627 - AW</v>
      </c>
      <c r="AO924" s="121" t="str">
        <f>IF('Cable Info'!N628="","",CONCATENATE('Cable Info'!N628," - ",'Cable Info'!O628))</f>
        <v>627 - AW</v>
      </c>
      <c r="AR924" s="121" t="str">
        <f t="shared" si="168"/>
        <v>627 - AW</v>
      </c>
      <c r="AT924" s="121" t="e">
        <f>IF('Cable Info'!P628="","",CONCATENATE('Cable Info'!P628," - ",'Cable Info'!Q628))</f>
        <v>#N/A</v>
      </c>
      <c r="AW924" s="121" t="e">
        <f t="shared" si="169"/>
        <v>#N/A</v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str">
        <f>IF('Cable Info'!L629="","",CONCATENATE('Cable Info'!L629," - ",'Cable Info'!M629))</f>
        <v>628 - AW</v>
      </c>
      <c r="AM925" s="121" t="str">
        <f t="shared" si="167"/>
        <v>628 - AW</v>
      </c>
      <c r="AO925" s="121" t="str">
        <f>IF('Cable Info'!N629="","",CONCATENATE('Cable Info'!N629," - ",'Cable Info'!O629))</f>
        <v>628 - AW</v>
      </c>
      <c r="AR925" s="121" t="str">
        <f t="shared" si="168"/>
        <v>628 - AW</v>
      </c>
      <c r="AT925" s="121" t="e">
        <f>IF('Cable Info'!P629="","",CONCATENATE('Cable Info'!P629," - ",'Cable Info'!Q629))</f>
        <v>#N/A</v>
      </c>
      <c r="AW925" s="121" t="e">
        <f t="shared" si="169"/>
        <v>#N/A</v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str">
        <f>IF('Cable Info'!L630="","",CONCATENATE('Cable Info'!L630," - ",'Cable Info'!M630))</f>
        <v>629 - AW</v>
      </c>
      <c r="AM926" s="121" t="str">
        <f t="shared" si="167"/>
        <v>629 - AW</v>
      </c>
      <c r="AO926" s="121" t="str">
        <f>IF('Cable Info'!N630="","",CONCATENATE('Cable Info'!N630," - ",'Cable Info'!O630))</f>
        <v>629 - AW</v>
      </c>
      <c r="AR926" s="121" t="str">
        <f t="shared" si="168"/>
        <v>629 - AW</v>
      </c>
      <c r="AT926" s="121" t="e">
        <f>IF('Cable Info'!P630="","",CONCATENATE('Cable Info'!P630," - ",'Cable Info'!Q630))</f>
        <v>#N/A</v>
      </c>
      <c r="AW926" s="121" t="e">
        <f t="shared" si="169"/>
        <v>#N/A</v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str">
        <f>IF('Cable Info'!L631="","",CONCATENATE('Cable Info'!L631," - ",'Cable Info'!M631))</f>
        <v>630 - AW</v>
      </c>
      <c r="AM927" s="121" t="str">
        <f t="shared" si="167"/>
        <v>630 - AW</v>
      </c>
      <c r="AO927" s="121" t="str">
        <f>IF('Cable Info'!N631="","",CONCATENATE('Cable Info'!N631," - ",'Cable Info'!O631))</f>
        <v>630 - AW</v>
      </c>
      <c r="AR927" s="121" t="str">
        <f t="shared" si="168"/>
        <v>630 - AW</v>
      </c>
      <c r="AT927" s="121" t="e">
        <f>IF('Cable Info'!P631="","",CONCATENATE('Cable Info'!P631," - ",'Cable Info'!Q631))</f>
        <v>#N/A</v>
      </c>
      <c r="AW927" s="121" t="e">
        <f t="shared" si="169"/>
        <v>#N/A</v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str">
        <f>IF('Cable Info'!L632="","",CONCATENATE('Cable Info'!L632," - ",'Cable Info'!M632))</f>
        <v>631 - AW</v>
      </c>
      <c r="AM928" s="121" t="str">
        <f t="shared" si="167"/>
        <v>631 - AW</v>
      </c>
      <c r="AO928" s="121" t="str">
        <f>IF('Cable Info'!N632="","",CONCATENATE('Cable Info'!N632," - ",'Cable Info'!O632))</f>
        <v>631 - AW</v>
      </c>
      <c r="AR928" s="121" t="str">
        <f t="shared" si="168"/>
        <v>631 - AW</v>
      </c>
      <c r="AT928" s="121" t="e">
        <f>IF('Cable Info'!P632="","",CONCATENATE('Cable Info'!P632," - ",'Cable Info'!Q632))</f>
        <v>#N/A</v>
      </c>
      <c r="AW928" s="121" t="e">
        <f t="shared" si="169"/>
        <v>#N/A</v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str">
        <f>IF('Cable Info'!L633="","",CONCATENATE('Cable Info'!L633," - ",'Cable Info'!M633))</f>
        <v>632 - AW</v>
      </c>
      <c r="AM929" s="121" t="str">
        <f t="shared" si="167"/>
        <v>632 - AW</v>
      </c>
      <c r="AO929" s="121" t="str">
        <f>IF('Cable Info'!N633="","",CONCATENATE('Cable Info'!N633," - ",'Cable Info'!O633))</f>
        <v>632 - AW</v>
      </c>
      <c r="AR929" s="121" t="str">
        <f t="shared" si="168"/>
        <v>632 - AW</v>
      </c>
      <c r="AT929" s="121" t="e">
        <f>IF('Cable Info'!P633="","",CONCATENATE('Cable Info'!P633," - ",'Cable Info'!Q633))</f>
        <v>#N/A</v>
      </c>
      <c r="AW929" s="121" t="e">
        <f t="shared" si="169"/>
        <v>#N/A</v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str">
        <f>IF('Cable Info'!L634="","",CONCATENATE('Cable Info'!L634," - ",'Cable Info'!M634))</f>
        <v>633 - AW</v>
      </c>
      <c r="AM930" s="121" t="str">
        <f t="shared" si="167"/>
        <v>633 - AW</v>
      </c>
      <c r="AO930" s="121" t="str">
        <f>IF('Cable Info'!N634="","",CONCATENATE('Cable Info'!N634," - ",'Cable Info'!O634))</f>
        <v>633 - AW</v>
      </c>
      <c r="AR930" s="121" t="str">
        <f t="shared" si="168"/>
        <v>633 - AW</v>
      </c>
      <c r="AT930" s="121" t="e">
        <f>IF('Cable Info'!P634="","",CONCATENATE('Cable Info'!P634," - ",'Cable Info'!Q634))</f>
        <v>#N/A</v>
      </c>
      <c r="AW930" s="121" t="e">
        <f t="shared" si="169"/>
        <v>#N/A</v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str">
        <f>IF('Cable Info'!L635="","",CONCATENATE('Cable Info'!L635," - ",'Cable Info'!M635))</f>
        <v>634 - AW</v>
      </c>
      <c r="AM931" s="121" t="str">
        <f t="shared" si="167"/>
        <v>634 - AW</v>
      </c>
      <c r="AO931" s="121" t="str">
        <f>IF('Cable Info'!N635="","",CONCATENATE('Cable Info'!N635," - ",'Cable Info'!O635))</f>
        <v>634 - AW</v>
      </c>
      <c r="AR931" s="121" t="str">
        <f t="shared" si="168"/>
        <v>634 - AW</v>
      </c>
      <c r="AT931" s="121" t="e">
        <f>IF('Cable Info'!P635="","",CONCATENATE('Cable Info'!P635," - ",'Cable Info'!Q635))</f>
        <v>#N/A</v>
      </c>
      <c r="AW931" s="121" t="e">
        <f t="shared" si="169"/>
        <v>#N/A</v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str">
        <f>IF('Cable Info'!L636="","",CONCATENATE('Cable Info'!L636," - ",'Cable Info'!M636))</f>
        <v>635 - AW</v>
      </c>
      <c r="AM932" s="121" t="str">
        <f t="shared" si="167"/>
        <v>635 - AW</v>
      </c>
      <c r="AO932" s="121" t="str">
        <f>IF('Cable Info'!N636="","",CONCATENATE('Cable Info'!N636," - ",'Cable Info'!O636))</f>
        <v>635 - AW</v>
      </c>
      <c r="AR932" s="121" t="str">
        <f t="shared" si="168"/>
        <v>635 - AW</v>
      </c>
      <c r="AT932" s="121" t="e">
        <f>IF('Cable Info'!P636="","",CONCATENATE('Cable Info'!P636," - ",'Cable Info'!Q636))</f>
        <v>#N/A</v>
      </c>
      <c r="AW932" s="121" t="e">
        <f t="shared" si="169"/>
        <v>#N/A</v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str">
        <f>IF('Cable Info'!L637="","",CONCATENATE('Cable Info'!L637," - ",'Cable Info'!M637))</f>
        <v>636 - AW</v>
      </c>
      <c r="AM933" s="121" t="str">
        <f t="shared" si="167"/>
        <v>636 - AW</v>
      </c>
      <c r="AO933" s="121" t="str">
        <f>IF('Cable Info'!N637="","",CONCATENATE('Cable Info'!N637," - ",'Cable Info'!O637))</f>
        <v>636 - AW</v>
      </c>
      <c r="AR933" s="121" t="str">
        <f t="shared" si="168"/>
        <v>636 - AW</v>
      </c>
      <c r="AT933" s="121" t="e">
        <f>IF('Cable Info'!P637="","",CONCATENATE('Cable Info'!P637," - ",'Cable Info'!Q637))</f>
        <v>#N/A</v>
      </c>
      <c r="AW933" s="121" t="e">
        <f t="shared" si="169"/>
        <v>#N/A</v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str">
        <f>IF('Cable Info'!L638="","",CONCATENATE('Cable Info'!L638," - ",'Cable Info'!M638))</f>
        <v>637 - AW</v>
      </c>
      <c r="AM934" s="121" t="str">
        <f t="shared" si="167"/>
        <v>637 - AW</v>
      </c>
      <c r="AO934" s="121" t="str">
        <f>IF('Cable Info'!N638="","",CONCATENATE('Cable Info'!N638," - ",'Cable Info'!O638))</f>
        <v>637 - AW</v>
      </c>
      <c r="AR934" s="121" t="str">
        <f t="shared" si="168"/>
        <v>637 - AW</v>
      </c>
      <c r="AT934" s="121" t="e">
        <f>IF('Cable Info'!P638="","",CONCATENATE('Cable Info'!P638," - ",'Cable Info'!Q638))</f>
        <v>#N/A</v>
      </c>
      <c r="AW934" s="121" t="e">
        <f t="shared" si="169"/>
        <v>#N/A</v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str">
        <f>IF('Cable Info'!L639="","",CONCATENATE('Cable Info'!L639," - ",'Cable Info'!M639))</f>
        <v>638 - AW</v>
      </c>
      <c r="AM935" s="121" t="str">
        <f t="shared" si="167"/>
        <v>638 - AW</v>
      </c>
      <c r="AO935" s="121" t="str">
        <f>IF('Cable Info'!N639="","",CONCATENATE('Cable Info'!N639," - ",'Cable Info'!O639))</f>
        <v>638 - AW</v>
      </c>
      <c r="AR935" s="121" t="str">
        <f t="shared" si="168"/>
        <v>638 - AW</v>
      </c>
      <c r="AT935" s="121" t="e">
        <f>IF('Cable Info'!P639="","",CONCATENATE('Cable Info'!P639," - ",'Cable Info'!Q639))</f>
        <v>#N/A</v>
      </c>
      <c r="AW935" s="121" t="e">
        <f t="shared" si="169"/>
        <v>#N/A</v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str">
        <f>IF('Cable Info'!L640="","",CONCATENATE('Cable Info'!L640," - ",'Cable Info'!M640))</f>
        <v>639 - AW</v>
      </c>
      <c r="AM936" s="121" t="str">
        <f t="shared" si="167"/>
        <v>639 - AW</v>
      </c>
      <c r="AO936" s="121" t="str">
        <f>IF('Cable Info'!N640="","",CONCATENATE('Cable Info'!N640," - ",'Cable Info'!O640))</f>
        <v>639 - AW</v>
      </c>
      <c r="AR936" s="121" t="str">
        <f t="shared" si="168"/>
        <v>639 - AW</v>
      </c>
      <c r="AT936" s="121" t="e">
        <f>IF('Cable Info'!P640="","",CONCATENATE('Cable Info'!P640," - ",'Cable Info'!Q640))</f>
        <v>#N/A</v>
      </c>
      <c r="AW936" s="121" t="e">
        <f t="shared" si="169"/>
        <v>#N/A</v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str">
        <f>IF('Cable Info'!L641="","",CONCATENATE('Cable Info'!L641," - ",'Cable Info'!M641))</f>
        <v>640 - AW</v>
      </c>
      <c r="AM937" s="121" t="str">
        <f t="shared" si="167"/>
        <v>640 - AW</v>
      </c>
      <c r="AO937" s="121" t="str">
        <f>IF('Cable Info'!N641="","",CONCATENATE('Cable Info'!N641," - ",'Cable Info'!O641))</f>
        <v>640 - AW</v>
      </c>
      <c r="AR937" s="121" t="str">
        <f t="shared" si="168"/>
        <v>640 - AW</v>
      </c>
      <c r="AT937" s="121" t="e">
        <f>IF('Cable Info'!P641="","",CONCATENATE('Cable Info'!P641," - ",'Cable Info'!Q641))</f>
        <v>#N/A</v>
      </c>
      <c r="AW937" s="121" t="e">
        <f t="shared" si="169"/>
        <v>#N/A</v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str">
        <f>IF('Cable Info'!L642="","",CONCATENATE('Cable Info'!L642," - ",'Cable Info'!M642))</f>
        <v>641 - AW</v>
      </c>
      <c r="AM938" s="121" t="str">
        <f t="shared" si="167"/>
        <v>641 - AW</v>
      </c>
      <c r="AO938" s="121" t="str">
        <f>IF('Cable Info'!N642="","",CONCATENATE('Cable Info'!N642," - ",'Cable Info'!O642))</f>
        <v>641 - AW</v>
      </c>
      <c r="AR938" s="121" t="str">
        <f t="shared" si="168"/>
        <v>641 - AW</v>
      </c>
      <c r="AT938" s="121" t="e">
        <f>IF('Cable Info'!P642="","",CONCATENATE('Cable Info'!P642," - ",'Cable Info'!Q642))</f>
        <v>#N/A</v>
      </c>
      <c r="AW938" s="121" t="e">
        <f t="shared" si="169"/>
        <v>#N/A</v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str">
        <f>IF('Cable Info'!L643="","",CONCATENATE('Cable Info'!L643," - ",'Cable Info'!M643))</f>
        <v>642 - AW</v>
      </c>
      <c r="AM939" s="121" t="str">
        <f t="shared" ref="AM939:AM1002" si="173">IF(AK939="",AJ939,CONCATENATE(AJ939,"  &lt;=&gt; ",AK939," ",AL939))</f>
        <v>642 - AW</v>
      </c>
      <c r="AO939" s="121" t="str">
        <f>IF('Cable Info'!N643="","",CONCATENATE('Cable Info'!N643," - ",'Cable Info'!O643))</f>
        <v>642 - AW</v>
      </c>
      <c r="AR939" s="121" t="str">
        <f t="shared" ref="AR939:AR1002" si="174">IF(AP939="",AO939,CONCATENATE(AO939,"  &lt;=&gt; ",AP939," ",AQ939))</f>
        <v>642 - AW</v>
      </c>
      <c r="AT939" s="121" t="e">
        <f>IF('Cable Info'!P643="","",CONCATENATE('Cable Info'!P643," - ",'Cable Info'!Q643))</f>
        <v>#N/A</v>
      </c>
      <c r="AW939" s="121" t="e">
        <f t="shared" ref="AW939:AW1002" si="175">IF(AU939="",AT939,CONCATENATE(AT939,"  &lt;=&gt; ",AU939," ",AV939))</f>
        <v>#N/A</v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str">
        <f>IF('Cable Info'!L644="","",CONCATENATE('Cable Info'!L644," - ",'Cable Info'!M644))</f>
        <v>643 - AW</v>
      </c>
      <c r="AM940" s="121" t="str">
        <f t="shared" si="173"/>
        <v>643 - AW</v>
      </c>
      <c r="AO940" s="121" t="str">
        <f>IF('Cable Info'!N644="","",CONCATENATE('Cable Info'!N644," - ",'Cable Info'!O644))</f>
        <v>643 - AW</v>
      </c>
      <c r="AR940" s="121" t="str">
        <f t="shared" si="174"/>
        <v>643 - AW</v>
      </c>
      <c r="AT940" s="121" t="e">
        <f>IF('Cable Info'!P644="","",CONCATENATE('Cable Info'!P644," - ",'Cable Info'!Q644))</f>
        <v>#N/A</v>
      </c>
      <c r="AW940" s="121" t="e">
        <f t="shared" si="175"/>
        <v>#N/A</v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str">
        <f>IF('Cable Info'!L645="","",CONCATENATE('Cable Info'!L645," - ",'Cable Info'!M645))</f>
        <v>644 - AW</v>
      </c>
      <c r="AM941" s="121" t="str">
        <f t="shared" si="173"/>
        <v>644 - AW</v>
      </c>
      <c r="AO941" s="121" t="str">
        <f>IF('Cable Info'!N645="","",CONCATENATE('Cable Info'!N645," - ",'Cable Info'!O645))</f>
        <v>644 - AW</v>
      </c>
      <c r="AR941" s="121" t="str">
        <f t="shared" si="174"/>
        <v>644 - AW</v>
      </c>
      <c r="AT941" s="121" t="e">
        <f>IF('Cable Info'!P645="","",CONCATENATE('Cable Info'!P645," - ",'Cable Info'!Q645))</f>
        <v>#N/A</v>
      </c>
      <c r="AW941" s="121" t="e">
        <f t="shared" si="175"/>
        <v>#N/A</v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str">
        <f>IF('Cable Info'!L646="","",CONCATENATE('Cable Info'!L646," - ",'Cable Info'!M646))</f>
        <v>645 - AW</v>
      </c>
      <c r="AM942" s="121" t="str">
        <f t="shared" si="173"/>
        <v>645 - AW</v>
      </c>
      <c r="AO942" s="121" t="str">
        <f>IF('Cable Info'!N646="","",CONCATENATE('Cable Info'!N646," - ",'Cable Info'!O646))</f>
        <v>645 - AW</v>
      </c>
      <c r="AR942" s="121" t="str">
        <f t="shared" si="174"/>
        <v>645 - AW</v>
      </c>
      <c r="AT942" s="121" t="e">
        <f>IF('Cable Info'!P646="","",CONCATENATE('Cable Info'!P646," - ",'Cable Info'!Q646))</f>
        <v>#N/A</v>
      </c>
      <c r="AW942" s="121" t="e">
        <f t="shared" si="175"/>
        <v>#N/A</v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str">
        <f>IF('Cable Info'!L647="","",CONCATENATE('Cable Info'!L647," - ",'Cable Info'!M647))</f>
        <v>646 - AW</v>
      </c>
      <c r="AM943" s="121" t="str">
        <f t="shared" si="173"/>
        <v>646 - AW</v>
      </c>
      <c r="AO943" s="121" t="str">
        <f>IF('Cable Info'!N647="","",CONCATENATE('Cable Info'!N647," - ",'Cable Info'!O647))</f>
        <v>646 - AW</v>
      </c>
      <c r="AR943" s="121" t="str">
        <f t="shared" si="174"/>
        <v>646 - AW</v>
      </c>
      <c r="AT943" s="121" t="e">
        <f>IF('Cable Info'!P647="","",CONCATENATE('Cable Info'!P647," - ",'Cable Info'!Q647))</f>
        <v>#N/A</v>
      </c>
      <c r="AW943" s="121" t="e">
        <f t="shared" si="175"/>
        <v>#N/A</v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str">
        <f>IF('Cable Info'!L648="","",CONCATENATE('Cable Info'!L648," - ",'Cable Info'!M648))</f>
        <v>647 - AW</v>
      </c>
      <c r="AM944" s="121" t="str">
        <f t="shared" si="173"/>
        <v>647 - AW</v>
      </c>
      <c r="AO944" s="121" t="str">
        <f>IF('Cable Info'!N648="","",CONCATENATE('Cable Info'!N648," - ",'Cable Info'!O648))</f>
        <v>647 - AW</v>
      </c>
      <c r="AR944" s="121" t="str">
        <f t="shared" si="174"/>
        <v>647 - AW</v>
      </c>
      <c r="AT944" s="121" t="e">
        <f>IF('Cable Info'!P648="","",CONCATENATE('Cable Info'!P648," - ",'Cable Info'!Q648))</f>
        <v>#N/A</v>
      </c>
      <c r="AW944" s="121" t="e">
        <f t="shared" si="175"/>
        <v>#N/A</v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str">
        <f>IF('Cable Info'!L649="","",CONCATENATE('Cable Info'!L649," - ",'Cable Info'!M649))</f>
        <v>648 - AW</v>
      </c>
      <c r="AM945" s="121" t="str">
        <f t="shared" si="173"/>
        <v>648 - AW</v>
      </c>
      <c r="AO945" s="121" t="str">
        <f>IF('Cable Info'!N649="","",CONCATENATE('Cable Info'!N649," - ",'Cable Info'!O649))</f>
        <v>648 - AW</v>
      </c>
      <c r="AR945" s="121" t="str">
        <f t="shared" si="174"/>
        <v>648 - AW</v>
      </c>
      <c r="AT945" s="121" t="e">
        <f>IF('Cable Info'!P649="","",CONCATENATE('Cable Info'!P649," - ",'Cable Info'!Q649))</f>
        <v>#N/A</v>
      </c>
      <c r="AW945" s="121" t="e">
        <f t="shared" si="175"/>
        <v>#N/A</v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str">
        <f>IF('Cable Info'!L650="","",CONCATENATE('Cable Info'!L650," - ",'Cable Info'!M650))</f>
        <v>649 - AW</v>
      </c>
      <c r="AM946" s="121" t="str">
        <f t="shared" si="173"/>
        <v>649 - AW</v>
      </c>
      <c r="AO946" s="121" t="str">
        <f>IF('Cable Info'!N650="","",CONCATENATE('Cable Info'!N650," - ",'Cable Info'!O650))</f>
        <v>649 - AW</v>
      </c>
      <c r="AR946" s="121" t="str">
        <f t="shared" si="174"/>
        <v>649 - AW</v>
      </c>
      <c r="AT946" s="121" t="e">
        <f>IF('Cable Info'!P650="","",CONCATENATE('Cable Info'!P650," - ",'Cable Info'!Q650))</f>
        <v>#N/A</v>
      </c>
      <c r="AW946" s="121" t="e">
        <f t="shared" si="175"/>
        <v>#N/A</v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str">
        <f>IF('Cable Info'!L651="","",CONCATENATE('Cable Info'!L651," - ",'Cable Info'!M651))</f>
        <v>650 - AW</v>
      </c>
      <c r="AM947" s="121" t="str">
        <f t="shared" si="173"/>
        <v>650 - AW</v>
      </c>
      <c r="AO947" s="121" t="str">
        <f>IF('Cable Info'!N651="","",CONCATENATE('Cable Info'!N651," - ",'Cable Info'!O651))</f>
        <v>650 - AW</v>
      </c>
      <c r="AR947" s="121" t="str">
        <f t="shared" si="174"/>
        <v>650 - AW</v>
      </c>
      <c r="AT947" s="121" t="e">
        <f>IF('Cable Info'!P651="","",CONCATENATE('Cable Info'!P651," - ",'Cable Info'!Q651))</f>
        <v>#N/A</v>
      </c>
      <c r="AW947" s="121" t="e">
        <f t="shared" si="175"/>
        <v>#N/A</v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str">
        <f>IF('Cable Info'!L652="","",CONCATENATE('Cable Info'!L652," - ",'Cable Info'!M652))</f>
        <v>651 - AW</v>
      </c>
      <c r="AM948" s="121" t="str">
        <f t="shared" si="173"/>
        <v>651 - AW</v>
      </c>
      <c r="AO948" s="121" t="str">
        <f>IF('Cable Info'!N652="","",CONCATENATE('Cable Info'!N652," - ",'Cable Info'!O652))</f>
        <v>651 - AW</v>
      </c>
      <c r="AR948" s="121" t="str">
        <f t="shared" si="174"/>
        <v>651 - AW</v>
      </c>
      <c r="AT948" s="121" t="e">
        <f>IF('Cable Info'!P652="","",CONCATENATE('Cable Info'!P652," - ",'Cable Info'!Q652))</f>
        <v>#N/A</v>
      </c>
      <c r="AW948" s="121" t="e">
        <f t="shared" si="175"/>
        <v>#N/A</v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str">
        <f>IF('Cable Info'!L653="","",CONCATENATE('Cable Info'!L653," - ",'Cable Info'!M653))</f>
        <v>652 - AW</v>
      </c>
      <c r="AM949" s="121" t="str">
        <f t="shared" si="173"/>
        <v>652 - AW</v>
      </c>
      <c r="AO949" s="121" t="str">
        <f>IF('Cable Info'!N653="","",CONCATENATE('Cable Info'!N653," - ",'Cable Info'!O653))</f>
        <v>652 - AW</v>
      </c>
      <c r="AR949" s="121" t="str">
        <f t="shared" si="174"/>
        <v>652 - AW</v>
      </c>
      <c r="AT949" s="121" t="e">
        <f>IF('Cable Info'!P653="","",CONCATENATE('Cable Info'!P653," - ",'Cable Info'!Q653))</f>
        <v>#N/A</v>
      </c>
      <c r="AW949" s="121" t="e">
        <f t="shared" si="175"/>
        <v>#N/A</v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str">
        <f>IF('Cable Info'!L654="","",CONCATENATE('Cable Info'!L654," - ",'Cable Info'!M654))</f>
        <v>653 - AW</v>
      </c>
      <c r="AM950" s="121" t="str">
        <f t="shared" si="173"/>
        <v>653 - AW</v>
      </c>
      <c r="AO950" s="121" t="str">
        <f>IF('Cable Info'!N654="","",CONCATENATE('Cable Info'!N654," - ",'Cable Info'!O654))</f>
        <v>653 - AW</v>
      </c>
      <c r="AR950" s="121" t="str">
        <f t="shared" si="174"/>
        <v>653 - AW</v>
      </c>
      <c r="AT950" s="121" t="e">
        <f>IF('Cable Info'!P654="","",CONCATENATE('Cable Info'!P654," - ",'Cable Info'!Q654))</f>
        <v>#N/A</v>
      </c>
      <c r="AW950" s="121" t="e">
        <f t="shared" si="175"/>
        <v>#N/A</v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str">
        <f>IF('Cable Info'!L655="","",CONCATENATE('Cable Info'!L655," - ",'Cable Info'!M655))</f>
        <v>654 - AW</v>
      </c>
      <c r="AM951" s="121" t="str">
        <f t="shared" si="173"/>
        <v>654 - AW</v>
      </c>
      <c r="AO951" s="121" t="str">
        <f>IF('Cable Info'!N655="","",CONCATENATE('Cable Info'!N655," - ",'Cable Info'!O655))</f>
        <v>654 - AW</v>
      </c>
      <c r="AR951" s="121" t="str">
        <f t="shared" si="174"/>
        <v>654 - AW</v>
      </c>
      <c r="AT951" s="121" t="e">
        <f>IF('Cable Info'!P655="","",CONCATENATE('Cable Info'!P655," - ",'Cable Info'!Q655))</f>
        <v>#N/A</v>
      </c>
      <c r="AW951" s="121" t="e">
        <f t="shared" si="175"/>
        <v>#N/A</v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str">
        <f>IF('Cable Info'!L656="","",CONCATENATE('Cable Info'!L656," - ",'Cable Info'!M656))</f>
        <v>655 - AW</v>
      </c>
      <c r="AM952" s="121" t="str">
        <f t="shared" si="173"/>
        <v>655 - AW</v>
      </c>
      <c r="AO952" s="121" t="str">
        <f>IF('Cable Info'!N656="","",CONCATENATE('Cable Info'!N656," - ",'Cable Info'!O656))</f>
        <v>655 - AW</v>
      </c>
      <c r="AR952" s="121" t="str">
        <f t="shared" si="174"/>
        <v>655 - AW</v>
      </c>
      <c r="AT952" s="121" t="e">
        <f>IF('Cable Info'!P656="","",CONCATENATE('Cable Info'!P656," - ",'Cable Info'!Q656))</f>
        <v>#N/A</v>
      </c>
      <c r="AW952" s="121" t="e">
        <f t="shared" si="175"/>
        <v>#N/A</v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str">
        <f>IF('Cable Info'!L657="","",CONCATENATE('Cable Info'!L657," - ",'Cable Info'!M657))</f>
        <v>656 - AW</v>
      </c>
      <c r="AM953" s="121" t="str">
        <f t="shared" si="173"/>
        <v>656 - AW</v>
      </c>
      <c r="AO953" s="121" t="str">
        <f>IF('Cable Info'!N657="","",CONCATENATE('Cable Info'!N657," - ",'Cable Info'!O657))</f>
        <v>656 - AW</v>
      </c>
      <c r="AR953" s="121" t="str">
        <f t="shared" si="174"/>
        <v>656 - AW</v>
      </c>
      <c r="AT953" s="121" t="e">
        <f>IF('Cable Info'!P657="","",CONCATENATE('Cable Info'!P657," - ",'Cable Info'!Q657))</f>
        <v>#N/A</v>
      </c>
      <c r="AW953" s="121" t="e">
        <f t="shared" si="175"/>
        <v>#N/A</v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str">
        <f>IF('Cable Info'!L658="","",CONCATENATE('Cable Info'!L658," - ",'Cable Info'!M658))</f>
        <v>657 - AW</v>
      </c>
      <c r="AM954" s="121" t="str">
        <f t="shared" si="173"/>
        <v>657 - AW</v>
      </c>
      <c r="AO954" s="121" t="str">
        <f>IF('Cable Info'!N658="","",CONCATENATE('Cable Info'!N658," - ",'Cable Info'!O658))</f>
        <v>657 - AW</v>
      </c>
      <c r="AR954" s="121" t="str">
        <f t="shared" si="174"/>
        <v>657 - AW</v>
      </c>
      <c r="AT954" s="121" t="e">
        <f>IF('Cable Info'!P658="","",CONCATENATE('Cable Info'!P658," - ",'Cable Info'!Q658))</f>
        <v>#N/A</v>
      </c>
      <c r="AW954" s="121" t="e">
        <f t="shared" si="175"/>
        <v>#N/A</v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str">
        <f>IF('Cable Info'!L659="","",CONCATENATE('Cable Info'!L659," - ",'Cable Info'!M659))</f>
        <v>658 - AW</v>
      </c>
      <c r="AM955" s="121" t="str">
        <f t="shared" si="173"/>
        <v>658 - AW</v>
      </c>
      <c r="AO955" s="121" t="str">
        <f>IF('Cable Info'!N659="","",CONCATENATE('Cable Info'!N659," - ",'Cable Info'!O659))</f>
        <v>658 - AW</v>
      </c>
      <c r="AR955" s="121" t="str">
        <f t="shared" si="174"/>
        <v>658 - AW</v>
      </c>
      <c r="AT955" s="121" t="e">
        <f>IF('Cable Info'!P659="","",CONCATENATE('Cable Info'!P659," - ",'Cable Info'!Q659))</f>
        <v>#N/A</v>
      </c>
      <c r="AW955" s="121" t="e">
        <f t="shared" si="175"/>
        <v>#N/A</v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str">
        <f>IF('Cable Info'!L660="","",CONCATENATE('Cable Info'!L660," - ",'Cable Info'!M660))</f>
        <v>659 - AW</v>
      </c>
      <c r="AM956" s="121" t="str">
        <f t="shared" si="173"/>
        <v>659 - AW</v>
      </c>
      <c r="AO956" s="121" t="str">
        <f>IF('Cable Info'!N660="","",CONCATENATE('Cable Info'!N660," - ",'Cable Info'!O660))</f>
        <v>659 - AW</v>
      </c>
      <c r="AR956" s="121" t="str">
        <f t="shared" si="174"/>
        <v>659 - AW</v>
      </c>
      <c r="AT956" s="121" t="e">
        <f>IF('Cable Info'!P660="","",CONCATENATE('Cable Info'!P660," - ",'Cable Info'!Q660))</f>
        <v>#N/A</v>
      </c>
      <c r="AW956" s="121" t="e">
        <f t="shared" si="175"/>
        <v>#N/A</v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str">
        <f>IF('Cable Info'!L661="","",CONCATENATE('Cable Info'!L661," - ",'Cable Info'!M661))</f>
        <v>660 - AW</v>
      </c>
      <c r="AM957" s="121" t="str">
        <f t="shared" si="173"/>
        <v>660 - AW</v>
      </c>
      <c r="AO957" s="121" t="str">
        <f>IF('Cable Info'!N661="","",CONCATENATE('Cable Info'!N661," - ",'Cable Info'!O661))</f>
        <v>660 - AW</v>
      </c>
      <c r="AR957" s="121" t="str">
        <f t="shared" si="174"/>
        <v>660 - AW</v>
      </c>
      <c r="AT957" s="121" t="e">
        <f>IF('Cable Info'!P661="","",CONCATENATE('Cable Info'!P661," - ",'Cable Info'!Q661))</f>
        <v>#N/A</v>
      </c>
      <c r="AW957" s="121" t="e">
        <f t="shared" si="175"/>
        <v>#N/A</v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str">
        <f>IF('Cable Info'!L662="","",CONCATENATE('Cable Info'!L662," - ",'Cable Info'!M662))</f>
        <v>661 - AW</v>
      </c>
      <c r="AM958" s="121" t="str">
        <f t="shared" si="173"/>
        <v>661 - AW</v>
      </c>
      <c r="AO958" s="121" t="str">
        <f>IF('Cable Info'!N662="","",CONCATENATE('Cable Info'!N662," - ",'Cable Info'!O662))</f>
        <v>661 - AW</v>
      </c>
      <c r="AR958" s="121" t="str">
        <f t="shared" si="174"/>
        <v>661 - AW</v>
      </c>
      <c r="AT958" s="121" t="e">
        <f>IF('Cable Info'!P662="","",CONCATENATE('Cable Info'!P662," - ",'Cable Info'!Q662))</f>
        <v>#N/A</v>
      </c>
      <c r="AW958" s="121" t="e">
        <f t="shared" si="175"/>
        <v>#N/A</v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str">
        <f>IF('Cable Info'!L663="","",CONCATENATE('Cable Info'!L663," - ",'Cable Info'!M663))</f>
        <v>662 - AW</v>
      </c>
      <c r="AM959" s="121" t="str">
        <f t="shared" si="173"/>
        <v>662 - AW</v>
      </c>
      <c r="AO959" s="121" t="str">
        <f>IF('Cable Info'!N663="","",CONCATENATE('Cable Info'!N663," - ",'Cable Info'!O663))</f>
        <v>662 - AW</v>
      </c>
      <c r="AR959" s="121" t="str">
        <f t="shared" si="174"/>
        <v>662 - AW</v>
      </c>
      <c r="AT959" s="121" t="e">
        <f>IF('Cable Info'!P663="","",CONCATENATE('Cable Info'!P663," - ",'Cable Info'!Q663))</f>
        <v>#N/A</v>
      </c>
      <c r="AW959" s="121" t="e">
        <f t="shared" si="175"/>
        <v>#N/A</v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str">
        <f>IF('Cable Info'!L664="","",CONCATENATE('Cable Info'!L664," - ",'Cable Info'!M664))</f>
        <v>663 - AW</v>
      </c>
      <c r="AM960" s="121" t="str">
        <f t="shared" si="173"/>
        <v>663 - AW</v>
      </c>
      <c r="AO960" s="121" t="str">
        <f>IF('Cable Info'!N664="","",CONCATENATE('Cable Info'!N664," - ",'Cable Info'!O664))</f>
        <v>663 - AW</v>
      </c>
      <c r="AR960" s="121" t="str">
        <f t="shared" si="174"/>
        <v>663 - AW</v>
      </c>
      <c r="AT960" s="121" t="e">
        <f>IF('Cable Info'!P664="","",CONCATENATE('Cable Info'!P664," - ",'Cable Info'!Q664))</f>
        <v>#N/A</v>
      </c>
      <c r="AW960" s="121" t="e">
        <f t="shared" si="175"/>
        <v>#N/A</v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str">
        <f>IF('Cable Info'!L665="","",CONCATENATE('Cable Info'!L665," - ",'Cable Info'!M665))</f>
        <v>664 - AW</v>
      </c>
      <c r="AM961" s="121" t="str">
        <f t="shared" si="173"/>
        <v>664 - AW</v>
      </c>
      <c r="AO961" s="121" t="str">
        <f>IF('Cable Info'!N665="","",CONCATENATE('Cable Info'!N665," - ",'Cable Info'!O665))</f>
        <v>664 - AW</v>
      </c>
      <c r="AR961" s="121" t="str">
        <f t="shared" si="174"/>
        <v>664 - AW</v>
      </c>
      <c r="AT961" s="121" t="e">
        <f>IF('Cable Info'!P665="","",CONCATENATE('Cable Info'!P665," - ",'Cable Info'!Q665))</f>
        <v>#N/A</v>
      </c>
      <c r="AW961" s="121" t="e">
        <f t="shared" si="175"/>
        <v>#N/A</v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str">
        <f>IF('Cable Info'!L666="","",CONCATENATE('Cable Info'!L666," - ",'Cable Info'!M666))</f>
        <v>665 - AW</v>
      </c>
      <c r="AM962" s="121" t="str">
        <f t="shared" si="173"/>
        <v>665 - AW</v>
      </c>
      <c r="AO962" s="121" t="str">
        <f>IF('Cable Info'!N666="","",CONCATENATE('Cable Info'!N666," - ",'Cable Info'!O666))</f>
        <v>665 - AW</v>
      </c>
      <c r="AR962" s="121" t="str">
        <f t="shared" si="174"/>
        <v>665 - AW</v>
      </c>
      <c r="AT962" s="121" t="e">
        <f>IF('Cable Info'!P666="","",CONCATENATE('Cable Info'!P666," - ",'Cable Info'!Q666))</f>
        <v>#N/A</v>
      </c>
      <c r="AW962" s="121" t="e">
        <f t="shared" si="175"/>
        <v>#N/A</v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str">
        <f>IF('Cable Info'!L667="","",CONCATENATE('Cable Info'!L667," - ",'Cable Info'!M667))</f>
        <v>666 - AW</v>
      </c>
      <c r="AM963" s="121" t="str">
        <f t="shared" si="173"/>
        <v>666 - AW</v>
      </c>
      <c r="AO963" s="121" t="str">
        <f>IF('Cable Info'!N667="","",CONCATENATE('Cable Info'!N667," - ",'Cable Info'!O667))</f>
        <v>666 - AW</v>
      </c>
      <c r="AR963" s="121" t="str">
        <f t="shared" si="174"/>
        <v>666 - AW</v>
      </c>
      <c r="AT963" s="121" t="e">
        <f>IF('Cable Info'!P667="","",CONCATENATE('Cable Info'!P667," - ",'Cable Info'!Q667))</f>
        <v>#N/A</v>
      </c>
      <c r="AW963" s="121" t="e">
        <f t="shared" si="175"/>
        <v>#N/A</v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str">
        <f>IF('Cable Info'!L668="","",CONCATENATE('Cable Info'!L668," - ",'Cable Info'!M668))</f>
        <v>667 - AW</v>
      </c>
      <c r="AM964" s="121" t="str">
        <f t="shared" si="173"/>
        <v>667 - AW</v>
      </c>
      <c r="AO964" s="121" t="str">
        <f>IF('Cable Info'!N668="","",CONCATENATE('Cable Info'!N668," - ",'Cable Info'!O668))</f>
        <v>667 - AW</v>
      </c>
      <c r="AR964" s="121" t="str">
        <f t="shared" si="174"/>
        <v>667 - AW</v>
      </c>
      <c r="AT964" s="121" t="e">
        <f>IF('Cable Info'!P668="","",CONCATENATE('Cable Info'!P668," - ",'Cable Info'!Q668))</f>
        <v>#N/A</v>
      </c>
      <c r="AW964" s="121" t="e">
        <f t="shared" si="175"/>
        <v>#N/A</v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str">
        <f>IF('Cable Info'!L669="","",CONCATENATE('Cable Info'!L669," - ",'Cable Info'!M669))</f>
        <v>668 - AW</v>
      </c>
      <c r="AM965" s="121" t="str">
        <f t="shared" si="173"/>
        <v>668 - AW</v>
      </c>
      <c r="AO965" s="121" t="str">
        <f>IF('Cable Info'!N669="","",CONCATENATE('Cable Info'!N669," - ",'Cable Info'!O669))</f>
        <v>668 - AW</v>
      </c>
      <c r="AR965" s="121" t="str">
        <f t="shared" si="174"/>
        <v>668 - AW</v>
      </c>
      <c r="AT965" s="121" t="e">
        <f>IF('Cable Info'!P669="","",CONCATENATE('Cable Info'!P669," - ",'Cable Info'!Q669))</f>
        <v>#N/A</v>
      </c>
      <c r="AW965" s="121" t="e">
        <f t="shared" si="175"/>
        <v>#N/A</v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str">
        <f>IF('Cable Info'!L670="","",CONCATENATE('Cable Info'!L670," - ",'Cable Info'!M670))</f>
        <v>669 - AW</v>
      </c>
      <c r="AM966" s="121" t="str">
        <f t="shared" si="173"/>
        <v>669 - AW</v>
      </c>
      <c r="AO966" s="121" t="str">
        <f>IF('Cable Info'!N670="","",CONCATENATE('Cable Info'!N670," - ",'Cable Info'!O670))</f>
        <v>669 - AW</v>
      </c>
      <c r="AR966" s="121" t="str">
        <f t="shared" si="174"/>
        <v>669 - AW</v>
      </c>
      <c r="AT966" s="121" t="e">
        <f>IF('Cable Info'!P670="","",CONCATENATE('Cable Info'!P670," - ",'Cable Info'!Q670))</f>
        <v>#N/A</v>
      </c>
      <c r="AW966" s="121" t="e">
        <f t="shared" si="175"/>
        <v>#N/A</v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str">
        <f>IF('Cable Info'!L671="","",CONCATENATE('Cable Info'!L671," - ",'Cable Info'!M671))</f>
        <v>670 - AW</v>
      </c>
      <c r="AM967" s="121" t="str">
        <f t="shared" si="173"/>
        <v>670 - AW</v>
      </c>
      <c r="AO967" s="121" t="str">
        <f>IF('Cable Info'!N671="","",CONCATENATE('Cable Info'!N671," - ",'Cable Info'!O671))</f>
        <v>670 - AW</v>
      </c>
      <c r="AR967" s="121" t="str">
        <f t="shared" si="174"/>
        <v>670 - AW</v>
      </c>
      <c r="AT967" s="121" t="e">
        <f>IF('Cable Info'!P671="","",CONCATENATE('Cable Info'!P671," - ",'Cable Info'!Q671))</f>
        <v>#N/A</v>
      </c>
      <c r="AW967" s="121" t="e">
        <f t="shared" si="175"/>
        <v>#N/A</v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str">
        <f>IF('Cable Info'!L672="","",CONCATENATE('Cable Info'!L672," - ",'Cable Info'!M672))</f>
        <v>671 - AW</v>
      </c>
      <c r="AM968" s="121" t="str">
        <f t="shared" si="173"/>
        <v>671 - AW</v>
      </c>
      <c r="AO968" s="121" t="str">
        <f>IF('Cable Info'!N672="","",CONCATENATE('Cable Info'!N672," - ",'Cable Info'!O672))</f>
        <v>671 - AW</v>
      </c>
      <c r="AR968" s="121" t="str">
        <f t="shared" si="174"/>
        <v>671 - AW</v>
      </c>
      <c r="AT968" s="121" t="e">
        <f>IF('Cable Info'!P672="","",CONCATENATE('Cable Info'!P672," - ",'Cable Info'!Q672))</f>
        <v>#N/A</v>
      </c>
      <c r="AW968" s="121" t="e">
        <f t="shared" si="175"/>
        <v>#N/A</v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str">
        <f>IF('Cable Info'!L673="","",CONCATENATE('Cable Info'!L673," - ",'Cable Info'!M673))</f>
        <v>672 - AW</v>
      </c>
      <c r="AM969" s="121" t="str">
        <f t="shared" si="173"/>
        <v>672 - AW</v>
      </c>
      <c r="AO969" s="121" t="str">
        <f>IF('Cable Info'!N673="","",CONCATENATE('Cable Info'!N673," - ",'Cable Info'!O673))</f>
        <v>672 - AW</v>
      </c>
      <c r="AR969" s="121" t="str">
        <f t="shared" si="174"/>
        <v>672 - AW</v>
      </c>
      <c r="AT969" s="121" t="e">
        <f>IF('Cable Info'!P673="","",CONCATENATE('Cable Info'!P673," - ",'Cable Info'!Q673))</f>
        <v>#N/A</v>
      </c>
      <c r="AW969" s="121" t="e">
        <f t="shared" si="175"/>
        <v>#N/A</v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str">
        <f>IF('Cable Info'!L674="","",CONCATENATE('Cable Info'!L674," - ",'Cable Info'!M674))</f>
        <v>673 - AW</v>
      </c>
      <c r="AM970" s="121" t="str">
        <f t="shared" si="173"/>
        <v>673 - AW</v>
      </c>
      <c r="AO970" s="121" t="str">
        <f>IF('Cable Info'!N674="","",CONCATENATE('Cable Info'!N674," - ",'Cable Info'!O674))</f>
        <v>673 - AW</v>
      </c>
      <c r="AR970" s="121" t="str">
        <f t="shared" si="174"/>
        <v>673 - AW</v>
      </c>
      <c r="AT970" s="121" t="e">
        <f>IF('Cable Info'!P674="","",CONCATENATE('Cable Info'!P674," - ",'Cable Info'!Q674))</f>
        <v>#N/A</v>
      </c>
      <c r="AW970" s="121" t="e">
        <f t="shared" si="175"/>
        <v>#N/A</v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str">
        <f>IF('Cable Info'!L675="","",CONCATENATE('Cable Info'!L675," - ",'Cable Info'!M675))</f>
        <v>674 - AW</v>
      </c>
      <c r="AM971" s="121" t="str">
        <f t="shared" si="173"/>
        <v>674 - AW</v>
      </c>
      <c r="AO971" s="121" t="str">
        <f>IF('Cable Info'!N675="","",CONCATENATE('Cable Info'!N675," - ",'Cable Info'!O675))</f>
        <v>674 - AW</v>
      </c>
      <c r="AR971" s="121" t="str">
        <f t="shared" si="174"/>
        <v>674 - AW</v>
      </c>
      <c r="AT971" s="121" t="e">
        <f>IF('Cable Info'!P675="","",CONCATENATE('Cable Info'!P675," - ",'Cable Info'!Q675))</f>
        <v>#N/A</v>
      </c>
      <c r="AW971" s="121" t="e">
        <f t="shared" si="175"/>
        <v>#N/A</v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str">
        <f>IF('Cable Info'!L676="","",CONCATENATE('Cable Info'!L676," - ",'Cable Info'!M676))</f>
        <v>675 - AW</v>
      </c>
      <c r="AM972" s="121" t="str">
        <f t="shared" si="173"/>
        <v>675 - AW</v>
      </c>
      <c r="AO972" s="121" t="str">
        <f>IF('Cable Info'!N676="","",CONCATENATE('Cable Info'!N676," - ",'Cable Info'!O676))</f>
        <v>675 - AW</v>
      </c>
      <c r="AR972" s="121" t="str">
        <f t="shared" si="174"/>
        <v>675 - AW</v>
      </c>
      <c r="AT972" s="121" t="e">
        <f>IF('Cable Info'!P676="","",CONCATENATE('Cable Info'!P676," - ",'Cable Info'!Q676))</f>
        <v>#N/A</v>
      </c>
      <c r="AW972" s="121" t="e">
        <f t="shared" si="175"/>
        <v>#N/A</v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str">
        <f>IF('Cable Info'!L677="","",CONCATENATE('Cable Info'!L677," - ",'Cable Info'!M677))</f>
        <v>676 - AW</v>
      </c>
      <c r="AM973" s="121" t="str">
        <f t="shared" si="173"/>
        <v>676 - AW</v>
      </c>
      <c r="AO973" s="121" t="str">
        <f>IF('Cable Info'!N677="","",CONCATENATE('Cable Info'!N677," - ",'Cable Info'!O677))</f>
        <v>676 - AW</v>
      </c>
      <c r="AR973" s="121" t="str">
        <f t="shared" si="174"/>
        <v>676 - AW</v>
      </c>
      <c r="AT973" s="121" t="e">
        <f>IF('Cable Info'!P677="","",CONCATENATE('Cable Info'!P677," - ",'Cable Info'!Q677))</f>
        <v>#N/A</v>
      </c>
      <c r="AW973" s="121" t="e">
        <f t="shared" si="175"/>
        <v>#N/A</v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str">
        <f>IF('Cable Info'!L678="","",CONCATENATE('Cable Info'!L678," - ",'Cable Info'!M678))</f>
        <v>677 - AW</v>
      </c>
      <c r="AM974" s="121" t="str">
        <f t="shared" si="173"/>
        <v>677 - AW</v>
      </c>
      <c r="AO974" s="121" t="str">
        <f>IF('Cable Info'!N678="","",CONCATENATE('Cable Info'!N678," - ",'Cable Info'!O678))</f>
        <v>677 - AW</v>
      </c>
      <c r="AR974" s="121" t="str">
        <f t="shared" si="174"/>
        <v>677 - AW</v>
      </c>
      <c r="AT974" s="121" t="e">
        <f>IF('Cable Info'!P678="","",CONCATENATE('Cable Info'!P678," - ",'Cable Info'!Q678))</f>
        <v>#N/A</v>
      </c>
      <c r="AW974" s="121" t="e">
        <f t="shared" si="175"/>
        <v>#N/A</v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str">
        <f>IF('Cable Info'!L679="","",CONCATENATE('Cable Info'!L679," - ",'Cable Info'!M679))</f>
        <v>678 - AW</v>
      </c>
      <c r="AM975" s="121" t="str">
        <f t="shared" si="173"/>
        <v>678 - AW</v>
      </c>
      <c r="AO975" s="121" t="str">
        <f>IF('Cable Info'!N679="","",CONCATENATE('Cable Info'!N679," - ",'Cable Info'!O679))</f>
        <v>678 - AW</v>
      </c>
      <c r="AR975" s="121" t="str">
        <f t="shared" si="174"/>
        <v>678 - AW</v>
      </c>
      <c r="AT975" s="121" t="e">
        <f>IF('Cable Info'!P679="","",CONCATENATE('Cable Info'!P679," - ",'Cable Info'!Q679))</f>
        <v>#N/A</v>
      </c>
      <c r="AW975" s="121" t="e">
        <f t="shared" si="175"/>
        <v>#N/A</v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str">
        <f>IF('Cable Info'!L680="","",CONCATENATE('Cable Info'!L680," - ",'Cable Info'!M680))</f>
        <v>679 - AW</v>
      </c>
      <c r="AM976" s="121" t="str">
        <f t="shared" si="173"/>
        <v>679 - AW</v>
      </c>
      <c r="AO976" s="121" t="str">
        <f>IF('Cable Info'!N680="","",CONCATENATE('Cable Info'!N680," - ",'Cable Info'!O680))</f>
        <v>679 - AW</v>
      </c>
      <c r="AR976" s="121" t="str">
        <f t="shared" si="174"/>
        <v>679 - AW</v>
      </c>
      <c r="AT976" s="121" t="e">
        <f>IF('Cable Info'!P680="","",CONCATENATE('Cable Info'!P680," - ",'Cable Info'!Q680))</f>
        <v>#N/A</v>
      </c>
      <c r="AW976" s="121" t="e">
        <f t="shared" si="175"/>
        <v>#N/A</v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str">
        <f>IF('Cable Info'!L681="","",CONCATENATE('Cable Info'!L681," - ",'Cable Info'!M681))</f>
        <v>680 - AW</v>
      </c>
      <c r="AM977" s="121" t="str">
        <f t="shared" si="173"/>
        <v>680 - AW</v>
      </c>
      <c r="AO977" s="121" t="str">
        <f>IF('Cable Info'!N681="","",CONCATENATE('Cable Info'!N681," - ",'Cable Info'!O681))</f>
        <v>680 - AW</v>
      </c>
      <c r="AR977" s="121" t="str">
        <f t="shared" si="174"/>
        <v>680 - AW</v>
      </c>
      <c r="AT977" s="121" t="e">
        <f>IF('Cable Info'!P681="","",CONCATENATE('Cable Info'!P681," - ",'Cable Info'!Q681))</f>
        <v>#N/A</v>
      </c>
      <c r="AW977" s="121" t="e">
        <f t="shared" si="175"/>
        <v>#N/A</v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str">
        <f>IF('Cable Info'!L682="","",CONCATENATE('Cable Info'!L682," - ",'Cable Info'!M682))</f>
        <v>681 - AW</v>
      </c>
      <c r="AM978" s="121" t="str">
        <f t="shared" si="173"/>
        <v>681 - AW</v>
      </c>
      <c r="AO978" s="121" t="str">
        <f>IF('Cable Info'!N682="","",CONCATENATE('Cable Info'!N682," - ",'Cable Info'!O682))</f>
        <v>681 - AW</v>
      </c>
      <c r="AR978" s="121" t="str">
        <f t="shared" si="174"/>
        <v>681 - AW</v>
      </c>
      <c r="AT978" s="121" t="e">
        <f>IF('Cable Info'!P682="","",CONCATENATE('Cable Info'!P682," - ",'Cable Info'!Q682))</f>
        <v>#N/A</v>
      </c>
      <c r="AW978" s="121" t="e">
        <f t="shared" si="175"/>
        <v>#N/A</v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str">
        <f>IF('Cable Info'!L683="","",CONCATENATE('Cable Info'!L683," - ",'Cable Info'!M683))</f>
        <v>682 - AW</v>
      </c>
      <c r="AM979" s="121" t="str">
        <f t="shared" si="173"/>
        <v>682 - AW</v>
      </c>
      <c r="AO979" s="121" t="str">
        <f>IF('Cable Info'!N683="","",CONCATENATE('Cable Info'!N683," - ",'Cable Info'!O683))</f>
        <v>682 - AW</v>
      </c>
      <c r="AR979" s="121" t="str">
        <f t="shared" si="174"/>
        <v>682 - AW</v>
      </c>
      <c r="AT979" s="121" t="e">
        <f>IF('Cable Info'!P683="","",CONCATENATE('Cable Info'!P683," - ",'Cable Info'!Q683))</f>
        <v>#N/A</v>
      </c>
      <c r="AW979" s="121" t="e">
        <f t="shared" si="175"/>
        <v>#N/A</v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str">
        <f>IF('Cable Info'!L684="","",CONCATENATE('Cable Info'!L684," - ",'Cable Info'!M684))</f>
        <v>683 - AW</v>
      </c>
      <c r="AM980" s="121" t="str">
        <f t="shared" si="173"/>
        <v>683 - AW</v>
      </c>
      <c r="AO980" s="121" t="str">
        <f>IF('Cable Info'!N684="","",CONCATENATE('Cable Info'!N684," - ",'Cable Info'!O684))</f>
        <v>683 - AW</v>
      </c>
      <c r="AR980" s="121" t="str">
        <f t="shared" si="174"/>
        <v>683 - AW</v>
      </c>
      <c r="AT980" s="121" t="e">
        <f>IF('Cable Info'!P684="","",CONCATENATE('Cable Info'!P684," - ",'Cable Info'!Q684))</f>
        <v>#N/A</v>
      </c>
      <c r="AW980" s="121" t="e">
        <f t="shared" si="175"/>
        <v>#N/A</v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str">
        <f>IF('Cable Info'!L685="","",CONCATENATE('Cable Info'!L685," - ",'Cable Info'!M685))</f>
        <v>684 - AW</v>
      </c>
      <c r="AM981" s="121" t="str">
        <f t="shared" si="173"/>
        <v>684 - AW</v>
      </c>
      <c r="AO981" s="121" t="str">
        <f>IF('Cable Info'!N685="","",CONCATENATE('Cable Info'!N685," - ",'Cable Info'!O685))</f>
        <v>684 - AW</v>
      </c>
      <c r="AR981" s="121" t="str">
        <f t="shared" si="174"/>
        <v>684 - AW</v>
      </c>
      <c r="AT981" s="121" t="e">
        <f>IF('Cable Info'!P685="","",CONCATENATE('Cable Info'!P685," - ",'Cable Info'!Q685))</f>
        <v>#N/A</v>
      </c>
      <c r="AW981" s="121" t="e">
        <f t="shared" si="175"/>
        <v>#N/A</v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str">
        <f>IF('Cable Info'!L686="","",CONCATENATE('Cable Info'!L686," - ",'Cable Info'!M686))</f>
        <v>685 - AW</v>
      </c>
      <c r="AM982" s="121" t="str">
        <f t="shared" si="173"/>
        <v>685 - AW</v>
      </c>
      <c r="AO982" s="121" t="str">
        <f>IF('Cable Info'!N686="","",CONCATENATE('Cable Info'!N686," - ",'Cable Info'!O686))</f>
        <v>685 - AW</v>
      </c>
      <c r="AR982" s="121" t="str">
        <f t="shared" si="174"/>
        <v>685 - AW</v>
      </c>
      <c r="AT982" s="121" t="e">
        <f>IF('Cable Info'!P686="","",CONCATENATE('Cable Info'!P686," - ",'Cable Info'!Q686))</f>
        <v>#N/A</v>
      </c>
      <c r="AW982" s="121" t="e">
        <f t="shared" si="175"/>
        <v>#N/A</v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str">
        <f>IF('Cable Info'!L687="","",CONCATENATE('Cable Info'!L687," - ",'Cable Info'!M687))</f>
        <v>686 - AW</v>
      </c>
      <c r="AM983" s="121" t="str">
        <f t="shared" si="173"/>
        <v>686 - AW</v>
      </c>
      <c r="AO983" s="121" t="str">
        <f>IF('Cable Info'!N687="","",CONCATENATE('Cable Info'!N687," - ",'Cable Info'!O687))</f>
        <v>686 - AW</v>
      </c>
      <c r="AR983" s="121" t="str">
        <f t="shared" si="174"/>
        <v>686 - AW</v>
      </c>
      <c r="AT983" s="121" t="e">
        <f>IF('Cable Info'!P687="","",CONCATENATE('Cable Info'!P687," - ",'Cable Info'!Q687))</f>
        <v>#N/A</v>
      </c>
      <c r="AW983" s="121" t="e">
        <f t="shared" si="175"/>
        <v>#N/A</v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str">
        <f>IF('Cable Info'!L688="","",CONCATENATE('Cable Info'!L688," - ",'Cable Info'!M688))</f>
        <v>687 - AW</v>
      </c>
      <c r="AM984" s="121" t="str">
        <f t="shared" si="173"/>
        <v>687 - AW</v>
      </c>
      <c r="AO984" s="121" t="str">
        <f>IF('Cable Info'!N688="","",CONCATENATE('Cable Info'!N688," - ",'Cable Info'!O688))</f>
        <v>687 - AW</v>
      </c>
      <c r="AR984" s="121" t="str">
        <f t="shared" si="174"/>
        <v>687 - AW</v>
      </c>
      <c r="AT984" s="121" t="e">
        <f>IF('Cable Info'!P688="","",CONCATENATE('Cable Info'!P688," - ",'Cable Info'!Q688))</f>
        <v>#N/A</v>
      </c>
      <c r="AW984" s="121" t="e">
        <f t="shared" si="175"/>
        <v>#N/A</v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str">
        <f>IF('Cable Info'!L689="","",CONCATENATE('Cable Info'!L689," - ",'Cable Info'!M689))</f>
        <v>688 - AW</v>
      </c>
      <c r="AM985" s="121" t="str">
        <f t="shared" si="173"/>
        <v>688 - AW</v>
      </c>
      <c r="AO985" s="121" t="str">
        <f>IF('Cable Info'!N689="","",CONCATENATE('Cable Info'!N689," - ",'Cable Info'!O689))</f>
        <v>688 - AW</v>
      </c>
      <c r="AR985" s="121" t="str">
        <f t="shared" si="174"/>
        <v>688 - AW</v>
      </c>
      <c r="AT985" s="121" t="e">
        <f>IF('Cable Info'!P689="","",CONCATENATE('Cable Info'!P689," - ",'Cable Info'!Q689))</f>
        <v>#N/A</v>
      </c>
      <c r="AW985" s="121" t="e">
        <f t="shared" si="175"/>
        <v>#N/A</v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str">
        <f>IF('Cable Info'!L690="","",CONCATENATE('Cable Info'!L690," - ",'Cable Info'!M690))</f>
        <v>689 - AW</v>
      </c>
      <c r="AM986" s="121" t="str">
        <f t="shared" si="173"/>
        <v>689 - AW</v>
      </c>
      <c r="AO986" s="121" t="str">
        <f>IF('Cable Info'!N690="","",CONCATENATE('Cable Info'!N690," - ",'Cable Info'!O690))</f>
        <v>689 - AW</v>
      </c>
      <c r="AR986" s="121" t="str">
        <f t="shared" si="174"/>
        <v>689 - AW</v>
      </c>
      <c r="AT986" s="121" t="e">
        <f>IF('Cable Info'!P690="","",CONCATENATE('Cable Info'!P690," - ",'Cable Info'!Q690))</f>
        <v>#N/A</v>
      </c>
      <c r="AW986" s="121" t="e">
        <f t="shared" si="175"/>
        <v>#N/A</v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str">
        <f>IF('Cable Info'!L691="","",CONCATENATE('Cable Info'!L691," - ",'Cable Info'!M691))</f>
        <v>690 - AW</v>
      </c>
      <c r="AM987" s="121" t="str">
        <f t="shared" si="173"/>
        <v>690 - AW</v>
      </c>
      <c r="AO987" s="121" t="str">
        <f>IF('Cable Info'!N691="","",CONCATENATE('Cable Info'!N691," - ",'Cable Info'!O691))</f>
        <v>690 - AW</v>
      </c>
      <c r="AR987" s="121" t="str">
        <f t="shared" si="174"/>
        <v>690 - AW</v>
      </c>
      <c r="AT987" s="121" t="e">
        <f>IF('Cable Info'!P691="","",CONCATENATE('Cable Info'!P691," - ",'Cable Info'!Q691))</f>
        <v>#N/A</v>
      </c>
      <c r="AW987" s="121" t="e">
        <f t="shared" si="175"/>
        <v>#N/A</v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str">
        <f>IF('Cable Info'!L692="","",CONCATENATE('Cable Info'!L692," - ",'Cable Info'!M692))</f>
        <v>691 - AW</v>
      </c>
      <c r="AM988" s="121" t="str">
        <f t="shared" si="173"/>
        <v>691 - AW</v>
      </c>
      <c r="AO988" s="121" t="str">
        <f>IF('Cable Info'!N692="","",CONCATENATE('Cable Info'!N692," - ",'Cable Info'!O692))</f>
        <v>691 - AW</v>
      </c>
      <c r="AR988" s="121" t="str">
        <f t="shared" si="174"/>
        <v>691 - AW</v>
      </c>
      <c r="AT988" s="121" t="e">
        <f>IF('Cable Info'!P692="","",CONCATENATE('Cable Info'!P692," - ",'Cable Info'!Q692))</f>
        <v>#N/A</v>
      </c>
      <c r="AW988" s="121" t="e">
        <f t="shared" si="175"/>
        <v>#N/A</v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str">
        <f>IF('Cable Info'!L693="","",CONCATENATE('Cable Info'!L693," - ",'Cable Info'!M693))</f>
        <v>692 - AW</v>
      </c>
      <c r="AM989" s="121" t="str">
        <f t="shared" si="173"/>
        <v>692 - AW</v>
      </c>
      <c r="AO989" s="121" t="str">
        <f>IF('Cable Info'!N693="","",CONCATENATE('Cable Info'!N693," - ",'Cable Info'!O693))</f>
        <v>692 - AW</v>
      </c>
      <c r="AR989" s="121" t="str">
        <f t="shared" si="174"/>
        <v>692 - AW</v>
      </c>
      <c r="AT989" s="121" t="e">
        <f>IF('Cable Info'!P693="","",CONCATENATE('Cable Info'!P693," - ",'Cable Info'!Q693))</f>
        <v>#N/A</v>
      </c>
      <c r="AW989" s="121" t="e">
        <f t="shared" si="175"/>
        <v>#N/A</v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str">
        <f>IF('Cable Info'!L694="","",CONCATENATE('Cable Info'!L694," - ",'Cable Info'!M694))</f>
        <v>693 - AW</v>
      </c>
      <c r="AM990" s="121" t="str">
        <f t="shared" si="173"/>
        <v>693 - AW</v>
      </c>
      <c r="AO990" s="121" t="str">
        <f>IF('Cable Info'!N694="","",CONCATENATE('Cable Info'!N694," - ",'Cable Info'!O694))</f>
        <v>693 - AW</v>
      </c>
      <c r="AR990" s="121" t="str">
        <f t="shared" si="174"/>
        <v>693 - AW</v>
      </c>
      <c r="AT990" s="121" t="e">
        <f>IF('Cable Info'!P694="","",CONCATENATE('Cable Info'!P694," - ",'Cable Info'!Q694))</f>
        <v>#N/A</v>
      </c>
      <c r="AW990" s="121" t="e">
        <f t="shared" si="175"/>
        <v>#N/A</v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str">
        <f>IF('Cable Info'!L695="","",CONCATENATE('Cable Info'!L695," - ",'Cable Info'!M695))</f>
        <v>694 - AW</v>
      </c>
      <c r="AM991" s="121" t="str">
        <f t="shared" si="173"/>
        <v>694 - AW</v>
      </c>
      <c r="AO991" s="121" t="str">
        <f>IF('Cable Info'!N695="","",CONCATENATE('Cable Info'!N695," - ",'Cable Info'!O695))</f>
        <v>694 - AW</v>
      </c>
      <c r="AR991" s="121" t="str">
        <f t="shared" si="174"/>
        <v>694 - AW</v>
      </c>
      <c r="AT991" s="121" t="e">
        <f>IF('Cable Info'!P695="","",CONCATENATE('Cable Info'!P695," - ",'Cable Info'!Q695))</f>
        <v>#N/A</v>
      </c>
      <c r="AW991" s="121" t="e">
        <f t="shared" si="175"/>
        <v>#N/A</v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str">
        <f>IF('Cable Info'!L696="","",CONCATENATE('Cable Info'!L696," - ",'Cable Info'!M696))</f>
        <v>695 - AW</v>
      </c>
      <c r="AM992" s="121" t="str">
        <f t="shared" si="173"/>
        <v>695 - AW</v>
      </c>
      <c r="AO992" s="121" t="str">
        <f>IF('Cable Info'!N696="","",CONCATENATE('Cable Info'!N696," - ",'Cable Info'!O696))</f>
        <v>695 - AW</v>
      </c>
      <c r="AR992" s="121" t="str">
        <f t="shared" si="174"/>
        <v>695 - AW</v>
      </c>
      <c r="AT992" s="121" t="e">
        <f>IF('Cable Info'!P696="","",CONCATENATE('Cable Info'!P696," - ",'Cable Info'!Q696))</f>
        <v>#N/A</v>
      </c>
      <c r="AW992" s="121" t="e">
        <f t="shared" si="175"/>
        <v>#N/A</v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str">
        <f>IF('Cable Info'!L697="","",CONCATENATE('Cable Info'!L697," - ",'Cable Info'!M697))</f>
        <v>696 - AW</v>
      </c>
      <c r="AM993" s="121" t="str">
        <f t="shared" si="173"/>
        <v>696 - AW</v>
      </c>
      <c r="AO993" s="121" t="str">
        <f>IF('Cable Info'!N697="","",CONCATENATE('Cable Info'!N697," - ",'Cable Info'!O697))</f>
        <v>696 - AW</v>
      </c>
      <c r="AR993" s="121" t="str">
        <f t="shared" si="174"/>
        <v>696 - AW</v>
      </c>
      <c r="AT993" s="121" t="e">
        <f>IF('Cable Info'!P697="","",CONCATENATE('Cable Info'!P697," - ",'Cable Info'!Q697))</f>
        <v>#N/A</v>
      </c>
      <c r="AW993" s="121" t="e">
        <f t="shared" si="175"/>
        <v>#N/A</v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str">
        <f>IF('Cable Info'!L698="","",CONCATENATE('Cable Info'!L698," - ",'Cable Info'!M698))</f>
        <v>697 - AW</v>
      </c>
      <c r="AM994" s="121" t="str">
        <f t="shared" si="173"/>
        <v>697 - AW</v>
      </c>
      <c r="AO994" s="121" t="str">
        <f>IF('Cable Info'!N698="","",CONCATENATE('Cable Info'!N698," - ",'Cable Info'!O698))</f>
        <v>697 - AW</v>
      </c>
      <c r="AR994" s="121" t="str">
        <f t="shared" si="174"/>
        <v>697 - AW</v>
      </c>
      <c r="AT994" s="121" t="e">
        <f>IF('Cable Info'!P698="","",CONCATENATE('Cable Info'!P698," - ",'Cable Info'!Q698))</f>
        <v>#N/A</v>
      </c>
      <c r="AW994" s="121" t="e">
        <f t="shared" si="175"/>
        <v>#N/A</v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str">
        <f>IF('Cable Info'!L699="","",CONCATENATE('Cable Info'!L699," - ",'Cable Info'!M699))</f>
        <v>698 - AW</v>
      </c>
      <c r="AM995" s="121" t="str">
        <f t="shared" si="173"/>
        <v>698 - AW</v>
      </c>
      <c r="AO995" s="121" t="str">
        <f>IF('Cable Info'!N699="","",CONCATENATE('Cable Info'!N699," - ",'Cable Info'!O699))</f>
        <v>698 - AW</v>
      </c>
      <c r="AR995" s="121" t="str">
        <f t="shared" si="174"/>
        <v>698 - AW</v>
      </c>
      <c r="AT995" s="121" t="e">
        <f>IF('Cable Info'!P699="","",CONCATENATE('Cable Info'!P699," - ",'Cable Info'!Q699))</f>
        <v>#N/A</v>
      </c>
      <c r="AW995" s="121" t="e">
        <f t="shared" si="175"/>
        <v>#N/A</v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str">
        <f>IF('Cable Info'!L700="","",CONCATENATE('Cable Info'!L700," - ",'Cable Info'!M700))</f>
        <v>699 - AW</v>
      </c>
      <c r="AM996" s="121" t="str">
        <f t="shared" si="173"/>
        <v>699 - AW</v>
      </c>
      <c r="AO996" s="121" t="str">
        <f>IF('Cable Info'!N700="","",CONCATENATE('Cable Info'!N700," - ",'Cable Info'!O700))</f>
        <v>699 - AW</v>
      </c>
      <c r="AR996" s="121" t="str">
        <f t="shared" si="174"/>
        <v>699 - AW</v>
      </c>
      <c r="AT996" s="121" t="e">
        <f>IF('Cable Info'!P700="","",CONCATENATE('Cable Info'!P700," - ",'Cable Info'!Q700))</f>
        <v>#N/A</v>
      </c>
      <c r="AW996" s="121" t="e">
        <f t="shared" si="175"/>
        <v>#N/A</v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str">
        <f>IF('Cable Info'!L701="","",CONCATENATE('Cable Info'!L701," - ",'Cable Info'!M701))</f>
        <v>700 - AW</v>
      </c>
      <c r="AM997" s="121" t="str">
        <f t="shared" si="173"/>
        <v>700 - AW</v>
      </c>
      <c r="AO997" s="121" t="str">
        <f>IF('Cable Info'!N701="","",CONCATENATE('Cable Info'!N701," - ",'Cable Info'!O701))</f>
        <v>700 - AW</v>
      </c>
      <c r="AR997" s="121" t="str">
        <f t="shared" si="174"/>
        <v>700 - AW</v>
      </c>
      <c r="AT997" s="121" t="e">
        <f>IF('Cable Info'!P701="","",CONCATENATE('Cable Info'!P701," - ",'Cable Info'!Q701))</f>
        <v>#N/A</v>
      </c>
      <c r="AW997" s="121" t="e">
        <f t="shared" si="175"/>
        <v>#N/A</v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str">
        <f>IF('Cable Info'!L702="","",CONCATENATE('Cable Info'!L702," - ",'Cable Info'!M702))</f>
        <v>701 - AW</v>
      </c>
      <c r="AM998" s="121" t="str">
        <f t="shared" si="173"/>
        <v>701 - AW</v>
      </c>
      <c r="AO998" s="121" t="str">
        <f>IF('Cable Info'!N702="","",CONCATENATE('Cable Info'!N702," - ",'Cable Info'!O702))</f>
        <v>701 - AW</v>
      </c>
      <c r="AR998" s="121" t="str">
        <f t="shared" si="174"/>
        <v>701 - AW</v>
      </c>
      <c r="AT998" s="121" t="e">
        <f>IF('Cable Info'!P702="","",CONCATENATE('Cable Info'!P702," - ",'Cable Info'!Q702))</f>
        <v>#N/A</v>
      </c>
      <c r="AW998" s="121" t="e">
        <f t="shared" si="175"/>
        <v>#N/A</v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str">
        <f>IF('Cable Info'!L703="","",CONCATENATE('Cable Info'!L703," - ",'Cable Info'!M703))</f>
        <v>702 - AW</v>
      </c>
      <c r="AM999" s="121" t="str">
        <f t="shared" si="173"/>
        <v>702 - AW</v>
      </c>
      <c r="AO999" s="121" t="str">
        <f>IF('Cable Info'!N703="","",CONCATENATE('Cable Info'!N703," - ",'Cable Info'!O703))</f>
        <v>702 - AW</v>
      </c>
      <c r="AR999" s="121" t="str">
        <f t="shared" si="174"/>
        <v>702 - AW</v>
      </c>
      <c r="AT999" s="121" t="e">
        <f>IF('Cable Info'!P703="","",CONCATENATE('Cable Info'!P703," - ",'Cable Info'!Q703))</f>
        <v>#N/A</v>
      </c>
      <c r="AW999" s="121" t="e">
        <f t="shared" si="175"/>
        <v>#N/A</v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str">
        <f>IF('Cable Info'!L704="","",CONCATENATE('Cable Info'!L704," - ",'Cable Info'!M704))</f>
        <v>703 - AW</v>
      </c>
      <c r="AM1000" s="121" t="str">
        <f t="shared" si="173"/>
        <v>703 - AW</v>
      </c>
      <c r="AO1000" s="121" t="str">
        <f>IF('Cable Info'!N704="","",CONCATENATE('Cable Info'!N704," - ",'Cable Info'!O704))</f>
        <v>703 - AW</v>
      </c>
      <c r="AR1000" s="121" t="str">
        <f t="shared" si="174"/>
        <v>703 - AW</v>
      </c>
      <c r="AT1000" s="121" t="e">
        <f>IF('Cable Info'!P704="","",CONCATENATE('Cable Info'!P704," - ",'Cable Info'!Q704))</f>
        <v>#N/A</v>
      </c>
      <c r="AW1000" s="121" t="e">
        <f t="shared" si="175"/>
        <v>#N/A</v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str">
        <f>IF('Cable Info'!L705="","",CONCATENATE('Cable Info'!L705," - ",'Cable Info'!M705))</f>
        <v>704 - AW</v>
      </c>
      <c r="AM1001" s="121" t="str">
        <f t="shared" si="173"/>
        <v>704 - AW</v>
      </c>
      <c r="AO1001" s="121" t="str">
        <f>IF('Cable Info'!N705="","",CONCATENATE('Cable Info'!N705," - ",'Cable Info'!O705))</f>
        <v>704 - AW</v>
      </c>
      <c r="AR1001" s="121" t="str">
        <f t="shared" si="174"/>
        <v>704 - AW</v>
      </c>
      <c r="AT1001" s="121" t="e">
        <f>IF('Cable Info'!P705="","",CONCATENATE('Cable Info'!P705," - ",'Cable Info'!Q705))</f>
        <v>#N/A</v>
      </c>
      <c r="AW1001" s="121" t="e">
        <f t="shared" si="175"/>
        <v>#N/A</v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str">
        <f>IF('Cable Info'!L706="","",CONCATENATE('Cable Info'!L706," - ",'Cable Info'!M706))</f>
        <v>705 - AW</v>
      </c>
      <c r="AM1002" s="121" t="str">
        <f t="shared" si="173"/>
        <v>705 - AW</v>
      </c>
      <c r="AO1002" s="121" t="str">
        <f>IF('Cable Info'!N706="","",CONCATENATE('Cable Info'!N706," - ",'Cable Info'!O706))</f>
        <v>705 - AW</v>
      </c>
      <c r="AR1002" s="121" t="str">
        <f t="shared" si="174"/>
        <v>705 - AW</v>
      </c>
      <c r="AT1002" s="121" t="e">
        <f>IF('Cable Info'!P706="","",CONCATENATE('Cable Info'!P706," - ",'Cable Info'!Q706))</f>
        <v>#N/A</v>
      </c>
      <c r="AW1002" s="121" t="e">
        <f t="shared" si="175"/>
        <v>#N/A</v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str">
        <f>IF('Cable Info'!L707="","",CONCATENATE('Cable Info'!L707," - ",'Cable Info'!M707))</f>
        <v>706 - AW</v>
      </c>
      <c r="AM1003" s="121" t="str">
        <f t="shared" ref="AM1003:AM1066" si="179">IF(AK1003="",AJ1003,CONCATENATE(AJ1003,"  &lt;=&gt; ",AK1003," ",AL1003))</f>
        <v>706 - AW</v>
      </c>
      <c r="AO1003" s="121" t="str">
        <f>IF('Cable Info'!N707="","",CONCATENATE('Cable Info'!N707," - ",'Cable Info'!O707))</f>
        <v>706 - AW</v>
      </c>
      <c r="AR1003" s="121" t="str">
        <f t="shared" ref="AR1003:AR1066" si="180">IF(AP1003="",AO1003,CONCATENATE(AO1003,"  &lt;=&gt; ",AP1003," ",AQ1003))</f>
        <v>706 - AW</v>
      </c>
      <c r="AT1003" s="121" t="e">
        <f>IF('Cable Info'!P707="","",CONCATENATE('Cable Info'!P707," - ",'Cable Info'!Q707))</f>
        <v>#N/A</v>
      </c>
      <c r="AW1003" s="121" t="e">
        <f t="shared" ref="AW1003:AW1066" si="181">IF(AU1003="",AT1003,CONCATENATE(AT1003,"  &lt;=&gt; ",AU1003," ",AV1003))</f>
        <v>#N/A</v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str">
        <f>IF('Cable Info'!L708="","",CONCATENATE('Cable Info'!L708," - ",'Cable Info'!M708))</f>
        <v>707 - AW</v>
      </c>
      <c r="AM1004" s="121" t="str">
        <f t="shared" si="179"/>
        <v>707 - AW</v>
      </c>
      <c r="AO1004" s="121" t="str">
        <f>IF('Cable Info'!N708="","",CONCATENATE('Cable Info'!N708," - ",'Cable Info'!O708))</f>
        <v>707 - AW</v>
      </c>
      <c r="AR1004" s="121" t="str">
        <f t="shared" si="180"/>
        <v>707 - AW</v>
      </c>
      <c r="AT1004" s="121" t="e">
        <f>IF('Cable Info'!P708="","",CONCATENATE('Cable Info'!P708," - ",'Cable Info'!Q708))</f>
        <v>#N/A</v>
      </c>
      <c r="AW1004" s="121" t="e">
        <f t="shared" si="181"/>
        <v>#N/A</v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str">
        <f>IF('Cable Info'!L709="","",CONCATENATE('Cable Info'!L709," - ",'Cable Info'!M709))</f>
        <v>708 - AW</v>
      </c>
      <c r="AM1005" s="121" t="str">
        <f t="shared" si="179"/>
        <v>708 - AW</v>
      </c>
      <c r="AO1005" s="121" t="str">
        <f>IF('Cable Info'!N709="","",CONCATENATE('Cable Info'!N709," - ",'Cable Info'!O709))</f>
        <v>708 - AW</v>
      </c>
      <c r="AR1005" s="121" t="str">
        <f t="shared" si="180"/>
        <v>708 - AW</v>
      </c>
      <c r="AT1005" s="121" t="e">
        <f>IF('Cable Info'!P709="","",CONCATENATE('Cable Info'!P709," - ",'Cable Info'!Q709))</f>
        <v>#N/A</v>
      </c>
      <c r="AW1005" s="121" t="e">
        <f t="shared" si="181"/>
        <v>#N/A</v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str">
        <f>IF('Cable Info'!L710="","",CONCATENATE('Cable Info'!L710," - ",'Cable Info'!M710))</f>
        <v>709 - AW</v>
      </c>
      <c r="AM1006" s="121" t="str">
        <f t="shared" si="179"/>
        <v>709 - AW</v>
      </c>
      <c r="AO1006" s="121" t="str">
        <f>IF('Cable Info'!N710="","",CONCATENATE('Cable Info'!N710," - ",'Cable Info'!O710))</f>
        <v>709 - AW</v>
      </c>
      <c r="AR1006" s="121" t="str">
        <f t="shared" si="180"/>
        <v>709 - AW</v>
      </c>
      <c r="AT1006" s="121" t="e">
        <f>IF('Cable Info'!P710="","",CONCATENATE('Cable Info'!P710," - ",'Cable Info'!Q710))</f>
        <v>#N/A</v>
      </c>
      <c r="AW1006" s="121" t="e">
        <f t="shared" si="181"/>
        <v>#N/A</v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str">
        <f>IF('Cable Info'!L711="","",CONCATENATE('Cable Info'!L711," - ",'Cable Info'!M711))</f>
        <v>710 - AW</v>
      </c>
      <c r="AM1007" s="121" t="str">
        <f t="shared" si="179"/>
        <v>710 - AW</v>
      </c>
      <c r="AO1007" s="121" t="str">
        <f>IF('Cable Info'!N711="","",CONCATENATE('Cable Info'!N711," - ",'Cable Info'!O711))</f>
        <v>710 - AW</v>
      </c>
      <c r="AR1007" s="121" t="str">
        <f t="shared" si="180"/>
        <v>710 - AW</v>
      </c>
      <c r="AT1007" s="121" t="e">
        <f>IF('Cable Info'!P711="","",CONCATENATE('Cable Info'!P711," - ",'Cable Info'!Q711))</f>
        <v>#N/A</v>
      </c>
      <c r="AW1007" s="121" t="e">
        <f t="shared" si="181"/>
        <v>#N/A</v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str">
        <f>IF('Cable Info'!L712="","",CONCATENATE('Cable Info'!L712," - ",'Cable Info'!M712))</f>
        <v>711 - AW</v>
      </c>
      <c r="AM1008" s="121" t="str">
        <f t="shared" si="179"/>
        <v>711 - AW</v>
      </c>
      <c r="AO1008" s="121" t="str">
        <f>IF('Cable Info'!N712="","",CONCATENATE('Cable Info'!N712," - ",'Cable Info'!O712))</f>
        <v>711 - AW</v>
      </c>
      <c r="AR1008" s="121" t="str">
        <f t="shared" si="180"/>
        <v>711 - AW</v>
      </c>
      <c r="AT1008" s="121" t="e">
        <f>IF('Cable Info'!P712="","",CONCATENATE('Cable Info'!P712," - ",'Cable Info'!Q712))</f>
        <v>#N/A</v>
      </c>
      <c r="AW1008" s="121" t="e">
        <f t="shared" si="181"/>
        <v>#N/A</v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str">
        <f>IF('Cable Info'!L713="","",CONCATENATE('Cable Info'!L713," - ",'Cable Info'!M713))</f>
        <v>712 - AW</v>
      </c>
      <c r="AM1009" s="121" t="str">
        <f t="shared" si="179"/>
        <v>712 - AW</v>
      </c>
      <c r="AO1009" s="121" t="str">
        <f>IF('Cable Info'!N713="","",CONCATENATE('Cable Info'!N713," - ",'Cable Info'!O713))</f>
        <v>712 - AW</v>
      </c>
      <c r="AR1009" s="121" t="str">
        <f t="shared" si="180"/>
        <v>712 - AW</v>
      </c>
      <c r="AT1009" s="121" t="e">
        <f>IF('Cable Info'!P713="","",CONCATENATE('Cable Info'!P713," - ",'Cable Info'!Q713))</f>
        <v>#N/A</v>
      </c>
      <c r="AW1009" s="121" t="e">
        <f t="shared" si="181"/>
        <v>#N/A</v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str">
        <f>IF('Cable Info'!L714="","",CONCATENATE('Cable Info'!L714," - ",'Cable Info'!M714))</f>
        <v>713 - AW</v>
      </c>
      <c r="AM1010" s="121" t="str">
        <f t="shared" si="179"/>
        <v>713 - AW</v>
      </c>
      <c r="AO1010" s="121" t="str">
        <f>IF('Cable Info'!N714="","",CONCATENATE('Cable Info'!N714," - ",'Cable Info'!O714))</f>
        <v>713 - AW</v>
      </c>
      <c r="AR1010" s="121" t="str">
        <f t="shared" si="180"/>
        <v>713 - AW</v>
      </c>
      <c r="AT1010" s="121" t="e">
        <f>IF('Cable Info'!P714="","",CONCATENATE('Cable Info'!P714," - ",'Cable Info'!Q714))</f>
        <v>#N/A</v>
      </c>
      <c r="AW1010" s="121" t="e">
        <f t="shared" si="181"/>
        <v>#N/A</v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str">
        <f>IF('Cable Info'!L715="","",CONCATENATE('Cable Info'!L715," - ",'Cable Info'!M715))</f>
        <v>714 - AW</v>
      </c>
      <c r="AM1011" s="121" t="str">
        <f t="shared" si="179"/>
        <v>714 - AW</v>
      </c>
      <c r="AO1011" s="121" t="str">
        <f>IF('Cable Info'!N715="","",CONCATENATE('Cable Info'!N715," - ",'Cable Info'!O715))</f>
        <v>714 - AW</v>
      </c>
      <c r="AR1011" s="121" t="str">
        <f t="shared" si="180"/>
        <v>714 - AW</v>
      </c>
      <c r="AT1011" s="121" t="e">
        <f>IF('Cable Info'!P715="","",CONCATENATE('Cable Info'!P715," - ",'Cable Info'!Q715))</f>
        <v>#N/A</v>
      </c>
      <c r="AW1011" s="121" t="e">
        <f t="shared" si="181"/>
        <v>#N/A</v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str">
        <f>IF('Cable Info'!L716="","",CONCATENATE('Cable Info'!L716," - ",'Cable Info'!M716))</f>
        <v>715 - AW</v>
      </c>
      <c r="AM1012" s="121" t="str">
        <f t="shared" si="179"/>
        <v>715 - AW</v>
      </c>
      <c r="AO1012" s="121" t="str">
        <f>IF('Cable Info'!N716="","",CONCATENATE('Cable Info'!N716," - ",'Cable Info'!O716))</f>
        <v>715 - AW</v>
      </c>
      <c r="AR1012" s="121" t="str">
        <f t="shared" si="180"/>
        <v>715 - AW</v>
      </c>
      <c r="AT1012" s="121" t="e">
        <f>IF('Cable Info'!P716="","",CONCATENATE('Cable Info'!P716," - ",'Cable Info'!Q716))</f>
        <v>#N/A</v>
      </c>
      <c r="AW1012" s="121" t="e">
        <f t="shared" si="181"/>
        <v>#N/A</v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str">
        <f>IF('Cable Info'!L717="","",CONCATENATE('Cable Info'!L717," - ",'Cable Info'!M717))</f>
        <v>716 - AW</v>
      </c>
      <c r="AM1013" s="121" t="str">
        <f t="shared" si="179"/>
        <v>716 - AW</v>
      </c>
      <c r="AO1013" s="121" t="str">
        <f>IF('Cable Info'!N717="","",CONCATENATE('Cable Info'!N717," - ",'Cable Info'!O717))</f>
        <v>716 - AW</v>
      </c>
      <c r="AR1013" s="121" t="str">
        <f t="shared" si="180"/>
        <v>716 - AW</v>
      </c>
      <c r="AT1013" s="121" t="e">
        <f>IF('Cable Info'!P717="","",CONCATENATE('Cable Info'!P717," - ",'Cable Info'!Q717))</f>
        <v>#N/A</v>
      </c>
      <c r="AW1013" s="121" t="e">
        <f t="shared" si="181"/>
        <v>#N/A</v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str">
        <f>IF('Cable Info'!L718="","",CONCATENATE('Cable Info'!L718," - ",'Cable Info'!M718))</f>
        <v>717 - AW</v>
      </c>
      <c r="AM1014" s="121" t="str">
        <f t="shared" si="179"/>
        <v>717 - AW</v>
      </c>
      <c r="AO1014" s="121" t="str">
        <f>IF('Cable Info'!N718="","",CONCATENATE('Cable Info'!N718," - ",'Cable Info'!O718))</f>
        <v>717 - AW</v>
      </c>
      <c r="AR1014" s="121" t="str">
        <f t="shared" si="180"/>
        <v>717 - AW</v>
      </c>
      <c r="AT1014" s="121" t="e">
        <f>IF('Cable Info'!P718="","",CONCATENATE('Cable Info'!P718," - ",'Cable Info'!Q718))</f>
        <v>#N/A</v>
      </c>
      <c r="AW1014" s="121" t="e">
        <f t="shared" si="181"/>
        <v>#N/A</v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str">
        <f>IF('Cable Info'!L719="","",CONCATENATE('Cable Info'!L719," - ",'Cable Info'!M719))</f>
        <v>718 - AW</v>
      </c>
      <c r="AM1015" s="121" t="str">
        <f t="shared" si="179"/>
        <v>718 - AW</v>
      </c>
      <c r="AO1015" s="121" t="str">
        <f>IF('Cable Info'!N719="","",CONCATENATE('Cable Info'!N719," - ",'Cable Info'!O719))</f>
        <v>718 - AW</v>
      </c>
      <c r="AR1015" s="121" t="str">
        <f t="shared" si="180"/>
        <v>718 - AW</v>
      </c>
      <c r="AT1015" s="121" t="e">
        <f>IF('Cable Info'!P719="","",CONCATENATE('Cable Info'!P719," - ",'Cable Info'!Q719))</f>
        <v>#N/A</v>
      </c>
      <c r="AW1015" s="121" t="e">
        <f t="shared" si="181"/>
        <v>#N/A</v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str">
        <f>IF('Cable Info'!L720="","",CONCATENATE('Cable Info'!L720," - ",'Cable Info'!M720))</f>
        <v>719 - AW</v>
      </c>
      <c r="AM1016" s="121" t="str">
        <f t="shared" si="179"/>
        <v>719 - AW</v>
      </c>
      <c r="AO1016" s="121" t="str">
        <f>IF('Cable Info'!N720="","",CONCATENATE('Cable Info'!N720," - ",'Cable Info'!O720))</f>
        <v>719 - AW</v>
      </c>
      <c r="AR1016" s="121" t="str">
        <f t="shared" si="180"/>
        <v>719 - AW</v>
      </c>
      <c r="AT1016" s="121" t="e">
        <f>IF('Cable Info'!P720="","",CONCATENATE('Cable Info'!P720," - ",'Cable Info'!Q720))</f>
        <v>#N/A</v>
      </c>
      <c r="AW1016" s="121" t="e">
        <f t="shared" si="181"/>
        <v>#N/A</v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str">
        <f>IF('Cable Info'!L721="","",CONCATENATE('Cable Info'!L721," - ",'Cable Info'!M721))</f>
        <v>720 - AW</v>
      </c>
      <c r="AM1017" s="121" t="str">
        <f t="shared" si="179"/>
        <v>720 - AW</v>
      </c>
      <c r="AO1017" s="121" t="str">
        <f>IF('Cable Info'!N721="","",CONCATENATE('Cable Info'!N721," - ",'Cable Info'!O721))</f>
        <v>720 - AW</v>
      </c>
      <c r="AR1017" s="121" t="str">
        <f t="shared" si="180"/>
        <v>720 - AW</v>
      </c>
      <c r="AT1017" s="121" t="e">
        <f>IF('Cable Info'!P721="","",CONCATENATE('Cable Info'!P721," - ",'Cable Info'!Q721))</f>
        <v>#N/A</v>
      </c>
      <c r="AW1017" s="121" t="e">
        <f t="shared" si="181"/>
        <v>#N/A</v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str">
        <f>IF('Cable Info'!L722="","",CONCATENATE('Cable Info'!L722," - ",'Cable Info'!M722))</f>
        <v>721 - AW</v>
      </c>
      <c r="AM1018" s="121" t="str">
        <f t="shared" si="179"/>
        <v>721 - AW</v>
      </c>
      <c r="AO1018" s="121" t="str">
        <f>IF('Cable Info'!N722="","",CONCATENATE('Cable Info'!N722," - ",'Cable Info'!O722))</f>
        <v>721 - AW</v>
      </c>
      <c r="AR1018" s="121" t="str">
        <f t="shared" si="180"/>
        <v>721 - AW</v>
      </c>
      <c r="AT1018" s="121" t="e">
        <f>IF('Cable Info'!P722="","",CONCATENATE('Cable Info'!P722," - ",'Cable Info'!Q722))</f>
        <v>#N/A</v>
      </c>
      <c r="AW1018" s="121" t="e">
        <f t="shared" si="181"/>
        <v>#N/A</v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str">
        <f>IF('Cable Info'!L723="","",CONCATENATE('Cable Info'!L723," - ",'Cable Info'!M723))</f>
        <v>722 - AW</v>
      </c>
      <c r="AM1019" s="121" t="str">
        <f t="shared" si="179"/>
        <v>722 - AW</v>
      </c>
      <c r="AO1019" s="121" t="str">
        <f>IF('Cable Info'!N723="","",CONCATENATE('Cable Info'!N723," - ",'Cable Info'!O723))</f>
        <v>722 - AW</v>
      </c>
      <c r="AR1019" s="121" t="str">
        <f t="shared" si="180"/>
        <v>722 - AW</v>
      </c>
      <c r="AT1019" s="121" t="e">
        <f>IF('Cable Info'!P723="","",CONCATENATE('Cable Info'!P723," - ",'Cable Info'!Q723))</f>
        <v>#N/A</v>
      </c>
      <c r="AW1019" s="121" t="e">
        <f t="shared" si="181"/>
        <v>#N/A</v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str">
        <f>IF('Cable Info'!L724="","",CONCATENATE('Cable Info'!L724," - ",'Cable Info'!M724))</f>
        <v>723 - AW</v>
      </c>
      <c r="AM1020" s="121" t="str">
        <f t="shared" si="179"/>
        <v>723 - AW</v>
      </c>
      <c r="AO1020" s="121" t="str">
        <f>IF('Cable Info'!N724="","",CONCATENATE('Cable Info'!N724," - ",'Cable Info'!O724))</f>
        <v>723 - AW</v>
      </c>
      <c r="AR1020" s="121" t="str">
        <f t="shared" si="180"/>
        <v>723 - AW</v>
      </c>
      <c r="AT1020" s="121" t="e">
        <f>IF('Cable Info'!P724="","",CONCATENATE('Cable Info'!P724," - ",'Cable Info'!Q724))</f>
        <v>#N/A</v>
      </c>
      <c r="AW1020" s="121" t="e">
        <f t="shared" si="181"/>
        <v>#N/A</v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str">
        <f>IF('Cable Info'!L725="","",CONCATENATE('Cable Info'!L725," - ",'Cable Info'!M725))</f>
        <v>724 - AW</v>
      </c>
      <c r="AM1021" s="121" t="str">
        <f t="shared" si="179"/>
        <v>724 - AW</v>
      </c>
      <c r="AO1021" s="121" t="str">
        <f>IF('Cable Info'!N725="","",CONCATENATE('Cable Info'!N725," - ",'Cable Info'!O725))</f>
        <v>724 - AW</v>
      </c>
      <c r="AR1021" s="121" t="str">
        <f t="shared" si="180"/>
        <v>724 - AW</v>
      </c>
      <c r="AT1021" s="121" t="e">
        <f>IF('Cable Info'!P725="","",CONCATENATE('Cable Info'!P725," - ",'Cable Info'!Q725))</f>
        <v>#N/A</v>
      </c>
      <c r="AW1021" s="121" t="e">
        <f t="shared" si="181"/>
        <v>#N/A</v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str">
        <f>IF('Cable Info'!L726="","",CONCATENATE('Cable Info'!L726," - ",'Cable Info'!M726))</f>
        <v>725 - AW</v>
      </c>
      <c r="AM1022" s="121" t="str">
        <f t="shared" si="179"/>
        <v>725 - AW</v>
      </c>
      <c r="AO1022" s="121" t="str">
        <f>IF('Cable Info'!N726="","",CONCATENATE('Cable Info'!N726," - ",'Cable Info'!O726))</f>
        <v>725 - AW</v>
      </c>
      <c r="AR1022" s="121" t="str">
        <f t="shared" si="180"/>
        <v>725 - AW</v>
      </c>
      <c r="AT1022" s="121" t="e">
        <f>IF('Cable Info'!P726="","",CONCATENATE('Cable Info'!P726," - ",'Cable Info'!Q726))</f>
        <v>#N/A</v>
      </c>
      <c r="AW1022" s="121" t="e">
        <f t="shared" si="181"/>
        <v>#N/A</v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str">
        <f>IF('Cable Info'!L727="","",CONCATENATE('Cable Info'!L727," - ",'Cable Info'!M727))</f>
        <v>726 - AW</v>
      </c>
      <c r="AM1023" s="121" t="str">
        <f t="shared" si="179"/>
        <v>726 - AW</v>
      </c>
      <c r="AO1023" s="121" t="str">
        <f>IF('Cable Info'!N727="","",CONCATENATE('Cable Info'!N727," - ",'Cable Info'!O727))</f>
        <v>726 - AW</v>
      </c>
      <c r="AR1023" s="121" t="str">
        <f t="shared" si="180"/>
        <v>726 - AW</v>
      </c>
      <c r="AT1023" s="121" t="e">
        <f>IF('Cable Info'!P727="","",CONCATENATE('Cable Info'!P727," - ",'Cable Info'!Q727))</f>
        <v>#N/A</v>
      </c>
      <c r="AW1023" s="121" t="e">
        <f t="shared" si="181"/>
        <v>#N/A</v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str">
        <f>IF('Cable Info'!L728="","",CONCATENATE('Cable Info'!L728," - ",'Cable Info'!M728))</f>
        <v>727 - AW</v>
      </c>
      <c r="AM1024" s="121" t="str">
        <f t="shared" si="179"/>
        <v>727 - AW</v>
      </c>
      <c r="AO1024" s="121" t="str">
        <f>IF('Cable Info'!N728="","",CONCATENATE('Cable Info'!N728," - ",'Cable Info'!O728))</f>
        <v>727 - AW</v>
      </c>
      <c r="AR1024" s="121" t="str">
        <f t="shared" si="180"/>
        <v>727 - AW</v>
      </c>
      <c r="AT1024" s="121" t="e">
        <f>IF('Cable Info'!P728="","",CONCATENATE('Cable Info'!P728," - ",'Cable Info'!Q728))</f>
        <v>#N/A</v>
      </c>
      <c r="AW1024" s="121" t="e">
        <f t="shared" si="181"/>
        <v>#N/A</v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str">
        <f>IF('Cable Info'!L729="","",CONCATENATE('Cable Info'!L729," - ",'Cable Info'!M729))</f>
        <v>728 - AW</v>
      </c>
      <c r="AM1025" s="121" t="str">
        <f t="shared" si="179"/>
        <v>728 - AW</v>
      </c>
      <c r="AO1025" s="121" t="str">
        <f>IF('Cable Info'!N729="","",CONCATENATE('Cable Info'!N729," - ",'Cable Info'!O729))</f>
        <v>728 - AW</v>
      </c>
      <c r="AR1025" s="121" t="str">
        <f t="shared" si="180"/>
        <v>728 - AW</v>
      </c>
      <c r="AT1025" s="121" t="e">
        <f>IF('Cable Info'!P729="","",CONCATENATE('Cable Info'!P729," - ",'Cable Info'!Q729))</f>
        <v>#N/A</v>
      </c>
      <c r="AW1025" s="121" t="e">
        <f t="shared" si="181"/>
        <v>#N/A</v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str">
        <f>IF('Cable Info'!L730="","",CONCATENATE('Cable Info'!L730," - ",'Cable Info'!M730))</f>
        <v>729 - AW</v>
      </c>
      <c r="AM1026" s="121" t="str">
        <f t="shared" si="179"/>
        <v>729 - AW</v>
      </c>
      <c r="AO1026" s="121" t="str">
        <f>IF('Cable Info'!N730="","",CONCATENATE('Cable Info'!N730," - ",'Cable Info'!O730))</f>
        <v>729 - AW</v>
      </c>
      <c r="AR1026" s="121" t="str">
        <f t="shared" si="180"/>
        <v>729 - AW</v>
      </c>
      <c r="AT1026" s="121" t="e">
        <f>IF('Cable Info'!P730="","",CONCATENATE('Cable Info'!P730," - ",'Cable Info'!Q730))</f>
        <v>#N/A</v>
      </c>
      <c r="AW1026" s="121" t="e">
        <f t="shared" si="181"/>
        <v>#N/A</v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str">
        <f>IF('Cable Info'!L731="","",CONCATENATE('Cable Info'!L731," - ",'Cable Info'!M731))</f>
        <v>730 - AW</v>
      </c>
      <c r="AM1027" s="121" t="str">
        <f t="shared" si="179"/>
        <v>730 - AW</v>
      </c>
      <c r="AO1027" s="121" t="str">
        <f>IF('Cable Info'!N731="","",CONCATENATE('Cable Info'!N731," - ",'Cable Info'!O731))</f>
        <v>730 - AW</v>
      </c>
      <c r="AR1027" s="121" t="str">
        <f t="shared" si="180"/>
        <v>730 - AW</v>
      </c>
      <c r="AT1027" s="121" t="e">
        <f>IF('Cable Info'!P731="","",CONCATENATE('Cable Info'!P731," - ",'Cable Info'!Q731))</f>
        <v>#N/A</v>
      </c>
      <c r="AW1027" s="121" t="e">
        <f t="shared" si="181"/>
        <v>#N/A</v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str">
        <f>IF('Cable Info'!L732="","",CONCATENATE('Cable Info'!L732," - ",'Cable Info'!M732))</f>
        <v>731 - AW</v>
      </c>
      <c r="AM1028" s="121" t="str">
        <f t="shared" si="179"/>
        <v>731 - AW</v>
      </c>
      <c r="AO1028" s="121" t="str">
        <f>IF('Cable Info'!N732="","",CONCATENATE('Cable Info'!N732," - ",'Cable Info'!O732))</f>
        <v>731 - AW</v>
      </c>
      <c r="AR1028" s="121" t="str">
        <f t="shared" si="180"/>
        <v>731 - AW</v>
      </c>
      <c r="AT1028" s="121" t="e">
        <f>IF('Cable Info'!P732="","",CONCATENATE('Cable Info'!P732," - ",'Cable Info'!Q732))</f>
        <v>#N/A</v>
      </c>
      <c r="AW1028" s="121" t="e">
        <f t="shared" si="181"/>
        <v>#N/A</v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str">
        <f>IF('Cable Info'!L733="","",CONCATENATE('Cable Info'!L733," - ",'Cable Info'!M733))</f>
        <v>732 - AW</v>
      </c>
      <c r="AM1029" s="121" t="str">
        <f t="shared" si="179"/>
        <v>732 - AW</v>
      </c>
      <c r="AO1029" s="121" t="str">
        <f>IF('Cable Info'!N733="","",CONCATENATE('Cable Info'!N733," - ",'Cable Info'!O733))</f>
        <v>732 - AW</v>
      </c>
      <c r="AR1029" s="121" t="str">
        <f t="shared" si="180"/>
        <v>732 - AW</v>
      </c>
      <c r="AT1029" s="121" t="e">
        <f>IF('Cable Info'!P733="","",CONCATENATE('Cable Info'!P733," - ",'Cable Info'!Q733))</f>
        <v>#N/A</v>
      </c>
      <c r="AW1029" s="121" t="e">
        <f t="shared" si="181"/>
        <v>#N/A</v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str">
        <f>IF('Cable Info'!L734="","",CONCATENATE('Cable Info'!L734," - ",'Cable Info'!M734))</f>
        <v>733 - AW</v>
      </c>
      <c r="AM1030" s="121" t="str">
        <f t="shared" si="179"/>
        <v>733 - AW</v>
      </c>
      <c r="AO1030" s="121" t="str">
        <f>IF('Cable Info'!N734="","",CONCATENATE('Cable Info'!N734," - ",'Cable Info'!O734))</f>
        <v>733 - AW</v>
      </c>
      <c r="AR1030" s="121" t="str">
        <f t="shared" si="180"/>
        <v>733 - AW</v>
      </c>
      <c r="AT1030" s="121" t="e">
        <f>IF('Cable Info'!P734="","",CONCATENATE('Cable Info'!P734," - ",'Cable Info'!Q734))</f>
        <v>#N/A</v>
      </c>
      <c r="AW1030" s="121" t="e">
        <f t="shared" si="181"/>
        <v>#N/A</v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str">
        <f>IF('Cable Info'!L735="","",CONCATENATE('Cable Info'!L735," - ",'Cable Info'!M735))</f>
        <v>734 - AW</v>
      </c>
      <c r="AM1031" s="121" t="str">
        <f t="shared" si="179"/>
        <v>734 - AW</v>
      </c>
      <c r="AO1031" s="121" t="str">
        <f>IF('Cable Info'!N735="","",CONCATENATE('Cable Info'!N735," - ",'Cable Info'!O735))</f>
        <v>734 - AW</v>
      </c>
      <c r="AR1031" s="121" t="str">
        <f t="shared" si="180"/>
        <v>734 - AW</v>
      </c>
      <c r="AT1031" s="121" t="e">
        <f>IF('Cable Info'!P735="","",CONCATENATE('Cable Info'!P735," - ",'Cable Info'!Q735))</f>
        <v>#N/A</v>
      </c>
      <c r="AW1031" s="121" t="e">
        <f t="shared" si="181"/>
        <v>#N/A</v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str">
        <f>IF('Cable Info'!L736="","",CONCATENATE('Cable Info'!L736," - ",'Cable Info'!M736))</f>
        <v>735 - AW</v>
      </c>
      <c r="AM1032" s="121" t="str">
        <f t="shared" si="179"/>
        <v>735 - AW</v>
      </c>
      <c r="AO1032" s="121" t="str">
        <f>IF('Cable Info'!N736="","",CONCATENATE('Cable Info'!N736," - ",'Cable Info'!O736))</f>
        <v>735 - AW</v>
      </c>
      <c r="AR1032" s="121" t="str">
        <f t="shared" si="180"/>
        <v>735 - AW</v>
      </c>
      <c r="AT1032" s="121" t="e">
        <f>IF('Cable Info'!P736="","",CONCATENATE('Cable Info'!P736," - ",'Cable Info'!Q736))</f>
        <v>#N/A</v>
      </c>
      <c r="AW1032" s="121" t="e">
        <f t="shared" si="181"/>
        <v>#N/A</v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str">
        <f>IF('Cable Info'!L737="","",CONCATENATE('Cable Info'!L737," - ",'Cable Info'!M737))</f>
        <v>736 - AW</v>
      </c>
      <c r="AM1033" s="121" t="str">
        <f t="shared" si="179"/>
        <v>736 - AW</v>
      </c>
      <c r="AO1033" s="121" t="str">
        <f>IF('Cable Info'!N737="","",CONCATENATE('Cable Info'!N737," - ",'Cable Info'!O737))</f>
        <v>736 - AW</v>
      </c>
      <c r="AR1033" s="121" t="str">
        <f t="shared" si="180"/>
        <v>736 - AW</v>
      </c>
      <c r="AT1033" s="121" t="e">
        <f>IF('Cable Info'!P737="","",CONCATENATE('Cable Info'!P737," - ",'Cable Info'!Q737))</f>
        <v>#N/A</v>
      </c>
      <c r="AW1033" s="121" t="e">
        <f t="shared" si="181"/>
        <v>#N/A</v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str">
        <f>IF('Cable Info'!L738="","",CONCATENATE('Cable Info'!L738," - ",'Cable Info'!M738))</f>
        <v>737 - AW</v>
      </c>
      <c r="AM1034" s="121" t="str">
        <f t="shared" si="179"/>
        <v>737 - AW</v>
      </c>
      <c r="AO1034" s="121" t="str">
        <f>IF('Cable Info'!N738="","",CONCATENATE('Cable Info'!N738," - ",'Cable Info'!O738))</f>
        <v>737 - AW</v>
      </c>
      <c r="AR1034" s="121" t="str">
        <f t="shared" si="180"/>
        <v>737 - AW</v>
      </c>
      <c r="AT1034" s="121" t="e">
        <f>IF('Cable Info'!P738="","",CONCATENATE('Cable Info'!P738," - ",'Cable Info'!Q738))</f>
        <v>#N/A</v>
      </c>
      <c r="AW1034" s="121" t="e">
        <f t="shared" si="181"/>
        <v>#N/A</v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str">
        <f>IF('Cable Info'!L739="","",CONCATENATE('Cable Info'!L739," - ",'Cable Info'!M739))</f>
        <v>738 - AW</v>
      </c>
      <c r="AM1035" s="121" t="str">
        <f t="shared" si="179"/>
        <v>738 - AW</v>
      </c>
      <c r="AO1035" s="121" t="str">
        <f>IF('Cable Info'!N739="","",CONCATENATE('Cable Info'!N739," - ",'Cable Info'!O739))</f>
        <v>738 - AW</v>
      </c>
      <c r="AR1035" s="121" t="str">
        <f t="shared" si="180"/>
        <v>738 - AW</v>
      </c>
      <c r="AT1035" s="121" t="e">
        <f>IF('Cable Info'!P739="","",CONCATENATE('Cable Info'!P739," - ",'Cable Info'!Q739))</f>
        <v>#N/A</v>
      </c>
      <c r="AW1035" s="121" t="e">
        <f t="shared" si="181"/>
        <v>#N/A</v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str">
        <f>IF('Cable Info'!L740="","",CONCATENATE('Cable Info'!L740," - ",'Cable Info'!M740))</f>
        <v>739 - AW</v>
      </c>
      <c r="AM1036" s="121" t="str">
        <f t="shared" si="179"/>
        <v>739 - AW</v>
      </c>
      <c r="AO1036" s="121" t="str">
        <f>IF('Cable Info'!N740="","",CONCATENATE('Cable Info'!N740," - ",'Cable Info'!O740))</f>
        <v>739 - AW</v>
      </c>
      <c r="AR1036" s="121" t="str">
        <f t="shared" si="180"/>
        <v>739 - AW</v>
      </c>
      <c r="AT1036" s="121" t="e">
        <f>IF('Cable Info'!P740="","",CONCATENATE('Cable Info'!P740," - ",'Cable Info'!Q740))</f>
        <v>#N/A</v>
      </c>
      <c r="AW1036" s="121" t="e">
        <f t="shared" si="181"/>
        <v>#N/A</v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str">
        <f>IF('Cable Info'!L741="","",CONCATENATE('Cable Info'!L741," - ",'Cable Info'!M741))</f>
        <v>740 - AW</v>
      </c>
      <c r="AM1037" s="121" t="str">
        <f t="shared" si="179"/>
        <v>740 - AW</v>
      </c>
      <c r="AO1037" s="121" t="str">
        <f>IF('Cable Info'!N741="","",CONCATENATE('Cable Info'!N741," - ",'Cable Info'!O741))</f>
        <v>740 - AW</v>
      </c>
      <c r="AR1037" s="121" t="str">
        <f t="shared" si="180"/>
        <v>740 - AW</v>
      </c>
      <c r="AT1037" s="121" t="e">
        <f>IF('Cable Info'!P741="","",CONCATENATE('Cable Info'!P741," - ",'Cable Info'!Q741))</f>
        <v>#N/A</v>
      </c>
      <c r="AW1037" s="121" t="e">
        <f t="shared" si="181"/>
        <v>#N/A</v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str">
        <f>IF('Cable Info'!L742="","",CONCATENATE('Cable Info'!L742," - ",'Cable Info'!M742))</f>
        <v>741 - AW</v>
      </c>
      <c r="AM1038" s="121" t="str">
        <f t="shared" si="179"/>
        <v>741 - AW</v>
      </c>
      <c r="AO1038" s="121" t="str">
        <f>IF('Cable Info'!N742="","",CONCATENATE('Cable Info'!N742," - ",'Cable Info'!O742))</f>
        <v>741 - AW</v>
      </c>
      <c r="AR1038" s="121" t="str">
        <f t="shared" si="180"/>
        <v>741 - AW</v>
      </c>
      <c r="AT1038" s="121" t="e">
        <f>IF('Cable Info'!P742="","",CONCATENATE('Cable Info'!P742," - ",'Cable Info'!Q742))</f>
        <v>#N/A</v>
      </c>
      <c r="AW1038" s="121" t="e">
        <f t="shared" si="181"/>
        <v>#N/A</v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str">
        <f>IF('Cable Info'!L743="","",CONCATENATE('Cable Info'!L743," - ",'Cable Info'!M743))</f>
        <v>742 - AW</v>
      </c>
      <c r="AM1039" s="121" t="str">
        <f t="shared" si="179"/>
        <v>742 - AW</v>
      </c>
      <c r="AO1039" s="121" t="str">
        <f>IF('Cable Info'!N743="","",CONCATENATE('Cable Info'!N743," - ",'Cable Info'!O743))</f>
        <v>742 - AW</v>
      </c>
      <c r="AR1039" s="121" t="str">
        <f t="shared" si="180"/>
        <v>742 - AW</v>
      </c>
      <c r="AT1039" s="121" t="e">
        <f>IF('Cable Info'!P743="","",CONCATENATE('Cable Info'!P743," - ",'Cable Info'!Q743))</f>
        <v>#N/A</v>
      </c>
      <c r="AW1039" s="121" t="e">
        <f t="shared" si="181"/>
        <v>#N/A</v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str">
        <f>IF('Cable Info'!L744="","",CONCATENATE('Cable Info'!L744," - ",'Cable Info'!M744))</f>
        <v>743 - AW</v>
      </c>
      <c r="AM1040" s="121" t="str">
        <f t="shared" si="179"/>
        <v>743 - AW</v>
      </c>
      <c r="AO1040" s="121" t="str">
        <f>IF('Cable Info'!N744="","",CONCATENATE('Cable Info'!N744," - ",'Cable Info'!O744))</f>
        <v>743 - AW</v>
      </c>
      <c r="AR1040" s="121" t="str">
        <f t="shared" si="180"/>
        <v>743 - AW</v>
      </c>
      <c r="AT1040" s="121" t="e">
        <f>IF('Cable Info'!P744="","",CONCATENATE('Cable Info'!P744," - ",'Cable Info'!Q744))</f>
        <v>#N/A</v>
      </c>
      <c r="AW1040" s="121" t="e">
        <f t="shared" si="181"/>
        <v>#N/A</v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str">
        <f>IF('Cable Info'!L745="","",CONCATENATE('Cable Info'!L745," - ",'Cable Info'!M745))</f>
        <v>744 - AW</v>
      </c>
      <c r="AM1041" s="121" t="str">
        <f t="shared" si="179"/>
        <v>744 - AW</v>
      </c>
      <c r="AO1041" s="121" t="str">
        <f>IF('Cable Info'!N745="","",CONCATENATE('Cable Info'!N745," - ",'Cable Info'!O745))</f>
        <v>744 - AW</v>
      </c>
      <c r="AR1041" s="121" t="str">
        <f t="shared" si="180"/>
        <v>744 - AW</v>
      </c>
      <c r="AT1041" s="121" t="e">
        <f>IF('Cable Info'!P745="","",CONCATENATE('Cable Info'!P745," - ",'Cable Info'!Q745))</f>
        <v>#N/A</v>
      </c>
      <c r="AW1041" s="121" t="e">
        <f t="shared" si="181"/>
        <v>#N/A</v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str">
        <f>IF('Cable Info'!L746="","",CONCATENATE('Cable Info'!L746," - ",'Cable Info'!M746))</f>
        <v>745 - AW</v>
      </c>
      <c r="AM1042" s="121" t="str">
        <f t="shared" si="179"/>
        <v>745 - AW</v>
      </c>
      <c r="AO1042" s="121" t="str">
        <f>IF('Cable Info'!N746="","",CONCATENATE('Cable Info'!N746," - ",'Cable Info'!O746))</f>
        <v>745 - AW</v>
      </c>
      <c r="AR1042" s="121" t="str">
        <f t="shared" si="180"/>
        <v>745 - AW</v>
      </c>
      <c r="AT1042" s="121" t="e">
        <f>IF('Cable Info'!P746="","",CONCATENATE('Cable Info'!P746," - ",'Cable Info'!Q746))</f>
        <v>#N/A</v>
      </c>
      <c r="AW1042" s="121" t="e">
        <f t="shared" si="181"/>
        <v>#N/A</v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str">
        <f>IF('Cable Info'!L747="","",CONCATENATE('Cable Info'!L747," - ",'Cable Info'!M747))</f>
        <v>746 - AW</v>
      </c>
      <c r="AM1043" s="121" t="str">
        <f t="shared" si="179"/>
        <v>746 - AW</v>
      </c>
      <c r="AO1043" s="121" t="str">
        <f>IF('Cable Info'!N747="","",CONCATENATE('Cable Info'!N747," - ",'Cable Info'!O747))</f>
        <v>746 - AW</v>
      </c>
      <c r="AR1043" s="121" t="str">
        <f t="shared" si="180"/>
        <v>746 - AW</v>
      </c>
      <c r="AT1043" s="121" t="e">
        <f>IF('Cable Info'!P747="","",CONCATENATE('Cable Info'!P747," - ",'Cable Info'!Q747))</f>
        <v>#N/A</v>
      </c>
      <c r="AW1043" s="121" t="e">
        <f t="shared" si="181"/>
        <v>#N/A</v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str">
        <f>IF('Cable Info'!L748="","",CONCATENATE('Cable Info'!L748," - ",'Cable Info'!M748))</f>
        <v>747 - AW</v>
      </c>
      <c r="AM1044" s="121" t="str">
        <f t="shared" si="179"/>
        <v>747 - AW</v>
      </c>
      <c r="AO1044" s="121" t="str">
        <f>IF('Cable Info'!N748="","",CONCATENATE('Cable Info'!N748," - ",'Cable Info'!O748))</f>
        <v>747 - AW</v>
      </c>
      <c r="AR1044" s="121" t="str">
        <f t="shared" si="180"/>
        <v>747 - AW</v>
      </c>
      <c r="AT1044" s="121" t="e">
        <f>IF('Cable Info'!P748="","",CONCATENATE('Cable Info'!P748," - ",'Cable Info'!Q748))</f>
        <v>#N/A</v>
      </c>
      <c r="AW1044" s="121" t="e">
        <f t="shared" si="181"/>
        <v>#N/A</v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str">
        <f>IF('Cable Info'!L749="","",CONCATENATE('Cable Info'!L749," - ",'Cable Info'!M749))</f>
        <v>748 - AW</v>
      </c>
      <c r="AM1045" s="121" t="str">
        <f t="shared" si="179"/>
        <v>748 - AW</v>
      </c>
      <c r="AO1045" s="121" t="str">
        <f>IF('Cable Info'!N749="","",CONCATENATE('Cable Info'!N749," - ",'Cable Info'!O749))</f>
        <v>748 - AW</v>
      </c>
      <c r="AR1045" s="121" t="str">
        <f t="shared" si="180"/>
        <v>748 - AW</v>
      </c>
      <c r="AT1045" s="121" t="e">
        <f>IF('Cable Info'!P749="","",CONCATENATE('Cable Info'!P749," - ",'Cable Info'!Q749))</f>
        <v>#N/A</v>
      </c>
      <c r="AW1045" s="121" t="e">
        <f t="shared" si="181"/>
        <v>#N/A</v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str">
        <f>IF('Cable Info'!L750="","",CONCATENATE('Cable Info'!L750," - ",'Cable Info'!M750))</f>
        <v>749 - AW</v>
      </c>
      <c r="AM1046" s="121" t="str">
        <f t="shared" si="179"/>
        <v>749 - AW</v>
      </c>
      <c r="AO1046" s="121" t="str">
        <f>IF('Cable Info'!N750="","",CONCATENATE('Cable Info'!N750," - ",'Cable Info'!O750))</f>
        <v>749 - AW</v>
      </c>
      <c r="AR1046" s="121" t="str">
        <f t="shared" si="180"/>
        <v>749 - AW</v>
      </c>
      <c r="AT1046" s="121" t="e">
        <f>IF('Cable Info'!P750="","",CONCATENATE('Cable Info'!P750," - ",'Cable Info'!Q750))</f>
        <v>#N/A</v>
      </c>
      <c r="AW1046" s="121" t="e">
        <f t="shared" si="181"/>
        <v>#N/A</v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str">
        <f>IF('Cable Info'!L751="","",CONCATENATE('Cable Info'!L751," - ",'Cable Info'!M751))</f>
        <v>750 - AW</v>
      </c>
      <c r="AM1047" s="121" t="str">
        <f t="shared" si="179"/>
        <v>750 - AW</v>
      </c>
      <c r="AO1047" s="121" t="str">
        <f>IF('Cable Info'!N751="","",CONCATENATE('Cable Info'!N751," - ",'Cable Info'!O751))</f>
        <v>750 - AW</v>
      </c>
      <c r="AR1047" s="121" t="str">
        <f t="shared" si="180"/>
        <v>750 - AW</v>
      </c>
      <c r="AT1047" s="121" t="e">
        <f>IF('Cable Info'!P751="","",CONCATENATE('Cable Info'!P751," - ",'Cable Info'!Q751))</f>
        <v>#N/A</v>
      </c>
      <c r="AW1047" s="121" t="e">
        <f t="shared" si="181"/>
        <v>#N/A</v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str">
        <f>IF('Cable Info'!L752="","",CONCATENATE('Cable Info'!L752," - ",'Cable Info'!M752))</f>
        <v>751 - AW</v>
      </c>
      <c r="AM1048" s="121" t="str">
        <f t="shared" si="179"/>
        <v>751 - AW</v>
      </c>
      <c r="AO1048" s="121" t="str">
        <f>IF('Cable Info'!N752="","",CONCATENATE('Cable Info'!N752," - ",'Cable Info'!O752))</f>
        <v>751 - AW</v>
      </c>
      <c r="AR1048" s="121" t="str">
        <f t="shared" si="180"/>
        <v>751 - AW</v>
      </c>
      <c r="AT1048" s="121" t="e">
        <f>IF('Cable Info'!P752="","",CONCATENATE('Cable Info'!P752," - ",'Cable Info'!Q752))</f>
        <v>#N/A</v>
      </c>
      <c r="AW1048" s="121" t="e">
        <f t="shared" si="181"/>
        <v>#N/A</v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str">
        <f>IF('Cable Info'!L753="","",CONCATENATE('Cable Info'!L753," - ",'Cable Info'!M753))</f>
        <v>752 - AW</v>
      </c>
      <c r="AM1049" s="121" t="str">
        <f t="shared" si="179"/>
        <v>752 - AW</v>
      </c>
      <c r="AO1049" s="121" t="str">
        <f>IF('Cable Info'!N753="","",CONCATENATE('Cable Info'!N753," - ",'Cable Info'!O753))</f>
        <v>752 - AW</v>
      </c>
      <c r="AR1049" s="121" t="str">
        <f t="shared" si="180"/>
        <v>752 - AW</v>
      </c>
      <c r="AT1049" s="121" t="e">
        <f>IF('Cable Info'!P753="","",CONCATENATE('Cable Info'!P753," - ",'Cable Info'!Q753))</f>
        <v>#N/A</v>
      </c>
      <c r="AW1049" s="121" t="e">
        <f t="shared" si="181"/>
        <v>#N/A</v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str">
        <f>IF('Cable Info'!L754="","",CONCATENATE('Cable Info'!L754," - ",'Cable Info'!M754))</f>
        <v>753 - AW</v>
      </c>
      <c r="AM1050" s="121" t="str">
        <f t="shared" si="179"/>
        <v>753 - AW</v>
      </c>
      <c r="AO1050" s="121" t="str">
        <f>IF('Cable Info'!N754="","",CONCATENATE('Cable Info'!N754," - ",'Cable Info'!O754))</f>
        <v>753 - AW</v>
      </c>
      <c r="AR1050" s="121" t="str">
        <f t="shared" si="180"/>
        <v>753 - AW</v>
      </c>
      <c r="AT1050" s="121" t="e">
        <f>IF('Cable Info'!P754="","",CONCATENATE('Cable Info'!P754," - ",'Cable Info'!Q754))</f>
        <v>#N/A</v>
      </c>
      <c r="AW1050" s="121" t="e">
        <f t="shared" si="181"/>
        <v>#N/A</v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str">
        <f>IF('Cable Info'!L755="","",CONCATENATE('Cable Info'!L755," - ",'Cable Info'!M755))</f>
        <v>754 - AW</v>
      </c>
      <c r="AM1051" s="121" t="str">
        <f t="shared" si="179"/>
        <v>754 - AW</v>
      </c>
      <c r="AO1051" s="121" t="str">
        <f>IF('Cable Info'!N755="","",CONCATENATE('Cable Info'!N755," - ",'Cable Info'!O755))</f>
        <v>754 - AW</v>
      </c>
      <c r="AR1051" s="121" t="str">
        <f t="shared" si="180"/>
        <v>754 - AW</v>
      </c>
      <c r="AT1051" s="121" t="e">
        <f>IF('Cable Info'!P755="","",CONCATENATE('Cable Info'!P755," - ",'Cable Info'!Q755))</f>
        <v>#N/A</v>
      </c>
      <c r="AW1051" s="121" t="e">
        <f t="shared" si="181"/>
        <v>#N/A</v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str">
        <f>IF('Cable Info'!L756="","",CONCATENATE('Cable Info'!L756," - ",'Cable Info'!M756))</f>
        <v>755 - AW</v>
      </c>
      <c r="AM1052" s="121" t="str">
        <f t="shared" si="179"/>
        <v>755 - AW</v>
      </c>
      <c r="AO1052" s="121" t="str">
        <f>IF('Cable Info'!N756="","",CONCATENATE('Cable Info'!N756," - ",'Cable Info'!O756))</f>
        <v>755 - AW</v>
      </c>
      <c r="AR1052" s="121" t="str">
        <f t="shared" si="180"/>
        <v>755 - AW</v>
      </c>
      <c r="AT1052" s="121" t="e">
        <f>IF('Cable Info'!P756="","",CONCATENATE('Cable Info'!P756," - ",'Cable Info'!Q756))</f>
        <v>#N/A</v>
      </c>
      <c r="AW1052" s="121" t="e">
        <f t="shared" si="181"/>
        <v>#N/A</v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str">
        <f>IF('Cable Info'!L757="","",CONCATENATE('Cable Info'!L757," - ",'Cable Info'!M757))</f>
        <v>756 - AW</v>
      </c>
      <c r="AM1053" s="121" t="str">
        <f t="shared" si="179"/>
        <v>756 - AW</v>
      </c>
      <c r="AO1053" s="121" t="str">
        <f>IF('Cable Info'!N757="","",CONCATENATE('Cable Info'!N757," - ",'Cable Info'!O757))</f>
        <v>756 - AW</v>
      </c>
      <c r="AR1053" s="121" t="str">
        <f t="shared" si="180"/>
        <v>756 - AW</v>
      </c>
      <c r="AT1053" s="121" t="e">
        <f>IF('Cable Info'!P757="","",CONCATENATE('Cable Info'!P757," - ",'Cable Info'!Q757))</f>
        <v>#N/A</v>
      </c>
      <c r="AW1053" s="121" t="e">
        <f t="shared" si="181"/>
        <v>#N/A</v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str">
        <f>IF('Cable Info'!L758="","",CONCATENATE('Cable Info'!L758," - ",'Cable Info'!M758))</f>
        <v>757 - AW</v>
      </c>
      <c r="AM1054" s="121" t="str">
        <f t="shared" si="179"/>
        <v>757 - AW</v>
      </c>
      <c r="AO1054" s="121" t="str">
        <f>IF('Cable Info'!N758="","",CONCATENATE('Cable Info'!N758," - ",'Cable Info'!O758))</f>
        <v>757 - AW</v>
      </c>
      <c r="AR1054" s="121" t="str">
        <f t="shared" si="180"/>
        <v>757 - AW</v>
      </c>
      <c r="AT1054" s="121" t="e">
        <f>IF('Cable Info'!P758="","",CONCATENATE('Cable Info'!P758," - ",'Cable Info'!Q758))</f>
        <v>#N/A</v>
      </c>
      <c r="AW1054" s="121" t="e">
        <f t="shared" si="181"/>
        <v>#N/A</v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str">
        <f>IF('Cable Info'!L759="","",CONCATENATE('Cable Info'!L759," - ",'Cable Info'!M759))</f>
        <v>758 - AW</v>
      </c>
      <c r="AM1055" s="121" t="str">
        <f t="shared" si="179"/>
        <v>758 - AW</v>
      </c>
      <c r="AO1055" s="121" t="str">
        <f>IF('Cable Info'!N759="","",CONCATENATE('Cable Info'!N759," - ",'Cable Info'!O759))</f>
        <v>758 - AW</v>
      </c>
      <c r="AR1055" s="121" t="str">
        <f t="shared" si="180"/>
        <v>758 - AW</v>
      </c>
      <c r="AT1055" s="121" t="e">
        <f>IF('Cable Info'!P759="","",CONCATENATE('Cable Info'!P759," - ",'Cable Info'!Q759))</f>
        <v>#N/A</v>
      </c>
      <c r="AW1055" s="121" t="e">
        <f t="shared" si="181"/>
        <v>#N/A</v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str">
        <f>IF('Cable Info'!L760="","",CONCATENATE('Cable Info'!L760," - ",'Cable Info'!M760))</f>
        <v>759 - AW</v>
      </c>
      <c r="AM1056" s="121" t="str">
        <f t="shared" si="179"/>
        <v>759 - AW</v>
      </c>
      <c r="AO1056" s="121" t="str">
        <f>IF('Cable Info'!N760="","",CONCATENATE('Cable Info'!N760," - ",'Cable Info'!O760))</f>
        <v>759 - AW</v>
      </c>
      <c r="AR1056" s="121" t="str">
        <f t="shared" si="180"/>
        <v>759 - AW</v>
      </c>
      <c r="AT1056" s="121" t="e">
        <f>IF('Cable Info'!P760="","",CONCATENATE('Cable Info'!P760," - ",'Cable Info'!Q760))</f>
        <v>#N/A</v>
      </c>
      <c r="AW1056" s="121" t="e">
        <f t="shared" si="181"/>
        <v>#N/A</v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str">
        <f>IF('Cable Info'!L761="","",CONCATENATE('Cable Info'!L761," - ",'Cable Info'!M761))</f>
        <v>760 - AW</v>
      </c>
      <c r="AM1057" s="121" t="str">
        <f t="shared" si="179"/>
        <v>760 - AW</v>
      </c>
      <c r="AO1057" s="121" t="str">
        <f>IF('Cable Info'!N761="","",CONCATENATE('Cable Info'!N761," - ",'Cable Info'!O761))</f>
        <v>760 - AW</v>
      </c>
      <c r="AR1057" s="121" t="str">
        <f t="shared" si="180"/>
        <v>760 - AW</v>
      </c>
      <c r="AT1057" s="121" t="e">
        <f>IF('Cable Info'!P761="","",CONCATENATE('Cable Info'!P761," - ",'Cable Info'!Q761))</f>
        <v>#N/A</v>
      </c>
      <c r="AW1057" s="121" t="e">
        <f t="shared" si="181"/>
        <v>#N/A</v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str">
        <f>IF('Cable Info'!L762="","",CONCATENATE('Cable Info'!L762," - ",'Cable Info'!M762))</f>
        <v>761 - AW</v>
      </c>
      <c r="AM1058" s="121" t="str">
        <f t="shared" si="179"/>
        <v>761 - AW</v>
      </c>
      <c r="AO1058" s="121" t="str">
        <f>IF('Cable Info'!N762="","",CONCATENATE('Cable Info'!N762," - ",'Cable Info'!O762))</f>
        <v>761 - AW</v>
      </c>
      <c r="AR1058" s="121" t="str">
        <f t="shared" si="180"/>
        <v>761 - AW</v>
      </c>
      <c r="AT1058" s="121" t="e">
        <f>IF('Cable Info'!P762="","",CONCATENATE('Cable Info'!P762," - ",'Cable Info'!Q762))</f>
        <v>#N/A</v>
      </c>
      <c r="AW1058" s="121" t="e">
        <f t="shared" si="181"/>
        <v>#N/A</v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str">
        <f>IF('Cable Info'!L763="","",CONCATENATE('Cable Info'!L763," - ",'Cable Info'!M763))</f>
        <v>762 - AW</v>
      </c>
      <c r="AM1059" s="121" t="str">
        <f t="shared" si="179"/>
        <v>762 - AW</v>
      </c>
      <c r="AO1059" s="121" t="str">
        <f>IF('Cable Info'!N763="","",CONCATENATE('Cable Info'!N763," - ",'Cable Info'!O763))</f>
        <v>762 - AW</v>
      </c>
      <c r="AR1059" s="121" t="str">
        <f t="shared" si="180"/>
        <v>762 - AW</v>
      </c>
      <c r="AT1059" s="121" t="e">
        <f>IF('Cable Info'!P763="","",CONCATENATE('Cable Info'!P763," - ",'Cable Info'!Q763))</f>
        <v>#N/A</v>
      </c>
      <c r="AW1059" s="121" t="e">
        <f t="shared" si="181"/>
        <v>#N/A</v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str">
        <f>IF('Cable Info'!L764="","",CONCATENATE('Cable Info'!L764," - ",'Cable Info'!M764))</f>
        <v>763 - AW</v>
      </c>
      <c r="AM1060" s="121" t="str">
        <f t="shared" si="179"/>
        <v>763 - AW</v>
      </c>
      <c r="AO1060" s="121" t="str">
        <f>IF('Cable Info'!N764="","",CONCATENATE('Cable Info'!N764," - ",'Cable Info'!O764))</f>
        <v>763 - AW</v>
      </c>
      <c r="AR1060" s="121" t="str">
        <f t="shared" si="180"/>
        <v>763 - AW</v>
      </c>
      <c r="AT1060" s="121" t="e">
        <f>IF('Cable Info'!P764="","",CONCATENATE('Cable Info'!P764," - ",'Cable Info'!Q764))</f>
        <v>#N/A</v>
      </c>
      <c r="AW1060" s="121" t="e">
        <f t="shared" si="181"/>
        <v>#N/A</v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str">
        <f>IF('Cable Info'!L765="","",CONCATENATE('Cable Info'!L765," - ",'Cable Info'!M765))</f>
        <v>764 - AW</v>
      </c>
      <c r="AM1061" s="121" t="str">
        <f t="shared" si="179"/>
        <v>764 - AW</v>
      </c>
      <c r="AO1061" s="121" t="str">
        <f>IF('Cable Info'!N765="","",CONCATENATE('Cable Info'!N765," - ",'Cable Info'!O765))</f>
        <v>764 - AW</v>
      </c>
      <c r="AR1061" s="121" t="str">
        <f t="shared" si="180"/>
        <v>764 - AW</v>
      </c>
      <c r="AT1061" s="121" t="e">
        <f>IF('Cable Info'!P765="","",CONCATENATE('Cable Info'!P765," - ",'Cable Info'!Q765))</f>
        <v>#N/A</v>
      </c>
      <c r="AW1061" s="121" t="e">
        <f t="shared" si="181"/>
        <v>#N/A</v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str">
        <f>IF('Cable Info'!L766="","",CONCATENATE('Cable Info'!L766," - ",'Cable Info'!M766))</f>
        <v>765 - AW</v>
      </c>
      <c r="AM1062" s="121" t="str">
        <f t="shared" si="179"/>
        <v>765 - AW</v>
      </c>
      <c r="AO1062" s="121" t="str">
        <f>IF('Cable Info'!N766="","",CONCATENATE('Cable Info'!N766," - ",'Cable Info'!O766))</f>
        <v>765 - AW</v>
      </c>
      <c r="AR1062" s="121" t="str">
        <f t="shared" si="180"/>
        <v>765 - AW</v>
      </c>
      <c r="AT1062" s="121" t="e">
        <f>IF('Cable Info'!P766="","",CONCATENATE('Cable Info'!P766," - ",'Cable Info'!Q766))</f>
        <v>#N/A</v>
      </c>
      <c r="AW1062" s="121" t="e">
        <f t="shared" si="181"/>
        <v>#N/A</v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str">
        <f>IF('Cable Info'!L767="","",CONCATENATE('Cable Info'!L767," - ",'Cable Info'!M767))</f>
        <v>766 - AW</v>
      </c>
      <c r="AM1063" s="121" t="str">
        <f t="shared" si="179"/>
        <v>766 - AW</v>
      </c>
      <c r="AO1063" s="121" t="str">
        <f>IF('Cable Info'!N767="","",CONCATENATE('Cable Info'!N767," - ",'Cable Info'!O767))</f>
        <v>766 - AW</v>
      </c>
      <c r="AR1063" s="121" t="str">
        <f t="shared" si="180"/>
        <v>766 - AW</v>
      </c>
      <c r="AT1063" s="121" t="e">
        <f>IF('Cable Info'!P767="","",CONCATENATE('Cable Info'!P767," - ",'Cable Info'!Q767))</f>
        <v>#N/A</v>
      </c>
      <c r="AW1063" s="121" t="e">
        <f t="shared" si="181"/>
        <v>#N/A</v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str">
        <f>IF('Cable Info'!L768="","",CONCATENATE('Cable Info'!L768," - ",'Cable Info'!M768))</f>
        <v>767 - AW</v>
      </c>
      <c r="AM1064" s="121" t="str">
        <f t="shared" si="179"/>
        <v>767 - AW</v>
      </c>
      <c r="AO1064" s="121" t="str">
        <f>IF('Cable Info'!N768="","",CONCATENATE('Cable Info'!N768," - ",'Cable Info'!O768))</f>
        <v>767 - AW</v>
      </c>
      <c r="AR1064" s="121" t="str">
        <f t="shared" si="180"/>
        <v>767 - AW</v>
      </c>
      <c r="AT1064" s="121" t="e">
        <f>IF('Cable Info'!P768="","",CONCATENATE('Cable Info'!P768," - ",'Cable Info'!Q768))</f>
        <v>#N/A</v>
      </c>
      <c r="AW1064" s="121" t="e">
        <f t="shared" si="181"/>
        <v>#N/A</v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str">
        <f>IF('Cable Info'!L769="","",CONCATENATE('Cable Info'!L769," - ",'Cable Info'!M769))</f>
        <v>768 - AW</v>
      </c>
      <c r="AM1065" s="121" t="str">
        <f t="shared" si="179"/>
        <v>768 - AW</v>
      </c>
      <c r="AO1065" s="121" t="str">
        <f>IF('Cable Info'!N769="","",CONCATENATE('Cable Info'!N769," - ",'Cable Info'!O769))</f>
        <v>768 - AW</v>
      </c>
      <c r="AR1065" s="121" t="str">
        <f t="shared" si="180"/>
        <v>768 - AW</v>
      </c>
      <c r="AT1065" s="121" t="e">
        <f>IF('Cable Info'!P769="","",CONCATENATE('Cable Info'!P769," - ",'Cable Info'!Q769))</f>
        <v>#N/A</v>
      </c>
      <c r="AW1065" s="121" t="e">
        <f t="shared" si="181"/>
        <v>#N/A</v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str">
        <f>IF('Cable Info'!L770="","",CONCATENATE('Cable Info'!L770," - ",'Cable Info'!M770))</f>
        <v>769 - AW</v>
      </c>
      <c r="AM1066" s="121" t="str">
        <f t="shared" si="179"/>
        <v>769 - AW</v>
      </c>
      <c r="AO1066" s="121" t="str">
        <f>IF('Cable Info'!N770="","",CONCATENATE('Cable Info'!N770," - ",'Cable Info'!O770))</f>
        <v>769 - AW</v>
      </c>
      <c r="AR1066" s="121" t="str">
        <f t="shared" si="180"/>
        <v>769 - AW</v>
      </c>
      <c r="AT1066" s="121" t="e">
        <f>IF('Cable Info'!P770="","",CONCATENATE('Cable Info'!P770," - ",'Cable Info'!Q770))</f>
        <v>#N/A</v>
      </c>
      <c r="AW1066" s="121" t="e">
        <f t="shared" si="181"/>
        <v>#N/A</v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str">
        <f>IF('Cable Info'!L771="","",CONCATENATE('Cable Info'!L771," - ",'Cable Info'!M771))</f>
        <v>770 - AW</v>
      </c>
      <c r="AM1067" s="121" t="str">
        <f t="shared" ref="AM1067:AM1130" si="185">IF(AK1067="",AJ1067,CONCATENATE(AJ1067,"  &lt;=&gt; ",AK1067," ",AL1067))</f>
        <v>770 - AW</v>
      </c>
      <c r="AO1067" s="121" t="str">
        <f>IF('Cable Info'!N771="","",CONCATENATE('Cable Info'!N771," - ",'Cable Info'!O771))</f>
        <v>770 - AW</v>
      </c>
      <c r="AR1067" s="121" t="str">
        <f t="shared" ref="AR1067:AR1130" si="186">IF(AP1067="",AO1067,CONCATENATE(AO1067,"  &lt;=&gt; ",AP1067," ",AQ1067))</f>
        <v>770 - AW</v>
      </c>
      <c r="AT1067" s="121" t="e">
        <f>IF('Cable Info'!P771="","",CONCATENATE('Cable Info'!P771," - ",'Cable Info'!Q771))</f>
        <v>#N/A</v>
      </c>
      <c r="AW1067" s="121" t="e">
        <f t="shared" ref="AW1067:AW1130" si="187">IF(AU1067="",AT1067,CONCATENATE(AT1067,"  &lt;=&gt; ",AU1067," ",AV1067))</f>
        <v>#N/A</v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str">
        <f>IF('Cable Info'!L772="","",CONCATENATE('Cable Info'!L772," - ",'Cable Info'!M772))</f>
        <v>771 - AW</v>
      </c>
      <c r="AM1068" s="121" t="str">
        <f t="shared" si="185"/>
        <v>771 - AW</v>
      </c>
      <c r="AO1068" s="121" t="str">
        <f>IF('Cable Info'!N772="","",CONCATENATE('Cable Info'!N772," - ",'Cable Info'!O772))</f>
        <v>771 - AW</v>
      </c>
      <c r="AR1068" s="121" t="str">
        <f t="shared" si="186"/>
        <v>771 - AW</v>
      </c>
      <c r="AT1068" s="121" t="e">
        <f>IF('Cable Info'!P772="","",CONCATENATE('Cable Info'!P772," - ",'Cable Info'!Q772))</f>
        <v>#N/A</v>
      </c>
      <c r="AW1068" s="121" t="e">
        <f t="shared" si="187"/>
        <v>#N/A</v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str">
        <f>IF('Cable Info'!L773="","",CONCATENATE('Cable Info'!L773," - ",'Cable Info'!M773))</f>
        <v>772 - AW</v>
      </c>
      <c r="AM1069" s="121" t="str">
        <f t="shared" si="185"/>
        <v>772 - AW</v>
      </c>
      <c r="AO1069" s="121" t="str">
        <f>IF('Cable Info'!N773="","",CONCATENATE('Cable Info'!N773," - ",'Cable Info'!O773))</f>
        <v>772 - AW</v>
      </c>
      <c r="AR1069" s="121" t="str">
        <f t="shared" si="186"/>
        <v>772 - AW</v>
      </c>
      <c r="AT1069" s="121" t="e">
        <f>IF('Cable Info'!P773="","",CONCATENATE('Cable Info'!P773," - ",'Cable Info'!Q773))</f>
        <v>#N/A</v>
      </c>
      <c r="AW1069" s="121" t="e">
        <f t="shared" si="187"/>
        <v>#N/A</v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str">
        <f>IF('Cable Info'!L774="","",CONCATENATE('Cable Info'!L774," - ",'Cable Info'!M774))</f>
        <v>773 - AW</v>
      </c>
      <c r="AM1070" s="121" t="str">
        <f t="shared" si="185"/>
        <v>773 - AW</v>
      </c>
      <c r="AO1070" s="121" t="str">
        <f>IF('Cable Info'!N774="","",CONCATENATE('Cable Info'!N774," - ",'Cable Info'!O774))</f>
        <v>773 - AW</v>
      </c>
      <c r="AR1070" s="121" t="str">
        <f t="shared" si="186"/>
        <v>773 - AW</v>
      </c>
      <c r="AT1070" s="121" t="e">
        <f>IF('Cable Info'!P774="","",CONCATENATE('Cable Info'!P774," - ",'Cable Info'!Q774))</f>
        <v>#N/A</v>
      </c>
      <c r="AW1070" s="121" t="e">
        <f t="shared" si="187"/>
        <v>#N/A</v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str">
        <f>IF('Cable Info'!L775="","",CONCATENATE('Cable Info'!L775," - ",'Cable Info'!M775))</f>
        <v>774 - AW</v>
      </c>
      <c r="AM1071" s="121" t="str">
        <f t="shared" si="185"/>
        <v>774 - AW</v>
      </c>
      <c r="AO1071" s="121" t="str">
        <f>IF('Cable Info'!N775="","",CONCATENATE('Cable Info'!N775," - ",'Cable Info'!O775))</f>
        <v>774 - AW</v>
      </c>
      <c r="AR1071" s="121" t="str">
        <f t="shared" si="186"/>
        <v>774 - AW</v>
      </c>
      <c r="AT1071" s="121" t="e">
        <f>IF('Cable Info'!P775="","",CONCATENATE('Cable Info'!P775," - ",'Cable Info'!Q775))</f>
        <v>#N/A</v>
      </c>
      <c r="AW1071" s="121" t="e">
        <f t="shared" si="187"/>
        <v>#N/A</v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str">
        <f>IF('Cable Info'!L776="","",CONCATENATE('Cable Info'!L776," - ",'Cable Info'!M776))</f>
        <v>775 - AW</v>
      </c>
      <c r="AM1072" s="121" t="str">
        <f t="shared" si="185"/>
        <v>775 - AW</v>
      </c>
      <c r="AO1072" s="121" t="str">
        <f>IF('Cable Info'!N776="","",CONCATENATE('Cable Info'!N776," - ",'Cable Info'!O776))</f>
        <v>775 - AW</v>
      </c>
      <c r="AR1072" s="121" t="str">
        <f t="shared" si="186"/>
        <v>775 - AW</v>
      </c>
      <c r="AT1072" s="121" t="e">
        <f>IF('Cable Info'!P776="","",CONCATENATE('Cable Info'!P776," - ",'Cable Info'!Q776))</f>
        <v>#N/A</v>
      </c>
      <c r="AW1072" s="121" t="e">
        <f t="shared" si="187"/>
        <v>#N/A</v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str">
        <f>IF('Cable Info'!L777="","",CONCATENATE('Cable Info'!L777," - ",'Cable Info'!M777))</f>
        <v>776 - AW</v>
      </c>
      <c r="AM1073" s="121" t="str">
        <f t="shared" si="185"/>
        <v>776 - AW</v>
      </c>
      <c r="AO1073" s="121" t="str">
        <f>IF('Cable Info'!N777="","",CONCATENATE('Cable Info'!N777," - ",'Cable Info'!O777))</f>
        <v>776 - AW</v>
      </c>
      <c r="AR1073" s="121" t="str">
        <f t="shared" si="186"/>
        <v>776 - AW</v>
      </c>
      <c r="AT1073" s="121" t="e">
        <f>IF('Cable Info'!P777="","",CONCATENATE('Cable Info'!P777," - ",'Cable Info'!Q777))</f>
        <v>#N/A</v>
      </c>
      <c r="AW1073" s="121" t="e">
        <f t="shared" si="187"/>
        <v>#N/A</v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str">
        <f>IF('Cable Info'!L778="","",CONCATENATE('Cable Info'!L778," - ",'Cable Info'!M778))</f>
        <v>777 - AW</v>
      </c>
      <c r="AM1074" s="121" t="str">
        <f t="shared" si="185"/>
        <v>777 - AW</v>
      </c>
      <c r="AO1074" s="121" t="str">
        <f>IF('Cable Info'!N778="","",CONCATENATE('Cable Info'!N778," - ",'Cable Info'!O778))</f>
        <v>777 - AW</v>
      </c>
      <c r="AR1074" s="121" t="str">
        <f t="shared" si="186"/>
        <v>777 - AW</v>
      </c>
      <c r="AT1074" s="121" t="e">
        <f>IF('Cable Info'!P778="","",CONCATENATE('Cable Info'!P778," - ",'Cable Info'!Q778))</f>
        <v>#N/A</v>
      </c>
      <c r="AW1074" s="121" t="e">
        <f t="shared" si="187"/>
        <v>#N/A</v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str">
        <f>IF('Cable Info'!L779="","",CONCATENATE('Cable Info'!L779," - ",'Cable Info'!M779))</f>
        <v>778 - AW</v>
      </c>
      <c r="AM1075" s="121" t="str">
        <f t="shared" si="185"/>
        <v>778 - AW</v>
      </c>
      <c r="AO1075" s="121" t="str">
        <f>IF('Cable Info'!N779="","",CONCATENATE('Cable Info'!N779," - ",'Cable Info'!O779))</f>
        <v>778 - AW</v>
      </c>
      <c r="AR1075" s="121" t="str">
        <f t="shared" si="186"/>
        <v>778 - AW</v>
      </c>
      <c r="AT1075" s="121" t="e">
        <f>IF('Cable Info'!P779="","",CONCATENATE('Cable Info'!P779," - ",'Cable Info'!Q779))</f>
        <v>#N/A</v>
      </c>
      <c r="AW1075" s="121" t="e">
        <f t="shared" si="187"/>
        <v>#N/A</v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str">
        <f>IF('Cable Info'!L780="","",CONCATENATE('Cable Info'!L780," - ",'Cable Info'!M780))</f>
        <v>779 - AW</v>
      </c>
      <c r="AM1076" s="121" t="str">
        <f t="shared" si="185"/>
        <v>779 - AW</v>
      </c>
      <c r="AO1076" s="121" t="str">
        <f>IF('Cable Info'!N780="","",CONCATENATE('Cable Info'!N780," - ",'Cable Info'!O780))</f>
        <v>779 - AW</v>
      </c>
      <c r="AR1076" s="121" t="str">
        <f t="shared" si="186"/>
        <v>779 - AW</v>
      </c>
      <c r="AT1076" s="121" t="e">
        <f>IF('Cable Info'!P780="","",CONCATENATE('Cable Info'!P780," - ",'Cable Info'!Q780))</f>
        <v>#N/A</v>
      </c>
      <c r="AW1076" s="121" t="e">
        <f t="shared" si="187"/>
        <v>#N/A</v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str">
        <f>IF('Cable Info'!L781="","",CONCATENATE('Cable Info'!L781," - ",'Cable Info'!M781))</f>
        <v>780 - AW</v>
      </c>
      <c r="AM1077" s="121" t="str">
        <f t="shared" si="185"/>
        <v>780 - AW</v>
      </c>
      <c r="AO1077" s="121" t="str">
        <f>IF('Cable Info'!N781="","",CONCATENATE('Cable Info'!N781," - ",'Cable Info'!O781))</f>
        <v>780 - AW</v>
      </c>
      <c r="AR1077" s="121" t="str">
        <f t="shared" si="186"/>
        <v>780 - AW</v>
      </c>
      <c r="AT1077" s="121" t="e">
        <f>IF('Cable Info'!P781="","",CONCATENATE('Cable Info'!P781," - ",'Cable Info'!Q781))</f>
        <v>#N/A</v>
      </c>
      <c r="AW1077" s="121" t="e">
        <f t="shared" si="187"/>
        <v>#N/A</v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str">
        <f>IF('Cable Info'!L782="","",CONCATENATE('Cable Info'!L782," - ",'Cable Info'!M782))</f>
        <v>781 - AW</v>
      </c>
      <c r="AM1078" s="121" t="str">
        <f t="shared" si="185"/>
        <v>781 - AW</v>
      </c>
      <c r="AO1078" s="121" t="str">
        <f>IF('Cable Info'!N782="","",CONCATENATE('Cable Info'!N782," - ",'Cable Info'!O782))</f>
        <v>781 - AW</v>
      </c>
      <c r="AR1078" s="121" t="str">
        <f t="shared" si="186"/>
        <v>781 - AW</v>
      </c>
      <c r="AT1078" s="121" t="e">
        <f>IF('Cable Info'!P782="","",CONCATENATE('Cable Info'!P782," - ",'Cable Info'!Q782))</f>
        <v>#N/A</v>
      </c>
      <c r="AW1078" s="121" t="e">
        <f t="shared" si="187"/>
        <v>#N/A</v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str">
        <f>IF('Cable Info'!L783="","",CONCATENATE('Cable Info'!L783," - ",'Cable Info'!M783))</f>
        <v>782 - AW</v>
      </c>
      <c r="AM1079" s="121" t="str">
        <f t="shared" si="185"/>
        <v>782 - AW</v>
      </c>
      <c r="AO1079" s="121" t="str">
        <f>IF('Cable Info'!N783="","",CONCATENATE('Cable Info'!N783," - ",'Cable Info'!O783))</f>
        <v>782 - AW</v>
      </c>
      <c r="AR1079" s="121" t="str">
        <f t="shared" si="186"/>
        <v>782 - AW</v>
      </c>
      <c r="AT1079" s="121" t="e">
        <f>IF('Cable Info'!P783="","",CONCATENATE('Cable Info'!P783," - ",'Cable Info'!Q783))</f>
        <v>#N/A</v>
      </c>
      <c r="AW1079" s="121" t="e">
        <f t="shared" si="187"/>
        <v>#N/A</v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str">
        <f>IF('Cable Info'!L784="","",CONCATENATE('Cable Info'!L784," - ",'Cable Info'!M784))</f>
        <v>783 - AW</v>
      </c>
      <c r="AM1080" s="121" t="str">
        <f t="shared" si="185"/>
        <v>783 - AW</v>
      </c>
      <c r="AO1080" s="121" t="str">
        <f>IF('Cable Info'!N784="","",CONCATENATE('Cable Info'!N784," - ",'Cable Info'!O784))</f>
        <v>783 - AW</v>
      </c>
      <c r="AR1080" s="121" t="str">
        <f t="shared" si="186"/>
        <v>783 - AW</v>
      </c>
      <c r="AT1080" s="121" t="e">
        <f>IF('Cable Info'!P784="","",CONCATENATE('Cable Info'!P784," - ",'Cable Info'!Q784))</f>
        <v>#N/A</v>
      </c>
      <c r="AW1080" s="121" t="e">
        <f t="shared" si="187"/>
        <v>#N/A</v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str">
        <f>IF('Cable Info'!L785="","",CONCATENATE('Cable Info'!L785," - ",'Cable Info'!M785))</f>
        <v>784 - AW</v>
      </c>
      <c r="AM1081" s="121" t="str">
        <f t="shared" si="185"/>
        <v>784 - AW</v>
      </c>
      <c r="AO1081" s="121" t="str">
        <f>IF('Cable Info'!N785="","",CONCATENATE('Cable Info'!N785," - ",'Cable Info'!O785))</f>
        <v>784 - AW</v>
      </c>
      <c r="AR1081" s="121" t="str">
        <f t="shared" si="186"/>
        <v>784 - AW</v>
      </c>
      <c r="AT1081" s="121" t="e">
        <f>IF('Cable Info'!P785="","",CONCATENATE('Cable Info'!P785," - ",'Cable Info'!Q785))</f>
        <v>#N/A</v>
      </c>
      <c r="AW1081" s="121" t="e">
        <f t="shared" si="187"/>
        <v>#N/A</v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str">
        <f>IF('Cable Info'!L786="","",CONCATENATE('Cable Info'!L786," - ",'Cable Info'!M786))</f>
        <v>785 - AW</v>
      </c>
      <c r="AM1082" s="121" t="str">
        <f t="shared" si="185"/>
        <v>785 - AW</v>
      </c>
      <c r="AO1082" s="121" t="str">
        <f>IF('Cable Info'!N786="","",CONCATENATE('Cable Info'!N786," - ",'Cable Info'!O786))</f>
        <v>785 - AW</v>
      </c>
      <c r="AR1082" s="121" t="str">
        <f t="shared" si="186"/>
        <v>785 - AW</v>
      </c>
      <c r="AT1082" s="121" t="e">
        <f>IF('Cable Info'!P786="","",CONCATENATE('Cable Info'!P786," - ",'Cable Info'!Q786))</f>
        <v>#N/A</v>
      </c>
      <c r="AW1082" s="121" t="e">
        <f t="shared" si="187"/>
        <v>#N/A</v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str">
        <f>IF('Cable Info'!L787="","",CONCATENATE('Cable Info'!L787," - ",'Cable Info'!M787))</f>
        <v>786 - AW</v>
      </c>
      <c r="AM1083" s="121" t="str">
        <f t="shared" si="185"/>
        <v>786 - AW</v>
      </c>
      <c r="AO1083" s="121" t="str">
        <f>IF('Cable Info'!N787="","",CONCATENATE('Cable Info'!N787," - ",'Cable Info'!O787))</f>
        <v>786 - AW</v>
      </c>
      <c r="AR1083" s="121" t="str">
        <f t="shared" si="186"/>
        <v>786 - AW</v>
      </c>
      <c r="AT1083" s="121" t="e">
        <f>IF('Cable Info'!P787="","",CONCATENATE('Cable Info'!P787," - ",'Cable Info'!Q787))</f>
        <v>#N/A</v>
      </c>
      <c r="AW1083" s="121" t="e">
        <f t="shared" si="187"/>
        <v>#N/A</v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str">
        <f>IF('Cable Info'!L788="","",CONCATENATE('Cable Info'!L788," - ",'Cable Info'!M788))</f>
        <v>787 - AW</v>
      </c>
      <c r="AM1084" s="121" t="str">
        <f t="shared" si="185"/>
        <v>787 - AW</v>
      </c>
      <c r="AO1084" s="121" t="str">
        <f>IF('Cable Info'!N788="","",CONCATENATE('Cable Info'!N788," - ",'Cable Info'!O788))</f>
        <v>787 - AW</v>
      </c>
      <c r="AR1084" s="121" t="str">
        <f t="shared" si="186"/>
        <v>787 - AW</v>
      </c>
      <c r="AT1084" s="121" t="e">
        <f>IF('Cable Info'!P788="","",CONCATENATE('Cable Info'!P788," - ",'Cable Info'!Q788))</f>
        <v>#N/A</v>
      </c>
      <c r="AW1084" s="121" t="e">
        <f t="shared" si="187"/>
        <v>#N/A</v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str">
        <f>IF('Cable Info'!L789="","",CONCATENATE('Cable Info'!L789," - ",'Cable Info'!M789))</f>
        <v>788 - AW</v>
      </c>
      <c r="AM1085" s="121" t="str">
        <f t="shared" si="185"/>
        <v>788 - AW</v>
      </c>
      <c r="AO1085" s="121" t="str">
        <f>IF('Cable Info'!N789="","",CONCATENATE('Cable Info'!N789," - ",'Cable Info'!O789))</f>
        <v>788 - AW</v>
      </c>
      <c r="AR1085" s="121" t="str">
        <f t="shared" si="186"/>
        <v>788 - AW</v>
      </c>
      <c r="AT1085" s="121" t="e">
        <f>IF('Cable Info'!P789="","",CONCATENATE('Cable Info'!P789," - ",'Cable Info'!Q789))</f>
        <v>#N/A</v>
      </c>
      <c r="AW1085" s="121" t="e">
        <f t="shared" si="187"/>
        <v>#N/A</v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str">
        <f>IF('Cable Info'!L790="","",CONCATENATE('Cable Info'!L790," - ",'Cable Info'!M790))</f>
        <v>789 - AW</v>
      </c>
      <c r="AM1086" s="121" t="str">
        <f t="shared" si="185"/>
        <v>789 - AW</v>
      </c>
      <c r="AO1086" s="121" t="str">
        <f>IF('Cable Info'!N790="","",CONCATENATE('Cable Info'!N790," - ",'Cable Info'!O790))</f>
        <v>789 - AW</v>
      </c>
      <c r="AR1086" s="121" t="str">
        <f t="shared" si="186"/>
        <v>789 - AW</v>
      </c>
      <c r="AT1086" s="121" t="e">
        <f>IF('Cable Info'!P790="","",CONCATENATE('Cable Info'!P790," - ",'Cable Info'!Q790))</f>
        <v>#N/A</v>
      </c>
      <c r="AW1086" s="121" t="e">
        <f t="shared" si="187"/>
        <v>#N/A</v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str">
        <f>IF('Cable Info'!L791="","",CONCATENATE('Cable Info'!L791," - ",'Cable Info'!M791))</f>
        <v>790 - AW</v>
      </c>
      <c r="AM1087" s="121" t="str">
        <f t="shared" si="185"/>
        <v>790 - AW</v>
      </c>
      <c r="AO1087" s="121" t="str">
        <f>IF('Cable Info'!N791="","",CONCATENATE('Cable Info'!N791," - ",'Cable Info'!O791))</f>
        <v>790 - AW</v>
      </c>
      <c r="AR1087" s="121" t="str">
        <f t="shared" si="186"/>
        <v>790 - AW</v>
      </c>
      <c r="AT1087" s="121" t="e">
        <f>IF('Cable Info'!P791="","",CONCATENATE('Cable Info'!P791," - ",'Cable Info'!Q791))</f>
        <v>#N/A</v>
      </c>
      <c r="AW1087" s="121" t="e">
        <f t="shared" si="187"/>
        <v>#N/A</v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str">
        <f>IF('Cable Info'!L792="","",CONCATENATE('Cable Info'!L792," - ",'Cable Info'!M792))</f>
        <v>791 - AW</v>
      </c>
      <c r="AM1088" s="121" t="str">
        <f t="shared" si="185"/>
        <v>791 - AW</v>
      </c>
      <c r="AO1088" s="121" t="str">
        <f>IF('Cable Info'!N792="","",CONCATENATE('Cable Info'!N792," - ",'Cable Info'!O792))</f>
        <v>791 - AW</v>
      </c>
      <c r="AR1088" s="121" t="str">
        <f t="shared" si="186"/>
        <v>791 - AW</v>
      </c>
      <c r="AT1088" s="121" t="e">
        <f>IF('Cable Info'!P792="","",CONCATENATE('Cable Info'!P792," - ",'Cable Info'!Q792))</f>
        <v>#N/A</v>
      </c>
      <c r="AW1088" s="121" t="e">
        <f t="shared" si="187"/>
        <v>#N/A</v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str">
        <f>IF('Cable Info'!L793="","",CONCATENATE('Cable Info'!L793," - ",'Cable Info'!M793))</f>
        <v>792 - AW</v>
      </c>
      <c r="AM1089" s="121" t="str">
        <f t="shared" si="185"/>
        <v>792 - AW</v>
      </c>
      <c r="AO1089" s="121" t="str">
        <f>IF('Cable Info'!N793="","",CONCATENATE('Cable Info'!N793," - ",'Cable Info'!O793))</f>
        <v>792 - AW</v>
      </c>
      <c r="AR1089" s="121" t="str">
        <f t="shared" si="186"/>
        <v>792 - AW</v>
      </c>
      <c r="AT1089" s="121" t="e">
        <f>IF('Cable Info'!P793="","",CONCATENATE('Cable Info'!P793," - ",'Cable Info'!Q793))</f>
        <v>#N/A</v>
      </c>
      <c r="AW1089" s="121" t="e">
        <f t="shared" si="187"/>
        <v>#N/A</v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str">
        <f>IF('Cable Info'!L794="","",CONCATENATE('Cable Info'!L794," - ",'Cable Info'!M794))</f>
        <v>793 - AW</v>
      </c>
      <c r="AM1090" s="121" t="str">
        <f t="shared" si="185"/>
        <v>793 - AW</v>
      </c>
      <c r="AO1090" s="121" t="str">
        <f>IF('Cable Info'!N794="","",CONCATENATE('Cable Info'!N794," - ",'Cable Info'!O794))</f>
        <v>793 - AW</v>
      </c>
      <c r="AR1090" s="121" t="str">
        <f t="shared" si="186"/>
        <v>793 - AW</v>
      </c>
      <c r="AT1090" s="121" t="e">
        <f>IF('Cable Info'!P794="","",CONCATENATE('Cable Info'!P794," - ",'Cable Info'!Q794))</f>
        <v>#N/A</v>
      </c>
      <c r="AW1090" s="121" t="e">
        <f t="shared" si="187"/>
        <v>#N/A</v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str">
        <f>IF('Cable Info'!L795="","",CONCATENATE('Cable Info'!L795," - ",'Cable Info'!M795))</f>
        <v>794 - AW</v>
      </c>
      <c r="AM1091" s="121" t="str">
        <f t="shared" si="185"/>
        <v>794 - AW</v>
      </c>
      <c r="AO1091" s="121" t="str">
        <f>IF('Cable Info'!N795="","",CONCATENATE('Cable Info'!N795," - ",'Cable Info'!O795))</f>
        <v>794 - AW</v>
      </c>
      <c r="AR1091" s="121" t="str">
        <f t="shared" si="186"/>
        <v>794 - AW</v>
      </c>
      <c r="AT1091" s="121" t="e">
        <f>IF('Cable Info'!P795="","",CONCATENATE('Cable Info'!P795," - ",'Cable Info'!Q795))</f>
        <v>#N/A</v>
      </c>
      <c r="AW1091" s="121" t="e">
        <f t="shared" si="187"/>
        <v>#N/A</v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str">
        <f>IF('Cable Info'!L796="","",CONCATENATE('Cable Info'!L796," - ",'Cable Info'!M796))</f>
        <v>795 - AW</v>
      </c>
      <c r="AM1092" s="121" t="str">
        <f t="shared" si="185"/>
        <v>795 - AW</v>
      </c>
      <c r="AO1092" s="121" t="str">
        <f>IF('Cable Info'!N796="","",CONCATENATE('Cable Info'!N796," - ",'Cable Info'!O796))</f>
        <v>795 - AW</v>
      </c>
      <c r="AR1092" s="121" t="str">
        <f t="shared" si="186"/>
        <v>795 - AW</v>
      </c>
      <c r="AT1092" s="121" t="e">
        <f>IF('Cable Info'!P796="","",CONCATENATE('Cable Info'!P796," - ",'Cable Info'!Q796))</f>
        <v>#N/A</v>
      </c>
      <c r="AW1092" s="121" t="e">
        <f t="shared" si="187"/>
        <v>#N/A</v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str">
        <f>IF('Cable Info'!L797="","",CONCATENATE('Cable Info'!L797," - ",'Cable Info'!M797))</f>
        <v>796 - AW</v>
      </c>
      <c r="AM1093" s="121" t="str">
        <f t="shared" si="185"/>
        <v>796 - AW</v>
      </c>
      <c r="AO1093" s="121" t="str">
        <f>IF('Cable Info'!N797="","",CONCATENATE('Cable Info'!N797," - ",'Cable Info'!O797))</f>
        <v>796 - AW</v>
      </c>
      <c r="AR1093" s="121" t="str">
        <f t="shared" si="186"/>
        <v>796 - AW</v>
      </c>
      <c r="AT1093" s="121" t="e">
        <f>IF('Cable Info'!P797="","",CONCATENATE('Cable Info'!P797," - ",'Cable Info'!Q797))</f>
        <v>#N/A</v>
      </c>
      <c r="AW1093" s="121" t="e">
        <f t="shared" si="187"/>
        <v>#N/A</v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str">
        <f>IF('Cable Info'!L798="","",CONCATENATE('Cable Info'!L798," - ",'Cable Info'!M798))</f>
        <v>797 - AW</v>
      </c>
      <c r="AM1094" s="121" t="str">
        <f t="shared" si="185"/>
        <v>797 - AW</v>
      </c>
      <c r="AO1094" s="121" t="str">
        <f>IF('Cable Info'!N798="","",CONCATENATE('Cable Info'!N798," - ",'Cable Info'!O798))</f>
        <v>797 - AW</v>
      </c>
      <c r="AR1094" s="121" t="str">
        <f t="shared" si="186"/>
        <v>797 - AW</v>
      </c>
      <c r="AT1094" s="121" t="e">
        <f>IF('Cable Info'!P798="","",CONCATENATE('Cable Info'!P798," - ",'Cable Info'!Q798))</f>
        <v>#N/A</v>
      </c>
      <c r="AW1094" s="121" t="e">
        <f t="shared" si="187"/>
        <v>#N/A</v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str">
        <f>IF('Cable Info'!L799="","",CONCATENATE('Cable Info'!L799," - ",'Cable Info'!M799))</f>
        <v>798 - AW</v>
      </c>
      <c r="AM1095" s="121" t="str">
        <f t="shared" si="185"/>
        <v>798 - AW</v>
      </c>
      <c r="AO1095" s="121" t="str">
        <f>IF('Cable Info'!N799="","",CONCATENATE('Cable Info'!N799," - ",'Cable Info'!O799))</f>
        <v>798 - AW</v>
      </c>
      <c r="AR1095" s="121" t="str">
        <f t="shared" si="186"/>
        <v>798 - AW</v>
      </c>
      <c r="AT1095" s="121" t="e">
        <f>IF('Cable Info'!P799="","",CONCATENATE('Cable Info'!P799," - ",'Cable Info'!Q799))</f>
        <v>#N/A</v>
      </c>
      <c r="AW1095" s="121" t="e">
        <f t="shared" si="187"/>
        <v>#N/A</v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str">
        <f>IF('Cable Info'!L800="","",CONCATENATE('Cable Info'!L800," - ",'Cable Info'!M800))</f>
        <v>799 - AW</v>
      </c>
      <c r="AM1096" s="121" t="str">
        <f t="shared" si="185"/>
        <v>799 - AW</v>
      </c>
      <c r="AO1096" s="121" t="str">
        <f>IF('Cable Info'!N800="","",CONCATENATE('Cable Info'!N800," - ",'Cable Info'!O800))</f>
        <v>799 - AW</v>
      </c>
      <c r="AR1096" s="121" t="str">
        <f t="shared" si="186"/>
        <v>799 - AW</v>
      </c>
      <c r="AT1096" s="121" t="e">
        <f>IF('Cable Info'!P800="","",CONCATENATE('Cable Info'!P800," - ",'Cable Info'!Q800))</f>
        <v>#N/A</v>
      </c>
      <c r="AW1096" s="121" t="e">
        <f t="shared" si="187"/>
        <v>#N/A</v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str">
        <f>IF('Cable Info'!L801="","",CONCATENATE('Cable Info'!L801," - ",'Cable Info'!M801))</f>
        <v>800 - AW</v>
      </c>
      <c r="AM1097" s="121" t="str">
        <f t="shared" si="185"/>
        <v>800 - AW</v>
      </c>
      <c r="AO1097" s="121" t="str">
        <f>IF('Cable Info'!N801="","",CONCATENATE('Cable Info'!N801," - ",'Cable Info'!O801))</f>
        <v>800 - AW</v>
      </c>
      <c r="AR1097" s="121" t="str">
        <f t="shared" si="186"/>
        <v>800 - AW</v>
      </c>
      <c r="AT1097" s="121" t="e">
        <f>IF('Cable Info'!P801="","",CONCATENATE('Cable Info'!P801," - ",'Cable Info'!Q801))</f>
        <v>#N/A</v>
      </c>
      <c r="AW1097" s="121" t="e">
        <f t="shared" si="187"/>
        <v>#N/A</v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str">
        <f>IF('Cable Info'!L802="","",CONCATENATE('Cable Info'!L802," - ",'Cable Info'!M802))</f>
        <v>801 - AW</v>
      </c>
      <c r="AM1098" s="121" t="str">
        <f t="shared" si="185"/>
        <v>801 - AW</v>
      </c>
      <c r="AO1098" s="121" t="str">
        <f>IF('Cable Info'!N802="","",CONCATENATE('Cable Info'!N802," - ",'Cable Info'!O802))</f>
        <v>801 - AW</v>
      </c>
      <c r="AR1098" s="121" t="str">
        <f t="shared" si="186"/>
        <v>801 - AW</v>
      </c>
      <c r="AT1098" s="121" t="e">
        <f>IF('Cable Info'!P802="","",CONCATENATE('Cable Info'!P802," - ",'Cable Info'!Q802))</f>
        <v>#N/A</v>
      </c>
      <c r="AW1098" s="121" t="e">
        <f t="shared" si="187"/>
        <v>#N/A</v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str">
        <f>IF('Cable Info'!L803="","",CONCATENATE('Cable Info'!L803," - ",'Cable Info'!M803))</f>
        <v>802 - AW</v>
      </c>
      <c r="AM1099" s="121" t="str">
        <f t="shared" si="185"/>
        <v>802 - AW</v>
      </c>
      <c r="AO1099" s="121" t="str">
        <f>IF('Cable Info'!N803="","",CONCATENATE('Cable Info'!N803," - ",'Cable Info'!O803))</f>
        <v>802 - AW</v>
      </c>
      <c r="AR1099" s="121" t="str">
        <f t="shared" si="186"/>
        <v>802 - AW</v>
      </c>
      <c r="AT1099" s="121" t="e">
        <f>IF('Cable Info'!P803="","",CONCATENATE('Cable Info'!P803," - ",'Cable Info'!Q803))</f>
        <v>#N/A</v>
      </c>
      <c r="AW1099" s="121" t="e">
        <f t="shared" si="187"/>
        <v>#N/A</v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str">
        <f>IF('Cable Info'!L804="","",CONCATENATE('Cable Info'!L804," - ",'Cable Info'!M804))</f>
        <v>803 - AW</v>
      </c>
      <c r="AM1100" s="121" t="str">
        <f t="shared" si="185"/>
        <v>803 - AW</v>
      </c>
      <c r="AO1100" s="121" t="str">
        <f>IF('Cable Info'!N804="","",CONCATENATE('Cable Info'!N804," - ",'Cable Info'!O804))</f>
        <v>803 - AW</v>
      </c>
      <c r="AR1100" s="121" t="str">
        <f t="shared" si="186"/>
        <v>803 - AW</v>
      </c>
      <c r="AT1100" s="121" t="e">
        <f>IF('Cable Info'!P804="","",CONCATENATE('Cable Info'!P804," - ",'Cable Info'!Q804))</f>
        <v>#N/A</v>
      </c>
      <c r="AW1100" s="121" t="e">
        <f t="shared" si="187"/>
        <v>#N/A</v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str">
        <f>IF('Cable Info'!L805="","",CONCATENATE('Cable Info'!L805," - ",'Cable Info'!M805))</f>
        <v>804 - AW</v>
      </c>
      <c r="AM1101" s="121" t="str">
        <f t="shared" si="185"/>
        <v>804 - AW</v>
      </c>
      <c r="AO1101" s="121" t="str">
        <f>IF('Cable Info'!N805="","",CONCATENATE('Cable Info'!N805," - ",'Cable Info'!O805))</f>
        <v>804 - AW</v>
      </c>
      <c r="AR1101" s="121" t="str">
        <f t="shared" si="186"/>
        <v>804 - AW</v>
      </c>
      <c r="AT1101" s="121" t="e">
        <f>IF('Cable Info'!P805="","",CONCATENATE('Cable Info'!P805," - ",'Cable Info'!Q805))</f>
        <v>#N/A</v>
      </c>
      <c r="AW1101" s="121" t="e">
        <f t="shared" si="187"/>
        <v>#N/A</v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str">
        <f>IF('Cable Info'!L806="","",CONCATENATE('Cable Info'!L806," - ",'Cable Info'!M806))</f>
        <v>805 - AW</v>
      </c>
      <c r="AM1102" s="121" t="str">
        <f t="shared" si="185"/>
        <v>805 - AW</v>
      </c>
      <c r="AO1102" s="121" t="str">
        <f>IF('Cable Info'!N806="","",CONCATENATE('Cable Info'!N806," - ",'Cable Info'!O806))</f>
        <v>805 - AW</v>
      </c>
      <c r="AR1102" s="121" t="str">
        <f t="shared" si="186"/>
        <v>805 - AW</v>
      </c>
      <c r="AT1102" s="121" t="e">
        <f>IF('Cable Info'!P806="","",CONCATENATE('Cable Info'!P806," - ",'Cable Info'!Q806))</f>
        <v>#N/A</v>
      </c>
      <c r="AW1102" s="121" t="e">
        <f t="shared" si="187"/>
        <v>#N/A</v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str">
        <f>IF('Cable Info'!L807="","",CONCATENATE('Cable Info'!L807," - ",'Cable Info'!M807))</f>
        <v>806 - AW</v>
      </c>
      <c r="AM1103" s="121" t="str">
        <f t="shared" si="185"/>
        <v>806 - AW</v>
      </c>
      <c r="AO1103" s="121" t="str">
        <f>IF('Cable Info'!N807="","",CONCATENATE('Cable Info'!N807," - ",'Cable Info'!O807))</f>
        <v>806 - AW</v>
      </c>
      <c r="AR1103" s="121" t="str">
        <f t="shared" si="186"/>
        <v>806 - AW</v>
      </c>
      <c r="AT1103" s="121" t="e">
        <f>IF('Cable Info'!P807="","",CONCATENATE('Cable Info'!P807," - ",'Cable Info'!Q807))</f>
        <v>#N/A</v>
      </c>
      <c r="AW1103" s="121" t="e">
        <f t="shared" si="187"/>
        <v>#N/A</v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str">
        <f>IF('Cable Info'!L808="","",CONCATENATE('Cable Info'!L808," - ",'Cable Info'!M808))</f>
        <v>807 - AW</v>
      </c>
      <c r="AM1104" s="121" t="str">
        <f t="shared" si="185"/>
        <v>807 - AW</v>
      </c>
      <c r="AO1104" s="121" t="str">
        <f>IF('Cable Info'!N808="","",CONCATENATE('Cable Info'!N808," - ",'Cable Info'!O808))</f>
        <v>807 - AW</v>
      </c>
      <c r="AR1104" s="121" t="str">
        <f t="shared" si="186"/>
        <v>807 - AW</v>
      </c>
      <c r="AT1104" s="121" t="e">
        <f>IF('Cable Info'!P808="","",CONCATENATE('Cable Info'!P808," - ",'Cable Info'!Q808))</f>
        <v>#N/A</v>
      </c>
      <c r="AW1104" s="121" t="e">
        <f t="shared" si="187"/>
        <v>#N/A</v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str">
        <f>IF('Cable Info'!L809="","",CONCATENATE('Cable Info'!L809," - ",'Cable Info'!M809))</f>
        <v>808 - AW</v>
      </c>
      <c r="AM1105" s="121" t="str">
        <f t="shared" si="185"/>
        <v>808 - AW</v>
      </c>
      <c r="AO1105" s="121" t="str">
        <f>IF('Cable Info'!N809="","",CONCATENATE('Cable Info'!N809," - ",'Cable Info'!O809))</f>
        <v>808 - AW</v>
      </c>
      <c r="AR1105" s="121" t="str">
        <f t="shared" si="186"/>
        <v>808 - AW</v>
      </c>
      <c r="AT1105" s="121" t="e">
        <f>IF('Cable Info'!P809="","",CONCATENATE('Cable Info'!P809," - ",'Cable Info'!Q809))</f>
        <v>#N/A</v>
      </c>
      <c r="AW1105" s="121" t="e">
        <f t="shared" si="187"/>
        <v>#N/A</v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str">
        <f>IF('Cable Info'!L810="","",CONCATENATE('Cable Info'!L810," - ",'Cable Info'!M810))</f>
        <v>809 - AW</v>
      </c>
      <c r="AM1106" s="121" t="str">
        <f t="shared" si="185"/>
        <v>809 - AW</v>
      </c>
      <c r="AO1106" s="121" t="str">
        <f>IF('Cable Info'!N810="","",CONCATENATE('Cable Info'!N810," - ",'Cable Info'!O810))</f>
        <v>809 - AW</v>
      </c>
      <c r="AR1106" s="121" t="str">
        <f t="shared" si="186"/>
        <v>809 - AW</v>
      </c>
      <c r="AT1106" s="121" t="e">
        <f>IF('Cable Info'!P810="","",CONCATENATE('Cable Info'!P810," - ",'Cable Info'!Q810))</f>
        <v>#N/A</v>
      </c>
      <c r="AW1106" s="121" t="e">
        <f t="shared" si="187"/>
        <v>#N/A</v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str">
        <f>IF('Cable Info'!L811="","",CONCATENATE('Cable Info'!L811," - ",'Cable Info'!M811))</f>
        <v>810 - AW</v>
      </c>
      <c r="AM1107" s="121" t="str">
        <f t="shared" si="185"/>
        <v>810 - AW</v>
      </c>
      <c r="AO1107" s="121" t="str">
        <f>IF('Cable Info'!N811="","",CONCATENATE('Cable Info'!N811," - ",'Cable Info'!O811))</f>
        <v>810 - AW</v>
      </c>
      <c r="AR1107" s="121" t="str">
        <f t="shared" si="186"/>
        <v>810 - AW</v>
      </c>
      <c r="AT1107" s="121" t="e">
        <f>IF('Cable Info'!P811="","",CONCATENATE('Cable Info'!P811," - ",'Cable Info'!Q811))</f>
        <v>#N/A</v>
      </c>
      <c r="AW1107" s="121" t="e">
        <f t="shared" si="187"/>
        <v>#N/A</v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str">
        <f>IF('Cable Info'!L812="","",CONCATENATE('Cable Info'!L812," - ",'Cable Info'!M812))</f>
        <v>811 - AW</v>
      </c>
      <c r="AM1108" s="121" t="str">
        <f t="shared" si="185"/>
        <v>811 - AW</v>
      </c>
      <c r="AO1108" s="121" t="str">
        <f>IF('Cable Info'!N812="","",CONCATENATE('Cable Info'!N812," - ",'Cable Info'!O812))</f>
        <v>811 - AW</v>
      </c>
      <c r="AR1108" s="121" t="str">
        <f t="shared" si="186"/>
        <v>811 - AW</v>
      </c>
      <c r="AT1108" s="121" t="e">
        <f>IF('Cable Info'!P812="","",CONCATENATE('Cable Info'!P812," - ",'Cable Info'!Q812))</f>
        <v>#N/A</v>
      </c>
      <c r="AW1108" s="121" t="e">
        <f t="shared" si="187"/>
        <v>#N/A</v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str">
        <f>IF('Cable Info'!L813="","",CONCATENATE('Cable Info'!L813," - ",'Cable Info'!M813))</f>
        <v>812 - AW</v>
      </c>
      <c r="AM1109" s="121" t="str">
        <f t="shared" si="185"/>
        <v>812 - AW</v>
      </c>
      <c r="AO1109" s="121" t="str">
        <f>IF('Cable Info'!N813="","",CONCATENATE('Cable Info'!N813," - ",'Cable Info'!O813))</f>
        <v>812 - AW</v>
      </c>
      <c r="AR1109" s="121" t="str">
        <f t="shared" si="186"/>
        <v>812 - AW</v>
      </c>
      <c r="AT1109" s="121" t="e">
        <f>IF('Cable Info'!P813="","",CONCATENATE('Cable Info'!P813," - ",'Cable Info'!Q813))</f>
        <v>#N/A</v>
      </c>
      <c r="AW1109" s="121" t="e">
        <f t="shared" si="187"/>
        <v>#N/A</v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str">
        <f>IF('Cable Info'!L814="","",CONCATENATE('Cable Info'!L814," - ",'Cable Info'!M814))</f>
        <v>813 - AW</v>
      </c>
      <c r="AM1110" s="121" t="str">
        <f t="shared" si="185"/>
        <v>813 - AW</v>
      </c>
      <c r="AO1110" s="121" t="str">
        <f>IF('Cable Info'!N814="","",CONCATENATE('Cable Info'!N814," - ",'Cable Info'!O814))</f>
        <v>813 - AW</v>
      </c>
      <c r="AR1110" s="121" t="str">
        <f t="shared" si="186"/>
        <v>813 - AW</v>
      </c>
      <c r="AT1110" s="121" t="e">
        <f>IF('Cable Info'!P814="","",CONCATENATE('Cable Info'!P814," - ",'Cable Info'!Q814))</f>
        <v>#N/A</v>
      </c>
      <c r="AW1110" s="121" t="e">
        <f t="shared" si="187"/>
        <v>#N/A</v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str">
        <f>IF('Cable Info'!L815="","",CONCATENATE('Cable Info'!L815," - ",'Cable Info'!M815))</f>
        <v>814 - AW</v>
      </c>
      <c r="AM1111" s="121" t="str">
        <f t="shared" si="185"/>
        <v>814 - AW</v>
      </c>
      <c r="AO1111" s="121" t="str">
        <f>IF('Cable Info'!N815="","",CONCATENATE('Cable Info'!N815," - ",'Cable Info'!O815))</f>
        <v>814 - AW</v>
      </c>
      <c r="AR1111" s="121" t="str">
        <f t="shared" si="186"/>
        <v>814 - AW</v>
      </c>
      <c r="AT1111" s="121" t="e">
        <f>IF('Cable Info'!P815="","",CONCATENATE('Cable Info'!P815," - ",'Cable Info'!Q815))</f>
        <v>#N/A</v>
      </c>
      <c r="AW1111" s="121" t="e">
        <f t="shared" si="187"/>
        <v>#N/A</v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str">
        <f>IF('Cable Info'!L816="","",CONCATENATE('Cable Info'!L816," - ",'Cable Info'!M816))</f>
        <v>815 - AW</v>
      </c>
      <c r="AM1112" s="121" t="str">
        <f t="shared" si="185"/>
        <v>815 - AW</v>
      </c>
      <c r="AO1112" s="121" t="str">
        <f>IF('Cable Info'!N816="","",CONCATENATE('Cable Info'!N816," - ",'Cable Info'!O816))</f>
        <v>815 - AW</v>
      </c>
      <c r="AR1112" s="121" t="str">
        <f t="shared" si="186"/>
        <v>815 - AW</v>
      </c>
      <c r="AT1112" s="121" t="e">
        <f>IF('Cable Info'!P816="","",CONCATENATE('Cable Info'!P816," - ",'Cable Info'!Q816))</f>
        <v>#N/A</v>
      </c>
      <c r="AW1112" s="121" t="e">
        <f t="shared" si="187"/>
        <v>#N/A</v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str">
        <f>IF('Cable Info'!L817="","",CONCATENATE('Cable Info'!L817," - ",'Cable Info'!M817))</f>
        <v>816 - AW</v>
      </c>
      <c r="AM1113" s="121" t="str">
        <f t="shared" si="185"/>
        <v>816 - AW</v>
      </c>
      <c r="AO1113" s="121" t="str">
        <f>IF('Cable Info'!N817="","",CONCATENATE('Cable Info'!N817," - ",'Cable Info'!O817))</f>
        <v>816 - AW</v>
      </c>
      <c r="AR1113" s="121" t="str">
        <f t="shared" si="186"/>
        <v>816 - AW</v>
      </c>
      <c r="AT1113" s="121" t="e">
        <f>IF('Cable Info'!P817="","",CONCATENATE('Cable Info'!P817," - ",'Cable Info'!Q817))</f>
        <v>#N/A</v>
      </c>
      <c r="AW1113" s="121" t="e">
        <f t="shared" si="187"/>
        <v>#N/A</v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str">
        <f>IF('Cable Info'!L818="","",CONCATENATE('Cable Info'!L818," - ",'Cable Info'!M818))</f>
        <v>817 - AW</v>
      </c>
      <c r="AM1114" s="121" t="str">
        <f t="shared" si="185"/>
        <v>817 - AW</v>
      </c>
      <c r="AO1114" s="121" t="str">
        <f>IF('Cable Info'!N818="","",CONCATENATE('Cable Info'!N818," - ",'Cable Info'!O818))</f>
        <v>817 - AW</v>
      </c>
      <c r="AR1114" s="121" t="str">
        <f t="shared" si="186"/>
        <v>817 - AW</v>
      </c>
      <c r="AT1114" s="121" t="e">
        <f>IF('Cable Info'!P818="","",CONCATENATE('Cable Info'!P818," - ",'Cable Info'!Q818))</f>
        <v>#N/A</v>
      </c>
      <c r="AW1114" s="121" t="e">
        <f t="shared" si="187"/>
        <v>#N/A</v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str">
        <f>IF('Cable Info'!L819="","",CONCATENATE('Cable Info'!L819," - ",'Cable Info'!M819))</f>
        <v>818 - AW</v>
      </c>
      <c r="AM1115" s="121" t="str">
        <f t="shared" si="185"/>
        <v>818 - AW</v>
      </c>
      <c r="AO1115" s="121" t="str">
        <f>IF('Cable Info'!N819="","",CONCATENATE('Cable Info'!N819," - ",'Cable Info'!O819))</f>
        <v>818 - AW</v>
      </c>
      <c r="AR1115" s="121" t="str">
        <f t="shared" si="186"/>
        <v>818 - AW</v>
      </c>
      <c r="AT1115" s="121" t="e">
        <f>IF('Cable Info'!P819="","",CONCATENATE('Cable Info'!P819," - ",'Cable Info'!Q819))</f>
        <v>#N/A</v>
      </c>
      <c r="AW1115" s="121" t="e">
        <f t="shared" si="187"/>
        <v>#N/A</v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str">
        <f>IF('Cable Info'!L820="","",CONCATENATE('Cable Info'!L820," - ",'Cable Info'!M820))</f>
        <v>819 - AW</v>
      </c>
      <c r="AM1116" s="121" t="str">
        <f t="shared" si="185"/>
        <v>819 - AW</v>
      </c>
      <c r="AO1116" s="121" t="str">
        <f>IF('Cable Info'!N820="","",CONCATENATE('Cable Info'!N820," - ",'Cable Info'!O820))</f>
        <v>819 - AW</v>
      </c>
      <c r="AR1116" s="121" t="str">
        <f t="shared" si="186"/>
        <v>819 - AW</v>
      </c>
      <c r="AT1116" s="121" t="e">
        <f>IF('Cable Info'!P820="","",CONCATENATE('Cable Info'!P820," - ",'Cable Info'!Q820))</f>
        <v>#N/A</v>
      </c>
      <c r="AW1116" s="121" t="e">
        <f t="shared" si="187"/>
        <v>#N/A</v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str">
        <f>IF('Cable Info'!L821="","",CONCATENATE('Cable Info'!L821," - ",'Cable Info'!M821))</f>
        <v>820 - AW</v>
      </c>
      <c r="AM1117" s="121" t="str">
        <f t="shared" si="185"/>
        <v>820 - AW</v>
      </c>
      <c r="AO1117" s="121" t="str">
        <f>IF('Cable Info'!N821="","",CONCATENATE('Cable Info'!N821," - ",'Cable Info'!O821))</f>
        <v>820 - AW</v>
      </c>
      <c r="AR1117" s="121" t="str">
        <f t="shared" si="186"/>
        <v>820 - AW</v>
      </c>
      <c r="AT1117" s="121" t="e">
        <f>IF('Cable Info'!P821="","",CONCATENATE('Cable Info'!P821," - ",'Cable Info'!Q821))</f>
        <v>#N/A</v>
      </c>
      <c r="AW1117" s="121" t="e">
        <f t="shared" si="187"/>
        <v>#N/A</v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str">
        <f>IF('Cable Info'!L822="","",CONCATENATE('Cable Info'!L822," - ",'Cable Info'!M822))</f>
        <v>821 - AW</v>
      </c>
      <c r="AM1118" s="121" t="str">
        <f t="shared" si="185"/>
        <v>821 - AW</v>
      </c>
      <c r="AO1118" s="121" t="str">
        <f>IF('Cable Info'!N822="","",CONCATENATE('Cable Info'!N822," - ",'Cable Info'!O822))</f>
        <v>821 - AW</v>
      </c>
      <c r="AR1118" s="121" t="str">
        <f t="shared" si="186"/>
        <v>821 - AW</v>
      </c>
      <c r="AT1118" s="121" t="e">
        <f>IF('Cable Info'!P822="","",CONCATENATE('Cable Info'!P822," - ",'Cable Info'!Q822))</f>
        <v>#N/A</v>
      </c>
      <c r="AW1118" s="121" t="e">
        <f t="shared" si="187"/>
        <v>#N/A</v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str">
        <f>IF('Cable Info'!L823="","",CONCATENATE('Cable Info'!L823," - ",'Cable Info'!M823))</f>
        <v>822 - AW</v>
      </c>
      <c r="AM1119" s="121" t="str">
        <f t="shared" si="185"/>
        <v>822 - AW</v>
      </c>
      <c r="AO1119" s="121" t="str">
        <f>IF('Cable Info'!N823="","",CONCATENATE('Cable Info'!N823," - ",'Cable Info'!O823))</f>
        <v>822 - AW</v>
      </c>
      <c r="AR1119" s="121" t="str">
        <f t="shared" si="186"/>
        <v>822 - AW</v>
      </c>
      <c r="AT1119" s="121" t="e">
        <f>IF('Cable Info'!P823="","",CONCATENATE('Cable Info'!P823," - ",'Cable Info'!Q823))</f>
        <v>#N/A</v>
      </c>
      <c r="AW1119" s="121" t="e">
        <f t="shared" si="187"/>
        <v>#N/A</v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str">
        <f>IF('Cable Info'!L824="","",CONCATENATE('Cable Info'!L824," - ",'Cable Info'!M824))</f>
        <v>823 - AW</v>
      </c>
      <c r="AM1120" s="121" t="str">
        <f t="shared" si="185"/>
        <v>823 - AW</v>
      </c>
      <c r="AO1120" s="121" t="str">
        <f>IF('Cable Info'!N824="","",CONCATENATE('Cable Info'!N824," - ",'Cable Info'!O824))</f>
        <v>823 - AW</v>
      </c>
      <c r="AR1120" s="121" t="str">
        <f t="shared" si="186"/>
        <v>823 - AW</v>
      </c>
      <c r="AT1120" s="121" t="e">
        <f>IF('Cable Info'!P824="","",CONCATENATE('Cable Info'!P824," - ",'Cable Info'!Q824))</f>
        <v>#N/A</v>
      </c>
      <c r="AW1120" s="121" t="e">
        <f t="shared" si="187"/>
        <v>#N/A</v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str">
        <f>IF('Cable Info'!L825="","",CONCATENATE('Cable Info'!L825," - ",'Cable Info'!M825))</f>
        <v>824 - AW</v>
      </c>
      <c r="AM1121" s="121" t="str">
        <f t="shared" si="185"/>
        <v>824 - AW</v>
      </c>
      <c r="AO1121" s="121" t="str">
        <f>IF('Cable Info'!N825="","",CONCATENATE('Cable Info'!N825," - ",'Cable Info'!O825))</f>
        <v>824 - AW</v>
      </c>
      <c r="AR1121" s="121" t="str">
        <f t="shared" si="186"/>
        <v>824 - AW</v>
      </c>
      <c r="AT1121" s="121" t="e">
        <f>IF('Cable Info'!P825="","",CONCATENATE('Cable Info'!P825," - ",'Cable Info'!Q825))</f>
        <v>#N/A</v>
      </c>
      <c r="AW1121" s="121" t="e">
        <f t="shared" si="187"/>
        <v>#N/A</v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str">
        <f>IF('Cable Info'!L826="","",CONCATENATE('Cable Info'!L826," - ",'Cable Info'!M826))</f>
        <v>825 - AW</v>
      </c>
      <c r="AM1122" s="121" t="str">
        <f t="shared" si="185"/>
        <v>825 - AW</v>
      </c>
      <c r="AO1122" s="121" t="str">
        <f>IF('Cable Info'!N826="","",CONCATENATE('Cable Info'!N826," - ",'Cable Info'!O826))</f>
        <v>825 - AW</v>
      </c>
      <c r="AR1122" s="121" t="str">
        <f t="shared" si="186"/>
        <v>825 - AW</v>
      </c>
      <c r="AT1122" s="121" t="e">
        <f>IF('Cable Info'!P826="","",CONCATENATE('Cable Info'!P826," - ",'Cable Info'!Q826))</f>
        <v>#N/A</v>
      </c>
      <c r="AW1122" s="121" t="e">
        <f t="shared" si="187"/>
        <v>#N/A</v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str">
        <f>IF('Cable Info'!L827="","",CONCATENATE('Cable Info'!L827," - ",'Cable Info'!M827))</f>
        <v>826 - AW</v>
      </c>
      <c r="AM1123" s="121" t="str">
        <f t="shared" si="185"/>
        <v>826 - AW</v>
      </c>
      <c r="AO1123" s="121" t="str">
        <f>IF('Cable Info'!N827="","",CONCATENATE('Cable Info'!N827," - ",'Cable Info'!O827))</f>
        <v>826 - AW</v>
      </c>
      <c r="AR1123" s="121" t="str">
        <f t="shared" si="186"/>
        <v>826 - AW</v>
      </c>
      <c r="AT1123" s="121" t="e">
        <f>IF('Cable Info'!P827="","",CONCATENATE('Cable Info'!P827," - ",'Cable Info'!Q827))</f>
        <v>#N/A</v>
      </c>
      <c r="AW1123" s="121" t="e">
        <f t="shared" si="187"/>
        <v>#N/A</v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str">
        <f>IF('Cable Info'!L828="","",CONCATENATE('Cable Info'!L828," - ",'Cable Info'!M828))</f>
        <v>827 - AW</v>
      </c>
      <c r="AM1124" s="121" t="str">
        <f t="shared" si="185"/>
        <v>827 - AW</v>
      </c>
      <c r="AO1124" s="121" t="str">
        <f>IF('Cable Info'!N828="","",CONCATENATE('Cable Info'!N828," - ",'Cable Info'!O828))</f>
        <v>827 - AW</v>
      </c>
      <c r="AR1124" s="121" t="str">
        <f t="shared" si="186"/>
        <v>827 - AW</v>
      </c>
      <c r="AT1124" s="121" t="e">
        <f>IF('Cable Info'!P828="","",CONCATENATE('Cable Info'!P828," - ",'Cable Info'!Q828))</f>
        <v>#N/A</v>
      </c>
      <c r="AW1124" s="121" t="e">
        <f t="shared" si="187"/>
        <v>#N/A</v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str">
        <f>IF('Cable Info'!L829="","",CONCATENATE('Cable Info'!L829," - ",'Cable Info'!M829))</f>
        <v>828 - AW</v>
      </c>
      <c r="AM1125" s="121" t="str">
        <f t="shared" si="185"/>
        <v>828 - AW</v>
      </c>
      <c r="AO1125" s="121" t="str">
        <f>IF('Cable Info'!N829="","",CONCATENATE('Cable Info'!N829," - ",'Cable Info'!O829))</f>
        <v>828 - AW</v>
      </c>
      <c r="AR1125" s="121" t="str">
        <f t="shared" si="186"/>
        <v>828 - AW</v>
      </c>
      <c r="AT1125" s="121" t="e">
        <f>IF('Cable Info'!P829="","",CONCATENATE('Cable Info'!P829," - ",'Cable Info'!Q829))</f>
        <v>#N/A</v>
      </c>
      <c r="AW1125" s="121" t="e">
        <f t="shared" si="187"/>
        <v>#N/A</v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str">
        <f>IF('Cable Info'!L830="","",CONCATENATE('Cable Info'!L830," - ",'Cable Info'!M830))</f>
        <v>829 - AW</v>
      </c>
      <c r="AM1126" s="121" t="str">
        <f t="shared" si="185"/>
        <v>829 - AW</v>
      </c>
      <c r="AO1126" s="121" t="str">
        <f>IF('Cable Info'!N830="","",CONCATENATE('Cable Info'!N830," - ",'Cable Info'!O830))</f>
        <v>829 - AW</v>
      </c>
      <c r="AR1126" s="121" t="str">
        <f t="shared" si="186"/>
        <v>829 - AW</v>
      </c>
      <c r="AT1126" s="121" t="e">
        <f>IF('Cable Info'!P830="","",CONCATENATE('Cable Info'!P830," - ",'Cable Info'!Q830))</f>
        <v>#N/A</v>
      </c>
      <c r="AW1126" s="121" t="e">
        <f t="shared" si="187"/>
        <v>#N/A</v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str">
        <f>IF('Cable Info'!L831="","",CONCATENATE('Cable Info'!L831," - ",'Cable Info'!M831))</f>
        <v>830 - AW</v>
      </c>
      <c r="AM1127" s="121" t="str">
        <f t="shared" si="185"/>
        <v>830 - AW</v>
      </c>
      <c r="AO1127" s="121" t="str">
        <f>IF('Cable Info'!N831="","",CONCATENATE('Cable Info'!N831," - ",'Cable Info'!O831))</f>
        <v>830 - AW</v>
      </c>
      <c r="AR1127" s="121" t="str">
        <f t="shared" si="186"/>
        <v>830 - AW</v>
      </c>
      <c r="AT1127" s="121" t="e">
        <f>IF('Cable Info'!P831="","",CONCATENATE('Cable Info'!P831," - ",'Cable Info'!Q831))</f>
        <v>#N/A</v>
      </c>
      <c r="AW1127" s="121" t="e">
        <f t="shared" si="187"/>
        <v>#N/A</v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str">
        <f>IF('Cable Info'!L832="","",CONCATENATE('Cable Info'!L832," - ",'Cable Info'!M832))</f>
        <v>831 - AW</v>
      </c>
      <c r="AM1128" s="121" t="str">
        <f t="shared" si="185"/>
        <v>831 - AW</v>
      </c>
      <c r="AO1128" s="121" t="str">
        <f>IF('Cable Info'!N832="","",CONCATENATE('Cable Info'!N832," - ",'Cable Info'!O832))</f>
        <v>831 - AW</v>
      </c>
      <c r="AR1128" s="121" t="str">
        <f t="shared" si="186"/>
        <v>831 - AW</v>
      </c>
      <c r="AT1128" s="121" t="e">
        <f>IF('Cable Info'!P832="","",CONCATENATE('Cable Info'!P832," - ",'Cable Info'!Q832))</f>
        <v>#N/A</v>
      </c>
      <c r="AW1128" s="121" t="e">
        <f t="shared" si="187"/>
        <v>#N/A</v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str">
        <f>IF('Cable Info'!L833="","",CONCATENATE('Cable Info'!L833," - ",'Cable Info'!M833))</f>
        <v>832 - AW</v>
      </c>
      <c r="AM1129" s="121" t="str">
        <f t="shared" si="185"/>
        <v>832 - AW</v>
      </c>
      <c r="AO1129" s="121" t="str">
        <f>IF('Cable Info'!N833="","",CONCATENATE('Cable Info'!N833," - ",'Cable Info'!O833))</f>
        <v>832 - AW</v>
      </c>
      <c r="AR1129" s="121" t="str">
        <f t="shared" si="186"/>
        <v>832 - AW</v>
      </c>
      <c r="AT1129" s="121" t="e">
        <f>IF('Cable Info'!P833="","",CONCATENATE('Cable Info'!P833," - ",'Cable Info'!Q833))</f>
        <v>#N/A</v>
      </c>
      <c r="AW1129" s="121" t="e">
        <f t="shared" si="187"/>
        <v>#N/A</v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str">
        <f>IF('Cable Info'!L834="","",CONCATENATE('Cable Info'!L834," - ",'Cable Info'!M834))</f>
        <v>833 - AW</v>
      </c>
      <c r="AM1130" s="121" t="str">
        <f t="shared" si="185"/>
        <v>833 - AW</v>
      </c>
      <c r="AO1130" s="121" t="str">
        <f>IF('Cable Info'!N834="","",CONCATENATE('Cable Info'!N834," - ",'Cable Info'!O834))</f>
        <v>833 - AW</v>
      </c>
      <c r="AR1130" s="121" t="str">
        <f t="shared" si="186"/>
        <v>833 - AW</v>
      </c>
      <c r="AT1130" s="121" t="e">
        <f>IF('Cable Info'!P834="","",CONCATENATE('Cable Info'!P834," - ",'Cable Info'!Q834))</f>
        <v>#N/A</v>
      </c>
      <c r="AW1130" s="121" t="e">
        <f t="shared" si="187"/>
        <v>#N/A</v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str">
        <f>IF('Cable Info'!L835="","",CONCATENATE('Cable Info'!L835," - ",'Cable Info'!M835))</f>
        <v>834 - AW</v>
      </c>
      <c r="AM1131" s="121" t="str">
        <f t="shared" ref="AM1131:AM1161" si="191">IF(AK1131="",AJ1131,CONCATENATE(AJ1131,"  &lt;=&gt; ",AK1131," ",AL1131))</f>
        <v>834 - AW</v>
      </c>
      <c r="AO1131" s="121" t="str">
        <f>IF('Cable Info'!N835="","",CONCATENATE('Cable Info'!N835," - ",'Cable Info'!O835))</f>
        <v>834 - AW</v>
      </c>
      <c r="AR1131" s="121" t="str">
        <f t="shared" ref="AR1131:AR1161" si="192">IF(AP1131="",AO1131,CONCATENATE(AO1131,"  &lt;=&gt; ",AP1131," ",AQ1131))</f>
        <v>834 - AW</v>
      </c>
      <c r="AT1131" s="121" t="e">
        <f>IF('Cable Info'!P835="","",CONCATENATE('Cable Info'!P835," - ",'Cable Info'!Q835))</f>
        <v>#N/A</v>
      </c>
      <c r="AW1131" s="121" t="e">
        <f t="shared" ref="AW1131:AW1161" si="193">IF(AU1131="",AT1131,CONCATENATE(AT1131,"  &lt;=&gt; ",AU1131," ",AV1131))</f>
        <v>#N/A</v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str">
        <f>IF('Cable Info'!L836="","",CONCATENATE('Cable Info'!L836," - ",'Cable Info'!M836))</f>
        <v>835 - AW</v>
      </c>
      <c r="AM1132" s="121" t="str">
        <f t="shared" si="191"/>
        <v>835 - AW</v>
      </c>
      <c r="AO1132" s="121" t="str">
        <f>IF('Cable Info'!N836="","",CONCATENATE('Cable Info'!N836," - ",'Cable Info'!O836))</f>
        <v>835 - AW</v>
      </c>
      <c r="AR1132" s="121" t="str">
        <f t="shared" si="192"/>
        <v>835 - AW</v>
      </c>
      <c r="AT1132" s="121" t="e">
        <f>IF('Cable Info'!P836="","",CONCATENATE('Cable Info'!P836," - ",'Cable Info'!Q836))</f>
        <v>#N/A</v>
      </c>
      <c r="AW1132" s="121" t="e">
        <f t="shared" si="193"/>
        <v>#N/A</v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str">
        <f>IF('Cable Info'!L837="","",CONCATENATE('Cable Info'!L837," - ",'Cable Info'!M837))</f>
        <v>836 - AW</v>
      </c>
      <c r="AM1133" s="121" t="str">
        <f t="shared" si="191"/>
        <v>836 - AW</v>
      </c>
      <c r="AO1133" s="121" t="str">
        <f>IF('Cable Info'!N837="","",CONCATENATE('Cable Info'!N837," - ",'Cable Info'!O837))</f>
        <v>836 - AW</v>
      </c>
      <c r="AR1133" s="121" t="str">
        <f t="shared" si="192"/>
        <v>836 - AW</v>
      </c>
      <c r="AT1133" s="121" t="e">
        <f>IF('Cable Info'!P837="","",CONCATENATE('Cable Info'!P837," - ",'Cable Info'!Q837))</f>
        <v>#N/A</v>
      </c>
      <c r="AW1133" s="121" t="e">
        <f t="shared" si="193"/>
        <v>#N/A</v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str">
        <f>IF('Cable Info'!L838="","",CONCATENATE('Cable Info'!L838," - ",'Cable Info'!M838))</f>
        <v>837 - AW</v>
      </c>
      <c r="AM1134" s="121" t="str">
        <f t="shared" si="191"/>
        <v>837 - AW</v>
      </c>
      <c r="AO1134" s="121" t="str">
        <f>IF('Cable Info'!N838="","",CONCATENATE('Cable Info'!N838," - ",'Cable Info'!O838))</f>
        <v>837 - AW</v>
      </c>
      <c r="AR1134" s="121" t="str">
        <f t="shared" si="192"/>
        <v>837 - AW</v>
      </c>
      <c r="AT1134" s="121" t="e">
        <f>IF('Cable Info'!P838="","",CONCATENATE('Cable Info'!P838," - ",'Cable Info'!Q838))</f>
        <v>#N/A</v>
      </c>
      <c r="AW1134" s="121" t="e">
        <f t="shared" si="193"/>
        <v>#N/A</v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str">
        <f>IF('Cable Info'!L839="","",CONCATENATE('Cable Info'!L839," - ",'Cable Info'!M839))</f>
        <v>838 - AW</v>
      </c>
      <c r="AM1135" s="121" t="str">
        <f t="shared" si="191"/>
        <v>838 - AW</v>
      </c>
      <c r="AO1135" s="121" t="str">
        <f>IF('Cable Info'!N839="","",CONCATENATE('Cable Info'!N839," - ",'Cable Info'!O839))</f>
        <v>838 - AW</v>
      </c>
      <c r="AR1135" s="121" t="str">
        <f t="shared" si="192"/>
        <v>838 - AW</v>
      </c>
      <c r="AT1135" s="121" t="e">
        <f>IF('Cable Info'!P839="","",CONCATENATE('Cable Info'!P839," - ",'Cable Info'!Q839))</f>
        <v>#N/A</v>
      </c>
      <c r="AW1135" s="121" t="e">
        <f t="shared" si="193"/>
        <v>#N/A</v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str">
        <f>IF('Cable Info'!L840="","",CONCATENATE('Cable Info'!L840," - ",'Cable Info'!M840))</f>
        <v>839 - AW</v>
      </c>
      <c r="AM1136" s="121" t="str">
        <f t="shared" si="191"/>
        <v>839 - AW</v>
      </c>
      <c r="AO1136" s="121" t="str">
        <f>IF('Cable Info'!N840="","",CONCATENATE('Cable Info'!N840," - ",'Cable Info'!O840))</f>
        <v>839 - AW</v>
      </c>
      <c r="AR1136" s="121" t="str">
        <f t="shared" si="192"/>
        <v>839 - AW</v>
      </c>
      <c r="AT1136" s="121" t="e">
        <f>IF('Cable Info'!P840="","",CONCATENATE('Cable Info'!P840," - ",'Cable Info'!Q840))</f>
        <v>#N/A</v>
      </c>
      <c r="AW1136" s="121" t="e">
        <f t="shared" si="193"/>
        <v>#N/A</v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str">
        <f>IF('Cable Info'!L841="","",CONCATENATE('Cable Info'!L841," - ",'Cable Info'!M841))</f>
        <v>840 - AW</v>
      </c>
      <c r="AM1137" s="121" t="str">
        <f t="shared" si="191"/>
        <v>840 - AW</v>
      </c>
      <c r="AO1137" s="121" t="str">
        <f>IF('Cable Info'!N841="","",CONCATENATE('Cable Info'!N841," - ",'Cable Info'!O841))</f>
        <v>840 - AW</v>
      </c>
      <c r="AR1137" s="121" t="str">
        <f t="shared" si="192"/>
        <v>840 - AW</v>
      </c>
      <c r="AT1137" s="121" t="e">
        <f>IF('Cable Info'!P841="","",CONCATENATE('Cable Info'!P841," - ",'Cable Info'!Q841))</f>
        <v>#N/A</v>
      </c>
      <c r="AW1137" s="121" t="e">
        <f t="shared" si="193"/>
        <v>#N/A</v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str">
        <f>IF('Cable Info'!L842="","",CONCATENATE('Cable Info'!L842," - ",'Cable Info'!M842))</f>
        <v>841 - AW</v>
      </c>
      <c r="AM1138" s="121" t="str">
        <f t="shared" si="191"/>
        <v>841 - AW</v>
      </c>
      <c r="AO1138" s="121" t="str">
        <f>IF('Cable Info'!N842="","",CONCATENATE('Cable Info'!N842," - ",'Cable Info'!O842))</f>
        <v>841 - AW</v>
      </c>
      <c r="AR1138" s="121" t="str">
        <f t="shared" si="192"/>
        <v>841 - AW</v>
      </c>
      <c r="AT1138" s="121" t="e">
        <f>IF('Cable Info'!P842="","",CONCATENATE('Cable Info'!P842," - ",'Cable Info'!Q842))</f>
        <v>#N/A</v>
      </c>
      <c r="AW1138" s="121" t="e">
        <f t="shared" si="193"/>
        <v>#N/A</v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str">
        <f>IF('Cable Info'!L843="","",CONCATENATE('Cable Info'!L843," - ",'Cable Info'!M843))</f>
        <v>842 - AW</v>
      </c>
      <c r="AM1139" s="121" t="str">
        <f t="shared" si="191"/>
        <v>842 - AW</v>
      </c>
      <c r="AO1139" s="121" t="str">
        <f>IF('Cable Info'!N843="","",CONCATENATE('Cable Info'!N843," - ",'Cable Info'!O843))</f>
        <v>842 - AW</v>
      </c>
      <c r="AR1139" s="121" t="str">
        <f t="shared" si="192"/>
        <v>842 - AW</v>
      </c>
      <c r="AT1139" s="121" t="e">
        <f>IF('Cable Info'!P843="","",CONCATENATE('Cable Info'!P843," - ",'Cable Info'!Q843))</f>
        <v>#N/A</v>
      </c>
      <c r="AW1139" s="121" t="e">
        <f t="shared" si="193"/>
        <v>#N/A</v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str">
        <f>IF('Cable Info'!L844="","",CONCATENATE('Cable Info'!L844," - ",'Cable Info'!M844))</f>
        <v>843 - AW</v>
      </c>
      <c r="AM1140" s="121" t="str">
        <f t="shared" si="191"/>
        <v>843 - AW</v>
      </c>
      <c r="AO1140" s="121" t="str">
        <f>IF('Cable Info'!N844="","",CONCATENATE('Cable Info'!N844," - ",'Cable Info'!O844))</f>
        <v>843 - AW</v>
      </c>
      <c r="AR1140" s="121" t="str">
        <f t="shared" si="192"/>
        <v>843 - AW</v>
      </c>
      <c r="AT1140" s="121" t="e">
        <f>IF('Cable Info'!P844="","",CONCATENATE('Cable Info'!P844," - ",'Cable Info'!Q844))</f>
        <v>#N/A</v>
      </c>
      <c r="AW1140" s="121" t="e">
        <f t="shared" si="193"/>
        <v>#N/A</v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str">
        <f>IF('Cable Info'!L845="","",CONCATENATE('Cable Info'!L845," - ",'Cable Info'!M845))</f>
        <v>844 - AW</v>
      </c>
      <c r="AM1141" s="121" t="str">
        <f t="shared" si="191"/>
        <v>844 - AW</v>
      </c>
      <c r="AO1141" s="121" t="str">
        <f>IF('Cable Info'!N845="","",CONCATENATE('Cable Info'!N845," - ",'Cable Info'!O845))</f>
        <v>844 - AW</v>
      </c>
      <c r="AR1141" s="121" t="str">
        <f t="shared" si="192"/>
        <v>844 - AW</v>
      </c>
      <c r="AT1141" s="121" t="e">
        <f>IF('Cable Info'!P845="","",CONCATENATE('Cable Info'!P845," - ",'Cable Info'!Q845))</f>
        <v>#N/A</v>
      </c>
      <c r="AW1141" s="121" t="e">
        <f t="shared" si="193"/>
        <v>#N/A</v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str">
        <f>IF('Cable Info'!L846="","",CONCATENATE('Cable Info'!L846," - ",'Cable Info'!M846))</f>
        <v>845 - AW</v>
      </c>
      <c r="AM1142" s="121" t="str">
        <f t="shared" si="191"/>
        <v>845 - AW</v>
      </c>
      <c r="AO1142" s="121" t="str">
        <f>IF('Cable Info'!N846="","",CONCATENATE('Cable Info'!N846," - ",'Cable Info'!O846))</f>
        <v>845 - AW</v>
      </c>
      <c r="AR1142" s="121" t="str">
        <f t="shared" si="192"/>
        <v>845 - AW</v>
      </c>
      <c r="AT1142" s="121" t="e">
        <f>IF('Cable Info'!P846="","",CONCATENATE('Cable Info'!P846," - ",'Cable Info'!Q846))</f>
        <v>#N/A</v>
      </c>
      <c r="AW1142" s="121" t="e">
        <f t="shared" si="193"/>
        <v>#N/A</v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str">
        <f>IF('Cable Info'!L847="","",CONCATENATE('Cable Info'!L847," - ",'Cable Info'!M847))</f>
        <v>846 - AW</v>
      </c>
      <c r="AM1143" s="121" t="str">
        <f t="shared" si="191"/>
        <v>846 - AW</v>
      </c>
      <c r="AO1143" s="121" t="str">
        <f>IF('Cable Info'!N847="","",CONCATENATE('Cable Info'!N847," - ",'Cable Info'!O847))</f>
        <v>846 - AW</v>
      </c>
      <c r="AR1143" s="121" t="str">
        <f t="shared" si="192"/>
        <v>846 - AW</v>
      </c>
      <c r="AT1143" s="121" t="e">
        <f>IF('Cable Info'!P847="","",CONCATENATE('Cable Info'!P847," - ",'Cable Info'!Q847))</f>
        <v>#N/A</v>
      </c>
      <c r="AW1143" s="121" t="e">
        <f t="shared" si="193"/>
        <v>#N/A</v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str">
        <f>IF('Cable Info'!L848="","",CONCATENATE('Cable Info'!L848," - ",'Cable Info'!M848))</f>
        <v>847 - AW</v>
      </c>
      <c r="AM1144" s="121" t="str">
        <f t="shared" si="191"/>
        <v>847 - AW</v>
      </c>
      <c r="AO1144" s="121" t="str">
        <f>IF('Cable Info'!N848="","",CONCATENATE('Cable Info'!N848," - ",'Cable Info'!O848))</f>
        <v>847 - AW</v>
      </c>
      <c r="AR1144" s="121" t="str">
        <f t="shared" si="192"/>
        <v>847 - AW</v>
      </c>
      <c r="AT1144" s="121" t="e">
        <f>IF('Cable Info'!P848="","",CONCATENATE('Cable Info'!P848," - ",'Cable Info'!Q848))</f>
        <v>#N/A</v>
      </c>
      <c r="AW1144" s="121" t="e">
        <f t="shared" si="193"/>
        <v>#N/A</v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str">
        <f>IF('Cable Info'!L849="","",CONCATENATE('Cable Info'!L849," - ",'Cable Info'!M849))</f>
        <v>848 - AW</v>
      </c>
      <c r="AM1145" s="121" t="str">
        <f t="shared" si="191"/>
        <v>848 - AW</v>
      </c>
      <c r="AO1145" s="121" t="str">
        <f>IF('Cable Info'!N849="","",CONCATENATE('Cable Info'!N849," - ",'Cable Info'!O849))</f>
        <v>848 - AW</v>
      </c>
      <c r="AR1145" s="121" t="str">
        <f t="shared" si="192"/>
        <v>848 - AW</v>
      </c>
      <c r="AT1145" s="121" t="e">
        <f>IF('Cable Info'!P849="","",CONCATENATE('Cable Info'!P849," - ",'Cable Info'!Q849))</f>
        <v>#N/A</v>
      </c>
      <c r="AW1145" s="121" t="e">
        <f t="shared" si="193"/>
        <v>#N/A</v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str">
        <f>IF('Cable Info'!L850="","",CONCATENATE('Cable Info'!L850," - ",'Cable Info'!M850))</f>
        <v>849 - AW</v>
      </c>
      <c r="AM1146" s="121" t="str">
        <f t="shared" si="191"/>
        <v>849 - AW</v>
      </c>
      <c r="AO1146" s="121" t="str">
        <f>IF('Cable Info'!N850="","",CONCATENATE('Cable Info'!N850," - ",'Cable Info'!O850))</f>
        <v>849 - AW</v>
      </c>
      <c r="AR1146" s="121" t="str">
        <f t="shared" si="192"/>
        <v>849 - AW</v>
      </c>
      <c r="AT1146" s="121" t="e">
        <f>IF('Cable Info'!P850="","",CONCATENATE('Cable Info'!P850," - ",'Cable Info'!Q850))</f>
        <v>#N/A</v>
      </c>
      <c r="AW1146" s="121" t="e">
        <f t="shared" si="193"/>
        <v>#N/A</v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str">
        <f>IF('Cable Info'!L851="","",CONCATENATE('Cable Info'!L851," - ",'Cable Info'!M851))</f>
        <v>850 - AW</v>
      </c>
      <c r="AM1147" s="121" t="str">
        <f t="shared" si="191"/>
        <v>850 - AW</v>
      </c>
      <c r="AO1147" s="121" t="str">
        <f>IF('Cable Info'!N851="","",CONCATENATE('Cable Info'!N851," - ",'Cable Info'!O851))</f>
        <v>850 - AW</v>
      </c>
      <c r="AR1147" s="121" t="str">
        <f t="shared" si="192"/>
        <v>850 - AW</v>
      </c>
      <c r="AT1147" s="121" t="e">
        <f>IF('Cable Info'!P851="","",CONCATENATE('Cable Info'!P851," - ",'Cable Info'!Q851))</f>
        <v>#N/A</v>
      </c>
      <c r="AW1147" s="121" t="e">
        <f t="shared" si="193"/>
        <v>#N/A</v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str">
        <f>IF('Cable Info'!L852="","",CONCATENATE('Cable Info'!L852," - ",'Cable Info'!M852))</f>
        <v>851 - AW</v>
      </c>
      <c r="AM1148" s="121" t="str">
        <f t="shared" si="191"/>
        <v>851 - AW</v>
      </c>
      <c r="AO1148" s="121" t="str">
        <f>IF('Cable Info'!N852="","",CONCATENATE('Cable Info'!N852," - ",'Cable Info'!O852))</f>
        <v>851 - AW</v>
      </c>
      <c r="AR1148" s="121" t="str">
        <f t="shared" si="192"/>
        <v>851 - AW</v>
      </c>
      <c r="AT1148" s="121" t="e">
        <f>IF('Cable Info'!P852="","",CONCATENATE('Cable Info'!P852," - ",'Cable Info'!Q852))</f>
        <v>#N/A</v>
      </c>
      <c r="AW1148" s="121" t="e">
        <f t="shared" si="193"/>
        <v>#N/A</v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str">
        <f>IF('Cable Info'!L853="","",CONCATENATE('Cable Info'!L853," - ",'Cable Info'!M853))</f>
        <v>852 - AW</v>
      </c>
      <c r="AM1149" s="121" t="str">
        <f t="shared" si="191"/>
        <v>852 - AW</v>
      </c>
      <c r="AO1149" s="121" t="str">
        <f>IF('Cable Info'!N853="","",CONCATENATE('Cable Info'!N853," - ",'Cable Info'!O853))</f>
        <v>852 - AW</v>
      </c>
      <c r="AR1149" s="121" t="str">
        <f t="shared" si="192"/>
        <v>852 - AW</v>
      </c>
      <c r="AT1149" s="121" t="e">
        <f>IF('Cable Info'!P853="","",CONCATENATE('Cable Info'!P853," - ",'Cable Info'!Q853))</f>
        <v>#N/A</v>
      </c>
      <c r="AW1149" s="121" t="e">
        <f t="shared" si="193"/>
        <v>#N/A</v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str">
        <f>IF('Cable Info'!L854="","",CONCATENATE('Cable Info'!L854," - ",'Cable Info'!M854))</f>
        <v>853 - AW</v>
      </c>
      <c r="AM1150" s="121" t="str">
        <f t="shared" si="191"/>
        <v>853 - AW</v>
      </c>
      <c r="AO1150" s="121" t="str">
        <f>IF('Cable Info'!N854="","",CONCATENATE('Cable Info'!N854," - ",'Cable Info'!O854))</f>
        <v>853 - AW</v>
      </c>
      <c r="AR1150" s="121" t="str">
        <f t="shared" si="192"/>
        <v>853 - AW</v>
      </c>
      <c r="AT1150" s="121" t="e">
        <f>IF('Cable Info'!P854="","",CONCATENATE('Cable Info'!P854," - ",'Cable Info'!Q854))</f>
        <v>#N/A</v>
      </c>
      <c r="AW1150" s="121" t="e">
        <f t="shared" si="193"/>
        <v>#N/A</v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str">
        <f>IF('Cable Info'!L855="","",CONCATENATE('Cable Info'!L855," - ",'Cable Info'!M855))</f>
        <v>854 - AW</v>
      </c>
      <c r="AM1151" s="121" t="str">
        <f t="shared" si="191"/>
        <v>854 - AW</v>
      </c>
      <c r="AO1151" s="121" t="str">
        <f>IF('Cable Info'!N855="","",CONCATENATE('Cable Info'!N855," - ",'Cable Info'!O855))</f>
        <v>854 - AW</v>
      </c>
      <c r="AR1151" s="121" t="str">
        <f t="shared" si="192"/>
        <v>854 - AW</v>
      </c>
      <c r="AT1151" s="121" t="e">
        <f>IF('Cable Info'!P855="","",CONCATENATE('Cable Info'!P855," - ",'Cable Info'!Q855))</f>
        <v>#N/A</v>
      </c>
      <c r="AW1151" s="121" t="e">
        <f t="shared" si="193"/>
        <v>#N/A</v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str">
        <f>IF('Cable Info'!L856="","",CONCATENATE('Cable Info'!L856," - ",'Cable Info'!M856))</f>
        <v>855 - AW</v>
      </c>
      <c r="AM1152" s="121" t="str">
        <f t="shared" si="191"/>
        <v>855 - AW</v>
      </c>
      <c r="AO1152" s="121" t="str">
        <f>IF('Cable Info'!N856="","",CONCATENATE('Cable Info'!N856," - ",'Cable Info'!O856))</f>
        <v>855 - AW</v>
      </c>
      <c r="AR1152" s="121" t="str">
        <f t="shared" si="192"/>
        <v>855 - AW</v>
      </c>
      <c r="AT1152" s="121" t="e">
        <f>IF('Cable Info'!P856="","",CONCATENATE('Cable Info'!P856," - ",'Cable Info'!Q856))</f>
        <v>#N/A</v>
      </c>
      <c r="AW1152" s="121" t="e">
        <f t="shared" si="193"/>
        <v>#N/A</v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str">
        <f>IF('Cable Info'!L857="","",CONCATENATE('Cable Info'!L857," - ",'Cable Info'!M857))</f>
        <v>856 - AW</v>
      </c>
      <c r="AM1153" s="121" t="str">
        <f t="shared" si="191"/>
        <v>856 - AW</v>
      </c>
      <c r="AO1153" s="121" t="str">
        <f>IF('Cable Info'!N857="","",CONCATENATE('Cable Info'!N857," - ",'Cable Info'!O857))</f>
        <v>856 - AW</v>
      </c>
      <c r="AR1153" s="121" t="str">
        <f t="shared" si="192"/>
        <v>856 - AW</v>
      </c>
      <c r="AT1153" s="121" t="e">
        <f>IF('Cable Info'!P857="","",CONCATENATE('Cable Info'!P857," - ",'Cable Info'!Q857))</f>
        <v>#N/A</v>
      </c>
      <c r="AW1153" s="121" t="e">
        <f t="shared" si="193"/>
        <v>#N/A</v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str">
        <f>IF('Cable Info'!L858="","",CONCATENATE('Cable Info'!L858," - ",'Cable Info'!M858))</f>
        <v>857 - AW</v>
      </c>
      <c r="AM1154" s="121" t="str">
        <f t="shared" si="191"/>
        <v>857 - AW</v>
      </c>
      <c r="AO1154" s="121" t="str">
        <f>IF('Cable Info'!N858="","",CONCATENATE('Cable Info'!N858," - ",'Cable Info'!O858))</f>
        <v>857 - AW</v>
      </c>
      <c r="AR1154" s="121" t="str">
        <f t="shared" si="192"/>
        <v>857 - AW</v>
      </c>
      <c r="AT1154" s="121" t="e">
        <f>IF('Cable Info'!P858="","",CONCATENATE('Cable Info'!P858," - ",'Cable Info'!Q858))</f>
        <v>#N/A</v>
      </c>
      <c r="AW1154" s="121" t="e">
        <f t="shared" si="193"/>
        <v>#N/A</v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str">
        <f>IF('Cable Info'!L859="","",CONCATENATE('Cable Info'!L859," - ",'Cable Info'!M859))</f>
        <v>858 - AW</v>
      </c>
      <c r="AM1155" s="121" t="str">
        <f t="shared" si="191"/>
        <v>858 - AW</v>
      </c>
      <c r="AO1155" s="121" t="str">
        <f>IF('Cable Info'!N859="","",CONCATENATE('Cable Info'!N859," - ",'Cable Info'!O859))</f>
        <v>858 - AW</v>
      </c>
      <c r="AR1155" s="121" t="str">
        <f t="shared" si="192"/>
        <v>858 - AW</v>
      </c>
      <c r="AT1155" s="121" t="e">
        <f>IF('Cable Info'!P859="","",CONCATENATE('Cable Info'!P859," - ",'Cable Info'!Q859))</f>
        <v>#N/A</v>
      </c>
      <c r="AW1155" s="121" t="e">
        <f t="shared" si="193"/>
        <v>#N/A</v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str">
        <f>IF('Cable Info'!L860="","",CONCATENATE('Cable Info'!L860," - ",'Cable Info'!M860))</f>
        <v>859 - AW</v>
      </c>
      <c r="AM1156" s="121" t="str">
        <f t="shared" si="191"/>
        <v>859 - AW</v>
      </c>
      <c r="AO1156" s="121" t="str">
        <f>IF('Cable Info'!N860="","",CONCATENATE('Cable Info'!N860," - ",'Cable Info'!O860))</f>
        <v>859 - AW</v>
      </c>
      <c r="AR1156" s="121" t="str">
        <f t="shared" si="192"/>
        <v>859 - AW</v>
      </c>
      <c r="AT1156" s="121" t="e">
        <f>IF('Cable Info'!P860="","",CONCATENATE('Cable Info'!P860," - ",'Cable Info'!Q860))</f>
        <v>#N/A</v>
      </c>
      <c r="AW1156" s="121" t="e">
        <f t="shared" si="193"/>
        <v>#N/A</v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str">
        <f>IF('Cable Info'!L861="","",CONCATENATE('Cable Info'!L861," - ",'Cable Info'!M861))</f>
        <v>860 - AW</v>
      </c>
      <c r="AM1157" s="121" t="str">
        <f t="shared" si="191"/>
        <v>860 - AW</v>
      </c>
      <c r="AO1157" s="121" t="str">
        <f>IF('Cable Info'!N861="","",CONCATENATE('Cable Info'!N861," - ",'Cable Info'!O861))</f>
        <v>860 - AW</v>
      </c>
      <c r="AR1157" s="121" t="str">
        <f t="shared" si="192"/>
        <v>860 - AW</v>
      </c>
      <c r="AT1157" s="121" t="e">
        <f>IF('Cable Info'!P861="","",CONCATENATE('Cable Info'!P861," - ",'Cable Info'!Q861))</f>
        <v>#N/A</v>
      </c>
      <c r="AW1157" s="121" t="e">
        <f t="shared" si="193"/>
        <v>#N/A</v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str">
        <f>IF('Cable Info'!L862="","",CONCATENATE('Cable Info'!L862," - ",'Cable Info'!M862))</f>
        <v>861 - AW</v>
      </c>
      <c r="AM1158" s="121" t="str">
        <f t="shared" si="191"/>
        <v>861 - AW</v>
      </c>
      <c r="AO1158" s="121" t="str">
        <f>IF('Cable Info'!N862="","",CONCATENATE('Cable Info'!N862," - ",'Cable Info'!O862))</f>
        <v>861 - AW</v>
      </c>
      <c r="AR1158" s="121" t="str">
        <f t="shared" si="192"/>
        <v>861 - AW</v>
      </c>
      <c r="AT1158" s="121" t="e">
        <f>IF('Cable Info'!P862="","",CONCATENATE('Cable Info'!P862," - ",'Cable Info'!Q862))</f>
        <v>#N/A</v>
      </c>
      <c r="AW1158" s="121" t="e">
        <f t="shared" si="193"/>
        <v>#N/A</v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str">
        <f>IF('Cable Info'!L863="","",CONCATENATE('Cable Info'!L863," - ",'Cable Info'!M863))</f>
        <v>862 - AW</v>
      </c>
      <c r="AM1159" s="121" t="str">
        <f t="shared" si="191"/>
        <v>862 - AW</v>
      </c>
      <c r="AO1159" s="121" t="str">
        <f>IF('Cable Info'!N863="","",CONCATENATE('Cable Info'!N863," - ",'Cable Info'!O863))</f>
        <v>862 - AW</v>
      </c>
      <c r="AR1159" s="121" t="str">
        <f t="shared" si="192"/>
        <v>862 - AW</v>
      </c>
      <c r="AT1159" s="121" t="e">
        <f>IF('Cable Info'!P863="","",CONCATENATE('Cable Info'!P863," - ",'Cable Info'!Q863))</f>
        <v>#N/A</v>
      </c>
      <c r="AW1159" s="121" t="e">
        <f t="shared" si="193"/>
        <v>#N/A</v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str">
        <f>IF('Cable Info'!L864="","",CONCATENATE('Cable Info'!L864," - ",'Cable Info'!M864))</f>
        <v>863 - AW</v>
      </c>
      <c r="AM1160" s="121" t="str">
        <f t="shared" si="191"/>
        <v>863 - AW</v>
      </c>
      <c r="AO1160" s="121" t="str">
        <f>IF('Cable Info'!N864="","",CONCATENATE('Cable Info'!N864," - ",'Cable Info'!O864))</f>
        <v>863 - AW</v>
      </c>
      <c r="AR1160" s="121" t="str">
        <f t="shared" si="192"/>
        <v>863 - AW</v>
      </c>
      <c r="AT1160" s="121" t="e">
        <f>IF('Cable Info'!P864="","",CONCATENATE('Cable Info'!P864," - ",'Cable Info'!Q864))</f>
        <v>#N/A</v>
      </c>
      <c r="AW1160" s="121" t="e">
        <f t="shared" si="193"/>
        <v>#N/A</v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str">
        <f>IF('Cable Info'!L865="","",CONCATENATE('Cable Info'!L865," - ",'Cable Info'!M865))</f>
        <v>864 - AW</v>
      </c>
      <c r="AM1161" s="121" t="str">
        <f t="shared" si="191"/>
        <v>864 - AW</v>
      </c>
      <c r="AO1161" s="121" t="str">
        <f>IF('Cable Info'!N865="","",CONCATENATE('Cable Info'!N865," - ",'Cable Info'!O865))</f>
        <v>864 - AW</v>
      </c>
      <c r="AR1161" s="121" t="str">
        <f t="shared" si="192"/>
        <v>864 - AW</v>
      </c>
      <c r="AT1161" s="121" t="e">
        <f>IF('Cable Info'!P865="","",CONCATENATE('Cable Info'!P865," - ",'Cable Info'!Q865))</f>
        <v>#N/A</v>
      </c>
      <c r="AW1161" s="121" t="e">
        <f t="shared" si="193"/>
        <v>#N/A</v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R10:W380 B10:P380">
    <cfRule type="expression" dxfId="6" priority="8">
      <formula>$X10=12</formula>
    </cfRule>
  </conditionalFormatting>
  <conditionalFormatting sqref="R10:W380 B10:P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R10:X380 B10:P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Travis Shelton</cp:lastModifiedBy>
  <cp:lastPrinted>2013-11-22T22:56:05Z</cp:lastPrinted>
  <dcterms:created xsi:type="dcterms:W3CDTF">1998-05-29T15:48:38Z</dcterms:created>
  <dcterms:modified xsi:type="dcterms:W3CDTF">2016-10-27T22:13:16Z</dcterms:modified>
</cp:coreProperties>
</file>